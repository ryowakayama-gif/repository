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005BE860-1B63-40BF-A778-17B7F12E8FF9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7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7" l="1"/>
  <c r="L2" i="23"/>
  <c r="B259" i="26" s="1"/>
  <c r="F2" i="23" l="1"/>
  <c r="J2" i="23" l="1"/>
  <c r="B261" i="26" s="1"/>
  <c r="B2" i="23"/>
  <c r="B260" i="26" l="1"/>
  <c r="A2" i="23" l="1"/>
</calcChain>
</file>

<file path=xl/sharedStrings.xml><?xml version="1.0" encoding="utf-8"?>
<sst xmlns="http://schemas.openxmlformats.org/spreadsheetml/2006/main" count="1061" uniqueCount="792">
  <si>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</si>
  <si>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</si>
  <si>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</si>
  <si>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</si>
  <si>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</si>
  <si>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</si>
  <si>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</si>
  <si>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</si>
  <si>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</si>
  <si>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</si>
  <si>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</si>
  <si>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</si>
  <si>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</si>
  <si>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</si>
  <si>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</si>
  <si>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</si>
  <si>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</si>
  <si>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</si>
  <si>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</si>
  <si>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</si>
  <si>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</si>
  <si>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</si>
  <si>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</si>
  <si>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</si>
  <si>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</si>
  <si>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</si>
  <si>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</si>
  <si>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</si>
  <si>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</si>
  <si>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</si>
  <si>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</si>
  <si>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</si>
  <si>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</si>
  <si>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</si>
  <si>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</si>
  <si>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</si>
  <si>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</si>
  <si>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</si>
  <si>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</si>
  <si>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</si>
  <si>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</si>
  <si>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</si>
  <si>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</si>
  <si>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</si>
  <si>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</si>
  <si>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</si>
  <si>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</si>
  <si>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</si>
  <si>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</si>
  <si>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</si>
  <si>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</si>
  <si>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</si>
  <si>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</si>
  <si>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</si>
  <si>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</si>
  <si>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</si>
  <si>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</si>
  <si>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</si>
  <si>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</si>
  <si>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</si>
  <si>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</si>
  <si>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</si>
  <si>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</si>
  <si>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</si>
  <si>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</si>
  <si>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</si>
  <si>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</si>
  <si>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</si>
  <si>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</si>
  <si>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</si>
  <si>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</si>
  <si>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</si>
  <si>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</si>
  <si>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</si>
  <si>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</si>
  <si>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</si>
  <si>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</si>
  <si>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</si>
  <si>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</si>
  <si>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</si>
  <si>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</si>
  <si>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</si>
  <si>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</si>
  <si>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</si>
  <si>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</si>
  <si>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</si>
  <si>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</si>
  <si>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</si>
  <si>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</si>
  <si>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</si>
  <si>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</si>
  <si>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</si>
  <si>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</si>
  <si>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</si>
  <si>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</si>
  <si>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</si>
  <si>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</si>
  <si>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</si>
  <si>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</si>
  <si>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</si>
  <si>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</si>
  <si>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</si>
  <si>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</si>
  <si>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</si>
  <si>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</si>
  <si>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</si>
  <si>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</si>
  <si>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</si>
  <si>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</si>
  <si>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</si>
  <si>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</si>
  <si>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</si>
  <si>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</si>
  <si>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</si>
  <si>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</si>
  <si>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</si>
  <si>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</si>
  <si>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</si>
  <si>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</si>
  <si>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</si>
  <si>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</si>
  <si>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</si>
  <si>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</si>
  <si>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</si>
  <si>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</si>
  <si>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</si>
  <si>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</si>
  <si>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</si>
  <si>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</si>
  <si>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</si>
  <si>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</si>
  <si>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</si>
  <si>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</si>
  <si>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</si>
  <si>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</si>
  <si>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</si>
  <si>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</si>
  <si>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</si>
  <si>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</si>
  <si>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</si>
  <si>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</si>
  <si>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</si>
  <si>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</si>
  <si>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</si>
  <si>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</si>
  <si>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</si>
  <si>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</si>
  <si>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</si>
  <si>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</si>
  <si>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</si>
  <si>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</si>
  <si>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</si>
  <si>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</si>
  <si>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</si>
  <si>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</si>
  <si>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</si>
  <si>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</si>
  <si>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</si>
  <si>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</si>
  <si>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</si>
  <si>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</si>
  <si>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</si>
  <si>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</si>
  <si>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</si>
  <si>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</si>
  <si>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</si>
  <si>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</si>
  <si>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</si>
  <si>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</si>
  <si>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</si>
  <si>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</si>
  <si>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</si>
  <si>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</si>
  <si>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</si>
  <si>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</si>
  <si>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</si>
  <si>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</si>
  <si>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</si>
  <si>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</si>
  <si>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</si>
  <si>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</si>
  <si>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</si>
  <si>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</si>
  <si>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</si>
  <si>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</si>
  <si>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</si>
  <si>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</si>
  <si>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</si>
  <si>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</si>
  <si>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</si>
  <si>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</si>
  <si>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</si>
  <si>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</si>
  <si>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</si>
  <si>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</si>
  <si>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</si>
  <si>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</si>
  <si>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</si>
  <si>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</si>
  <si>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</si>
  <si>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</si>
  <si>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</si>
  <si>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</si>
  <si>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</si>
  <si>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</si>
  <si>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</si>
  <si>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</si>
  <si>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</si>
  <si>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</si>
  <si>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</si>
  <si>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</si>
  <si>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</si>
  <si>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</si>
  <si>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</si>
  <si>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</si>
  <si>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</si>
  <si>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</si>
  <si>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</si>
  <si>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</si>
  <si>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</si>
  <si>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</si>
  <si>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</si>
  <si>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</si>
  <si>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</si>
  <si>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</si>
  <si>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</si>
  <si>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</si>
  <si>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</si>
  <si>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</si>
  <si>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</si>
  <si>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</si>
  <si>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</si>
  <si>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</si>
  <si>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</si>
  <si>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</si>
  <si>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</si>
  <si>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</si>
  <si>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</si>
  <si>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</si>
  <si>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</si>
  <si>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</si>
  <si>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</si>
  <si>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</si>
  <si>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</si>
  <si>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</si>
  <si>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</si>
  <si>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</si>
  <si>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</si>
  <si>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</si>
  <si>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</si>
  <si>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</si>
  <si>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</si>
  <si>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</si>
  <si>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</si>
  <si>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</si>
  <si>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</si>
  <si>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</si>
  <si>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</si>
  <si>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</si>
  <si>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</si>
  <si>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</si>
  <si>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</si>
  <si>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</si>
  <si>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</si>
  <si>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</si>
  <si>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</si>
  <si>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</si>
  <si>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</si>
  <si>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</si>
  <si>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</si>
  <si>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</si>
  <si>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</si>
  <si>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</si>
  <si>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</si>
  <si>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</si>
  <si>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</si>
  <si>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</si>
  <si>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</si>
  <si>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</si>
  <si>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</si>
  <si>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</si>
  <si>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</si>
  <si>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</si>
  <si>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</si>
  <si>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</si>
  <si>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</si>
  <si>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</si>
  <si>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</si>
  <si>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</si>
  <si>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</si>
  <si>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</si>
  <si>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</si>
  <si>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</si>
  <si>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</si>
  <si>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</si>
  <si>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</si>
  <si>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</si>
  <si>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</si>
  <si>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</si>
  <si>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</si>
  <si>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</si>
  <si>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</si>
  <si>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</si>
  <si>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</si>
  <si>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</si>
  <si>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</si>
  <si>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</si>
  <si>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</si>
  <si>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</si>
  <si>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</si>
  <si>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</si>
  <si>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</si>
  <si>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</si>
  <si>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</si>
  <si>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</si>
  <si>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</si>
  <si>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</si>
  <si>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</si>
  <si>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</si>
  <si>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</si>
  <si>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</si>
  <si>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</si>
  <si>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</si>
  <si>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</si>
  <si>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</si>
  <si>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</si>
  <si>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</si>
  <si>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</si>
  <si>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</si>
  <si>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</si>
  <si>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</si>
  <si>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</si>
  <si>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</si>
  <si>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</si>
  <si>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</si>
  <si>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</si>
  <si>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</si>
  <si>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</si>
  <si>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</si>
  <si>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</si>
  <si>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</si>
  <si>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</si>
  <si>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</si>
  <si>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</si>
  <si>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</si>
  <si>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</si>
  <si>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</si>
  <si>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</si>
  <si>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</si>
  <si>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</si>
  <si>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</si>
  <si>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</si>
  <si>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</si>
  <si>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</si>
  <si>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</si>
  <si>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</si>
  <si>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</si>
  <si>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</si>
  <si>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</si>
  <si>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</si>
  <si>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</si>
  <si>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</si>
  <si>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</si>
  <si>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</si>
  <si>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</si>
  <si>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</si>
  <si>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</si>
  <si>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</si>
  <si>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</si>
  <si>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</si>
  <si>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</si>
  <si>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</si>
  <si>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</si>
  <si>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</si>
  <si>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</si>
  <si>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</si>
  <si>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</si>
  <si>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</si>
  <si>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</si>
  <si>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</si>
  <si>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</si>
  <si>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</si>
  <si>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</si>
  <si>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</si>
  <si>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</si>
  <si>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</si>
  <si>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</si>
  <si>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</si>
  <si>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</si>
  <si>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</si>
  <si>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</si>
  <si>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</si>
  <si>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</si>
  <si>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</si>
  <si>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</si>
  <si>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</si>
  <si>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</si>
  <si>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</si>
  <si>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</si>
  <si>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</si>
  <si>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</si>
  <si>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</si>
  <si>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</si>
  <si>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</si>
  <si>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</si>
  <si>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</si>
  <si>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</si>
  <si>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</si>
  <si>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</si>
  <si>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</si>
  <si>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</si>
  <si>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</si>
  <si>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</si>
  <si>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</si>
  <si>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</si>
  <si>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</si>
  <si>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</si>
  <si>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</si>
  <si>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</si>
  <si>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</si>
  <si>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</si>
  <si>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</si>
  <si>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</si>
  <si>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</si>
  <si>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</si>
  <si>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</si>
  <si>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</si>
  <si>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</si>
  <si>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</si>
  <si>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</si>
  <si>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</si>
  <si>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</si>
  <si>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</si>
  <si>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</si>
  <si>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</si>
  <si>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</si>
  <si>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</si>
  <si>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</si>
  <si>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</si>
  <si>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</si>
  <si>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</si>
  <si>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</si>
  <si>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</si>
  <si>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</si>
  <si>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</si>
  <si>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</si>
  <si>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</si>
  <si>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</si>
  <si>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</si>
  <si>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</si>
  <si>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</si>
  <si>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</si>
  <si>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</si>
  <si>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</si>
  <si>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</si>
  <si>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</si>
  <si>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</si>
  <si>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</si>
  <si>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</si>
  <si>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</si>
  <si>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</si>
  <si>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</si>
  <si>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</si>
  <si>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</si>
  <si>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</si>
  <si>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</si>
  <si>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</si>
  <si>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</si>
  <si>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</si>
  <si>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</si>
  <si>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</si>
  <si>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</si>
  <si>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</si>
  <si>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</si>
  <si>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</si>
  <si>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</si>
  <si>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</si>
  <si>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</si>
  <si>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</si>
  <si>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</si>
  <si>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</si>
  <si>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</si>
  <si>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</si>
  <si>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</si>
  <si>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</si>
  <si>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</si>
  <si>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</si>
  <si>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</si>
  <si>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</si>
  <si>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</si>
  <si>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</si>
  <si>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</si>
  <si>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</si>
  <si>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</si>
  <si>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</si>
  <si>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</si>
  <si>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</si>
  <si>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</si>
  <si>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</si>
  <si>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</si>
  <si>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</si>
  <si>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</si>
  <si>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</si>
  <si>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</si>
  <si>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</si>
  <si>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</si>
  <si>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</si>
  <si>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</si>
  <si>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</si>
  <si>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</si>
  <si>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</si>
  <si>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</si>
  <si>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</si>
  <si>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</si>
  <si>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</si>
  <si>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</si>
  <si>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</si>
  <si>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</si>
  <si>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</si>
  <si>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</si>
  <si>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</si>
  <si>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</si>
  <si>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</si>
  <si>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</si>
  <si>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</si>
  <si>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</si>
  <si>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</si>
  <si>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</si>
  <si>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</si>
  <si>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</si>
  <si>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</si>
  <si>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</si>
  <si>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</si>
  <si>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</si>
  <si>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</si>
  <si>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</si>
  <si>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</si>
  <si>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</si>
  <si>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</si>
  <si>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</si>
  <si>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</si>
  <si>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</si>
  <si>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</si>
  <si>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</si>
  <si>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</si>
  <si>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</si>
  <si>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</si>
  <si>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</si>
  <si>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</si>
  <si>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</si>
  <si>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</si>
  <si>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</si>
  <si>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</si>
  <si>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</si>
  <si>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</si>
  <si>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</si>
  <si>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</si>
  <si>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</si>
  <si>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</si>
  <si>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</si>
  <si>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</si>
  <si>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</si>
  <si>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</si>
  <si>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</si>
  <si>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</si>
  <si>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</si>
  <si>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</si>
  <si>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</si>
  <si>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</si>
  <si>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</si>
  <si>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</si>
  <si>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</si>
  <si>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</si>
  <si>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</si>
  <si>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</si>
  <si>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</si>
  <si>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</si>
  <si>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</si>
  <si>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</si>
  <si>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</si>
  <si>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</si>
  <si>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</si>
  <si>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</si>
  <si>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</si>
  <si>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</si>
  <si>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</si>
  <si>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</si>
  <si>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</si>
  <si>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</si>
  <si>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</si>
  <si>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</si>
  <si>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</si>
  <si>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</si>
  <si>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</si>
  <si>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</si>
  <si>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</si>
  <si>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</si>
  <si>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</si>
  <si>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</si>
  <si>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</si>
  <si>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</si>
  <si>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</si>
  <si>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</si>
  <si>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</si>
  <si>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</si>
  <si>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</si>
  <si>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</si>
  <si>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</si>
  <si>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</si>
  <si>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</si>
  <si>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</si>
  <si>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</si>
  <si>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</si>
  <si>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</si>
  <si>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</si>
  <si>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</si>
  <si>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</si>
  <si>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</si>
  <si>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</si>
  <si>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</si>
  <si>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</si>
  <si>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</si>
  <si>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</si>
  <si>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</si>
  <si>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</si>
  <si>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</si>
  <si>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</si>
  <si>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</si>
  <si>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</si>
  <si>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</si>
  <si>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</si>
  <si>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</si>
  <si>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</si>
  <si>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</si>
  <si>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</si>
  <si>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</si>
  <si>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</si>
  <si>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</si>
  <si>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</si>
  <si>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</si>
  <si>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</si>
  <si>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</si>
  <si>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</si>
  <si>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</si>
  <si>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</si>
  <si>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</si>
  <si>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</si>
  <si>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</si>
  <si>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</si>
  <si>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</si>
  <si>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</si>
  <si>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</si>
  <si>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</si>
  <si>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</si>
  <si>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</si>
  <si>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</si>
  <si>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</si>
  <si>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</si>
  <si>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</si>
  <si>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</si>
  <si>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</si>
  <si>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</si>
  <si>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</si>
  <si>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</si>
  <si>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</si>
  <si>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</si>
  <si>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</si>
  <si>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</si>
  <si>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</si>
  <si>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</si>
  <si>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</si>
  <si>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</si>
  <si>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</si>
  <si>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</si>
  <si>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</si>
  <si>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</si>
  <si>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</si>
  <si>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</si>
  <si>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</si>
  <si>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</si>
  <si>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</si>
  <si>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</si>
  <si>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</si>
  <si>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</si>
  <si>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</si>
  <si>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</si>
  <si>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</si>
  <si>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</si>
  <si>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</si>
  <si>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</si>
  <si>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</si>
  <si>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</si>
  <si>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</si>
  <si>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</si>
  <si>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</si>
  <si>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</si>
  <si>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</si>
  <si>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</si>
  <si>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</si>
  <si>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</si>
  <si>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</si>
  <si>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</si>
  <si>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</si>
  <si>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</si>
  <si>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</si>
  <si>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</si>
  <si>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</si>
  <si>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</si>
  <si>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</si>
  <si>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</si>
  <si>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</si>
  <si>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</si>
  <si>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</si>
  <si>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</si>
  <si>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</si>
  <si>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</si>
  <si>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</si>
  <si>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</si>
  <si>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</si>
  <si>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</si>
  <si>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</si>
  <si>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</si>
  <si>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</si>
  <si>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</si>
  <si>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</si>
  <si>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</si>
  <si>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</si>
  <si>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</si>
  <si>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</si>
  <si>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</si>
  <si>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</si>
  <si>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</si>
  <si>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</si>
  <si>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</si>
  <si>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</si>
  <si>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</si>
  <si>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</si>
  <si>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</si>
  <si>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</si>
  <si>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</si>
  <si>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</si>
  <si>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</si>
  <si>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</si>
  <si>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</si>
  <si>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</si>
  <si>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</si>
  <si>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</si>
  <si>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</si>
  <si>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</si>
  <si>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</si>
  <si>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</si>
  <si>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</si>
  <si>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</si>
  <si>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</si>
  <si>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</si>
  <si>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</si>
  <si>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</si>
  <si>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</si>
  <si>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</si>
  <si>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</si>
  <si>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</si>
  <si>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</si>
  <si>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</si>
  <si>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</si>
  <si>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</si>
  <si>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</si>
  <si>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</si>
  <si>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</si>
  <si>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</si>
  <si>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</si>
  <si>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</si>
  <si>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</si>
  <si>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</si>
  <si>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E指標ラベル</t>
    <rPh sb="1" eb="3">
      <t>シヒョウ</t>
    </rPh>
    <phoneticPr fontId="1"/>
  </si>
  <si>
    <t>表示用</t>
    <phoneticPr fontId="1"/>
  </si>
  <si>
    <t>全国</t>
  </si>
  <si>
    <t>福島県</t>
  </si>
  <si>
    <t>小野町</t>
  </si>
  <si>
    <t>介護人材の確保・定着の取組状況</t>
  </si>
  <si>
    <t>庁内・庁外における連携体制</t>
  </si>
  <si>
    <t>介護の仕事の魅力を伝達するための研修の修了者数</t>
  </si>
  <si>
    <t>介護人材の定着・資質向上に関する研修の修了者数</t>
  </si>
  <si>
    <t>介護支援専門員に対する研修（介護線専門員法定研修を除く。）の総実施日数</t>
  </si>
  <si>
    <t>推進：目標Ⅲ「介護人材の確保その他のサービス提供基盤の整備を推進する」得点</t>
  </si>
  <si>
    <t>令和5年(2023年)</t>
  </si>
  <si>
    <t>点数</t>
  </si>
  <si>
    <t>点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</si>
  <si>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</si>
  <si>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</si>
  <si>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</si>
  <si>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（点）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</si>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</sst>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Border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6" xfId="0" applyBorder="true" applyFont="true"/>
    <xf numFmtId="0" fontId="4" fillId="0" borderId="6" xfId="0" applyBorder="true" applyFont="true"/>
    <xf numFmtId="0" fontId="4" fillId="6" borderId="6" xfId="0" applyBorder="true" applyFont="true" applyFill="true">
      <alignment wrapText="true" vertical="center" horizontal="center"/>
    </xf>
    <xf numFmtId="0" fontId="4" fillId="0" borderId="6" xfId="0" applyBorder="true" applyFont="true"/>
    <xf numFmtId="164" fontId="5" fillId="0" borderId="6" xfId="0" applyBorder="true" applyFont="true" applyNumberFormat="true">
      <alignment shrinkToFit="true"/>
    </xf>
    <xf numFmtId="3" fontId="5" fillId="0" borderId="6" xfId="0" applyBorder="true" applyFont="true" applyNumberFormat="true">
      <alignment shrinkToFit="true"/>
    </xf>
    <xf numFmtId="0" fontId="5" fillId="0" borderId="6" xfId="0" applyBorder="true" applyFont="true"/>
    <xf numFmtId="0" fontId="5" fillId="0" borderId="6" xfId="0" applyBorder="true" applyFont="true"/>
    <xf numFmtId="164" fontId="6" fillId="0" borderId="6" xfId="0" applyBorder="true" applyFont="true" applyNumberFormat="true">
      <alignment shrinkToFit="true"/>
    </xf>
    <xf numFmtId="0" fontId="6" fillId="0" borderId="6" xfId="0" applyBorder="true" applyFont="true"/>
    <xf numFmtId="0" fontId="6" fillId="0" borderId="6" xfId="0" applyBorder="true" applyFont="true"/>
    <xf numFmtId="0" fontId="6" fillId="0" borderId="6" xfId="0" applyBorder="true" applyFont="true"/>
    <xf numFmtId="164" fontId="7" fillId="0" borderId="6" xfId="0" applyBorder="true" applyFont="true" applyNumberFormat="true">
      <alignment shrinkToFit="true"/>
    </xf>
    <xf numFmtId="3" fontId="7" fillId="0" borderId="6" xfId="0" applyBorder="true" applyFont="true" applyNumberFormat="true">
      <alignment shrinkToFit="true"/>
    </xf>
    <xf numFmtId="0" fontId="7" fillId="0" borderId="6" xfId="0" applyBorder="true" applyFont="true"/>
    <xf numFmtId="0" fontId="7" fillId="0" borderId="6" xfId="0" applyBorder="true" applyFont="true"/>
    <xf numFmtId="164" fontId="8" fillId="0" borderId="6" xfId="0" applyBorder="true" applyFont="true" applyNumberFormat="true">
      <alignment shrinkToFit="true"/>
    </xf>
    <xf numFmtId="3" fontId="8" fillId="0" borderId="6" xfId="0" applyBorder="true" applyFont="true" applyNumberFormat="true">
      <alignment shrinkToFit="true"/>
    </xf>
    <xf numFmtId="0" fontId="8" fillId="0" borderId="6" xfId="0" applyBorder="true" applyFont="true"/>
    <xf numFmtId="0" fontId="8" fillId="0" borderId="6" xfId="0" applyBorder="true" applyFont="true"/>
    <xf numFmtId="164" fontId="9" fillId="0" borderId="6" xfId="0" applyBorder="true" applyFont="true" applyNumberFormat="true">
      <alignment shrinkToFit="true"/>
    </xf>
    <xf numFmtId="3" fontId="9" fillId="0" borderId="6" xfId="0" applyBorder="true" applyFont="true" applyNumberFormat="true">
      <alignment shrinkToFit="true"/>
    </xf>
    <xf numFmtId="0" fontId="9" fillId="0" borderId="6" xfId="0" applyBorder="true" applyFont="true"/>
    <xf numFmtId="0" fontId="9" fillId="0" borderId="6" xfId="0" applyBorder="true" applyFont="true"/>
    <xf numFmtId="0" fontId="10" fillId="0" borderId="6" xfId="0" applyBorder="true" applyFont="true"/>
    <xf numFmtId="0" fontId="10" fillId="0" borderId="6" xfId="0" applyBorder="true" applyFont="true"/>
    <xf numFmtId="0" fontId="10" fillId="6" borderId="6" xfId="0" applyBorder="true" applyFont="true" applyFill="true">
      <alignment wrapText="true" vertical="center" horizontal="center"/>
    </xf>
    <xf numFmtId="0" fontId="10" fillId="0" borderId="6" xfId="0" applyBorder="true" applyFont="true"/>
    <xf numFmtId="164" fontId="11" fillId="0" borderId="6" xfId="0" applyBorder="true" applyFont="true" applyNumberFormat="true">
      <alignment shrinkToFit="true"/>
    </xf>
    <xf numFmtId="0" fontId="11" fillId="0" borderId="6" xfId="0" applyBorder="true" applyFont="true"/>
    <xf numFmtId="0" fontId="11" fillId="0" borderId="6" xfId="0" applyBorder="true" applyFont="true"/>
    <xf numFmtId="0" fontId="11" fillId="0" borderId="6" xfId="0" applyBorder="true" applyFont="true"/>
    <xf numFmtId="164" fontId="12" fillId="0" borderId="6" xfId="0" applyBorder="true" applyFont="true" applyNumberFormat="true">
      <alignment shrinkToFit="true"/>
    </xf>
    <xf numFmtId="0" fontId="12" fillId="0" borderId="6" xfId="0" applyBorder="true" applyFont="true"/>
    <xf numFmtId="0" fontId="12" fillId="0" borderId="6" xfId="0" applyBorder="true" applyFont="true"/>
    <xf numFmtId="0" fontId="12" fillId="0" borderId="6" xfId="0" applyBorder="true" applyFont="true"/>
    <xf numFmtId="164" fontId="13" fillId="0" borderId="6" xfId="0" applyBorder="true" applyFont="true" applyNumberFormat="true">
      <alignment shrinkToFit="true"/>
    </xf>
    <xf numFmtId="0" fontId="13" fillId="0" borderId="6" xfId="0" applyBorder="true" applyFont="true"/>
    <xf numFmtId="0" fontId="13" fillId="0" borderId="6" xfId="0" applyBorder="true" applyFont="true"/>
    <xf numFmtId="0" fontId="13" fillId="0" borderId="6" xfId="0" applyBorder="true" applyFont="true"/>
    <xf numFmtId="164" fontId="14" fillId="0" borderId="6" xfId="0" applyBorder="true" applyFont="true" applyNumberFormat="true">
      <alignment shrinkToFit="true"/>
    </xf>
    <xf numFmtId="0" fontId="14" fillId="0" borderId="6" xfId="0" applyBorder="true" applyFont="true"/>
    <xf numFmtId="0" fontId="14" fillId="0" borderId="6" xfId="0" applyBorder="true" applyFont="true"/>
    <xf numFmtId="0" fontId="14" fillId="0" borderId="6" xfId="0" applyBorder="true" applyFont="true"/>
    <xf numFmtId="164" fontId="15" fillId="0" borderId="6" xfId="0" applyBorder="true" applyFont="true" applyNumberFormat="true">
      <alignment shrinkToFit="true"/>
    </xf>
    <xf numFmtId="0" fontId="15" fillId="0" borderId="6" xfId="0" applyBorder="true" applyFont="true"/>
    <xf numFmtId="0" fontId="15" fillId="0" borderId="6" xfId="0" applyBorder="true" applyFont="true"/>
    <xf numFmtId="0" fontId="15" fillId="0" borderId="6" xfId="0" applyBorder="true" applyFont="true"/>
    <xf numFmtId="164" fontId="16" fillId="0" borderId="6" xfId="0" applyBorder="true" applyFont="true" applyNumberFormat="true">
      <alignment shrinkToFit="true"/>
    </xf>
    <xf numFmtId="0" fontId="16" fillId="0" borderId="6" xfId="0" applyBorder="true" applyFont="true"/>
    <xf numFmtId="0" fontId="16" fillId="0" borderId="6" xfId="0" applyBorder="true" applyFont="true"/>
    <xf numFmtId="0" fontId="16" fillId="0" borderId="6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95B3D7"/>
      <color rgb="FF561456"/>
      <color rgb="FF5A3580"/>
      <color rgb="FF5E51B9"/>
      <color rgb="FF5769E3"/>
      <color rgb="FF5395D7"/>
      <color rgb="FF60BB8D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 algn="ctr"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7848111388321"/>
          <c:y val="0.273255249343832"/>
          <c:w val="0.7676612971914446"/>
          <c:h val="0.470470243203784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9EAA-45AA-A942-C75655A88D77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9EAA-45AA-A942-C75655A88D77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9EAA-45AA-A942-C75655A88D77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9EAA-45AA-A942-C75655A88D77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9EAA-45AA-A942-C75655A88D77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9EAA-45AA-A942-C75655A88D77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9EAA-45AA-A942-C75655A88D77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9EAA-45AA-A942-C75655A88D77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9EAA-45AA-A942-C75655A88D77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9EAA-45AA-A942-C75655A88D77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9EAA-45AA-A942-C75655A88D77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9EAA-45AA-A942-C75655A88D77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9EAA-45AA-A942-C75655A88D77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9EAA-45AA-A942-C75655A88D77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9EAA-45AA-A942-C75655A88D77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9EAA-45AA-A942-C75655A88D77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9EAA-45AA-A942-C75655A88D77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9EAA-45AA-A942-C75655A88D77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9EAA-45AA-A942-C75655A88D77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9EAA-45AA-A942-C75655A88D77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9EAA-45AA-A942-C75655A88D77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9EAA-45AA-A942-C75655A88D77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9EAA-45AA-A942-C75655A88D77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9EAA-45AA-A942-C75655A88D77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9EAA-45AA-A942-C75655A88D77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9EAA-45AA-A942-C75655A88D77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9EAA-45AA-A942-C75655A88D77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9EAA-45AA-A942-C75655A88D77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9EAA-45AA-A942-C75655A88D77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9EAA-45AA-A942-C75655A88D77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9EAA-45AA-A942-C75655A88D77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9EAA-45AA-A942-C75655A88D77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9EAA-45AA-A942-C75655A88D77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9EAA-45AA-A942-C75655A88D77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9EAA-45AA-A942-C75655A88D77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9EAA-45AA-A942-C75655A88D77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9EAA-45AA-A942-C75655A88D77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9EAA-45AA-A942-C75655A88D77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9EAA-45AA-A942-C75655A88D77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9EAA-45AA-A942-C75655A88D77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9EAA-45AA-A942-C75655A88D77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9EAA-45AA-A942-C75655A88D77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9EAA-45AA-A942-C75655A88D77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9EAA-45AA-A942-C75655A88D77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9EAA-45AA-A942-C75655A88D77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9EAA-45AA-A942-C75655A88D77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9EAA-45AA-A942-C75655A88D77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9EAA-45AA-A942-C75655A88D77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9EAA-45AA-A942-C75655A88D77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9EAA-45AA-A942-C75655A88D77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9EAA-45AA-A942-C75655A88D77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9EAA-45AA-A942-C75655A88D77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9EAA-45AA-A942-C75655A88D77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9EAA-45AA-A942-C75655A88D77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9EAA-45AA-A942-C75655A88D77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9EAA-45AA-A942-C75655A88D77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9EAA-45AA-A942-C75655A88D77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9EAA-45AA-A942-C75655A88D77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9EAA-45AA-A942-C75655A88D77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9EAA-45AA-A942-C75655A88D77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9EAA-45AA-A942-C75655A88D77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9EAA-45AA-A942-C75655A88D77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9EAA-45AA-A942-C75655A88D77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9EAA-45AA-A942-C75655A88D77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9EAA-45AA-A942-C75655A88D77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9EAA-45AA-A942-C75655A88D77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9EAA-45AA-A942-C75655A88D77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9EAA-45AA-A942-C75655A88D77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9EAA-45AA-A942-C75655A88D77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9EAA-45AA-A942-C75655A88D77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9EAA-45AA-A942-C75655A88D77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9EAA-45AA-A942-C75655A88D77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9EAA-45AA-A942-C75655A88D77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9EAA-45AA-A942-C75655A88D77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9EAA-45AA-A942-C75655A88D77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9EAA-45AA-A942-C75655A88D77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9EAA-45AA-A942-C75655A88D77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9EAA-45AA-A942-C75655A88D77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9EAA-45AA-A942-C75655A88D77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9EAA-45AA-A942-C75655A88D77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9EAA-45AA-A942-C75655A88D77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9EAA-45AA-A942-C75655A88D77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9EAA-45AA-A942-C75655A88D77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9EAA-45AA-A942-C75655A88D77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9EAA-45AA-A942-C75655A88D77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9EAA-45AA-A942-C75655A88D77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9EAA-45AA-A942-C75655A88D77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9EAA-45AA-A942-C75655A88D77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9EAA-45AA-A942-C75655A88D77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9EAA-45AA-A942-C75655A88D77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9EAA-45AA-A942-C75655A88D77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9EAA-45AA-A942-C75655A88D77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9EAA-45AA-A942-C75655A88D77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9EAA-45AA-A942-C75655A88D77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9EAA-45AA-A942-C75655A88D77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9EAA-45AA-A942-C75655A88D77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9EAA-45AA-A942-C75655A88D77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9EAA-45AA-A942-C75655A88D77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9EAA-45AA-A942-C75655A88D77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9EAA-45AA-A942-C75655A88D77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9EAA-45AA-A942-C75655A88D77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9EAA-45AA-A942-C75655A88D77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9EAA-45AA-A942-C75655A88D77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9EAA-45AA-A942-C75655A88D77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9EAA-45AA-A942-C75655A88D77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9EAA-45AA-A942-C75655A88D77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9EAA-45AA-A942-C75655A88D77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9EAA-45AA-A942-C75655A88D77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9EAA-45AA-A942-C75655A88D77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9EAA-45AA-A942-C75655A88D77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9EAA-45AA-A942-C75655A88D77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9EAA-45AA-A942-C75655A88D77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9EAA-45AA-A942-C75655A88D77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9EAA-45AA-A942-C75655A88D77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9EAA-45AA-A942-C75655A88D77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9EAA-45AA-A942-C75655A88D77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9EAA-45AA-A942-C75655A88D77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9EAA-45AA-A942-C75655A88D77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9EAA-45AA-A942-C75655A88D77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9EAA-45AA-A942-C75655A88D77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9EAA-45AA-A942-C75655A88D77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9EAA-45AA-A942-C75655A88D77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9EAA-45AA-A942-C75655A88D77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9EAA-45AA-A942-C75655A88D77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9EAA-45AA-A942-C75655A88D77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9EAA-45AA-A942-C75655A88D77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9EAA-45AA-A942-C75655A88D77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9EAA-45AA-A942-C75655A88D77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9EAA-45AA-A942-C75655A88D77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9EAA-45AA-A942-C75655A88D77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9EAA-45AA-A942-C75655A88D77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9EAA-45AA-A942-C75655A88D77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9EAA-45AA-A942-C75655A88D77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9EAA-45AA-A942-C75655A88D77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9EAA-45AA-A942-C75655A88D77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9EAA-45AA-A942-C75655A88D77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9EAA-45AA-A942-C75655A88D77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9EAA-45AA-A942-C75655A88D77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9EAA-45AA-A942-C75655A88D77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9EAA-45AA-A942-C75655A88D77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9EAA-45AA-A942-C75655A88D77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9EAA-45AA-A942-C75655A88D77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9EAA-45AA-A942-C75655A88D77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9EAA-45AA-A942-C75655A88D77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9EAA-45AA-A942-C75655A88D77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9EAA-45AA-A942-C75655A88D77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9EAA-45AA-A942-C75655A88D77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9EAA-45AA-A942-C75655A88D77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9EAA-45AA-A942-C75655A88D77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9EAA-45AA-A942-C75655A88D77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9EAA-45AA-A942-C75655A88D77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9EAA-45AA-A942-C75655A88D77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9EAA-45AA-A942-C75655A88D77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9EAA-45AA-A942-C75655A88D77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9EAA-45AA-A942-C75655A88D77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9EAA-45AA-A942-C75655A88D77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9EAA-45AA-A942-C75655A88D77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9EAA-45AA-A942-C75655A88D77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9EAA-45AA-A942-C75655A88D77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9EAA-45AA-A942-C75655A88D77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9EAA-45AA-A942-C75655A88D77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9EAA-45AA-A942-C75655A88D77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9EAA-45AA-A942-C75655A88D77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9EAA-45AA-A942-C75655A88D77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9EAA-45AA-A942-C75655A88D77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9EAA-45AA-A942-C75655A88D77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9EAA-45AA-A942-C75655A88D77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9EAA-45AA-A942-C75655A88D77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9EAA-45AA-A942-C75655A88D77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9EAA-45AA-A942-C75655A88D77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9EAA-45AA-A942-C75655A88D77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9EAA-45AA-A942-C75655A88D77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9EAA-45AA-A942-C75655A88D77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9EAA-45AA-A942-C75655A88D77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9EAA-45AA-A942-C75655A88D77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9EAA-45AA-A942-C75655A88D77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9EAA-45AA-A942-C75655A88D77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9EAA-45AA-A942-C75655A88D77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9EAA-45AA-A942-C75655A88D77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9EAA-45AA-A942-C75655A88D77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9EAA-45AA-A942-C75655A88D77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9EAA-45AA-A942-C75655A88D77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9EAA-45AA-A942-C75655A88D77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9EAA-45AA-A942-C75655A88D77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9EAA-45AA-A942-C75655A88D77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9EAA-45AA-A942-C75655A88D77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9EAA-45AA-A942-C75655A88D77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9EAA-45AA-A942-C75655A88D77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9EAA-45AA-A942-C75655A88D77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9EAA-45AA-A942-C75655A88D77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9EAA-45AA-A942-C75655A88D77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9EAA-45AA-A942-C75655A88D77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9EAA-45AA-A942-C75655A88D77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9EAA-45AA-A942-C75655A88D77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9EAA-45AA-A942-C75655A88D77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9EAA-45AA-A942-C75655A88D77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9EAA-45AA-A942-C75655A88D77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9EAA-45AA-A942-C75655A88D77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9EAA-45AA-A942-C75655A88D77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9EAA-45AA-A942-C75655A88D77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9EAA-45AA-A942-C75655A88D77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9EAA-45AA-A942-C75655A88D77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9EAA-45AA-A942-C75655A88D77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9EAA-45AA-A942-C75655A88D77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9EAA-45AA-A942-C75655A88D77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9EAA-45AA-A942-C75655A88D77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9EAA-45AA-A942-C75655A88D77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9EAA-45AA-A942-C75655A88D77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9EAA-45AA-A942-C75655A88D77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9EAA-45AA-A942-C75655A88D77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9EAA-45AA-A942-C75655A88D77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9EAA-45AA-A942-C75655A88D77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9EAA-45AA-A942-C75655A88D77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9EAA-45AA-A942-C75655A88D77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9EAA-45AA-A942-C75655A88D77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9EAA-45AA-A942-C75655A88D77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9EAA-45AA-A942-C75655A88D77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9EAA-45AA-A942-C75655A88D77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9EAA-45AA-A942-C75655A88D77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9EAA-45AA-A942-C75655A88D77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9EAA-45AA-A942-C75655A88D77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9EAA-45AA-A942-C75655A88D77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9EAA-45AA-A942-C75655A88D77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9EAA-45AA-A942-C75655A88D77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9EAA-45AA-A942-C75655A88D77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9EAA-45AA-A942-C75655A88D77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9EAA-45AA-A942-C75655A88D77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9EAA-45AA-A942-C75655A88D77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9EAA-45AA-A942-C75655A88D77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9EAA-45AA-A942-C75655A88D77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9EAA-45AA-A942-C75655A88D77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9EAA-45AA-A942-C75655A88D77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9EAA-45AA-A942-C75655A88D77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9EAA-45AA-A942-C75655A88D77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9EAA-45AA-A942-C75655A88D77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9EAA-45AA-A942-C75655A88D77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9EAA-45AA-A942-C75655A88D77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9EAA-45AA-A942-C75655A88D77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9EAA-45AA-A942-C75655A88D77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9EAA-45AA-A942-C75655A88D77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9EAA-45AA-A942-C75655A88D77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9EAA-45AA-A942-C75655A88D77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9EAA-45AA-A942-C75655A88D77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9EAA-45AA-A942-C75655A88D77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9EAA-45AA-A942-C75655A88D77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9EAA-45AA-A942-C75655A88D77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9EAA-45AA-A942-C75655A88D77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9EAA-45AA-A942-C75655A88D77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9EAA-45AA-A942-C75655A88D77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9EAA-45AA-A942-C75655A88D77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9EAA-45AA-A942-C75655A88D77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9EAA-45AA-A942-C75655A88D77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9EAA-45AA-A942-C75655A88D77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9EAA-45AA-A942-C75655A88D77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9EAA-45AA-A942-C75655A88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5687024"/>
        <c:axId val="445687584"/>
      </c:barChart>
      <c:catAx>
        <c:axId val="445687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ja-JP"/>
          </a:p>
        </c:txPr>
        <c:crossAx val="445687584"/>
        <c:crosses val="autoZero"/>
        <c:auto val="1"/>
        <c:lblAlgn val="ctr"/>
        <c:lblOffset val="100"/>
        <c:tickLblSkip val="1"/>
        <c:noMultiLvlLbl val="0"/>
      </c:catAx>
      <c:valAx>
        <c:axId val="4456875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5687024"/>
        <c:crosses val="autoZero"/>
        <c:crossBetween val="between"/>
      </c:valAx>
    </c:plotArea>
    <c:legend>
      <c:legendPos val="b"/>
      <c:legendEntry>
        <c:idx val="8"/>
        <c:delete val="1"/>
      </c:legendEntry>
      <c:layout>
        <c:manualLayout>
          <c:xMode val="edge"/>
          <c:yMode val="edge"/>
          <c:x val="0.1416235954482786"/>
          <c:y val="0.12264392999689731"/>
          <c:w val="0.76723812381804268"/>
          <c:h val="0.124137460829605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7936</xdr:colOff>
      <xdr:row>1</xdr:row>
      <xdr:rowOff>0</xdr:rowOff>
    </xdr:from>
    <xdr:to>
      <xdr:col>20</xdr:col>
      <xdr:colOff>10582</xdr:colOff>
      <xdr:row>31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83345</xdr:colOff>
      <xdr:row>1</xdr:row>
      <xdr:rowOff>190500</xdr:rowOff>
    </xdr:from>
    <xdr:to>
      <xdr:col>2</xdr:col>
      <xdr:colOff>35721</xdr:colOff>
      <xdr:row>27</xdr:row>
      <xdr:rowOff>142875</xdr:rowOff>
    </xdr:to>
    <xdr:sp macro="" textlink="'グラフ設定（地域別）'!$F$2">
      <xdr:nvSpPr>
        <xdr:cNvPr id="3" name="正方形/長方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3408" y="392906"/>
          <a:ext cx="452438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1B8D9C1D-A54F-4F9B-80D8-F77ADA7DED71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（）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0.01031</cdr:x>
      <cdr:y>0.88624</cdr:y>
    </cdr:from>
    <cdr:to>
      <cdr:x>0.89336</cdr:x>
      <cdr:y>0.94919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97985" y="5381416"/>
          <a:ext cx="8392359" cy="38224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45D459E-BBBC-4146-84E4-EBD3A7E33957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（時点）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0.00964</cdr:x>
      <cdr:y>0.92274</cdr:y>
    </cdr:from>
    <cdr:to>
      <cdr:x>0.98101</cdr:x>
      <cdr:y>0.98438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91617" y="5624993"/>
          <a:ext cx="9231739" cy="3757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84545D9-B564-4F83-9CB0-A69CFE6295AB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0.01796</cdr:x>
      <cdr:y>0.8451</cdr:y>
    </cdr:from>
    <cdr:to>
      <cdr:x>0.95128</cdr:x>
      <cdr:y>0.89804</cdr:y>
    </cdr:to>
    <cdr:sp macro="" textlink="'グラフ設定（地域別）'!$L$2">
      <cdr:nvSpPr>
        <cdr:cNvPr id="4" name="正方形/長方形 3"/>
        <cdr:cNvSpPr/>
      </cdr:nvSpPr>
      <cdr:spPr>
        <a:xfrm xmlns:a="http://schemas.openxmlformats.org/drawingml/2006/main">
          <a:off x="170657" y="5131593"/>
          <a:ext cx="8870156" cy="321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fld id="{3E4938F6-1370-4D9C-A188-F1DCE109FA70}" type="TxLink">
            <a:rPr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lang="ja-JP" sz="800"/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5B3D7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95B3D7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bestFit="true" customWidth="true" style="16" width="78.234375" collapsed="false"/>
    <col min="6" max="6" customWidth="true" style="3" width="14.625" collapsed="false" hidden="true"/>
    <col min="227" max="227" style="3" width="14.625" collapsed="false" hidden="true"/>
  </cols>
  <sheetData>
    <row r="2" spans="2:257" s="13" customFormat="1" x14ac:dyDescent="0.15">
      <c r="B2" s="14"/>
      <c r="C2" s="28" t="s">
        <v>775</v>
      </c>
      <c r="D2" s="28" t="s">
        <v>776</v>
      </c>
      <c r="E2" s="28" t="s">
        <v>777</v>
      </c>
      <c r="F2" s="12" t="s">
        <v>266</v>
      </c>
      <c r="G2" s="12" t="s">
        <v>267</v>
      </c>
      <c r="H2" s="12" t="s">
        <v>268</v>
      </c>
      <c r="I2" s="12" t="s">
        <v>269</v>
      </c>
      <c r="J2" s="12" t="s">
        <v>270</v>
      </c>
      <c r="K2" s="12" t="s">
        <v>271</v>
      </c>
      <c r="L2" s="12" t="s">
        <v>272</v>
      </c>
      <c r="M2" s="12" t="s">
        <v>273</v>
      </c>
      <c r="N2" s="12" t="s">
        <v>274</v>
      </c>
      <c r="O2" s="12" t="s">
        <v>275</v>
      </c>
      <c r="P2" s="12" t="s">
        <v>276</v>
      </c>
      <c r="Q2" s="12" t="s">
        <v>277</v>
      </c>
      <c r="R2" s="12" t="s">
        <v>278</v>
      </c>
      <c r="S2" s="12" t="s">
        <v>279</v>
      </c>
      <c r="T2" s="12" t="s">
        <v>280</v>
      </c>
      <c r="U2" s="12" t="s">
        <v>281</v>
      </c>
      <c r="V2" s="12" t="s">
        <v>282</v>
      </c>
      <c r="W2" s="12" t="s">
        <v>283</v>
      </c>
      <c r="X2" s="12" t="s">
        <v>284</v>
      </c>
      <c r="Y2" s="12" t="s">
        <v>285</v>
      </c>
      <c r="Z2" s="12" t="s">
        <v>286</v>
      </c>
      <c r="AA2" s="12" t="s">
        <v>287</v>
      </c>
      <c r="AB2" s="12" t="s">
        <v>288</v>
      </c>
      <c r="AC2" s="12" t="s">
        <v>289</v>
      </c>
      <c r="AD2" s="12" t="s">
        <v>290</v>
      </c>
      <c r="AE2" s="12" t="s">
        <v>291</v>
      </c>
      <c r="AF2" s="12" t="s">
        <v>292</v>
      </c>
      <c r="AG2" s="12" t="s">
        <v>293</v>
      </c>
      <c r="AH2" s="12" t="s">
        <v>294</v>
      </c>
      <c r="AI2" s="12" t="s">
        <v>295</v>
      </c>
      <c r="AJ2" s="12" t="s">
        <v>296</v>
      </c>
      <c r="AK2" s="12" t="s">
        <v>297</v>
      </c>
      <c r="AL2" s="12" t="s">
        <v>298</v>
      </c>
      <c r="AM2" s="12" t="s">
        <v>299</v>
      </c>
      <c r="AN2" s="12" t="s">
        <v>300</v>
      </c>
      <c r="AO2" s="12" t="s">
        <v>301</v>
      </c>
      <c r="AP2" s="12" t="s">
        <v>302</v>
      </c>
      <c r="AQ2" s="12" t="s">
        <v>303</v>
      </c>
      <c r="AR2" s="12" t="s">
        <v>304</v>
      </c>
      <c r="AS2" s="12" t="s">
        <v>305</v>
      </c>
      <c r="AT2" s="12" t="s">
        <v>306</v>
      </c>
      <c r="AU2" s="12" t="s">
        <v>307</v>
      </c>
      <c r="AV2" s="12" t="s">
        <v>308</v>
      </c>
      <c r="AW2" s="12" t="s">
        <v>309</v>
      </c>
      <c r="AX2" s="12" t="s">
        <v>310</v>
      </c>
      <c r="AY2" s="12" t="s">
        <v>311</v>
      </c>
      <c r="AZ2" s="12" t="s">
        <v>312</v>
      </c>
      <c r="BA2" s="12" t="s">
        <v>313</v>
      </c>
      <c r="BB2" s="12" t="s">
        <v>314</v>
      </c>
      <c r="BC2" s="12" t="s">
        <v>315</v>
      </c>
      <c r="BD2" s="12" t="s">
        <v>316</v>
      </c>
      <c r="BE2" s="12" t="s">
        <v>317</v>
      </c>
      <c r="BF2" s="12" t="s">
        <v>318</v>
      </c>
      <c r="BG2" s="12" t="s">
        <v>319</v>
      </c>
      <c r="BH2" s="12" t="s">
        <v>320</v>
      </c>
      <c r="BI2" s="12" t="s">
        <v>321</v>
      </c>
      <c r="BJ2" s="12" t="s">
        <v>322</v>
      </c>
      <c r="BK2" s="12" t="s">
        <v>323</v>
      </c>
      <c r="BL2" s="12" t="s">
        <v>324</v>
      </c>
      <c r="BM2" s="12" t="s">
        <v>325</v>
      </c>
      <c r="BN2" s="12" t="s">
        <v>326</v>
      </c>
      <c r="BO2" s="12" t="s">
        <v>327</v>
      </c>
      <c r="BP2" s="12" t="s">
        <v>328</v>
      </c>
      <c r="BQ2" s="12" t="s">
        <v>329</v>
      </c>
      <c r="BR2" s="12" t="s">
        <v>330</v>
      </c>
      <c r="BS2" s="12" t="s">
        <v>331</v>
      </c>
      <c r="BT2" s="12" t="s">
        <v>332</v>
      </c>
      <c r="BU2" s="12" t="s">
        <v>333</v>
      </c>
      <c r="BV2" s="12" t="s">
        <v>334</v>
      </c>
      <c r="BW2" s="12" t="s">
        <v>335</v>
      </c>
      <c r="BX2" s="12" t="s">
        <v>336</v>
      </c>
      <c r="BY2" s="12" t="s">
        <v>337</v>
      </c>
      <c r="BZ2" s="12" t="s">
        <v>338</v>
      </c>
      <c r="CA2" s="12" t="s">
        <v>339</v>
      </c>
      <c r="CB2" s="12" t="s">
        <v>340</v>
      </c>
      <c r="CC2" s="12" t="s">
        <v>341</v>
      </c>
      <c r="CD2" s="12" t="s">
        <v>342</v>
      </c>
      <c r="CE2" s="12" t="s">
        <v>343</v>
      </c>
      <c r="CF2" s="12" t="s">
        <v>344</v>
      </c>
      <c r="CG2" s="12" t="s">
        <v>345</v>
      </c>
      <c r="CH2" s="12" t="s">
        <v>601</v>
      </c>
      <c r="CI2" s="12" t="s">
        <v>602</v>
      </c>
      <c r="CJ2" s="12" t="s">
        <v>603</v>
      </c>
      <c r="CK2" s="12" t="s">
        <v>604</v>
      </c>
      <c r="CL2" s="12" t="s">
        <v>605</v>
      </c>
      <c r="CM2" s="12" t="s">
        <v>606</v>
      </c>
      <c r="CN2" s="12" t="s">
        <v>607</v>
      </c>
      <c r="CO2" s="12" t="s">
        <v>608</v>
      </c>
      <c r="CP2" s="12" t="s">
        <v>609</v>
      </c>
      <c r="CQ2" s="12" t="s">
        <v>610</v>
      </c>
      <c r="CR2" s="12" t="s">
        <v>611</v>
      </c>
      <c r="CS2" s="12" t="s">
        <v>612</v>
      </c>
      <c r="CT2" s="12" t="s">
        <v>613</v>
      </c>
      <c r="CU2" s="12" t="s">
        <v>614</v>
      </c>
      <c r="CV2" s="12" t="s">
        <v>615</v>
      </c>
      <c r="CW2" s="12" t="s">
        <v>616</v>
      </c>
      <c r="CX2" s="12" t="s">
        <v>617</v>
      </c>
      <c r="CY2" s="12" t="s">
        <v>618</v>
      </c>
      <c r="CZ2" s="12" t="s">
        <v>619</v>
      </c>
      <c r="DA2" s="12" t="s">
        <v>620</v>
      </c>
      <c r="DB2" s="12" t="s">
        <v>621</v>
      </c>
      <c r="DC2" s="12" t="s">
        <v>622</v>
      </c>
      <c r="DD2" s="12" t="s">
        <v>623</v>
      </c>
      <c r="DE2" s="12" t="s">
        <v>624</v>
      </c>
      <c r="DF2" s="12" t="s">
        <v>625</v>
      </c>
      <c r="DG2" s="12" t="s">
        <v>626</v>
      </c>
      <c r="DH2" s="12" t="s">
        <v>627</v>
      </c>
      <c r="DI2" s="12" t="s">
        <v>628</v>
      </c>
      <c r="DJ2" s="12" t="s">
        <v>629</v>
      </c>
      <c r="DK2" s="12" t="s">
        <v>630</v>
      </c>
      <c r="DL2" s="12" t="s">
        <v>631</v>
      </c>
      <c r="DM2" s="12" t="s">
        <v>632</v>
      </c>
      <c r="DN2" s="12" t="s">
        <v>633</v>
      </c>
      <c r="DO2" s="12" t="s">
        <v>634</v>
      </c>
      <c r="DP2" s="12" t="s">
        <v>635</v>
      </c>
      <c r="DQ2" s="12" t="s">
        <v>636</v>
      </c>
      <c r="DR2" s="12" t="s">
        <v>637</v>
      </c>
      <c r="DS2" s="12" t="s">
        <v>638</v>
      </c>
      <c r="DT2" s="12" t="s">
        <v>639</v>
      </c>
      <c r="DU2" s="12" t="s">
        <v>640</v>
      </c>
      <c r="DV2" s="12" t="s">
        <v>641</v>
      </c>
      <c r="DW2" s="12" t="s">
        <v>642</v>
      </c>
      <c r="DX2" s="12" t="s">
        <v>643</v>
      </c>
      <c r="DY2" s="12" t="s">
        <v>644</v>
      </c>
      <c r="DZ2" s="12" t="s">
        <v>645</v>
      </c>
      <c r="EA2" s="12" t="s">
        <v>646</v>
      </c>
      <c r="EB2" s="12" t="s">
        <v>647</v>
      </c>
      <c r="EC2" s="12" t="s">
        <v>648</v>
      </c>
      <c r="ED2" s="12" t="s">
        <v>649</v>
      </c>
      <c r="EE2" s="12" t="s">
        <v>650</v>
      </c>
      <c r="EF2" s="12" t="s">
        <v>651</v>
      </c>
      <c r="EG2" s="12" t="s">
        <v>652</v>
      </c>
      <c r="EH2" s="12" t="s">
        <v>653</v>
      </c>
      <c r="EI2" s="12" t="s">
        <v>654</v>
      </c>
      <c r="EJ2" s="12" t="s">
        <v>655</v>
      </c>
      <c r="EK2" s="12" t="s">
        <v>656</v>
      </c>
      <c r="EL2" s="12" t="s">
        <v>657</v>
      </c>
      <c r="EM2" s="12" t="s">
        <v>658</v>
      </c>
      <c r="EN2" s="12" t="s">
        <v>659</v>
      </c>
      <c r="EO2" s="12" t="s">
        <v>660</v>
      </c>
      <c r="EP2" s="12" t="s">
        <v>661</v>
      </c>
      <c r="EQ2" s="12" t="s">
        <v>662</v>
      </c>
      <c r="ER2" s="12" t="s">
        <v>663</v>
      </c>
      <c r="ES2" s="12" t="s">
        <v>664</v>
      </c>
      <c r="ET2" s="12" t="s">
        <v>665</v>
      </c>
      <c r="EU2" s="12" t="s">
        <v>666</v>
      </c>
      <c r="EV2" s="12" t="s">
        <v>667</v>
      </c>
      <c r="EW2" s="12" t="s">
        <v>668</v>
      </c>
      <c r="EX2" s="12" t="s">
        <v>669</v>
      </c>
      <c r="EY2" s="12" t="s">
        <v>670</v>
      </c>
      <c r="EZ2" s="12" t="s">
        <v>671</v>
      </c>
      <c r="FA2" s="12" t="s">
        <v>672</v>
      </c>
      <c r="FB2" s="12" t="s">
        <v>673</v>
      </c>
      <c r="FC2" s="12" t="s">
        <v>674</v>
      </c>
      <c r="FD2" s="12" t="s">
        <v>675</v>
      </c>
      <c r="FE2" s="12" t="s">
        <v>676</v>
      </c>
      <c r="FF2" s="12" t="s">
        <v>677</v>
      </c>
      <c r="FG2" s="12" t="s">
        <v>678</v>
      </c>
      <c r="FH2" s="12" t="s">
        <v>679</v>
      </c>
      <c r="FI2" s="12" t="s">
        <v>680</v>
      </c>
      <c r="FJ2" s="12" t="s">
        <v>681</v>
      </c>
      <c r="FK2" s="12" t="s">
        <v>682</v>
      </c>
      <c r="FL2" s="12" t="s">
        <v>683</v>
      </c>
      <c r="FM2" s="12" t="s">
        <v>684</v>
      </c>
      <c r="FN2" s="12" t="s">
        <v>685</v>
      </c>
      <c r="FO2" s="12" t="s">
        <v>686</v>
      </c>
      <c r="FP2" s="12" t="s">
        <v>687</v>
      </c>
      <c r="FQ2" s="12" t="s">
        <v>688</v>
      </c>
      <c r="FR2" s="12" t="s">
        <v>689</v>
      </c>
      <c r="FS2" s="12" t="s">
        <v>690</v>
      </c>
      <c r="FT2" s="12" t="s">
        <v>691</v>
      </c>
      <c r="FU2" s="12" t="s">
        <v>692</v>
      </c>
      <c r="FV2" s="12" t="s">
        <v>693</v>
      </c>
      <c r="FW2" s="12" t="s">
        <v>694</v>
      </c>
      <c r="FX2" s="12" t="s">
        <v>695</v>
      </c>
      <c r="FY2" s="12" t="s">
        <v>696</v>
      </c>
      <c r="FZ2" s="12" t="s">
        <v>697</v>
      </c>
      <c r="GA2" s="12" t="s">
        <v>698</v>
      </c>
      <c r="GB2" s="12" t="s">
        <v>699</v>
      </c>
      <c r="GC2" s="12" t="s">
        <v>700</v>
      </c>
      <c r="GD2" s="12" t="s">
        <v>701</v>
      </c>
      <c r="GE2" s="12" t="s">
        <v>702</v>
      </c>
      <c r="GF2" s="12" t="s">
        <v>703</v>
      </c>
      <c r="GG2" s="12" t="s">
        <v>704</v>
      </c>
      <c r="GH2" s="12" t="s">
        <v>705</v>
      </c>
      <c r="GI2" s="12" t="s">
        <v>706</v>
      </c>
      <c r="GJ2" s="12" t="s">
        <v>707</v>
      </c>
      <c r="GK2" s="12" t="s">
        <v>708</v>
      </c>
      <c r="GL2" s="12" t="s">
        <v>709</v>
      </c>
      <c r="GM2" s="12" t="s">
        <v>710</v>
      </c>
      <c r="GN2" s="12" t="s">
        <v>711</v>
      </c>
      <c r="GO2" s="12" t="s">
        <v>712</v>
      </c>
      <c r="GP2" s="12" t="s">
        <v>713</v>
      </c>
      <c r="GQ2" s="12" t="s">
        <v>714</v>
      </c>
      <c r="GR2" s="12" t="s">
        <v>715</v>
      </c>
      <c r="GS2" s="12" t="s">
        <v>716</v>
      </c>
      <c r="GT2" s="12" t="s">
        <v>717</v>
      </c>
      <c r="GU2" s="12" t="s">
        <v>718</v>
      </c>
      <c r="GV2" s="12" t="s">
        <v>719</v>
      </c>
      <c r="GW2" s="12" t="s">
        <v>720</v>
      </c>
      <c r="GX2" s="12" t="s">
        <v>721</v>
      </c>
      <c r="GY2" s="12" t="s">
        <v>722</v>
      </c>
      <c r="GZ2" s="12" t="s">
        <v>723</v>
      </c>
      <c r="HA2" s="12" t="s">
        <v>724</v>
      </c>
      <c r="HB2" s="12" t="s">
        <v>725</v>
      </c>
      <c r="HC2" s="12" t="s">
        <v>726</v>
      </c>
      <c r="HD2" s="12" t="s">
        <v>727</v>
      </c>
      <c r="HE2" s="12" t="s">
        <v>728</v>
      </c>
      <c r="HF2" s="12" t="s">
        <v>729</v>
      </c>
      <c r="HG2" s="12" t="s">
        <v>730</v>
      </c>
      <c r="HH2" s="12" t="s">
        <v>731</v>
      </c>
      <c r="HI2" s="12" t="s">
        <v>732</v>
      </c>
      <c r="HJ2" s="12" t="s">
        <v>733</v>
      </c>
      <c r="HK2" s="12" t="s">
        <v>734</v>
      </c>
      <c r="HL2" s="12" t="s">
        <v>735</v>
      </c>
      <c r="HM2" s="12" t="s">
        <v>736</v>
      </c>
      <c r="HN2" s="12" t="s">
        <v>737</v>
      </c>
      <c r="HO2" s="12" t="s">
        <v>738</v>
      </c>
      <c r="HP2" s="12" t="s">
        <v>739</v>
      </c>
      <c r="HQ2" s="12" t="s">
        <v>740</v>
      </c>
      <c r="HR2" s="12" t="s">
        <v>741</v>
      </c>
      <c r="HS2" s="12" t="s">
        <v>742</v>
      </c>
      <c r="HT2" s="12" t="s">
        <v>743</v>
      </c>
      <c r="HU2" s="12" t="s">
        <v>744</v>
      </c>
      <c r="HV2" s="12" t="s">
        <v>745</v>
      </c>
      <c r="HW2" s="12" t="s">
        <v>746</v>
      </c>
      <c r="HX2" s="12" t="s">
        <v>747</v>
      </c>
      <c r="HY2" s="12" t="s">
        <v>748</v>
      </c>
      <c r="HZ2" s="12" t="s">
        <v>749</v>
      </c>
      <c r="IA2" s="12" t="s">
        <v>750</v>
      </c>
      <c r="IB2" s="12" t="s">
        <v>751</v>
      </c>
      <c r="IC2" s="12" t="s">
        <v>752</v>
      </c>
      <c r="ID2" s="12" t="s">
        <v>753</v>
      </c>
      <c r="IE2" s="12" t="s">
        <v>754</v>
      </c>
      <c r="IF2" s="12" t="s">
        <v>755</v>
      </c>
      <c r="IG2" s="12" t="s">
        <v>756</v>
      </c>
      <c r="IH2" s="12" t="s">
        <v>757</v>
      </c>
      <c r="II2" s="12" t="s">
        <v>758</v>
      </c>
      <c r="IJ2" s="12" t="s">
        <v>759</v>
      </c>
      <c r="IK2" s="12" t="s">
        <v>760</v>
      </c>
      <c r="IL2" s="12" t="s">
        <v>761</v>
      </c>
      <c r="IM2" s="12" t="s">
        <v>762</v>
      </c>
      <c r="IN2" s="12" t="s">
        <v>763</v>
      </c>
      <c r="IO2" s="12" t="s">
        <v>764</v>
      </c>
      <c r="IP2" s="12" t="s">
        <v>765</v>
      </c>
      <c r="IQ2" s="12" t="s">
        <v>766</v>
      </c>
      <c r="IR2" s="12" t="s">
        <v>767</v>
      </c>
      <c r="IS2" s="12" t="s">
        <v>768</v>
      </c>
      <c r="IT2" s="12" t="s">
        <v>769</v>
      </c>
      <c r="IU2" s="12" t="s">
        <v>770</v>
      </c>
      <c r="IV2" s="12" t="s">
        <v>771</v>
      </c>
      <c r="IW2" s="12" t="s">
        <v>772</v>
      </c>
    </row>
    <row r="3" spans="2:257" x14ac:dyDescent="0.15">
      <c r="B3" s="15" t="s">
        <v>778</v>
      </c>
      <c r="C3" s="30" t="n">
        <v>14.9</v>
      </c>
      <c r="D3" s="30" t="n">
        <v>9.8</v>
      </c>
      <c r="E3" s="31" t="n">
        <v>0.0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>
      <c r="B4" s="15" t="s">
        <v>779</v>
      </c>
      <c r="C4" s="34" t="n">
        <v>18.9</v>
      </c>
      <c r="D4" s="34" t="n">
        <v>17.3</v>
      </c>
      <c r="E4" s="34" t="n">
        <v>20.0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>
      <c r="B5" s="15" t="s">
        <v>780</v>
      </c>
      <c r="C5" s="38" t="n">
        <v>1.6</v>
      </c>
      <c r="D5" s="38" t="n">
        <v>0.6</v>
      </c>
      <c r="E5" s="39" t="n">
        <v>0.0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>
      <c r="B6" s="15" t="s">
        <v>781</v>
      </c>
      <c r="C6" s="42" t="n">
        <v>1.8</v>
      </c>
      <c r="D6" s="42" t="n">
        <v>0.8</v>
      </c>
      <c r="E6" s="43" t="n">
        <v>0.0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>
      <c r="B7" s="15" t="s">
        <v>782</v>
      </c>
      <c r="C7" s="46" t="n">
        <v>3.8</v>
      </c>
      <c r="D7" s="46" t="n">
        <v>1.5</v>
      </c>
      <c r="E7" s="47" t="n">
        <v>0.0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5" t="s">
        <v>351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5" t="s">
        <v>352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5" t="s">
        <v>353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5" t="s">
        <v>354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5" t="s">
        <v>355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5" t="s">
        <v>356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5" t="s">
        <v>357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5" t="s">
        <v>358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5" t="s">
        <v>359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5" t="s">
        <v>360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5" t="s">
        <v>361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5" t="s">
        <v>362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5" t="s">
        <v>363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5" t="s">
        <v>364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5" t="s">
        <v>365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5" t="s">
        <v>366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5" t="s">
        <v>367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5" t="s">
        <v>368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5" t="s">
        <v>369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5" t="s">
        <v>370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5" t="s">
        <v>371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5" t="s">
        <v>372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5" t="s">
        <v>373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5" t="s">
        <v>374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5" t="s">
        <v>375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5" t="s">
        <v>376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5" t="s">
        <v>377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5" t="s">
        <v>378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5" t="s">
        <v>379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5" t="s">
        <v>380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5" t="s">
        <v>381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5" t="s">
        <v>382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5" t="s">
        <v>383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5" t="s">
        <v>384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5" t="s">
        <v>385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5" t="s">
        <v>386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5" t="s">
        <v>387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5" t="s">
        <v>388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5" t="s">
        <v>389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5" t="s">
        <v>390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5" t="s">
        <v>391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5" t="s">
        <v>392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5" t="s">
        <v>393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5" t="s">
        <v>394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5" t="s">
        <v>395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5" t="s">
        <v>396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5" t="s">
        <v>397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5" t="s">
        <v>398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5" t="s">
        <v>399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5" t="s">
        <v>400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5" t="s">
        <v>401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5" t="s">
        <v>402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5" t="s">
        <v>403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5" t="s">
        <v>404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5" t="s">
        <v>405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5" t="s">
        <v>406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5" t="s">
        <v>407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5" t="s">
        <v>408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5" t="s">
        <v>409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5" t="s">
        <v>410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5" t="s">
        <v>411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5" t="s">
        <v>412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5" t="s">
        <v>413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5" t="s">
        <v>414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5" t="s">
        <v>415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5" t="s">
        <v>416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5" t="s">
        <v>417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5" t="s">
        <v>418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5" t="s">
        <v>419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5" t="s">
        <v>420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5" t="s">
        <v>421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5" t="s">
        <v>422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5" t="s">
        <v>423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5" t="s">
        <v>424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5" t="s">
        <v>425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5" t="s">
        <v>426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5" t="s">
        <v>427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5" t="s">
        <v>428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5" t="s">
        <v>429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5" t="s">
        <v>430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5" t="s">
        <v>431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5" t="s">
        <v>432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5" t="s">
        <v>433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5" t="s">
        <v>434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5" t="s">
        <v>435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5" t="s">
        <v>436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5" t="s">
        <v>437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5" t="s">
        <v>438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5" t="s">
        <v>439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5" t="s">
        <v>440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5" t="s">
        <v>441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5" t="s">
        <v>442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5" t="s">
        <v>443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5" t="s">
        <v>444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5" t="s">
        <v>445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5" t="s">
        <v>446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5" t="s">
        <v>447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5" t="s">
        <v>448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5" t="s">
        <v>449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5" t="s">
        <v>450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5" t="s">
        <v>451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5" t="s">
        <v>452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5" t="s">
        <v>453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5" t="s">
        <v>454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5" t="s">
        <v>455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5" t="s">
        <v>456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5" t="s">
        <v>457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5" t="s">
        <v>458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5" t="s">
        <v>459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5" t="s">
        <v>460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5" t="s">
        <v>461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5" t="s">
        <v>462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5" t="s">
        <v>463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5" t="s">
        <v>464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5" t="s">
        <v>465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5" t="s">
        <v>466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5" t="s">
        <v>467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5" t="s">
        <v>468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5" t="s">
        <v>469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5" t="s">
        <v>470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5" t="s">
        <v>471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5" t="s">
        <v>472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5" t="s">
        <v>473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5" t="s">
        <v>474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5" t="s">
        <v>475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5" t="s">
        <v>476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5" t="s">
        <v>477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5" t="s">
        <v>478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5" t="s">
        <v>479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5" t="s">
        <v>480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5" t="s">
        <v>481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5" t="s">
        <v>482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5" t="s">
        <v>483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5" t="s">
        <v>484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5" t="s">
        <v>485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5" t="s">
        <v>486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5" t="s">
        <v>487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5" t="s">
        <v>488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5" t="s">
        <v>489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5" t="s">
        <v>490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5" t="s">
        <v>491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5" t="s">
        <v>492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5" t="s">
        <v>493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5" t="s">
        <v>494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5" t="s">
        <v>495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5" t="s">
        <v>496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5" t="s">
        <v>497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5" t="s">
        <v>498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5" t="s">
        <v>499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5" t="s">
        <v>500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5" t="s">
        <v>501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5" t="s">
        <v>502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5" t="s">
        <v>503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5" t="s">
        <v>504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5" t="s">
        <v>505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5" t="s">
        <v>506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5" t="s">
        <v>507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5" t="s">
        <v>508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5" t="s">
        <v>509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5" t="s">
        <v>510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5" t="s">
        <v>511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5" t="s">
        <v>512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5" t="s">
        <v>513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5" t="s">
        <v>514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5" t="s">
        <v>515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5" t="s">
        <v>516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5" t="s">
        <v>517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5" t="s">
        <v>518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5" t="s">
        <v>519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5" t="s">
        <v>520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5" t="s">
        <v>521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5" t="s">
        <v>522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5" t="s">
        <v>523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5" t="s">
        <v>524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5" t="s">
        <v>525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5" t="s">
        <v>526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5" t="s">
        <v>527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5" t="s">
        <v>528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5" t="s">
        <v>529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5" t="s">
        <v>530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5" t="s">
        <v>531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5" t="s">
        <v>532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5" t="s">
        <v>533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5" t="s">
        <v>534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5" t="s">
        <v>535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5" t="s">
        <v>536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5" t="s">
        <v>537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5" t="s">
        <v>538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5" t="s">
        <v>539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5" t="s">
        <v>540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5" t="s">
        <v>541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5" t="s">
        <v>542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5" t="s">
        <v>543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5" t="s">
        <v>544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5" t="s">
        <v>545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5" t="s">
        <v>546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5" t="s">
        <v>547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5" t="s">
        <v>548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5" t="s">
        <v>549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5" t="s">
        <v>550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5" t="s">
        <v>551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5" t="s">
        <v>552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5" t="s">
        <v>553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5" t="s">
        <v>554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5" t="s">
        <v>555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5" t="s">
        <v>556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5" t="s">
        <v>557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5" t="s">
        <v>558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5" t="s">
        <v>559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5" t="s">
        <v>560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5" t="s">
        <v>561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5" t="s">
        <v>562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5" t="s">
        <v>563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5" t="s">
        <v>564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5" t="s">
        <v>565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5" t="s">
        <v>566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5" t="s">
        <v>567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5" t="s">
        <v>568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5" t="s">
        <v>569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5" t="s">
        <v>570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5" t="s">
        <v>571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5" t="s">
        <v>572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5" t="s">
        <v>573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5" t="s">
        <v>574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5" t="s">
        <v>575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5" t="s">
        <v>576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5" t="s">
        <v>577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5" t="s">
        <v>578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5" t="s">
        <v>579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5" t="s">
        <v>580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5" t="s">
        <v>581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5" t="s">
        <v>582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5" t="s">
        <v>583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5" t="s">
        <v>584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5" t="s">
        <v>585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5" t="s">
        <v>586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5" t="s">
        <v>587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5" t="s">
        <v>588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5" t="s">
        <v>589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5" t="s">
        <v>590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5" t="s">
        <v>591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5" t="s">
        <v>592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5" t="s">
        <v>593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5" t="s">
        <v>594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5" t="s">
        <v>595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5" t="s">
        <v>596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5" t="s">
        <v>597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5" t="s">
        <v>598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5" t="s">
        <v>599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5" t="s">
        <v>600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4"/>
      <c r="R258" s="4"/>
    </row>
    <row r="259" spans="2:257" ht="35.25" customHeight="1" x14ac:dyDescent="0.15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5"/>
      <c r="R259" s="5"/>
    </row>
  </sheetData>
  <mergeCells count="2">
    <mergeCell ref="B258:P258"/>
    <mergeCell ref="B259:P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M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9" width="27.125" collapsed="false"/>
    <col min="2" max="2" customWidth="true" hidden="true" style="9" width="26.5" collapsed="false"/>
    <col min="3" max="3" customWidth="true" style="9" width="32.0" collapsed="false"/>
    <col min="4" max="5" customWidth="true" style="9" width="19.5" collapsed="false"/>
    <col min="6" max="6" customWidth="true" hidden="true" style="9" width="12.0" collapsed="false"/>
    <col min="7" max="7" customWidth="true" style="9" width="10.375" collapsed="false"/>
    <col min="8" max="8" customWidth="true" style="9" width="10.25" collapsed="false"/>
    <col min="9" max="9" customWidth="true" style="9" width="67.5" collapsed="false"/>
    <col min="10" max="10" customWidth="true" hidden="true" style="9" width="9.0" collapsed="false"/>
    <col min="11" max="11" customWidth="true" style="9" width="20.25" collapsed="false"/>
    <col min="12" max="12" customWidth="true" hidden="true" style="9" width="0.0" collapsed="false"/>
    <col min="13" max="16384" style="9" width="9.0" collapsed="false"/>
  </cols>
  <sheetData>
    <row r="1" spans="1:12" s="6" customFormat="1" x14ac:dyDescent="0.15">
      <c r="A1" s="6" t="s">
        <v>788</v>
      </c>
      <c r="C1" s="7" t="s">
        <v>0</v>
      </c>
      <c r="D1" s="7" t="s">
        <v>5</v>
      </c>
      <c r="E1" s="7" t="s">
        <v>6</v>
      </c>
      <c r="F1" s="8" t="s">
        <v>4</v>
      </c>
      <c r="G1" s="7" t="s">
        <v>1</v>
      </c>
      <c r="H1" s="7" t="s">
        <v>3</v>
      </c>
      <c r="I1" s="7" t="s">
        <v>7</v>
      </c>
      <c r="K1" s="7" t="s">
        <v>773</v>
      </c>
      <c r="L1" s="6" t="s">
        <v>774</v>
      </c>
    </row>
    <row r="2" spans="1:12" x14ac:dyDescent="0.15">
      <c r="A2" s="9" t="str">
        <f>C2&amp;"（"&amp;D2&amp;"）"</f>
        <v>推進：目標Ⅲ「介護人材の確保その他のサービス提供基盤の整備を推進する」得点（令和5年(2023年)）</v>
      </c>
      <c r="B2" s="9" t="str">
        <f>"（時点）" &amp; D2</f>
        <v>（時点）令和5年(2023年)</v>
      </c>
      <c r="C2" s="10" t="s">
        <v>783</v>
      </c>
      <c r="D2" s="10" t="s">
        <v>784</v>
      </c>
      <c r="E2" s="10" t="s">
        <v>777</v>
      </c>
      <c r="F2" s="10" t="str">
        <f>G2 &amp; "（" &amp; H2 &amp; "）"</f>
        <v>点数（点）</v>
      </c>
      <c r="G2" s="10" t="s">
        <v>785</v>
      </c>
      <c r="H2" s="10" t="s">
        <v>786</v>
      </c>
      <c r="I2" s="10" t="s">
        <v>787</v>
      </c>
      <c r="J2" s="9" t="str">
        <f>"（出典）" &amp; 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K2" s="10"/>
      <c r="L2" s="9" t="str">
        <f>IF(K2="","",K2)</f>
        <v/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6" tint="0.39997558519241921"/>
  </sheetPr>
  <dimension ref="A1:IY261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bestFit="true" customWidth="true" style="13" width="78.234375" collapsed="false"/>
    <col min="3" max="3" customWidth="true" style="13" width="7.8359375" collapsed="false" bestFit="true"/>
    <col min="7" max="7" customWidth="true" style="3" width="14.625" collapsed="false" hidden="true"/>
    <col min="66" max="66" style="3" width="14.625" collapsed="false" hidden="true"/>
  </cols>
  <sheetData>
    <row r="1">
      <c r="A1" t="s">
        <v>789</v>
      </c>
    </row>
    <row r="2" spans="2:258" s="13" customFormat="1" x14ac:dyDescent="0.15">
      <c r="B2" s="11"/>
      <c r="C2" s="11"/>
      <c r="D2" s="52" t="s">
        <v>775</v>
      </c>
      <c r="E2" s="52" t="s">
        <v>776</v>
      </c>
      <c r="F2" s="52" t="s">
        <v>777</v>
      </c>
      <c r="G2" s="12" t="s">
        <v>266</v>
      </c>
      <c r="H2" s="12" t="s">
        <v>267</v>
      </c>
      <c r="I2" s="12" t="s">
        <v>268</v>
      </c>
      <c r="J2" s="12" t="s">
        <v>269</v>
      </c>
      <c r="K2" s="12" t="s">
        <v>270</v>
      </c>
      <c r="L2" s="12" t="s">
        <v>271</v>
      </c>
      <c r="M2" s="12" t="s">
        <v>272</v>
      </c>
      <c r="N2" s="12" t="s">
        <v>273</v>
      </c>
      <c r="O2" s="12" t="s">
        <v>274</v>
      </c>
      <c r="P2" s="12" t="s">
        <v>275</v>
      </c>
      <c r="Q2" s="12" t="s">
        <v>276</v>
      </c>
      <c r="R2" s="12" t="s">
        <v>277</v>
      </c>
      <c r="S2" s="12" t="s">
        <v>278</v>
      </c>
      <c r="T2" s="12" t="s">
        <v>279</v>
      </c>
      <c r="U2" s="12" t="s">
        <v>280</v>
      </c>
      <c r="V2" s="12" t="s">
        <v>281</v>
      </c>
      <c r="W2" s="12" t="s">
        <v>282</v>
      </c>
      <c r="X2" s="12" t="s">
        <v>283</v>
      </c>
      <c r="Y2" s="12" t="s">
        <v>284</v>
      </c>
      <c r="Z2" s="12" t="s">
        <v>285</v>
      </c>
      <c r="AA2" s="12" t="s">
        <v>286</v>
      </c>
      <c r="AB2" s="12" t="s">
        <v>287</v>
      </c>
      <c r="AC2" s="12" t="s">
        <v>288</v>
      </c>
      <c r="AD2" s="12" t="s">
        <v>289</v>
      </c>
      <c r="AE2" s="12" t="s">
        <v>290</v>
      </c>
      <c r="AF2" s="12" t="s">
        <v>291</v>
      </c>
      <c r="AG2" s="12" t="s">
        <v>292</v>
      </c>
      <c r="AH2" s="12" t="s">
        <v>293</v>
      </c>
      <c r="AI2" s="12" t="s">
        <v>294</v>
      </c>
      <c r="AJ2" s="12" t="s">
        <v>295</v>
      </c>
      <c r="AK2" s="12" t="s">
        <v>296</v>
      </c>
      <c r="AL2" s="12" t="s">
        <v>297</v>
      </c>
      <c r="AM2" s="12" t="s">
        <v>298</v>
      </c>
      <c r="AN2" s="12" t="s">
        <v>299</v>
      </c>
      <c r="AO2" s="12" t="s">
        <v>300</v>
      </c>
      <c r="AP2" s="12" t="s">
        <v>301</v>
      </c>
      <c r="AQ2" s="12" t="s">
        <v>302</v>
      </c>
      <c r="AR2" s="12" t="s">
        <v>303</v>
      </c>
      <c r="AS2" s="12" t="s">
        <v>304</v>
      </c>
      <c r="AT2" s="12" t="s">
        <v>305</v>
      </c>
      <c r="AU2" s="12" t="s">
        <v>306</v>
      </c>
      <c r="AV2" s="12" t="s">
        <v>307</v>
      </c>
      <c r="AW2" s="12" t="s">
        <v>308</v>
      </c>
      <c r="AX2" s="12" t="s">
        <v>309</v>
      </c>
      <c r="AY2" s="12" t="s">
        <v>310</v>
      </c>
      <c r="AZ2" s="12" t="s">
        <v>311</v>
      </c>
      <c r="BA2" s="12" t="s">
        <v>312</v>
      </c>
      <c r="BB2" s="12" t="s">
        <v>313</v>
      </c>
      <c r="BC2" s="12" t="s">
        <v>314</v>
      </c>
      <c r="BD2" s="12" t="s">
        <v>315</v>
      </c>
      <c r="BE2" s="12" t="s">
        <v>316</v>
      </c>
      <c r="BF2" s="12" t="s">
        <v>317</v>
      </c>
      <c r="BG2" s="12" t="s">
        <v>318</v>
      </c>
      <c r="BH2" s="12" t="s">
        <v>319</v>
      </c>
      <c r="BI2" s="12" t="s">
        <v>320</v>
      </c>
      <c r="BJ2" s="12" t="s">
        <v>321</v>
      </c>
      <c r="BK2" s="12" t="s">
        <v>322</v>
      </c>
      <c r="BL2" s="12" t="s">
        <v>323</v>
      </c>
      <c r="BM2" s="12" t="s">
        <v>324</v>
      </c>
      <c r="BN2" s="12" t="s">
        <v>325</v>
      </c>
      <c r="BO2" s="12" t="s">
        <v>326</v>
      </c>
      <c r="BP2" s="12" t="s">
        <v>327</v>
      </c>
      <c r="BQ2" s="12" t="s">
        <v>328</v>
      </c>
      <c r="BR2" s="12" t="s">
        <v>329</v>
      </c>
      <c r="BS2" s="12" t="s">
        <v>330</v>
      </c>
      <c r="BT2" s="12" t="s">
        <v>331</v>
      </c>
      <c r="BU2" s="12" t="s">
        <v>332</v>
      </c>
      <c r="BV2" s="12" t="s">
        <v>333</v>
      </c>
      <c r="BW2" s="12" t="s">
        <v>334</v>
      </c>
      <c r="BX2" s="12" t="s">
        <v>335</v>
      </c>
      <c r="BY2" s="12" t="s">
        <v>336</v>
      </c>
      <c r="BZ2" s="12" t="s">
        <v>337</v>
      </c>
      <c r="CA2" s="12" t="s">
        <v>338</v>
      </c>
      <c r="CB2" s="12" t="s">
        <v>339</v>
      </c>
      <c r="CC2" s="12" t="s">
        <v>340</v>
      </c>
      <c r="CD2" s="12" t="s">
        <v>341</v>
      </c>
      <c r="CE2" s="12" t="s">
        <v>342</v>
      </c>
      <c r="CF2" s="12" t="s">
        <v>343</v>
      </c>
      <c r="CG2" s="12" t="s">
        <v>344</v>
      </c>
      <c r="CH2" s="12" t="s">
        <v>345</v>
      </c>
      <c r="CI2" s="12" t="s">
        <v>601</v>
      </c>
      <c r="CJ2" s="12" t="s">
        <v>602</v>
      </c>
      <c r="CK2" s="12" t="s">
        <v>603</v>
      </c>
      <c r="CL2" s="12" t="s">
        <v>604</v>
      </c>
      <c r="CM2" s="12" t="s">
        <v>605</v>
      </c>
      <c r="CN2" s="12" t="s">
        <v>606</v>
      </c>
      <c r="CO2" s="12" t="s">
        <v>607</v>
      </c>
      <c r="CP2" s="12" t="s">
        <v>608</v>
      </c>
      <c r="CQ2" s="12" t="s">
        <v>609</v>
      </c>
      <c r="CR2" s="12" t="s">
        <v>610</v>
      </c>
      <c r="CS2" s="12" t="s">
        <v>611</v>
      </c>
      <c r="CT2" s="12" t="s">
        <v>612</v>
      </c>
      <c r="CU2" s="12" t="s">
        <v>613</v>
      </c>
      <c r="CV2" s="12" t="s">
        <v>614</v>
      </c>
      <c r="CW2" s="12" t="s">
        <v>615</v>
      </c>
      <c r="CX2" s="12" t="s">
        <v>616</v>
      </c>
      <c r="CY2" s="12" t="s">
        <v>617</v>
      </c>
      <c r="CZ2" s="12" t="s">
        <v>618</v>
      </c>
      <c r="DA2" s="12" t="s">
        <v>619</v>
      </c>
      <c r="DB2" s="12" t="s">
        <v>620</v>
      </c>
      <c r="DC2" s="12" t="s">
        <v>621</v>
      </c>
      <c r="DD2" s="12" t="s">
        <v>622</v>
      </c>
      <c r="DE2" s="12" t="s">
        <v>623</v>
      </c>
      <c r="DF2" s="12" t="s">
        <v>624</v>
      </c>
      <c r="DG2" s="12" t="s">
        <v>625</v>
      </c>
      <c r="DH2" s="12" t="s">
        <v>626</v>
      </c>
      <c r="DI2" s="12" t="s">
        <v>627</v>
      </c>
      <c r="DJ2" s="12" t="s">
        <v>628</v>
      </c>
      <c r="DK2" s="12" t="s">
        <v>629</v>
      </c>
      <c r="DL2" s="12" t="s">
        <v>630</v>
      </c>
      <c r="DM2" s="12" t="s">
        <v>631</v>
      </c>
      <c r="DN2" s="12" t="s">
        <v>632</v>
      </c>
      <c r="DO2" s="12" t="s">
        <v>633</v>
      </c>
      <c r="DP2" s="12" t="s">
        <v>634</v>
      </c>
      <c r="DQ2" s="12" t="s">
        <v>635</v>
      </c>
      <c r="DR2" s="12" t="s">
        <v>636</v>
      </c>
      <c r="DS2" s="12" t="s">
        <v>637</v>
      </c>
      <c r="DT2" s="12" t="s">
        <v>638</v>
      </c>
      <c r="DU2" s="12" t="s">
        <v>639</v>
      </c>
      <c r="DV2" s="12" t="s">
        <v>640</v>
      </c>
      <c r="DW2" s="12" t="s">
        <v>641</v>
      </c>
      <c r="DX2" s="12" t="s">
        <v>642</v>
      </c>
      <c r="DY2" s="12" t="s">
        <v>643</v>
      </c>
      <c r="DZ2" s="12" t="s">
        <v>644</v>
      </c>
      <c r="EA2" s="12" t="s">
        <v>645</v>
      </c>
      <c r="EB2" s="12" t="s">
        <v>646</v>
      </c>
      <c r="EC2" s="12" t="s">
        <v>647</v>
      </c>
      <c r="ED2" s="12" t="s">
        <v>648</v>
      </c>
      <c r="EE2" s="12" t="s">
        <v>649</v>
      </c>
      <c r="EF2" s="12" t="s">
        <v>650</v>
      </c>
      <c r="EG2" s="12" t="s">
        <v>651</v>
      </c>
      <c r="EH2" s="12" t="s">
        <v>652</v>
      </c>
      <c r="EI2" s="12" t="s">
        <v>653</v>
      </c>
      <c r="EJ2" s="12" t="s">
        <v>654</v>
      </c>
      <c r="EK2" s="12" t="s">
        <v>655</v>
      </c>
      <c r="EL2" s="12" t="s">
        <v>656</v>
      </c>
      <c r="EM2" s="12" t="s">
        <v>657</v>
      </c>
      <c r="EN2" s="12" t="s">
        <v>658</v>
      </c>
      <c r="EO2" s="12" t="s">
        <v>659</v>
      </c>
      <c r="EP2" s="12" t="s">
        <v>660</v>
      </c>
      <c r="EQ2" s="12" t="s">
        <v>661</v>
      </c>
      <c r="ER2" s="12" t="s">
        <v>662</v>
      </c>
      <c r="ES2" s="12" t="s">
        <v>663</v>
      </c>
      <c r="ET2" s="12" t="s">
        <v>664</v>
      </c>
      <c r="EU2" s="12" t="s">
        <v>665</v>
      </c>
      <c r="EV2" s="12" t="s">
        <v>666</v>
      </c>
      <c r="EW2" s="12" t="s">
        <v>667</v>
      </c>
      <c r="EX2" s="12" t="s">
        <v>668</v>
      </c>
      <c r="EY2" s="12" t="s">
        <v>669</v>
      </c>
      <c r="EZ2" s="12" t="s">
        <v>670</v>
      </c>
      <c r="FA2" s="12" t="s">
        <v>671</v>
      </c>
      <c r="FB2" s="12" t="s">
        <v>672</v>
      </c>
      <c r="FC2" s="12" t="s">
        <v>673</v>
      </c>
      <c r="FD2" s="12" t="s">
        <v>674</v>
      </c>
      <c r="FE2" s="12" t="s">
        <v>675</v>
      </c>
      <c r="FF2" s="12" t="s">
        <v>676</v>
      </c>
      <c r="FG2" s="12" t="s">
        <v>677</v>
      </c>
      <c r="FH2" s="12" t="s">
        <v>678</v>
      </c>
      <c r="FI2" s="12" t="s">
        <v>679</v>
      </c>
      <c r="FJ2" s="12" t="s">
        <v>680</v>
      </c>
      <c r="FK2" s="12" t="s">
        <v>681</v>
      </c>
      <c r="FL2" s="12" t="s">
        <v>682</v>
      </c>
      <c r="FM2" s="12" t="s">
        <v>683</v>
      </c>
      <c r="FN2" s="12" t="s">
        <v>684</v>
      </c>
      <c r="FO2" s="12" t="s">
        <v>685</v>
      </c>
      <c r="FP2" s="12" t="s">
        <v>686</v>
      </c>
      <c r="FQ2" s="12" t="s">
        <v>687</v>
      </c>
      <c r="FR2" s="12" t="s">
        <v>688</v>
      </c>
      <c r="FS2" s="12" t="s">
        <v>689</v>
      </c>
      <c r="FT2" s="12" t="s">
        <v>690</v>
      </c>
      <c r="FU2" s="12" t="s">
        <v>691</v>
      </c>
      <c r="FV2" s="12" t="s">
        <v>692</v>
      </c>
      <c r="FW2" s="12" t="s">
        <v>693</v>
      </c>
      <c r="FX2" s="12" t="s">
        <v>694</v>
      </c>
      <c r="FY2" s="12" t="s">
        <v>695</v>
      </c>
      <c r="FZ2" s="12" t="s">
        <v>696</v>
      </c>
      <c r="GA2" s="12" t="s">
        <v>697</v>
      </c>
      <c r="GB2" s="12" t="s">
        <v>698</v>
      </c>
      <c r="GC2" s="12" t="s">
        <v>699</v>
      </c>
      <c r="GD2" s="12" t="s">
        <v>700</v>
      </c>
      <c r="GE2" s="12" t="s">
        <v>701</v>
      </c>
      <c r="GF2" s="12" t="s">
        <v>702</v>
      </c>
      <c r="GG2" s="12" t="s">
        <v>703</v>
      </c>
      <c r="GH2" s="12" t="s">
        <v>704</v>
      </c>
      <c r="GI2" s="12" t="s">
        <v>705</v>
      </c>
      <c r="GJ2" s="12" t="s">
        <v>706</v>
      </c>
      <c r="GK2" s="12" t="s">
        <v>707</v>
      </c>
      <c r="GL2" s="12" t="s">
        <v>708</v>
      </c>
      <c r="GM2" s="12" t="s">
        <v>709</v>
      </c>
      <c r="GN2" s="12" t="s">
        <v>710</v>
      </c>
      <c r="GO2" s="12" t="s">
        <v>711</v>
      </c>
      <c r="GP2" s="12" t="s">
        <v>712</v>
      </c>
      <c r="GQ2" s="12" t="s">
        <v>713</v>
      </c>
      <c r="GR2" s="12" t="s">
        <v>714</v>
      </c>
      <c r="GS2" s="12" t="s">
        <v>715</v>
      </c>
      <c r="GT2" s="12" t="s">
        <v>716</v>
      </c>
      <c r="GU2" s="12" t="s">
        <v>717</v>
      </c>
      <c r="GV2" s="12" t="s">
        <v>718</v>
      </c>
      <c r="GW2" s="12" t="s">
        <v>719</v>
      </c>
      <c r="GX2" s="12" t="s">
        <v>720</v>
      </c>
      <c r="GY2" s="12" t="s">
        <v>721</v>
      </c>
      <c r="GZ2" s="12" t="s">
        <v>722</v>
      </c>
      <c r="HA2" s="12" t="s">
        <v>723</v>
      </c>
      <c r="HB2" s="12" t="s">
        <v>724</v>
      </c>
      <c r="HC2" s="12" t="s">
        <v>725</v>
      </c>
      <c r="HD2" s="12" t="s">
        <v>726</v>
      </c>
      <c r="HE2" s="12" t="s">
        <v>727</v>
      </c>
      <c r="HF2" s="12" t="s">
        <v>728</v>
      </c>
      <c r="HG2" s="12" t="s">
        <v>729</v>
      </c>
      <c r="HH2" s="12" t="s">
        <v>730</v>
      </c>
      <c r="HI2" s="12" t="s">
        <v>731</v>
      </c>
      <c r="HJ2" s="12" t="s">
        <v>732</v>
      </c>
      <c r="HK2" s="12" t="s">
        <v>733</v>
      </c>
      <c r="HL2" s="12" t="s">
        <v>734</v>
      </c>
      <c r="HM2" s="12" t="s">
        <v>735</v>
      </c>
      <c r="HN2" s="12" t="s">
        <v>736</v>
      </c>
      <c r="HO2" s="12" t="s">
        <v>737</v>
      </c>
      <c r="HP2" s="12" t="s">
        <v>738</v>
      </c>
      <c r="HQ2" s="12" t="s">
        <v>739</v>
      </c>
      <c r="HR2" s="12" t="s">
        <v>740</v>
      </c>
      <c r="HS2" s="12" t="s">
        <v>741</v>
      </c>
      <c r="HT2" s="12" t="s">
        <v>742</v>
      </c>
      <c r="HU2" s="12" t="s">
        <v>743</v>
      </c>
      <c r="HV2" s="12" t="s">
        <v>744</v>
      </c>
      <c r="HW2" s="12" t="s">
        <v>745</v>
      </c>
      <c r="HX2" s="12" t="s">
        <v>746</v>
      </c>
      <c r="HY2" s="12" t="s">
        <v>747</v>
      </c>
      <c r="HZ2" s="12" t="s">
        <v>748</v>
      </c>
      <c r="IA2" s="12" t="s">
        <v>749</v>
      </c>
      <c r="IB2" s="12" t="s">
        <v>750</v>
      </c>
      <c r="IC2" s="12" t="s">
        <v>751</v>
      </c>
      <c r="ID2" s="12" t="s">
        <v>752</v>
      </c>
      <c r="IE2" s="12" t="s">
        <v>753</v>
      </c>
      <c r="IF2" s="12" t="s">
        <v>754</v>
      </c>
      <c r="IG2" s="12" t="s">
        <v>755</v>
      </c>
      <c r="IH2" s="12" t="s">
        <v>756</v>
      </c>
      <c r="II2" s="12" t="s">
        <v>757</v>
      </c>
      <c r="IJ2" s="12" t="s">
        <v>758</v>
      </c>
      <c r="IK2" s="12" t="s">
        <v>759</v>
      </c>
      <c r="IL2" s="12" t="s">
        <v>760</v>
      </c>
      <c r="IM2" s="12" t="s">
        <v>761</v>
      </c>
      <c r="IN2" s="12" t="s">
        <v>762</v>
      </c>
      <c r="IO2" s="12" t="s">
        <v>763</v>
      </c>
      <c r="IP2" s="12" t="s">
        <v>764</v>
      </c>
      <c r="IQ2" s="12" t="s">
        <v>765</v>
      </c>
      <c r="IR2" s="12" t="s">
        <v>766</v>
      </c>
      <c r="IS2" s="12" t="s">
        <v>767</v>
      </c>
      <c r="IT2" s="12" t="s">
        <v>768</v>
      </c>
      <c r="IU2" s="12" t="s">
        <v>769</v>
      </c>
      <c r="IV2" s="12" t="s">
        <v>770</v>
      </c>
      <c r="IW2" s="12" t="s">
        <v>771</v>
      </c>
      <c r="IX2" s="12" t="s">
        <v>772</v>
      </c>
    </row>
    <row r="3" spans="2:258" x14ac:dyDescent="0.15">
      <c r="B3" s="15" t="s">
        <v>778</v>
      </c>
      <c r="C3" s="12" t="s">
        <v>790</v>
      </c>
      <c r="D3" s="54" t="n">
        <v>14.9</v>
      </c>
      <c r="E3" s="54" t="n">
        <v>9.8</v>
      </c>
      <c r="F3" s="54" t="n">
        <v>0.0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15">
      <c r="B4" s="15" t="s">
        <v>779</v>
      </c>
      <c r="C4" s="12" t="s">
        <v>790</v>
      </c>
      <c r="D4" s="58" t="n">
        <v>18.9</v>
      </c>
      <c r="E4" s="58" t="n">
        <v>17.3</v>
      </c>
      <c r="F4" s="58" t="n">
        <v>20.0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15">
      <c r="B5" s="15" t="s">
        <v>780</v>
      </c>
      <c r="C5" s="12" t="s">
        <v>790</v>
      </c>
      <c r="D5" s="62" t="n">
        <v>1.6</v>
      </c>
      <c r="E5" s="62" t="n">
        <v>0.6</v>
      </c>
      <c r="F5" s="62" t="n">
        <v>0.0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15">
      <c r="B6" s="15" t="s">
        <v>781</v>
      </c>
      <c r="C6" s="12" t="s">
        <v>790</v>
      </c>
      <c r="D6" s="66" t="n">
        <v>1.8</v>
      </c>
      <c r="E6" s="66" t="n">
        <v>0.8</v>
      </c>
      <c r="F6" s="66" t="n">
        <v>0.0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15">
      <c r="B7" s="15" t="s">
        <v>782</v>
      </c>
      <c r="C7" s="12" t="s">
        <v>790</v>
      </c>
      <c r="D7" s="70" t="n">
        <v>3.8</v>
      </c>
      <c r="E7" s="70" t="n">
        <v>1.5</v>
      </c>
      <c r="F7" s="70" t="n">
        <v>0.0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15">
      <c r="B8" s="15" t="s">
        <v>791</v>
      </c>
      <c r="C8" s="12" t="s">
        <v>790</v>
      </c>
      <c r="D8" s="74" t="n">
        <v>41.0</v>
      </c>
      <c r="E8" s="74" t="n">
        <v>30.0</v>
      </c>
      <c r="F8" s="74" t="n">
        <v>20.0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15" hidden="true">
      <c r="B9" s="15" t="s">
        <v>14</v>
      </c>
      <c r="C9" s="12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15" hidden="true">
      <c r="B10" s="15" t="s">
        <v>15</v>
      </c>
      <c r="C10" s="12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15" hidden="true">
      <c r="B11" s="15" t="s">
        <v>16</v>
      </c>
      <c r="C11" s="12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15" hidden="true">
      <c r="B12" s="15" t="s">
        <v>17</v>
      </c>
      <c r="C12" s="1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15" hidden="true">
      <c r="B13" s="15" t="s">
        <v>18</v>
      </c>
      <c r="C13" s="12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15" hidden="true">
      <c r="B14" s="15" t="s">
        <v>19</v>
      </c>
      <c r="C14" s="12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15" hidden="true">
      <c r="B15" s="15" t="s">
        <v>20</v>
      </c>
      <c r="C15" s="12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15" hidden="true">
      <c r="B16" s="15" t="s">
        <v>21</v>
      </c>
      <c r="C16" s="12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15" hidden="true">
      <c r="B17" s="15" t="s">
        <v>22</v>
      </c>
      <c r="C17" s="12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15" hidden="true">
      <c r="B18" s="15" t="s">
        <v>23</v>
      </c>
      <c r="C18" s="12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15" hidden="true">
      <c r="B19" s="15" t="s">
        <v>24</v>
      </c>
      <c r="C19" s="12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15" hidden="true">
      <c r="B20" s="15" t="s">
        <v>25</v>
      </c>
      <c r="C20" s="12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15" hidden="true">
      <c r="B21" s="15" t="s">
        <v>26</v>
      </c>
      <c r="C21" s="12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15" hidden="true">
      <c r="B22" s="15" t="s">
        <v>27</v>
      </c>
      <c r="C22" s="12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15" hidden="true">
      <c r="B23" s="15" t="s">
        <v>28</v>
      </c>
      <c r="C23" s="12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15" hidden="true">
      <c r="B24" s="15" t="s">
        <v>29</v>
      </c>
      <c r="C24" s="12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15" hidden="true">
      <c r="B25" s="15" t="s">
        <v>30</v>
      </c>
      <c r="C25" s="12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15" hidden="true">
      <c r="B26" s="15" t="s">
        <v>31</v>
      </c>
      <c r="C26" s="12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15" hidden="true">
      <c r="B27" s="15" t="s">
        <v>32</v>
      </c>
      <c r="C27" s="12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15" hidden="true">
      <c r="B28" s="15" t="s">
        <v>33</v>
      </c>
      <c r="C28" s="12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15" hidden="true">
      <c r="B29" s="15" t="s">
        <v>34</v>
      </c>
      <c r="C29" s="12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15" hidden="true">
      <c r="B30" s="15" t="s">
        <v>35</v>
      </c>
      <c r="C30" s="12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15" hidden="true">
      <c r="B31" s="15" t="s">
        <v>36</v>
      </c>
      <c r="C31" s="12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15" hidden="true">
      <c r="B32" s="15" t="s">
        <v>37</v>
      </c>
      <c r="C32" s="12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15" hidden="true">
      <c r="B33" s="15" t="s">
        <v>38</v>
      </c>
      <c r="C33" s="12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15" hidden="true">
      <c r="B34" s="15" t="s">
        <v>39</v>
      </c>
      <c r="C34" s="12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15" hidden="true">
      <c r="B35" s="15" t="s">
        <v>40</v>
      </c>
      <c r="C35" s="12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15" hidden="true">
      <c r="B36" s="15" t="s">
        <v>41</v>
      </c>
      <c r="C36" s="12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15" hidden="true">
      <c r="B37" s="15" t="s">
        <v>42</v>
      </c>
      <c r="C37" s="12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15" hidden="true">
      <c r="B38" s="15" t="s">
        <v>43</v>
      </c>
      <c r="C38" s="12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15" hidden="true">
      <c r="B39" s="15" t="s">
        <v>44</v>
      </c>
      <c r="C39" s="12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15" hidden="true">
      <c r="B40" s="15" t="s">
        <v>45</v>
      </c>
      <c r="C40" s="12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15" hidden="true">
      <c r="B41" s="15" t="s">
        <v>46</v>
      </c>
      <c r="C41" s="1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15" hidden="true">
      <c r="B42" s="15" t="s">
        <v>47</v>
      </c>
      <c r="C42" s="12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15" hidden="true">
      <c r="B43" s="15" t="s">
        <v>48</v>
      </c>
      <c r="C43" s="1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15" hidden="true">
      <c r="B44" s="15" t="s">
        <v>49</v>
      </c>
      <c r="C44" s="12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15" hidden="true">
      <c r="B45" s="15" t="s">
        <v>50</v>
      </c>
      <c r="C45" s="12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15" hidden="true">
      <c r="B46" s="15" t="s">
        <v>51</v>
      </c>
      <c r="C46" s="12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15" hidden="true">
      <c r="B47" s="15" t="s">
        <v>52</v>
      </c>
      <c r="C47" s="1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15" hidden="true">
      <c r="B48" s="15" t="s">
        <v>53</v>
      </c>
      <c r="C48" s="12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15" hidden="true">
      <c r="B49" s="15" t="s">
        <v>54</v>
      </c>
      <c r="C49" s="12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15" hidden="true">
      <c r="B50" s="15" t="s">
        <v>55</v>
      </c>
      <c r="C50" s="1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15" hidden="true">
      <c r="B51" s="15" t="s">
        <v>56</v>
      </c>
      <c r="C51" s="12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15" hidden="true">
      <c r="B52" s="15" t="s">
        <v>57</v>
      </c>
      <c r="C52" s="12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15" hidden="true">
      <c r="B53" s="15" t="s">
        <v>58</v>
      </c>
      <c r="C53" s="1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15" hidden="true">
      <c r="B54" s="15" t="s">
        <v>59</v>
      </c>
      <c r="C54" s="12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15" hidden="true">
      <c r="B55" s="15" t="s">
        <v>60</v>
      </c>
      <c r="C55" s="1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15" hidden="true">
      <c r="B56" s="15" t="s">
        <v>61</v>
      </c>
      <c r="C56" s="12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15" hidden="true">
      <c r="B57" s="15" t="s">
        <v>62</v>
      </c>
      <c r="C57" s="12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15" hidden="true">
      <c r="B58" s="15" t="s">
        <v>63</v>
      </c>
      <c r="C58" s="12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15" hidden="true">
      <c r="B59" s="15" t="s">
        <v>64</v>
      </c>
      <c r="C59" s="12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15" hidden="true">
      <c r="B60" s="15" t="s">
        <v>65</v>
      </c>
      <c r="C60" s="12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15" hidden="true">
      <c r="B61" s="15" t="s">
        <v>66</v>
      </c>
      <c r="C61" s="12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15" hidden="true">
      <c r="B62" s="15" t="s">
        <v>67</v>
      </c>
      <c r="C62" s="12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15" hidden="true">
      <c r="B63" s="15" t="s">
        <v>68</v>
      </c>
      <c r="C63" s="12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15" hidden="true">
      <c r="B64" s="15" t="s">
        <v>69</v>
      </c>
      <c r="C64" s="12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15" hidden="true">
      <c r="B65" s="15" t="s">
        <v>70</v>
      </c>
      <c r="C65" s="12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15" hidden="true">
      <c r="B66" s="15" t="s">
        <v>71</v>
      </c>
      <c r="C66" s="12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15" hidden="true">
      <c r="B67" s="15" t="s">
        <v>72</v>
      </c>
      <c r="C67" s="12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15" hidden="true">
      <c r="B68" s="15" t="s">
        <v>73</v>
      </c>
      <c r="C68" s="12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15" hidden="true">
      <c r="B69" s="15" t="s">
        <v>74</v>
      </c>
      <c r="C69" s="12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15" hidden="true">
      <c r="B70" s="15" t="s">
        <v>75</v>
      </c>
      <c r="C70" s="12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15" hidden="true">
      <c r="B71" s="15" t="s">
        <v>76</v>
      </c>
      <c r="C71" s="12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15" hidden="true">
      <c r="B72" s="15" t="s">
        <v>77</v>
      </c>
      <c r="C72" s="12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15" hidden="true">
      <c r="B73" s="15" t="s">
        <v>78</v>
      </c>
      <c r="C73" s="12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15" hidden="true">
      <c r="B74" s="15" t="s">
        <v>79</v>
      </c>
      <c r="C74" s="12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15" hidden="true">
      <c r="B75" s="15" t="s">
        <v>80</v>
      </c>
      <c r="C75" s="12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15" hidden="true">
      <c r="B76" s="15" t="s">
        <v>81</v>
      </c>
      <c r="C76" s="1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15" hidden="true">
      <c r="B77" s="15" t="s">
        <v>82</v>
      </c>
      <c r="C77" s="12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15" hidden="true">
      <c r="B78" s="15" t="s">
        <v>83</v>
      </c>
      <c r="C78" s="12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15" hidden="true">
      <c r="B79" s="15" t="s">
        <v>84</v>
      </c>
      <c r="C79" s="12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15" hidden="true">
      <c r="B80" s="15" t="s">
        <v>85</v>
      </c>
      <c r="C80" s="12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15" hidden="true">
      <c r="B81" s="15" t="s">
        <v>86</v>
      </c>
      <c r="C81" s="12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15" hidden="true">
      <c r="B82" s="15" t="s">
        <v>87</v>
      </c>
      <c r="C82" s="12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15" hidden="true">
      <c r="B83" s="15" t="s">
        <v>88</v>
      </c>
      <c r="C83" s="12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15" hidden="true">
      <c r="B84" s="15" t="s">
        <v>89</v>
      </c>
      <c r="C84" s="12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15" hidden="true">
      <c r="B85" s="15" t="s">
        <v>90</v>
      </c>
      <c r="C85" s="12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15" hidden="true">
      <c r="B86" s="15" t="s">
        <v>91</v>
      </c>
      <c r="C86" s="12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15" hidden="true">
      <c r="B87" s="15" t="s">
        <v>92</v>
      </c>
      <c r="C87" s="12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15" hidden="true">
      <c r="B88" s="15" t="s">
        <v>93</v>
      </c>
      <c r="C88" s="12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15" hidden="true">
      <c r="B89" s="15" t="s">
        <v>94</v>
      </c>
      <c r="C89" s="12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15" hidden="true">
      <c r="B90" s="15" t="s">
        <v>95</v>
      </c>
      <c r="C90" s="12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15" hidden="true">
      <c r="B91" s="15" t="s">
        <v>96</v>
      </c>
      <c r="C91" s="12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15" hidden="true">
      <c r="B92" s="15" t="s">
        <v>97</v>
      </c>
      <c r="C92" s="12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15" hidden="true">
      <c r="B93" s="15" t="s">
        <v>98</v>
      </c>
      <c r="C93" s="12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15" hidden="true">
      <c r="B94" s="15" t="s">
        <v>99</v>
      </c>
      <c r="C94" s="12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15" hidden="true">
      <c r="B95" s="15" t="s">
        <v>100</v>
      </c>
      <c r="C95" s="12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15" hidden="true">
      <c r="B96" s="15" t="s">
        <v>101</v>
      </c>
      <c r="C96" s="12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15" hidden="true">
      <c r="B97" s="15" t="s">
        <v>102</v>
      </c>
      <c r="C97" s="12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15" hidden="true">
      <c r="B98" s="15" t="s">
        <v>103</v>
      </c>
      <c r="C98" s="12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15" hidden="true">
      <c r="B99" s="15" t="s">
        <v>104</v>
      </c>
      <c r="C99" s="1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15" hidden="true">
      <c r="B100" s="15" t="s">
        <v>105</v>
      </c>
      <c r="C100" s="12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15" hidden="true">
      <c r="B101" s="15" t="s">
        <v>106</v>
      </c>
      <c r="C101" s="12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15" hidden="true">
      <c r="B102" s="15" t="s">
        <v>107</v>
      </c>
      <c r="C102" s="12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15" hidden="true">
      <c r="B103" s="15" t="s">
        <v>108</v>
      </c>
      <c r="C103" s="12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15" hidden="true">
      <c r="B104" s="15" t="s">
        <v>109</v>
      </c>
      <c r="C104" s="12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15" hidden="true">
      <c r="B105" s="15" t="s">
        <v>110</v>
      </c>
      <c r="C105" s="12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15" hidden="true">
      <c r="B106" s="15" t="s">
        <v>111</v>
      </c>
      <c r="C106" s="12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15" hidden="true">
      <c r="B107" s="15" t="s">
        <v>112</v>
      </c>
      <c r="C107" s="12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15" hidden="true">
      <c r="B108" s="15" t="s">
        <v>113</v>
      </c>
      <c r="C108" s="12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15" hidden="true">
      <c r="B109" s="15" t="s">
        <v>114</v>
      </c>
      <c r="C109" s="12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15" hidden="true">
      <c r="B110" s="15" t="s">
        <v>115</v>
      </c>
      <c r="C110" s="12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15" hidden="true">
      <c r="B111" s="15" t="s">
        <v>116</v>
      </c>
      <c r="C111" s="12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15" hidden="true">
      <c r="B112" s="15" t="s">
        <v>117</v>
      </c>
      <c r="C112" s="12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15" hidden="true">
      <c r="B113" s="15" t="s">
        <v>118</v>
      </c>
      <c r="C113" s="12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15" hidden="true">
      <c r="B114" s="15" t="s">
        <v>119</v>
      </c>
      <c r="C114" s="12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15" hidden="true">
      <c r="B115" s="15" t="s">
        <v>120</v>
      </c>
      <c r="C115" s="12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15" hidden="true">
      <c r="B116" s="15" t="s">
        <v>121</v>
      </c>
      <c r="C116" s="12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15" hidden="true">
      <c r="B117" s="15" t="s">
        <v>122</v>
      </c>
      <c r="C117" s="12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15" hidden="true">
      <c r="B118" s="15" t="s">
        <v>123</v>
      </c>
      <c r="C118" s="12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15" hidden="true">
      <c r="B119" s="15" t="s">
        <v>124</v>
      </c>
      <c r="C119" s="12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15" hidden="true">
      <c r="B120" s="15" t="s">
        <v>125</v>
      </c>
      <c r="C120" s="1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15" hidden="true">
      <c r="B121" s="15" t="s">
        <v>126</v>
      </c>
      <c r="C121" s="12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15" hidden="true">
      <c r="B122" s="15" t="s">
        <v>127</v>
      </c>
      <c r="C122" s="12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15" hidden="true">
      <c r="B123" s="15" t="s">
        <v>128</v>
      </c>
      <c r="C123" s="12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15" hidden="true">
      <c r="B124" s="15" t="s">
        <v>129</v>
      </c>
      <c r="C124" s="12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15" hidden="true">
      <c r="B125" s="15" t="s">
        <v>130</v>
      </c>
      <c r="C125" s="12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15" hidden="true">
      <c r="B126" s="15" t="s">
        <v>131</v>
      </c>
      <c r="C126" s="12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15" hidden="true">
      <c r="B127" s="15" t="s">
        <v>132</v>
      </c>
      <c r="C127" s="12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15" hidden="true">
      <c r="B128" s="15" t="s">
        <v>133</v>
      </c>
      <c r="C128" s="12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15" hidden="true">
      <c r="B129" s="15" t="s">
        <v>134</v>
      </c>
      <c r="C129" s="12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15" hidden="true">
      <c r="B130" s="15" t="s">
        <v>135</v>
      </c>
      <c r="C130" s="12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15" hidden="true">
      <c r="B131" s="15" t="s">
        <v>136</v>
      </c>
      <c r="C131" s="12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15" hidden="true">
      <c r="B132" s="15" t="s">
        <v>137</v>
      </c>
      <c r="C132" s="12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15" hidden="true">
      <c r="B133" s="15" t="s">
        <v>138</v>
      </c>
      <c r="C133" s="12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15" hidden="true">
      <c r="B134" s="15" t="s">
        <v>139</v>
      </c>
      <c r="C134" s="12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15" hidden="true">
      <c r="B135" s="15" t="s">
        <v>140</v>
      </c>
      <c r="C135" s="12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15" hidden="true">
      <c r="B136" s="15" t="s">
        <v>141</v>
      </c>
      <c r="C136" s="12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15" hidden="true">
      <c r="B137" s="15" t="s">
        <v>142</v>
      </c>
      <c r="C137" s="12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15" hidden="true">
      <c r="B138" s="15" t="s">
        <v>143</v>
      </c>
      <c r="C138" s="12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15" hidden="true">
      <c r="B139" s="15" t="s">
        <v>144</v>
      </c>
      <c r="C139" s="12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15" hidden="true">
      <c r="B140" s="15" t="s">
        <v>145</v>
      </c>
      <c r="C140" s="12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15" hidden="true">
      <c r="B141" s="15" t="s">
        <v>146</v>
      </c>
      <c r="C141" s="12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15" hidden="true">
      <c r="B142" s="15" t="s">
        <v>147</v>
      </c>
      <c r="C142" s="1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15" hidden="true">
      <c r="B143" s="15" t="s">
        <v>148</v>
      </c>
      <c r="C143" s="12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15" hidden="true">
      <c r="B144" s="15" t="s">
        <v>149</v>
      </c>
      <c r="C144" s="12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15" hidden="true">
      <c r="B145" s="15" t="s">
        <v>150</v>
      </c>
      <c r="C145" s="12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15" hidden="true">
      <c r="B146" s="15" t="s">
        <v>151</v>
      </c>
      <c r="C146" s="12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15" hidden="true">
      <c r="B147" s="15" t="s">
        <v>152</v>
      </c>
      <c r="C147" s="12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15" hidden="true">
      <c r="B148" s="15" t="s">
        <v>153</v>
      </c>
      <c r="C148" s="12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15" hidden="true">
      <c r="B149" s="15" t="s">
        <v>154</v>
      </c>
      <c r="C149" s="12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15" hidden="true">
      <c r="B150" s="15" t="s">
        <v>155</v>
      </c>
      <c r="C150" s="12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15" hidden="true">
      <c r="B151" s="15" t="s">
        <v>156</v>
      </c>
      <c r="C151" s="12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15" hidden="true">
      <c r="B152" s="15" t="s">
        <v>157</v>
      </c>
      <c r="C152" s="12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15" hidden="true">
      <c r="B153" s="15" t="s">
        <v>158</v>
      </c>
      <c r="C153" s="12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15" hidden="true">
      <c r="B154" s="15" t="s">
        <v>159</v>
      </c>
      <c r="C154" s="12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15" hidden="true">
      <c r="B155" s="15" t="s">
        <v>160</v>
      </c>
      <c r="C155" s="12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15" hidden="true">
      <c r="B156" s="15" t="s">
        <v>161</v>
      </c>
      <c r="C156" s="12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15" hidden="true">
      <c r="B157" s="15" t="s">
        <v>162</v>
      </c>
      <c r="C157" s="12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15" hidden="true">
      <c r="B158" s="15" t="s">
        <v>163</v>
      </c>
      <c r="C158" s="12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15" hidden="true">
      <c r="B159" s="15" t="s">
        <v>164</v>
      </c>
      <c r="C159" s="12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15" hidden="true">
      <c r="B160" s="15" t="s">
        <v>165</v>
      </c>
      <c r="C160" s="12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15" hidden="true">
      <c r="B161" s="15" t="s">
        <v>166</v>
      </c>
      <c r="C161" s="12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15" hidden="true">
      <c r="B162" s="15" t="s">
        <v>167</v>
      </c>
      <c r="C162" s="12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15" hidden="true">
      <c r="B163" s="15" t="s">
        <v>168</v>
      </c>
      <c r="C163" s="1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15" hidden="true">
      <c r="B164" s="15" t="s">
        <v>169</v>
      </c>
      <c r="C164" s="12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15" hidden="true">
      <c r="B165" s="15" t="s">
        <v>170</v>
      </c>
      <c r="C165" s="12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15" hidden="true">
      <c r="B166" s="15" t="s">
        <v>171</v>
      </c>
      <c r="C166" s="12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15" hidden="true">
      <c r="B167" s="15" t="s">
        <v>172</v>
      </c>
      <c r="C167" s="12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15" hidden="true">
      <c r="B168" s="15" t="s">
        <v>173</v>
      </c>
      <c r="C168" s="12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15" hidden="true">
      <c r="B169" s="15" t="s">
        <v>174</v>
      </c>
      <c r="C169" s="12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15" hidden="true">
      <c r="B170" s="15" t="s">
        <v>175</v>
      </c>
      <c r="C170" s="12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15" hidden="true">
      <c r="B171" s="15" t="s">
        <v>176</v>
      </c>
      <c r="C171" s="12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15" hidden="true">
      <c r="B172" s="15" t="s">
        <v>177</v>
      </c>
      <c r="C172" s="12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15" hidden="true">
      <c r="B173" s="15" t="s">
        <v>178</v>
      </c>
      <c r="C173" s="12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15" hidden="true">
      <c r="B174" s="15" t="s">
        <v>179</v>
      </c>
      <c r="C174" s="12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15" hidden="true">
      <c r="B175" s="15" t="s">
        <v>180</v>
      </c>
      <c r="C175" s="12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15" hidden="true">
      <c r="B176" s="15" t="s">
        <v>181</v>
      </c>
      <c r="C176" s="12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15" hidden="true">
      <c r="B177" s="15" t="s">
        <v>182</v>
      </c>
      <c r="C177" s="12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15" hidden="true">
      <c r="B178" s="15" t="s">
        <v>183</v>
      </c>
      <c r="C178" s="12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15" hidden="true">
      <c r="B179" s="15" t="s">
        <v>184</v>
      </c>
      <c r="C179" s="12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15" hidden="true">
      <c r="B180" s="15" t="s">
        <v>185</v>
      </c>
      <c r="C180" s="12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15" hidden="true">
      <c r="B181" s="15" t="s">
        <v>186</v>
      </c>
      <c r="C181" s="12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15" hidden="true">
      <c r="B182" s="15" t="s">
        <v>187</v>
      </c>
      <c r="C182" s="12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15" hidden="true">
      <c r="B183" s="15" t="s">
        <v>188</v>
      </c>
      <c r="C183" s="12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15" hidden="true">
      <c r="B184" s="15" t="s">
        <v>189</v>
      </c>
      <c r="C184" s="1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15" hidden="true">
      <c r="B185" s="15" t="s">
        <v>190</v>
      </c>
      <c r="C185" s="12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15" hidden="true">
      <c r="B186" s="15" t="s">
        <v>191</v>
      </c>
      <c r="C186" s="12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15" hidden="true">
      <c r="B187" s="15" t="s">
        <v>192</v>
      </c>
      <c r="C187" s="12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15" hidden="true">
      <c r="B188" s="15" t="s">
        <v>193</v>
      </c>
      <c r="C188" s="12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15" hidden="true">
      <c r="B189" s="15" t="s">
        <v>194</v>
      </c>
      <c r="C189" s="12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15" hidden="true">
      <c r="B190" s="15" t="s">
        <v>195</v>
      </c>
      <c r="C190" s="12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15" hidden="true">
      <c r="B191" s="15" t="s">
        <v>196</v>
      </c>
      <c r="C191" s="12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15" hidden="true">
      <c r="B192" s="15" t="s">
        <v>197</v>
      </c>
      <c r="C192" s="12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15" hidden="true">
      <c r="B193" s="15" t="s">
        <v>198</v>
      </c>
      <c r="C193" s="12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15" hidden="true">
      <c r="B194" s="15" t="s">
        <v>199</v>
      </c>
      <c r="C194" s="12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15" hidden="true">
      <c r="B195" s="15" t="s">
        <v>200</v>
      </c>
      <c r="C195" s="12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15" hidden="true">
      <c r="B196" s="15" t="s">
        <v>201</v>
      </c>
      <c r="C196" s="12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15" hidden="true">
      <c r="B197" s="15" t="s">
        <v>202</v>
      </c>
      <c r="C197" s="12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15" hidden="true">
      <c r="B198" s="15" t="s">
        <v>203</v>
      </c>
      <c r="C198" s="12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15" hidden="true">
      <c r="B199" s="15" t="s">
        <v>204</v>
      </c>
      <c r="C199" s="12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15" hidden="true">
      <c r="B200" s="15" t="s">
        <v>205</v>
      </c>
      <c r="C200" s="12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15" hidden="true">
      <c r="B201" s="15" t="s">
        <v>206</v>
      </c>
      <c r="C201" s="12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15" hidden="true">
      <c r="B202" s="15" t="s">
        <v>207</v>
      </c>
      <c r="C202" s="12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15" hidden="true">
      <c r="B203" s="15" t="s">
        <v>208</v>
      </c>
      <c r="C203" s="12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15" hidden="true">
      <c r="B204" s="15" t="s">
        <v>209</v>
      </c>
      <c r="C204" s="12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15" hidden="true">
      <c r="B205" s="15" t="s">
        <v>210</v>
      </c>
      <c r="C205" s="1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15" hidden="true">
      <c r="B206" s="15" t="s">
        <v>211</v>
      </c>
      <c r="C206" s="12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15" hidden="true">
      <c r="B207" s="15" t="s">
        <v>212</v>
      </c>
      <c r="C207" s="12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15" hidden="true">
      <c r="B208" s="15" t="s">
        <v>213</v>
      </c>
      <c r="C208" s="12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15" hidden="true">
      <c r="B209" s="15" t="s">
        <v>214</v>
      </c>
      <c r="C209" s="12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15" hidden="true">
      <c r="B210" s="15" t="s">
        <v>215</v>
      </c>
      <c r="C210" s="12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15" hidden="true">
      <c r="B211" s="15" t="s">
        <v>216</v>
      </c>
      <c r="C211" s="12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15" hidden="true">
      <c r="B212" s="15" t="s">
        <v>217</v>
      </c>
      <c r="C212" s="12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15" hidden="true">
      <c r="B213" s="15" t="s">
        <v>218</v>
      </c>
      <c r="C213" s="12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15" hidden="true">
      <c r="B214" s="15" t="s">
        <v>219</v>
      </c>
      <c r="C214" s="12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15" hidden="true">
      <c r="B215" s="15" t="s">
        <v>220</v>
      </c>
      <c r="C215" s="12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15" hidden="true">
      <c r="B216" s="15" t="s">
        <v>221</v>
      </c>
      <c r="C216" s="12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15" hidden="true">
      <c r="B217" s="15" t="s">
        <v>222</v>
      </c>
      <c r="C217" s="12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15" hidden="true">
      <c r="B218" s="15" t="s">
        <v>223</v>
      </c>
      <c r="C218" s="12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15" hidden="true">
      <c r="B219" s="15" t="s">
        <v>224</v>
      </c>
      <c r="C219" s="12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15" hidden="true">
      <c r="B220" s="15" t="s">
        <v>225</v>
      </c>
      <c r="C220" s="12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15" hidden="true">
      <c r="B221" s="15" t="s">
        <v>226</v>
      </c>
      <c r="C221" s="12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15" hidden="true">
      <c r="B222" s="15" t="s">
        <v>227</v>
      </c>
      <c r="C222" s="12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15" hidden="true">
      <c r="B223" s="15" t="s">
        <v>228</v>
      </c>
      <c r="C223" s="12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15" hidden="true">
      <c r="B224" s="15" t="s">
        <v>229</v>
      </c>
      <c r="C224" s="12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15" hidden="true">
      <c r="B225" s="15" t="s">
        <v>230</v>
      </c>
      <c r="C225" s="12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15" hidden="true">
      <c r="B226" s="15" t="s">
        <v>231</v>
      </c>
      <c r="C226" s="1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15" hidden="true">
      <c r="B227" s="15" t="s">
        <v>232</v>
      </c>
      <c r="C227" s="12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15" hidden="true">
      <c r="B228" s="15" t="s">
        <v>233</v>
      </c>
      <c r="C228" s="12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15" hidden="true">
      <c r="B229" s="15" t="s">
        <v>234</v>
      </c>
      <c r="C229" s="12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15" hidden="true">
      <c r="B230" s="15" t="s">
        <v>235</v>
      </c>
      <c r="C230" s="12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15" hidden="true">
      <c r="B231" s="15" t="s">
        <v>236</v>
      </c>
      <c r="C231" s="12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15" hidden="true">
      <c r="B232" s="15" t="s">
        <v>237</v>
      </c>
      <c r="C232" s="12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15" hidden="true">
      <c r="B233" s="15" t="s">
        <v>238</v>
      </c>
      <c r="C233" s="12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15" hidden="true">
      <c r="B234" s="15" t="s">
        <v>239</v>
      </c>
      <c r="C234" s="12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15" hidden="true">
      <c r="B235" s="15" t="s">
        <v>240</v>
      </c>
      <c r="C235" s="12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15" hidden="true">
      <c r="B236" s="15" t="s">
        <v>241</v>
      </c>
      <c r="C236" s="12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15" hidden="true">
      <c r="B237" s="15" t="s">
        <v>242</v>
      </c>
      <c r="C237" s="12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15" hidden="true">
      <c r="B238" s="15" t="s">
        <v>243</v>
      </c>
      <c r="C238" s="12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15" hidden="true">
      <c r="B239" s="15" t="s">
        <v>244</v>
      </c>
      <c r="C239" s="12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15" hidden="true">
      <c r="B240" s="15" t="s">
        <v>245</v>
      </c>
      <c r="C240" s="12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15" hidden="true">
      <c r="B241" s="15" t="s">
        <v>246</v>
      </c>
      <c r="C241" s="12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15" hidden="true">
      <c r="B242" s="15" t="s">
        <v>247</v>
      </c>
      <c r="C242" s="12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15" hidden="true">
      <c r="B243" s="15" t="s">
        <v>248</v>
      </c>
      <c r="C243" s="12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15" hidden="true">
      <c r="B244" s="15" t="s">
        <v>249</v>
      </c>
      <c r="C244" s="12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15" hidden="true">
      <c r="B245" s="15" t="s">
        <v>250</v>
      </c>
      <c r="C245" s="12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15" hidden="true">
      <c r="B246" s="15" t="s">
        <v>251</v>
      </c>
      <c r="C246" s="12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15" hidden="true">
      <c r="B247" s="15" t="s">
        <v>252</v>
      </c>
      <c r="C247" s="1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15" hidden="true">
      <c r="B248" s="15" t="s">
        <v>253</v>
      </c>
      <c r="C248" s="12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15" hidden="true">
      <c r="B249" s="15" t="s">
        <v>254</v>
      </c>
      <c r="C249" s="12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15" hidden="true">
      <c r="B250" s="15" t="s">
        <v>255</v>
      </c>
      <c r="C250" s="12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15" hidden="true">
      <c r="B251" s="15" t="s">
        <v>256</v>
      </c>
      <c r="C251" s="12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15" hidden="true">
      <c r="B252" s="15" t="s">
        <v>257</v>
      </c>
      <c r="C252" s="12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15" hidden="true">
      <c r="B253" s="15" t="s">
        <v>258</v>
      </c>
      <c r="C253" s="12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15" hidden="true">
      <c r="B254" s="15" t="s">
        <v>259</v>
      </c>
      <c r="C254" s="12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15" hidden="true">
      <c r="B255" s="15" t="s">
        <v>260</v>
      </c>
      <c r="C255" s="12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15" hidden="true">
      <c r="B256" s="15" t="s">
        <v>261</v>
      </c>
      <c r="C256" s="12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15" hidden="true">
      <c r="B257" s="15" t="s">
        <v>262</v>
      </c>
      <c r="C257" s="12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15">
      <c r="B258" s="18"/>
      <c r="C258" s="19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  <c r="EP258" s="17"/>
      <c r="EQ258" s="17"/>
      <c r="ER258" s="17"/>
      <c r="ES258" s="17"/>
      <c r="ET258" s="17"/>
      <c r="EU258" s="17"/>
      <c r="EV258" s="17"/>
      <c r="EW258" s="17"/>
      <c r="EX258" s="17"/>
      <c r="EY258" s="17"/>
      <c r="EZ258" s="17"/>
      <c r="FA258" s="17"/>
      <c r="FB258" s="17"/>
      <c r="FC258" s="17"/>
      <c r="FD258" s="17"/>
      <c r="FE258" s="17"/>
      <c r="FF258" s="17"/>
      <c r="FG258" s="17"/>
      <c r="FH258" s="17"/>
      <c r="FI258" s="17"/>
      <c r="FJ258" s="17"/>
      <c r="FK258" s="17"/>
      <c r="FL258" s="17"/>
      <c r="FM258" s="17"/>
      <c r="FN258" s="17"/>
      <c r="FO258" s="17"/>
      <c r="FP258" s="17"/>
      <c r="FQ258" s="17"/>
      <c r="FR258" s="17"/>
      <c r="FS258" s="17"/>
      <c r="FT258" s="17"/>
      <c r="FU258" s="17"/>
      <c r="FV258" s="17"/>
      <c r="FW258" s="17"/>
      <c r="FX258" s="17"/>
      <c r="FY258" s="17"/>
      <c r="FZ258" s="17"/>
      <c r="GA258" s="17"/>
      <c r="GB258" s="17"/>
      <c r="GC258" s="17"/>
      <c r="GD258" s="17"/>
      <c r="GE258" s="17"/>
      <c r="GF258" s="17"/>
      <c r="GG258" s="17"/>
      <c r="GH258" s="17"/>
      <c r="GI258" s="17"/>
      <c r="GJ258" s="17"/>
      <c r="GK258" s="17"/>
      <c r="GL258" s="17"/>
      <c r="GM258" s="17"/>
      <c r="GN258" s="17"/>
      <c r="GO258" s="17"/>
      <c r="GP258" s="17"/>
      <c r="GQ258" s="17"/>
      <c r="GR258" s="17"/>
      <c r="GS258" s="17"/>
      <c r="GT258" s="17"/>
      <c r="GU258" s="17"/>
      <c r="GV258" s="17"/>
      <c r="GW258" s="17"/>
      <c r="GX258" s="17"/>
      <c r="GY258" s="17"/>
      <c r="GZ258" s="17"/>
      <c r="HA258" s="17"/>
      <c r="HB258" s="17"/>
      <c r="HC258" s="17"/>
      <c r="HD258" s="17"/>
      <c r="HE258" s="17"/>
      <c r="HF258" s="17"/>
      <c r="HG258" s="17"/>
      <c r="HH258" s="17"/>
      <c r="HI258" s="17"/>
      <c r="HJ258" s="17"/>
      <c r="HK258" s="17"/>
      <c r="HL258" s="17"/>
      <c r="HM258" s="17"/>
      <c r="HN258" s="17"/>
      <c r="HO258" s="17"/>
      <c r="HP258" s="17"/>
      <c r="HQ258" s="17"/>
      <c r="HR258" s="17"/>
      <c r="HS258" s="17"/>
      <c r="HT258" s="17"/>
      <c r="HU258" s="17"/>
      <c r="HV258" s="17"/>
      <c r="HW258" s="17"/>
      <c r="HX258" s="17"/>
      <c r="HY258" s="17"/>
      <c r="HZ258" s="17"/>
      <c r="IA258" s="17"/>
      <c r="IB258" s="17"/>
      <c r="IC258" s="17"/>
      <c r="ID258" s="17"/>
      <c r="IE258" s="17"/>
      <c r="IF258" s="17"/>
      <c r="IG258" s="17"/>
      <c r="IH258" s="17"/>
      <c r="II258" s="17"/>
      <c r="IJ258" s="17"/>
      <c r="IK258" s="17"/>
      <c r="IL258" s="17"/>
      <c r="IM258" s="17"/>
      <c r="IN258" s="17"/>
      <c r="IO258" s="17"/>
      <c r="IP258" s="17"/>
      <c r="IQ258" s="17"/>
      <c r="IR258" s="17"/>
      <c r="IS258" s="17"/>
      <c r="IT258" s="17"/>
      <c r="IU258" s="17"/>
      <c r="IV258" s="17"/>
      <c r="IW258" s="17"/>
      <c r="IX258" s="17"/>
    </row>
    <row r="259" spans="2:258" x14ac:dyDescent="0.15">
      <c r="B259" s="18" t="str">
        <f>"  "&amp;'グラフ設定（地域別）'!L2</f>
        <v xml:space="preserve">  </v>
      </c>
      <c r="C259" s="19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  <c r="EP259" s="17"/>
      <c r="EQ259" s="17"/>
      <c r="ER259" s="17"/>
      <c r="ES259" s="17"/>
      <c r="ET259" s="17"/>
      <c r="EU259" s="17"/>
      <c r="EV259" s="17"/>
      <c r="EW259" s="17"/>
      <c r="EX259" s="17"/>
      <c r="EY259" s="17"/>
      <c r="EZ259" s="17"/>
      <c r="FA259" s="17"/>
      <c r="FB259" s="17"/>
      <c r="FC259" s="17"/>
      <c r="FD259" s="17"/>
      <c r="FE259" s="17"/>
      <c r="FF259" s="17"/>
      <c r="FG259" s="17"/>
      <c r="FH259" s="17"/>
      <c r="FI259" s="17"/>
      <c r="FJ259" s="17"/>
      <c r="FK259" s="17"/>
      <c r="FL259" s="17"/>
      <c r="FM259" s="17"/>
      <c r="FN259" s="17"/>
      <c r="FO259" s="17"/>
      <c r="FP259" s="17"/>
      <c r="FQ259" s="17"/>
      <c r="FR259" s="17"/>
      <c r="FS259" s="17"/>
      <c r="FT259" s="17"/>
      <c r="FU259" s="17"/>
      <c r="FV259" s="17"/>
      <c r="FW259" s="17"/>
      <c r="FX259" s="17"/>
      <c r="FY259" s="17"/>
      <c r="FZ259" s="17"/>
      <c r="GA259" s="17"/>
      <c r="GB259" s="17"/>
      <c r="GC259" s="17"/>
      <c r="GD259" s="17"/>
      <c r="GE259" s="17"/>
      <c r="GF259" s="17"/>
      <c r="GG259" s="17"/>
      <c r="GH259" s="17"/>
      <c r="GI259" s="17"/>
      <c r="GJ259" s="17"/>
      <c r="GK259" s="17"/>
      <c r="GL259" s="17"/>
      <c r="GM259" s="17"/>
      <c r="GN259" s="17"/>
      <c r="GO259" s="17"/>
      <c r="GP259" s="17"/>
      <c r="GQ259" s="17"/>
      <c r="GR259" s="17"/>
      <c r="GS259" s="17"/>
      <c r="GT259" s="17"/>
      <c r="GU259" s="17"/>
      <c r="GV259" s="17"/>
      <c r="GW259" s="17"/>
      <c r="GX259" s="17"/>
      <c r="GY259" s="17"/>
      <c r="GZ259" s="17"/>
      <c r="HA259" s="17"/>
      <c r="HB259" s="17"/>
      <c r="HC259" s="17"/>
      <c r="HD259" s="17"/>
      <c r="HE259" s="17"/>
      <c r="HF259" s="17"/>
      <c r="HG259" s="17"/>
      <c r="HH259" s="17"/>
      <c r="HI259" s="17"/>
      <c r="HJ259" s="17"/>
      <c r="HK259" s="17"/>
      <c r="HL259" s="17"/>
      <c r="HM259" s="17"/>
      <c r="HN259" s="17"/>
      <c r="HO259" s="17"/>
      <c r="HP259" s="17"/>
      <c r="HQ259" s="17"/>
      <c r="HR259" s="17"/>
      <c r="HS259" s="17"/>
      <c r="HT259" s="17"/>
      <c r="HU259" s="17"/>
      <c r="HV259" s="17"/>
      <c r="HW259" s="17"/>
      <c r="HX259" s="17"/>
      <c r="HY259" s="17"/>
      <c r="HZ259" s="17"/>
      <c r="IA259" s="17"/>
      <c r="IB259" s="17"/>
      <c r="IC259" s="17"/>
      <c r="ID259" s="17"/>
      <c r="IE259" s="17"/>
      <c r="IF259" s="17"/>
      <c r="IG259" s="17"/>
      <c r="IH259" s="17"/>
      <c r="II259" s="17"/>
      <c r="IJ259" s="17"/>
      <c r="IK259" s="17"/>
      <c r="IL259" s="17"/>
      <c r="IM259" s="17"/>
      <c r="IN259" s="17"/>
      <c r="IO259" s="17"/>
      <c r="IP259" s="17"/>
      <c r="IQ259" s="17"/>
      <c r="IR259" s="17"/>
      <c r="IS259" s="17"/>
      <c r="IT259" s="17"/>
      <c r="IU259" s="17"/>
      <c r="IV259" s="17"/>
      <c r="IW259" s="17"/>
      <c r="IX259" s="17"/>
    </row>
    <row r="260" spans="2:258" x14ac:dyDescent="0.15">
      <c r="B260" s="24" t="str">
        <f>"（時点）"&amp;'グラフ設定（地域別）'!D2</f>
        <v>（時点）令和5年(2023年)</v>
      </c>
      <c r="C260" s="24"/>
      <c r="D260" s="24"/>
      <c r="E260" s="24"/>
      <c r="F260" s="24"/>
      <c r="G260" s="24"/>
      <c r="H260" s="24"/>
      <c r="I260" s="4"/>
      <c r="J260" s="4"/>
    </row>
    <row r="261" spans="2:258" s="20" customFormat="1" ht="60.75" customHeight="1" x14ac:dyDescent="0.15">
      <c r="B261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1" s="25"/>
      <c r="D261" s="25"/>
      <c r="E261" s="25"/>
      <c r="F261" s="25"/>
      <c r="G261" s="25"/>
      <c r="H261" s="25"/>
    </row>
  </sheetData>
  <mergeCells count="2">
    <mergeCell ref="B260:H260"/>
    <mergeCell ref="B261:H26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2015-09-18T01:02:35Z</dcterms:created>
  <dcterms:modified xsi:type="dcterms:W3CDTF">2022-08-19T08:20:25Z</dcterms:modified>
</cp:coreProperties>
</file>