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3B98A0AC-1663-4501-97C2-D602DC9B9BD7}" xr6:coauthVersionLast="47" xr6:coauthVersionMax="47" xr10:uidLastSave="{00000000-0000-0000-0000-000000000000}"/>
  <bookViews>
    <workbookView xWindow="-120" yWindow="-120" windowWidth="29040" windowHeight="15720" tabRatio="826" xr2:uid="{00000000-000D-0000-FFFF-FFFF00000000}"/>
  </bookViews>
  <sheets>
    <sheet name="概要" sheetId="5" r:id="rId1"/>
    <sheet name="data" sheetId="14" state="hidden" r:id="rId2"/>
    <sheet name="施策反映 認定者数" sheetId="2" r:id="rId3"/>
    <sheet name="施策反映 施設・居住系サービス利用者数" sheetId="6" r:id="rId4"/>
    <sheet name="施策反映 在宅サービス利用者数" sheetId="7" r:id="rId5"/>
    <sheet name="(参考)在宅・居住系・施設1人1月あたり給付費" sheetId="8" r:id="rId6"/>
    <sheet name="(参考)1人(1回(日))1月あたり給付費(在宅)" sheetId="10" r:id="rId7"/>
    <sheet name="(参考)1人(1回(日))1月あたり給付費(居住系)" sheetId="11" r:id="rId8"/>
    <sheet name="(参考)1人(1回(日))1月あたり給付費(施設)" sheetId="12" r:id="rId9"/>
    <sheet name="在宅サービス1人1月あたり利用回（日）数" sheetId="13" r:id="rId10"/>
  </sheets>
  <definedNames>
    <definedName name="_xlnm.Print_Area" localSheetId="7">'(参考)1人(1回(日))1月あたり給付費(居住系)'!$A$1:$L$91</definedName>
    <definedName name="_xlnm.Print_Area" localSheetId="6">'(参考)1人(1回(日))1月あたり給付費(在宅)'!$A$1:$L$517</definedName>
    <definedName name="_xlnm.Print_Area" localSheetId="8">'(参考)1人(1回(日))1月あたり給付費(施設)'!$A$1:$L$61</definedName>
    <definedName name="_xlnm.Print_Area" localSheetId="5">'(参考)在宅・居住系・施設1人1月あたり給付費'!$A$1:$K$73</definedName>
    <definedName name="_xlnm.Print_Area" localSheetId="0">概要!$A$1:$F$32</definedName>
    <definedName name="_xlnm.Print_Area" localSheetId="9">'在宅サービス1人1月あたり利用回（日）数'!$A$1:$I$271</definedName>
    <definedName name="_xlnm.Print_Area" localSheetId="4">'施策反映 在宅サービス利用者数'!$A$1:$K$105</definedName>
    <definedName name="_xlnm.Print_Area" localSheetId="3">'施策反映 施設・居住系サービス利用者数'!$A$1:$K$61</definedName>
    <definedName name="_xlnm.Print_Area" localSheetId="2">'施策反映 認定者数'!$A$1:$L$45</definedName>
    <definedName name="_xlnm.Print_Titles" localSheetId="7">'(参考)1人(1回(日))1月あたり給付費(居住系)'!$5:$6</definedName>
    <definedName name="_xlnm.Print_Titles" localSheetId="6">'(参考)1人(1回(日))1月あたり給付費(在宅)'!$5:$6</definedName>
    <definedName name="_xlnm.Print_Titles" localSheetId="8">'(参考)1人(1回(日))1月あたり給付費(施設)'!$5:$6</definedName>
    <definedName name="_xlnm.Print_Titles" localSheetId="5">'(参考)在宅・居住系・施設1人1月あたり給付費'!$5:$6</definedName>
    <definedName name="_xlnm.Print_Titles" localSheetId="9">'在宅サービス1人1月あたり利用回（日）数'!$5:$6</definedName>
    <definedName name="_xlnm.Print_Titles" localSheetId="4">'施策反映 在宅サービス利用者数'!$35:$36</definedName>
    <definedName name="_xlnm.Print_Titles" localSheetId="2">'施策反映 認定者数'!$36:$36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14" l="1"/>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4"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79" i="13" l="1"/>
  <c r="H51" i="13"/>
  <c r="H231" i="13"/>
  <c r="H31" i="13"/>
  <c r="H163" i="13"/>
  <c r="H75" i="13"/>
  <c r="H251" i="13"/>
  <c r="H159" i="13"/>
  <c r="H55" i="13"/>
  <c r="H9" i="13"/>
  <c r="G233" i="13"/>
  <c r="G229" i="13"/>
  <c r="G209" i="13"/>
  <c r="G185" i="13"/>
  <c r="G161" i="13"/>
  <c r="G137" i="13"/>
  <c r="G117" i="13"/>
  <c r="G101" i="13"/>
  <c r="G77" i="13"/>
  <c r="G49" i="13"/>
  <c r="G29" i="13"/>
  <c r="G249" i="13"/>
  <c r="G181" i="13"/>
  <c r="G133" i="13"/>
  <c r="G53" i="13"/>
  <c r="H249" i="13"/>
  <c r="H229" i="13"/>
  <c r="G247" i="13"/>
  <c r="G211" i="13"/>
  <c r="G187" i="13"/>
  <c r="G163" i="13"/>
  <c r="G139" i="13"/>
  <c r="G119" i="13"/>
  <c r="H248" i="13"/>
  <c r="H232" i="13"/>
  <c r="H208" i="13"/>
  <c r="H188" i="13"/>
  <c r="H184" i="13"/>
  <c r="H160" i="13"/>
  <c r="H136" i="13"/>
  <c r="H116" i="13"/>
  <c r="H100" i="13"/>
  <c r="H80" i="13"/>
  <c r="H74" i="13"/>
  <c r="H56" i="13"/>
  <c r="H54" i="13"/>
  <c r="H52" i="13"/>
  <c r="H28" i="13"/>
  <c r="H12" i="13"/>
  <c r="H8" i="13"/>
  <c r="G157" i="13"/>
  <c r="H117" i="13"/>
  <c r="H181" i="13"/>
  <c r="H157" i="13"/>
  <c r="H133" i="13"/>
  <c r="H73" i="13"/>
  <c r="H53" i="13"/>
  <c r="H29" i="13"/>
  <c r="H25" i="13"/>
  <c r="H254" i="13"/>
  <c r="H250" i="13"/>
  <c r="H234" i="13"/>
  <c r="H230" i="13"/>
  <c r="H210" i="13"/>
  <c r="H206" i="13"/>
  <c r="H182" i="13"/>
  <c r="H162" i="13"/>
  <c r="H158" i="13"/>
  <c r="H134" i="13"/>
  <c r="H118" i="13"/>
  <c r="H98" i="13"/>
  <c r="H50" i="13"/>
  <c r="H10" i="13"/>
  <c r="G250" i="13"/>
  <c r="G232" i="13"/>
  <c r="G230" i="13"/>
  <c r="G210" i="13"/>
  <c r="G186" i="13"/>
  <c r="G184" i="13"/>
  <c r="G182" i="13"/>
  <c r="G158" i="13"/>
  <c r="G138" i="13"/>
  <c r="G136" i="13"/>
  <c r="G118" i="13"/>
  <c r="G116" i="13"/>
  <c r="G102" i="13"/>
  <c r="G98" i="13"/>
  <c r="G78" i="13"/>
  <c r="G56" i="13"/>
  <c r="G50" i="13"/>
  <c r="G12" i="13"/>
  <c r="G10" i="13"/>
  <c r="H7" i="13"/>
  <c r="J459" i="10"/>
  <c r="J9" i="12"/>
  <c r="J37" i="11"/>
  <c r="J485" i="10"/>
  <c r="J29" i="12"/>
  <c r="J73" i="11"/>
  <c r="J13" i="11"/>
  <c r="J461" i="10"/>
  <c r="J45" i="12"/>
  <c r="J25" i="12"/>
  <c r="J77" i="11"/>
  <c r="J57" i="11"/>
  <c r="J33" i="11"/>
  <c r="J9" i="11"/>
  <c r="J481" i="10"/>
  <c r="J457" i="10"/>
  <c r="J7" i="11"/>
  <c r="J463" i="10"/>
  <c r="J418" i="10"/>
  <c r="K418" i="10"/>
  <c r="J382" i="10"/>
  <c r="K382" i="10"/>
  <c r="J338" i="10"/>
  <c r="K338" i="10"/>
  <c r="J310" i="10"/>
  <c r="K310" i="10"/>
  <c r="J262" i="10"/>
  <c r="K262" i="10"/>
  <c r="J218" i="10"/>
  <c r="K218" i="10"/>
  <c r="J170" i="10"/>
  <c r="K170" i="10"/>
  <c r="J142" i="10"/>
  <c r="K142" i="10"/>
  <c r="J102" i="10"/>
  <c r="K102" i="10"/>
  <c r="J74" i="10"/>
  <c r="K74" i="10"/>
  <c r="J30" i="10"/>
  <c r="K30" i="10"/>
  <c r="I60" i="8"/>
  <c r="J60" i="8"/>
  <c r="K437" i="10"/>
  <c r="J437" i="10"/>
  <c r="J433" i="10"/>
  <c r="J417" i="10"/>
  <c r="J401" i="10"/>
  <c r="K397" i="10"/>
  <c r="J397" i="10"/>
  <c r="J381" i="10"/>
  <c r="K337" i="10"/>
  <c r="J337" i="10"/>
  <c r="J333" i="10"/>
  <c r="K313" i="10"/>
  <c r="J313" i="10"/>
  <c r="J309" i="10"/>
  <c r="K289" i="10"/>
  <c r="J289" i="10"/>
  <c r="J285" i="10"/>
  <c r="J265" i="10"/>
  <c r="J261" i="10"/>
  <c r="K241" i="10"/>
  <c r="J241" i="10"/>
  <c r="J237" i="10"/>
  <c r="K217" i="10"/>
  <c r="J217" i="10"/>
  <c r="J213" i="10"/>
  <c r="K193" i="10"/>
  <c r="J193" i="10"/>
  <c r="J189" i="10"/>
  <c r="J169" i="10"/>
  <c r="J165" i="10"/>
  <c r="K145" i="10"/>
  <c r="J145" i="10"/>
  <c r="J141" i="10"/>
  <c r="J125" i="10"/>
  <c r="J121" i="10"/>
  <c r="K101" i="10"/>
  <c r="J101" i="10"/>
  <c r="J97" i="10"/>
  <c r="K77" i="10"/>
  <c r="J77" i="10"/>
  <c r="J73" i="10"/>
  <c r="K53" i="10"/>
  <c r="J53" i="10"/>
  <c r="J49" i="10"/>
  <c r="J29" i="10"/>
  <c r="J25" i="10"/>
  <c r="K9" i="10"/>
  <c r="J9" i="10"/>
  <c r="I59" i="8"/>
  <c r="I55" i="8"/>
  <c r="I35" i="8"/>
  <c r="I11" i="8"/>
  <c r="I19" i="8" s="1"/>
  <c r="I27" i="8" s="1"/>
  <c r="K46" i="12"/>
  <c r="K30" i="12"/>
  <c r="K26" i="12"/>
  <c r="K10" i="12"/>
  <c r="K78" i="11"/>
  <c r="K58" i="11"/>
  <c r="K38" i="11"/>
  <c r="K34" i="11"/>
  <c r="K14" i="11"/>
  <c r="K10" i="11"/>
  <c r="K484" i="10"/>
  <c r="K482" i="10"/>
  <c r="K462" i="10"/>
  <c r="K458" i="10"/>
  <c r="K435" i="10"/>
  <c r="K415" i="10"/>
  <c r="K383" i="10"/>
  <c r="K335" i="10"/>
  <c r="K311" i="10"/>
  <c r="K287" i="10"/>
  <c r="K239" i="10"/>
  <c r="J37" i="8"/>
  <c r="J13" i="8"/>
  <c r="J21" i="8" s="1"/>
  <c r="J29" i="8" s="1"/>
  <c r="K74" i="11"/>
  <c r="K486" i="10"/>
  <c r="J438" i="10"/>
  <c r="K438" i="10"/>
  <c r="J402" i="10"/>
  <c r="K402" i="10"/>
  <c r="J334" i="10"/>
  <c r="K334" i="10"/>
  <c r="J290" i="10"/>
  <c r="K290" i="10"/>
  <c r="J266" i="10"/>
  <c r="K266" i="10"/>
  <c r="J238" i="10"/>
  <c r="K238" i="10"/>
  <c r="J194" i="10"/>
  <c r="K194" i="10"/>
  <c r="J166" i="10"/>
  <c r="K166" i="10"/>
  <c r="J126" i="10"/>
  <c r="K126" i="10"/>
  <c r="J98" i="10"/>
  <c r="K98" i="10"/>
  <c r="J50" i="10"/>
  <c r="K50" i="10"/>
  <c r="J10" i="10"/>
  <c r="I36" i="8"/>
  <c r="J36" i="8"/>
  <c r="K48" i="12"/>
  <c r="K44" i="12"/>
  <c r="K12" i="12"/>
  <c r="K8" i="12"/>
  <c r="K76" i="11"/>
  <c r="K60" i="11"/>
  <c r="K8" i="11"/>
  <c r="K464" i="10"/>
  <c r="K440" i="10"/>
  <c r="K436" i="10"/>
  <c r="J420" i="10"/>
  <c r="K420" i="10"/>
  <c r="J416" i="10"/>
  <c r="K416" i="10"/>
  <c r="J400" i="10"/>
  <c r="K400" i="10"/>
  <c r="J384" i="10"/>
  <c r="K384" i="10"/>
  <c r="J380" i="10"/>
  <c r="K380" i="10"/>
  <c r="J336" i="10"/>
  <c r="K336" i="10"/>
  <c r="J332" i="10"/>
  <c r="K332" i="10"/>
  <c r="J312" i="10"/>
  <c r="K312" i="10"/>
  <c r="J308" i="10"/>
  <c r="K308" i="10"/>
  <c r="J288" i="10"/>
  <c r="K288" i="10"/>
  <c r="K284" i="10"/>
  <c r="J264" i="10"/>
  <c r="K264" i="10"/>
  <c r="J260" i="10"/>
  <c r="K260" i="10"/>
  <c r="J240" i="10"/>
  <c r="K240" i="10"/>
  <c r="J236" i="10"/>
  <c r="K236" i="10"/>
  <c r="J216" i="10"/>
  <c r="K216" i="10"/>
  <c r="J212" i="10"/>
  <c r="K212" i="10"/>
  <c r="J192" i="10"/>
  <c r="K192" i="10"/>
  <c r="J188" i="10"/>
  <c r="K188" i="10"/>
  <c r="J168" i="10"/>
  <c r="K168" i="10"/>
  <c r="J164" i="10"/>
  <c r="J144" i="10"/>
  <c r="K144" i="10"/>
  <c r="J140" i="10"/>
  <c r="K140" i="10"/>
  <c r="J124" i="10"/>
  <c r="K124" i="10"/>
  <c r="J104" i="10"/>
  <c r="K104" i="10"/>
  <c r="J100" i="10"/>
  <c r="K100" i="10"/>
  <c r="J80" i="10"/>
  <c r="K80" i="10"/>
  <c r="J76" i="10"/>
  <c r="K76" i="10"/>
  <c r="J56" i="10"/>
  <c r="K56" i="10"/>
  <c r="J52" i="10"/>
  <c r="K52" i="10"/>
  <c r="J32" i="10"/>
  <c r="K32" i="10"/>
  <c r="J28" i="10"/>
  <c r="K28" i="10"/>
  <c r="J12" i="10"/>
  <c r="J8" i="10"/>
  <c r="K8" i="10"/>
  <c r="I58" i="8"/>
  <c r="J58" i="8"/>
  <c r="I38" i="8"/>
  <c r="J38" i="8"/>
  <c r="I34" i="8"/>
  <c r="J34" i="8"/>
  <c r="I14" i="8"/>
  <c r="I22" i="8" s="1"/>
  <c r="I30" i="8" s="1"/>
  <c r="J14" i="8"/>
  <c r="J22" i="8" s="1"/>
  <c r="J30" i="8" s="1"/>
  <c r="I10" i="8"/>
  <c r="I18" i="8" s="1"/>
  <c r="I26" i="8" s="1"/>
  <c r="J10" i="8"/>
  <c r="J18" i="8" s="1"/>
  <c r="J26" i="8" s="1"/>
  <c r="J48" i="12"/>
  <c r="J44" i="12"/>
  <c r="J28" i="12"/>
  <c r="J12" i="12"/>
  <c r="J10" i="12"/>
  <c r="J8" i="12"/>
  <c r="J76" i="11"/>
  <c r="J74" i="11"/>
  <c r="J60" i="11"/>
  <c r="J58" i="11"/>
  <c r="J56" i="11"/>
  <c r="J36" i="11"/>
  <c r="J32" i="11"/>
  <c r="J12" i="11"/>
  <c r="J8" i="11"/>
  <c r="J464" i="10"/>
  <c r="J460" i="10"/>
  <c r="J458" i="10"/>
  <c r="J440" i="10"/>
  <c r="K433" i="10"/>
  <c r="K401" i="10"/>
  <c r="K381" i="10"/>
  <c r="K333" i="10"/>
  <c r="K309" i="10"/>
  <c r="K285" i="10"/>
  <c r="K261" i="10"/>
  <c r="K237" i="10"/>
  <c r="K213" i="10"/>
  <c r="K189" i="10"/>
  <c r="K165" i="10"/>
  <c r="K141" i="10"/>
  <c r="K121" i="10"/>
  <c r="K97" i="10"/>
  <c r="K49" i="10"/>
  <c r="K25" i="10"/>
  <c r="J59" i="8"/>
  <c r="J35" i="8"/>
  <c r="J11" i="8"/>
  <c r="J19" i="8" s="1"/>
  <c r="J27" i="8" s="1"/>
  <c r="J434" i="10"/>
  <c r="K434" i="10"/>
  <c r="J398" i="10"/>
  <c r="J314" i="10"/>
  <c r="K314" i="10"/>
  <c r="J286" i="10"/>
  <c r="K286" i="10"/>
  <c r="J242" i="10"/>
  <c r="K242" i="10"/>
  <c r="J214" i="10"/>
  <c r="K214" i="10"/>
  <c r="J190" i="10"/>
  <c r="J146" i="10"/>
  <c r="J78" i="10"/>
  <c r="K78" i="10"/>
  <c r="J54" i="10"/>
  <c r="K54" i="10"/>
  <c r="J26" i="10"/>
  <c r="K26" i="10"/>
  <c r="I56" i="8"/>
  <c r="J56" i="8"/>
  <c r="I12" i="8"/>
  <c r="I20" i="8" s="1"/>
  <c r="I28" i="8" s="1"/>
  <c r="J12" i="8"/>
  <c r="J20" i="8" s="1"/>
  <c r="J28" i="8" s="1"/>
  <c r="I8" i="8"/>
  <c r="I16" i="8" s="1"/>
  <c r="I24" i="8" s="1"/>
  <c r="J8" i="8"/>
  <c r="J16" i="8" s="1"/>
  <c r="J24" i="8" s="1"/>
  <c r="J27" i="12"/>
  <c r="J11" i="12"/>
  <c r="J7" i="12"/>
  <c r="J75" i="11"/>
  <c r="J35" i="11"/>
  <c r="J483" i="10"/>
  <c r="J439" i="10"/>
  <c r="J419" i="10"/>
  <c r="J399" i="10"/>
  <c r="J379" i="10"/>
  <c r="J331" i="10"/>
  <c r="J283" i="10"/>
  <c r="J259" i="10"/>
  <c r="K215" i="10"/>
  <c r="J215" i="10"/>
  <c r="J211" i="10"/>
  <c r="K191" i="10"/>
  <c r="J191" i="10"/>
  <c r="K167" i="10"/>
  <c r="J167" i="10"/>
  <c r="J163" i="10"/>
  <c r="K143" i="10"/>
  <c r="J143" i="10"/>
  <c r="J139" i="10"/>
  <c r="K123" i="10"/>
  <c r="J123" i="10"/>
  <c r="J103" i="10"/>
  <c r="K99" i="10"/>
  <c r="J99" i="10"/>
  <c r="J79" i="10"/>
  <c r="K75" i="10"/>
  <c r="J75" i="10"/>
  <c r="J55" i="10"/>
  <c r="K51" i="10"/>
  <c r="J51" i="10"/>
  <c r="J31" i="10"/>
  <c r="K27" i="10"/>
  <c r="J27" i="10"/>
  <c r="J11" i="10"/>
  <c r="K7" i="10"/>
  <c r="J7" i="10"/>
  <c r="I57" i="8"/>
  <c r="K47" i="12"/>
  <c r="K43" i="12"/>
  <c r="K27" i="12"/>
  <c r="K7" i="12"/>
  <c r="K75" i="11"/>
  <c r="K59" i="11"/>
  <c r="K55" i="11"/>
  <c r="K35" i="11"/>
  <c r="K11" i="11"/>
  <c r="K483" i="10"/>
  <c r="K439" i="10"/>
  <c r="K419" i="10"/>
  <c r="K399" i="10"/>
  <c r="K379" i="10"/>
  <c r="K331" i="10"/>
  <c r="K307" i="10"/>
  <c r="K283" i="10"/>
  <c r="K259" i="10"/>
  <c r="K211" i="10"/>
  <c r="K187" i="10"/>
  <c r="K163" i="10"/>
  <c r="K139" i="10"/>
  <c r="K103" i="10"/>
  <c r="K79" i="10"/>
  <c r="K55" i="10"/>
  <c r="K31" i="10"/>
  <c r="K11" i="10"/>
  <c r="J57" i="8"/>
  <c r="J9" i="8"/>
  <c r="J17" i="8" s="1"/>
  <c r="J25" i="8" s="1"/>
  <c r="J7" i="8"/>
  <c r="J15" i="8" s="1"/>
  <c r="J23" i="8" s="1"/>
  <c r="J103" i="7"/>
  <c r="J91" i="7"/>
  <c r="J78" i="7"/>
  <c r="J97" i="7"/>
  <c r="I97" i="7"/>
  <c r="J100" i="7"/>
  <c r="J88" i="7"/>
  <c r="J81" i="7"/>
  <c r="J75" i="7"/>
  <c r="J94" i="7"/>
  <c r="I103" i="7"/>
  <c r="I94" i="7"/>
  <c r="I81" i="7"/>
  <c r="I63" i="7"/>
  <c r="I57" i="7"/>
  <c r="I51" i="7"/>
  <c r="J39" i="7"/>
  <c r="J72" i="7"/>
  <c r="J66" i="7"/>
  <c r="J60" i="7"/>
  <c r="J54" i="7"/>
  <c r="J48" i="7"/>
  <c r="I72" i="7"/>
  <c r="I60" i="7"/>
  <c r="I48" i="7"/>
  <c r="I69" i="7"/>
  <c r="I66" i="7"/>
  <c r="I54" i="7"/>
  <c r="J49" i="6"/>
  <c r="J69" i="7"/>
  <c r="J45" i="7"/>
  <c r="J42" i="7"/>
  <c r="J59" i="6"/>
  <c r="J53" i="6"/>
  <c r="J46" i="6"/>
  <c r="I46" i="6"/>
  <c r="I59" i="6"/>
  <c r="I56" i="6"/>
  <c r="I43" i="6"/>
  <c r="J39" i="6"/>
  <c r="I39" i="6"/>
  <c r="J41" i="2"/>
  <c r="K41" i="2"/>
  <c r="H119" i="13"/>
  <c r="I100" i="7"/>
  <c r="I78" i="7"/>
  <c r="J55" i="11"/>
  <c r="J43" i="6"/>
  <c r="J11" i="11"/>
  <c r="I49" i="6"/>
  <c r="H187" i="13"/>
  <c r="G234" i="13"/>
  <c r="H211" i="13"/>
  <c r="H139" i="13"/>
  <c r="J55" i="8"/>
  <c r="K169" i="10"/>
  <c r="G73" i="13"/>
  <c r="G9" i="13"/>
  <c r="J43" i="12"/>
  <c r="K28" i="12"/>
  <c r="K12" i="11"/>
  <c r="J187" i="10"/>
  <c r="K417" i="10"/>
  <c r="I88" i="7"/>
  <c r="I75" i="7"/>
  <c r="I45" i="7"/>
  <c r="J47" i="12"/>
  <c r="J436" i="10"/>
  <c r="H186" i="13"/>
  <c r="H102" i="13"/>
  <c r="H78" i="13"/>
  <c r="K56" i="11"/>
  <c r="K36" i="11"/>
  <c r="K32" i="11"/>
  <c r="K460" i="10"/>
  <c r="K265" i="10"/>
  <c r="K125" i="10"/>
  <c r="K73" i="10"/>
  <c r="K29" i="10"/>
  <c r="J56" i="6"/>
  <c r="H138" i="13"/>
  <c r="I39" i="7"/>
  <c r="H247" i="13"/>
  <c r="G206" i="13"/>
  <c r="G25" i="13"/>
  <c r="J10" i="11"/>
  <c r="J462" i="10"/>
  <c r="J30" i="12"/>
  <c r="G97" i="13"/>
  <c r="H97" i="13"/>
  <c r="J484" i="10"/>
  <c r="K190" i="10"/>
  <c r="I42" i="7"/>
  <c r="I7" i="8"/>
  <c r="I15" i="8" s="1"/>
  <c r="I23" i="8" s="1"/>
  <c r="H252" i="13"/>
  <c r="G252" i="13"/>
  <c r="G160" i="13"/>
  <c r="G134" i="13"/>
  <c r="G74" i="13"/>
  <c r="G28" i="13"/>
  <c r="K7" i="11"/>
  <c r="G208" i="13"/>
  <c r="H76" i="13"/>
  <c r="G76" i="13"/>
  <c r="H49" i="13"/>
  <c r="G26" i="13"/>
  <c r="H26" i="13"/>
  <c r="K463" i="10"/>
  <c r="I91" i="7"/>
  <c r="J57" i="7"/>
  <c r="I53" i="6"/>
  <c r="G54" i="13"/>
  <c r="J63" i="7"/>
  <c r="G254" i="13"/>
  <c r="G162" i="13"/>
  <c r="H101" i="13"/>
  <c r="H77" i="13"/>
  <c r="H30" i="13"/>
  <c r="G30" i="13"/>
  <c r="J26" i="12"/>
  <c r="K11" i="12"/>
  <c r="J59" i="11"/>
  <c r="K459" i="10"/>
  <c r="J307" i="10"/>
  <c r="J14" i="11"/>
  <c r="J122" i="10"/>
  <c r="K122" i="10"/>
  <c r="H164" i="13"/>
  <c r="G164" i="13"/>
  <c r="H120" i="13"/>
  <c r="G120" i="13"/>
  <c r="J78" i="11"/>
  <c r="G251" i="13"/>
  <c r="G231" i="13"/>
  <c r="G207" i="13"/>
  <c r="H207" i="13"/>
  <c r="G183" i="13"/>
  <c r="H183" i="13"/>
  <c r="G159" i="13"/>
  <c r="G135" i="13"/>
  <c r="H135" i="13"/>
  <c r="G51" i="13"/>
  <c r="K9" i="12"/>
  <c r="K485" i="10"/>
  <c r="H212" i="13"/>
  <c r="G212" i="13"/>
  <c r="G188" i="13"/>
  <c r="H32" i="13"/>
  <c r="G32" i="13"/>
  <c r="J482" i="10"/>
  <c r="G253" i="13"/>
  <c r="H253" i="13"/>
  <c r="H233" i="13"/>
  <c r="H209" i="13"/>
  <c r="H185" i="13"/>
  <c r="H161" i="13"/>
  <c r="H137" i="13"/>
  <c r="G80" i="13"/>
  <c r="J46" i="12"/>
  <c r="J34" i="11"/>
  <c r="G248" i="13"/>
  <c r="H140" i="13"/>
  <c r="G140" i="13"/>
  <c r="G99" i="13"/>
  <c r="H99" i="13"/>
  <c r="G7" i="13"/>
  <c r="K37" i="11"/>
  <c r="G79" i="13"/>
  <c r="G31" i="13"/>
  <c r="K45" i="12"/>
  <c r="K77" i="11"/>
  <c r="K33" i="11"/>
  <c r="K481" i="10"/>
  <c r="J435" i="10"/>
  <c r="J415" i="10"/>
  <c r="J383" i="10"/>
  <c r="J335" i="10"/>
  <c r="J311" i="10"/>
  <c r="J287" i="10"/>
  <c r="K263" i="10"/>
  <c r="J263" i="10"/>
  <c r="J239" i="10"/>
  <c r="G100" i="13"/>
  <c r="G75" i="13"/>
  <c r="G52" i="13"/>
  <c r="G27" i="13"/>
  <c r="H27" i="13"/>
  <c r="G8" i="13"/>
  <c r="K29" i="12"/>
  <c r="K73" i="11"/>
  <c r="J38" i="11"/>
  <c r="K13" i="11"/>
  <c r="J486" i="10"/>
  <c r="K461" i="10"/>
  <c r="K398" i="10"/>
  <c r="K370" i="10"/>
  <c r="K378" i="10" s="1"/>
  <c r="G115" i="13"/>
  <c r="H115" i="13"/>
  <c r="G55" i="13"/>
  <c r="G11" i="13"/>
  <c r="H11" i="13"/>
  <c r="K25" i="12"/>
  <c r="K57" i="11"/>
  <c r="K9" i="11"/>
  <c r="K457" i="10"/>
  <c r="J284" i="10"/>
  <c r="K164" i="10"/>
  <c r="K12" i="10"/>
  <c r="I37" i="8"/>
  <c r="I33" i="8"/>
  <c r="J33" i="8"/>
  <c r="I13" i="8"/>
  <c r="I21" i="8" s="1"/>
  <c r="I29" i="8" s="1"/>
  <c r="I9" i="8"/>
  <c r="I17" i="8" s="1"/>
  <c r="I25" i="8" s="1"/>
  <c r="K146" i="10"/>
  <c r="K10" i="10"/>
  <c r="J85" i="7"/>
  <c r="J51" i="7"/>
  <c r="H3" i="14"/>
  <c r="G378" i="10"/>
  <c r="F378" i="10"/>
  <c r="O377" i="10"/>
  <c r="I377" i="10"/>
  <c r="O376" i="10"/>
  <c r="I376" i="10"/>
  <c r="O375" i="10"/>
  <c r="I375" i="10"/>
  <c r="O374" i="10"/>
  <c r="I374" i="10"/>
  <c r="O373" i="10"/>
  <c r="I373" i="10"/>
  <c r="O372" i="10"/>
  <c r="I372" i="10"/>
  <c r="O371" i="10"/>
  <c r="I371" i="10"/>
  <c r="J370" i="10"/>
  <c r="J378" i="10" s="1"/>
  <c r="G370" i="10"/>
  <c r="F370" i="10"/>
  <c r="O369" i="10"/>
  <c r="K369" i="10"/>
  <c r="K377" i="10" s="1"/>
  <c r="J369" i="10"/>
  <c r="J377" i="10" s="1"/>
  <c r="I369" i="10"/>
  <c r="O368" i="10"/>
  <c r="K368" i="10"/>
  <c r="K376" i="10" s="1"/>
  <c r="J368" i="10"/>
  <c r="J376" i="10" s="1"/>
  <c r="I368" i="10"/>
  <c r="O367" i="10"/>
  <c r="K367" i="10"/>
  <c r="K375" i="10" s="1"/>
  <c r="J367" i="10"/>
  <c r="J375" i="10" s="1"/>
  <c r="I367" i="10"/>
  <c r="O366" i="10"/>
  <c r="K366" i="10"/>
  <c r="K374" i="10" s="1"/>
  <c r="J366" i="10"/>
  <c r="J374" i="10" s="1"/>
  <c r="I366" i="10"/>
  <c r="O365" i="10"/>
  <c r="K365" i="10"/>
  <c r="K373" i="10" s="1"/>
  <c r="J365" i="10"/>
  <c r="J373" i="10" s="1"/>
  <c r="I365" i="10"/>
  <c r="O364" i="10"/>
  <c r="K364" i="10"/>
  <c r="K372" i="10" s="1"/>
  <c r="J364" i="10"/>
  <c r="J372" i="10" s="1"/>
  <c r="I364" i="10"/>
  <c r="O363" i="10"/>
  <c r="K363" i="10"/>
  <c r="K371" i="10" s="1"/>
  <c r="J363" i="10"/>
  <c r="J371" i="10" s="1"/>
  <c r="I363" i="10"/>
  <c r="G362" i="10"/>
  <c r="F362" i="10"/>
  <c r="O361" i="10"/>
  <c r="I361" i="10"/>
  <c r="N361" i="10" s="1"/>
  <c r="O360" i="10"/>
  <c r="I360" i="10"/>
  <c r="N360" i="10" s="1"/>
  <c r="O359" i="10"/>
  <c r="I359" i="10"/>
  <c r="N359" i="10" s="1"/>
  <c r="O358" i="10"/>
  <c r="I358" i="10"/>
  <c r="N358" i="10" s="1"/>
  <c r="O357" i="10"/>
  <c r="I357" i="10"/>
  <c r="N357" i="10" s="1"/>
  <c r="O356" i="10"/>
  <c r="I356" i="10"/>
  <c r="N356" i="10" s="1"/>
  <c r="C356" i="10"/>
  <c r="C357" i="10" s="1"/>
  <c r="C358" i="10" s="1"/>
  <c r="C359" i="10" s="1"/>
  <c r="C360" i="10" s="1"/>
  <c r="C361" i="10" s="1"/>
  <c r="C362" i="10" s="1"/>
  <c r="C363" i="10" s="1"/>
  <c r="C364" i="10" s="1"/>
  <c r="C365" i="10" s="1"/>
  <c r="C366" i="10" s="1"/>
  <c r="C367" i="10" s="1"/>
  <c r="C368" i="10" s="1"/>
  <c r="C369" i="10" s="1"/>
  <c r="C370" i="10" s="1"/>
  <c r="C371" i="10" s="1"/>
  <c r="C372" i="10" s="1"/>
  <c r="C373" i="10" s="1"/>
  <c r="C374" i="10" s="1"/>
  <c r="C375" i="10" s="1"/>
  <c r="C376" i="10" s="1"/>
  <c r="C377" i="10" s="1"/>
  <c r="C378" i="10" s="1"/>
  <c r="O355" i="10"/>
  <c r="I355" i="10"/>
  <c r="N355" i="10" s="1"/>
  <c r="H80" i="7"/>
  <c r="I85" i="7"/>
  <c r="E85" i="7"/>
  <c r="N85" i="7" s="1"/>
  <c r="E84" i="7"/>
  <c r="N84" i="7" s="1"/>
  <c r="C84" i="7"/>
  <c r="C85" i="7" s="1"/>
  <c r="N83" i="7"/>
  <c r="J83" i="7"/>
  <c r="I83" i="7"/>
  <c r="H83" i="7"/>
  <c r="F206" i="13"/>
  <c r="F205" i="13"/>
  <c r="N58" i="6"/>
  <c r="P71" i="8"/>
  <c r="P70" i="8"/>
  <c r="P69" i="8"/>
  <c r="P68" i="8"/>
  <c r="P67" i="8"/>
  <c r="O71" i="8"/>
  <c r="O70" i="8"/>
  <c r="O69" i="8"/>
  <c r="O68" i="8"/>
  <c r="O67" i="8"/>
  <c r="P65" i="8"/>
  <c r="P64" i="8"/>
  <c r="P63" i="8"/>
  <c r="P62" i="8"/>
  <c r="P61" i="8"/>
  <c r="O65" i="8"/>
  <c r="O64" i="8"/>
  <c r="O63" i="8"/>
  <c r="O62" i="8"/>
  <c r="O61" i="8"/>
  <c r="P59" i="8"/>
  <c r="P58" i="8"/>
  <c r="P57" i="8"/>
  <c r="P56" i="8"/>
  <c r="P55" i="8"/>
  <c r="O59" i="8"/>
  <c r="O58" i="8"/>
  <c r="O57" i="8"/>
  <c r="O56" i="8"/>
  <c r="O55" i="8"/>
  <c r="H85" i="7" l="1"/>
  <c r="M85" i="7" s="1"/>
  <c r="I378" i="10"/>
  <c r="N378" i="10" s="1"/>
  <c r="I362" i="10"/>
  <c r="N362" i="10" s="1"/>
  <c r="H84" i="7"/>
  <c r="M84" i="7" s="1"/>
  <c r="I370" i="10"/>
  <c r="N370" i="10" s="1"/>
  <c r="K38" i="2"/>
  <c r="N363" i="10"/>
  <c r="N364" i="10"/>
  <c r="N365" i="10"/>
  <c r="N367" i="10"/>
  <c r="N368" i="10"/>
  <c r="N369" i="10"/>
  <c r="J38" i="2"/>
  <c r="N374" i="10"/>
  <c r="N377" i="10"/>
  <c r="N373" i="10"/>
  <c r="N376" i="10"/>
  <c r="N372" i="10"/>
  <c r="N366" i="10"/>
  <c r="N371" i="10"/>
  <c r="N375" i="10"/>
  <c r="M83" i="7"/>
  <c r="D13" i="5"/>
  <c r="J107" i="7" l="1"/>
  <c r="I107" i="7"/>
  <c r="N107" i="7"/>
  <c r="N106" i="7"/>
  <c r="N105" i="7"/>
  <c r="J105" i="7"/>
  <c r="I105" i="7"/>
  <c r="H105" i="7"/>
  <c r="O515" i="10"/>
  <c r="I515" i="10"/>
  <c r="O514" i="10"/>
  <c r="I514" i="10"/>
  <c r="O513" i="10"/>
  <c r="I513" i="10"/>
  <c r="O512" i="10"/>
  <c r="I512" i="10"/>
  <c r="O511" i="10"/>
  <c r="I511" i="10"/>
  <c r="O509" i="10"/>
  <c r="I509" i="10"/>
  <c r="O508" i="10"/>
  <c r="I508" i="10"/>
  <c r="O507" i="10"/>
  <c r="I507" i="10"/>
  <c r="O506" i="10"/>
  <c r="I506" i="10"/>
  <c r="O505" i="10"/>
  <c r="I505" i="10"/>
  <c r="O503" i="10"/>
  <c r="I503" i="10"/>
  <c r="O502" i="10"/>
  <c r="I502" i="10"/>
  <c r="N502" i="10" s="1"/>
  <c r="O501" i="10"/>
  <c r="I501" i="10"/>
  <c r="O500" i="10"/>
  <c r="I500" i="10"/>
  <c r="N500" i="10" s="1"/>
  <c r="C500" i="10"/>
  <c r="C501" i="10" s="1"/>
  <c r="C502" i="10" s="1"/>
  <c r="C503" i="10" s="1"/>
  <c r="C504" i="10" s="1"/>
  <c r="C505" i="10" s="1"/>
  <c r="C506" i="10" s="1"/>
  <c r="C507" i="10" s="1"/>
  <c r="C508" i="10" s="1"/>
  <c r="C509" i="10" s="1"/>
  <c r="C510" i="10" s="1"/>
  <c r="C511" i="10" s="1"/>
  <c r="C512" i="10" s="1"/>
  <c r="C513" i="10" s="1"/>
  <c r="C514" i="10" s="1"/>
  <c r="C515" i="10" s="1"/>
  <c r="C516" i="10" s="1"/>
  <c r="O499" i="10"/>
  <c r="I499" i="10"/>
  <c r="N507" i="10" l="1"/>
  <c r="N509" i="10"/>
  <c r="N503" i="10"/>
  <c r="N506" i="10"/>
  <c r="N499" i="10"/>
  <c r="I504" i="10"/>
  <c r="N504" i="10" s="1"/>
  <c r="I510" i="10"/>
  <c r="N511" i="10"/>
  <c r="H107" i="7"/>
  <c r="M107" i="7" s="1"/>
  <c r="N505" i="10"/>
  <c r="I516" i="10"/>
  <c r="N516" i="10" s="1"/>
  <c r="H106" i="7"/>
  <c r="M106" i="7" s="1"/>
  <c r="N512" i="10"/>
  <c r="M105" i="7"/>
  <c r="N514" i="10"/>
  <c r="N515" i="10"/>
  <c r="N501" i="10"/>
  <c r="N508" i="10"/>
  <c r="N513" i="10"/>
  <c r="H262" i="13"/>
  <c r="H270" i="13" s="1"/>
  <c r="G262" i="13"/>
  <c r="G270" i="13" s="1"/>
  <c r="H261" i="13"/>
  <c r="H269" i="13" s="1"/>
  <c r="G261" i="13"/>
  <c r="G269" i="13" s="1"/>
  <c r="H260" i="13"/>
  <c r="H268" i="13" s="1"/>
  <c r="G260" i="13"/>
  <c r="G268" i="13" s="1"/>
  <c r="H259" i="13"/>
  <c r="H267" i="13" s="1"/>
  <c r="G259" i="13"/>
  <c r="G267" i="13" s="1"/>
  <c r="H258" i="13"/>
  <c r="H266" i="13" s="1"/>
  <c r="G258" i="13"/>
  <c r="G266" i="13" s="1"/>
  <c r="H257" i="13"/>
  <c r="H265" i="13" s="1"/>
  <c r="G257" i="13"/>
  <c r="G265" i="13" s="1"/>
  <c r="H256" i="13"/>
  <c r="H264" i="13" s="1"/>
  <c r="G256" i="13"/>
  <c r="G264" i="13" s="1"/>
  <c r="H255" i="13"/>
  <c r="H263" i="13" s="1"/>
  <c r="G255" i="13"/>
  <c r="G263" i="13" s="1"/>
  <c r="H240" i="13"/>
  <c r="H246" i="13" s="1"/>
  <c r="G240" i="13"/>
  <c r="G246" i="13" s="1"/>
  <c r="H239" i="13"/>
  <c r="H245" i="13" s="1"/>
  <c r="G239" i="13"/>
  <c r="G245" i="13" s="1"/>
  <c r="H238" i="13"/>
  <c r="H244" i="13" s="1"/>
  <c r="G238" i="13"/>
  <c r="G244" i="13" s="1"/>
  <c r="H237" i="13"/>
  <c r="H243" i="13" s="1"/>
  <c r="G237" i="13"/>
  <c r="G243" i="13" s="1"/>
  <c r="H236" i="13"/>
  <c r="H242" i="13" s="1"/>
  <c r="G236" i="13"/>
  <c r="G242" i="13" s="1"/>
  <c r="H235" i="13"/>
  <c r="H241" i="13" s="1"/>
  <c r="G235" i="13"/>
  <c r="G241" i="13" s="1"/>
  <c r="H220" i="13"/>
  <c r="H228" i="13" s="1"/>
  <c r="G220" i="13"/>
  <c r="G228" i="13" s="1"/>
  <c r="H219" i="13"/>
  <c r="H227" i="13" s="1"/>
  <c r="G219" i="13"/>
  <c r="G227" i="13" s="1"/>
  <c r="H218" i="13"/>
  <c r="H226" i="13" s="1"/>
  <c r="G218" i="13"/>
  <c r="G226" i="13" s="1"/>
  <c r="H217" i="13"/>
  <c r="H225" i="13" s="1"/>
  <c r="G217" i="13"/>
  <c r="G225" i="13" s="1"/>
  <c r="H216" i="13"/>
  <c r="H224" i="13" s="1"/>
  <c r="G216" i="13"/>
  <c r="G224" i="13" s="1"/>
  <c r="H215" i="13"/>
  <c r="H223" i="13" s="1"/>
  <c r="G215" i="13"/>
  <c r="G223" i="13" s="1"/>
  <c r="H214" i="13"/>
  <c r="H222" i="13" s="1"/>
  <c r="G214" i="13"/>
  <c r="G222" i="13" s="1"/>
  <c r="H213" i="13"/>
  <c r="H221" i="13" s="1"/>
  <c r="G213" i="13"/>
  <c r="G221" i="13" s="1"/>
  <c r="H196" i="13"/>
  <c r="H204" i="13" s="1"/>
  <c r="G196" i="13"/>
  <c r="G204" i="13" s="1"/>
  <c r="H195" i="13"/>
  <c r="H203" i="13" s="1"/>
  <c r="G195" i="13"/>
  <c r="G203" i="13" s="1"/>
  <c r="H194" i="13"/>
  <c r="H202" i="13" s="1"/>
  <c r="G194" i="13"/>
  <c r="G202" i="13" s="1"/>
  <c r="H193" i="13"/>
  <c r="H201" i="13" s="1"/>
  <c r="G193" i="13"/>
  <c r="G201" i="13" s="1"/>
  <c r="H192" i="13"/>
  <c r="H200" i="13" s="1"/>
  <c r="G192" i="13"/>
  <c r="G200" i="13" s="1"/>
  <c r="H191" i="13"/>
  <c r="H199" i="13" s="1"/>
  <c r="G191" i="13"/>
  <c r="G199" i="13" s="1"/>
  <c r="H190" i="13"/>
  <c r="H198" i="13" s="1"/>
  <c r="G190" i="13"/>
  <c r="G198" i="13" s="1"/>
  <c r="H189" i="13"/>
  <c r="H197" i="13" s="1"/>
  <c r="G189" i="13"/>
  <c r="G197" i="13" s="1"/>
  <c r="H172" i="13"/>
  <c r="H180" i="13" s="1"/>
  <c r="G172" i="13"/>
  <c r="G180" i="13" s="1"/>
  <c r="H171" i="13"/>
  <c r="H179" i="13" s="1"/>
  <c r="G171" i="13"/>
  <c r="G179" i="13" s="1"/>
  <c r="H170" i="13"/>
  <c r="H178" i="13" s="1"/>
  <c r="G170" i="13"/>
  <c r="G178" i="13" s="1"/>
  <c r="H169" i="13"/>
  <c r="H177" i="13" s="1"/>
  <c r="G169" i="13"/>
  <c r="G177" i="13" s="1"/>
  <c r="H168" i="13"/>
  <c r="H176" i="13" s="1"/>
  <c r="G168" i="13"/>
  <c r="G176" i="13" s="1"/>
  <c r="H167" i="13"/>
  <c r="H175" i="13" s="1"/>
  <c r="G167" i="13"/>
  <c r="G175" i="13" s="1"/>
  <c r="H166" i="13"/>
  <c r="H174" i="13" s="1"/>
  <c r="G166" i="13"/>
  <c r="G174" i="13" s="1"/>
  <c r="H165" i="13"/>
  <c r="H173" i="13" s="1"/>
  <c r="G165" i="13"/>
  <c r="G173" i="13" s="1"/>
  <c r="H148" i="13"/>
  <c r="H156" i="13" s="1"/>
  <c r="G148" i="13"/>
  <c r="G156" i="13" s="1"/>
  <c r="H147" i="13"/>
  <c r="H155" i="13" s="1"/>
  <c r="G147" i="13"/>
  <c r="G155" i="13" s="1"/>
  <c r="H146" i="13"/>
  <c r="H154" i="13" s="1"/>
  <c r="G146" i="13"/>
  <c r="G154" i="13" s="1"/>
  <c r="H145" i="13"/>
  <c r="H153" i="13" s="1"/>
  <c r="G145" i="13"/>
  <c r="G153" i="13" s="1"/>
  <c r="H144" i="13"/>
  <c r="H152" i="13" s="1"/>
  <c r="G144" i="13"/>
  <c r="G152" i="13" s="1"/>
  <c r="H143" i="13"/>
  <c r="H151" i="13" s="1"/>
  <c r="G143" i="13"/>
  <c r="G151" i="13" s="1"/>
  <c r="H142" i="13"/>
  <c r="H150" i="13" s="1"/>
  <c r="G142" i="13"/>
  <c r="G150" i="13" s="1"/>
  <c r="H141" i="13"/>
  <c r="H149" i="13" s="1"/>
  <c r="G141" i="13"/>
  <c r="G149" i="13" s="1"/>
  <c r="H126" i="13"/>
  <c r="H132" i="13" s="1"/>
  <c r="G126" i="13"/>
  <c r="G132" i="13" s="1"/>
  <c r="H125" i="13"/>
  <c r="H131" i="13" s="1"/>
  <c r="G125" i="13"/>
  <c r="G131" i="13" s="1"/>
  <c r="H124" i="13"/>
  <c r="H130" i="13" s="1"/>
  <c r="G124" i="13"/>
  <c r="G130" i="13" s="1"/>
  <c r="H123" i="13"/>
  <c r="H129" i="13" s="1"/>
  <c r="G123" i="13"/>
  <c r="G129" i="13" s="1"/>
  <c r="H122" i="13"/>
  <c r="H128" i="13" s="1"/>
  <c r="G122" i="13"/>
  <c r="G128" i="13" s="1"/>
  <c r="H121" i="13"/>
  <c r="H127" i="13" s="1"/>
  <c r="G121" i="13"/>
  <c r="G127" i="13" s="1"/>
  <c r="H108" i="13"/>
  <c r="H114" i="13" s="1"/>
  <c r="G108" i="13"/>
  <c r="G114" i="13" s="1"/>
  <c r="H107" i="13"/>
  <c r="H113" i="13" s="1"/>
  <c r="G107" i="13"/>
  <c r="G113" i="13" s="1"/>
  <c r="H106" i="13"/>
  <c r="H112" i="13" s="1"/>
  <c r="G106" i="13"/>
  <c r="G112" i="13" s="1"/>
  <c r="H105" i="13"/>
  <c r="H111" i="13" s="1"/>
  <c r="G105" i="13"/>
  <c r="G111" i="13" s="1"/>
  <c r="H104" i="13"/>
  <c r="H110" i="13" s="1"/>
  <c r="G104" i="13"/>
  <c r="G110" i="13" s="1"/>
  <c r="H103" i="13"/>
  <c r="H109" i="13" s="1"/>
  <c r="G103" i="13"/>
  <c r="G109" i="13" s="1"/>
  <c r="H88" i="13"/>
  <c r="H96" i="13" s="1"/>
  <c r="G88" i="13"/>
  <c r="G96" i="13" s="1"/>
  <c r="H87" i="13"/>
  <c r="H95" i="13" s="1"/>
  <c r="G87" i="13"/>
  <c r="G95" i="13" s="1"/>
  <c r="H86" i="13"/>
  <c r="H94" i="13" s="1"/>
  <c r="G86" i="13"/>
  <c r="G94" i="13" s="1"/>
  <c r="H85" i="13"/>
  <c r="H93" i="13" s="1"/>
  <c r="G85" i="13"/>
  <c r="G93" i="13" s="1"/>
  <c r="H84" i="13"/>
  <c r="H92" i="13" s="1"/>
  <c r="G84" i="13"/>
  <c r="G92" i="13" s="1"/>
  <c r="H83" i="13"/>
  <c r="H91" i="13" s="1"/>
  <c r="G83" i="13"/>
  <c r="G91" i="13" s="1"/>
  <c r="H82" i="13"/>
  <c r="H90" i="13" s="1"/>
  <c r="G82" i="13"/>
  <c r="G90" i="13" s="1"/>
  <c r="H81" i="13"/>
  <c r="H89" i="13" s="1"/>
  <c r="G81" i="13"/>
  <c r="G89" i="13" s="1"/>
  <c r="H64" i="13"/>
  <c r="H72" i="13" s="1"/>
  <c r="G64" i="13"/>
  <c r="G72" i="13" s="1"/>
  <c r="H63" i="13"/>
  <c r="H71" i="13" s="1"/>
  <c r="G63" i="13"/>
  <c r="G71" i="13" s="1"/>
  <c r="H62" i="13"/>
  <c r="H70" i="13" s="1"/>
  <c r="G62" i="13"/>
  <c r="G70" i="13" s="1"/>
  <c r="H61" i="13"/>
  <c r="H69" i="13" s="1"/>
  <c r="G61" i="13"/>
  <c r="G69" i="13" s="1"/>
  <c r="H60" i="13"/>
  <c r="H68" i="13" s="1"/>
  <c r="G60" i="13"/>
  <c r="G68" i="13" s="1"/>
  <c r="H59" i="13"/>
  <c r="H67" i="13" s="1"/>
  <c r="G59" i="13"/>
  <c r="G67" i="13" s="1"/>
  <c r="H58" i="13"/>
  <c r="H66" i="13" s="1"/>
  <c r="G58" i="13"/>
  <c r="G66" i="13" s="1"/>
  <c r="H57" i="13"/>
  <c r="H65" i="13" s="1"/>
  <c r="G57" i="13"/>
  <c r="G65" i="13" s="1"/>
  <c r="H40" i="13"/>
  <c r="H48" i="13" s="1"/>
  <c r="G40" i="13"/>
  <c r="G48" i="13" s="1"/>
  <c r="H39" i="13"/>
  <c r="H47" i="13" s="1"/>
  <c r="G39" i="13"/>
  <c r="G47" i="13" s="1"/>
  <c r="H38" i="13"/>
  <c r="H46" i="13" s="1"/>
  <c r="G38" i="13"/>
  <c r="G46" i="13" s="1"/>
  <c r="H37" i="13"/>
  <c r="H45" i="13" s="1"/>
  <c r="G37" i="13"/>
  <c r="G45" i="13" s="1"/>
  <c r="H36" i="13"/>
  <c r="H44" i="13" s="1"/>
  <c r="G36" i="13"/>
  <c r="G44" i="13" s="1"/>
  <c r="H35" i="13"/>
  <c r="H43" i="13" s="1"/>
  <c r="G35" i="13"/>
  <c r="G43" i="13" s="1"/>
  <c r="H34" i="13"/>
  <c r="H42" i="13" s="1"/>
  <c r="G34" i="13"/>
  <c r="G42" i="13" s="1"/>
  <c r="H33" i="13"/>
  <c r="H41" i="13" s="1"/>
  <c r="G33" i="13"/>
  <c r="G41" i="13" s="1"/>
  <c r="H18" i="13"/>
  <c r="H24" i="13" s="1"/>
  <c r="G18" i="13"/>
  <c r="G24" i="13" s="1"/>
  <c r="H17" i="13"/>
  <c r="H23" i="13" s="1"/>
  <c r="G17" i="13"/>
  <c r="G23" i="13" s="1"/>
  <c r="H16" i="13"/>
  <c r="H22" i="13" s="1"/>
  <c r="G16" i="13"/>
  <c r="G22" i="13" s="1"/>
  <c r="H15" i="13"/>
  <c r="H21" i="13" s="1"/>
  <c r="G15" i="13"/>
  <c r="G21" i="13" s="1"/>
  <c r="H14" i="13"/>
  <c r="H20" i="13" s="1"/>
  <c r="G14" i="13"/>
  <c r="G20" i="13" s="1"/>
  <c r="H13" i="13"/>
  <c r="H19" i="13" s="1"/>
  <c r="G13" i="13"/>
  <c r="G19" i="13" s="1"/>
  <c r="K54" i="12"/>
  <c r="K60" i="12" s="1"/>
  <c r="J54" i="12"/>
  <c r="J60" i="12" s="1"/>
  <c r="K53" i="12"/>
  <c r="K59" i="12" s="1"/>
  <c r="J53" i="12"/>
  <c r="J59" i="12" s="1"/>
  <c r="K52" i="12"/>
  <c r="K58" i="12" s="1"/>
  <c r="J52" i="12"/>
  <c r="J58" i="12" s="1"/>
  <c r="K51" i="12"/>
  <c r="K57" i="12" s="1"/>
  <c r="J51" i="12"/>
  <c r="J57" i="12" s="1"/>
  <c r="K50" i="12"/>
  <c r="K56" i="12" s="1"/>
  <c r="J50" i="12"/>
  <c r="J56" i="12" s="1"/>
  <c r="K49" i="12"/>
  <c r="K55" i="12" s="1"/>
  <c r="J49" i="12"/>
  <c r="J55" i="12" s="1"/>
  <c r="K36" i="12"/>
  <c r="K42" i="12" s="1"/>
  <c r="J36" i="12"/>
  <c r="J42" i="12" s="1"/>
  <c r="K35" i="12"/>
  <c r="K41" i="12" s="1"/>
  <c r="J35" i="12"/>
  <c r="J41" i="12" s="1"/>
  <c r="K34" i="12"/>
  <c r="K40" i="12" s="1"/>
  <c r="J34" i="12"/>
  <c r="J40" i="12" s="1"/>
  <c r="K33" i="12"/>
  <c r="K39" i="12" s="1"/>
  <c r="J33" i="12"/>
  <c r="J39" i="12" s="1"/>
  <c r="K32" i="12"/>
  <c r="K38" i="12" s="1"/>
  <c r="J32" i="12"/>
  <c r="J38" i="12" s="1"/>
  <c r="K31" i="12"/>
  <c r="K37" i="12" s="1"/>
  <c r="J31" i="12"/>
  <c r="J37" i="12" s="1"/>
  <c r="K18" i="12"/>
  <c r="K24" i="12" s="1"/>
  <c r="J18" i="12"/>
  <c r="J24" i="12" s="1"/>
  <c r="K17" i="12"/>
  <c r="K23" i="12" s="1"/>
  <c r="J17" i="12"/>
  <c r="J23" i="12" s="1"/>
  <c r="K16" i="12"/>
  <c r="K22" i="12" s="1"/>
  <c r="J16" i="12"/>
  <c r="J22" i="12" s="1"/>
  <c r="K15" i="12"/>
  <c r="K21" i="12" s="1"/>
  <c r="J15" i="12"/>
  <c r="J21" i="12" s="1"/>
  <c r="K14" i="12"/>
  <c r="K20" i="12" s="1"/>
  <c r="J14" i="12"/>
  <c r="J20" i="12" s="1"/>
  <c r="K13" i="12"/>
  <c r="K19" i="12" s="1"/>
  <c r="J13" i="12"/>
  <c r="J19" i="12" s="1"/>
  <c r="K84" i="11"/>
  <c r="K90" i="11" s="1"/>
  <c r="J84" i="11"/>
  <c r="J90" i="11" s="1"/>
  <c r="K83" i="11"/>
  <c r="K89" i="11" s="1"/>
  <c r="J83" i="11"/>
  <c r="J89" i="11" s="1"/>
  <c r="K82" i="11"/>
  <c r="K88" i="11" s="1"/>
  <c r="J82" i="11"/>
  <c r="J88" i="11" s="1"/>
  <c r="K81" i="11"/>
  <c r="K87" i="11" s="1"/>
  <c r="J81" i="11"/>
  <c r="J87" i="11" s="1"/>
  <c r="K80" i="11"/>
  <c r="K86" i="11" s="1"/>
  <c r="J80" i="11"/>
  <c r="J86" i="11" s="1"/>
  <c r="K79" i="11"/>
  <c r="K85" i="11" s="1"/>
  <c r="J79" i="11"/>
  <c r="J85" i="11" s="1"/>
  <c r="K66" i="11"/>
  <c r="K72" i="11" s="1"/>
  <c r="J66" i="11"/>
  <c r="J72" i="11" s="1"/>
  <c r="K65" i="11"/>
  <c r="K71" i="11" s="1"/>
  <c r="J65" i="11"/>
  <c r="J71" i="11" s="1"/>
  <c r="K64" i="11"/>
  <c r="K70" i="11" s="1"/>
  <c r="J64" i="11"/>
  <c r="J70" i="11" s="1"/>
  <c r="K63" i="11"/>
  <c r="K69" i="11" s="1"/>
  <c r="J63" i="11"/>
  <c r="J69" i="11" s="1"/>
  <c r="K62" i="11"/>
  <c r="K68" i="11" s="1"/>
  <c r="J62" i="11"/>
  <c r="J68" i="11" s="1"/>
  <c r="K61" i="11"/>
  <c r="K67" i="11" s="1"/>
  <c r="J61" i="11"/>
  <c r="J67" i="11" s="1"/>
  <c r="K46" i="11"/>
  <c r="K54" i="11" s="1"/>
  <c r="J46" i="11"/>
  <c r="J54" i="11" s="1"/>
  <c r="K45" i="11"/>
  <c r="K53" i="11" s="1"/>
  <c r="J45" i="11"/>
  <c r="J53" i="11" s="1"/>
  <c r="K44" i="11"/>
  <c r="K52" i="11" s="1"/>
  <c r="J44" i="11"/>
  <c r="J52" i="11" s="1"/>
  <c r="K43" i="11"/>
  <c r="K51" i="11" s="1"/>
  <c r="J43" i="11"/>
  <c r="J51" i="11" s="1"/>
  <c r="K42" i="11"/>
  <c r="K50" i="11" s="1"/>
  <c r="J42" i="11"/>
  <c r="J50" i="11" s="1"/>
  <c r="K41" i="11"/>
  <c r="K49" i="11" s="1"/>
  <c r="J41" i="11"/>
  <c r="J49" i="11" s="1"/>
  <c r="K40" i="11"/>
  <c r="K48" i="11" s="1"/>
  <c r="J40" i="11"/>
  <c r="J48" i="11" s="1"/>
  <c r="K22" i="11"/>
  <c r="K30" i="11" s="1"/>
  <c r="J22" i="11"/>
  <c r="J30" i="11" s="1"/>
  <c r="K21" i="11"/>
  <c r="K29" i="11" s="1"/>
  <c r="J21" i="11"/>
  <c r="J29" i="11" s="1"/>
  <c r="K20" i="11"/>
  <c r="K28" i="11" s="1"/>
  <c r="J20" i="11"/>
  <c r="J28" i="11" s="1"/>
  <c r="K19" i="11"/>
  <c r="K27" i="11" s="1"/>
  <c r="J19" i="11"/>
  <c r="J27" i="11" s="1"/>
  <c r="K18" i="11"/>
  <c r="K26" i="11" s="1"/>
  <c r="J18" i="11"/>
  <c r="J26" i="11" s="1"/>
  <c r="K17" i="11"/>
  <c r="K25" i="11" s="1"/>
  <c r="J17" i="11"/>
  <c r="J25" i="11" s="1"/>
  <c r="K16" i="11"/>
  <c r="K24" i="11" s="1"/>
  <c r="J16" i="11"/>
  <c r="J24" i="11" s="1"/>
  <c r="K15" i="11"/>
  <c r="K23" i="11" s="1"/>
  <c r="J15" i="11"/>
  <c r="J23" i="11" s="1"/>
  <c r="K492" i="10"/>
  <c r="K498" i="10" s="1"/>
  <c r="J492" i="10"/>
  <c r="J498" i="10" s="1"/>
  <c r="K491" i="10"/>
  <c r="K497" i="10" s="1"/>
  <c r="J491" i="10"/>
  <c r="J497" i="10" s="1"/>
  <c r="K490" i="10"/>
  <c r="K496" i="10" s="1"/>
  <c r="J490" i="10"/>
  <c r="J496" i="10" s="1"/>
  <c r="K489" i="10"/>
  <c r="K495" i="10" s="1"/>
  <c r="J489" i="10"/>
  <c r="J495" i="10" s="1"/>
  <c r="K488" i="10"/>
  <c r="K494" i="10" s="1"/>
  <c r="J488" i="10"/>
  <c r="J494" i="10" s="1"/>
  <c r="K487" i="10"/>
  <c r="K493" i="10" s="1"/>
  <c r="J487" i="10"/>
  <c r="J493" i="10" s="1"/>
  <c r="K472" i="10"/>
  <c r="K480" i="10" s="1"/>
  <c r="J472" i="10"/>
  <c r="J480" i="10" s="1"/>
  <c r="K471" i="10"/>
  <c r="K479" i="10" s="1"/>
  <c r="J471" i="10"/>
  <c r="J479" i="10" s="1"/>
  <c r="K470" i="10"/>
  <c r="K478" i="10" s="1"/>
  <c r="J470" i="10"/>
  <c r="J478" i="10" s="1"/>
  <c r="K469" i="10"/>
  <c r="K477" i="10" s="1"/>
  <c r="J469" i="10"/>
  <c r="J477" i="10" s="1"/>
  <c r="K468" i="10"/>
  <c r="K476" i="10" s="1"/>
  <c r="J468" i="10"/>
  <c r="J476" i="10" s="1"/>
  <c r="K467" i="10"/>
  <c r="K475" i="10" s="1"/>
  <c r="J467" i="10"/>
  <c r="J475" i="10" s="1"/>
  <c r="K466" i="10"/>
  <c r="K474" i="10" s="1"/>
  <c r="J466" i="10"/>
  <c r="J474" i="10" s="1"/>
  <c r="K465" i="10"/>
  <c r="K473" i="10" s="1"/>
  <c r="J465" i="10"/>
  <c r="J473" i="10" s="1"/>
  <c r="K448" i="10"/>
  <c r="K456" i="10" s="1"/>
  <c r="J448" i="10"/>
  <c r="J456" i="10" s="1"/>
  <c r="K447" i="10"/>
  <c r="K455" i="10" s="1"/>
  <c r="J447" i="10"/>
  <c r="J455" i="10" s="1"/>
  <c r="K446" i="10"/>
  <c r="K454" i="10" s="1"/>
  <c r="J446" i="10"/>
  <c r="J454" i="10" s="1"/>
  <c r="K445" i="10"/>
  <c r="K453" i="10" s="1"/>
  <c r="J445" i="10"/>
  <c r="J453" i="10" s="1"/>
  <c r="K444" i="10"/>
  <c r="K452" i="10" s="1"/>
  <c r="J444" i="10"/>
  <c r="J452" i="10" s="1"/>
  <c r="K443" i="10"/>
  <c r="K451" i="10" s="1"/>
  <c r="J443" i="10"/>
  <c r="J451" i="10" s="1"/>
  <c r="K442" i="10"/>
  <c r="K450" i="10" s="1"/>
  <c r="J442" i="10"/>
  <c r="J450" i="10" s="1"/>
  <c r="K441" i="10"/>
  <c r="K449" i="10" s="1"/>
  <c r="J441" i="10"/>
  <c r="J449" i="10" s="1"/>
  <c r="K426" i="10"/>
  <c r="K432" i="10" s="1"/>
  <c r="J426" i="10"/>
  <c r="J432" i="10" s="1"/>
  <c r="K425" i="10"/>
  <c r="K431" i="10" s="1"/>
  <c r="J425" i="10"/>
  <c r="J431" i="10" s="1"/>
  <c r="K424" i="10"/>
  <c r="K430" i="10" s="1"/>
  <c r="J424" i="10"/>
  <c r="J430" i="10" s="1"/>
  <c r="K423" i="10"/>
  <c r="K429" i="10" s="1"/>
  <c r="J423" i="10"/>
  <c r="J429" i="10" s="1"/>
  <c r="K422" i="10"/>
  <c r="K428" i="10" s="1"/>
  <c r="J422" i="10"/>
  <c r="J428" i="10" s="1"/>
  <c r="K421" i="10"/>
  <c r="K427" i="10" s="1"/>
  <c r="J421" i="10"/>
  <c r="J427" i="10" s="1"/>
  <c r="K408" i="10"/>
  <c r="K414" i="10" s="1"/>
  <c r="J408" i="10"/>
  <c r="J414" i="10" s="1"/>
  <c r="K407" i="10"/>
  <c r="K413" i="10" s="1"/>
  <c r="J407" i="10"/>
  <c r="J413" i="10" s="1"/>
  <c r="K406" i="10"/>
  <c r="K412" i="10" s="1"/>
  <c r="J406" i="10"/>
  <c r="J412" i="10" s="1"/>
  <c r="K405" i="10"/>
  <c r="K411" i="10" s="1"/>
  <c r="J405" i="10"/>
  <c r="J411" i="10" s="1"/>
  <c r="K404" i="10"/>
  <c r="K410" i="10" s="1"/>
  <c r="J404" i="10"/>
  <c r="J410" i="10" s="1"/>
  <c r="K403" i="10"/>
  <c r="K409" i="10" s="1"/>
  <c r="J403" i="10"/>
  <c r="J409" i="10" s="1"/>
  <c r="K390" i="10"/>
  <c r="K396" i="10" s="1"/>
  <c r="J390" i="10"/>
  <c r="J396" i="10" s="1"/>
  <c r="K389" i="10"/>
  <c r="K395" i="10" s="1"/>
  <c r="J389" i="10"/>
  <c r="J395" i="10" s="1"/>
  <c r="K388" i="10"/>
  <c r="K394" i="10" s="1"/>
  <c r="J388" i="10"/>
  <c r="J394" i="10" s="1"/>
  <c r="K387" i="10"/>
  <c r="K393" i="10" s="1"/>
  <c r="J387" i="10"/>
  <c r="J393" i="10" s="1"/>
  <c r="K386" i="10"/>
  <c r="K392" i="10" s="1"/>
  <c r="J386" i="10"/>
  <c r="J392" i="10" s="1"/>
  <c r="K385" i="10"/>
  <c r="K391" i="10" s="1"/>
  <c r="J385" i="10"/>
  <c r="J391" i="10" s="1"/>
  <c r="K346" i="10"/>
  <c r="K354" i="10" s="1"/>
  <c r="J346" i="10"/>
  <c r="J354" i="10" s="1"/>
  <c r="K345" i="10"/>
  <c r="K353" i="10" s="1"/>
  <c r="J345" i="10"/>
  <c r="J353" i="10" s="1"/>
  <c r="K344" i="10"/>
  <c r="K352" i="10" s="1"/>
  <c r="J344" i="10"/>
  <c r="J352" i="10" s="1"/>
  <c r="K343" i="10"/>
  <c r="K351" i="10" s="1"/>
  <c r="J343" i="10"/>
  <c r="J351" i="10" s="1"/>
  <c r="K342" i="10"/>
  <c r="K350" i="10" s="1"/>
  <c r="J342" i="10"/>
  <c r="J350" i="10" s="1"/>
  <c r="K341" i="10"/>
  <c r="K349" i="10" s="1"/>
  <c r="J341" i="10"/>
  <c r="J349" i="10" s="1"/>
  <c r="K340" i="10"/>
  <c r="K348" i="10" s="1"/>
  <c r="J340" i="10"/>
  <c r="J348" i="10" s="1"/>
  <c r="K339" i="10"/>
  <c r="K347" i="10" s="1"/>
  <c r="J339" i="10"/>
  <c r="J347" i="10" s="1"/>
  <c r="K322" i="10"/>
  <c r="K330" i="10" s="1"/>
  <c r="J322" i="10"/>
  <c r="J330" i="10" s="1"/>
  <c r="K321" i="10"/>
  <c r="K329" i="10" s="1"/>
  <c r="J321" i="10"/>
  <c r="J329" i="10" s="1"/>
  <c r="K320" i="10"/>
  <c r="K328" i="10" s="1"/>
  <c r="J320" i="10"/>
  <c r="J328" i="10" s="1"/>
  <c r="K319" i="10"/>
  <c r="K327" i="10" s="1"/>
  <c r="J319" i="10"/>
  <c r="J327" i="10" s="1"/>
  <c r="K318" i="10"/>
  <c r="K326" i="10" s="1"/>
  <c r="J318" i="10"/>
  <c r="J326" i="10" s="1"/>
  <c r="K317" i="10"/>
  <c r="K325" i="10" s="1"/>
  <c r="J317" i="10"/>
  <c r="J325" i="10" s="1"/>
  <c r="K316" i="10"/>
  <c r="K324" i="10" s="1"/>
  <c r="J316" i="10"/>
  <c r="J324" i="10" s="1"/>
  <c r="K315" i="10"/>
  <c r="K323" i="10" s="1"/>
  <c r="J315" i="10"/>
  <c r="J323" i="10" s="1"/>
  <c r="K298" i="10"/>
  <c r="K306" i="10" s="1"/>
  <c r="J298" i="10"/>
  <c r="J306" i="10" s="1"/>
  <c r="K297" i="10"/>
  <c r="K305" i="10" s="1"/>
  <c r="J297" i="10"/>
  <c r="J305" i="10" s="1"/>
  <c r="K296" i="10"/>
  <c r="K304" i="10" s="1"/>
  <c r="J296" i="10"/>
  <c r="J304" i="10" s="1"/>
  <c r="K295" i="10"/>
  <c r="K303" i="10" s="1"/>
  <c r="J295" i="10"/>
  <c r="J303" i="10" s="1"/>
  <c r="K294" i="10"/>
  <c r="K302" i="10" s="1"/>
  <c r="J294" i="10"/>
  <c r="J302" i="10" s="1"/>
  <c r="K293" i="10"/>
  <c r="K301" i="10" s="1"/>
  <c r="J293" i="10"/>
  <c r="J301" i="10" s="1"/>
  <c r="K292" i="10"/>
  <c r="K300" i="10" s="1"/>
  <c r="J292" i="10"/>
  <c r="J300" i="10" s="1"/>
  <c r="K291" i="10"/>
  <c r="K299" i="10" s="1"/>
  <c r="J291" i="10"/>
  <c r="J299" i="10" s="1"/>
  <c r="K274" i="10"/>
  <c r="K282" i="10" s="1"/>
  <c r="J274" i="10"/>
  <c r="J282" i="10" s="1"/>
  <c r="K273" i="10"/>
  <c r="K281" i="10" s="1"/>
  <c r="J273" i="10"/>
  <c r="J281" i="10" s="1"/>
  <c r="K272" i="10"/>
  <c r="K280" i="10" s="1"/>
  <c r="J272" i="10"/>
  <c r="J280" i="10" s="1"/>
  <c r="K271" i="10"/>
  <c r="K279" i="10" s="1"/>
  <c r="J271" i="10"/>
  <c r="J279" i="10" s="1"/>
  <c r="K270" i="10"/>
  <c r="K278" i="10" s="1"/>
  <c r="J270" i="10"/>
  <c r="J278" i="10" s="1"/>
  <c r="K269" i="10"/>
  <c r="K277" i="10" s="1"/>
  <c r="J269" i="10"/>
  <c r="J277" i="10" s="1"/>
  <c r="K268" i="10"/>
  <c r="K276" i="10" s="1"/>
  <c r="J268" i="10"/>
  <c r="J276" i="10" s="1"/>
  <c r="K267" i="10"/>
  <c r="K275" i="10" s="1"/>
  <c r="J267" i="10"/>
  <c r="J275" i="10" s="1"/>
  <c r="K250" i="10"/>
  <c r="K258" i="10" s="1"/>
  <c r="J250" i="10"/>
  <c r="J258" i="10" s="1"/>
  <c r="K249" i="10"/>
  <c r="K257" i="10" s="1"/>
  <c r="J249" i="10"/>
  <c r="J257" i="10" s="1"/>
  <c r="K248" i="10"/>
  <c r="K256" i="10" s="1"/>
  <c r="J248" i="10"/>
  <c r="J256" i="10" s="1"/>
  <c r="K247" i="10"/>
  <c r="K255" i="10" s="1"/>
  <c r="J247" i="10"/>
  <c r="J255" i="10" s="1"/>
  <c r="K246" i="10"/>
  <c r="K254" i="10" s="1"/>
  <c r="J246" i="10"/>
  <c r="J254" i="10" s="1"/>
  <c r="K245" i="10"/>
  <c r="K253" i="10" s="1"/>
  <c r="J245" i="10"/>
  <c r="J253" i="10" s="1"/>
  <c r="K244" i="10"/>
  <c r="K252" i="10" s="1"/>
  <c r="J244" i="10"/>
  <c r="J252" i="10" s="1"/>
  <c r="K243" i="10"/>
  <c r="K251" i="10" s="1"/>
  <c r="J243" i="10"/>
  <c r="J251" i="10" s="1"/>
  <c r="K226" i="10"/>
  <c r="K234" i="10" s="1"/>
  <c r="J226" i="10"/>
  <c r="J234" i="10" s="1"/>
  <c r="K225" i="10"/>
  <c r="K233" i="10" s="1"/>
  <c r="J225" i="10"/>
  <c r="J233" i="10" s="1"/>
  <c r="K224" i="10"/>
  <c r="K232" i="10" s="1"/>
  <c r="J224" i="10"/>
  <c r="J232" i="10" s="1"/>
  <c r="K223" i="10"/>
  <c r="K231" i="10" s="1"/>
  <c r="J223" i="10"/>
  <c r="J231" i="10" s="1"/>
  <c r="K222" i="10"/>
  <c r="K230" i="10" s="1"/>
  <c r="J222" i="10"/>
  <c r="J230" i="10" s="1"/>
  <c r="K221" i="10"/>
  <c r="K229" i="10" s="1"/>
  <c r="J221" i="10"/>
  <c r="J229" i="10" s="1"/>
  <c r="K220" i="10"/>
  <c r="K228" i="10" s="1"/>
  <c r="J220" i="10"/>
  <c r="J228" i="10" s="1"/>
  <c r="K219" i="10"/>
  <c r="K227" i="10" s="1"/>
  <c r="J219" i="10"/>
  <c r="J227" i="10" s="1"/>
  <c r="K202" i="10"/>
  <c r="K210" i="10" s="1"/>
  <c r="J202" i="10"/>
  <c r="J210" i="10" s="1"/>
  <c r="K201" i="10"/>
  <c r="K209" i="10" s="1"/>
  <c r="J201" i="10"/>
  <c r="J209" i="10" s="1"/>
  <c r="K200" i="10"/>
  <c r="K208" i="10" s="1"/>
  <c r="J200" i="10"/>
  <c r="J208" i="10" s="1"/>
  <c r="K199" i="10"/>
  <c r="K207" i="10" s="1"/>
  <c r="J199" i="10"/>
  <c r="J207" i="10" s="1"/>
  <c r="K198" i="10"/>
  <c r="K206" i="10" s="1"/>
  <c r="J198" i="10"/>
  <c r="J206" i="10" s="1"/>
  <c r="K197" i="10"/>
  <c r="K205" i="10" s="1"/>
  <c r="J197" i="10"/>
  <c r="J205" i="10" s="1"/>
  <c r="K196" i="10"/>
  <c r="K204" i="10" s="1"/>
  <c r="J196" i="10"/>
  <c r="J204" i="10" s="1"/>
  <c r="K195" i="10"/>
  <c r="K203" i="10" s="1"/>
  <c r="J195" i="10"/>
  <c r="J203" i="10" s="1"/>
  <c r="K178" i="10"/>
  <c r="K186" i="10" s="1"/>
  <c r="J178" i="10"/>
  <c r="J186" i="10" s="1"/>
  <c r="K177" i="10"/>
  <c r="K185" i="10" s="1"/>
  <c r="J177" i="10"/>
  <c r="J185" i="10" s="1"/>
  <c r="K176" i="10"/>
  <c r="K184" i="10" s="1"/>
  <c r="J176" i="10"/>
  <c r="J184" i="10" s="1"/>
  <c r="K175" i="10"/>
  <c r="K183" i="10" s="1"/>
  <c r="J175" i="10"/>
  <c r="J183" i="10" s="1"/>
  <c r="K174" i="10"/>
  <c r="K182" i="10" s="1"/>
  <c r="J174" i="10"/>
  <c r="J182" i="10" s="1"/>
  <c r="K173" i="10"/>
  <c r="K181" i="10" s="1"/>
  <c r="J173" i="10"/>
  <c r="J181" i="10" s="1"/>
  <c r="K172" i="10"/>
  <c r="K180" i="10" s="1"/>
  <c r="J172" i="10"/>
  <c r="J180" i="10" s="1"/>
  <c r="K171" i="10"/>
  <c r="K179" i="10" s="1"/>
  <c r="J171" i="10"/>
  <c r="J179" i="10" s="1"/>
  <c r="K154" i="10"/>
  <c r="K162" i="10" s="1"/>
  <c r="J154" i="10"/>
  <c r="J162" i="10" s="1"/>
  <c r="K153" i="10"/>
  <c r="K161" i="10" s="1"/>
  <c r="J153" i="10"/>
  <c r="J161" i="10" s="1"/>
  <c r="K152" i="10"/>
  <c r="K160" i="10" s="1"/>
  <c r="J152" i="10"/>
  <c r="J160" i="10" s="1"/>
  <c r="K151" i="10"/>
  <c r="K159" i="10" s="1"/>
  <c r="J151" i="10"/>
  <c r="J159" i="10" s="1"/>
  <c r="K150" i="10"/>
  <c r="K158" i="10" s="1"/>
  <c r="J150" i="10"/>
  <c r="J158" i="10" s="1"/>
  <c r="K149" i="10"/>
  <c r="K157" i="10" s="1"/>
  <c r="J149" i="10"/>
  <c r="J157" i="10" s="1"/>
  <c r="K148" i="10"/>
  <c r="K156" i="10" s="1"/>
  <c r="J148" i="10"/>
  <c r="J156" i="10" s="1"/>
  <c r="K147" i="10"/>
  <c r="K155" i="10" s="1"/>
  <c r="J147" i="10"/>
  <c r="J155" i="10" s="1"/>
  <c r="K132" i="10"/>
  <c r="K138" i="10" s="1"/>
  <c r="J132" i="10"/>
  <c r="J138" i="10" s="1"/>
  <c r="K131" i="10"/>
  <c r="K137" i="10" s="1"/>
  <c r="J131" i="10"/>
  <c r="J137" i="10" s="1"/>
  <c r="K130" i="10"/>
  <c r="K136" i="10" s="1"/>
  <c r="J130" i="10"/>
  <c r="J136" i="10" s="1"/>
  <c r="K129" i="10"/>
  <c r="K135" i="10" s="1"/>
  <c r="J129" i="10"/>
  <c r="J135" i="10" s="1"/>
  <c r="K128" i="10"/>
  <c r="K134" i="10" s="1"/>
  <c r="J128" i="10"/>
  <c r="J134" i="10" s="1"/>
  <c r="K127" i="10"/>
  <c r="K133" i="10" s="1"/>
  <c r="J127" i="10"/>
  <c r="J133" i="10" s="1"/>
  <c r="K112" i="10"/>
  <c r="K120" i="10" s="1"/>
  <c r="J112" i="10"/>
  <c r="J120" i="10" s="1"/>
  <c r="K111" i="10"/>
  <c r="K119" i="10" s="1"/>
  <c r="J111" i="10"/>
  <c r="J119" i="10" s="1"/>
  <c r="K110" i="10"/>
  <c r="K118" i="10" s="1"/>
  <c r="J110" i="10"/>
  <c r="J118" i="10" s="1"/>
  <c r="K109" i="10"/>
  <c r="K117" i="10" s="1"/>
  <c r="J109" i="10"/>
  <c r="J117" i="10" s="1"/>
  <c r="K108" i="10"/>
  <c r="K116" i="10" s="1"/>
  <c r="J108" i="10"/>
  <c r="J116" i="10" s="1"/>
  <c r="K107" i="10"/>
  <c r="K115" i="10" s="1"/>
  <c r="J107" i="10"/>
  <c r="J115" i="10" s="1"/>
  <c r="K106" i="10"/>
  <c r="K114" i="10" s="1"/>
  <c r="J106" i="10"/>
  <c r="J114" i="10" s="1"/>
  <c r="K105" i="10"/>
  <c r="K113" i="10" s="1"/>
  <c r="J105" i="10"/>
  <c r="J113" i="10" s="1"/>
  <c r="K88" i="10"/>
  <c r="K96" i="10" s="1"/>
  <c r="J88" i="10"/>
  <c r="J96" i="10" s="1"/>
  <c r="K87" i="10"/>
  <c r="K95" i="10" s="1"/>
  <c r="J87" i="10"/>
  <c r="J95" i="10" s="1"/>
  <c r="K86" i="10"/>
  <c r="K94" i="10" s="1"/>
  <c r="J86" i="10"/>
  <c r="J94" i="10" s="1"/>
  <c r="K85" i="10"/>
  <c r="K93" i="10" s="1"/>
  <c r="J85" i="10"/>
  <c r="J93" i="10" s="1"/>
  <c r="K84" i="10"/>
  <c r="K92" i="10" s="1"/>
  <c r="J84" i="10"/>
  <c r="J92" i="10" s="1"/>
  <c r="K83" i="10"/>
  <c r="K91" i="10" s="1"/>
  <c r="J83" i="10"/>
  <c r="J91" i="10" s="1"/>
  <c r="K82" i="10"/>
  <c r="K90" i="10" s="1"/>
  <c r="J82" i="10"/>
  <c r="J90" i="10" s="1"/>
  <c r="K81" i="10"/>
  <c r="K89" i="10" s="1"/>
  <c r="J81" i="10"/>
  <c r="J89" i="10" s="1"/>
  <c r="K64" i="10"/>
  <c r="K72" i="10" s="1"/>
  <c r="J64" i="10"/>
  <c r="J72" i="10" s="1"/>
  <c r="K63" i="10"/>
  <c r="K71" i="10" s="1"/>
  <c r="J63" i="10"/>
  <c r="J71" i="10" s="1"/>
  <c r="K62" i="10"/>
  <c r="K70" i="10" s="1"/>
  <c r="J62" i="10"/>
  <c r="J70" i="10" s="1"/>
  <c r="K61" i="10"/>
  <c r="K69" i="10" s="1"/>
  <c r="J61" i="10"/>
  <c r="J69" i="10" s="1"/>
  <c r="K60" i="10"/>
  <c r="K68" i="10" s="1"/>
  <c r="J60" i="10"/>
  <c r="J68" i="10" s="1"/>
  <c r="K59" i="10"/>
  <c r="K67" i="10" s="1"/>
  <c r="J59" i="10"/>
  <c r="J67" i="10" s="1"/>
  <c r="K58" i="10"/>
  <c r="K66" i="10" s="1"/>
  <c r="J58" i="10"/>
  <c r="J66" i="10" s="1"/>
  <c r="K57" i="10"/>
  <c r="K65" i="10" s="1"/>
  <c r="J57" i="10"/>
  <c r="J65" i="10" s="1"/>
  <c r="K40" i="10"/>
  <c r="K48" i="10" s="1"/>
  <c r="J40" i="10"/>
  <c r="J48" i="10" s="1"/>
  <c r="K39" i="10"/>
  <c r="K47" i="10" s="1"/>
  <c r="J39" i="10"/>
  <c r="J47" i="10" s="1"/>
  <c r="K38" i="10"/>
  <c r="K46" i="10" s="1"/>
  <c r="J38" i="10"/>
  <c r="J46" i="10" s="1"/>
  <c r="K37" i="10"/>
  <c r="K45" i="10" s="1"/>
  <c r="J37" i="10"/>
  <c r="J45" i="10" s="1"/>
  <c r="K36" i="10"/>
  <c r="K44" i="10" s="1"/>
  <c r="J36" i="10"/>
  <c r="J44" i="10" s="1"/>
  <c r="K35" i="10"/>
  <c r="K43" i="10" s="1"/>
  <c r="J35" i="10"/>
  <c r="J43" i="10" s="1"/>
  <c r="K34" i="10"/>
  <c r="K42" i="10" s="1"/>
  <c r="J34" i="10"/>
  <c r="J42" i="10" s="1"/>
  <c r="K33" i="10"/>
  <c r="K41" i="10" s="1"/>
  <c r="J33" i="10"/>
  <c r="J41" i="10" s="1"/>
  <c r="K18" i="10"/>
  <c r="K24" i="10" s="1"/>
  <c r="J18" i="10"/>
  <c r="J24" i="10" s="1"/>
  <c r="K17" i="10"/>
  <c r="K23" i="10" s="1"/>
  <c r="J17" i="10"/>
  <c r="J23" i="10" s="1"/>
  <c r="K16" i="10"/>
  <c r="K22" i="10" s="1"/>
  <c r="J16" i="10"/>
  <c r="J22" i="10" s="1"/>
  <c r="K15" i="10"/>
  <c r="K21" i="10" s="1"/>
  <c r="J15" i="10"/>
  <c r="J21" i="10" s="1"/>
  <c r="K14" i="10"/>
  <c r="K20" i="10" s="1"/>
  <c r="J14" i="10"/>
  <c r="J20" i="10" s="1"/>
  <c r="K13" i="10"/>
  <c r="K19" i="10" s="1"/>
  <c r="J13" i="10"/>
  <c r="J19" i="10" s="1"/>
  <c r="J66" i="8"/>
  <c r="J72" i="8" s="1"/>
  <c r="I66" i="8"/>
  <c r="I72" i="8" s="1"/>
  <c r="J65" i="8"/>
  <c r="J71" i="8" s="1"/>
  <c r="I65" i="8"/>
  <c r="I71" i="8" s="1"/>
  <c r="J64" i="8"/>
  <c r="J70" i="8" s="1"/>
  <c r="I64" i="8"/>
  <c r="I70" i="8" s="1"/>
  <c r="J63" i="8"/>
  <c r="J69" i="8" s="1"/>
  <c r="I63" i="8"/>
  <c r="I69" i="8" s="1"/>
  <c r="J62" i="8"/>
  <c r="J68" i="8" s="1"/>
  <c r="I62" i="8"/>
  <c r="I68" i="8" s="1"/>
  <c r="J61" i="8"/>
  <c r="J67" i="8" s="1"/>
  <c r="I61" i="8"/>
  <c r="I67" i="8" s="1"/>
  <c r="J46" i="8"/>
  <c r="J54" i="8" s="1"/>
  <c r="I46" i="8"/>
  <c r="I54" i="8" s="1"/>
  <c r="J45" i="8"/>
  <c r="J53" i="8" s="1"/>
  <c r="I45" i="8"/>
  <c r="I53" i="8" s="1"/>
  <c r="J44" i="8"/>
  <c r="J52" i="8" s="1"/>
  <c r="I44" i="8"/>
  <c r="I52" i="8" s="1"/>
  <c r="J43" i="8"/>
  <c r="J51" i="8" s="1"/>
  <c r="I43" i="8"/>
  <c r="I51" i="8" s="1"/>
  <c r="J42" i="8"/>
  <c r="J50" i="8" s="1"/>
  <c r="I42" i="8"/>
  <c r="I50" i="8" s="1"/>
  <c r="J41" i="8"/>
  <c r="J49" i="8" s="1"/>
  <c r="I41" i="8"/>
  <c r="I49" i="8" s="1"/>
  <c r="J40" i="8"/>
  <c r="J48" i="8" s="1"/>
  <c r="I40" i="8"/>
  <c r="I48" i="8" s="1"/>
  <c r="J39" i="8"/>
  <c r="J47" i="8" s="1"/>
  <c r="I39" i="8"/>
  <c r="I47" i="8" s="1"/>
  <c r="J101" i="7"/>
  <c r="J96" i="7"/>
  <c r="J40" i="7"/>
  <c r="J104" i="7"/>
  <c r="I104" i="7"/>
  <c r="J102" i="7"/>
  <c r="I102" i="7"/>
  <c r="I101" i="7"/>
  <c r="J99" i="7"/>
  <c r="I99" i="7"/>
  <c r="J98" i="7"/>
  <c r="I98" i="7"/>
  <c r="I96" i="7"/>
  <c r="J95" i="7"/>
  <c r="I95" i="7"/>
  <c r="J93" i="7"/>
  <c r="I93" i="7"/>
  <c r="J92" i="7"/>
  <c r="I92" i="7"/>
  <c r="J90" i="7"/>
  <c r="I90" i="7"/>
  <c r="J89" i="7"/>
  <c r="I89" i="7"/>
  <c r="J87" i="7"/>
  <c r="I87" i="7"/>
  <c r="J82" i="7"/>
  <c r="I82" i="7"/>
  <c r="J80" i="7"/>
  <c r="I80" i="7"/>
  <c r="J79" i="7"/>
  <c r="I79" i="7"/>
  <c r="J77" i="7"/>
  <c r="I77" i="7"/>
  <c r="J76" i="7"/>
  <c r="I76" i="7"/>
  <c r="J74" i="7"/>
  <c r="I74" i="7"/>
  <c r="J73" i="7"/>
  <c r="I73" i="7"/>
  <c r="J71" i="7"/>
  <c r="I71" i="7"/>
  <c r="J70" i="7"/>
  <c r="I70" i="7"/>
  <c r="J68" i="7"/>
  <c r="I68" i="7"/>
  <c r="J67" i="7"/>
  <c r="I67" i="7"/>
  <c r="J65" i="7"/>
  <c r="I65" i="7"/>
  <c r="J64" i="7"/>
  <c r="I64" i="7"/>
  <c r="J62" i="7"/>
  <c r="I62" i="7"/>
  <c r="J61" i="7"/>
  <c r="I61" i="7"/>
  <c r="J59" i="7"/>
  <c r="I59" i="7"/>
  <c r="J58" i="7"/>
  <c r="I58" i="7"/>
  <c r="J56" i="7"/>
  <c r="I56" i="7"/>
  <c r="J55" i="7"/>
  <c r="I55" i="7"/>
  <c r="J53" i="7"/>
  <c r="I53" i="7"/>
  <c r="J52" i="7"/>
  <c r="I52" i="7"/>
  <c r="J50" i="7"/>
  <c r="I50" i="7"/>
  <c r="J49" i="7"/>
  <c r="I49" i="7"/>
  <c r="J47" i="7"/>
  <c r="I47" i="7"/>
  <c r="J46" i="7"/>
  <c r="I46" i="7"/>
  <c r="J44" i="7"/>
  <c r="I44" i="7"/>
  <c r="J43" i="7"/>
  <c r="I43" i="7"/>
  <c r="J41" i="7"/>
  <c r="I41" i="7"/>
  <c r="I40" i="7"/>
  <c r="J38" i="7"/>
  <c r="I38" i="7"/>
  <c r="J60" i="6"/>
  <c r="I60" i="6"/>
  <c r="J58" i="6"/>
  <c r="I58" i="6"/>
  <c r="J57" i="6"/>
  <c r="I57" i="6"/>
  <c r="J55" i="6"/>
  <c r="I55" i="6"/>
  <c r="J54" i="6"/>
  <c r="I54" i="6"/>
  <c r="J52" i="6"/>
  <c r="I52" i="6"/>
  <c r="J50" i="6"/>
  <c r="I50" i="6"/>
  <c r="J48" i="6"/>
  <c r="I48" i="6"/>
  <c r="J47" i="6"/>
  <c r="I47" i="6"/>
  <c r="J45" i="6"/>
  <c r="I45" i="6"/>
  <c r="J44" i="6"/>
  <c r="I44" i="6"/>
  <c r="J42" i="6"/>
  <c r="I42" i="6"/>
  <c r="J40" i="6"/>
  <c r="I40" i="6"/>
  <c r="J38" i="6"/>
  <c r="I38" i="6"/>
  <c r="N510" i="10" l="1"/>
  <c r="F420" i="10"/>
  <c r="G420" i="10"/>
  <c r="H420" i="10" s="1"/>
  <c r="E104" i="7"/>
  <c r="E103" i="7"/>
  <c r="E101" i="7"/>
  <c r="E100" i="7"/>
  <c r="E98" i="7"/>
  <c r="E97" i="7"/>
  <c r="E95" i="7"/>
  <c r="E94" i="7"/>
  <c r="E92" i="7"/>
  <c r="E91" i="7"/>
  <c r="E82" i="7"/>
  <c r="H82" i="7" s="1"/>
  <c r="E81" i="7"/>
  <c r="H81" i="7" s="1"/>
  <c r="E79" i="7"/>
  <c r="E78" i="7"/>
  <c r="E76" i="7"/>
  <c r="E75" i="7"/>
  <c r="E73" i="7"/>
  <c r="E72" i="7"/>
  <c r="E70" i="7"/>
  <c r="E69" i="7"/>
  <c r="E67" i="7"/>
  <c r="E66" i="7"/>
  <c r="E64" i="7"/>
  <c r="E63" i="7"/>
  <c r="E61" i="7"/>
  <c r="E60" i="7"/>
  <c r="E58" i="7"/>
  <c r="E57" i="7"/>
  <c r="E55" i="7"/>
  <c r="E54" i="7"/>
  <c r="E52" i="7"/>
  <c r="E51" i="7"/>
  <c r="E49" i="7"/>
  <c r="E48" i="7"/>
  <c r="E46" i="7"/>
  <c r="E45" i="7"/>
  <c r="E43" i="7"/>
  <c r="E42" i="7"/>
  <c r="H42" i="7" s="1"/>
  <c r="E60" i="6"/>
  <c r="E59" i="6"/>
  <c r="E57" i="6"/>
  <c r="E56" i="6"/>
  <c r="E54" i="6"/>
  <c r="E53" i="6"/>
  <c r="E50" i="6"/>
  <c r="E49" i="6"/>
  <c r="E47" i="6"/>
  <c r="E46" i="6"/>
  <c r="E44" i="6"/>
  <c r="E43" i="6"/>
  <c r="F42" i="2"/>
  <c r="F41" i="2"/>
  <c r="H58" i="6" l="1"/>
  <c r="K58" i="6" s="1"/>
  <c r="G60" i="12"/>
  <c r="F60" i="12"/>
  <c r="O59" i="12"/>
  <c r="I59" i="12"/>
  <c r="O58" i="12"/>
  <c r="I58" i="12"/>
  <c r="O57" i="12"/>
  <c r="I57" i="12"/>
  <c r="O56" i="12"/>
  <c r="I56" i="12"/>
  <c r="O55" i="12"/>
  <c r="I55" i="12"/>
  <c r="G54" i="12"/>
  <c r="F54" i="12"/>
  <c r="O53" i="12"/>
  <c r="I53" i="12"/>
  <c r="O52" i="12"/>
  <c r="I52" i="12"/>
  <c r="O51" i="12"/>
  <c r="I51" i="12"/>
  <c r="O50" i="12"/>
  <c r="I50" i="12"/>
  <c r="O49" i="12"/>
  <c r="I49" i="12"/>
  <c r="G48" i="12"/>
  <c r="F48" i="12"/>
  <c r="O47" i="12"/>
  <c r="I47" i="12"/>
  <c r="N47" i="12" s="1"/>
  <c r="O46" i="12"/>
  <c r="I46" i="12"/>
  <c r="L46" i="12" s="1"/>
  <c r="O45" i="12"/>
  <c r="I45" i="12"/>
  <c r="L45" i="12" s="1"/>
  <c r="O44" i="12"/>
  <c r="I44" i="12"/>
  <c r="L44" i="12" s="1"/>
  <c r="C44" i="12"/>
  <c r="C45" i="12" s="1"/>
  <c r="C46" i="12" s="1"/>
  <c r="C47" i="12" s="1"/>
  <c r="C48" i="12" s="1"/>
  <c r="C49" i="12" s="1"/>
  <c r="C50" i="12" s="1"/>
  <c r="C51" i="12" s="1"/>
  <c r="C52" i="12" s="1"/>
  <c r="C53" i="12" s="1"/>
  <c r="C54" i="12" s="1"/>
  <c r="C55" i="12" s="1"/>
  <c r="C56" i="12" s="1"/>
  <c r="C57" i="12" s="1"/>
  <c r="C58" i="12" s="1"/>
  <c r="C59" i="12" s="1"/>
  <c r="C60" i="12" s="1"/>
  <c r="O43" i="12"/>
  <c r="I43" i="12"/>
  <c r="N43" i="12" s="1"/>
  <c r="I60" i="12" l="1"/>
  <c r="N60" i="12" s="1"/>
  <c r="I48" i="12"/>
  <c r="L48" i="12" s="1"/>
  <c r="N45" i="12"/>
  <c r="I54" i="12"/>
  <c r="L54" i="12" s="1"/>
  <c r="N44" i="12"/>
  <c r="L52" i="12"/>
  <c r="N50" i="12"/>
  <c r="N51" i="12"/>
  <c r="N52" i="12"/>
  <c r="L57" i="12"/>
  <c r="L56" i="12"/>
  <c r="L53" i="12"/>
  <c r="N59" i="12"/>
  <c r="N55" i="12"/>
  <c r="L49" i="12"/>
  <c r="N56" i="12"/>
  <c r="N58" i="12"/>
  <c r="N57" i="12"/>
  <c r="N49" i="12"/>
  <c r="L51" i="12"/>
  <c r="L43" i="12"/>
  <c r="N46" i="12"/>
  <c r="L47" i="12"/>
  <c r="L50" i="12"/>
  <c r="L55" i="12"/>
  <c r="L59" i="12"/>
  <c r="N53" i="12"/>
  <c r="L58" i="12"/>
  <c r="I206" i="13"/>
  <c r="F207" i="13"/>
  <c r="L207" i="13" s="1"/>
  <c r="F208" i="13"/>
  <c r="I208" i="13" s="1"/>
  <c r="F209" i="13"/>
  <c r="L209" i="13" s="1"/>
  <c r="F210" i="13"/>
  <c r="L210" i="13" s="1"/>
  <c r="F211" i="13"/>
  <c r="L211" i="13" s="1"/>
  <c r="F214" i="13"/>
  <c r="L214" i="13" s="1"/>
  <c r="F215" i="13"/>
  <c r="L215" i="13" s="1"/>
  <c r="F227" i="13"/>
  <c r="I227" i="13" s="1"/>
  <c r="F226" i="13"/>
  <c r="L226" i="13" s="1"/>
  <c r="F225" i="13"/>
  <c r="L225" i="13" s="1"/>
  <c r="F224" i="13"/>
  <c r="L224" i="13" s="1"/>
  <c r="F223" i="13"/>
  <c r="I223" i="13" s="1"/>
  <c r="F222" i="13"/>
  <c r="L222" i="13" s="1"/>
  <c r="F221" i="13"/>
  <c r="L221" i="13" s="1"/>
  <c r="F219" i="13"/>
  <c r="L219" i="13" s="1"/>
  <c r="F218" i="13"/>
  <c r="L218" i="13" s="1"/>
  <c r="F217" i="13"/>
  <c r="L217" i="13" s="1"/>
  <c r="F216" i="13"/>
  <c r="I216" i="13" s="1"/>
  <c r="F213" i="13"/>
  <c r="L213" i="13" s="1"/>
  <c r="C206" i="13"/>
  <c r="C207" i="13" s="1"/>
  <c r="C208" i="13" s="1"/>
  <c r="C209" i="13" s="1"/>
  <c r="C210" i="13" s="1"/>
  <c r="C211" i="13" s="1"/>
  <c r="C212" i="13" s="1"/>
  <c r="C213" i="13" s="1"/>
  <c r="C214" i="13" s="1"/>
  <c r="C215" i="13" s="1"/>
  <c r="C216" i="13" s="1"/>
  <c r="C217" i="13" s="1"/>
  <c r="C218" i="13" s="1"/>
  <c r="C219" i="13" s="1"/>
  <c r="C220" i="13" s="1"/>
  <c r="C221" i="13" s="1"/>
  <c r="C222" i="13" s="1"/>
  <c r="C223" i="13" s="1"/>
  <c r="C224" i="13" s="1"/>
  <c r="C225" i="13" s="1"/>
  <c r="C226" i="13" s="1"/>
  <c r="C227" i="13" s="1"/>
  <c r="C228" i="13" s="1"/>
  <c r="L205" i="13"/>
  <c r="G258" i="10"/>
  <c r="H258" i="10" s="1"/>
  <c r="F258" i="10"/>
  <c r="O257" i="10"/>
  <c r="I257" i="10"/>
  <c r="O256" i="10"/>
  <c r="I256" i="10"/>
  <c r="O255" i="10"/>
  <c r="I255" i="10"/>
  <c r="O254" i="10"/>
  <c r="I254" i="10"/>
  <c r="O253" i="10"/>
  <c r="I253" i="10"/>
  <c r="L253" i="10" s="1"/>
  <c r="O252" i="10"/>
  <c r="I252" i="10"/>
  <c r="L252" i="10" s="1"/>
  <c r="O251" i="10"/>
  <c r="I251" i="10"/>
  <c r="G250" i="10"/>
  <c r="H250" i="10" s="1"/>
  <c r="F250" i="10"/>
  <c r="O249" i="10"/>
  <c r="I249" i="10"/>
  <c r="O248" i="10"/>
  <c r="I248" i="10"/>
  <c r="O247" i="10"/>
  <c r="I247" i="10"/>
  <c r="L247" i="10" s="1"/>
  <c r="O246" i="10"/>
  <c r="I246" i="10"/>
  <c r="O245" i="10"/>
  <c r="I245" i="10"/>
  <c r="O244" i="10"/>
  <c r="I244" i="10"/>
  <c r="L244" i="10" s="1"/>
  <c r="O243" i="10"/>
  <c r="I243" i="10"/>
  <c r="G242" i="10"/>
  <c r="H242" i="10" s="1"/>
  <c r="F212" i="13" s="1"/>
  <c r="K212" i="13" s="1"/>
  <c r="F242" i="10"/>
  <c r="O241" i="10"/>
  <c r="I241" i="10"/>
  <c r="N241" i="10" s="1"/>
  <c r="O240" i="10"/>
  <c r="I240" i="10"/>
  <c r="N240" i="10" s="1"/>
  <c r="O239" i="10"/>
  <c r="I239" i="10"/>
  <c r="N239" i="10" s="1"/>
  <c r="O238" i="10"/>
  <c r="I238" i="10"/>
  <c r="N238" i="10" s="1"/>
  <c r="O237" i="10"/>
  <c r="I237" i="10"/>
  <c r="N237" i="10" s="1"/>
  <c r="O236" i="10"/>
  <c r="I236" i="10"/>
  <c r="N236" i="10" s="1"/>
  <c r="C236" i="10"/>
  <c r="C237" i="10" s="1"/>
  <c r="C238" i="10" s="1"/>
  <c r="C239" i="10" s="1"/>
  <c r="C240" i="10" s="1"/>
  <c r="C241" i="10" s="1"/>
  <c r="C242" i="10" s="1"/>
  <c r="C243" i="10" s="1"/>
  <c r="C244" i="10" s="1"/>
  <c r="C245" i="10" s="1"/>
  <c r="C246" i="10" s="1"/>
  <c r="C247" i="10" s="1"/>
  <c r="C248" i="10" s="1"/>
  <c r="C249" i="10" s="1"/>
  <c r="C250" i="10" s="1"/>
  <c r="C251" i="10" s="1"/>
  <c r="C252" i="10" s="1"/>
  <c r="C253" i="10" s="1"/>
  <c r="C254" i="10" s="1"/>
  <c r="C255" i="10" s="1"/>
  <c r="C256" i="10" s="1"/>
  <c r="C257" i="10" s="1"/>
  <c r="C258" i="10" s="1"/>
  <c r="O235" i="10"/>
  <c r="I235" i="10"/>
  <c r="N235" i="10" s="1"/>
  <c r="N70" i="7"/>
  <c r="N69" i="7"/>
  <c r="C69" i="7"/>
  <c r="C70" i="7" s="1"/>
  <c r="N68" i="7"/>
  <c r="H68" i="7"/>
  <c r="K68" i="7" s="1"/>
  <c r="L60" i="12" l="1"/>
  <c r="N48" i="12"/>
  <c r="L208" i="13"/>
  <c r="N54" i="12"/>
  <c r="I250" i="10"/>
  <c r="L250" i="10" s="1"/>
  <c r="I258" i="10"/>
  <c r="N258" i="10" s="1"/>
  <c r="I217" i="13"/>
  <c r="I224" i="13"/>
  <c r="I225" i="13"/>
  <c r="I222" i="13"/>
  <c r="I226" i="13"/>
  <c r="I215" i="13"/>
  <c r="I219" i="13"/>
  <c r="I214" i="13"/>
  <c r="I218" i="13"/>
  <c r="I212" i="13"/>
  <c r="I207" i="13"/>
  <c r="I211" i="13"/>
  <c r="I209" i="13"/>
  <c r="I210" i="13"/>
  <c r="F228" i="13"/>
  <c r="I228" i="13" s="1"/>
  <c r="F220" i="13"/>
  <c r="I220" i="13" s="1"/>
  <c r="N245" i="10"/>
  <c r="N246" i="10"/>
  <c r="L257" i="10"/>
  <c r="L254" i="10"/>
  <c r="L248" i="10"/>
  <c r="L256" i="10"/>
  <c r="K211" i="13"/>
  <c r="K207" i="13"/>
  <c r="K206" i="13"/>
  <c r="L206" i="13"/>
  <c r="K217" i="13"/>
  <c r="K218" i="13"/>
  <c r="K210" i="13"/>
  <c r="K213" i="13"/>
  <c r="K214" i="13"/>
  <c r="K221" i="13"/>
  <c r="K225" i="13"/>
  <c r="K224" i="13"/>
  <c r="K227" i="13"/>
  <c r="K208" i="13"/>
  <c r="K215" i="13"/>
  <c r="L216" i="13"/>
  <c r="K219" i="13"/>
  <c r="K222" i="13"/>
  <c r="L223" i="13"/>
  <c r="K226" i="13"/>
  <c r="L227" i="13"/>
  <c r="K216" i="13"/>
  <c r="K223" i="13"/>
  <c r="K205" i="13"/>
  <c r="K209" i="13"/>
  <c r="L238" i="10"/>
  <c r="L239" i="10"/>
  <c r="N247" i="10"/>
  <c r="I242" i="10"/>
  <c r="N242" i="10" s="1"/>
  <c r="N249" i="10"/>
  <c r="N256" i="10"/>
  <c r="N243" i="10"/>
  <c r="L246" i="10"/>
  <c r="N252" i="10"/>
  <c r="N253" i="10"/>
  <c r="N257" i="10"/>
  <c r="N251" i="10"/>
  <c r="N255" i="10"/>
  <c r="N244" i="10"/>
  <c r="N248" i="10"/>
  <c r="N254" i="10"/>
  <c r="L236" i="10"/>
  <c r="L240" i="10"/>
  <c r="L237" i="10"/>
  <c r="L241" i="10"/>
  <c r="L245" i="10"/>
  <c r="L249" i="10"/>
  <c r="L255" i="10"/>
  <c r="M68" i="7"/>
  <c r="H69" i="7"/>
  <c r="K69" i="7" s="1"/>
  <c r="H70" i="7"/>
  <c r="K70" i="7" s="1"/>
  <c r="L258" i="10" l="1"/>
  <c r="N250" i="10"/>
  <c r="K228" i="13"/>
  <c r="K220" i="13"/>
  <c r="L242" i="10"/>
  <c r="M70" i="7"/>
  <c r="M69" i="7"/>
  <c r="F96" i="10" l="1"/>
  <c r="G162" i="10"/>
  <c r="F162" i="10"/>
  <c r="G154" i="10"/>
  <c r="F154" i="10"/>
  <c r="G146" i="10"/>
  <c r="F146" i="10"/>
  <c r="N51" i="6" l="1"/>
  <c r="N52" i="6"/>
  <c r="N55" i="6"/>
  <c r="N60" i="6" l="1"/>
  <c r="N57" i="6"/>
  <c r="C57" i="6"/>
  <c r="H55" i="6"/>
  <c r="C54" i="6"/>
  <c r="H52" i="6"/>
  <c r="K55" i="6" l="1"/>
  <c r="M55" i="6" s="1"/>
  <c r="H53" i="6"/>
  <c r="N53" i="6"/>
  <c r="H54" i="6"/>
  <c r="K54" i="6" s="1"/>
  <c r="N54" i="6"/>
  <c r="H57" i="6"/>
  <c r="H56" i="6"/>
  <c r="K56" i="6" s="1"/>
  <c r="N56" i="6"/>
  <c r="H60" i="6"/>
  <c r="K60" i="6" s="1"/>
  <c r="H59" i="6"/>
  <c r="K59" i="6" s="1"/>
  <c r="N59" i="6"/>
  <c r="K52" i="6"/>
  <c r="M52" i="6" s="1"/>
  <c r="M54" i="6" l="1"/>
  <c r="K57" i="6"/>
  <c r="M57" i="6" s="1"/>
  <c r="M53" i="6"/>
  <c r="M56" i="6"/>
  <c r="K53" i="6"/>
  <c r="P53" i="8"/>
  <c r="P52" i="8"/>
  <c r="P51" i="8"/>
  <c r="P50" i="8"/>
  <c r="P49" i="8"/>
  <c r="P48" i="8"/>
  <c r="P47" i="8"/>
  <c r="P45" i="8"/>
  <c r="P44" i="8"/>
  <c r="P43" i="8"/>
  <c r="P42" i="8"/>
  <c r="P41" i="8"/>
  <c r="P40" i="8"/>
  <c r="P39" i="8"/>
  <c r="P37" i="8"/>
  <c r="P36" i="8"/>
  <c r="P35" i="8"/>
  <c r="P34" i="8"/>
  <c r="P33" i="8"/>
  <c r="P32" i="8"/>
  <c r="P31" i="8"/>
  <c r="P29" i="8"/>
  <c r="P28" i="8"/>
  <c r="P27" i="8"/>
  <c r="P26" i="8"/>
  <c r="P25" i="8"/>
  <c r="P24" i="8"/>
  <c r="P23" i="8"/>
  <c r="P21" i="8"/>
  <c r="P20" i="8"/>
  <c r="P19" i="8"/>
  <c r="P18" i="8"/>
  <c r="P17" i="8"/>
  <c r="P16" i="8"/>
  <c r="P15" i="8"/>
  <c r="P13" i="8"/>
  <c r="P12" i="8"/>
  <c r="P11" i="8"/>
  <c r="P10" i="8"/>
  <c r="P9" i="8"/>
  <c r="P8" i="8"/>
  <c r="P7" i="8"/>
  <c r="O53" i="8"/>
  <c r="O52" i="8"/>
  <c r="O51" i="8"/>
  <c r="O50" i="8"/>
  <c r="O49" i="8"/>
  <c r="O48" i="8"/>
  <c r="O47" i="8"/>
  <c r="O45" i="8"/>
  <c r="O44" i="8"/>
  <c r="O43" i="8"/>
  <c r="O42" i="8"/>
  <c r="O41" i="8"/>
  <c r="O40" i="8"/>
  <c r="O39" i="8"/>
  <c r="O37" i="8"/>
  <c r="O36" i="8"/>
  <c r="O35" i="8"/>
  <c r="O34" i="8"/>
  <c r="O33" i="8"/>
  <c r="O32" i="8"/>
  <c r="O31" i="8"/>
  <c r="O29" i="8"/>
  <c r="O28" i="8"/>
  <c r="O27" i="8"/>
  <c r="O26" i="8"/>
  <c r="O25" i="8"/>
  <c r="O24" i="8"/>
  <c r="O23" i="8"/>
  <c r="O21" i="8"/>
  <c r="O20" i="8"/>
  <c r="O19" i="8"/>
  <c r="O18" i="8"/>
  <c r="O17" i="8"/>
  <c r="O16" i="8"/>
  <c r="O15" i="8"/>
  <c r="O13" i="8"/>
  <c r="O12" i="8"/>
  <c r="O11" i="8"/>
  <c r="O10" i="8"/>
  <c r="O9" i="8"/>
  <c r="O8" i="8"/>
  <c r="O7" i="8"/>
  <c r="O42" i="2"/>
  <c r="O41" i="2"/>
  <c r="F39" i="2"/>
  <c r="O39" i="2" s="1"/>
  <c r="F38" i="2"/>
  <c r="O38" i="2" s="1"/>
  <c r="O40" i="2"/>
  <c r="O37" i="2"/>
  <c r="O43" i="2" l="1"/>
  <c r="F245" i="13" l="1"/>
  <c r="F244" i="13"/>
  <c r="F243" i="13"/>
  <c r="F242" i="13"/>
  <c r="F241" i="13"/>
  <c r="F239" i="13"/>
  <c r="F238" i="13"/>
  <c r="F237" i="13"/>
  <c r="F236" i="13"/>
  <c r="F235" i="13"/>
  <c r="F233" i="13"/>
  <c r="F232" i="13"/>
  <c r="F231" i="13"/>
  <c r="F230" i="13"/>
  <c r="F229" i="13"/>
  <c r="F269" i="13"/>
  <c r="F268" i="13"/>
  <c r="F267" i="13"/>
  <c r="F266" i="13"/>
  <c r="F265" i="13"/>
  <c r="F264" i="13"/>
  <c r="F263" i="13"/>
  <c r="F261" i="13"/>
  <c r="F260" i="13"/>
  <c r="F259" i="13"/>
  <c r="F258" i="13"/>
  <c r="F257" i="13"/>
  <c r="F256" i="13"/>
  <c r="F255" i="13"/>
  <c r="F253" i="13"/>
  <c r="K253" i="13" s="1"/>
  <c r="F252" i="13"/>
  <c r="K252" i="13" s="1"/>
  <c r="F251" i="13"/>
  <c r="K251" i="13" s="1"/>
  <c r="F250" i="13"/>
  <c r="K250" i="13" s="1"/>
  <c r="F249" i="13"/>
  <c r="K249" i="13" s="1"/>
  <c r="F248" i="13"/>
  <c r="K248" i="13" s="1"/>
  <c r="K241" i="13" l="1"/>
  <c r="I241" i="13"/>
  <c r="K242" i="13"/>
  <c r="I242" i="13"/>
  <c r="K243" i="13"/>
  <c r="I243" i="13"/>
  <c r="K244" i="13"/>
  <c r="I244" i="13"/>
  <c r="K245" i="13"/>
  <c r="I245" i="13"/>
  <c r="K237" i="13"/>
  <c r="I237" i="13"/>
  <c r="K238" i="13"/>
  <c r="I238" i="13"/>
  <c r="K235" i="13"/>
  <c r="I235" i="13"/>
  <c r="K239" i="13"/>
  <c r="I239" i="13"/>
  <c r="K236" i="13"/>
  <c r="I236" i="13"/>
  <c r="K231" i="13"/>
  <c r="I231" i="13"/>
  <c r="K232" i="13"/>
  <c r="I232" i="13"/>
  <c r="K229" i="13"/>
  <c r="I229" i="13"/>
  <c r="K233" i="13"/>
  <c r="I233" i="13"/>
  <c r="K230" i="13"/>
  <c r="I230" i="13"/>
  <c r="F247" i="13"/>
  <c r="K247" i="13" s="1"/>
  <c r="F203" i="13"/>
  <c r="I203" i="13" s="1"/>
  <c r="F202" i="13"/>
  <c r="I202" i="13" s="1"/>
  <c r="F201" i="13"/>
  <c r="I201" i="13" s="1"/>
  <c r="F200" i="13"/>
  <c r="I200" i="13" s="1"/>
  <c r="F199" i="13"/>
  <c r="I199" i="13" s="1"/>
  <c r="F198" i="13"/>
  <c r="I198" i="13" s="1"/>
  <c r="F197" i="13"/>
  <c r="I197" i="13" s="1"/>
  <c r="F195" i="13"/>
  <c r="I195" i="13" s="1"/>
  <c r="F194" i="13"/>
  <c r="I194" i="13" s="1"/>
  <c r="F193" i="13"/>
  <c r="I193" i="13" s="1"/>
  <c r="F192" i="13"/>
  <c r="I192" i="13" s="1"/>
  <c r="F191" i="13"/>
  <c r="I191" i="13" s="1"/>
  <c r="F190" i="13"/>
  <c r="I190" i="13" s="1"/>
  <c r="F189" i="13"/>
  <c r="I189" i="13" s="1"/>
  <c r="F187" i="13"/>
  <c r="I187" i="13" s="1"/>
  <c r="F186" i="13"/>
  <c r="I186" i="13" s="1"/>
  <c r="F185" i="13"/>
  <c r="I185" i="13" s="1"/>
  <c r="F184" i="13"/>
  <c r="I184" i="13" s="1"/>
  <c r="F183" i="13"/>
  <c r="I183" i="13" s="1"/>
  <c r="F182" i="13"/>
  <c r="I182" i="13" s="1"/>
  <c r="F181" i="13"/>
  <c r="I181" i="13" s="1"/>
  <c r="F179" i="13"/>
  <c r="I179" i="13" s="1"/>
  <c r="F178" i="13"/>
  <c r="I178" i="13" s="1"/>
  <c r="F177" i="13"/>
  <c r="I177" i="13" s="1"/>
  <c r="F176" i="13"/>
  <c r="I176" i="13" s="1"/>
  <c r="F175" i="13"/>
  <c r="I175" i="13" s="1"/>
  <c r="F174" i="13"/>
  <c r="I174" i="13" s="1"/>
  <c r="F173" i="13"/>
  <c r="I173" i="13" s="1"/>
  <c r="F171" i="13"/>
  <c r="I171" i="13" s="1"/>
  <c r="F170" i="13"/>
  <c r="I170" i="13" s="1"/>
  <c r="F169" i="13"/>
  <c r="I169" i="13" s="1"/>
  <c r="F168" i="13"/>
  <c r="I168" i="13" s="1"/>
  <c r="F167" i="13"/>
  <c r="I167" i="13" s="1"/>
  <c r="F166" i="13"/>
  <c r="I166" i="13" s="1"/>
  <c r="F165" i="13"/>
  <c r="I165" i="13" s="1"/>
  <c r="F163" i="13"/>
  <c r="I163" i="13" s="1"/>
  <c r="F162" i="13"/>
  <c r="I162" i="13" s="1"/>
  <c r="F161" i="13"/>
  <c r="I161" i="13" s="1"/>
  <c r="F160" i="13"/>
  <c r="I160" i="13" s="1"/>
  <c r="F159" i="13"/>
  <c r="I159" i="13" s="1"/>
  <c r="F158" i="13"/>
  <c r="I158" i="13" s="1"/>
  <c r="F157" i="13"/>
  <c r="I157" i="13" s="1"/>
  <c r="F155" i="13"/>
  <c r="I155" i="13" s="1"/>
  <c r="F154" i="13"/>
  <c r="I154" i="13" s="1"/>
  <c r="F153" i="13"/>
  <c r="I153" i="13" s="1"/>
  <c r="F152" i="13"/>
  <c r="I152" i="13" s="1"/>
  <c r="F151" i="13"/>
  <c r="I151" i="13" s="1"/>
  <c r="F150" i="13"/>
  <c r="I150" i="13" s="1"/>
  <c r="F149" i="13"/>
  <c r="I149" i="13" s="1"/>
  <c r="F147" i="13"/>
  <c r="I147" i="13" s="1"/>
  <c r="F146" i="13"/>
  <c r="I146" i="13" s="1"/>
  <c r="F145" i="13"/>
  <c r="I145" i="13" s="1"/>
  <c r="F144" i="13"/>
  <c r="I144" i="13" s="1"/>
  <c r="F143" i="13"/>
  <c r="I143" i="13" s="1"/>
  <c r="F142" i="13"/>
  <c r="I142" i="13" s="1"/>
  <c r="F141" i="13"/>
  <c r="I141" i="13" s="1"/>
  <c r="F139" i="13"/>
  <c r="I139" i="13" s="1"/>
  <c r="F138" i="13"/>
  <c r="I138" i="13" s="1"/>
  <c r="F137" i="13"/>
  <c r="I137" i="13" s="1"/>
  <c r="F136" i="13"/>
  <c r="I136" i="13" s="1"/>
  <c r="F135" i="13"/>
  <c r="I135" i="13" s="1"/>
  <c r="F134" i="13"/>
  <c r="I134" i="13" s="1"/>
  <c r="F133" i="13"/>
  <c r="I133" i="13" s="1"/>
  <c r="F131" i="13"/>
  <c r="F130" i="13"/>
  <c r="F129" i="13"/>
  <c r="F128" i="13"/>
  <c r="F127" i="13"/>
  <c r="F125" i="13"/>
  <c r="F124" i="13"/>
  <c r="F123" i="13"/>
  <c r="F122" i="13"/>
  <c r="F121" i="13"/>
  <c r="F119" i="13"/>
  <c r="K119" i="13" s="1"/>
  <c r="F118" i="13"/>
  <c r="K118" i="13" s="1"/>
  <c r="F117" i="13"/>
  <c r="K117" i="13" s="1"/>
  <c r="F116" i="13"/>
  <c r="K116" i="13" s="1"/>
  <c r="F115" i="13"/>
  <c r="K115" i="13" s="1"/>
  <c r="F113" i="13"/>
  <c r="F112" i="13"/>
  <c r="F111" i="13"/>
  <c r="F110" i="13"/>
  <c r="F109" i="13"/>
  <c r="F107" i="13"/>
  <c r="F106" i="13"/>
  <c r="F105" i="13"/>
  <c r="F104" i="13"/>
  <c r="F103" i="13"/>
  <c r="F101" i="13"/>
  <c r="K101" i="13" s="1"/>
  <c r="F100" i="13"/>
  <c r="K100" i="13" s="1"/>
  <c r="F99" i="13"/>
  <c r="K99" i="13" s="1"/>
  <c r="F98" i="13"/>
  <c r="K98" i="13" s="1"/>
  <c r="F97" i="13"/>
  <c r="K97" i="13" s="1"/>
  <c r="F95" i="13"/>
  <c r="F94" i="13"/>
  <c r="F93" i="13"/>
  <c r="F92" i="13"/>
  <c r="F91" i="13"/>
  <c r="F90" i="13"/>
  <c r="F89" i="13"/>
  <c r="F87" i="13"/>
  <c r="F86" i="13"/>
  <c r="F85" i="13"/>
  <c r="F84" i="13"/>
  <c r="F83" i="13"/>
  <c r="F82" i="13"/>
  <c r="F81" i="13"/>
  <c r="F79" i="13"/>
  <c r="K79" i="13" s="1"/>
  <c r="F78" i="13"/>
  <c r="K78" i="13" s="1"/>
  <c r="F77" i="13"/>
  <c r="K77" i="13" s="1"/>
  <c r="F76" i="13"/>
  <c r="K76" i="13" s="1"/>
  <c r="F75" i="13"/>
  <c r="K75" i="13" s="1"/>
  <c r="F74" i="13"/>
  <c r="K74" i="13" s="1"/>
  <c r="F73" i="13"/>
  <c r="K73" i="13" s="1"/>
  <c r="F71" i="13"/>
  <c r="F70" i="13"/>
  <c r="F69" i="13"/>
  <c r="F68" i="13"/>
  <c r="F67" i="13"/>
  <c r="F66" i="13"/>
  <c r="F65" i="13"/>
  <c r="F63" i="13"/>
  <c r="F62" i="13"/>
  <c r="F61" i="13"/>
  <c r="F60" i="13"/>
  <c r="F59" i="13"/>
  <c r="F58" i="13"/>
  <c r="F57" i="13"/>
  <c r="F55" i="13"/>
  <c r="K55" i="13" s="1"/>
  <c r="F54" i="13"/>
  <c r="K54" i="13" s="1"/>
  <c r="F53" i="13"/>
  <c r="K53" i="13" s="1"/>
  <c r="F52" i="13"/>
  <c r="K52" i="13" s="1"/>
  <c r="F51" i="13"/>
  <c r="K51" i="13" s="1"/>
  <c r="F50" i="13"/>
  <c r="K50" i="13" s="1"/>
  <c r="F49" i="13"/>
  <c r="K49" i="13" s="1"/>
  <c r="F47" i="13"/>
  <c r="F46" i="13"/>
  <c r="F45" i="13"/>
  <c r="F44" i="13"/>
  <c r="F43" i="13"/>
  <c r="F42" i="13"/>
  <c r="F41" i="13"/>
  <c r="F39" i="13"/>
  <c r="F38" i="13"/>
  <c r="F37" i="13"/>
  <c r="F36" i="13"/>
  <c r="F35" i="13"/>
  <c r="F34" i="13"/>
  <c r="F33" i="13"/>
  <c r="F31" i="13"/>
  <c r="K31" i="13" s="1"/>
  <c r="F30" i="13"/>
  <c r="K30" i="13" s="1"/>
  <c r="F29" i="13"/>
  <c r="K29" i="13" s="1"/>
  <c r="F28" i="13"/>
  <c r="K28" i="13" s="1"/>
  <c r="F27" i="13"/>
  <c r="K27" i="13" s="1"/>
  <c r="F26" i="13"/>
  <c r="K26" i="13" s="1"/>
  <c r="F25" i="13"/>
  <c r="K25" i="13" s="1"/>
  <c r="F23" i="13"/>
  <c r="F22" i="13"/>
  <c r="F21" i="13"/>
  <c r="F20" i="13"/>
  <c r="F19" i="13"/>
  <c r="F17" i="13"/>
  <c r="F16" i="13"/>
  <c r="F15" i="13"/>
  <c r="F14" i="13"/>
  <c r="F13" i="13"/>
  <c r="F11" i="13"/>
  <c r="K11" i="13" s="1"/>
  <c r="F10" i="13"/>
  <c r="K10" i="13" s="1"/>
  <c r="F9" i="13"/>
  <c r="K9" i="13" s="1"/>
  <c r="F8" i="13"/>
  <c r="K8" i="13" s="1"/>
  <c r="F7" i="13"/>
  <c r="K7" i="13" s="1"/>
  <c r="K133" i="13" l="1"/>
  <c r="K137" i="13"/>
  <c r="K160" i="13"/>
  <c r="K183" i="13"/>
  <c r="K187" i="13"/>
  <c r="K134" i="13"/>
  <c r="K138" i="13"/>
  <c r="K157" i="13"/>
  <c r="K161" i="13"/>
  <c r="K184" i="13"/>
  <c r="K135" i="13"/>
  <c r="K139" i="13"/>
  <c r="K158" i="13"/>
  <c r="K162" i="13"/>
  <c r="K181" i="13"/>
  <c r="K185" i="13"/>
  <c r="K136" i="13"/>
  <c r="K159" i="13"/>
  <c r="K163" i="13"/>
  <c r="K182" i="13"/>
  <c r="K186" i="13"/>
  <c r="I253" i="13"/>
  <c r="I252" i="13"/>
  <c r="I251" i="13"/>
  <c r="I250" i="13"/>
  <c r="I249" i="13"/>
  <c r="I248" i="13"/>
  <c r="I247" i="13"/>
  <c r="I119" i="13"/>
  <c r="I118" i="13"/>
  <c r="I117" i="13"/>
  <c r="I116" i="13"/>
  <c r="I115" i="13"/>
  <c r="I101" i="13"/>
  <c r="I100" i="13"/>
  <c r="I99" i="13"/>
  <c r="I98" i="13"/>
  <c r="I97" i="13"/>
  <c r="I79" i="13"/>
  <c r="I78" i="13"/>
  <c r="I77" i="13"/>
  <c r="I76" i="13"/>
  <c r="I75" i="13"/>
  <c r="I74" i="13"/>
  <c r="I73" i="13"/>
  <c r="I55" i="13"/>
  <c r="I54" i="13"/>
  <c r="I53" i="13"/>
  <c r="I52" i="13"/>
  <c r="I51" i="13"/>
  <c r="I50" i="13"/>
  <c r="I49" i="13"/>
  <c r="I31" i="13"/>
  <c r="I30" i="13"/>
  <c r="I29" i="13"/>
  <c r="I28" i="13"/>
  <c r="I27" i="13"/>
  <c r="I26" i="13"/>
  <c r="I25" i="13"/>
  <c r="I11" i="13"/>
  <c r="I10" i="13"/>
  <c r="I9" i="13"/>
  <c r="I8" i="13"/>
  <c r="I7" i="13"/>
  <c r="L245" i="13"/>
  <c r="L244" i="13"/>
  <c r="L243" i="13"/>
  <c r="L242" i="13"/>
  <c r="L241" i="13"/>
  <c r="L239" i="13"/>
  <c r="L238" i="13"/>
  <c r="L237" i="13"/>
  <c r="L236" i="13"/>
  <c r="L235" i="13"/>
  <c r="L233" i="13"/>
  <c r="L232" i="13"/>
  <c r="L231" i="13"/>
  <c r="L230" i="13"/>
  <c r="L229" i="13"/>
  <c r="L269" i="13"/>
  <c r="L268" i="13"/>
  <c r="L267" i="13"/>
  <c r="L266" i="13"/>
  <c r="L265" i="13"/>
  <c r="L264" i="13"/>
  <c r="L263" i="13"/>
  <c r="L261" i="13"/>
  <c r="L260" i="13"/>
  <c r="L259" i="13"/>
  <c r="L258" i="13"/>
  <c r="L257" i="13"/>
  <c r="L256" i="13"/>
  <c r="L255" i="13"/>
  <c r="L253" i="13"/>
  <c r="L252" i="13"/>
  <c r="L251" i="13"/>
  <c r="L250" i="13"/>
  <c r="L249" i="13"/>
  <c r="L248" i="13"/>
  <c r="L247" i="13"/>
  <c r="L203" i="13"/>
  <c r="L202" i="13"/>
  <c r="L201" i="13"/>
  <c r="L200" i="13"/>
  <c r="L199" i="13"/>
  <c r="L198" i="13"/>
  <c r="L197" i="13"/>
  <c r="L195" i="13"/>
  <c r="L194" i="13"/>
  <c r="L193" i="13"/>
  <c r="L192" i="13"/>
  <c r="L191" i="13"/>
  <c r="L190" i="13"/>
  <c r="L189" i="13"/>
  <c r="L187" i="13"/>
  <c r="L186" i="13"/>
  <c r="L185" i="13"/>
  <c r="L184" i="13"/>
  <c r="L183" i="13"/>
  <c r="L182" i="13"/>
  <c r="L181" i="13"/>
  <c r="L179" i="13"/>
  <c r="L178" i="13"/>
  <c r="L177" i="13"/>
  <c r="L176" i="13"/>
  <c r="L175" i="13"/>
  <c r="L174" i="13"/>
  <c r="L173" i="13"/>
  <c r="L171" i="13"/>
  <c r="L170" i="13"/>
  <c r="L169" i="13"/>
  <c r="L168" i="13"/>
  <c r="L167" i="13"/>
  <c r="L166" i="13"/>
  <c r="L165" i="13"/>
  <c r="L163" i="13"/>
  <c r="L162" i="13"/>
  <c r="L161" i="13"/>
  <c r="L160" i="13"/>
  <c r="L159" i="13"/>
  <c r="L158" i="13"/>
  <c r="L157" i="13"/>
  <c r="L155" i="13"/>
  <c r="L154" i="13"/>
  <c r="L153" i="13"/>
  <c r="L152" i="13"/>
  <c r="L151" i="13"/>
  <c r="L150" i="13"/>
  <c r="L149" i="13"/>
  <c r="L147" i="13"/>
  <c r="L146" i="13"/>
  <c r="L145" i="13"/>
  <c r="L144" i="13"/>
  <c r="L143" i="13"/>
  <c r="L142" i="13"/>
  <c r="L141" i="13"/>
  <c r="L139" i="13"/>
  <c r="L138" i="13"/>
  <c r="L137" i="13"/>
  <c r="L136" i="13"/>
  <c r="L135" i="13"/>
  <c r="L134" i="13"/>
  <c r="L133" i="13"/>
  <c r="L131" i="13"/>
  <c r="L130" i="13"/>
  <c r="L129" i="13"/>
  <c r="L128" i="13"/>
  <c r="L127" i="13"/>
  <c r="L125" i="13"/>
  <c r="L124" i="13"/>
  <c r="L123" i="13"/>
  <c r="L122" i="13"/>
  <c r="L121" i="13"/>
  <c r="L119" i="13"/>
  <c r="L118" i="13"/>
  <c r="L117" i="13"/>
  <c r="L116" i="13"/>
  <c r="L115" i="13"/>
  <c r="L113" i="13"/>
  <c r="L112" i="13"/>
  <c r="L111" i="13"/>
  <c r="L110" i="13"/>
  <c r="L109" i="13"/>
  <c r="L107" i="13"/>
  <c r="L106" i="13"/>
  <c r="L105" i="13"/>
  <c r="L104" i="13"/>
  <c r="L103" i="13"/>
  <c r="L101" i="13"/>
  <c r="L100" i="13"/>
  <c r="L99" i="13"/>
  <c r="L98" i="13"/>
  <c r="L97" i="13"/>
  <c r="L95" i="13"/>
  <c r="L94" i="13"/>
  <c r="L93" i="13"/>
  <c r="L92" i="13"/>
  <c r="L91" i="13"/>
  <c r="L90" i="13"/>
  <c r="L89" i="13"/>
  <c r="L87" i="13"/>
  <c r="L86" i="13"/>
  <c r="L85" i="13"/>
  <c r="L84" i="13"/>
  <c r="L83" i="13"/>
  <c r="L82" i="13"/>
  <c r="L81" i="13"/>
  <c r="L79" i="13"/>
  <c r="L78" i="13"/>
  <c r="L77" i="13"/>
  <c r="L76" i="13"/>
  <c r="L75" i="13"/>
  <c r="L74" i="13"/>
  <c r="L73" i="13"/>
  <c r="L71" i="13"/>
  <c r="L70" i="13"/>
  <c r="L69" i="13"/>
  <c r="L68" i="13"/>
  <c r="L67" i="13"/>
  <c r="L66" i="13"/>
  <c r="L65" i="13"/>
  <c r="L63" i="13"/>
  <c r="L62" i="13"/>
  <c r="L61" i="13"/>
  <c r="L60" i="13"/>
  <c r="L59" i="13"/>
  <c r="L58" i="13"/>
  <c r="L57" i="13"/>
  <c r="L55" i="13"/>
  <c r="L54" i="13"/>
  <c r="L53" i="13"/>
  <c r="L52" i="13"/>
  <c r="L51" i="13"/>
  <c r="L50" i="13"/>
  <c r="L49" i="13"/>
  <c r="L47" i="13"/>
  <c r="L46" i="13"/>
  <c r="L45" i="13"/>
  <c r="L44" i="13"/>
  <c r="L43" i="13"/>
  <c r="L42" i="13"/>
  <c r="L41" i="13"/>
  <c r="L39" i="13"/>
  <c r="L38" i="13"/>
  <c r="L37" i="13"/>
  <c r="L36" i="13"/>
  <c r="L35" i="13"/>
  <c r="L34" i="13"/>
  <c r="L33" i="13"/>
  <c r="L31" i="13"/>
  <c r="L30" i="13"/>
  <c r="L29" i="13"/>
  <c r="L28" i="13"/>
  <c r="L27" i="13"/>
  <c r="L26" i="13"/>
  <c r="L25" i="13"/>
  <c r="L23" i="13"/>
  <c r="L22" i="13"/>
  <c r="L21" i="13"/>
  <c r="L20" i="13"/>
  <c r="L19" i="13"/>
  <c r="L17" i="13"/>
  <c r="L16" i="13"/>
  <c r="L15" i="13"/>
  <c r="L14" i="13"/>
  <c r="L13" i="13"/>
  <c r="L11" i="13"/>
  <c r="L10" i="13"/>
  <c r="L9" i="13"/>
  <c r="L8" i="13"/>
  <c r="L7" i="13"/>
  <c r="H87" i="7"/>
  <c r="N94" i="7"/>
  <c r="O41" i="12"/>
  <c r="O40" i="12"/>
  <c r="O39" i="12"/>
  <c r="O38" i="12"/>
  <c r="O37" i="12"/>
  <c r="O35" i="12"/>
  <c r="O34" i="12"/>
  <c r="O33" i="12"/>
  <c r="O32" i="12"/>
  <c r="O31" i="12"/>
  <c r="O29" i="12"/>
  <c r="O28" i="12"/>
  <c r="O27" i="12"/>
  <c r="O26" i="12"/>
  <c r="O25" i="12"/>
  <c r="O23" i="12"/>
  <c r="O22" i="12"/>
  <c r="O21" i="12"/>
  <c r="O20" i="12"/>
  <c r="O19" i="12"/>
  <c r="O17" i="12"/>
  <c r="O16" i="12"/>
  <c r="O15" i="12"/>
  <c r="O14" i="12"/>
  <c r="O13" i="12"/>
  <c r="O11" i="12"/>
  <c r="O10" i="12"/>
  <c r="O9" i="12"/>
  <c r="O8" i="12"/>
  <c r="O7" i="12"/>
  <c r="O89" i="11"/>
  <c r="O88" i="11"/>
  <c r="O87" i="11"/>
  <c r="O86" i="11"/>
  <c r="O85" i="11"/>
  <c r="O83" i="11"/>
  <c r="O82" i="11"/>
  <c r="O81" i="11"/>
  <c r="O80" i="11"/>
  <c r="O79" i="11"/>
  <c r="O77" i="11"/>
  <c r="O76" i="11"/>
  <c r="O75" i="11"/>
  <c r="O74" i="11"/>
  <c r="O73" i="11"/>
  <c r="O71" i="11"/>
  <c r="O70" i="11"/>
  <c r="O69" i="11"/>
  <c r="O68" i="11"/>
  <c r="O67" i="11"/>
  <c r="O65" i="11"/>
  <c r="O64" i="11"/>
  <c r="O63" i="11"/>
  <c r="O62" i="11"/>
  <c r="O61" i="11"/>
  <c r="O59" i="11"/>
  <c r="O58" i="11"/>
  <c r="O57" i="11"/>
  <c r="O56" i="11"/>
  <c r="O55" i="11"/>
  <c r="O53" i="11"/>
  <c r="O52" i="11"/>
  <c r="O51" i="11"/>
  <c r="O50" i="11"/>
  <c r="O49" i="11"/>
  <c r="O48" i="11"/>
  <c r="O45" i="11"/>
  <c r="O44" i="11"/>
  <c r="O43" i="11"/>
  <c r="O42" i="11"/>
  <c r="O41" i="11"/>
  <c r="O40" i="11"/>
  <c r="O37" i="11"/>
  <c r="O36" i="11"/>
  <c r="O35" i="11"/>
  <c r="O34" i="11"/>
  <c r="O33" i="11"/>
  <c r="O32" i="11"/>
  <c r="O29" i="11"/>
  <c r="O28" i="11"/>
  <c r="O27" i="11"/>
  <c r="O26" i="11"/>
  <c r="O25" i="11"/>
  <c r="O24" i="11"/>
  <c r="O23" i="11"/>
  <c r="O21" i="11"/>
  <c r="O20" i="11"/>
  <c r="O19" i="11"/>
  <c r="O18" i="11"/>
  <c r="O17" i="11"/>
  <c r="O16" i="11"/>
  <c r="O15" i="11"/>
  <c r="O13" i="11"/>
  <c r="O12" i="11"/>
  <c r="O11" i="11"/>
  <c r="O10" i="11"/>
  <c r="O9" i="11"/>
  <c r="O8" i="11"/>
  <c r="O7" i="11"/>
  <c r="O431" i="10"/>
  <c r="O430" i="10"/>
  <c r="O429" i="10"/>
  <c r="O428" i="10"/>
  <c r="O427" i="10"/>
  <c r="O425" i="10"/>
  <c r="O424" i="10"/>
  <c r="O423" i="10"/>
  <c r="O422" i="10"/>
  <c r="O421" i="10"/>
  <c r="O419" i="10"/>
  <c r="O418" i="10"/>
  <c r="O417" i="10"/>
  <c r="O416" i="10"/>
  <c r="O415" i="10"/>
  <c r="O497" i="10"/>
  <c r="O496" i="10"/>
  <c r="O495" i="10"/>
  <c r="O494" i="10"/>
  <c r="O493" i="10"/>
  <c r="O491" i="10"/>
  <c r="O490" i="10"/>
  <c r="O489" i="10"/>
  <c r="O488" i="10"/>
  <c r="O487" i="10"/>
  <c r="O485" i="10"/>
  <c r="O484" i="10"/>
  <c r="O483" i="10"/>
  <c r="O482" i="10"/>
  <c r="O481" i="10"/>
  <c r="O479" i="10"/>
  <c r="O478" i="10"/>
  <c r="O477" i="10"/>
  <c r="O476" i="10"/>
  <c r="O475" i="10"/>
  <c r="O474" i="10"/>
  <c r="O473" i="10"/>
  <c r="O471" i="10"/>
  <c r="O470" i="10"/>
  <c r="O469" i="10"/>
  <c r="O468" i="10"/>
  <c r="O467" i="10"/>
  <c r="O466" i="10"/>
  <c r="O465" i="10"/>
  <c r="O463" i="10"/>
  <c r="O462" i="10"/>
  <c r="O461" i="10"/>
  <c r="O460" i="10"/>
  <c r="O459" i="10"/>
  <c r="O458" i="10"/>
  <c r="O457" i="10"/>
  <c r="O455" i="10"/>
  <c r="O454" i="10"/>
  <c r="O453" i="10"/>
  <c r="O452" i="10"/>
  <c r="O451" i="10"/>
  <c r="O450" i="10"/>
  <c r="O449" i="10"/>
  <c r="O447" i="10"/>
  <c r="O446" i="10"/>
  <c r="O445" i="10"/>
  <c r="O444" i="10"/>
  <c r="O443" i="10"/>
  <c r="O442" i="10"/>
  <c r="O441" i="10"/>
  <c r="O439" i="10"/>
  <c r="O438" i="10"/>
  <c r="O437" i="10"/>
  <c r="O436" i="10"/>
  <c r="O435" i="10"/>
  <c r="O434" i="10"/>
  <c r="O433" i="10"/>
  <c r="O413" i="10"/>
  <c r="O412" i="10"/>
  <c r="O411" i="10"/>
  <c r="O410" i="10"/>
  <c r="O409" i="10"/>
  <c r="O407" i="10"/>
  <c r="O406" i="10"/>
  <c r="O405" i="10"/>
  <c r="O404" i="10"/>
  <c r="O403" i="10"/>
  <c r="O401" i="10"/>
  <c r="O400" i="10"/>
  <c r="O399" i="10"/>
  <c r="O398" i="10"/>
  <c r="O397" i="10"/>
  <c r="O395" i="10"/>
  <c r="O394" i="10"/>
  <c r="O393" i="10"/>
  <c r="O392" i="10"/>
  <c r="O391" i="10"/>
  <c r="O389" i="10"/>
  <c r="O388" i="10"/>
  <c r="O387" i="10"/>
  <c r="O386" i="10"/>
  <c r="O385" i="10"/>
  <c r="O383" i="10"/>
  <c r="O382" i="10"/>
  <c r="O381" i="10"/>
  <c r="O380" i="10"/>
  <c r="O379" i="10"/>
  <c r="O353" i="10"/>
  <c r="O352" i="10"/>
  <c r="O351" i="10"/>
  <c r="O350" i="10"/>
  <c r="O349" i="10"/>
  <c r="O348" i="10"/>
  <c r="O347" i="10"/>
  <c r="O345" i="10"/>
  <c r="O344" i="10"/>
  <c r="O343" i="10"/>
  <c r="O342" i="10"/>
  <c r="O341" i="10"/>
  <c r="O340" i="10"/>
  <c r="O339" i="10"/>
  <c r="O337" i="10"/>
  <c r="O336" i="10"/>
  <c r="O335" i="10"/>
  <c r="O334" i="10"/>
  <c r="O333" i="10"/>
  <c r="O332" i="10"/>
  <c r="O331" i="10"/>
  <c r="O329" i="10"/>
  <c r="O328" i="10"/>
  <c r="O327" i="10"/>
  <c r="O326" i="10"/>
  <c r="O325" i="10"/>
  <c r="O324" i="10"/>
  <c r="O323" i="10"/>
  <c r="O321" i="10"/>
  <c r="O320" i="10"/>
  <c r="O319" i="10"/>
  <c r="O318" i="10"/>
  <c r="O317" i="10"/>
  <c r="O316" i="10"/>
  <c r="O315" i="10"/>
  <c r="O313" i="10"/>
  <c r="O312" i="10"/>
  <c r="O311" i="10"/>
  <c r="O310" i="10"/>
  <c r="O309" i="10"/>
  <c r="O308" i="10"/>
  <c r="O307" i="10"/>
  <c r="O305" i="10"/>
  <c r="O304" i="10"/>
  <c r="O303" i="10"/>
  <c r="O302" i="10"/>
  <c r="O301" i="10"/>
  <c r="O300" i="10"/>
  <c r="O299" i="10"/>
  <c r="O297" i="10"/>
  <c r="O296" i="10"/>
  <c r="O295" i="10"/>
  <c r="O294" i="10"/>
  <c r="O293" i="10"/>
  <c r="O292" i="10"/>
  <c r="O291" i="10"/>
  <c r="O289" i="10"/>
  <c r="O288" i="10"/>
  <c r="O287" i="10"/>
  <c r="O286" i="10"/>
  <c r="O285" i="10"/>
  <c r="O284" i="10"/>
  <c r="O283" i="10"/>
  <c r="O281" i="10"/>
  <c r="O280" i="10"/>
  <c r="O279" i="10"/>
  <c r="O278" i="10"/>
  <c r="O277" i="10"/>
  <c r="O276" i="10"/>
  <c r="O275" i="10"/>
  <c r="O273" i="10"/>
  <c r="O272" i="10"/>
  <c r="O271" i="10"/>
  <c r="O270" i="10"/>
  <c r="O269" i="10"/>
  <c r="O268" i="10"/>
  <c r="O267" i="10"/>
  <c r="O265" i="10"/>
  <c r="O264" i="10"/>
  <c r="O263" i="10"/>
  <c r="O262" i="10"/>
  <c r="O261" i="10"/>
  <c r="O260" i="10"/>
  <c r="O259" i="10"/>
  <c r="O233" i="10"/>
  <c r="O232" i="10"/>
  <c r="O231" i="10"/>
  <c r="O230" i="10"/>
  <c r="O229" i="10"/>
  <c r="O228" i="10"/>
  <c r="O227" i="10"/>
  <c r="O225" i="10"/>
  <c r="O224" i="10"/>
  <c r="O223" i="10"/>
  <c r="O222" i="10"/>
  <c r="O221" i="10"/>
  <c r="O220" i="10"/>
  <c r="O219" i="10"/>
  <c r="O217" i="10"/>
  <c r="O216" i="10"/>
  <c r="O215" i="10"/>
  <c r="O214" i="10"/>
  <c r="O213" i="10"/>
  <c r="O212" i="10"/>
  <c r="O211" i="10"/>
  <c r="O209" i="10"/>
  <c r="O208" i="10"/>
  <c r="O207" i="10"/>
  <c r="O206" i="10"/>
  <c r="O205" i="10"/>
  <c r="O204" i="10"/>
  <c r="O203" i="10"/>
  <c r="O201" i="10"/>
  <c r="O200" i="10"/>
  <c r="O199" i="10"/>
  <c r="O198" i="10"/>
  <c r="O197" i="10"/>
  <c r="O196" i="10"/>
  <c r="O195" i="10"/>
  <c r="O193" i="10"/>
  <c r="O192" i="10"/>
  <c r="O191" i="10"/>
  <c r="O190" i="10"/>
  <c r="O189" i="10"/>
  <c r="O188" i="10"/>
  <c r="O187" i="10"/>
  <c r="O185" i="10"/>
  <c r="O184" i="10"/>
  <c r="O183" i="10"/>
  <c r="O182" i="10"/>
  <c r="O181" i="10"/>
  <c r="O180" i="10"/>
  <c r="O179" i="10"/>
  <c r="O177" i="10"/>
  <c r="O176" i="10"/>
  <c r="O175" i="10"/>
  <c r="O174" i="10"/>
  <c r="O173" i="10"/>
  <c r="O172" i="10"/>
  <c r="O171" i="10"/>
  <c r="O169" i="10"/>
  <c r="O168" i="10"/>
  <c r="O167" i="10"/>
  <c r="O166" i="10"/>
  <c r="O165" i="10"/>
  <c r="O164" i="10"/>
  <c r="O163" i="10"/>
  <c r="O161" i="10"/>
  <c r="O160" i="10"/>
  <c r="O159" i="10"/>
  <c r="O158" i="10"/>
  <c r="O157" i="10"/>
  <c r="O156" i="10"/>
  <c r="O155" i="10"/>
  <c r="O153" i="10"/>
  <c r="O152" i="10"/>
  <c r="O151" i="10"/>
  <c r="O150" i="10"/>
  <c r="O149" i="10"/>
  <c r="O148" i="10"/>
  <c r="O147" i="10"/>
  <c r="O145" i="10"/>
  <c r="O144" i="10"/>
  <c r="O143" i="10"/>
  <c r="O142" i="10"/>
  <c r="O141" i="10"/>
  <c r="O140" i="10"/>
  <c r="O139" i="10"/>
  <c r="O137" i="10"/>
  <c r="O136" i="10"/>
  <c r="O135" i="10"/>
  <c r="O134" i="10"/>
  <c r="O133" i="10"/>
  <c r="O131" i="10"/>
  <c r="O130" i="10"/>
  <c r="O129" i="10"/>
  <c r="O128" i="10"/>
  <c r="O127" i="10"/>
  <c r="O125" i="10"/>
  <c r="O124" i="10"/>
  <c r="O123" i="10"/>
  <c r="O122" i="10"/>
  <c r="O121" i="10"/>
  <c r="O119" i="10"/>
  <c r="O118" i="10"/>
  <c r="O117" i="10"/>
  <c r="O116" i="10"/>
  <c r="O115" i="10"/>
  <c r="O114" i="10"/>
  <c r="O113" i="10"/>
  <c r="O111" i="10"/>
  <c r="O110" i="10"/>
  <c r="O109" i="10"/>
  <c r="O108" i="10"/>
  <c r="O107" i="10"/>
  <c r="O106" i="10"/>
  <c r="O105" i="10"/>
  <c r="O103" i="10"/>
  <c r="O102" i="10"/>
  <c r="O101" i="10"/>
  <c r="O100" i="10"/>
  <c r="O99" i="10"/>
  <c r="O98" i="10"/>
  <c r="O97" i="10"/>
  <c r="O95" i="10"/>
  <c r="O94" i="10"/>
  <c r="O93" i="10"/>
  <c r="O92" i="10"/>
  <c r="O91" i="10"/>
  <c r="O90" i="10"/>
  <c r="O89" i="10"/>
  <c r="O87" i="10"/>
  <c r="O86" i="10"/>
  <c r="O85" i="10"/>
  <c r="O84" i="10"/>
  <c r="O83" i="10"/>
  <c r="O82" i="10"/>
  <c r="O81" i="10"/>
  <c r="O79" i="10"/>
  <c r="O78" i="10"/>
  <c r="O77" i="10"/>
  <c r="O76" i="10"/>
  <c r="O75" i="10"/>
  <c r="O74" i="10"/>
  <c r="O73" i="10"/>
  <c r="O71" i="10"/>
  <c r="O70" i="10"/>
  <c r="O69" i="10"/>
  <c r="O68" i="10"/>
  <c r="O67" i="10"/>
  <c r="O66" i="10"/>
  <c r="O65" i="10"/>
  <c r="O63" i="10"/>
  <c r="O62" i="10"/>
  <c r="O61" i="10"/>
  <c r="O60" i="10"/>
  <c r="O59" i="10"/>
  <c r="O58" i="10"/>
  <c r="O57" i="10"/>
  <c r="O55" i="10"/>
  <c r="O54" i="10"/>
  <c r="O53" i="10"/>
  <c r="O52" i="10"/>
  <c r="O51" i="10"/>
  <c r="O50" i="10"/>
  <c r="O49" i="10"/>
  <c r="O47" i="10"/>
  <c r="O46" i="10"/>
  <c r="O45" i="10"/>
  <c r="O44" i="10"/>
  <c r="O43" i="10"/>
  <c r="O42" i="10"/>
  <c r="O41" i="10"/>
  <c r="O39" i="10"/>
  <c r="O38" i="10"/>
  <c r="O37" i="10"/>
  <c r="O36" i="10"/>
  <c r="O35" i="10"/>
  <c r="O34" i="10"/>
  <c r="O33" i="10"/>
  <c r="O31" i="10"/>
  <c r="O30" i="10"/>
  <c r="O29" i="10"/>
  <c r="O28" i="10"/>
  <c r="O27" i="10"/>
  <c r="O26" i="10"/>
  <c r="O25" i="10"/>
  <c r="O23" i="10"/>
  <c r="O22" i="10"/>
  <c r="O21" i="10"/>
  <c r="O20" i="10"/>
  <c r="O19" i="10"/>
  <c r="O17" i="10"/>
  <c r="O16" i="10"/>
  <c r="O15" i="10"/>
  <c r="O14" i="10"/>
  <c r="O13" i="10"/>
  <c r="O11" i="10"/>
  <c r="O10" i="10"/>
  <c r="O9" i="10"/>
  <c r="O8" i="10"/>
  <c r="O7" i="10"/>
  <c r="N93" i="7"/>
  <c r="N102" i="7"/>
  <c r="N99" i="7"/>
  <c r="N96" i="7"/>
  <c r="N90" i="7"/>
  <c r="N87" i="7"/>
  <c r="N80" i="7"/>
  <c r="N77" i="7"/>
  <c r="N74" i="7"/>
  <c r="N71" i="7"/>
  <c r="N65" i="7"/>
  <c r="N62" i="7"/>
  <c r="N59" i="7"/>
  <c r="N56" i="7"/>
  <c r="N53" i="7"/>
  <c r="N50" i="7"/>
  <c r="N47" i="7"/>
  <c r="N44" i="7"/>
  <c r="N41" i="7"/>
  <c r="N38" i="7"/>
  <c r="N48" i="6"/>
  <c r="N45" i="6"/>
  <c r="N42" i="6"/>
  <c r="N38" i="6"/>
  <c r="O61" i="12" l="1"/>
  <c r="L271" i="13"/>
  <c r="O91" i="11"/>
  <c r="O517" i="10"/>
  <c r="N95" i="7"/>
  <c r="H94" i="7"/>
  <c r="K94" i="7" s="1"/>
  <c r="N100" i="7"/>
  <c r="N91" i="7"/>
  <c r="E89" i="7"/>
  <c r="E88" i="7"/>
  <c r="N82" i="7"/>
  <c r="N78" i="7"/>
  <c r="N72" i="7"/>
  <c r="N63" i="7"/>
  <c r="N57" i="7"/>
  <c r="N51" i="7"/>
  <c r="N45" i="7"/>
  <c r="E40" i="7"/>
  <c r="N40" i="7" s="1"/>
  <c r="E39" i="7"/>
  <c r="N39" i="7" s="1"/>
  <c r="N50" i="6"/>
  <c r="N47" i="6"/>
  <c r="N46" i="6"/>
  <c r="N44" i="6"/>
  <c r="N43" i="6"/>
  <c r="E40" i="6"/>
  <c r="E39" i="6"/>
  <c r="I40" i="2"/>
  <c r="H38" i="6"/>
  <c r="H42" i="6"/>
  <c r="H45" i="6"/>
  <c r="H48" i="6"/>
  <c r="H38" i="7"/>
  <c r="H41" i="7"/>
  <c r="H44" i="7"/>
  <c r="H47" i="7"/>
  <c r="H50" i="7"/>
  <c r="H53" i="7"/>
  <c r="K53" i="7" s="1"/>
  <c r="H56" i="7"/>
  <c r="H59" i="7"/>
  <c r="H62" i="7"/>
  <c r="H65" i="7"/>
  <c r="H71" i="7"/>
  <c r="H74" i="7"/>
  <c r="H77" i="7"/>
  <c r="H90" i="7"/>
  <c r="H96" i="7"/>
  <c r="H99" i="7"/>
  <c r="H100" i="7"/>
  <c r="H102" i="7"/>
  <c r="H93" i="7"/>
  <c r="I37" i="2"/>
  <c r="H57" i="7" l="1"/>
  <c r="H51" i="7"/>
  <c r="H91" i="7"/>
  <c r="H46" i="7"/>
  <c r="N46" i="7"/>
  <c r="H52" i="7"/>
  <c r="N52" i="7"/>
  <c r="H58" i="7"/>
  <c r="N58" i="7"/>
  <c r="H64" i="7"/>
  <c r="N64" i="7"/>
  <c r="H73" i="7"/>
  <c r="N73" i="7"/>
  <c r="H79" i="7"/>
  <c r="N79" i="7"/>
  <c r="H89" i="7"/>
  <c r="N89" i="7"/>
  <c r="H98" i="7"/>
  <c r="N98" i="7"/>
  <c r="H63" i="7"/>
  <c r="H40" i="7"/>
  <c r="N42" i="7"/>
  <c r="H48" i="7"/>
  <c r="N48" i="7"/>
  <c r="H54" i="7"/>
  <c r="K54" i="7" s="1"/>
  <c r="N54" i="7"/>
  <c r="H60" i="7"/>
  <c r="N60" i="7"/>
  <c r="H66" i="7"/>
  <c r="N66" i="7"/>
  <c r="H75" i="7"/>
  <c r="N75" i="7"/>
  <c r="H72" i="7"/>
  <c r="H45" i="7"/>
  <c r="H39" i="7"/>
  <c r="K39" i="7" s="1"/>
  <c r="H40" i="6"/>
  <c r="N40" i="6"/>
  <c r="H43" i="7"/>
  <c r="N43" i="7"/>
  <c r="H49" i="7"/>
  <c r="N49" i="7"/>
  <c r="H55" i="7"/>
  <c r="K55" i="7" s="1"/>
  <c r="N55" i="7"/>
  <c r="H61" i="7"/>
  <c r="N61" i="7"/>
  <c r="H67" i="7"/>
  <c r="N67" i="7"/>
  <c r="H76" i="7"/>
  <c r="N76" i="7"/>
  <c r="H92" i="7"/>
  <c r="N92" i="7"/>
  <c r="H101" i="7"/>
  <c r="N101" i="7"/>
  <c r="G71" i="8"/>
  <c r="G69" i="8"/>
  <c r="G67" i="8"/>
  <c r="G64" i="8"/>
  <c r="G62" i="8"/>
  <c r="G59" i="8"/>
  <c r="G57" i="8"/>
  <c r="G55" i="8"/>
  <c r="F70" i="8"/>
  <c r="F61" i="8"/>
  <c r="F56" i="8"/>
  <c r="F71" i="8"/>
  <c r="F69" i="8"/>
  <c r="F67" i="8"/>
  <c r="F64" i="8"/>
  <c r="F62" i="8"/>
  <c r="F59" i="8"/>
  <c r="F57" i="8"/>
  <c r="F55" i="8"/>
  <c r="F65" i="8"/>
  <c r="G70" i="8"/>
  <c r="G68" i="8"/>
  <c r="G65" i="8"/>
  <c r="G63" i="8"/>
  <c r="G61" i="8"/>
  <c r="G58" i="8"/>
  <c r="G56" i="8"/>
  <c r="F68" i="8"/>
  <c r="F63" i="8"/>
  <c r="F58" i="8"/>
  <c r="H49" i="6"/>
  <c r="N49" i="6"/>
  <c r="H97" i="7"/>
  <c r="N97" i="7"/>
  <c r="F53" i="8"/>
  <c r="F51" i="8"/>
  <c r="F49" i="8"/>
  <c r="F47" i="8"/>
  <c r="F44" i="8"/>
  <c r="F42" i="8"/>
  <c r="F40" i="8"/>
  <c r="F37" i="8"/>
  <c r="F35" i="8"/>
  <c r="F33" i="8"/>
  <c r="F31" i="8"/>
  <c r="G39" i="8"/>
  <c r="G32" i="8"/>
  <c r="G53" i="8"/>
  <c r="G51" i="8"/>
  <c r="G49" i="8"/>
  <c r="G47" i="8"/>
  <c r="G44" i="8"/>
  <c r="G42" i="8"/>
  <c r="G40" i="8"/>
  <c r="G37" i="8"/>
  <c r="G35" i="8"/>
  <c r="G33" i="8"/>
  <c r="G31" i="8"/>
  <c r="F52" i="8"/>
  <c r="F50" i="8"/>
  <c r="F48" i="8"/>
  <c r="F45" i="8"/>
  <c r="F43" i="8"/>
  <c r="F41" i="8"/>
  <c r="F39" i="8"/>
  <c r="F36" i="8"/>
  <c r="F34" i="8"/>
  <c r="F32" i="8"/>
  <c r="G52" i="8"/>
  <c r="G50" i="8"/>
  <c r="G48" i="8"/>
  <c r="G45" i="8"/>
  <c r="G43" i="8"/>
  <c r="G41" i="8"/>
  <c r="G36" i="8"/>
  <c r="G34" i="8"/>
  <c r="F28" i="8"/>
  <c r="F26" i="8"/>
  <c r="F24" i="8"/>
  <c r="F21" i="8"/>
  <c r="F19" i="8"/>
  <c r="F17" i="8"/>
  <c r="F15" i="8"/>
  <c r="F12" i="8"/>
  <c r="F10" i="8"/>
  <c r="F8" i="8"/>
  <c r="G23" i="8"/>
  <c r="G28" i="8"/>
  <c r="G26" i="8"/>
  <c r="G24" i="8"/>
  <c r="G21" i="8"/>
  <c r="G19" i="8"/>
  <c r="G17" i="8"/>
  <c r="G15" i="8"/>
  <c r="G12" i="8"/>
  <c r="G10" i="8"/>
  <c r="G8" i="8"/>
  <c r="G29" i="8"/>
  <c r="F27" i="8"/>
  <c r="F25" i="8"/>
  <c r="F23" i="8"/>
  <c r="F20" i="8"/>
  <c r="F18" i="8"/>
  <c r="F16" i="8"/>
  <c r="F13" i="8"/>
  <c r="F11" i="8"/>
  <c r="F9" i="8"/>
  <c r="F7" i="8"/>
  <c r="F29" i="8"/>
  <c r="G27" i="8"/>
  <c r="G25" i="8"/>
  <c r="G20" i="8"/>
  <c r="G18" i="8"/>
  <c r="G16" i="8"/>
  <c r="G13" i="8"/>
  <c r="G11" i="8"/>
  <c r="G9" i="8"/>
  <c r="G7" i="8"/>
  <c r="H39" i="6"/>
  <c r="N39" i="6"/>
  <c r="H78" i="7"/>
  <c r="N81" i="7"/>
  <c r="H88" i="7"/>
  <c r="N88" i="7"/>
  <c r="H104" i="7"/>
  <c r="K104" i="7" s="1"/>
  <c r="N104" i="7"/>
  <c r="H95" i="7"/>
  <c r="H103" i="7"/>
  <c r="K103" i="7" s="1"/>
  <c r="N103" i="7"/>
  <c r="H46" i="6"/>
  <c r="H43" i="6"/>
  <c r="H44" i="6"/>
  <c r="H50" i="6"/>
  <c r="H47" i="6"/>
  <c r="G432" i="10"/>
  <c r="H432" i="10" s="1"/>
  <c r="F246" i="13" s="1"/>
  <c r="F432" i="10"/>
  <c r="I431" i="10"/>
  <c r="I430" i="10"/>
  <c r="I429" i="10"/>
  <c r="I428" i="10"/>
  <c r="I427" i="10"/>
  <c r="G426" i="10"/>
  <c r="H426" i="10" s="1"/>
  <c r="F240" i="13" s="1"/>
  <c r="F426" i="10"/>
  <c r="I425" i="10"/>
  <c r="I424" i="10"/>
  <c r="I423" i="10"/>
  <c r="I422" i="10"/>
  <c r="I421" i="10"/>
  <c r="F234" i="13"/>
  <c r="I419" i="10"/>
  <c r="I418" i="10"/>
  <c r="I417" i="10"/>
  <c r="I416" i="10"/>
  <c r="C416" i="10"/>
  <c r="C417" i="10" s="1"/>
  <c r="C418" i="10" s="1"/>
  <c r="C419" i="10" s="1"/>
  <c r="C420" i="10" s="1"/>
  <c r="C421" i="10" s="1"/>
  <c r="C422" i="10" s="1"/>
  <c r="C423" i="10" s="1"/>
  <c r="C424" i="10" s="1"/>
  <c r="C425" i="10" s="1"/>
  <c r="C426" i="10" s="1"/>
  <c r="C427" i="10" s="1"/>
  <c r="C428" i="10" s="1"/>
  <c r="C429" i="10" s="1"/>
  <c r="C430" i="10" s="1"/>
  <c r="C431" i="10" s="1"/>
  <c r="C432" i="10" s="1"/>
  <c r="I415" i="10"/>
  <c r="G498" i="10"/>
  <c r="F498" i="10"/>
  <c r="I497" i="10"/>
  <c r="I496" i="10"/>
  <c r="I495" i="10"/>
  <c r="I494" i="10"/>
  <c r="I493" i="10"/>
  <c r="G492" i="10"/>
  <c r="F492" i="10"/>
  <c r="I491" i="10"/>
  <c r="I490" i="10"/>
  <c r="I489" i="10"/>
  <c r="I488" i="10"/>
  <c r="I487" i="10"/>
  <c r="G486" i="10"/>
  <c r="F486" i="10"/>
  <c r="I485" i="10"/>
  <c r="N485" i="10" s="1"/>
  <c r="I484" i="10"/>
  <c r="N484" i="10" s="1"/>
  <c r="I483" i="10"/>
  <c r="N483" i="10" s="1"/>
  <c r="I482" i="10"/>
  <c r="N482" i="10" s="1"/>
  <c r="C482" i="10"/>
  <c r="C483" i="10" s="1"/>
  <c r="C484" i="10" s="1"/>
  <c r="C485" i="10" s="1"/>
  <c r="C486" i="10" s="1"/>
  <c r="C487" i="10" s="1"/>
  <c r="C488" i="10" s="1"/>
  <c r="C489" i="10" s="1"/>
  <c r="C490" i="10" s="1"/>
  <c r="C491" i="10" s="1"/>
  <c r="C492" i="10" s="1"/>
  <c r="C493" i="10" s="1"/>
  <c r="C494" i="10" s="1"/>
  <c r="C495" i="10" s="1"/>
  <c r="C496" i="10" s="1"/>
  <c r="C497" i="10" s="1"/>
  <c r="C498" i="10" s="1"/>
  <c r="I481" i="10"/>
  <c r="N481" i="10" s="1"/>
  <c r="G354" i="10"/>
  <c r="F354" i="10"/>
  <c r="I353" i="10"/>
  <c r="I352" i="10"/>
  <c r="I351" i="10"/>
  <c r="I350" i="10"/>
  <c r="I349" i="10"/>
  <c r="I348" i="10"/>
  <c r="I347" i="10"/>
  <c r="G346" i="10"/>
  <c r="F346" i="10"/>
  <c r="I345" i="10"/>
  <c r="I344" i="10"/>
  <c r="I343" i="10"/>
  <c r="I342" i="10"/>
  <c r="I341" i="10"/>
  <c r="I340" i="10"/>
  <c r="I339" i="10"/>
  <c r="G338" i="10"/>
  <c r="F338" i="10"/>
  <c r="I337" i="10"/>
  <c r="N337" i="10" s="1"/>
  <c r="I336" i="10"/>
  <c r="L336" i="10" s="1"/>
  <c r="I335" i="10"/>
  <c r="N335" i="10" s="1"/>
  <c r="I334" i="10"/>
  <c r="N334" i="10" s="1"/>
  <c r="I333" i="10"/>
  <c r="N333" i="10" s="1"/>
  <c r="I332" i="10"/>
  <c r="L332" i="10" s="1"/>
  <c r="C332" i="10"/>
  <c r="C333" i="10" s="1"/>
  <c r="C334" i="10" s="1"/>
  <c r="C335" i="10" s="1"/>
  <c r="C336" i="10" s="1"/>
  <c r="C337" i="10" s="1"/>
  <c r="C338" i="10" s="1"/>
  <c r="C339" i="10" s="1"/>
  <c r="C340" i="10" s="1"/>
  <c r="C341" i="10" s="1"/>
  <c r="C342" i="10" s="1"/>
  <c r="C343" i="10" s="1"/>
  <c r="C344" i="10" s="1"/>
  <c r="C345" i="10" s="1"/>
  <c r="C346" i="10" s="1"/>
  <c r="C347" i="10" s="1"/>
  <c r="C348" i="10" s="1"/>
  <c r="C349" i="10" s="1"/>
  <c r="C350" i="10" s="1"/>
  <c r="C351" i="10" s="1"/>
  <c r="C352" i="10" s="1"/>
  <c r="C353" i="10" s="1"/>
  <c r="C354" i="10" s="1"/>
  <c r="I331" i="10"/>
  <c r="L331" i="10" s="1"/>
  <c r="G480" i="10"/>
  <c r="F480" i="10"/>
  <c r="I479" i="10"/>
  <c r="I478" i="10"/>
  <c r="I477" i="10"/>
  <c r="I476" i="10"/>
  <c r="I475" i="10"/>
  <c r="I474" i="10"/>
  <c r="I473" i="10"/>
  <c r="G472" i="10"/>
  <c r="F472" i="10"/>
  <c r="I471" i="10"/>
  <c r="I470" i="10"/>
  <c r="I469" i="10"/>
  <c r="I468" i="10"/>
  <c r="I467" i="10"/>
  <c r="I466" i="10"/>
  <c r="I465" i="10"/>
  <c r="G464" i="10"/>
  <c r="F464" i="10"/>
  <c r="I463" i="10"/>
  <c r="L463" i="10" s="1"/>
  <c r="I462" i="10"/>
  <c r="L462" i="10" s="1"/>
  <c r="I461" i="10"/>
  <c r="L461" i="10" s="1"/>
  <c r="I460" i="10"/>
  <c r="L460" i="10" s="1"/>
  <c r="I459" i="10"/>
  <c r="L459" i="10" s="1"/>
  <c r="I458" i="10"/>
  <c r="L458" i="10" s="1"/>
  <c r="C458" i="10"/>
  <c r="C459" i="10" s="1"/>
  <c r="C460" i="10" s="1"/>
  <c r="C461" i="10" s="1"/>
  <c r="C462" i="10" s="1"/>
  <c r="C463" i="10" s="1"/>
  <c r="C464" i="10" s="1"/>
  <c r="C465" i="10" s="1"/>
  <c r="C466" i="10" s="1"/>
  <c r="C467" i="10" s="1"/>
  <c r="C468" i="10" s="1"/>
  <c r="C469" i="10" s="1"/>
  <c r="C470" i="10" s="1"/>
  <c r="C471" i="10" s="1"/>
  <c r="C472" i="10" s="1"/>
  <c r="C473" i="10" s="1"/>
  <c r="C474" i="10" s="1"/>
  <c r="C475" i="10" s="1"/>
  <c r="C476" i="10" s="1"/>
  <c r="C477" i="10" s="1"/>
  <c r="C478" i="10" s="1"/>
  <c r="C479" i="10" s="1"/>
  <c r="C480" i="10" s="1"/>
  <c r="I457" i="10"/>
  <c r="L457" i="10" s="1"/>
  <c r="G456" i="10"/>
  <c r="H456" i="10" s="1"/>
  <c r="F270" i="13" s="1"/>
  <c r="F456" i="10"/>
  <c r="I455" i="10"/>
  <c r="I454" i="10"/>
  <c r="I453" i="10"/>
  <c r="I452" i="10"/>
  <c r="I451" i="10"/>
  <c r="I450" i="10"/>
  <c r="I449" i="10"/>
  <c r="G448" i="10"/>
  <c r="H448" i="10" s="1"/>
  <c r="F262" i="13" s="1"/>
  <c r="F448" i="10"/>
  <c r="I447" i="10"/>
  <c r="I446" i="10"/>
  <c r="I445" i="10"/>
  <c r="I444" i="10"/>
  <c r="I443" i="10"/>
  <c r="I442" i="10"/>
  <c r="I441" i="10"/>
  <c r="G440" i="10"/>
  <c r="H440" i="10" s="1"/>
  <c r="F254" i="13" s="1"/>
  <c r="F440" i="10"/>
  <c r="I439" i="10"/>
  <c r="L439" i="10" s="1"/>
  <c r="I438" i="10"/>
  <c r="N438" i="10" s="1"/>
  <c r="I437" i="10"/>
  <c r="L437" i="10" s="1"/>
  <c r="I436" i="10"/>
  <c r="N436" i="10" s="1"/>
  <c r="I435" i="10"/>
  <c r="L435" i="10" s="1"/>
  <c r="I434" i="10"/>
  <c r="N434" i="10" s="1"/>
  <c r="C434" i="10"/>
  <c r="C435" i="10" s="1"/>
  <c r="C436" i="10" s="1"/>
  <c r="C437" i="10" s="1"/>
  <c r="C438" i="10" s="1"/>
  <c r="C439" i="10" s="1"/>
  <c r="C440" i="10" s="1"/>
  <c r="C441" i="10" s="1"/>
  <c r="C442" i="10" s="1"/>
  <c r="C443" i="10" s="1"/>
  <c r="C444" i="10" s="1"/>
  <c r="C445" i="10" s="1"/>
  <c r="C446" i="10" s="1"/>
  <c r="C447" i="10" s="1"/>
  <c r="C448" i="10" s="1"/>
  <c r="C449" i="10" s="1"/>
  <c r="C450" i="10" s="1"/>
  <c r="C451" i="10" s="1"/>
  <c r="C452" i="10" s="1"/>
  <c r="C453" i="10" s="1"/>
  <c r="C454" i="10" s="1"/>
  <c r="C455" i="10" s="1"/>
  <c r="C456" i="10" s="1"/>
  <c r="I433" i="10"/>
  <c r="N433" i="10" s="1"/>
  <c r="G414" i="10"/>
  <c r="F414" i="10"/>
  <c r="I413" i="10"/>
  <c r="I412" i="10"/>
  <c r="I411" i="10"/>
  <c r="I410" i="10"/>
  <c r="I409" i="10"/>
  <c r="G408" i="10"/>
  <c r="F408" i="10"/>
  <c r="I407" i="10"/>
  <c r="I406" i="10"/>
  <c r="I405" i="10"/>
  <c r="I404" i="10"/>
  <c r="I403" i="10"/>
  <c r="G402" i="10"/>
  <c r="F402" i="10"/>
  <c r="I401" i="10"/>
  <c r="N401" i="10" s="1"/>
  <c r="I400" i="10"/>
  <c r="N400" i="10" s="1"/>
  <c r="I399" i="10"/>
  <c r="N399" i="10" s="1"/>
  <c r="I398" i="10"/>
  <c r="N398" i="10" s="1"/>
  <c r="C398" i="10"/>
  <c r="C399" i="10" s="1"/>
  <c r="C400" i="10" s="1"/>
  <c r="C401" i="10" s="1"/>
  <c r="C402" i="10" s="1"/>
  <c r="C403" i="10" s="1"/>
  <c r="C404" i="10" s="1"/>
  <c r="C405" i="10" s="1"/>
  <c r="C406" i="10" s="1"/>
  <c r="C407" i="10" s="1"/>
  <c r="C408" i="10" s="1"/>
  <c r="C409" i="10" s="1"/>
  <c r="C410" i="10" s="1"/>
  <c r="C411" i="10" s="1"/>
  <c r="C412" i="10" s="1"/>
  <c r="C413" i="10" s="1"/>
  <c r="C414" i="10" s="1"/>
  <c r="I397" i="10"/>
  <c r="N397" i="10" s="1"/>
  <c r="G396" i="10"/>
  <c r="F396" i="10"/>
  <c r="I395" i="10"/>
  <c r="I394" i="10"/>
  <c r="I393" i="10"/>
  <c r="I392" i="10"/>
  <c r="I391" i="10"/>
  <c r="G390" i="10"/>
  <c r="F390" i="10"/>
  <c r="I389" i="10"/>
  <c r="I388" i="10"/>
  <c r="I387" i="10"/>
  <c r="I386" i="10"/>
  <c r="I385" i="10"/>
  <c r="G384" i="10"/>
  <c r="F384" i="10"/>
  <c r="I383" i="10"/>
  <c r="N383" i="10" s="1"/>
  <c r="I382" i="10"/>
  <c r="N382" i="10" s="1"/>
  <c r="I381" i="10"/>
  <c r="N381" i="10" s="1"/>
  <c r="I380" i="10"/>
  <c r="N380" i="10" s="1"/>
  <c r="C380" i="10"/>
  <c r="C381" i="10" s="1"/>
  <c r="C382" i="10" s="1"/>
  <c r="C383" i="10" s="1"/>
  <c r="C384" i="10" s="1"/>
  <c r="C385" i="10" s="1"/>
  <c r="C386" i="10" s="1"/>
  <c r="C387" i="10" s="1"/>
  <c r="C388" i="10" s="1"/>
  <c r="C389" i="10" s="1"/>
  <c r="C390" i="10" s="1"/>
  <c r="C391" i="10" s="1"/>
  <c r="C392" i="10" s="1"/>
  <c r="C393" i="10" s="1"/>
  <c r="C394" i="10" s="1"/>
  <c r="C395" i="10" s="1"/>
  <c r="C396" i="10" s="1"/>
  <c r="I379" i="10"/>
  <c r="N379" i="10" s="1"/>
  <c r="G30" i="11"/>
  <c r="F30" i="11"/>
  <c r="I29" i="11"/>
  <c r="I28" i="11"/>
  <c r="I27" i="11"/>
  <c r="I26" i="11"/>
  <c r="I25" i="11"/>
  <c r="I24" i="11"/>
  <c r="I23" i="11"/>
  <c r="G22" i="11"/>
  <c r="F22" i="11"/>
  <c r="I21" i="11"/>
  <c r="I20" i="11"/>
  <c r="L20" i="11" s="1"/>
  <c r="I19" i="11"/>
  <c r="I18" i="11"/>
  <c r="I17" i="11"/>
  <c r="I16" i="11"/>
  <c r="I15" i="11"/>
  <c r="G14" i="11"/>
  <c r="F14" i="11"/>
  <c r="I13" i="11"/>
  <c r="L13" i="11" s="1"/>
  <c r="I12" i="11"/>
  <c r="L12" i="11" s="1"/>
  <c r="I11" i="11"/>
  <c r="L11" i="11" s="1"/>
  <c r="I10" i="11"/>
  <c r="L10" i="11" s="1"/>
  <c r="I9" i="11"/>
  <c r="L9" i="11" s="1"/>
  <c r="I8" i="11"/>
  <c r="L8" i="11" s="1"/>
  <c r="C8" i="11"/>
  <c r="C9" i="11" s="1"/>
  <c r="C10" i="11" s="1"/>
  <c r="C11" i="11" s="1"/>
  <c r="C12" i="11" s="1"/>
  <c r="C13" i="11" s="1"/>
  <c r="C14" i="11" s="1"/>
  <c r="C15" i="11" s="1"/>
  <c r="C16" i="11" s="1"/>
  <c r="C17" i="11" s="1"/>
  <c r="C18" i="11" s="1"/>
  <c r="C19" i="11" s="1"/>
  <c r="C20" i="11" s="1"/>
  <c r="C21" i="11" s="1"/>
  <c r="C22" i="11" s="1"/>
  <c r="C23" i="11" s="1"/>
  <c r="C24" i="11" s="1"/>
  <c r="C25" i="11" s="1"/>
  <c r="C26" i="11" s="1"/>
  <c r="C27" i="11" s="1"/>
  <c r="C28" i="11" s="1"/>
  <c r="C29" i="11" s="1"/>
  <c r="C30" i="11" s="1"/>
  <c r="I7" i="11"/>
  <c r="L7" i="11" s="1"/>
  <c r="K65" i="7"/>
  <c r="C103" i="7"/>
  <c r="C104" i="7" s="1"/>
  <c r="K102" i="7"/>
  <c r="B41" i="7"/>
  <c r="B44" i="7" s="1"/>
  <c r="B47" i="7" s="1"/>
  <c r="B50" i="7" s="1"/>
  <c r="B53" i="7" s="1"/>
  <c r="B56" i="7" s="1"/>
  <c r="B59" i="7" s="1"/>
  <c r="B62" i="7" s="1"/>
  <c r="B65" i="7" s="1"/>
  <c r="M43" i="7"/>
  <c r="M42" i="7"/>
  <c r="C42" i="7"/>
  <c r="C43" i="7" s="1"/>
  <c r="C39" i="7"/>
  <c r="C40" i="7" s="1"/>
  <c r="N58" i="8" l="1"/>
  <c r="F72" i="8"/>
  <c r="G38" i="8"/>
  <c r="F54" i="8"/>
  <c r="F66" i="8"/>
  <c r="G14" i="8"/>
  <c r="G22" i="8"/>
  <c r="G46" i="8"/>
  <c r="F30" i="8"/>
  <c r="F46" i="8"/>
  <c r="F38" i="8"/>
  <c r="G66" i="8"/>
  <c r="F14" i="8"/>
  <c r="G60" i="8"/>
  <c r="G30" i="8"/>
  <c r="F22" i="8"/>
  <c r="G54" i="8"/>
  <c r="F60" i="8"/>
  <c r="G72" i="8"/>
  <c r="N68" i="8"/>
  <c r="N9" i="11"/>
  <c r="N7" i="11"/>
  <c r="I492" i="10"/>
  <c r="L492" i="10" s="1"/>
  <c r="N427" i="10"/>
  <c r="L427" i="10"/>
  <c r="N431" i="10"/>
  <c r="L431" i="10"/>
  <c r="N428" i="10"/>
  <c r="L428" i="10"/>
  <c r="N429" i="10"/>
  <c r="L429" i="10"/>
  <c r="K246" i="13"/>
  <c r="I246" i="13"/>
  <c r="N430" i="10"/>
  <c r="L430" i="10"/>
  <c r="K240" i="13"/>
  <c r="I240" i="13"/>
  <c r="N424" i="10"/>
  <c r="L424" i="10"/>
  <c r="N421" i="10"/>
  <c r="L421" i="10"/>
  <c r="N425" i="10"/>
  <c r="L425" i="10"/>
  <c r="N423" i="10"/>
  <c r="L423" i="10"/>
  <c r="N422" i="10"/>
  <c r="L422" i="10"/>
  <c r="N416" i="10"/>
  <c r="L416" i="10"/>
  <c r="K234" i="13"/>
  <c r="I234" i="13"/>
  <c r="N417" i="10"/>
  <c r="L417" i="10"/>
  <c r="N415" i="10"/>
  <c r="L415" i="10"/>
  <c r="N418" i="10"/>
  <c r="L418" i="10"/>
  <c r="N419" i="10"/>
  <c r="L419" i="10"/>
  <c r="L387" i="10"/>
  <c r="L468" i="10"/>
  <c r="L342" i="10"/>
  <c r="B68" i="7"/>
  <c r="B71" i="7" s="1"/>
  <c r="B74" i="7" s="1"/>
  <c r="B77" i="7" s="1"/>
  <c r="B80" i="7" s="1"/>
  <c r="K41" i="7"/>
  <c r="L383" i="10"/>
  <c r="L436" i="10"/>
  <c r="N336" i="10"/>
  <c r="N57" i="8"/>
  <c r="N65" i="8"/>
  <c r="N62" i="8"/>
  <c r="N71" i="8"/>
  <c r="N13" i="11"/>
  <c r="N463" i="10"/>
  <c r="L482" i="10"/>
  <c r="N461" i="10"/>
  <c r="I464" i="10"/>
  <c r="N464" i="10" s="1"/>
  <c r="N344" i="10"/>
  <c r="L481" i="10"/>
  <c r="N11" i="8"/>
  <c r="N20" i="8"/>
  <c r="N55" i="8"/>
  <c r="N64" i="8"/>
  <c r="N56" i="8"/>
  <c r="N67" i="8"/>
  <c r="N61" i="8"/>
  <c r="L497" i="10"/>
  <c r="I396" i="10"/>
  <c r="L396" i="10" s="1"/>
  <c r="L434" i="10"/>
  <c r="K254" i="13"/>
  <c r="I254" i="13"/>
  <c r="L484" i="10"/>
  <c r="N33" i="8"/>
  <c r="N42" i="8"/>
  <c r="N63" i="8"/>
  <c r="N59" i="8"/>
  <c r="N69" i="8"/>
  <c r="N70" i="8"/>
  <c r="N32" i="8"/>
  <c r="N41" i="8"/>
  <c r="N50" i="8"/>
  <c r="N51" i="8"/>
  <c r="N48" i="8"/>
  <c r="N40" i="8"/>
  <c r="N49" i="8"/>
  <c r="N36" i="8"/>
  <c r="N37" i="8"/>
  <c r="N31" i="8"/>
  <c r="N45" i="8"/>
  <c r="N34" i="8"/>
  <c r="N43" i="8"/>
  <c r="N52" i="8"/>
  <c r="N35" i="8"/>
  <c r="N44" i="8"/>
  <c r="N53" i="8"/>
  <c r="N39" i="8"/>
  <c r="N47" i="8"/>
  <c r="N29" i="8"/>
  <c r="N13" i="8"/>
  <c r="N23" i="8"/>
  <c r="N10" i="8"/>
  <c r="N19" i="8"/>
  <c r="N28" i="8"/>
  <c r="N9" i="8"/>
  <c r="N8" i="8"/>
  <c r="N26" i="8"/>
  <c r="N18" i="8"/>
  <c r="N27" i="8"/>
  <c r="N15" i="8"/>
  <c r="N24" i="8"/>
  <c r="N17" i="8"/>
  <c r="N25" i="8"/>
  <c r="N7" i="8"/>
  <c r="N16" i="8"/>
  <c r="N12" i="8"/>
  <c r="N21" i="8"/>
  <c r="N108" i="7"/>
  <c r="I486" i="10"/>
  <c r="N486" i="10" s="1"/>
  <c r="I472" i="10"/>
  <c r="L472" i="10" s="1"/>
  <c r="N459" i="10"/>
  <c r="L433" i="10"/>
  <c r="N437" i="10"/>
  <c r="I414" i="10"/>
  <c r="L414" i="10" s="1"/>
  <c r="L379" i="10"/>
  <c r="L381" i="10"/>
  <c r="N331" i="10"/>
  <c r="N332" i="10"/>
  <c r="L335" i="10"/>
  <c r="M41" i="7"/>
  <c r="K40" i="7"/>
  <c r="K38" i="7"/>
  <c r="K42" i="7"/>
  <c r="K43" i="7"/>
  <c r="M39" i="7"/>
  <c r="L15" i="11"/>
  <c r="N11" i="11"/>
  <c r="I14" i="11"/>
  <c r="L14" i="11" s="1"/>
  <c r="L18" i="11"/>
  <c r="I22" i="11"/>
  <c r="L22" i="11" s="1"/>
  <c r="L17" i="11"/>
  <c r="L27" i="11"/>
  <c r="I30" i="11"/>
  <c r="L30" i="11" s="1"/>
  <c r="N8" i="11"/>
  <c r="N10" i="11"/>
  <c r="N12" i="11"/>
  <c r="L23" i="11"/>
  <c r="N20" i="11"/>
  <c r="L21" i="11"/>
  <c r="N25" i="11"/>
  <c r="N27" i="11"/>
  <c r="N29" i="11"/>
  <c r="L25" i="11"/>
  <c r="N16" i="11"/>
  <c r="L16" i="11"/>
  <c r="N18" i="11"/>
  <c r="L19" i="11"/>
  <c r="L29" i="11"/>
  <c r="I384" i="10"/>
  <c r="N384" i="10" s="1"/>
  <c r="I402" i="10"/>
  <c r="L402" i="10" s="1"/>
  <c r="N470" i="10"/>
  <c r="L385" i="10"/>
  <c r="I390" i="10"/>
  <c r="N390" i="10" s="1"/>
  <c r="L438" i="10"/>
  <c r="I440" i="10"/>
  <c r="N440" i="10" s="1"/>
  <c r="L485" i="10"/>
  <c r="L489" i="10"/>
  <c r="I456" i="10"/>
  <c r="N456" i="10" s="1"/>
  <c r="N405" i="10"/>
  <c r="N444" i="10"/>
  <c r="L340" i="10"/>
  <c r="L345" i="10"/>
  <c r="N389" i="10"/>
  <c r="N458" i="10"/>
  <c r="N460" i="10"/>
  <c r="N462" i="10"/>
  <c r="L466" i="10"/>
  <c r="L471" i="10"/>
  <c r="L334" i="10"/>
  <c r="I338" i="10"/>
  <c r="L338" i="10" s="1"/>
  <c r="I346" i="10"/>
  <c r="L346" i="10" s="1"/>
  <c r="N488" i="10"/>
  <c r="I426" i="10"/>
  <c r="L393" i="10"/>
  <c r="L395" i="10"/>
  <c r="L451" i="10"/>
  <c r="N475" i="10"/>
  <c r="N477" i="10"/>
  <c r="N479" i="10"/>
  <c r="L392" i="10"/>
  <c r="L389" i="10"/>
  <c r="L445" i="10"/>
  <c r="L475" i="10"/>
  <c r="L488" i="10"/>
  <c r="N490" i="10"/>
  <c r="L491" i="10"/>
  <c r="N493" i="10"/>
  <c r="I432" i="10"/>
  <c r="L432" i="10" s="1"/>
  <c r="L386" i="10"/>
  <c r="N403" i="10"/>
  <c r="N407" i="10"/>
  <c r="N410" i="10"/>
  <c r="N412" i="10"/>
  <c r="N435" i="10"/>
  <c r="N439" i="10"/>
  <c r="N442" i="10"/>
  <c r="N446" i="10"/>
  <c r="I448" i="10"/>
  <c r="N448" i="10" s="1"/>
  <c r="L467" i="10"/>
  <c r="I480" i="10"/>
  <c r="L480" i="10" s="1"/>
  <c r="L380" i="10"/>
  <c r="L382" i="10"/>
  <c r="N387" i="10"/>
  <c r="L388" i="10"/>
  <c r="L404" i="10"/>
  <c r="I408" i="10"/>
  <c r="L408" i="10" s="1"/>
  <c r="L443" i="10"/>
  <c r="L447" i="10"/>
  <c r="N457" i="10"/>
  <c r="N468" i="10"/>
  <c r="L469" i="10"/>
  <c r="L479" i="10"/>
  <c r="L333" i="10"/>
  <c r="L337" i="10"/>
  <c r="N342" i="10"/>
  <c r="L343" i="10"/>
  <c r="L353" i="10"/>
  <c r="L483" i="10"/>
  <c r="L487" i="10"/>
  <c r="L495" i="10"/>
  <c r="L494" i="10"/>
  <c r="I498" i="10"/>
  <c r="N498" i="10" s="1"/>
  <c r="L473" i="10"/>
  <c r="L347" i="10"/>
  <c r="N349" i="10"/>
  <c r="N351" i="10"/>
  <c r="N353" i="10"/>
  <c r="L406" i="10"/>
  <c r="L441" i="10"/>
  <c r="L453" i="10"/>
  <c r="L465" i="10"/>
  <c r="L470" i="10"/>
  <c r="L339" i="10"/>
  <c r="L349" i="10"/>
  <c r="L344" i="10"/>
  <c r="N385" i="10"/>
  <c r="L394" i="10"/>
  <c r="N466" i="10"/>
  <c r="L477" i="10"/>
  <c r="N340" i="10"/>
  <c r="L341" i="10"/>
  <c r="L351" i="10"/>
  <c r="I354" i="10"/>
  <c r="L354" i="10" s="1"/>
  <c r="L493" i="10"/>
  <c r="L490" i="10"/>
  <c r="I420" i="10"/>
  <c r="N495" i="10"/>
  <c r="N497" i="10"/>
  <c r="L496" i="10"/>
  <c r="N489" i="10"/>
  <c r="N496" i="10"/>
  <c r="N487" i="10"/>
  <c r="N491" i="10"/>
  <c r="N494" i="10"/>
  <c r="N347" i="10"/>
  <c r="L348" i="10"/>
  <c r="L350" i="10"/>
  <c r="L352" i="10"/>
  <c r="N339" i="10"/>
  <c r="N341" i="10"/>
  <c r="N343" i="10"/>
  <c r="N345" i="10"/>
  <c r="N348" i="10"/>
  <c r="N350" i="10"/>
  <c r="N352" i="10"/>
  <c r="L391" i="10"/>
  <c r="N473" i="10"/>
  <c r="L450" i="10"/>
  <c r="L454" i="10"/>
  <c r="N450" i="10"/>
  <c r="N392" i="10"/>
  <c r="N394" i="10"/>
  <c r="N452" i="10"/>
  <c r="L455" i="10"/>
  <c r="L474" i="10"/>
  <c r="L476" i="10"/>
  <c r="L478" i="10"/>
  <c r="L409" i="10"/>
  <c r="L411" i="10"/>
  <c r="L413" i="10"/>
  <c r="L452" i="10"/>
  <c r="L449" i="10"/>
  <c r="N454" i="10"/>
  <c r="N404" i="10"/>
  <c r="N406" i="10"/>
  <c r="N409" i="10"/>
  <c r="N411" i="10"/>
  <c r="N413" i="10"/>
  <c r="N443" i="10"/>
  <c r="N445" i="10"/>
  <c r="N395" i="10"/>
  <c r="N451" i="10"/>
  <c r="N453" i="10"/>
  <c r="N465" i="10"/>
  <c r="N474" i="10"/>
  <c r="N478" i="10"/>
  <c r="L397" i="10"/>
  <c r="L398" i="10"/>
  <c r="L399" i="10"/>
  <c r="L400" i="10"/>
  <c r="L401" i="10"/>
  <c r="L403" i="10"/>
  <c r="L405" i="10"/>
  <c r="L407" i="10"/>
  <c r="L410" i="10"/>
  <c r="L412" i="10"/>
  <c r="L442" i="10"/>
  <c r="L444" i="10"/>
  <c r="L446" i="10"/>
  <c r="N441" i="10"/>
  <c r="N447" i="10"/>
  <c r="N386" i="10"/>
  <c r="N388" i="10"/>
  <c r="N391" i="10"/>
  <c r="N393" i="10"/>
  <c r="N449" i="10"/>
  <c r="N455" i="10"/>
  <c r="N467" i="10"/>
  <c r="N469" i="10"/>
  <c r="N471" i="10"/>
  <c r="N476" i="10"/>
  <c r="N23" i="11"/>
  <c r="L24" i="11"/>
  <c r="L26" i="11"/>
  <c r="L28" i="11"/>
  <c r="N15" i="11"/>
  <c r="N17" i="11"/>
  <c r="N19" i="11"/>
  <c r="N21" i="11"/>
  <c r="N24" i="11"/>
  <c r="N26" i="11"/>
  <c r="N28" i="11"/>
  <c r="M104" i="7"/>
  <c r="M102" i="7"/>
  <c r="M103" i="7"/>
  <c r="M38" i="7"/>
  <c r="M40" i="7"/>
  <c r="B83" i="7" l="1"/>
  <c r="B87" i="7" s="1"/>
  <c r="B90" i="7" s="1"/>
  <c r="B93" i="7" s="1"/>
  <c r="B96" i="7" s="1"/>
  <c r="B99" i="7" s="1"/>
  <c r="B102" i="7" s="1"/>
  <c r="B105" i="7" s="1"/>
  <c r="L390" i="10"/>
  <c r="N492" i="10"/>
  <c r="N426" i="10"/>
  <c r="L426" i="10"/>
  <c r="N420" i="10"/>
  <c r="L420" i="10"/>
  <c r="L486" i="10"/>
  <c r="N396" i="10"/>
  <c r="N414" i="10"/>
  <c r="N402" i="10"/>
  <c r="N30" i="11"/>
  <c r="L464" i="10"/>
  <c r="N73" i="8"/>
  <c r="N22" i="11"/>
  <c r="L498" i="10"/>
  <c r="N480" i="10"/>
  <c r="N472" i="10"/>
  <c r="L456" i="10"/>
  <c r="L384" i="10"/>
  <c r="N346" i="10"/>
  <c r="N14" i="11"/>
  <c r="L440" i="10"/>
  <c r="N432" i="10"/>
  <c r="N338" i="10"/>
  <c r="L448" i="10"/>
  <c r="N354" i="10"/>
  <c r="N408" i="10"/>
  <c r="C230" i="13" l="1"/>
  <c r="C231" i="13" s="1"/>
  <c r="C232" i="13" s="1"/>
  <c r="C233" i="13" s="1"/>
  <c r="C234" i="13" s="1"/>
  <c r="C235" i="13" s="1"/>
  <c r="C236" i="13" s="1"/>
  <c r="C237" i="13" s="1"/>
  <c r="C238" i="13" s="1"/>
  <c r="C239" i="13" s="1"/>
  <c r="C240" i="13" s="1"/>
  <c r="C241" i="13" s="1"/>
  <c r="C242" i="13" s="1"/>
  <c r="C243" i="13" s="1"/>
  <c r="C244" i="13" s="1"/>
  <c r="C245" i="13" s="1"/>
  <c r="C246" i="13" s="1"/>
  <c r="I262" i="13"/>
  <c r="I261" i="13"/>
  <c r="I260" i="13"/>
  <c r="I259" i="13"/>
  <c r="I258" i="13"/>
  <c r="I257" i="13"/>
  <c r="I256" i="13"/>
  <c r="I255" i="13"/>
  <c r="C248" i="13"/>
  <c r="C249" i="13" s="1"/>
  <c r="C250" i="13" s="1"/>
  <c r="C251" i="13" s="1"/>
  <c r="C252" i="13" s="1"/>
  <c r="C253" i="13" s="1"/>
  <c r="C254" i="13" s="1"/>
  <c r="C255" i="13" s="1"/>
  <c r="C256" i="13" s="1"/>
  <c r="C257" i="13" s="1"/>
  <c r="C258" i="13" s="1"/>
  <c r="C259" i="13" s="1"/>
  <c r="C260" i="13" s="1"/>
  <c r="C261" i="13" s="1"/>
  <c r="C262" i="13" s="1"/>
  <c r="C263" i="13" s="1"/>
  <c r="C264" i="13" s="1"/>
  <c r="C265" i="13" s="1"/>
  <c r="C266" i="13" s="1"/>
  <c r="C267" i="13" s="1"/>
  <c r="C268" i="13" s="1"/>
  <c r="C269" i="13" s="1"/>
  <c r="C270" i="13" s="1"/>
  <c r="C182" i="13"/>
  <c r="C183" i="13" s="1"/>
  <c r="C184" i="13" s="1"/>
  <c r="C185" i="13" s="1"/>
  <c r="C186" i="13" s="1"/>
  <c r="C187" i="13" s="1"/>
  <c r="C188" i="13" s="1"/>
  <c r="C189" i="13" s="1"/>
  <c r="C190" i="13" s="1"/>
  <c r="C191" i="13" s="1"/>
  <c r="C192" i="13" s="1"/>
  <c r="C193" i="13" s="1"/>
  <c r="C194" i="13" s="1"/>
  <c r="C195" i="13" s="1"/>
  <c r="C196" i="13" s="1"/>
  <c r="C197" i="13" s="1"/>
  <c r="C198" i="13" s="1"/>
  <c r="C199" i="13" s="1"/>
  <c r="C200" i="13" s="1"/>
  <c r="C201" i="13" s="1"/>
  <c r="C202" i="13" s="1"/>
  <c r="C203" i="13" s="1"/>
  <c r="C204" i="13" s="1"/>
  <c r="C158" i="13"/>
  <c r="C159" i="13" s="1"/>
  <c r="C160" i="13" s="1"/>
  <c r="C161" i="13" s="1"/>
  <c r="C162" i="13" s="1"/>
  <c r="C163" i="13" s="1"/>
  <c r="C164" i="13" s="1"/>
  <c r="C165" i="13" s="1"/>
  <c r="C166" i="13" s="1"/>
  <c r="C167" i="13" s="1"/>
  <c r="C168" i="13" s="1"/>
  <c r="C169" i="13" s="1"/>
  <c r="C170" i="13" s="1"/>
  <c r="C171" i="13" s="1"/>
  <c r="C172" i="13" s="1"/>
  <c r="C173" i="13" s="1"/>
  <c r="C174" i="13" s="1"/>
  <c r="C175" i="13" s="1"/>
  <c r="C176" i="13" s="1"/>
  <c r="C177" i="13" s="1"/>
  <c r="C178" i="13" s="1"/>
  <c r="C179" i="13" s="1"/>
  <c r="C180" i="13" s="1"/>
  <c r="C134" i="13"/>
  <c r="C135" i="13" s="1"/>
  <c r="C136" i="13" s="1"/>
  <c r="C137" i="13" s="1"/>
  <c r="C138" i="13" s="1"/>
  <c r="C139" i="13" s="1"/>
  <c r="C140" i="13" s="1"/>
  <c r="C141" i="13" s="1"/>
  <c r="C142" i="13" s="1"/>
  <c r="C143" i="13" s="1"/>
  <c r="C144" i="13" s="1"/>
  <c r="C145" i="13" s="1"/>
  <c r="C146" i="13" s="1"/>
  <c r="C147" i="13" s="1"/>
  <c r="C148" i="13" s="1"/>
  <c r="C149" i="13" s="1"/>
  <c r="C150" i="13" s="1"/>
  <c r="C151" i="13" s="1"/>
  <c r="C152" i="13" s="1"/>
  <c r="C153" i="13" s="1"/>
  <c r="C154" i="13" s="1"/>
  <c r="C155" i="13" s="1"/>
  <c r="C156" i="13" s="1"/>
  <c r="I124" i="13"/>
  <c r="I122" i="13"/>
  <c r="C116" i="13"/>
  <c r="C117" i="13" s="1"/>
  <c r="C118" i="13" s="1"/>
  <c r="C119" i="13" s="1"/>
  <c r="C120" i="13" s="1"/>
  <c r="C98" i="13"/>
  <c r="C99" i="13" s="1"/>
  <c r="C100" i="13" s="1"/>
  <c r="C101" i="13" s="1"/>
  <c r="C102" i="13" s="1"/>
  <c r="C103" i="13" s="1"/>
  <c r="C104" i="13" s="1"/>
  <c r="C105" i="13" s="1"/>
  <c r="C106" i="13" s="1"/>
  <c r="C107" i="13" s="1"/>
  <c r="C108" i="13" s="1"/>
  <c r="C109" i="13" s="1"/>
  <c r="C110" i="13" s="1"/>
  <c r="C111" i="13" s="1"/>
  <c r="C112" i="13" s="1"/>
  <c r="C113" i="13" s="1"/>
  <c r="C114" i="13" s="1"/>
  <c r="I87" i="13"/>
  <c r="I85" i="13"/>
  <c r="I83" i="13"/>
  <c r="I81" i="13"/>
  <c r="C74" i="13"/>
  <c r="C75" i="13" s="1"/>
  <c r="C76" i="13" s="1"/>
  <c r="C77" i="13" s="1"/>
  <c r="C78" i="13" s="1"/>
  <c r="C79" i="13" s="1"/>
  <c r="C80" i="13" s="1"/>
  <c r="C81" i="13" s="1"/>
  <c r="C82" i="13" s="1"/>
  <c r="C83" i="13" s="1"/>
  <c r="C84" i="13" s="1"/>
  <c r="C85" i="13" s="1"/>
  <c r="C86" i="13" s="1"/>
  <c r="C87" i="13" s="1"/>
  <c r="C88" i="13" s="1"/>
  <c r="C89" i="13" s="1"/>
  <c r="C90" i="13" s="1"/>
  <c r="C91" i="13" s="1"/>
  <c r="C92" i="13" s="1"/>
  <c r="C93" i="13" s="1"/>
  <c r="C94" i="13" s="1"/>
  <c r="C95" i="13" s="1"/>
  <c r="C96" i="13" s="1"/>
  <c r="C50" i="13"/>
  <c r="C51" i="13" s="1"/>
  <c r="C52" i="13" s="1"/>
  <c r="C53" i="13" s="1"/>
  <c r="C54" i="13" s="1"/>
  <c r="C55" i="13" s="1"/>
  <c r="C56" i="13" s="1"/>
  <c r="C57" i="13" s="1"/>
  <c r="C58" i="13" s="1"/>
  <c r="C59" i="13" s="1"/>
  <c r="C60" i="13" s="1"/>
  <c r="C61" i="13" s="1"/>
  <c r="C62" i="13" s="1"/>
  <c r="C63" i="13" s="1"/>
  <c r="C64" i="13" s="1"/>
  <c r="C65" i="13" s="1"/>
  <c r="C66" i="13" s="1"/>
  <c r="C67" i="13" s="1"/>
  <c r="C68" i="13" s="1"/>
  <c r="C69" i="13" s="1"/>
  <c r="C70" i="13" s="1"/>
  <c r="C71" i="13" s="1"/>
  <c r="C72" i="13" s="1"/>
  <c r="I38" i="13"/>
  <c r="I36" i="13"/>
  <c r="I34" i="13"/>
  <c r="I33" i="13"/>
  <c r="C26" i="13"/>
  <c r="C27" i="13" s="1"/>
  <c r="C28" i="13" s="1"/>
  <c r="C29" i="13" s="1"/>
  <c r="C30" i="13" s="1"/>
  <c r="C31" i="13" s="1"/>
  <c r="C32" i="13" s="1"/>
  <c r="C33" i="13" s="1"/>
  <c r="C34" i="13" s="1"/>
  <c r="C35" i="13" s="1"/>
  <c r="C36" i="13" s="1"/>
  <c r="C37" i="13" s="1"/>
  <c r="C38" i="13" s="1"/>
  <c r="C39" i="13" s="1"/>
  <c r="C40" i="13" s="1"/>
  <c r="C41" i="13" s="1"/>
  <c r="C42" i="13" s="1"/>
  <c r="C43" i="13" s="1"/>
  <c r="C44" i="13" s="1"/>
  <c r="C45" i="13" s="1"/>
  <c r="C46" i="13" s="1"/>
  <c r="C47" i="13" s="1"/>
  <c r="C48" i="13" s="1"/>
  <c r="C8" i="13"/>
  <c r="C9" i="13" s="1"/>
  <c r="C10" i="13" s="1"/>
  <c r="C11" i="13" s="1"/>
  <c r="C12" i="13" s="1"/>
  <c r="C13" i="13" s="1"/>
  <c r="C14" i="13" s="1"/>
  <c r="C15" i="13" s="1"/>
  <c r="C16" i="13" s="1"/>
  <c r="C17" i="13" s="1"/>
  <c r="C18" i="13" s="1"/>
  <c r="C19" i="13" s="1"/>
  <c r="C20" i="13" s="1"/>
  <c r="C21" i="13" s="1"/>
  <c r="C22" i="13" s="1"/>
  <c r="C23" i="13" s="1"/>
  <c r="C24" i="13" s="1"/>
  <c r="G42" i="12"/>
  <c r="F42" i="12"/>
  <c r="I41" i="12"/>
  <c r="I40" i="12"/>
  <c r="I39" i="12"/>
  <c r="I38" i="12"/>
  <c r="I37" i="12"/>
  <c r="G36" i="12"/>
  <c r="F36" i="12"/>
  <c r="I35" i="12"/>
  <c r="I34" i="12"/>
  <c r="I33" i="12"/>
  <c r="I32" i="12"/>
  <c r="I31" i="12"/>
  <c r="G30" i="12"/>
  <c r="F30" i="12"/>
  <c r="I29" i="12"/>
  <c r="I28" i="12"/>
  <c r="I27" i="12"/>
  <c r="I26" i="12"/>
  <c r="C26" i="12"/>
  <c r="C27" i="12" s="1"/>
  <c r="C28" i="12" s="1"/>
  <c r="C29" i="12" s="1"/>
  <c r="C30" i="12" s="1"/>
  <c r="C31" i="12" s="1"/>
  <c r="C32" i="12" s="1"/>
  <c r="C33" i="12" s="1"/>
  <c r="C34" i="12" s="1"/>
  <c r="C35" i="12" s="1"/>
  <c r="C36" i="12" s="1"/>
  <c r="C37" i="12" s="1"/>
  <c r="C38" i="12" s="1"/>
  <c r="C39" i="12" s="1"/>
  <c r="C40" i="12" s="1"/>
  <c r="C41" i="12" s="1"/>
  <c r="C42" i="12" s="1"/>
  <c r="I25" i="12"/>
  <c r="G24" i="12"/>
  <c r="F24" i="12"/>
  <c r="I23" i="12"/>
  <c r="I22" i="12"/>
  <c r="I21" i="12"/>
  <c r="I20" i="12"/>
  <c r="I19" i="12"/>
  <c r="G18" i="12"/>
  <c r="F18" i="12"/>
  <c r="I17" i="12"/>
  <c r="I16" i="12"/>
  <c r="I15" i="12"/>
  <c r="L15" i="12" s="1"/>
  <c r="I14" i="12"/>
  <c r="I13" i="12"/>
  <c r="G12" i="12"/>
  <c r="F12" i="12"/>
  <c r="I11" i="12"/>
  <c r="N11" i="12" s="1"/>
  <c r="I10" i="12"/>
  <c r="N10" i="12" s="1"/>
  <c r="I9" i="12"/>
  <c r="N9" i="12" s="1"/>
  <c r="I8" i="12"/>
  <c r="N8" i="12" s="1"/>
  <c r="C8" i="12"/>
  <c r="C9" i="12" s="1"/>
  <c r="C10" i="12" s="1"/>
  <c r="C11" i="12" s="1"/>
  <c r="C12" i="12" s="1"/>
  <c r="C13" i="12" s="1"/>
  <c r="C14" i="12" s="1"/>
  <c r="C15" i="12" s="1"/>
  <c r="C16" i="12" s="1"/>
  <c r="C17" i="12" s="1"/>
  <c r="C18" i="12" s="1"/>
  <c r="C19" i="12" s="1"/>
  <c r="C20" i="12" s="1"/>
  <c r="C21" i="12" s="1"/>
  <c r="C22" i="12" s="1"/>
  <c r="C23" i="12" s="1"/>
  <c r="C24" i="12" s="1"/>
  <c r="I7" i="12"/>
  <c r="N7" i="12" s="1"/>
  <c r="G90" i="11"/>
  <c r="F90" i="11"/>
  <c r="I89" i="11"/>
  <c r="I88" i="11"/>
  <c r="I87" i="11"/>
  <c r="I86" i="11"/>
  <c r="I85" i="11"/>
  <c r="G84" i="11"/>
  <c r="F84" i="11"/>
  <c r="I83" i="11"/>
  <c r="I82" i="11"/>
  <c r="I81" i="11"/>
  <c r="I80" i="11"/>
  <c r="I79" i="11"/>
  <c r="G78" i="11"/>
  <c r="F78" i="11"/>
  <c r="I77" i="11"/>
  <c r="L77" i="11" s="1"/>
  <c r="I76" i="11"/>
  <c r="L76" i="11" s="1"/>
  <c r="I75" i="11"/>
  <c r="L75" i="11" s="1"/>
  <c r="I74" i="11"/>
  <c r="L74" i="11" s="1"/>
  <c r="C74" i="11"/>
  <c r="C75" i="11" s="1"/>
  <c r="C76" i="11" s="1"/>
  <c r="C77" i="11" s="1"/>
  <c r="C78" i="11" s="1"/>
  <c r="C79" i="11" s="1"/>
  <c r="C80" i="11" s="1"/>
  <c r="C81" i="11" s="1"/>
  <c r="C82" i="11" s="1"/>
  <c r="C83" i="11" s="1"/>
  <c r="C84" i="11" s="1"/>
  <c r="C85" i="11" s="1"/>
  <c r="C86" i="11" s="1"/>
  <c r="C87" i="11" s="1"/>
  <c r="C88" i="11" s="1"/>
  <c r="C89" i="11" s="1"/>
  <c r="C90" i="11" s="1"/>
  <c r="I73" i="11"/>
  <c r="L73" i="11" s="1"/>
  <c r="G72" i="11"/>
  <c r="F72" i="11"/>
  <c r="I71" i="11"/>
  <c r="I70" i="11"/>
  <c r="L70" i="11" s="1"/>
  <c r="I69" i="11"/>
  <c r="I68" i="11"/>
  <c r="L68" i="11" s="1"/>
  <c r="I67" i="11"/>
  <c r="G66" i="11"/>
  <c r="F66" i="11"/>
  <c r="I65" i="11"/>
  <c r="I64" i="11"/>
  <c r="L64" i="11" s="1"/>
  <c r="I63" i="11"/>
  <c r="I62" i="11"/>
  <c r="L62" i="11" s="1"/>
  <c r="I61" i="11"/>
  <c r="G60" i="11"/>
  <c r="F60" i="11"/>
  <c r="I59" i="11"/>
  <c r="I58" i="11"/>
  <c r="I57" i="11"/>
  <c r="I56" i="11"/>
  <c r="C56" i="11"/>
  <c r="C57" i="11" s="1"/>
  <c r="C58" i="11" s="1"/>
  <c r="C59" i="11" s="1"/>
  <c r="C60" i="11" s="1"/>
  <c r="C61" i="11" s="1"/>
  <c r="C62" i="11" s="1"/>
  <c r="C63" i="11" s="1"/>
  <c r="C64" i="11" s="1"/>
  <c r="C65" i="11" s="1"/>
  <c r="C66" i="11" s="1"/>
  <c r="C67" i="11" s="1"/>
  <c r="C68" i="11" s="1"/>
  <c r="C69" i="11" s="1"/>
  <c r="C70" i="11" s="1"/>
  <c r="C71" i="11" s="1"/>
  <c r="C72" i="11" s="1"/>
  <c r="I55" i="11"/>
  <c r="G54" i="11"/>
  <c r="F54" i="11"/>
  <c r="I53" i="11"/>
  <c r="I52" i="11"/>
  <c r="I51" i="11"/>
  <c r="I50" i="11"/>
  <c r="I49" i="11"/>
  <c r="I48" i="11"/>
  <c r="I47" i="11"/>
  <c r="G46" i="11"/>
  <c r="F46" i="11"/>
  <c r="I45" i="11"/>
  <c r="I44" i="11"/>
  <c r="I43" i="11"/>
  <c r="I42" i="11"/>
  <c r="I41" i="11"/>
  <c r="I40" i="11"/>
  <c r="I39" i="11"/>
  <c r="G38" i="11"/>
  <c r="F38" i="11"/>
  <c r="I37" i="11"/>
  <c r="I36" i="11"/>
  <c r="N36" i="11" s="1"/>
  <c r="I35" i="11"/>
  <c r="N35" i="11" s="1"/>
  <c r="I34" i="11"/>
  <c r="N34" i="11" s="1"/>
  <c r="I33" i="11"/>
  <c r="N33" i="11" s="1"/>
  <c r="I32" i="11"/>
  <c r="N32" i="11" s="1"/>
  <c r="C32" i="11"/>
  <c r="C33" i="11" s="1"/>
  <c r="C34" i="11" s="1"/>
  <c r="C35" i="11" s="1"/>
  <c r="C36" i="11" s="1"/>
  <c r="C37" i="11" s="1"/>
  <c r="C38" i="11" s="1"/>
  <c r="C39" i="11" s="1"/>
  <c r="C40" i="11" s="1"/>
  <c r="C41" i="11" s="1"/>
  <c r="C42" i="11" s="1"/>
  <c r="C43" i="11" s="1"/>
  <c r="C44" i="11" s="1"/>
  <c r="C45" i="11" s="1"/>
  <c r="C46" i="11" s="1"/>
  <c r="C47" i="11" s="1"/>
  <c r="C48" i="11" s="1"/>
  <c r="C49" i="11" s="1"/>
  <c r="C50" i="11" s="1"/>
  <c r="C51" i="11" s="1"/>
  <c r="C52" i="11" s="1"/>
  <c r="C53" i="11" s="1"/>
  <c r="C54" i="11" s="1"/>
  <c r="I31" i="11"/>
  <c r="N31" i="11" s="1"/>
  <c r="I14" i="13" l="1"/>
  <c r="I16" i="13"/>
  <c r="I57" i="13"/>
  <c r="I59" i="13"/>
  <c r="I61" i="13"/>
  <c r="I63" i="13"/>
  <c r="I104" i="13"/>
  <c r="I106" i="13"/>
  <c r="I13" i="13"/>
  <c r="I15" i="13"/>
  <c r="I17" i="13"/>
  <c r="I58" i="13"/>
  <c r="I60" i="13"/>
  <c r="I62" i="13"/>
  <c r="I103" i="13"/>
  <c r="I105" i="13"/>
  <c r="I107" i="13"/>
  <c r="C121" i="13"/>
  <c r="C122" i="13" s="1"/>
  <c r="C123" i="13" s="1"/>
  <c r="C124" i="13" s="1"/>
  <c r="C125" i="13" s="1"/>
  <c r="C126" i="13" s="1"/>
  <c r="K142" i="13"/>
  <c r="K144" i="13"/>
  <c r="I35" i="13"/>
  <c r="I37" i="13"/>
  <c r="I39" i="13"/>
  <c r="I82" i="13"/>
  <c r="I84" i="13"/>
  <c r="I86" i="13"/>
  <c r="I121" i="13"/>
  <c r="I123" i="13"/>
  <c r="I125" i="13"/>
  <c r="L8" i="12"/>
  <c r="K256" i="13"/>
  <c r="K258" i="13"/>
  <c r="K260" i="13"/>
  <c r="K262" i="13"/>
  <c r="I24" i="12"/>
  <c r="N24" i="12" s="1"/>
  <c r="K14" i="13"/>
  <c r="K16" i="13"/>
  <c r="K57" i="13"/>
  <c r="K59" i="13"/>
  <c r="K61" i="13"/>
  <c r="K63" i="13"/>
  <c r="K104" i="13"/>
  <c r="K106" i="13"/>
  <c r="K141" i="13"/>
  <c r="K143" i="13"/>
  <c r="K145" i="13"/>
  <c r="K147" i="13"/>
  <c r="K190" i="13"/>
  <c r="K192" i="13"/>
  <c r="K194" i="13"/>
  <c r="K13" i="13"/>
  <c r="K15" i="13"/>
  <c r="K17" i="13"/>
  <c r="K58" i="13"/>
  <c r="K60" i="13"/>
  <c r="K62" i="13"/>
  <c r="K103" i="13"/>
  <c r="K105" i="13"/>
  <c r="K107" i="13"/>
  <c r="K146" i="13"/>
  <c r="K189" i="13"/>
  <c r="K191" i="13"/>
  <c r="K193" i="13"/>
  <c r="K195" i="13"/>
  <c r="K34" i="13"/>
  <c r="K36" i="13"/>
  <c r="K38" i="13"/>
  <c r="K81" i="13"/>
  <c r="K83" i="13"/>
  <c r="K85" i="13"/>
  <c r="K87" i="13"/>
  <c r="K122" i="13"/>
  <c r="K124" i="13"/>
  <c r="K165" i="13"/>
  <c r="K167" i="13"/>
  <c r="K169" i="13"/>
  <c r="K171" i="13"/>
  <c r="K33" i="13"/>
  <c r="K35" i="13"/>
  <c r="K37" i="13"/>
  <c r="K39" i="13"/>
  <c r="K82" i="13"/>
  <c r="K84" i="13"/>
  <c r="K86" i="13"/>
  <c r="K121" i="13"/>
  <c r="K123" i="13"/>
  <c r="K125" i="13"/>
  <c r="K166" i="13"/>
  <c r="K168" i="13"/>
  <c r="K170" i="13"/>
  <c r="K255" i="13"/>
  <c r="K257" i="13"/>
  <c r="K259" i="13"/>
  <c r="K261" i="13"/>
  <c r="I42" i="12"/>
  <c r="N42" i="12" s="1"/>
  <c r="I30" i="12"/>
  <c r="L30" i="12" s="1"/>
  <c r="L20" i="12"/>
  <c r="I46" i="11"/>
  <c r="L46" i="11" s="1"/>
  <c r="N76" i="11"/>
  <c r="N34" i="12"/>
  <c r="I54" i="11"/>
  <c r="N54" i="11" s="1"/>
  <c r="L40" i="11"/>
  <c r="L80" i="11"/>
  <c r="I84" i="11"/>
  <c r="L84" i="11" s="1"/>
  <c r="N41" i="11"/>
  <c r="I72" i="11"/>
  <c r="L72" i="11" s="1"/>
  <c r="N81" i="11"/>
  <c r="L89" i="11"/>
  <c r="N17" i="12"/>
  <c r="I36" i="12"/>
  <c r="L36" i="12" s="1"/>
  <c r="L10" i="12"/>
  <c r="L43" i="11"/>
  <c r="I66" i="11"/>
  <c r="N66" i="11" s="1"/>
  <c r="L33" i="11"/>
  <c r="N39" i="11"/>
  <c r="L48" i="11"/>
  <c r="N45" i="11"/>
  <c r="N73" i="11"/>
  <c r="I78" i="11"/>
  <c r="N78" i="11" s="1"/>
  <c r="L85" i="11"/>
  <c r="L83" i="11"/>
  <c r="N77" i="11"/>
  <c r="N22" i="12"/>
  <c r="L7" i="12"/>
  <c r="L13" i="12"/>
  <c r="N15" i="12"/>
  <c r="N32" i="12"/>
  <c r="L34" i="12"/>
  <c r="N40" i="12"/>
  <c r="N39" i="12"/>
  <c r="L17" i="12"/>
  <c r="N31" i="12"/>
  <c r="N41" i="12"/>
  <c r="L9" i="12"/>
  <c r="L11" i="12"/>
  <c r="N13" i="12"/>
  <c r="L22" i="12"/>
  <c r="L32" i="12"/>
  <c r="N29" i="12"/>
  <c r="L29" i="12"/>
  <c r="N25" i="12"/>
  <c r="L25" i="12"/>
  <c r="N28" i="12"/>
  <c r="L28" i="12"/>
  <c r="L37" i="12"/>
  <c r="I12" i="12"/>
  <c r="L19" i="12"/>
  <c r="L23" i="12"/>
  <c r="L14" i="12"/>
  <c r="L16" i="12"/>
  <c r="I18" i="12"/>
  <c r="N20" i="12"/>
  <c r="N33" i="12"/>
  <c r="N38" i="12"/>
  <c r="L41" i="12"/>
  <c r="N26" i="12"/>
  <c r="L26" i="12"/>
  <c r="N27" i="12"/>
  <c r="L27" i="12"/>
  <c r="L21" i="12"/>
  <c r="N35" i="12"/>
  <c r="N37" i="12"/>
  <c r="L39" i="12"/>
  <c r="N19" i="12"/>
  <c r="N23" i="12"/>
  <c r="L31" i="12"/>
  <c r="L33" i="12"/>
  <c r="L35" i="12"/>
  <c r="L38" i="12"/>
  <c r="L40" i="12"/>
  <c r="N14" i="12"/>
  <c r="N16" i="12"/>
  <c r="N21" i="12"/>
  <c r="I38" i="11"/>
  <c r="N83" i="11"/>
  <c r="N87" i="11"/>
  <c r="N62" i="11"/>
  <c r="N74" i="11"/>
  <c r="L87" i="11"/>
  <c r="N43" i="11"/>
  <c r="I60" i="11"/>
  <c r="N40" i="11"/>
  <c r="L41" i="11"/>
  <c r="N47" i="11"/>
  <c r="N53" i="11"/>
  <c r="N64" i="11"/>
  <c r="N65" i="11"/>
  <c r="N68" i="11"/>
  <c r="N75" i="11"/>
  <c r="N80" i="11"/>
  <c r="L81" i="11"/>
  <c r="N57" i="11"/>
  <c r="L57" i="11"/>
  <c r="N37" i="11"/>
  <c r="L37" i="11"/>
  <c r="L44" i="11"/>
  <c r="N52" i="11"/>
  <c r="L88" i="11"/>
  <c r="L82" i="11"/>
  <c r="N89" i="11"/>
  <c r="N70" i="11"/>
  <c r="L49" i="11"/>
  <c r="N49" i="11"/>
  <c r="N67" i="11"/>
  <c r="L67" i="11"/>
  <c r="L50" i="11"/>
  <c r="L42" i="11"/>
  <c r="N59" i="11"/>
  <c r="L59" i="11"/>
  <c r="N71" i="11"/>
  <c r="L71" i="11"/>
  <c r="L86" i="11"/>
  <c r="N86" i="11"/>
  <c r="L51" i="11"/>
  <c r="N51" i="11"/>
  <c r="N69" i="11"/>
  <c r="L69" i="11"/>
  <c r="L35" i="11"/>
  <c r="N55" i="11"/>
  <c r="L55" i="11"/>
  <c r="L79" i="11"/>
  <c r="N79" i="11"/>
  <c r="N56" i="11"/>
  <c r="L56" i="11"/>
  <c r="N58" i="11"/>
  <c r="L58" i="11"/>
  <c r="N42" i="11"/>
  <c r="N48" i="11"/>
  <c r="N61" i="11"/>
  <c r="N82" i="11"/>
  <c r="N85" i="11"/>
  <c r="L32" i="11"/>
  <c r="L34" i="11"/>
  <c r="L36" i="11"/>
  <c r="N44" i="11"/>
  <c r="L45" i="11"/>
  <c r="L53" i="11"/>
  <c r="N63" i="11"/>
  <c r="I90" i="11"/>
  <c r="L61" i="11"/>
  <c r="L63" i="11"/>
  <c r="L65" i="11"/>
  <c r="G330" i="10"/>
  <c r="F330" i="10"/>
  <c r="I329" i="10"/>
  <c r="I328" i="10"/>
  <c r="I327" i="10"/>
  <c r="I326" i="10"/>
  <c r="I325" i="10"/>
  <c r="I324" i="10"/>
  <c r="I323" i="10"/>
  <c r="G322" i="10"/>
  <c r="F322" i="10"/>
  <c r="I321" i="10"/>
  <c r="L321" i="10" s="1"/>
  <c r="I320" i="10"/>
  <c r="I319" i="10"/>
  <c r="L319" i="10" s="1"/>
  <c r="I318" i="10"/>
  <c r="L318" i="10" s="1"/>
  <c r="I317" i="10"/>
  <c r="L317" i="10" s="1"/>
  <c r="I316" i="10"/>
  <c r="I315" i="10"/>
  <c r="G314" i="10"/>
  <c r="F314" i="10"/>
  <c r="I313" i="10"/>
  <c r="L313" i="10" s="1"/>
  <c r="I312" i="10"/>
  <c r="L312" i="10" s="1"/>
  <c r="I311" i="10"/>
  <c r="L311" i="10" s="1"/>
  <c r="I310" i="10"/>
  <c r="L310" i="10" s="1"/>
  <c r="I309" i="10"/>
  <c r="L309" i="10" s="1"/>
  <c r="I308" i="10"/>
  <c r="L308" i="10" s="1"/>
  <c r="C308" i="10"/>
  <c r="C309" i="10" s="1"/>
  <c r="C310" i="10" s="1"/>
  <c r="C311" i="10" s="1"/>
  <c r="C312" i="10" s="1"/>
  <c r="C313" i="10" s="1"/>
  <c r="C314" i="10" s="1"/>
  <c r="C315" i="10" s="1"/>
  <c r="C316" i="10" s="1"/>
  <c r="C317" i="10" s="1"/>
  <c r="C318" i="10" s="1"/>
  <c r="C319" i="10" s="1"/>
  <c r="C320" i="10" s="1"/>
  <c r="C321" i="10" s="1"/>
  <c r="C322" i="10" s="1"/>
  <c r="C323" i="10" s="1"/>
  <c r="C324" i="10" s="1"/>
  <c r="C325" i="10" s="1"/>
  <c r="C326" i="10" s="1"/>
  <c r="C327" i="10" s="1"/>
  <c r="C328" i="10" s="1"/>
  <c r="C329" i="10" s="1"/>
  <c r="C330" i="10" s="1"/>
  <c r="I307" i="10"/>
  <c r="L307" i="10" s="1"/>
  <c r="G306" i="10"/>
  <c r="F306" i="10"/>
  <c r="I305" i="10"/>
  <c r="I304" i="10"/>
  <c r="I303" i="10"/>
  <c r="I302" i="10"/>
  <c r="I301" i="10"/>
  <c r="I300" i="10"/>
  <c r="I299" i="10"/>
  <c r="G298" i="10"/>
  <c r="F298" i="10"/>
  <c r="I297" i="10"/>
  <c r="I296" i="10"/>
  <c r="I295" i="10"/>
  <c r="L295" i="10" s="1"/>
  <c r="I294" i="10"/>
  <c r="I293" i="10"/>
  <c r="I292" i="10"/>
  <c r="I291" i="10"/>
  <c r="L291" i="10" s="1"/>
  <c r="G290" i="10"/>
  <c r="F290" i="10"/>
  <c r="I289" i="10"/>
  <c r="L289" i="10" s="1"/>
  <c r="I288" i="10"/>
  <c r="L288" i="10" s="1"/>
  <c r="I287" i="10"/>
  <c r="L287" i="10" s="1"/>
  <c r="I286" i="10"/>
  <c r="L286" i="10" s="1"/>
  <c r="I285" i="10"/>
  <c r="L285" i="10" s="1"/>
  <c r="I284" i="10"/>
  <c r="L284" i="10" s="1"/>
  <c r="C284" i="10"/>
  <c r="C285" i="10" s="1"/>
  <c r="C286" i="10" s="1"/>
  <c r="C287" i="10" s="1"/>
  <c r="C288" i="10" s="1"/>
  <c r="C289" i="10" s="1"/>
  <c r="C290" i="10" s="1"/>
  <c r="C291" i="10" s="1"/>
  <c r="C292" i="10" s="1"/>
  <c r="C293" i="10" s="1"/>
  <c r="C294" i="10" s="1"/>
  <c r="C295" i="10" s="1"/>
  <c r="C296" i="10" s="1"/>
  <c r="C297" i="10" s="1"/>
  <c r="C298" i="10" s="1"/>
  <c r="C299" i="10" s="1"/>
  <c r="C300" i="10" s="1"/>
  <c r="C301" i="10" s="1"/>
  <c r="C302" i="10" s="1"/>
  <c r="C303" i="10" s="1"/>
  <c r="C304" i="10" s="1"/>
  <c r="C305" i="10" s="1"/>
  <c r="C306" i="10" s="1"/>
  <c r="I283" i="10"/>
  <c r="L283" i="10" s="1"/>
  <c r="G282" i="10"/>
  <c r="F282" i="10"/>
  <c r="I281" i="10"/>
  <c r="I280" i="10"/>
  <c r="I279" i="10"/>
  <c r="I278" i="10"/>
  <c r="I277" i="10"/>
  <c r="I276" i="10"/>
  <c r="I275" i="10"/>
  <c r="G274" i="10"/>
  <c r="F274" i="10"/>
  <c r="I273" i="10"/>
  <c r="I272" i="10"/>
  <c r="I271" i="10"/>
  <c r="I270" i="10"/>
  <c r="I269" i="10"/>
  <c r="I268" i="10"/>
  <c r="I267" i="10"/>
  <c r="G266" i="10"/>
  <c r="F266" i="10"/>
  <c r="I265" i="10"/>
  <c r="L265" i="10" s="1"/>
  <c r="I264" i="10"/>
  <c r="L264" i="10" s="1"/>
  <c r="I263" i="10"/>
  <c r="L263" i="10" s="1"/>
  <c r="I262" i="10"/>
  <c r="L262" i="10" s="1"/>
  <c r="I261" i="10"/>
  <c r="L261" i="10" s="1"/>
  <c r="I260" i="10"/>
  <c r="L260" i="10" s="1"/>
  <c r="C260" i="10"/>
  <c r="C261" i="10" s="1"/>
  <c r="C262" i="10" s="1"/>
  <c r="C263" i="10" s="1"/>
  <c r="C264" i="10" s="1"/>
  <c r="C265" i="10" s="1"/>
  <c r="C266" i="10" s="1"/>
  <c r="C267" i="10" s="1"/>
  <c r="C268" i="10" s="1"/>
  <c r="C269" i="10" s="1"/>
  <c r="C270" i="10" s="1"/>
  <c r="C271" i="10" s="1"/>
  <c r="C272" i="10" s="1"/>
  <c r="C273" i="10" s="1"/>
  <c r="C274" i="10" s="1"/>
  <c r="C275" i="10" s="1"/>
  <c r="C276" i="10" s="1"/>
  <c r="C277" i="10" s="1"/>
  <c r="C278" i="10" s="1"/>
  <c r="C279" i="10" s="1"/>
  <c r="C280" i="10" s="1"/>
  <c r="C281" i="10" s="1"/>
  <c r="C282" i="10" s="1"/>
  <c r="I259" i="10"/>
  <c r="L259" i="10" s="1"/>
  <c r="I113" i="10"/>
  <c r="G234" i="10"/>
  <c r="H234" i="10" s="1"/>
  <c r="F204" i="13" s="1"/>
  <c r="I204" i="13" s="1"/>
  <c r="F234" i="10"/>
  <c r="I233" i="10"/>
  <c r="I232" i="10"/>
  <c r="I231" i="10"/>
  <c r="I230" i="10"/>
  <c r="I229" i="10"/>
  <c r="I228" i="10"/>
  <c r="I227" i="10"/>
  <c r="L227" i="10" s="1"/>
  <c r="G226" i="10"/>
  <c r="H226" i="10" s="1"/>
  <c r="F196" i="13" s="1"/>
  <c r="I196" i="13" s="1"/>
  <c r="F226" i="10"/>
  <c r="I225" i="10"/>
  <c r="I224" i="10"/>
  <c r="I223" i="10"/>
  <c r="I222" i="10"/>
  <c r="L222" i="10" s="1"/>
  <c r="I221" i="10"/>
  <c r="I220" i="10"/>
  <c r="L220" i="10" s="1"/>
  <c r="I219" i="10"/>
  <c r="G218" i="10"/>
  <c r="H218" i="10" s="1"/>
  <c r="F188" i="13" s="1"/>
  <c r="I188" i="13" s="1"/>
  <c r="F218" i="10"/>
  <c r="I217" i="10"/>
  <c r="L217" i="10" s="1"/>
  <c r="I216" i="10"/>
  <c r="L216" i="10" s="1"/>
  <c r="I215" i="10"/>
  <c r="N215" i="10" s="1"/>
  <c r="I214" i="10"/>
  <c r="L214" i="10" s="1"/>
  <c r="I213" i="10"/>
  <c r="L213" i="10" s="1"/>
  <c r="I212" i="10"/>
  <c r="L212" i="10" s="1"/>
  <c r="C212" i="10"/>
  <c r="C213" i="10" s="1"/>
  <c r="C214" i="10" s="1"/>
  <c r="C215" i="10" s="1"/>
  <c r="C216" i="10" s="1"/>
  <c r="C217" i="10" s="1"/>
  <c r="C218" i="10" s="1"/>
  <c r="C219" i="10" s="1"/>
  <c r="C220" i="10" s="1"/>
  <c r="C221" i="10" s="1"/>
  <c r="C222" i="10" s="1"/>
  <c r="C223" i="10" s="1"/>
  <c r="C224" i="10" s="1"/>
  <c r="C225" i="10" s="1"/>
  <c r="C226" i="10" s="1"/>
  <c r="C227" i="10" s="1"/>
  <c r="C228" i="10" s="1"/>
  <c r="C229" i="10" s="1"/>
  <c r="C230" i="10" s="1"/>
  <c r="C231" i="10" s="1"/>
  <c r="C232" i="10" s="1"/>
  <c r="C233" i="10" s="1"/>
  <c r="C234" i="10" s="1"/>
  <c r="I211" i="10"/>
  <c r="L211" i="10" s="1"/>
  <c r="G210" i="10"/>
  <c r="H210" i="10" s="1"/>
  <c r="F180" i="13" s="1"/>
  <c r="I180" i="13" s="1"/>
  <c r="F210" i="10"/>
  <c r="I209" i="10"/>
  <c r="I208" i="10"/>
  <c r="I207" i="10"/>
  <c r="I206" i="10"/>
  <c r="I205" i="10"/>
  <c r="I204" i="10"/>
  <c r="I203" i="10"/>
  <c r="G202" i="10"/>
  <c r="H202" i="10" s="1"/>
  <c r="F172" i="13" s="1"/>
  <c r="I172" i="13" s="1"/>
  <c r="F202" i="10"/>
  <c r="I201" i="10"/>
  <c r="I200" i="10"/>
  <c r="I199" i="10"/>
  <c r="I198" i="10"/>
  <c r="I197" i="10"/>
  <c r="I196" i="10"/>
  <c r="L196" i="10" s="1"/>
  <c r="I195" i="10"/>
  <c r="G194" i="10"/>
  <c r="H194" i="10" s="1"/>
  <c r="F164" i="13" s="1"/>
  <c r="I164" i="13" s="1"/>
  <c r="F194" i="10"/>
  <c r="I193" i="10"/>
  <c r="N193" i="10" s="1"/>
  <c r="I192" i="10"/>
  <c r="N192" i="10" s="1"/>
  <c r="I191" i="10"/>
  <c r="N191" i="10" s="1"/>
  <c r="I190" i="10"/>
  <c r="N190" i="10" s="1"/>
  <c r="I189" i="10"/>
  <c r="N189" i="10" s="1"/>
  <c r="I188" i="10"/>
  <c r="N188" i="10" s="1"/>
  <c r="C188" i="10"/>
  <c r="C189" i="10" s="1"/>
  <c r="C190" i="10" s="1"/>
  <c r="C191" i="10" s="1"/>
  <c r="C192" i="10" s="1"/>
  <c r="C193" i="10" s="1"/>
  <c r="C194" i="10" s="1"/>
  <c r="C195" i="10" s="1"/>
  <c r="C196" i="10" s="1"/>
  <c r="C197" i="10" s="1"/>
  <c r="C198" i="10" s="1"/>
  <c r="C199" i="10" s="1"/>
  <c r="C200" i="10" s="1"/>
  <c r="C201" i="10" s="1"/>
  <c r="C202" i="10" s="1"/>
  <c r="C203" i="10" s="1"/>
  <c r="C204" i="10" s="1"/>
  <c r="C205" i="10" s="1"/>
  <c r="C206" i="10" s="1"/>
  <c r="C207" i="10" s="1"/>
  <c r="C208" i="10" s="1"/>
  <c r="C209" i="10" s="1"/>
  <c r="C210" i="10" s="1"/>
  <c r="I187" i="10"/>
  <c r="N187" i="10" s="1"/>
  <c r="G186" i="10"/>
  <c r="H186" i="10" s="1"/>
  <c r="F156" i="13" s="1"/>
  <c r="I156" i="13" s="1"/>
  <c r="F186" i="10"/>
  <c r="I185" i="10"/>
  <c r="I184" i="10"/>
  <c r="I183" i="10"/>
  <c r="I182" i="10"/>
  <c r="I181" i="10"/>
  <c r="I180" i="10"/>
  <c r="I179" i="10"/>
  <c r="G178" i="10"/>
  <c r="H178" i="10" s="1"/>
  <c r="F148" i="13" s="1"/>
  <c r="I148" i="13" s="1"/>
  <c r="F178" i="10"/>
  <c r="I177" i="10"/>
  <c r="I176" i="10"/>
  <c r="I175" i="10"/>
  <c r="I174" i="10"/>
  <c r="I173" i="10"/>
  <c r="I172" i="10"/>
  <c r="I171" i="10"/>
  <c r="G170" i="10"/>
  <c r="H170" i="10" s="1"/>
  <c r="F140" i="13" s="1"/>
  <c r="I140" i="13" s="1"/>
  <c r="F170" i="10"/>
  <c r="I169" i="10"/>
  <c r="L169" i="10" s="1"/>
  <c r="I168" i="10"/>
  <c r="L168" i="10" s="1"/>
  <c r="I167" i="10"/>
  <c r="L167" i="10" s="1"/>
  <c r="I166" i="10"/>
  <c r="N166" i="10" s="1"/>
  <c r="I165" i="10"/>
  <c r="L165" i="10" s="1"/>
  <c r="I164" i="10"/>
  <c r="N164" i="10" s="1"/>
  <c r="C164" i="10"/>
  <c r="C165" i="10" s="1"/>
  <c r="C166" i="10" s="1"/>
  <c r="C167" i="10" s="1"/>
  <c r="C168" i="10" s="1"/>
  <c r="C169" i="10" s="1"/>
  <c r="C170" i="10" s="1"/>
  <c r="C171" i="10" s="1"/>
  <c r="C172" i="10" s="1"/>
  <c r="C173" i="10" s="1"/>
  <c r="C174" i="10" s="1"/>
  <c r="C175" i="10" s="1"/>
  <c r="C176" i="10" s="1"/>
  <c r="C177" i="10" s="1"/>
  <c r="C178" i="10" s="1"/>
  <c r="C179" i="10" s="1"/>
  <c r="C180" i="10" s="1"/>
  <c r="C181" i="10" s="1"/>
  <c r="C182" i="10" s="1"/>
  <c r="C183" i="10" s="1"/>
  <c r="C184" i="10" s="1"/>
  <c r="C185" i="10" s="1"/>
  <c r="C186" i="10" s="1"/>
  <c r="I163" i="10"/>
  <c r="N163" i="10" s="1"/>
  <c r="I155" i="10"/>
  <c r="H162" i="10"/>
  <c r="F132" i="13" s="1"/>
  <c r="I161" i="10"/>
  <c r="I160" i="10"/>
  <c r="I159" i="10"/>
  <c r="I158" i="10"/>
  <c r="I157" i="10"/>
  <c r="I156" i="10"/>
  <c r="H154" i="10"/>
  <c r="F126" i="13" s="1"/>
  <c r="I153" i="10"/>
  <c r="I152" i="10"/>
  <c r="I151" i="10"/>
  <c r="I150" i="10"/>
  <c r="I149" i="10"/>
  <c r="I148" i="10"/>
  <c r="I147" i="10"/>
  <c r="H146" i="10"/>
  <c r="F120" i="13" s="1"/>
  <c r="I145" i="10"/>
  <c r="L145" i="10" s="1"/>
  <c r="I144" i="10"/>
  <c r="L144" i="10" s="1"/>
  <c r="I143" i="10"/>
  <c r="L143" i="10" s="1"/>
  <c r="I142" i="10"/>
  <c r="L142" i="10" s="1"/>
  <c r="I141" i="10"/>
  <c r="L141" i="10" s="1"/>
  <c r="I140" i="10"/>
  <c r="L140" i="10" s="1"/>
  <c r="C140" i="10"/>
  <c r="C141" i="10" s="1"/>
  <c r="C142" i="10" s="1"/>
  <c r="C143" i="10" s="1"/>
  <c r="C144" i="10" s="1"/>
  <c r="C145" i="10" s="1"/>
  <c r="C146" i="10" s="1"/>
  <c r="C147" i="10" s="1"/>
  <c r="C148" i="10" s="1"/>
  <c r="C149" i="10" s="1"/>
  <c r="C150" i="10" s="1"/>
  <c r="C151" i="10" s="1"/>
  <c r="C152" i="10" s="1"/>
  <c r="C153" i="10" s="1"/>
  <c r="C154" i="10" s="1"/>
  <c r="C155" i="10" s="1"/>
  <c r="C156" i="10" s="1"/>
  <c r="C157" i="10" s="1"/>
  <c r="C158" i="10" s="1"/>
  <c r="C159" i="10" s="1"/>
  <c r="C160" i="10" s="1"/>
  <c r="C161" i="10" s="1"/>
  <c r="C162" i="10" s="1"/>
  <c r="I139" i="10"/>
  <c r="L139" i="10" s="1"/>
  <c r="G138" i="10"/>
  <c r="H138" i="10" s="1"/>
  <c r="F114" i="13" s="1"/>
  <c r="F138" i="10"/>
  <c r="I137" i="10"/>
  <c r="I136" i="10"/>
  <c r="I135" i="10"/>
  <c r="I134" i="10"/>
  <c r="I133" i="10"/>
  <c r="G132" i="10"/>
  <c r="H132" i="10" s="1"/>
  <c r="F108" i="13" s="1"/>
  <c r="F132" i="10"/>
  <c r="I131" i="10"/>
  <c r="I130" i="10"/>
  <c r="I129" i="10"/>
  <c r="I128" i="10"/>
  <c r="I127" i="10"/>
  <c r="G126" i="10"/>
  <c r="H126" i="10" s="1"/>
  <c r="F102" i="13" s="1"/>
  <c r="F126" i="10"/>
  <c r="I125" i="10"/>
  <c r="N125" i="10" s="1"/>
  <c r="I124" i="10"/>
  <c r="L124" i="10" s="1"/>
  <c r="I123" i="10"/>
  <c r="L123" i="10" s="1"/>
  <c r="I122" i="10"/>
  <c r="L122" i="10" s="1"/>
  <c r="C122" i="10"/>
  <c r="C123" i="10" s="1"/>
  <c r="C124" i="10" s="1"/>
  <c r="C125" i="10" s="1"/>
  <c r="C126" i="10" s="1"/>
  <c r="C127" i="10" s="1"/>
  <c r="C128" i="10" s="1"/>
  <c r="C129" i="10" s="1"/>
  <c r="C130" i="10" s="1"/>
  <c r="C131" i="10" s="1"/>
  <c r="C132" i="10" s="1"/>
  <c r="C133" i="10" s="1"/>
  <c r="C134" i="10" s="1"/>
  <c r="C135" i="10" s="1"/>
  <c r="C136" i="10" s="1"/>
  <c r="C137" i="10" s="1"/>
  <c r="C138" i="10" s="1"/>
  <c r="I121" i="10"/>
  <c r="L121" i="10" s="1"/>
  <c r="I119" i="10"/>
  <c r="I118" i="10"/>
  <c r="I117" i="10"/>
  <c r="I116" i="10"/>
  <c r="I115" i="10"/>
  <c r="I114" i="10"/>
  <c r="I111" i="10"/>
  <c r="I110" i="10"/>
  <c r="I109" i="10"/>
  <c r="I108" i="10"/>
  <c r="I107" i="10"/>
  <c r="I106" i="10"/>
  <c r="I105" i="10"/>
  <c r="I103" i="10"/>
  <c r="N103" i="10" s="1"/>
  <c r="I102" i="10"/>
  <c r="N102" i="10" s="1"/>
  <c r="I101" i="10"/>
  <c r="N101" i="10" s="1"/>
  <c r="I100" i="10"/>
  <c r="L100" i="10" s="1"/>
  <c r="I99" i="10"/>
  <c r="L99" i="10" s="1"/>
  <c r="I98" i="10"/>
  <c r="N98" i="10" s="1"/>
  <c r="I95" i="10"/>
  <c r="I94" i="10"/>
  <c r="I93" i="10"/>
  <c r="I92" i="10"/>
  <c r="I91" i="10"/>
  <c r="I90" i="10"/>
  <c r="I89" i="10"/>
  <c r="I87" i="10"/>
  <c r="I86" i="10"/>
  <c r="I85" i="10"/>
  <c r="I84" i="10"/>
  <c r="I83" i="10"/>
  <c r="I82" i="10"/>
  <c r="I81" i="10"/>
  <c r="I79" i="10"/>
  <c r="N79" i="10" s="1"/>
  <c r="I78" i="10"/>
  <c r="N78" i="10" s="1"/>
  <c r="I77" i="10"/>
  <c r="L77" i="10" s="1"/>
  <c r="I76" i="10"/>
  <c r="N76" i="10" s="1"/>
  <c r="I75" i="10"/>
  <c r="L75" i="10" s="1"/>
  <c r="I74" i="10"/>
  <c r="N74" i="10" s="1"/>
  <c r="I73" i="10"/>
  <c r="N73" i="10" s="1"/>
  <c r="I71" i="10"/>
  <c r="I70" i="10"/>
  <c r="I69" i="10"/>
  <c r="I68" i="10"/>
  <c r="I67" i="10"/>
  <c r="I66" i="10"/>
  <c r="I65" i="10"/>
  <c r="I63" i="10"/>
  <c r="I62" i="10"/>
  <c r="I61" i="10"/>
  <c r="I60" i="10"/>
  <c r="I59" i="10"/>
  <c r="I58" i="10"/>
  <c r="I57" i="10"/>
  <c r="I55" i="10"/>
  <c r="L55" i="10" s="1"/>
  <c r="I54" i="10"/>
  <c r="L54" i="10" s="1"/>
  <c r="I53" i="10"/>
  <c r="L53" i="10" s="1"/>
  <c r="I52" i="10"/>
  <c r="L52" i="10" s="1"/>
  <c r="I51" i="10"/>
  <c r="N51" i="10" s="1"/>
  <c r="I50" i="10"/>
  <c r="L50" i="10" s="1"/>
  <c r="I49" i="10"/>
  <c r="L49" i="10" s="1"/>
  <c r="I47" i="10"/>
  <c r="I46" i="10"/>
  <c r="I45" i="10"/>
  <c r="I44" i="10"/>
  <c r="I43" i="10"/>
  <c r="I42" i="10"/>
  <c r="I41" i="10"/>
  <c r="I39" i="10"/>
  <c r="I38" i="10"/>
  <c r="I37" i="10"/>
  <c r="I36" i="10"/>
  <c r="I35" i="10"/>
  <c r="I34" i="10"/>
  <c r="I33" i="10"/>
  <c r="I31" i="10"/>
  <c r="L31" i="10" s="1"/>
  <c r="I30" i="10"/>
  <c r="L30" i="10" s="1"/>
  <c r="I29" i="10"/>
  <c r="L29" i="10" s="1"/>
  <c r="I28" i="10"/>
  <c r="L28" i="10" s="1"/>
  <c r="I27" i="10"/>
  <c r="L27" i="10" s="1"/>
  <c r="I26" i="10"/>
  <c r="L26" i="10" s="1"/>
  <c r="I25" i="10"/>
  <c r="L25" i="10" s="1"/>
  <c r="I23" i="10"/>
  <c r="I22" i="10"/>
  <c r="I21" i="10"/>
  <c r="I20" i="10"/>
  <c r="I19" i="10"/>
  <c r="I17" i="10"/>
  <c r="I16" i="10"/>
  <c r="I15" i="10"/>
  <c r="I14" i="10"/>
  <c r="I13" i="10"/>
  <c r="I11" i="10"/>
  <c r="L11" i="10" s="1"/>
  <c r="I10" i="10"/>
  <c r="L10" i="10" s="1"/>
  <c r="I9" i="10"/>
  <c r="L9" i="10" s="1"/>
  <c r="I8" i="10"/>
  <c r="L8" i="10" s="1"/>
  <c r="I7" i="10"/>
  <c r="L7" i="10" s="1"/>
  <c r="I97" i="10"/>
  <c r="N97" i="10" s="1"/>
  <c r="G120" i="10"/>
  <c r="F120" i="10"/>
  <c r="G112" i="10"/>
  <c r="F112" i="10"/>
  <c r="G104" i="10"/>
  <c r="F104" i="10"/>
  <c r="C98" i="10"/>
  <c r="C99" i="10" s="1"/>
  <c r="C100" i="10" s="1"/>
  <c r="C101" i="10" s="1"/>
  <c r="C102" i="10" s="1"/>
  <c r="C103" i="10" s="1"/>
  <c r="C104" i="10" s="1"/>
  <c r="C105" i="10" s="1"/>
  <c r="C106" i="10" s="1"/>
  <c r="C107" i="10" s="1"/>
  <c r="C108" i="10" s="1"/>
  <c r="C109" i="10" s="1"/>
  <c r="C110" i="10" s="1"/>
  <c r="C111" i="10" s="1"/>
  <c r="C112" i="10" s="1"/>
  <c r="C113" i="10" s="1"/>
  <c r="C114" i="10" s="1"/>
  <c r="C115" i="10" s="1"/>
  <c r="C116" i="10" s="1"/>
  <c r="C117" i="10" s="1"/>
  <c r="C118" i="10" s="1"/>
  <c r="C119" i="10" s="1"/>
  <c r="C120" i="10" s="1"/>
  <c r="G96" i="10"/>
  <c r="H96" i="10" s="1"/>
  <c r="F96" i="13" s="1"/>
  <c r="G88" i="10"/>
  <c r="H88" i="10" s="1"/>
  <c r="F88" i="13" s="1"/>
  <c r="F88" i="10"/>
  <c r="G80" i="10"/>
  <c r="H80" i="10" s="1"/>
  <c r="F80" i="13" s="1"/>
  <c r="F80" i="10"/>
  <c r="C74" i="10"/>
  <c r="C75" i="10" s="1"/>
  <c r="C76" i="10" s="1"/>
  <c r="C77" i="10" s="1"/>
  <c r="C78" i="10" s="1"/>
  <c r="C79" i="10" s="1"/>
  <c r="C80" i="10" s="1"/>
  <c r="C81" i="10" s="1"/>
  <c r="C82" i="10" s="1"/>
  <c r="C83" i="10" s="1"/>
  <c r="C84" i="10" s="1"/>
  <c r="C85" i="10" s="1"/>
  <c r="C86" i="10" s="1"/>
  <c r="C87" i="10" s="1"/>
  <c r="C88" i="10" s="1"/>
  <c r="C89" i="10" s="1"/>
  <c r="C90" i="10" s="1"/>
  <c r="C91" i="10" s="1"/>
  <c r="C92" i="10" s="1"/>
  <c r="C93" i="10" s="1"/>
  <c r="C94" i="10" s="1"/>
  <c r="C95" i="10" s="1"/>
  <c r="C96" i="10" s="1"/>
  <c r="G72" i="10"/>
  <c r="H72" i="10" s="1"/>
  <c r="F72" i="13" s="1"/>
  <c r="F72" i="10"/>
  <c r="G64" i="10"/>
  <c r="H64" i="10" s="1"/>
  <c r="F64" i="13" s="1"/>
  <c r="F64" i="10"/>
  <c r="G56" i="10"/>
  <c r="H56" i="10" s="1"/>
  <c r="F56" i="13" s="1"/>
  <c r="F56" i="10"/>
  <c r="C50" i="10"/>
  <c r="C51" i="10" s="1"/>
  <c r="C52" i="10" s="1"/>
  <c r="C53" i="10" s="1"/>
  <c r="C54" i="10" s="1"/>
  <c r="C55" i="10" s="1"/>
  <c r="C56" i="10" s="1"/>
  <c r="C57" i="10" s="1"/>
  <c r="C58" i="10" s="1"/>
  <c r="C59" i="10" s="1"/>
  <c r="C60" i="10" s="1"/>
  <c r="C61" i="10" s="1"/>
  <c r="C62" i="10" s="1"/>
  <c r="C63" i="10" s="1"/>
  <c r="C64" i="10" s="1"/>
  <c r="C65" i="10" s="1"/>
  <c r="C66" i="10" s="1"/>
  <c r="C67" i="10" s="1"/>
  <c r="C68" i="10" s="1"/>
  <c r="C69" i="10" s="1"/>
  <c r="C70" i="10" s="1"/>
  <c r="C71" i="10" s="1"/>
  <c r="C72" i="10" s="1"/>
  <c r="G48" i="10"/>
  <c r="H48" i="10" s="1"/>
  <c r="F48" i="13" s="1"/>
  <c r="F48" i="10"/>
  <c r="G40" i="10"/>
  <c r="H40" i="10" s="1"/>
  <c r="F40" i="13" s="1"/>
  <c r="F40" i="10"/>
  <c r="G32" i="10"/>
  <c r="H32" i="10" s="1"/>
  <c r="F32" i="13" s="1"/>
  <c r="F32" i="10"/>
  <c r="C26" i="10"/>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G24" i="10"/>
  <c r="H24" i="10" s="1"/>
  <c r="F24" i="13" s="1"/>
  <c r="F24" i="10"/>
  <c r="G18" i="10"/>
  <c r="F18" i="10"/>
  <c r="G12" i="10"/>
  <c r="H12" i="10" s="1"/>
  <c r="F12" i="10"/>
  <c r="C8" i="10"/>
  <c r="C9" i="10" s="1"/>
  <c r="C10" i="10" s="1"/>
  <c r="C11" i="10" s="1"/>
  <c r="C12" i="10" s="1"/>
  <c r="C13" i="10" s="1"/>
  <c r="C14" i="10" s="1"/>
  <c r="C15" i="10" s="1"/>
  <c r="C16" i="10" s="1"/>
  <c r="C17" i="10" s="1"/>
  <c r="C18" i="10" s="1"/>
  <c r="C19" i="10" s="1"/>
  <c r="C20" i="10" s="1"/>
  <c r="C21" i="10" s="1"/>
  <c r="C22" i="10" s="1"/>
  <c r="C23" i="10" s="1"/>
  <c r="C24" i="10" s="1"/>
  <c r="N30" i="12" l="1"/>
  <c r="L24" i="12"/>
  <c r="K263" i="13"/>
  <c r="I263" i="13"/>
  <c r="K268" i="13"/>
  <c r="I268" i="13"/>
  <c r="K265" i="13"/>
  <c r="I265" i="13"/>
  <c r="K269" i="13"/>
  <c r="I269" i="13"/>
  <c r="K266" i="13"/>
  <c r="I266" i="13"/>
  <c r="K270" i="13"/>
  <c r="I270" i="13"/>
  <c r="K264" i="13"/>
  <c r="I264" i="13"/>
  <c r="K267" i="13"/>
  <c r="I267" i="13"/>
  <c r="C127" i="13"/>
  <c r="C128" i="13" s="1"/>
  <c r="C129" i="13" s="1"/>
  <c r="C130" i="13" s="1"/>
  <c r="C131" i="13" s="1"/>
  <c r="C132" i="13" s="1"/>
  <c r="K20" i="13"/>
  <c r="I20" i="13"/>
  <c r="K23" i="13"/>
  <c r="I23" i="13"/>
  <c r="K43" i="13"/>
  <c r="I43" i="13"/>
  <c r="K47" i="13"/>
  <c r="I47" i="13"/>
  <c r="K67" i="13"/>
  <c r="I67" i="13"/>
  <c r="K91" i="13"/>
  <c r="I91" i="13"/>
  <c r="K112" i="13"/>
  <c r="I112" i="13"/>
  <c r="K127" i="13"/>
  <c r="I127" i="13"/>
  <c r="K152" i="13"/>
  <c r="K176" i="13"/>
  <c r="K200" i="13"/>
  <c r="K19" i="13"/>
  <c r="I19" i="13"/>
  <c r="K44" i="13"/>
  <c r="I44" i="13"/>
  <c r="K68" i="13"/>
  <c r="I68" i="13"/>
  <c r="K71" i="13"/>
  <c r="I71" i="13"/>
  <c r="K93" i="13"/>
  <c r="I93" i="13"/>
  <c r="K109" i="13"/>
  <c r="I109" i="13"/>
  <c r="K113" i="13"/>
  <c r="I113" i="13"/>
  <c r="K129" i="13"/>
  <c r="I129" i="13"/>
  <c r="K150" i="13"/>
  <c r="K153" i="13"/>
  <c r="K173" i="13"/>
  <c r="K177" i="13"/>
  <c r="K197" i="13"/>
  <c r="K201" i="13"/>
  <c r="K21" i="13"/>
  <c r="I21" i="13"/>
  <c r="K42" i="13"/>
  <c r="I42" i="13"/>
  <c r="K45" i="13"/>
  <c r="I45" i="13"/>
  <c r="K66" i="13"/>
  <c r="I66" i="13"/>
  <c r="K69" i="13"/>
  <c r="I69" i="13"/>
  <c r="K89" i="13"/>
  <c r="I89" i="13"/>
  <c r="K94" i="13"/>
  <c r="I94" i="13"/>
  <c r="I110" i="13"/>
  <c r="I130" i="13"/>
  <c r="K149" i="13"/>
  <c r="K154" i="13"/>
  <c r="K174" i="13"/>
  <c r="K198" i="13"/>
  <c r="K92" i="13"/>
  <c r="I92" i="13"/>
  <c r="K22" i="13"/>
  <c r="I22" i="13"/>
  <c r="K41" i="13"/>
  <c r="I41" i="13"/>
  <c r="K46" i="13"/>
  <c r="I46" i="13"/>
  <c r="K65" i="13"/>
  <c r="I65" i="13"/>
  <c r="K70" i="13"/>
  <c r="I70" i="13"/>
  <c r="K90" i="13"/>
  <c r="I90" i="13"/>
  <c r="K95" i="13"/>
  <c r="I95" i="13"/>
  <c r="K111" i="13"/>
  <c r="I111" i="13"/>
  <c r="K128" i="13"/>
  <c r="I128" i="13"/>
  <c r="K131" i="13"/>
  <c r="I131" i="13"/>
  <c r="K151" i="13"/>
  <c r="K155" i="13"/>
  <c r="K175" i="13"/>
  <c r="K179" i="13"/>
  <c r="K199" i="13"/>
  <c r="K203" i="13"/>
  <c r="L293" i="10"/>
  <c r="L297" i="10"/>
  <c r="L324" i="10"/>
  <c r="L328" i="10"/>
  <c r="L316" i="10"/>
  <c r="L325" i="10"/>
  <c r="L315" i="10"/>
  <c r="L326" i="10"/>
  <c r="L303" i="10"/>
  <c r="L323" i="10"/>
  <c r="L327" i="10"/>
  <c r="N36" i="12"/>
  <c r="I290" i="10"/>
  <c r="N290" i="10" s="1"/>
  <c r="K132" i="13"/>
  <c r="I132" i="13"/>
  <c r="K24" i="13"/>
  <c r="I24" i="13"/>
  <c r="K114" i="13"/>
  <c r="I114" i="13"/>
  <c r="K156" i="13"/>
  <c r="K180" i="13"/>
  <c r="K204" i="13"/>
  <c r="K110" i="13"/>
  <c r="K130" i="13"/>
  <c r="K178" i="13"/>
  <c r="K202" i="13"/>
  <c r="K32" i="13"/>
  <c r="I32" i="13"/>
  <c r="K48" i="13"/>
  <c r="I48" i="13"/>
  <c r="K96" i="13"/>
  <c r="I96" i="13"/>
  <c r="K108" i="13"/>
  <c r="I108" i="13"/>
  <c r="K80" i="13"/>
  <c r="I80" i="13"/>
  <c r="K126" i="13"/>
  <c r="I126" i="13"/>
  <c r="K148" i="13"/>
  <c r="K172" i="13"/>
  <c r="K196" i="13"/>
  <c r="L42" i="12"/>
  <c r="K40" i="13"/>
  <c r="I40" i="13"/>
  <c r="K88" i="13"/>
  <c r="I88" i="13"/>
  <c r="K56" i="13"/>
  <c r="I56" i="13"/>
  <c r="K64" i="13"/>
  <c r="I64" i="13"/>
  <c r="K72" i="13"/>
  <c r="I72" i="13"/>
  <c r="K102" i="13"/>
  <c r="I102" i="13"/>
  <c r="K140" i="13"/>
  <c r="K164" i="13"/>
  <c r="K188" i="13"/>
  <c r="F12" i="13"/>
  <c r="K12" i="13" s="1"/>
  <c r="K120" i="13"/>
  <c r="I120" i="13"/>
  <c r="H18" i="10"/>
  <c r="L66" i="11"/>
  <c r="L54" i="11"/>
  <c r="N72" i="11"/>
  <c r="N46" i="11"/>
  <c r="N84" i="11"/>
  <c r="N308" i="10"/>
  <c r="N77" i="10"/>
  <c r="N312" i="10"/>
  <c r="I314" i="10"/>
  <c r="N314" i="10" s="1"/>
  <c r="L78" i="10"/>
  <c r="I88" i="10"/>
  <c r="N284" i="10"/>
  <c r="N310" i="10"/>
  <c r="L78" i="11"/>
  <c r="N50" i="11"/>
  <c r="D27" i="5"/>
  <c r="L12" i="12"/>
  <c r="N12" i="12"/>
  <c r="N18" i="12"/>
  <c r="L18" i="12"/>
  <c r="L60" i="11"/>
  <c r="N60" i="11"/>
  <c r="L38" i="11"/>
  <c r="N38" i="11"/>
  <c r="D26" i="5" s="1"/>
  <c r="N88" i="11"/>
  <c r="N90" i="11"/>
  <c r="L90" i="11"/>
  <c r="L52" i="11"/>
  <c r="L85" i="10"/>
  <c r="L90" i="10"/>
  <c r="L94" i="10"/>
  <c r="L76" i="10"/>
  <c r="L81" i="10"/>
  <c r="N37" i="10"/>
  <c r="N87" i="10"/>
  <c r="N320" i="10"/>
  <c r="I96" i="10"/>
  <c r="I186" i="10"/>
  <c r="N186" i="10" s="1"/>
  <c r="I322" i="10"/>
  <c r="L322" i="10" s="1"/>
  <c r="N111" i="10"/>
  <c r="I12" i="10"/>
  <c r="N12" i="10" s="1"/>
  <c r="I24" i="10"/>
  <c r="N24" i="10" s="1"/>
  <c r="N223" i="10"/>
  <c r="L269" i="10"/>
  <c r="L273" i="10"/>
  <c r="I32" i="10"/>
  <c r="L32" i="10" s="1"/>
  <c r="I40" i="10"/>
  <c r="I48" i="10"/>
  <c r="L48" i="10" s="1"/>
  <c r="L74" i="10"/>
  <c r="N81" i="10"/>
  <c r="L163" i="10"/>
  <c r="L191" i="10"/>
  <c r="N197" i="10"/>
  <c r="N201" i="10"/>
  <c r="I210" i="10"/>
  <c r="N210" i="10" s="1"/>
  <c r="N309" i="10"/>
  <c r="N311" i="10"/>
  <c r="N313" i="10"/>
  <c r="N316" i="10"/>
  <c r="I330" i="10"/>
  <c r="L330" i="10" s="1"/>
  <c r="N84" i="10"/>
  <c r="I72" i="10"/>
  <c r="N75" i="10"/>
  <c r="I104" i="10"/>
  <c r="N104" i="10" s="1"/>
  <c r="I112" i="10"/>
  <c r="N112" i="10" s="1"/>
  <c r="L92" i="10"/>
  <c r="N127" i="10"/>
  <c r="N131" i="10"/>
  <c r="I64" i="10"/>
  <c r="N219" i="10"/>
  <c r="L320" i="10"/>
  <c r="N329" i="10"/>
  <c r="I56" i="10"/>
  <c r="N56" i="10" s="1"/>
  <c r="I80" i="10"/>
  <c r="N83" i="10"/>
  <c r="N35" i="10"/>
  <c r="N39" i="10"/>
  <c r="L58" i="10"/>
  <c r="N62" i="10"/>
  <c r="I138" i="10"/>
  <c r="L138" i="10" s="1"/>
  <c r="N140" i="10"/>
  <c r="L147" i="10"/>
  <c r="L151" i="10"/>
  <c r="N171" i="10"/>
  <c r="N175" i="10"/>
  <c r="L193" i="10"/>
  <c r="L195" i="10"/>
  <c r="I234" i="10"/>
  <c r="L234" i="10" s="1"/>
  <c r="N283" i="10"/>
  <c r="N294" i="10"/>
  <c r="I298" i="10"/>
  <c r="L298" i="10" s="1"/>
  <c r="N307" i="10"/>
  <c r="N318" i="10"/>
  <c r="L329" i="10"/>
  <c r="N323" i="10"/>
  <c r="N327" i="10"/>
  <c r="N325" i="10"/>
  <c r="N317" i="10"/>
  <c r="N319" i="10"/>
  <c r="N321" i="10"/>
  <c r="N324" i="10"/>
  <c r="N326" i="10"/>
  <c r="N328" i="10"/>
  <c r="L98" i="10"/>
  <c r="N315" i="10"/>
  <c r="N134" i="10"/>
  <c r="N161" i="10"/>
  <c r="N301" i="10"/>
  <c r="N303" i="10"/>
  <c r="L79" i="10"/>
  <c r="N57" i="10"/>
  <c r="N61" i="10"/>
  <c r="L128" i="10"/>
  <c r="N136" i="10"/>
  <c r="L172" i="10"/>
  <c r="L176" i="10"/>
  <c r="L198" i="10"/>
  <c r="L224" i="10"/>
  <c r="L278" i="10"/>
  <c r="N86" i="10"/>
  <c r="L108" i="10"/>
  <c r="N33" i="10"/>
  <c r="L60" i="10"/>
  <c r="N82" i="10"/>
  <c r="N105" i="10"/>
  <c r="N109" i="10"/>
  <c r="N118" i="10"/>
  <c r="N129" i="10"/>
  <c r="L149" i="10"/>
  <c r="L153" i="10"/>
  <c r="N167" i="10"/>
  <c r="N173" i="10"/>
  <c r="N177" i="10"/>
  <c r="N195" i="10"/>
  <c r="N199" i="10"/>
  <c r="N211" i="10"/>
  <c r="N212" i="10"/>
  <c r="L215" i="10"/>
  <c r="N221" i="10"/>
  <c r="N225" i="10"/>
  <c r="L267" i="10"/>
  <c r="L271" i="10"/>
  <c r="N292" i="10"/>
  <c r="N296" i="10"/>
  <c r="L107" i="10"/>
  <c r="N116" i="10"/>
  <c r="N159" i="10"/>
  <c r="N184" i="10"/>
  <c r="N232" i="10"/>
  <c r="N34" i="10"/>
  <c r="N38" i="10"/>
  <c r="L106" i="10"/>
  <c r="L110" i="10"/>
  <c r="N148" i="10"/>
  <c r="N152" i="10"/>
  <c r="L199" i="10"/>
  <c r="L206" i="10"/>
  <c r="L270" i="10"/>
  <c r="N99" i="10"/>
  <c r="N85" i="10"/>
  <c r="N36" i="10"/>
  <c r="L41" i="10"/>
  <c r="N59" i="10"/>
  <c r="N63" i="10"/>
  <c r="L130" i="10"/>
  <c r="N150" i="10"/>
  <c r="L164" i="10"/>
  <c r="L174" i="10"/>
  <c r="N182" i="10"/>
  <c r="L200" i="10"/>
  <c r="N230" i="10"/>
  <c r="L268" i="10"/>
  <c r="L272" i="10"/>
  <c r="I306" i="10"/>
  <c r="L306" i="10" s="1"/>
  <c r="L292" i="10"/>
  <c r="L294" i="10"/>
  <c r="N288" i="10"/>
  <c r="N286" i="10"/>
  <c r="L299" i="10"/>
  <c r="L305" i="10"/>
  <c r="L301" i="10"/>
  <c r="L296" i="10"/>
  <c r="N285" i="10"/>
  <c r="N287" i="10"/>
  <c r="N289" i="10"/>
  <c r="N299" i="10"/>
  <c r="N305" i="10"/>
  <c r="L300" i="10"/>
  <c r="L302" i="10"/>
  <c r="L304" i="10"/>
  <c r="N291" i="10"/>
  <c r="N293" i="10"/>
  <c r="N295" i="10"/>
  <c r="N300" i="10"/>
  <c r="N302" i="10"/>
  <c r="N304" i="10"/>
  <c r="N297" i="10"/>
  <c r="I282" i="10"/>
  <c r="L282" i="10" s="1"/>
  <c r="I274" i="10"/>
  <c r="N274" i="10" s="1"/>
  <c r="I266" i="10"/>
  <c r="L266" i="10" s="1"/>
  <c r="L277" i="10"/>
  <c r="L280" i="10"/>
  <c r="L279" i="10"/>
  <c r="L275" i="10"/>
  <c r="L276" i="10"/>
  <c r="L281" i="10"/>
  <c r="N268" i="10"/>
  <c r="N270" i="10"/>
  <c r="N272" i="10"/>
  <c r="N275" i="10"/>
  <c r="N277" i="10"/>
  <c r="N279" i="10"/>
  <c r="N281" i="10"/>
  <c r="L103" i="10"/>
  <c r="N259" i="10"/>
  <c r="N260" i="10"/>
  <c r="N261" i="10"/>
  <c r="N262" i="10"/>
  <c r="N263" i="10"/>
  <c r="N264" i="10"/>
  <c r="N265" i="10"/>
  <c r="N267" i="10"/>
  <c r="N269" i="10"/>
  <c r="N271" i="10"/>
  <c r="N273" i="10"/>
  <c r="N276" i="10"/>
  <c r="N278" i="10"/>
  <c r="N280" i="10"/>
  <c r="N216" i="10"/>
  <c r="L221" i="10"/>
  <c r="L223" i="10"/>
  <c r="N213" i="10"/>
  <c r="N217" i="10"/>
  <c r="L225" i="10"/>
  <c r="L219" i="10"/>
  <c r="I226" i="10"/>
  <c r="N226" i="10" s="1"/>
  <c r="N214" i="10"/>
  <c r="I218" i="10"/>
  <c r="L218" i="10" s="1"/>
  <c r="L231" i="10"/>
  <c r="L229" i="10"/>
  <c r="N228" i="10"/>
  <c r="L233" i="10"/>
  <c r="N227" i="10"/>
  <c r="N229" i="10"/>
  <c r="N231" i="10"/>
  <c r="N233" i="10"/>
  <c r="N55" i="10"/>
  <c r="L228" i="10"/>
  <c r="L230" i="10"/>
  <c r="L232" i="10"/>
  <c r="N220" i="10"/>
  <c r="N222" i="10"/>
  <c r="N224" i="10"/>
  <c r="L197" i="10"/>
  <c r="L201" i="10"/>
  <c r="L187" i="10"/>
  <c r="L189" i="10"/>
  <c r="I202" i="10"/>
  <c r="L202" i="10" s="1"/>
  <c r="L188" i="10"/>
  <c r="L190" i="10"/>
  <c r="L192" i="10"/>
  <c r="I194" i="10"/>
  <c r="L194" i="10" s="1"/>
  <c r="L208" i="10"/>
  <c r="L204" i="10"/>
  <c r="N196" i="10"/>
  <c r="N198" i="10"/>
  <c r="N200" i="10"/>
  <c r="N204" i="10"/>
  <c r="N206" i="10"/>
  <c r="N208" i="10"/>
  <c r="L203" i="10"/>
  <c r="L205" i="10"/>
  <c r="L207" i="10"/>
  <c r="L209" i="10"/>
  <c r="L166" i="10"/>
  <c r="L175" i="10"/>
  <c r="N168" i="10"/>
  <c r="L177" i="10"/>
  <c r="L171" i="10"/>
  <c r="L173" i="10"/>
  <c r="I178" i="10"/>
  <c r="L178" i="10" s="1"/>
  <c r="N165" i="10"/>
  <c r="N169" i="10"/>
  <c r="I170" i="10"/>
  <c r="L170" i="10" s="1"/>
  <c r="L179" i="10"/>
  <c r="L181" i="10"/>
  <c r="L183" i="10"/>
  <c r="N180" i="10"/>
  <c r="L185" i="10"/>
  <c r="L62" i="10"/>
  <c r="L180" i="10"/>
  <c r="L182" i="10"/>
  <c r="L184" i="10"/>
  <c r="N179" i="10"/>
  <c r="N181" i="10"/>
  <c r="N183" i="10"/>
  <c r="N185" i="10"/>
  <c r="N172" i="10"/>
  <c r="N174" i="10"/>
  <c r="N176" i="10"/>
  <c r="L159" i="10"/>
  <c r="N142" i="10"/>
  <c r="I162" i="10"/>
  <c r="N162" i="10" s="1"/>
  <c r="I154" i="10"/>
  <c r="L154" i="10" s="1"/>
  <c r="L148" i="10"/>
  <c r="L150" i="10"/>
  <c r="I146" i="10"/>
  <c r="N146" i="10" s="1"/>
  <c r="N144" i="10"/>
  <c r="L155" i="10"/>
  <c r="L161" i="10"/>
  <c r="L157" i="10"/>
  <c r="L152" i="10"/>
  <c r="N141" i="10"/>
  <c r="N143" i="10"/>
  <c r="N145" i="10"/>
  <c r="N139" i="10"/>
  <c r="N155" i="10"/>
  <c r="N157" i="10"/>
  <c r="L156" i="10"/>
  <c r="L158" i="10"/>
  <c r="L160" i="10"/>
  <c r="N151" i="10"/>
  <c r="N153" i="10"/>
  <c r="N156" i="10"/>
  <c r="N158" i="10"/>
  <c r="N160" i="10"/>
  <c r="N147" i="10"/>
  <c r="N149" i="10"/>
  <c r="N121" i="10"/>
  <c r="N122" i="10"/>
  <c r="L125" i="10"/>
  <c r="L127" i="10"/>
  <c r="I132" i="10"/>
  <c r="N132" i="10" s="1"/>
  <c r="N123" i="10"/>
  <c r="I126" i="10"/>
  <c r="N126" i="10" s="1"/>
  <c r="I120" i="10"/>
  <c r="L120" i="10" s="1"/>
  <c r="L131" i="10"/>
  <c r="L129" i="10"/>
  <c r="N124" i="10"/>
  <c r="L133" i="10"/>
  <c r="L135" i="10"/>
  <c r="L137" i="10"/>
  <c r="N133" i="10"/>
  <c r="N135" i="10"/>
  <c r="N137" i="10"/>
  <c r="N128" i="10"/>
  <c r="N130" i="10"/>
  <c r="L134" i="10"/>
  <c r="L136" i="10"/>
  <c r="N107" i="10"/>
  <c r="L51" i="10"/>
  <c r="L97" i="10"/>
  <c r="L101" i="10"/>
  <c r="L102" i="10"/>
  <c r="L109" i="10"/>
  <c r="L111" i="10"/>
  <c r="L105" i="10"/>
  <c r="N100" i="10"/>
  <c r="L115" i="10"/>
  <c r="L117" i="10"/>
  <c r="L113" i="10"/>
  <c r="N114" i="10"/>
  <c r="L119" i="10"/>
  <c r="N113" i="10"/>
  <c r="N115" i="10"/>
  <c r="N117" i="10"/>
  <c r="N119" i="10"/>
  <c r="L114" i="10"/>
  <c r="L116" i="10"/>
  <c r="L118" i="10"/>
  <c r="N106" i="10"/>
  <c r="N108" i="10"/>
  <c r="N110" i="10"/>
  <c r="L83" i="10"/>
  <c r="L87" i="10"/>
  <c r="L73" i="10"/>
  <c r="L82" i="10"/>
  <c r="L84" i="10"/>
  <c r="L86" i="10"/>
  <c r="N90" i="10"/>
  <c r="N92" i="10"/>
  <c r="N94" i="10"/>
  <c r="L89" i="10"/>
  <c r="L91" i="10"/>
  <c r="L93" i="10"/>
  <c r="L95" i="10"/>
  <c r="N49" i="10"/>
  <c r="N53" i="10"/>
  <c r="L63" i="10"/>
  <c r="L57" i="10"/>
  <c r="L59" i="10"/>
  <c r="L61" i="10"/>
  <c r="N50" i="10"/>
  <c r="N52" i="10"/>
  <c r="N54" i="10"/>
  <c r="N29" i="10"/>
  <c r="L34" i="10"/>
  <c r="L35" i="10"/>
  <c r="L36" i="10"/>
  <c r="L37" i="10"/>
  <c r="L39" i="10"/>
  <c r="L33" i="10"/>
  <c r="L38" i="10"/>
  <c r="L65" i="10"/>
  <c r="L69" i="10"/>
  <c r="N68" i="10"/>
  <c r="L67" i="10"/>
  <c r="L71" i="10"/>
  <c r="N66" i="10"/>
  <c r="L66" i="10"/>
  <c r="L68" i="10"/>
  <c r="N65" i="10"/>
  <c r="N67" i="10"/>
  <c r="N69" i="10"/>
  <c r="N71" i="10"/>
  <c r="N58" i="10"/>
  <c r="N60" i="10"/>
  <c r="N70" i="10"/>
  <c r="N31" i="10"/>
  <c r="N25" i="10"/>
  <c r="N27" i="10"/>
  <c r="N26" i="10"/>
  <c r="N28" i="10"/>
  <c r="N30" i="10"/>
  <c r="N41" i="10"/>
  <c r="N43" i="10"/>
  <c r="N45" i="10"/>
  <c r="N47" i="10"/>
  <c r="L42" i="10"/>
  <c r="L43" i="10"/>
  <c r="N44" i="10"/>
  <c r="L45" i="10"/>
  <c r="N46" i="10"/>
  <c r="L47" i="10"/>
  <c r="L13" i="10"/>
  <c r="L16" i="10"/>
  <c r="N14" i="10"/>
  <c r="N15" i="10"/>
  <c r="L17" i="10"/>
  <c r="N20" i="10"/>
  <c r="L15" i="10"/>
  <c r="L14" i="10"/>
  <c r="N16" i="10"/>
  <c r="N17" i="10"/>
  <c r="N13" i="10"/>
  <c r="N22" i="10"/>
  <c r="L19" i="10"/>
  <c r="L20" i="10"/>
  <c r="L21" i="10"/>
  <c r="L22" i="10"/>
  <c r="L23" i="10"/>
  <c r="N7" i="10"/>
  <c r="N8" i="10"/>
  <c r="N9" i="10"/>
  <c r="N10" i="10"/>
  <c r="N11" i="10"/>
  <c r="H30" i="8"/>
  <c r="H22" i="8"/>
  <c r="K22" i="8" s="1"/>
  <c r="H29" i="8"/>
  <c r="H28" i="8"/>
  <c r="H27" i="8"/>
  <c r="H26" i="8"/>
  <c r="H25" i="8"/>
  <c r="H24" i="8"/>
  <c r="K24" i="8" s="1"/>
  <c r="H23" i="8"/>
  <c r="K23" i="8" s="1"/>
  <c r="H21" i="8"/>
  <c r="H20" i="8"/>
  <c r="H19" i="8"/>
  <c r="K19" i="8" s="1"/>
  <c r="H18" i="8"/>
  <c r="K18" i="8" s="1"/>
  <c r="H17" i="8"/>
  <c r="K17" i="8" s="1"/>
  <c r="H16" i="8"/>
  <c r="K16" i="8" s="1"/>
  <c r="H15" i="8"/>
  <c r="H13" i="8"/>
  <c r="K13" i="8" s="1"/>
  <c r="H12" i="8"/>
  <c r="K12" i="8" s="1"/>
  <c r="H11" i="8"/>
  <c r="K11" i="8" s="1"/>
  <c r="H10" i="8"/>
  <c r="K10" i="8" s="1"/>
  <c r="H9" i="8"/>
  <c r="K9" i="8" s="1"/>
  <c r="H8" i="8"/>
  <c r="M8" i="8" s="1"/>
  <c r="C8" i="8"/>
  <c r="C9" i="8" s="1"/>
  <c r="C10" i="8" s="1"/>
  <c r="C11" i="8" s="1"/>
  <c r="C12" i="8" s="1"/>
  <c r="C13" i="8" s="1"/>
  <c r="C14" i="8" s="1"/>
  <c r="C15" i="8" s="1"/>
  <c r="C16" i="8" s="1"/>
  <c r="C17" i="8" s="1"/>
  <c r="C18" i="8" s="1"/>
  <c r="C19" i="8" s="1"/>
  <c r="C20" i="8" s="1"/>
  <c r="C21" i="8" s="1"/>
  <c r="C22" i="8" s="1"/>
  <c r="C23" i="8" s="1"/>
  <c r="C24" i="8" s="1"/>
  <c r="C25" i="8" s="1"/>
  <c r="C26" i="8" s="1"/>
  <c r="C27" i="8" s="1"/>
  <c r="C28" i="8" s="1"/>
  <c r="C29" i="8" s="1"/>
  <c r="C30" i="8" s="1"/>
  <c r="H7" i="8"/>
  <c r="M7" i="8" s="1"/>
  <c r="L290" i="10" l="1"/>
  <c r="I12" i="13"/>
  <c r="L186" i="10"/>
  <c r="M21" i="8"/>
  <c r="I18" i="10"/>
  <c r="N18" i="10" s="1"/>
  <c r="F18" i="13"/>
  <c r="M15" i="8"/>
  <c r="K7" i="8"/>
  <c r="N154" i="10"/>
  <c r="K15" i="8"/>
  <c r="K8" i="8"/>
  <c r="N322" i="10"/>
  <c r="L314" i="10"/>
  <c r="N234" i="10"/>
  <c r="N330" i="10"/>
  <c r="L46" i="10"/>
  <c r="N138" i="10"/>
  <c r="N266" i="10"/>
  <c r="N194" i="10"/>
  <c r="L226" i="10"/>
  <c r="N298" i="10"/>
  <c r="N32" i="10"/>
  <c r="L112" i="10"/>
  <c r="L210" i="10"/>
  <c r="N93" i="10"/>
  <c r="N89" i="10"/>
  <c r="N42" i="10"/>
  <c r="N91" i="10"/>
  <c r="N306" i="10"/>
  <c r="N282" i="10"/>
  <c r="L274" i="10"/>
  <c r="N218" i="10"/>
  <c r="N202" i="10"/>
  <c r="N203" i="10"/>
  <c r="N207" i="10"/>
  <c r="N209" i="10"/>
  <c r="N205" i="10"/>
  <c r="N178" i="10"/>
  <c r="N170" i="10"/>
  <c r="L146" i="10"/>
  <c r="L162" i="10"/>
  <c r="L132" i="10"/>
  <c r="L126" i="10"/>
  <c r="L104" i="10"/>
  <c r="N120" i="10"/>
  <c r="L96" i="10"/>
  <c r="N96" i="10"/>
  <c r="N80" i="10"/>
  <c r="L80" i="10"/>
  <c r="N95" i="10"/>
  <c r="L88" i="10"/>
  <c r="N88" i="10"/>
  <c r="L56" i="10"/>
  <c r="N48" i="10"/>
  <c r="L24" i="10"/>
  <c r="L12" i="10"/>
  <c r="N64" i="10"/>
  <c r="L64" i="10"/>
  <c r="L72" i="10"/>
  <c r="N72" i="10"/>
  <c r="L70" i="10"/>
  <c r="N40" i="10"/>
  <c r="L40" i="10"/>
  <c r="L44" i="10"/>
  <c r="N23" i="10"/>
  <c r="N19" i="10"/>
  <c r="N21" i="10"/>
  <c r="K30" i="8"/>
  <c r="K20" i="8"/>
  <c r="K28" i="8"/>
  <c r="M16" i="8"/>
  <c r="H14" i="8"/>
  <c r="M14" i="8" s="1"/>
  <c r="M23" i="8"/>
  <c r="K27" i="8"/>
  <c r="K26" i="8"/>
  <c r="K25" i="8"/>
  <c r="K29" i="8"/>
  <c r="M17" i="8"/>
  <c r="M19" i="8"/>
  <c r="M22" i="8"/>
  <c r="M24" i="8"/>
  <c r="M25" i="8"/>
  <c r="M27" i="8"/>
  <c r="M29" i="8"/>
  <c r="M30" i="8"/>
  <c r="K21" i="8"/>
  <c r="M9" i="8"/>
  <c r="M11" i="8"/>
  <c r="M12" i="8"/>
  <c r="M18" i="8"/>
  <c r="M20" i="8"/>
  <c r="M26" i="8"/>
  <c r="M28" i="8"/>
  <c r="M10" i="8"/>
  <c r="M13" i="8"/>
  <c r="H71" i="8"/>
  <c r="H70" i="8"/>
  <c r="H69" i="8"/>
  <c r="H68" i="8"/>
  <c r="H67" i="8"/>
  <c r="H65" i="8"/>
  <c r="K65" i="8" s="1"/>
  <c r="H64" i="8"/>
  <c r="H63" i="8"/>
  <c r="H62" i="8"/>
  <c r="H61" i="8"/>
  <c r="K61" i="8" s="1"/>
  <c r="H59" i="8"/>
  <c r="K59" i="8" s="1"/>
  <c r="H58" i="8"/>
  <c r="K58" i="8" s="1"/>
  <c r="H57" i="8"/>
  <c r="K57" i="8" s="1"/>
  <c r="H56" i="8"/>
  <c r="K56" i="8" s="1"/>
  <c r="C56" i="8"/>
  <c r="C57" i="8" s="1"/>
  <c r="C58" i="8" s="1"/>
  <c r="C59" i="8" s="1"/>
  <c r="C60" i="8" s="1"/>
  <c r="C61" i="8" s="1"/>
  <c r="C62" i="8" s="1"/>
  <c r="C63" i="8" s="1"/>
  <c r="C64" i="8" s="1"/>
  <c r="C65" i="8" s="1"/>
  <c r="C66" i="8" s="1"/>
  <c r="C67" i="8" s="1"/>
  <c r="C68" i="8" s="1"/>
  <c r="C69" i="8" s="1"/>
  <c r="C70" i="8" s="1"/>
  <c r="C71" i="8" s="1"/>
  <c r="C72" i="8" s="1"/>
  <c r="H55" i="8"/>
  <c r="K55" i="8" s="1"/>
  <c r="H54" i="8"/>
  <c r="H53" i="8"/>
  <c r="H52" i="8"/>
  <c r="H51" i="8"/>
  <c r="H50" i="8"/>
  <c r="H49" i="8"/>
  <c r="H48" i="8"/>
  <c r="H47" i="8"/>
  <c r="H45" i="8"/>
  <c r="H44" i="8"/>
  <c r="H43" i="8"/>
  <c r="H42" i="8"/>
  <c r="K42" i="8" s="1"/>
  <c r="H41" i="8"/>
  <c r="H40" i="8"/>
  <c r="H39" i="8"/>
  <c r="H37" i="8"/>
  <c r="M37" i="8" s="1"/>
  <c r="H36" i="8"/>
  <c r="M36" i="8" s="1"/>
  <c r="H35" i="8"/>
  <c r="M35" i="8" s="1"/>
  <c r="H34" i="8"/>
  <c r="M34" i="8" s="1"/>
  <c r="H33" i="8"/>
  <c r="M33" i="8" s="1"/>
  <c r="H32" i="8"/>
  <c r="M32" i="8" s="1"/>
  <c r="C32" i="8"/>
  <c r="C33" i="8" s="1"/>
  <c r="C34" i="8" s="1"/>
  <c r="C35" i="8" s="1"/>
  <c r="C36" i="8" s="1"/>
  <c r="C37" i="8" s="1"/>
  <c r="C38" i="8" s="1"/>
  <c r="C39" i="8" s="1"/>
  <c r="C40" i="8" s="1"/>
  <c r="C41" i="8" s="1"/>
  <c r="C42" i="8" s="1"/>
  <c r="C43" i="8" s="1"/>
  <c r="C44" i="8" s="1"/>
  <c r="C45" i="8" s="1"/>
  <c r="C46" i="8" s="1"/>
  <c r="C47" i="8" s="1"/>
  <c r="C48" i="8" s="1"/>
  <c r="C49" i="8" s="1"/>
  <c r="C50" i="8" s="1"/>
  <c r="C51" i="8" s="1"/>
  <c r="C52" i="8" s="1"/>
  <c r="C53" i="8" s="1"/>
  <c r="C54" i="8" s="1"/>
  <c r="H31" i="8"/>
  <c r="M31" i="8" s="1"/>
  <c r="D25" i="5" l="1"/>
  <c r="L18" i="10"/>
  <c r="M44" i="8"/>
  <c r="K18" i="13"/>
  <c r="D31" i="5" s="1"/>
  <c r="I18" i="13"/>
  <c r="M39" i="8"/>
  <c r="M52" i="8"/>
  <c r="K33" i="8"/>
  <c r="H72" i="8"/>
  <c r="M72" i="8" s="1"/>
  <c r="H46" i="8"/>
  <c r="M46" i="8" s="1"/>
  <c r="K35" i="8"/>
  <c r="K14" i="8"/>
  <c r="M45" i="8"/>
  <c r="H38" i="8"/>
  <c r="M38" i="8" s="1"/>
  <c r="K37" i="8"/>
  <c r="M47" i="8"/>
  <c r="M42" i="8"/>
  <c r="M43" i="8"/>
  <c r="H60" i="8"/>
  <c r="K60" i="8" s="1"/>
  <c r="M64" i="8"/>
  <c r="M62" i="8"/>
  <c r="H66" i="8"/>
  <c r="K66" i="8" s="1"/>
  <c r="K70" i="8"/>
  <c r="M40" i="8"/>
  <c r="K41" i="8"/>
  <c r="K44" i="8"/>
  <c r="K34" i="8"/>
  <c r="K36" i="8"/>
  <c r="M41" i="8"/>
  <c r="K43" i="8"/>
  <c r="K63" i="8"/>
  <c r="K52" i="8"/>
  <c r="K45" i="8"/>
  <c r="K54" i="8"/>
  <c r="M54" i="8"/>
  <c r="K68" i="8"/>
  <c r="M67" i="8"/>
  <c r="K50" i="8"/>
  <c r="M50" i="8"/>
  <c r="M69" i="8"/>
  <c r="M48" i="8"/>
  <c r="M71" i="8"/>
  <c r="K62" i="8"/>
  <c r="K64" i="8"/>
  <c r="K67" i="8"/>
  <c r="K69" i="8"/>
  <c r="K71" i="8"/>
  <c r="K49" i="8"/>
  <c r="K51" i="8"/>
  <c r="K53" i="8"/>
  <c r="M55" i="8"/>
  <c r="M56" i="8"/>
  <c r="M57" i="8"/>
  <c r="M58" i="8"/>
  <c r="M59" i="8"/>
  <c r="M61" i="8"/>
  <c r="M63" i="8"/>
  <c r="M65" i="8"/>
  <c r="M68" i="8"/>
  <c r="M70" i="8"/>
  <c r="M66" i="8" l="1"/>
  <c r="K46" i="8"/>
  <c r="M60" i="8"/>
  <c r="K72" i="8"/>
  <c r="K38" i="8"/>
  <c r="M49" i="8"/>
  <c r="M53" i="8"/>
  <c r="M51" i="8"/>
  <c r="D21" i="5" l="1"/>
  <c r="K95" i="7"/>
  <c r="C94" i="7"/>
  <c r="C95" i="7" s="1"/>
  <c r="K93" i="7"/>
  <c r="K101" i="7"/>
  <c r="K100" i="7"/>
  <c r="C100" i="7"/>
  <c r="C101" i="7" s="1"/>
  <c r="K98" i="7"/>
  <c r="K97" i="7"/>
  <c r="C97" i="7"/>
  <c r="C98" i="7" s="1"/>
  <c r="K96" i="7"/>
  <c r="K92" i="7"/>
  <c r="C91" i="7"/>
  <c r="C92" i="7" s="1"/>
  <c r="K89" i="7"/>
  <c r="K88" i="7"/>
  <c r="C88" i="7"/>
  <c r="C89" i="7" s="1"/>
  <c r="K81" i="7"/>
  <c r="C81" i="7"/>
  <c r="C82" i="7" s="1"/>
  <c r="K78" i="7"/>
  <c r="C78" i="7"/>
  <c r="C79" i="7" s="1"/>
  <c r="K76" i="7"/>
  <c r="C75" i="7"/>
  <c r="C76" i="7" s="1"/>
  <c r="K74" i="7"/>
  <c r="K73" i="7"/>
  <c r="K72" i="7"/>
  <c r="C72" i="7"/>
  <c r="C73" i="7" s="1"/>
  <c r="K66" i="7"/>
  <c r="C66" i="7"/>
  <c r="C67" i="7" s="1"/>
  <c r="K64" i="7"/>
  <c r="K63" i="7"/>
  <c r="C63" i="7"/>
  <c r="C64" i="7" s="1"/>
  <c r="K62" i="7"/>
  <c r="C60" i="7"/>
  <c r="C61" i="7" s="1"/>
  <c r="K59" i="7"/>
  <c r="K58" i="7"/>
  <c r="K57" i="7"/>
  <c r="C57" i="7"/>
  <c r="C58" i="7" s="1"/>
  <c r="K56" i="7"/>
  <c r="C54" i="7"/>
  <c r="C55" i="7" s="1"/>
  <c r="K52" i="7"/>
  <c r="K51" i="7"/>
  <c r="C51" i="7"/>
  <c r="C52" i="7" s="1"/>
  <c r="K50" i="7"/>
  <c r="K49" i="7"/>
  <c r="C48" i="7"/>
  <c r="C49" i="7" s="1"/>
  <c r="K46" i="7"/>
  <c r="K45" i="7"/>
  <c r="C45" i="7"/>
  <c r="C46" i="7" s="1"/>
  <c r="K42" i="2"/>
  <c r="J42" i="2"/>
  <c r="I42" i="2"/>
  <c r="K40" i="2"/>
  <c r="J40" i="2"/>
  <c r="N40" i="2" l="1"/>
  <c r="K77" i="7"/>
  <c r="K87" i="7"/>
  <c r="K99" i="7"/>
  <c r="M47" i="7"/>
  <c r="K47" i="7"/>
  <c r="M80" i="7"/>
  <c r="K80" i="7"/>
  <c r="K44" i="7"/>
  <c r="K71" i="7"/>
  <c r="K90" i="7"/>
  <c r="M87" i="7"/>
  <c r="M44" i="7"/>
  <c r="M53" i="7"/>
  <c r="M74" i="7"/>
  <c r="N42" i="2"/>
  <c r="M71" i="7"/>
  <c r="M90" i="7"/>
  <c r="I41" i="2"/>
  <c r="M97" i="7"/>
  <c r="M91" i="7"/>
  <c r="K91" i="7"/>
  <c r="M81" i="7"/>
  <c r="M82" i="7"/>
  <c r="K82" i="7"/>
  <c r="M79" i="7"/>
  <c r="K79" i="7"/>
  <c r="M75" i="7"/>
  <c r="K75" i="7"/>
  <c r="M67" i="7"/>
  <c r="K67" i="7"/>
  <c r="M61" i="7"/>
  <c r="K61" i="7"/>
  <c r="M60" i="7"/>
  <c r="K60" i="7"/>
  <c r="M51" i="7"/>
  <c r="M48" i="7"/>
  <c r="K48" i="7"/>
  <c r="M78" i="7"/>
  <c r="M64" i="7"/>
  <c r="M66" i="7"/>
  <c r="M76" i="7"/>
  <c r="M55" i="7"/>
  <c r="M56" i="7"/>
  <c r="M59" i="7"/>
  <c r="M63" i="7"/>
  <c r="M65" i="7"/>
  <c r="M101" i="7"/>
  <c r="M93" i="7"/>
  <c r="M52" i="7"/>
  <c r="M54" i="7"/>
  <c r="M89" i="7"/>
  <c r="M98" i="7"/>
  <c r="M100" i="7"/>
  <c r="M46" i="7"/>
  <c r="M50" i="7"/>
  <c r="M58" i="7"/>
  <c r="M62" i="7"/>
  <c r="M73" i="7"/>
  <c r="M77" i="7"/>
  <c r="M96" i="7"/>
  <c r="M95" i="7"/>
  <c r="M49" i="7"/>
  <c r="M92" i="7"/>
  <c r="M99" i="7"/>
  <c r="M45" i="7"/>
  <c r="M57" i="7"/>
  <c r="M72" i="7"/>
  <c r="M88" i="7"/>
  <c r="M94" i="7"/>
  <c r="L40" i="2"/>
  <c r="L42" i="2"/>
  <c r="L41" i="2" l="1"/>
  <c r="N41" i="2"/>
  <c r="D14" i="5"/>
  <c r="M49" i="6"/>
  <c r="C49" i="6"/>
  <c r="C50" i="6" s="1"/>
  <c r="K47" i="6"/>
  <c r="M46" i="6"/>
  <c r="C46" i="6"/>
  <c r="C47" i="6" s="1"/>
  <c r="K43" i="6"/>
  <c r="C43" i="6"/>
  <c r="C44" i="6" s="1"/>
  <c r="M39" i="6"/>
  <c r="C39" i="6"/>
  <c r="C40" i="6" s="1"/>
  <c r="K38" i="6"/>
  <c r="M38" i="6" l="1"/>
  <c r="M48" i="6"/>
  <c r="M45" i="6"/>
  <c r="K40" i="6"/>
  <c r="M44" i="6"/>
  <c r="K49" i="6"/>
  <c r="K39" i="6"/>
  <c r="M40" i="6"/>
  <c r="M43" i="6"/>
  <c r="K44" i="6"/>
  <c r="K48" i="6"/>
  <c r="K50" i="6"/>
  <c r="K42" i="6"/>
  <c r="M42" i="6"/>
  <c r="M50" i="6"/>
  <c r="K45" i="6"/>
  <c r="K46" i="6"/>
  <c r="M47" i="6"/>
  <c r="C38" i="2" l="1"/>
  <c r="C39" i="2" s="1"/>
  <c r="C40" i="2" s="1"/>
  <c r="C41" i="2" s="1"/>
  <c r="C42" i="2" s="1"/>
  <c r="K39" i="2" l="1"/>
  <c r="K37" i="2"/>
  <c r="J39" i="2"/>
  <c r="J37" i="2"/>
  <c r="N37" i="2" l="1"/>
  <c r="I39" i="2"/>
  <c r="N39" i="2" s="1"/>
  <c r="I38" i="2"/>
  <c r="N38" i="2" s="1"/>
  <c r="D12" i="5" l="1"/>
  <c r="L37" i="2"/>
  <c r="L39" i="2" l="1"/>
  <c r="L38" i="2"/>
</calcChain>
</file>

<file path=xl/sharedStrings.xml><?xml version="1.0" encoding="utf-8"?>
<sst xmlns="http://schemas.openxmlformats.org/spreadsheetml/2006/main" count="2751" uniqueCount="420">
  <si>
    <t>No.</t>
    <phoneticPr fontId="2"/>
  </si>
  <si>
    <t>訪問介護</t>
    <rPh sb="0" eb="2">
      <t>ホウモン</t>
    </rPh>
    <rPh sb="2" eb="4">
      <t>カイゴ</t>
    </rPh>
    <phoneticPr fontId="2"/>
  </si>
  <si>
    <t>ワーニング対象指標値</t>
    <rPh sb="5" eb="7">
      <t>タイショウ</t>
    </rPh>
    <rPh sb="7" eb="9">
      <t>シヒョウ</t>
    </rPh>
    <rPh sb="9" eb="10">
      <t>チ</t>
    </rPh>
    <phoneticPr fontId="2"/>
  </si>
  <si>
    <t>上限値</t>
    <rPh sb="0" eb="3">
      <t>ジョウゲンチ</t>
    </rPh>
    <phoneticPr fontId="2"/>
  </si>
  <si>
    <t>下限値</t>
    <rPh sb="0" eb="3">
      <t>カゲンチ</t>
    </rPh>
    <phoneticPr fontId="2"/>
  </si>
  <si>
    <t>訪問入浴介護</t>
    <rPh sb="0" eb="2">
      <t>ホウモン</t>
    </rPh>
    <rPh sb="2" eb="4">
      <t>ニュウヨク</t>
    </rPh>
    <rPh sb="4" eb="6">
      <t>カイゴ</t>
    </rPh>
    <phoneticPr fontId="2"/>
  </si>
  <si>
    <t>訪問看護</t>
    <rPh sb="0" eb="2">
      <t>ホウモン</t>
    </rPh>
    <rPh sb="2" eb="4">
      <t>カンゴ</t>
    </rPh>
    <phoneticPr fontId="2"/>
  </si>
  <si>
    <t>訪問リハビリテーション</t>
    <rPh sb="0" eb="2">
      <t>ホウモン</t>
    </rPh>
    <phoneticPr fontId="2"/>
  </si>
  <si>
    <t>居宅療養管理指導</t>
    <rPh sb="0" eb="2">
      <t>キョタク</t>
    </rPh>
    <rPh sb="2" eb="4">
      <t>リョウヨウ</t>
    </rPh>
    <rPh sb="4" eb="6">
      <t>カンリ</t>
    </rPh>
    <rPh sb="6" eb="8">
      <t>シドウ</t>
    </rPh>
    <phoneticPr fontId="2"/>
  </si>
  <si>
    <t>通所介護</t>
    <rPh sb="0" eb="2">
      <t>ツウショ</t>
    </rPh>
    <rPh sb="2" eb="4">
      <t>カイゴ</t>
    </rPh>
    <phoneticPr fontId="2"/>
  </si>
  <si>
    <t>通所リハビリテーション</t>
    <rPh sb="0" eb="2">
      <t>ツウショ</t>
    </rPh>
    <phoneticPr fontId="2"/>
  </si>
  <si>
    <t>短期入所生活介護</t>
    <rPh sb="0" eb="2">
      <t>タンキ</t>
    </rPh>
    <rPh sb="2" eb="4">
      <t>ニュウショ</t>
    </rPh>
    <rPh sb="4" eb="6">
      <t>セイカツ</t>
    </rPh>
    <rPh sb="6" eb="8">
      <t>カイゴ</t>
    </rPh>
    <phoneticPr fontId="2"/>
  </si>
  <si>
    <t>福祉用具貸与</t>
    <rPh sb="0" eb="2">
      <t>フクシ</t>
    </rPh>
    <rPh sb="2" eb="4">
      <t>ヨウグ</t>
    </rPh>
    <rPh sb="4" eb="6">
      <t>タイヨ</t>
    </rPh>
    <phoneticPr fontId="2"/>
  </si>
  <si>
    <t>特定福祉用具購入費</t>
    <rPh sb="0" eb="2">
      <t>トクテイ</t>
    </rPh>
    <rPh sb="2" eb="4">
      <t>フクシ</t>
    </rPh>
    <rPh sb="4" eb="6">
      <t>ヨウグ</t>
    </rPh>
    <rPh sb="6" eb="9">
      <t>コウニュウヒ</t>
    </rPh>
    <phoneticPr fontId="2"/>
  </si>
  <si>
    <t>住宅改修費</t>
    <rPh sb="0" eb="2">
      <t>ジュウタク</t>
    </rPh>
    <rPh sb="2" eb="5">
      <t>カイシュウヒ</t>
    </rPh>
    <phoneticPr fontId="2"/>
  </si>
  <si>
    <t>定期巡回・随時対応型訪問介護看護</t>
    <rPh sb="0" eb="2">
      <t>テイキ</t>
    </rPh>
    <rPh sb="2" eb="4">
      <t>ジュンカイ</t>
    </rPh>
    <rPh sb="5" eb="7">
      <t>ズイジ</t>
    </rPh>
    <rPh sb="7" eb="10">
      <t>タイオウガタ</t>
    </rPh>
    <rPh sb="10" eb="12">
      <t>ホウモン</t>
    </rPh>
    <rPh sb="12" eb="14">
      <t>カイゴ</t>
    </rPh>
    <rPh sb="14" eb="16">
      <t>カンゴ</t>
    </rPh>
    <phoneticPr fontId="2"/>
  </si>
  <si>
    <t>夜間対応型訪問介護</t>
    <rPh sb="0" eb="2">
      <t>ヤカン</t>
    </rPh>
    <rPh sb="2" eb="5">
      <t>タイオウガタ</t>
    </rPh>
    <rPh sb="5" eb="7">
      <t>ホウモン</t>
    </rPh>
    <rPh sb="7" eb="9">
      <t>カイゴ</t>
    </rPh>
    <phoneticPr fontId="2"/>
  </si>
  <si>
    <t>小規模多機能型居宅介護</t>
    <rPh sb="0" eb="3">
      <t>ショウキボ</t>
    </rPh>
    <rPh sb="3" eb="7">
      <t>タキノウガタ</t>
    </rPh>
    <rPh sb="7" eb="9">
      <t>キョタク</t>
    </rPh>
    <rPh sb="9" eb="11">
      <t>カイゴ</t>
    </rPh>
    <phoneticPr fontId="2"/>
  </si>
  <si>
    <t>認知症対応型共同生活介護</t>
    <rPh sb="0" eb="2">
      <t>ニンチ</t>
    </rPh>
    <rPh sb="2" eb="3">
      <t>ショウ</t>
    </rPh>
    <rPh sb="3" eb="6">
      <t>タイオウガタ</t>
    </rPh>
    <rPh sb="6" eb="8">
      <t>キョウドウ</t>
    </rPh>
    <rPh sb="8" eb="10">
      <t>セイカツ</t>
    </rPh>
    <rPh sb="10" eb="12">
      <t>カイゴ</t>
    </rPh>
    <phoneticPr fontId="2"/>
  </si>
  <si>
    <t>介護老人福祉施設</t>
    <rPh sb="0" eb="2">
      <t>カイゴ</t>
    </rPh>
    <rPh sb="2" eb="4">
      <t>ロウジン</t>
    </rPh>
    <rPh sb="4" eb="6">
      <t>フクシ</t>
    </rPh>
    <rPh sb="6" eb="8">
      <t>シセツ</t>
    </rPh>
    <phoneticPr fontId="2"/>
  </si>
  <si>
    <t>－</t>
    <phoneticPr fontId="2"/>
  </si>
  <si>
    <t>閾値</t>
    <rPh sb="0" eb="2">
      <t>シキイチ</t>
    </rPh>
    <phoneticPr fontId="2"/>
  </si>
  <si>
    <t>チェック結果</t>
    <rPh sb="4" eb="6">
      <t>ケッカ</t>
    </rPh>
    <phoneticPr fontId="2"/>
  </si>
  <si>
    <t>変化率
(チェック対象)</t>
    <rPh sb="0" eb="2">
      <t>ヘンカ</t>
    </rPh>
    <rPh sb="2" eb="3">
      <t>リツ</t>
    </rPh>
    <rPh sb="9" eb="11">
      <t>タイショウ</t>
    </rPh>
    <phoneticPr fontId="2"/>
  </si>
  <si>
    <t>利用者数(総数)</t>
    <rPh sb="0" eb="3">
      <t>リヨウシャ</t>
    </rPh>
    <rPh sb="3" eb="4">
      <t>スウ</t>
    </rPh>
    <rPh sb="5" eb="7">
      <t>ソウスウ</t>
    </rPh>
    <phoneticPr fontId="2"/>
  </si>
  <si>
    <t>通所介護</t>
    <phoneticPr fontId="2"/>
  </si>
  <si>
    <t>通所リハビリテーション</t>
    <phoneticPr fontId="2"/>
  </si>
  <si>
    <t>短期入所生活介護</t>
    <phoneticPr fontId="2"/>
  </si>
  <si>
    <t>短期入所療養介護（老健）</t>
    <phoneticPr fontId="2"/>
  </si>
  <si>
    <t>短期入所療養介護（病院等）</t>
    <phoneticPr fontId="2"/>
  </si>
  <si>
    <t>地域密着型特定施設入居者生活介護</t>
    <phoneticPr fontId="2"/>
  </si>
  <si>
    <t>認知症対応型共同生活介護</t>
    <phoneticPr fontId="2"/>
  </si>
  <si>
    <t>居宅療養管理指導</t>
    <phoneticPr fontId="2"/>
  </si>
  <si>
    <t>特定施設入居者生活介護</t>
    <phoneticPr fontId="2"/>
  </si>
  <si>
    <t>住宅改修費</t>
    <phoneticPr fontId="2"/>
  </si>
  <si>
    <t>介護予防支援・居宅介護支援</t>
    <phoneticPr fontId="2"/>
  </si>
  <si>
    <t>特定福祉用具購入費</t>
    <phoneticPr fontId="2"/>
  </si>
  <si>
    <t>地域密着型介護老人福祉施設入所者生活介護</t>
    <phoneticPr fontId="2"/>
  </si>
  <si>
    <t>夜間対応型訪問介護</t>
    <phoneticPr fontId="2"/>
  </si>
  <si>
    <t>小規模多機能型居宅介護</t>
    <phoneticPr fontId="2"/>
  </si>
  <si>
    <t>定期巡回・随時対応型訪問介護看護</t>
    <phoneticPr fontId="2"/>
  </si>
  <si>
    <t>看護小規模多機能型居宅介護</t>
    <phoneticPr fontId="2"/>
  </si>
  <si>
    <t>認知症対応型通所介護</t>
    <phoneticPr fontId="2"/>
  </si>
  <si>
    <t>利用回(日)数</t>
    <rPh sb="0" eb="2">
      <t>リヨウ</t>
    </rPh>
    <rPh sb="2" eb="3">
      <t>カイ</t>
    </rPh>
    <rPh sb="4" eb="5">
      <t>ニチ</t>
    </rPh>
    <rPh sb="6" eb="7">
      <t>スウ</t>
    </rPh>
    <phoneticPr fontId="2"/>
  </si>
  <si>
    <t>要介護1</t>
    <rPh sb="0" eb="3">
      <t>ヨウカイゴ</t>
    </rPh>
    <phoneticPr fontId="2"/>
  </si>
  <si>
    <t>要介護2</t>
    <rPh sb="0" eb="3">
      <t>ヨウカイゴ</t>
    </rPh>
    <phoneticPr fontId="2"/>
  </si>
  <si>
    <t>要介護3</t>
    <rPh sb="0" eb="3">
      <t>ヨウカイゴ</t>
    </rPh>
    <phoneticPr fontId="2"/>
  </si>
  <si>
    <t>要介護4</t>
    <rPh sb="0" eb="3">
      <t>ヨウカイゴ</t>
    </rPh>
    <phoneticPr fontId="2"/>
  </si>
  <si>
    <t>要介護5</t>
    <rPh sb="0" eb="3">
      <t>ヨウカイゴ</t>
    </rPh>
    <phoneticPr fontId="2"/>
  </si>
  <si>
    <t>合計</t>
    <rPh sb="0" eb="2">
      <t>ゴウケイ</t>
    </rPh>
    <phoneticPr fontId="2"/>
  </si>
  <si>
    <t>要支援1</t>
    <rPh sb="0" eb="3">
      <t>ヨウシエン</t>
    </rPh>
    <phoneticPr fontId="2"/>
  </si>
  <si>
    <t>要支援2</t>
    <rPh sb="0" eb="3">
      <t>ヨウシエン</t>
    </rPh>
    <phoneticPr fontId="2"/>
  </si>
  <si>
    <t>給付費</t>
    <rPh sb="0" eb="2">
      <t>キュウフ</t>
    </rPh>
    <rPh sb="2" eb="3">
      <t>ヒ</t>
    </rPh>
    <phoneticPr fontId="2"/>
  </si>
  <si>
    <t>特定施設入居者生活介護</t>
    <rPh sb="0" eb="2">
      <t>トクテイ</t>
    </rPh>
    <rPh sb="2" eb="4">
      <t>シセツ</t>
    </rPh>
    <rPh sb="4" eb="7">
      <t>ニュウキョシャ</t>
    </rPh>
    <rPh sb="7" eb="9">
      <t>セイカツ</t>
    </rPh>
    <rPh sb="9" eb="11">
      <t>カイゴ</t>
    </rPh>
    <phoneticPr fontId="2"/>
  </si>
  <si>
    <t>利用者数</t>
    <rPh sb="0" eb="2">
      <t>リヨウ</t>
    </rPh>
    <rPh sb="2" eb="3">
      <t>シャ</t>
    </rPh>
    <rPh sb="3" eb="4">
      <t>スウ</t>
    </rPh>
    <phoneticPr fontId="2"/>
  </si>
  <si>
    <t>給付費÷利用者数÷12
(チェック対象)</t>
    <rPh sb="17" eb="19">
      <t>タイショウ</t>
    </rPh>
    <phoneticPr fontId="2"/>
  </si>
  <si>
    <t>認知症対応型通所介護</t>
    <rPh sb="0" eb="2">
      <t>ニンチ</t>
    </rPh>
    <rPh sb="2" eb="3">
      <t>ショウ</t>
    </rPh>
    <rPh sb="3" eb="6">
      <t>タイオウガタ</t>
    </rPh>
    <rPh sb="6" eb="8">
      <t>ツウショ</t>
    </rPh>
    <rPh sb="8" eb="10">
      <t>カイゴ</t>
    </rPh>
    <phoneticPr fontId="2"/>
  </si>
  <si>
    <t>チェック対象外</t>
    <rPh sb="4" eb="7">
      <t>タイショウガイ</t>
    </rPh>
    <phoneticPr fontId="2"/>
  </si>
  <si>
    <t>年度／要介護(支援)</t>
    <rPh sb="0" eb="2">
      <t>ネンド</t>
    </rPh>
    <rPh sb="3" eb="6">
      <t>ヨウカイゴ</t>
    </rPh>
    <rPh sb="7" eb="9">
      <t>シエン</t>
    </rPh>
    <phoneticPr fontId="2"/>
  </si>
  <si>
    <t>将来推計ワーニングチェック結果概要</t>
    <rPh sb="0" eb="2">
      <t>ショウライ</t>
    </rPh>
    <rPh sb="2" eb="4">
      <t>スイケイ</t>
    </rPh>
    <rPh sb="13" eb="15">
      <t>ケッカ</t>
    </rPh>
    <rPh sb="15" eb="17">
      <t>ガイヨウ</t>
    </rPh>
    <phoneticPr fontId="2"/>
  </si>
  <si>
    <t>将来推計ワーニングチェック結果詳細</t>
    <rPh sb="0" eb="2">
      <t>ショウライ</t>
    </rPh>
    <rPh sb="2" eb="4">
      <t>スイケイ</t>
    </rPh>
    <rPh sb="13" eb="15">
      <t>ケッカ</t>
    </rPh>
    <rPh sb="15" eb="17">
      <t>ショウサイ</t>
    </rPh>
    <phoneticPr fontId="2"/>
  </si>
  <si>
    <t>推計名：</t>
    <rPh sb="0" eb="2">
      <t>スイケイ</t>
    </rPh>
    <rPh sb="2" eb="3">
      <t>メイ</t>
    </rPh>
    <phoneticPr fontId="2"/>
  </si>
  <si>
    <t>１．施策反映　認定者数</t>
    <rPh sb="2" eb="4">
      <t>シサク</t>
    </rPh>
    <rPh sb="4" eb="6">
      <t>ハンエイ</t>
    </rPh>
    <rPh sb="7" eb="10">
      <t>ニンテイシャ</t>
    </rPh>
    <rPh sb="10" eb="11">
      <t>スウ</t>
    </rPh>
    <phoneticPr fontId="2"/>
  </si>
  <si>
    <t>男</t>
    <rPh sb="0" eb="1">
      <t>オトコ</t>
    </rPh>
    <phoneticPr fontId="2"/>
  </si>
  <si>
    <t>女</t>
    <rPh sb="0" eb="1">
      <t>オンナ</t>
    </rPh>
    <phoneticPr fontId="2"/>
  </si>
  <si>
    <t>ワーニングチェック結果</t>
    <rPh sb="9" eb="11">
      <t>ケッカ</t>
    </rPh>
    <phoneticPr fontId="2"/>
  </si>
  <si>
    <t>変化率(%)＝(当該年度認定者数－前年度認定者数)÷前年度認定者数×100</t>
    <rPh sb="0" eb="2">
      <t>ヘンカ</t>
    </rPh>
    <rPh sb="2" eb="3">
      <t>リツ</t>
    </rPh>
    <rPh sb="8" eb="10">
      <t>トウガイ</t>
    </rPh>
    <rPh sb="10" eb="12">
      <t>ネンド</t>
    </rPh>
    <rPh sb="12" eb="15">
      <t>ニンテイシャ</t>
    </rPh>
    <rPh sb="15" eb="16">
      <t>スウ</t>
    </rPh>
    <rPh sb="17" eb="20">
      <t>ゼンネンド</t>
    </rPh>
    <rPh sb="20" eb="23">
      <t>ニンテイシャ</t>
    </rPh>
    <rPh sb="23" eb="24">
      <t>スウ</t>
    </rPh>
    <rPh sb="26" eb="29">
      <t>ゼンネンド</t>
    </rPh>
    <rPh sb="29" eb="32">
      <t>ニンテイシャ</t>
    </rPh>
    <rPh sb="32" eb="33">
      <t>スウ</t>
    </rPh>
    <phoneticPr fontId="2"/>
  </si>
  <si>
    <t>認定者数</t>
    <rPh sb="0" eb="3">
      <t>ニンテイシャ</t>
    </rPh>
    <rPh sb="3" eb="4">
      <t>スウ</t>
    </rPh>
    <phoneticPr fontId="2"/>
  </si>
  <si>
    <t>２．施策反映　施設・居住系サービス利用者数</t>
    <rPh sb="2" eb="4">
      <t>シサク</t>
    </rPh>
    <rPh sb="4" eb="6">
      <t>ハンエイ</t>
    </rPh>
    <rPh sb="7" eb="9">
      <t>シセツ</t>
    </rPh>
    <rPh sb="10" eb="12">
      <t>キョジュウ</t>
    </rPh>
    <rPh sb="12" eb="13">
      <t>ケイ</t>
    </rPh>
    <rPh sb="17" eb="19">
      <t>リヨウ</t>
    </rPh>
    <rPh sb="19" eb="20">
      <t>シャ</t>
    </rPh>
    <rPh sb="20" eb="21">
      <t>スウ</t>
    </rPh>
    <phoneticPr fontId="2"/>
  </si>
  <si>
    <t>利用者数</t>
    <rPh sb="0" eb="3">
      <t>リヨウシャ</t>
    </rPh>
    <rPh sb="3" eb="4">
      <t>スウ</t>
    </rPh>
    <phoneticPr fontId="2"/>
  </si>
  <si>
    <t>変化率(%)＝(当該年度利用者数－前年度利用者数)÷前年度利用者数×100</t>
    <rPh sb="0" eb="2">
      <t>ヘンカ</t>
    </rPh>
    <rPh sb="2" eb="3">
      <t>リツ</t>
    </rPh>
    <rPh sb="8" eb="10">
      <t>トウガイ</t>
    </rPh>
    <rPh sb="10" eb="12">
      <t>ネンド</t>
    </rPh>
    <rPh sb="12" eb="14">
      <t>リヨウ</t>
    </rPh>
    <rPh sb="14" eb="15">
      <t>シャ</t>
    </rPh>
    <rPh sb="15" eb="16">
      <t>スウ</t>
    </rPh>
    <rPh sb="17" eb="20">
      <t>ゼンネンド</t>
    </rPh>
    <rPh sb="20" eb="22">
      <t>リヨウ</t>
    </rPh>
    <rPh sb="22" eb="23">
      <t>シャ</t>
    </rPh>
    <rPh sb="23" eb="24">
      <t>スウ</t>
    </rPh>
    <rPh sb="26" eb="29">
      <t>ゼンネンド</t>
    </rPh>
    <rPh sb="29" eb="32">
      <t>リヨウシャ</t>
    </rPh>
    <rPh sb="32" eb="33">
      <t>スウ</t>
    </rPh>
    <phoneticPr fontId="2"/>
  </si>
  <si>
    <t>居宅サービス</t>
    <rPh sb="0" eb="2">
      <t>キョタク</t>
    </rPh>
    <phoneticPr fontId="2"/>
  </si>
  <si>
    <t>地域密着型サービス</t>
    <rPh sb="0" eb="2">
      <t>チイキ</t>
    </rPh>
    <rPh sb="2" eb="5">
      <t>ミッチャクガタ</t>
    </rPh>
    <phoneticPr fontId="2"/>
  </si>
  <si>
    <t>施設サービス</t>
    <rPh sb="0" eb="2">
      <t>シセツ</t>
    </rPh>
    <phoneticPr fontId="2"/>
  </si>
  <si>
    <t>３．施策反映　在宅サービス利用者数</t>
    <rPh sb="2" eb="4">
      <t>シサク</t>
    </rPh>
    <rPh sb="4" eb="6">
      <t>ハンエイ</t>
    </rPh>
    <rPh sb="7" eb="9">
      <t>ザイタク</t>
    </rPh>
    <rPh sb="13" eb="15">
      <t>リヨウ</t>
    </rPh>
    <rPh sb="15" eb="16">
      <t>シャ</t>
    </rPh>
    <rPh sb="16" eb="17">
      <t>スウ</t>
    </rPh>
    <phoneticPr fontId="2"/>
  </si>
  <si>
    <t>本シートでは、以下に示す認定者数(第1号被保険者)の施策反映値について、前年度からの変化率のチェックを行っています(画面イメージはサンプルです)。</t>
    <rPh sb="0" eb="1">
      <t>ホン</t>
    </rPh>
    <rPh sb="7" eb="9">
      <t>イカ</t>
    </rPh>
    <rPh sb="10" eb="11">
      <t>シメ</t>
    </rPh>
    <rPh sb="12" eb="15">
      <t>ニンテイシャ</t>
    </rPh>
    <rPh sb="15" eb="16">
      <t>スウ</t>
    </rPh>
    <rPh sb="17" eb="18">
      <t>ダイ</t>
    </rPh>
    <rPh sb="19" eb="20">
      <t>ゴウ</t>
    </rPh>
    <rPh sb="20" eb="24">
      <t>ヒホケンシャ</t>
    </rPh>
    <rPh sb="26" eb="28">
      <t>シサク</t>
    </rPh>
    <rPh sb="28" eb="30">
      <t>ハンエイ</t>
    </rPh>
    <rPh sb="30" eb="31">
      <t>チ</t>
    </rPh>
    <rPh sb="36" eb="39">
      <t>ゼンネンド</t>
    </rPh>
    <rPh sb="42" eb="44">
      <t>ヘンカ</t>
    </rPh>
    <rPh sb="44" eb="45">
      <t>リツ</t>
    </rPh>
    <rPh sb="51" eb="52">
      <t>オコナ</t>
    </rPh>
    <phoneticPr fontId="2"/>
  </si>
  <si>
    <t>本シートでは、以下に示す施設・居住系サービス毎の利用者数の施策反映値について、前年度からの変化率のチェックを行っています(画面イメージはサンプルです)。</t>
    <rPh sb="0" eb="1">
      <t>ホン</t>
    </rPh>
    <rPh sb="7" eb="9">
      <t>イカ</t>
    </rPh>
    <rPh sb="10" eb="11">
      <t>シメ</t>
    </rPh>
    <rPh sb="12" eb="14">
      <t>シセツ</t>
    </rPh>
    <rPh sb="15" eb="17">
      <t>キョジュウ</t>
    </rPh>
    <rPh sb="17" eb="18">
      <t>ケイ</t>
    </rPh>
    <rPh sb="22" eb="23">
      <t>ゴト</t>
    </rPh>
    <rPh sb="24" eb="27">
      <t>リヨウシャ</t>
    </rPh>
    <rPh sb="27" eb="28">
      <t>スウ</t>
    </rPh>
    <rPh sb="29" eb="31">
      <t>シサク</t>
    </rPh>
    <rPh sb="31" eb="33">
      <t>ハンエイ</t>
    </rPh>
    <rPh sb="33" eb="34">
      <t>チ</t>
    </rPh>
    <rPh sb="39" eb="42">
      <t>ゼンネンド</t>
    </rPh>
    <rPh sb="45" eb="47">
      <t>ヘンカ</t>
    </rPh>
    <rPh sb="47" eb="48">
      <t>リツ</t>
    </rPh>
    <rPh sb="54" eb="55">
      <t>オコナ</t>
    </rPh>
    <phoneticPr fontId="2"/>
  </si>
  <si>
    <t>本シートでは、以下に示す在宅サービス毎の利用者数の施策反映値について、前年度からの変化率のチェックを行っています(画面イメージはサンプルです)。</t>
    <rPh sb="0" eb="1">
      <t>ホン</t>
    </rPh>
    <rPh sb="7" eb="9">
      <t>イカ</t>
    </rPh>
    <rPh sb="10" eb="11">
      <t>シメ</t>
    </rPh>
    <rPh sb="12" eb="14">
      <t>ザイタク</t>
    </rPh>
    <rPh sb="18" eb="19">
      <t>ゴト</t>
    </rPh>
    <rPh sb="20" eb="23">
      <t>リヨウシャ</t>
    </rPh>
    <rPh sb="23" eb="24">
      <t>スウ</t>
    </rPh>
    <rPh sb="25" eb="27">
      <t>シサク</t>
    </rPh>
    <rPh sb="27" eb="29">
      <t>ハンエイ</t>
    </rPh>
    <rPh sb="29" eb="30">
      <t>チ</t>
    </rPh>
    <rPh sb="35" eb="38">
      <t>ゼンネンド</t>
    </rPh>
    <rPh sb="41" eb="43">
      <t>ヘンカ</t>
    </rPh>
    <rPh sb="43" eb="44">
      <t>リツ</t>
    </rPh>
    <rPh sb="50" eb="51">
      <t>オコナ</t>
    </rPh>
    <phoneticPr fontId="2"/>
  </si>
  <si>
    <t>施策反映　認定者数</t>
    <rPh sb="0" eb="2">
      <t>シサク</t>
    </rPh>
    <rPh sb="2" eb="4">
      <t>ハンエイ</t>
    </rPh>
    <rPh sb="5" eb="8">
      <t>ニンテイシャ</t>
    </rPh>
    <rPh sb="8" eb="9">
      <t>スウ</t>
    </rPh>
    <phoneticPr fontId="2"/>
  </si>
  <si>
    <t>施策反映　施設・居住系サービス利用者数</t>
    <rPh sb="0" eb="2">
      <t>シサク</t>
    </rPh>
    <rPh sb="2" eb="4">
      <t>ハンエイ</t>
    </rPh>
    <rPh sb="5" eb="7">
      <t>シセツ</t>
    </rPh>
    <rPh sb="8" eb="10">
      <t>キョジュウ</t>
    </rPh>
    <rPh sb="10" eb="11">
      <t>ケイ</t>
    </rPh>
    <rPh sb="15" eb="17">
      <t>リヨウ</t>
    </rPh>
    <rPh sb="17" eb="18">
      <t>シャ</t>
    </rPh>
    <rPh sb="18" eb="19">
      <t>スウ</t>
    </rPh>
    <phoneticPr fontId="2"/>
  </si>
  <si>
    <t>施策反映　在宅サービス利用者数</t>
    <rPh sb="0" eb="2">
      <t>シサク</t>
    </rPh>
    <rPh sb="2" eb="4">
      <t>ハンエイ</t>
    </rPh>
    <rPh sb="5" eb="7">
      <t>ザイタク</t>
    </rPh>
    <rPh sb="11" eb="13">
      <t>リヨウ</t>
    </rPh>
    <rPh sb="13" eb="14">
      <t>シャ</t>
    </rPh>
    <rPh sb="14" eb="15">
      <t>スウ</t>
    </rPh>
    <phoneticPr fontId="2"/>
  </si>
  <si>
    <t>ワーニング発生件数</t>
    <rPh sb="5" eb="7">
      <t>ハッセイ</t>
    </rPh>
    <rPh sb="7" eb="9">
      <t>ケンスウ</t>
    </rPh>
    <phoneticPr fontId="2"/>
  </si>
  <si>
    <t>在宅サービス</t>
    <rPh sb="0" eb="2">
      <t>ザイタク</t>
    </rPh>
    <phoneticPr fontId="2"/>
  </si>
  <si>
    <t>居住系サービス</t>
    <rPh sb="0" eb="2">
      <t>キョジュウ</t>
    </rPh>
    <rPh sb="2" eb="3">
      <t>ケイ</t>
    </rPh>
    <phoneticPr fontId="2"/>
  </si>
  <si>
    <t>施設サービス</t>
    <rPh sb="0" eb="2">
      <t>シセツ</t>
    </rPh>
    <phoneticPr fontId="2"/>
  </si>
  <si>
    <t>（ご参考）以下については、参考資料として必要に応じて確認してください。</t>
    <rPh sb="2" eb="4">
      <t>サンコウ</t>
    </rPh>
    <rPh sb="20" eb="22">
      <t>ヒツヨウ</t>
    </rPh>
    <rPh sb="23" eb="24">
      <t>オウ</t>
    </rPh>
    <phoneticPr fontId="2"/>
  </si>
  <si>
    <t>施設サービス</t>
    <rPh sb="0" eb="2">
      <t>シセツ</t>
    </rPh>
    <phoneticPr fontId="8"/>
  </si>
  <si>
    <t>在宅サービス／居住系サービス／施設サービス</t>
    <rPh sb="0" eb="2">
      <t>ザイタク</t>
    </rPh>
    <rPh sb="7" eb="9">
      <t>キョジュウ</t>
    </rPh>
    <rPh sb="9" eb="10">
      <t>ケイ</t>
    </rPh>
    <rPh sb="15" eb="17">
      <t>シセツ</t>
    </rPh>
    <phoneticPr fontId="2"/>
  </si>
  <si>
    <t>項目名</t>
    <rPh sb="0" eb="2">
      <t>コウモク</t>
    </rPh>
    <rPh sb="2" eb="3">
      <t>メイ</t>
    </rPh>
    <phoneticPr fontId="2"/>
  </si>
  <si>
    <t>３）在宅サービス1人1月あたり利用回（日）数</t>
    <rPh sb="2" eb="4">
      <t>ザイタク</t>
    </rPh>
    <rPh sb="9" eb="10">
      <t>ジン</t>
    </rPh>
    <rPh sb="11" eb="12">
      <t>ゲツ</t>
    </rPh>
    <rPh sb="15" eb="17">
      <t>リヨウ</t>
    </rPh>
    <rPh sb="17" eb="18">
      <t>カイ</t>
    </rPh>
    <rPh sb="19" eb="20">
      <t>ニチ</t>
    </rPh>
    <rPh sb="21" eb="22">
      <t>スウ</t>
    </rPh>
    <phoneticPr fontId="2"/>
  </si>
  <si>
    <t>（参考）在宅サービス／居住系サービス／施設サービス別の1人1月あたり給付費</t>
    <rPh sb="1" eb="3">
      <t>サンコウ</t>
    </rPh>
    <rPh sb="4" eb="6">
      <t>ザイタク</t>
    </rPh>
    <rPh sb="11" eb="13">
      <t>キョジュウ</t>
    </rPh>
    <rPh sb="13" eb="14">
      <t>ケイ</t>
    </rPh>
    <rPh sb="19" eb="21">
      <t>シセツ</t>
    </rPh>
    <rPh sb="25" eb="26">
      <t>ベツ</t>
    </rPh>
    <rPh sb="28" eb="29">
      <t>ニン</t>
    </rPh>
    <rPh sb="30" eb="31">
      <t>ツキ</t>
    </rPh>
    <rPh sb="34" eb="36">
      <t>キュウフ</t>
    </rPh>
    <rPh sb="36" eb="37">
      <t>ヒ</t>
    </rPh>
    <phoneticPr fontId="2"/>
  </si>
  <si>
    <t>給付費÷利用者数(÷利用回(日)数)÷12
(チェック対象)</t>
    <rPh sb="10" eb="12">
      <t>リヨウ</t>
    </rPh>
    <rPh sb="12" eb="13">
      <t>カイ</t>
    </rPh>
    <rPh sb="14" eb="15">
      <t>ニチ</t>
    </rPh>
    <rPh sb="16" eb="17">
      <t>スウ</t>
    </rPh>
    <rPh sb="27" eb="29">
      <t>タイショウ</t>
    </rPh>
    <phoneticPr fontId="2"/>
  </si>
  <si>
    <t>１）在宅サービス／居住系サービス／施設サービス毎の要介護度別1人1月あたり給付費</t>
    <rPh sb="2" eb="4">
      <t>ザイタク</t>
    </rPh>
    <rPh sb="9" eb="11">
      <t>キョジュウ</t>
    </rPh>
    <rPh sb="11" eb="12">
      <t>ケイ</t>
    </rPh>
    <rPh sb="17" eb="19">
      <t>シセツ</t>
    </rPh>
    <rPh sb="23" eb="24">
      <t>ゴト</t>
    </rPh>
    <rPh sb="25" eb="28">
      <t>ヨウカイゴ</t>
    </rPh>
    <rPh sb="28" eb="29">
      <t>ド</t>
    </rPh>
    <rPh sb="29" eb="30">
      <t>ベツ</t>
    </rPh>
    <rPh sb="31" eb="32">
      <t>ニン</t>
    </rPh>
    <rPh sb="33" eb="34">
      <t>ツキ</t>
    </rPh>
    <rPh sb="37" eb="39">
      <t>キュウフ</t>
    </rPh>
    <rPh sb="39" eb="40">
      <t>ヒ</t>
    </rPh>
    <phoneticPr fontId="2"/>
  </si>
  <si>
    <t>２）サービス種類毎の要介護度別1人(1回(日))1月あたり給付費</t>
    <rPh sb="6" eb="8">
      <t>シュルイ</t>
    </rPh>
    <rPh sb="8" eb="9">
      <t>ゴト</t>
    </rPh>
    <rPh sb="10" eb="13">
      <t>ヨウカイゴ</t>
    </rPh>
    <rPh sb="13" eb="14">
      <t>ド</t>
    </rPh>
    <rPh sb="14" eb="15">
      <t>ベツ</t>
    </rPh>
    <rPh sb="16" eb="17">
      <t>ニン</t>
    </rPh>
    <rPh sb="19" eb="20">
      <t>カイ</t>
    </rPh>
    <rPh sb="21" eb="22">
      <t>ニチ</t>
    </rPh>
    <rPh sb="25" eb="26">
      <t>ツキ</t>
    </rPh>
    <rPh sb="29" eb="31">
      <t>キュウフ</t>
    </rPh>
    <rPh sb="31" eb="32">
      <t>ヒ</t>
    </rPh>
    <phoneticPr fontId="2"/>
  </si>
  <si>
    <t>－</t>
    <phoneticPr fontId="2"/>
  </si>
  <si>
    <t>合計(要介護)</t>
    <rPh sb="0" eb="2">
      <t>ゴウケイ</t>
    </rPh>
    <rPh sb="3" eb="4">
      <t>ヨウ</t>
    </rPh>
    <rPh sb="4" eb="6">
      <t>カイゴ</t>
    </rPh>
    <phoneticPr fontId="2"/>
  </si>
  <si>
    <t>短期入所療養介護（老健）</t>
    <rPh sb="0" eb="2">
      <t>タンキ</t>
    </rPh>
    <rPh sb="2" eb="4">
      <t>ニュウショ</t>
    </rPh>
    <rPh sb="4" eb="6">
      <t>リョウヨウ</t>
    </rPh>
    <rPh sb="6" eb="8">
      <t>カイゴ</t>
    </rPh>
    <rPh sb="9" eb="10">
      <t>ロウ</t>
    </rPh>
    <rPh sb="10" eb="11">
      <t>ケン</t>
    </rPh>
    <phoneticPr fontId="2"/>
  </si>
  <si>
    <t>短期入所療養介護（病院等）</t>
    <rPh sb="0" eb="2">
      <t>タンキ</t>
    </rPh>
    <rPh sb="2" eb="4">
      <t>ニュウショ</t>
    </rPh>
    <rPh sb="4" eb="6">
      <t>リョウヨウ</t>
    </rPh>
    <rPh sb="6" eb="8">
      <t>カイゴ</t>
    </rPh>
    <rPh sb="9" eb="12">
      <t>ビョウインナド</t>
    </rPh>
    <phoneticPr fontId="2"/>
  </si>
  <si>
    <t>介護予防支援・居宅介護支援</t>
    <rPh sb="0" eb="2">
      <t>カイゴ</t>
    </rPh>
    <rPh sb="2" eb="4">
      <t>ヨボウ</t>
    </rPh>
    <rPh sb="4" eb="6">
      <t>シエン</t>
    </rPh>
    <rPh sb="7" eb="9">
      <t>キョタク</t>
    </rPh>
    <rPh sb="9" eb="11">
      <t>カイゴ</t>
    </rPh>
    <rPh sb="11" eb="13">
      <t>シエン</t>
    </rPh>
    <phoneticPr fontId="2"/>
  </si>
  <si>
    <t>地域密着型特定施設入居者生活介護</t>
    <phoneticPr fontId="2"/>
  </si>
  <si>
    <t>地域密着型介護老人福祉施設入所者生活介護</t>
    <phoneticPr fontId="2"/>
  </si>
  <si>
    <t>看護小規模多機能型居宅介護</t>
    <rPh sb="0" eb="2">
      <t>カンゴ</t>
    </rPh>
    <rPh sb="2" eb="5">
      <t>ショウキボ</t>
    </rPh>
    <rPh sb="5" eb="9">
      <t>タキノウガタ</t>
    </rPh>
    <rPh sb="9" eb="11">
      <t>キョタク</t>
    </rPh>
    <rPh sb="11" eb="13">
      <t>カイゴ</t>
    </rPh>
    <phoneticPr fontId="2"/>
  </si>
  <si>
    <t>地域密着型通所介護</t>
    <rPh sb="0" eb="2">
      <t>チイキ</t>
    </rPh>
    <rPh sb="2" eb="5">
      <t>ミッチャクガタ</t>
    </rPh>
    <rPh sb="5" eb="7">
      <t>ツウショ</t>
    </rPh>
    <rPh sb="7" eb="9">
      <t>カイゴ</t>
    </rPh>
    <phoneticPr fontId="2"/>
  </si>
  <si>
    <t>介護老人保健施設</t>
    <phoneticPr fontId="2"/>
  </si>
  <si>
    <t>（参考）サービス種類毎の要介護度別1人(1回(日))1月あたり給付費【施設サービス】</t>
    <rPh sb="1" eb="3">
      <t>サンコウ</t>
    </rPh>
    <rPh sb="35" eb="37">
      <t>シセツ</t>
    </rPh>
    <phoneticPr fontId="2"/>
  </si>
  <si>
    <t>（参考）在宅サービス1人1月あたり利用回（日）数</t>
    <rPh sb="1" eb="3">
      <t>サンコウ</t>
    </rPh>
    <phoneticPr fontId="2"/>
  </si>
  <si>
    <t>利用回(日)数
(チェック対象)</t>
    <rPh sb="0" eb="2">
      <t>リヨウ</t>
    </rPh>
    <rPh sb="2" eb="3">
      <t>カイ</t>
    </rPh>
    <rPh sb="4" eb="5">
      <t>ニチ</t>
    </rPh>
    <rPh sb="6" eb="7">
      <t>スウ</t>
    </rPh>
    <rPh sb="13" eb="15">
      <t>タイショウ</t>
    </rPh>
    <phoneticPr fontId="2"/>
  </si>
  <si>
    <t>出力日：</t>
    <rPh sb="0" eb="2">
      <t>シュツリョク</t>
    </rPh>
    <rPh sb="2" eb="3">
      <t>ビ</t>
    </rPh>
    <phoneticPr fontId="2"/>
  </si>
  <si>
    <t>訪問介護</t>
    <phoneticPr fontId="2"/>
  </si>
  <si>
    <t>（参考）サービス種類毎の要介護度別1人(1回(日))1月あたり給付費【在宅サービス】</t>
    <rPh sb="1" eb="3">
      <t>サンコウ</t>
    </rPh>
    <rPh sb="35" eb="37">
      <t>ザイタク</t>
    </rPh>
    <phoneticPr fontId="2"/>
  </si>
  <si>
    <t>在宅サービス</t>
    <rPh sb="0" eb="2">
      <t>ザイタク</t>
    </rPh>
    <phoneticPr fontId="8"/>
  </si>
  <si>
    <t>居住系サービス</t>
    <rPh sb="0" eb="2">
      <t>キョジュウ</t>
    </rPh>
    <rPh sb="2" eb="3">
      <t>ケイ</t>
    </rPh>
    <phoneticPr fontId="8"/>
  </si>
  <si>
    <t>（参考）サービス種類毎の要介護度別1人(1回(日))1月あたり給付費【居住系サービス】</t>
    <rPh sb="1" eb="3">
      <t>サンコウ</t>
    </rPh>
    <rPh sb="35" eb="37">
      <t>キョジュウ</t>
    </rPh>
    <rPh sb="37" eb="38">
      <t>ケイ</t>
    </rPh>
    <phoneticPr fontId="2"/>
  </si>
  <si>
    <t>施策反映を画面上で既に実施した項目名（画面名）</t>
    <rPh sb="0" eb="2">
      <t>シサク</t>
    </rPh>
    <rPh sb="2" eb="4">
      <t>ハンエイ</t>
    </rPh>
    <rPh sb="5" eb="8">
      <t>ガメンジョウ</t>
    </rPh>
    <rPh sb="9" eb="10">
      <t>スデ</t>
    </rPh>
    <rPh sb="11" eb="13">
      <t>ジッシ</t>
    </rPh>
    <rPh sb="15" eb="17">
      <t>コウモク</t>
    </rPh>
    <rPh sb="17" eb="18">
      <t>メイ</t>
    </rPh>
    <rPh sb="19" eb="21">
      <t>ガメン</t>
    </rPh>
    <rPh sb="21" eb="22">
      <t>メイ</t>
    </rPh>
    <phoneticPr fontId="2"/>
  </si>
  <si>
    <t>介護老人福祉施設</t>
    <phoneticPr fontId="2"/>
  </si>
  <si>
    <t>短期入所療養介護（介護医療院）</t>
    <rPh sb="9" eb="11">
      <t>カイゴ</t>
    </rPh>
    <rPh sb="11" eb="13">
      <t>イリョウ</t>
    </rPh>
    <rPh sb="13" eb="14">
      <t>イン</t>
    </rPh>
    <phoneticPr fontId="2"/>
  </si>
  <si>
    <t>短期入所療養介護（介護医療院）</t>
    <rPh sb="0" eb="2">
      <t>タンキ</t>
    </rPh>
    <rPh sb="2" eb="4">
      <t>ニュウショ</t>
    </rPh>
    <rPh sb="4" eb="6">
      <t>リョウヨウ</t>
    </rPh>
    <rPh sb="6" eb="8">
      <t>カイゴ</t>
    </rPh>
    <rPh sb="9" eb="11">
      <t>カイゴ</t>
    </rPh>
    <rPh sb="11" eb="13">
      <t>イリョウ</t>
    </rPh>
    <rPh sb="13" eb="14">
      <t>イン</t>
    </rPh>
    <phoneticPr fontId="2"/>
  </si>
  <si>
    <t>介護医療院</t>
    <rPh sb="0" eb="2">
      <t>カイゴ</t>
    </rPh>
    <rPh sb="2" eb="4">
      <t>イリョウ</t>
    </rPh>
    <rPh sb="4" eb="5">
      <t>イン</t>
    </rPh>
    <phoneticPr fontId="2"/>
  </si>
  <si>
    <t>介護医療院</t>
    <phoneticPr fontId="2"/>
  </si>
  <si>
    <t>－</t>
  </si>
  <si>
    <t>チェック対象外</t>
  </si>
  <si>
    <t>チェック対象外</t>
    <rPh sb="4" eb="7">
      <t>タイショウガイ</t>
    </rPh>
    <phoneticPr fontId="2"/>
  </si>
  <si>
    <t>登録施設介護支援</t>
    <phoneticPr fontId="2"/>
  </si>
  <si>
    <t>登録施設介護支援</t>
    <rPh sb="0" eb="2">
      <t>トウロク</t>
    </rPh>
    <rPh sb="2" eb="4">
      <t>シセツ</t>
    </rPh>
    <rPh sb="4" eb="6">
      <t>カイゴ</t>
    </rPh>
    <rPh sb="6" eb="8">
      <t>シエン</t>
    </rPh>
    <phoneticPr fontId="2"/>
  </si>
  <si>
    <t>下限</t>
    <rPh sb="0" eb="2">
      <t>カゲン</t>
    </rPh>
    <phoneticPr fontId="2"/>
  </si>
  <si>
    <t>上限</t>
    <rPh sb="0" eb="2">
      <t>ジョウゲン</t>
    </rPh>
    <phoneticPr fontId="2"/>
  </si>
  <si>
    <t>シート名</t>
    <rPh sb="3" eb="4">
      <t>メイ</t>
    </rPh>
    <phoneticPr fontId="2"/>
  </si>
  <si>
    <t>MIN</t>
    <phoneticPr fontId="2"/>
  </si>
  <si>
    <t>Q1</t>
    <phoneticPr fontId="2"/>
  </si>
  <si>
    <t>Q2</t>
    <phoneticPr fontId="2"/>
  </si>
  <si>
    <t>Q3</t>
    <phoneticPr fontId="2"/>
  </si>
  <si>
    <t>MAX</t>
    <phoneticPr fontId="2"/>
  </si>
  <si>
    <t>Q（=Q3-Q1）</t>
    <phoneticPr fontId="13"/>
  </si>
  <si>
    <t>Q1-Q*2</t>
  </si>
  <si>
    <t>Q3+Q*2</t>
  </si>
  <si>
    <t>施策反映 認定者数</t>
    <phoneticPr fontId="2"/>
  </si>
  <si>
    <t>認定者数 男</t>
    <rPh sb="0" eb="4">
      <t>ニンテイシャスウ</t>
    </rPh>
    <rPh sb="5" eb="6">
      <t>オトコ</t>
    </rPh>
    <phoneticPr fontId="2"/>
  </si>
  <si>
    <t>認定者数 女</t>
    <rPh sb="0" eb="4">
      <t>ニンテイシャスウ</t>
    </rPh>
    <phoneticPr fontId="2"/>
  </si>
  <si>
    <t>施策反映 認定者数</t>
  </si>
  <si>
    <t>施策反映 施設・居住系サービス利用者数</t>
  </si>
  <si>
    <t>施策反映 施設・居住系サービス利用者数</t>
    <phoneticPr fontId="2"/>
  </si>
  <si>
    <t>居宅サービス 特定施設入居者生活介護</t>
    <phoneticPr fontId="2"/>
  </si>
  <si>
    <t>地域密着型サービス 認知症対応型共同生活介護</t>
    <phoneticPr fontId="2"/>
  </si>
  <si>
    <t>地域密着型サービス 地域密着型特定施設入居者生活介護</t>
    <phoneticPr fontId="2"/>
  </si>
  <si>
    <t>地域密着型サービス 地域密着型介護老人福祉施設入所者生活介護</t>
    <phoneticPr fontId="2"/>
  </si>
  <si>
    <t>施設サービス 介護老人福祉施設</t>
    <phoneticPr fontId="2"/>
  </si>
  <si>
    <t>施設サービス 介護老人保健施設</t>
    <phoneticPr fontId="2"/>
  </si>
  <si>
    <t>施設サービス 介護医療院</t>
    <phoneticPr fontId="2"/>
  </si>
  <si>
    <t>施策反映 在宅サービス利用者数</t>
  </si>
  <si>
    <t>施策反映 在宅サービス利用者数</t>
    <phoneticPr fontId="2"/>
  </si>
  <si>
    <t>居宅サービス 訪問介護</t>
  </si>
  <si>
    <t>居宅サービス 訪問入浴介護</t>
  </si>
  <si>
    <t>居宅サービス 訪問看護</t>
  </si>
  <si>
    <t>居宅サービス 訪問リハビリテーション</t>
  </si>
  <si>
    <t>居宅サービス 居宅療養管理指導</t>
  </si>
  <si>
    <t>居宅サービス 通所介護</t>
  </si>
  <si>
    <t>居宅サービス 通所リハビリテーション</t>
  </si>
  <si>
    <t>居宅サービス 短期入所生活介護</t>
  </si>
  <si>
    <t>居宅サービス 短期入所療養介護（老健）</t>
  </si>
  <si>
    <t>居宅サービス 短期入所療養介護（病院等）</t>
  </si>
  <si>
    <t>居宅サービス 短期入所療養介護（介護医療院）</t>
  </si>
  <si>
    <t>居宅サービス 福祉用具貸与</t>
  </si>
  <si>
    <t>居宅サービス 特定福祉用具購入費</t>
  </si>
  <si>
    <t>居宅サービス 住宅改修費</t>
  </si>
  <si>
    <t>居宅サービス 介護予防支援・居宅介護支援</t>
  </si>
  <si>
    <t>居宅サービス 登録施設介護支援</t>
  </si>
  <si>
    <t>地域密着型サービス 定期巡回・随時対応型訪問介護看護</t>
  </si>
  <si>
    <t>地域密着型サービス 夜間対応型訪問介護</t>
  </si>
  <si>
    <t>地域密着型サービス 地域密着型通所介護</t>
  </si>
  <si>
    <t>地域密着型サービス 認知症対応型通所介護</t>
  </si>
  <si>
    <t>地域密着型サービス 小規模多機能型居宅介護</t>
  </si>
  <si>
    <t>地域密着型サービス 看護小規模多機能型居宅介護</t>
  </si>
  <si>
    <t>(参考)在宅・居住系・施設1人1月あたり給付費</t>
  </si>
  <si>
    <t>(参考)在宅・居住系・施設1人1月あたり給付費</t>
    <phoneticPr fontId="2"/>
  </si>
  <si>
    <t>(参考)1人(1回(日))1月あたり給付費(在宅)</t>
  </si>
  <si>
    <t>(参考)1人(1回(日))1月あたり給付費(在宅)</t>
    <phoneticPr fontId="2"/>
  </si>
  <si>
    <t>(参考)1人(1回(日))1月あたり給付費(居住系)</t>
  </si>
  <si>
    <t>(参考)1人(1回(日))1月あたり給付費(居住系)</t>
    <phoneticPr fontId="2"/>
  </si>
  <si>
    <t>チェック対象外</t>
    <phoneticPr fontId="2"/>
  </si>
  <si>
    <t>(参考)1人(1回(日))1月あたり給付費(施設)</t>
  </si>
  <si>
    <t>(参考)1人(1回(日))1月あたり給付費(施設)</t>
    <phoneticPr fontId="2"/>
  </si>
  <si>
    <t>在宅サービス1人1月あたり利用回（日）数</t>
  </si>
  <si>
    <t>在宅サービス 要支援1</t>
  </si>
  <si>
    <t>在宅サービス 要支援2</t>
  </si>
  <si>
    <t>在宅サービス 要介護1</t>
  </si>
  <si>
    <t>在宅サービス 要介護2</t>
  </si>
  <si>
    <t>在宅サービス 要介護3</t>
  </si>
  <si>
    <t>在宅サービス 要介護4</t>
  </si>
  <si>
    <t>在宅サービス 要介護5</t>
  </si>
  <si>
    <t>在宅サービス 合計</t>
  </si>
  <si>
    <t>居住系サービス 要支援1</t>
  </si>
  <si>
    <t>居住系サービス 要支援2</t>
  </si>
  <si>
    <t>居住系サービス 要介護1</t>
  </si>
  <si>
    <t>居住系サービス 要介護2</t>
  </si>
  <si>
    <t>居住系サービス 要介護3</t>
  </si>
  <si>
    <t>居住系サービス 要介護4</t>
  </si>
  <si>
    <t>居住系サービス 要介護5</t>
  </si>
  <si>
    <t>居住系サービス 合計</t>
  </si>
  <si>
    <t>施設サービス 要介護1</t>
  </si>
  <si>
    <t>施設サービス 要介護2</t>
  </si>
  <si>
    <t>施設サービス 要介護3</t>
  </si>
  <si>
    <t>施設サービス 要介護4</t>
  </si>
  <si>
    <t>施設サービス 要介護5</t>
  </si>
  <si>
    <t>施設サービス 合計</t>
  </si>
  <si>
    <t>訪問介護 要介護1</t>
  </si>
  <si>
    <t>訪問介護 要介護2</t>
  </si>
  <si>
    <t>訪問介護 要介護3</t>
  </si>
  <si>
    <t>訪問介護 要介護4</t>
  </si>
  <si>
    <t>訪問介護 要介護5</t>
  </si>
  <si>
    <t>訪問介護 合計</t>
  </si>
  <si>
    <t>訪問入浴介護 要支援1</t>
  </si>
  <si>
    <t>訪問入浴介護 要支援2</t>
  </si>
  <si>
    <t>訪問入浴介護 要介護1</t>
  </si>
  <si>
    <t>訪問入浴介護 要介護2</t>
  </si>
  <si>
    <t>訪問入浴介護 要介護3</t>
  </si>
  <si>
    <t>訪問入浴介護 要介護4</t>
  </si>
  <si>
    <t>訪問入浴介護 要介護5</t>
  </si>
  <si>
    <t>訪問入浴介護 合計</t>
  </si>
  <si>
    <t>訪問看護 要支援1</t>
  </si>
  <si>
    <t>訪問看護 要支援2</t>
  </si>
  <si>
    <t>訪問看護 要介護1</t>
  </si>
  <si>
    <t>訪問看護 要介護2</t>
  </si>
  <si>
    <t>訪問看護 要介護3</t>
  </si>
  <si>
    <t>訪問看護 要介護4</t>
  </si>
  <si>
    <t>訪問看護 要介護5</t>
  </si>
  <si>
    <t>訪問看護 合計</t>
  </si>
  <si>
    <t>訪問リハビリテーション 要支援1</t>
  </si>
  <si>
    <t>訪問リハビリテーション 要支援2</t>
  </si>
  <si>
    <t>訪問リハビリテーション 要介護1</t>
  </si>
  <si>
    <t>訪問リハビリテーション 要介護2</t>
  </si>
  <si>
    <t>訪問リハビリテーション 要介護3</t>
  </si>
  <si>
    <t>訪問リハビリテーション 要介護4</t>
  </si>
  <si>
    <t>訪問リハビリテーション 要介護5</t>
  </si>
  <si>
    <t>訪問リハビリテーション 合計</t>
  </si>
  <si>
    <t>居宅療養管理指導 要支援1</t>
  </si>
  <si>
    <t>居宅療養管理指導 要支援2</t>
  </si>
  <si>
    <t>居宅療養管理指導 要介護1</t>
  </si>
  <si>
    <t>居宅療養管理指導 要介護2</t>
  </si>
  <si>
    <t>居宅療養管理指導 要介護3</t>
  </si>
  <si>
    <t>居宅療養管理指導 要介護4</t>
  </si>
  <si>
    <t>居宅療養管理指導 要介護5</t>
  </si>
  <si>
    <t>居宅療養管理指導 合計</t>
  </si>
  <si>
    <t>通所介護 要介護1</t>
  </si>
  <si>
    <t>通所介護 要介護2</t>
  </si>
  <si>
    <t>通所介護 要介護3</t>
  </si>
  <si>
    <t>通所介護 要介護4</t>
  </si>
  <si>
    <t>通所介護 要介護5</t>
  </si>
  <si>
    <t>通所介護 合計</t>
  </si>
  <si>
    <t>通所リハビリテーション 要支援1</t>
  </si>
  <si>
    <t>通所リハビリテーション 要支援2</t>
  </si>
  <si>
    <t>通所リハビリテーション 要介護1</t>
  </si>
  <si>
    <t>通所リハビリテーション 要介護2</t>
  </si>
  <si>
    <t>通所リハビリテーション 要介護3</t>
  </si>
  <si>
    <t>通所リハビリテーション 要介護4</t>
  </si>
  <si>
    <t>通所リハビリテーション 要介護5</t>
  </si>
  <si>
    <t>通所リハビリテーション 合計(要介護)</t>
  </si>
  <si>
    <t>短期入所生活介護 要支援1</t>
  </si>
  <si>
    <t>短期入所生活介護 要支援2</t>
  </si>
  <si>
    <t>短期入所生活介護 要介護1</t>
  </si>
  <si>
    <t>短期入所生活介護 要介護2</t>
  </si>
  <si>
    <t>短期入所生活介護 要介護3</t>
  </si>
  <si>
    <t>短期入所生活介護 要介護4</t>
  </si>
  <si>
    <t>短期入所生活介護 要介護5</t>
  </si>
  <si>
    <t>短期入所生活介護 合計</t>
  </si>
  <si>
    <t>短期入所療養介護（老健） 要支援1</t>
  </si>
  <si>
    <t>短期入所療養介護（老健） 要支援2</t>
  </si>
  <si>
    <t>短期入所療養介護（老健） 要介護1</t>
  </si>
  <si>
    <t>短期入所療養介護（老健） 要介護2</t>
  </si>
  <si>
    <t>短期入所療養介護（老健） 要介護3</t>
  </si>
  <si>
    <t>短期入所療養介護（老健） 要介護4</t>
  </si>
  <si>
    <t>短期入所療養介護（老健） 要介護5</t>
  </si>
  <si>
    <t>短期入所療養介護（老健） 合計</t>
  </si>
  <si>
    <t>短期入所療養介護（病院等） 要支援1</t>
  </si>
  <si>
    <t>短期入所療養介護（病院等） 要支援2</t>
  </si>
  <si>
    <t>短期入所療養介護（病院等） 要介護1</t>
  </si>
  <si>
    <t>短期入所療養介護（病院等） 要介護2</t>
  </si>
  <si>
    <t>短期入所療養介護（病院等） 要介護3</t>
  </si>
  <si>
    <t>短期入所療養介護（病院等） 要介護4</t>
  </si>
  <si>
    <t>短期入所療養介護（病院等） 要介護5</t>
  </si>
  <si>
    <t>短期入所療養介護（病院等） 合計</t>
  </si>
  <si>
    <t>短期入所療養介護（介護医療院） 要支援1</t>
  </si>
  <si>
    <t>短期入所療養介護（介護医療院） 要支援2</t>
  </si>
  <si>
    <t>短期入所療養介護（介護医療院） 要介護1</t>
  </si>
  <si>
    <t>短期入所療養介護（介護医療院） 要介護2</t>
  </si>
  <si>
    <t>短期入所療養介護（介護医療院） 要介護3</t>
  </si>
  <si>
    <t>短期入所療養介護（介護医療院） 要介護4</t>
  </si>
  <si>
    <t>短期入所療養介護（介護医療院） 要介護5</t>
  </si>
  <si>
    <t>短期入所療養介護（介護医療院） 合計</t>
  </si>
  <si>
    <t>福祉用具貸与 要支援1</t>
  </si>
  <si>
    <t>福祉用具貸与 要支援2</t>
  </si>
  <si>
    <t>福祉用具貸与 要介護1</t>
  </si>
  <si>
    <t>福祉用具貸与 要介護2</t>
  </si>
  <si>
    <t>福祉用具貸与 要介護3</t>
  </si>
  <si>
    <t>福祉用具貸与 要介護4</t>
  </si>
  <si>
    <t>福祉用具貸与 要介護5</t>
  </si>
  <si>
    <t>福祉用具貸与 合計</t>
  </si>
  <si>
    <t>特定福祉用具購入費 要支援1</t>
  </si>
  <si>
    <t>特定福祉用具購入費 要支援2</t>
  </si>
  <si>
    <t>特定福祉用具購入費 要介護1</t>
  </si>
  <si>
    <t>特定福祉用具購入費 要介護2</t>
  </si>
  <si>
    <t>特定福祉用具購入費 要介護3</t>
  </si>
  <si>
    <t>特定福祉用具購入費 要介護4</t>
  </si>
  <si>
    <t>特定福祉用具購入費 要介護5</t>
  </si>
  <si>
    <t>特定福祉用具購入費 合計</t>
  </si>
  <si>
    <t>住宅改修費 要支援1</t>
  </si>
  <si>
    <t>住宅改修費 要支援2</t>
  </si>
  <si>
    <t>住宅改修費 要介護1</t>
  </si>
  <si>
    <t>住宅改修費 要介護2</t>
  </si>
  <si>
    <t>住宅改修費 要介護3</t>
  </si>
  <si>
    <t>住宅改修費 要介護4</t>
  </si>
  <si>
    <t>住宅改修費 要介護5</t>
  </si>
  <si>
    <t>住宅改修費 合計</t>
  </si>
  <si>
    <t>介護予防支援・居宅介護支援 要支援1</t>
  </si>
  <si>
    <t>介護予防支援・居宅介護支援 要支援2</t>
  </si>
  <si>
    <t>介護予防支援・居宅介護支援 要介護1</t>
  </si>
  <si>
    <t>介護予防支援・居宅介護支援 要介護2</t>
  </si>
  <si>
    <t>介護予防支援・居宅介護支援 要介護3</t>
  </si>
  <si>
    <t>介護予防支援・居宅介護支援 要介護4</t>
  </si>
  <si>
    <t>介護予防支援・居宅介護支援 要介護5</t>
  </si>
  <si>
    <t>介護予防支援・居宅介護支援 合計</t>
  </si>
  <si>
    <t>登録施設介護支援 要支援1</t>
  </si>
  <si>
    <t>登録施設介護支援 要支援2</t>
  </si>
  <si>
    <t>登録施設介護支援 要介護1</t>
  </si>
  <si>
    <t>登録施設介護支援 要介護2</t>
  </si>
  <si>
    <t>登録施設介護支援 要介護3</t>
  </si>
  <si>
    <t>登録施設介護支援 要介護4</t>
  </si>
  <si>
    <t>登録施設介護支援 要介護5</t>
  </si>
  <si>
    <t>登録施設介護支援 合計</t>
  </si>
  <si>
    <t>定期巡回・随時対応型訪問介護看護 要介護1</t>
  </si>
  <si>
    <t>定期巡回・随時対応型訪問介護看護 要介護2</t>
  </si>
  <si>
    <t>定期巡回・随時対応型訪問介護看護 要介護3</t>
  </si>
  <si>
    <t>定期巡回・随時対応型訪問介護看護 要介護4</t>
  </si>
  <si>
    <t>定期巡回・随時対応型訪問介護看護 要介護5</t>
  </si>
  <si>
    <t>定期巡回・随時対応型訪問介護看護 合計</t>
  </si>
  <si>
    <t>夜間対応型訪問介護 要介護1</t>
  </si>
  <si>
    <t>夜間対応型訪問介護 要介護2</t>
  </si>
  <si>
    <t>夜間対応型訪問介護 要介護3</t>
  </si>
  <si>
    <t>夜間対応型訪問介護 要介護4</t>
  </si>
  <si>
    <t>夜間対応型訪問介護 要介護5</t>
  </si>
  <si>
    <t>夜間対応型訪問介護 合計</t>
  </si>
  <si>
    <t>地域密着型通所介護 要介護1</t>
  </si>
  <si>
    <t>地域密着型通所介護 要介護2</t>
  </si>
  <si>
    <t>地域密着型通所介護 要介護3</t>
  </si>
  <si>
    <t>地域密着型通所介護 要介護4</t>
  </si>
  <si>
    <t>地域密着型通所介護 要介護5</t>
  </si>
  <si>
    <t>地域密着型通所介護 合計</t>
  </si>
  <si>
    <t>認知症対応型通所介護 要支援1</t>
  </si>
  <si>
    <t>認知症対応型通所介護 要支援2</t>
  </si>
  <si>
    <t>認知症対応型通所介護 要介護1</t>
  </si>
  <si>
    <t>認知症対応型通所介護 要介護2</t>
  </si>
  <si>
    <t>認知症対応型通所介護 要介護3</t>
  </si>
  <si>
    <t>認知症対応型通所介護 要介護4</t>
  </si>
  <si>
    <t>認知症対応型通所介護 要介護5</t>
  </si>
  <si>
    <t>認知症対応型通所介護 合計</t>
  </si>
  <si>
    <t>小規模多機能型居宅介護 要支援1</t>
  </si>
  <si>
    <t>小規模多機能型居宅介護 要支援2</t>
  </si>
  <si>
    <t>小規模多機能型居宅介護 要介護1</t>
  </si>
  <si>
    <t>小規模多機能型居宅介護 要介護2</t>
  </si>
  <si>
    <t>小規模多機能型居宅介護 要介護3</t>
  </si>
  <si>
    <t>小規模多機能型居宅介護 要介護4</t>
  </si>
  <si>
    <t>小規模多機能型居宅介護 要介護5</t>
  </si>
  <si>
    <t>小規模多機能型居宅介護 合計</t>
  </si>
  <si>
    <t>看護小規模多機能型居宅介護 要介護1</t>
  </si>
  <si>
    <t>看護小規模多機能型居宅介護 要介護2</t>
  </si>
  <si>
    <t>看護小規模多機能型居宅介護 要介護3</t>
  </si>
  <si>
    <t>看護小規模多機能型居宅介護 要介護4</t>
  </si>
  <si>
    <t>看護小規模多機能型居宅介護 要介護5</t>
  </si>
  <si>
    <t>看護小規模多機能型居宅介護 合計</t>
  </si>
  <si>
    <t>特定施設入居者生活介護 要支援1</t>
  </si>
  <si>
    <t>特定施設入居者生活介護 要支援2</t>
  </si>
  <si>
    <t>特定施設入居者生活介護 要介護1</t>
  </si>
  <si>
    <t>特定施設入居者生活介護 要介護2</t>
  </si>
  <si>
    <t>特定施設入居者生活介護 要介護3</t>
  </si>
  <si>
    <t>特定施設入居者生活介護 要介護4</t>
  </si>
  <si>
    <t>特定施設入居者生活介護 要介護5</t>
  </si>
  <si>
    <t>特定施設入居者生活介護 合計</t>
  </si>
  <si>
    <t>認知症対応型共同生活介護 要支援1</t>
  </si>
  <si>
    <t>認知症対応型共同生活介護 要支援2</t>
  </si>
  <si>
    <t>認知症対応型共同生活介護 要介護1</t>
  </si>
  <si>
    <t>認知症対応型共同生活介護 要介護2</t>
  </si>
  <si>
    <t>認知症対応型共同生活介護 要介護3</t>
  </si>
  <si>
    <t>認知症対応型共同生活介護 要介護4</t>
  </si>
  <si>
    <t>認知症対応型共同生活介護 要介護5</t>
  </si>
  <si>
    <t>認知症対応型共同生活介護 合計</t>
  </si>
  <si>
    <t>地域密着型特定施設入居者生活介護 要介護1</t>
  </si>
  <si>
    <t>地域密着型特定施設入居者生活介護 要介護2</t>
  </si>
  <si>
    <t>地域密着型特定施設入居者生活介護 要介護3</t>
  </si>
  <si>
    <t>地域密着型特定施設入居者生活介護 要介護4</t>
  </si>
  <si>
    <t>地域密着型特定施設入居者生活介護 要介護5</t>
  </si>
  <si>
    <t>地域密着型特定施設入居者生活介護 合計</t>
  </si>
  <si>
    <t>地域密着型介護老人福祉施設入所者生活介護 要介護1</t>
  </si>
  <si>
    <t>地域密着型介護老人福祉施設入所者生活介護 要介護2</t>
  </si>
  <si>
    <t>地域密着型介護老人福祉施設入所者生活介護 要介護3</t>
  </si>
  <si>
    <t>地域密着型介護老人福祉施設入所者生活介護 要介護4</t>
  </si>
  <si>
    <t>地域密着型介護老人福祉施設入所者生活介護 要介護5</t>
  </si>
  <si>
    <t>地域密着型介護老人福祉施設入所者生活介護 合計</t>
  </si>
  <si>
    <t>介護老人福祉施設 要介護1</t>
  </si>
  <si>
    <t>介護老人福祉施設 要介護2</t>
  </si>
  <si>
    <t>介護老人福祉施設 要介護3</t>
  </si>
  <si>
    <t>介護老人福祉施設 要介護4</t>
  </si>
  <si>
    <t>介護老人福祉施設 要介護5</t>
  </si>
  <si>
    <t>介護老人福祉施設 合計</t>
  </si>
  <si>
    <t>介護老人保健施設 要介護1</t>
  </si>
  <si>
    <t>介護老人保健施設 要介護2</t>
  </si>
  <si>
    <t>介護老人保健施設 要介護3</t>
  </si>
  <si>
    <t>介護老人保健施設 要介護4</t>
  </si>
  <si>
    <t>介護老人保健施設 要介護5</t>
  </si>
  <si>
    <t>介護老人保健施設 合計</t>
  </si>
  <si>
    <t>介護医療院 要介護1</t>
  </si>
  <si>
    <t>介護医療院 要介護2</t>
  </si>
  <si>
    <t>介護医療院 要介護3</t>
  </si>
  <si>
    <t>介護医療院 要介護4</t>
  </si>
  <si>
    <t>介護医療院 要介護5</t>
  </si>
  <si>
    <t>介護医療院 合計</t>
  </si>
  <si>
    <t>令和11年度</t>
  </si>
  <si>
    <t>令和10年度</t>
  </si>
  <si>
    <t>令和9年度</t>
  </si>
  <si>
    <t>令和8年度</t>
  </si>
  <si>
    <t>2026/09/28</t>
  </si>
  <si>
    <t>将来推計0925-2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</si>
</sst>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quot;¥&quot;#,##0_);\(&quot;¥&quot;#,##0\)"/>
    <numFmt numFmtId="177" formatCode="0.0_ "/>
    <numFmt numFmtId="178" formatCode="0.0%"/>
    <numFmt numFmtId="179" formatCode="#,##0&quot;人&quot;;[Red]\(#,##0\)&quot;人&quot;"/>
    <numFmt numFmtId="180" formatCode="#,##0.0&quot;回&quot;;[Red]\(#,##0.0\)&quot;回&quot;"/>
    <numFmt numFmtId="181" formatCode="#,##0&quot;件&quot;;[Red]\(#,##0\)&quot;件&quot;"/>
    <numFmt numFmtId="182" formatCode="#,##0.0&quot;日&quot;;[Red]\(#,##0.0\)&quot;日&quot;"/>
  </numFmts>
  <fonts count="15">
    <font>
      <sz val="11"/>
      <color theme="1"/>
      <name val="ＭＳ Ｐゴシック"/>
      <family val="2"/>
      <charset val="128"/>
      <scheme val="minor"/>
    </font>
    <font>
      <sz val="9"/>
      <color theme="1"/>
      <name val="Meiryo UI"/>
      <family val="3"/>
      <charset val="128"/>
    </font>
    <font>
      <sz val="6"/>
      <name val="ＭＳ Ｐゴシック"/>
      <family val="2"/>
      <charset val="128"/>
      <scheme val="minor"/>
    </font>
    <font>
      <sz val="11"/>
      <name val="ＭＳ Ｐゴシック"/>
      <family val="3"/>
      <charset val="128"/>
    </font>
    <font>
      <sz val="9"/>
      <name val="Meiryo UI"/>
      <family val="3"/>
      <charset val="128"/>
    </font>
    <font>
      <sz val="11"/>
      <color theme="1"/>
      <name val="ＭＳ Ｐゴシック"/>
      <family val="3"/>
      <charset val="128"/>
      <scheme val="minor"/>
    </font>
    <font>
      <sz val="9"/>
      <color theme="0"/>
      <name val="Meiryo UI"/>
      <family val="3"/>
      <charset val="128"/>
    </font>
    <font>
      <b/>
      <sz val="9"/>
      <name val="Meiryo UI"/>
      <family val="3"/>
      <charset val="128"/>
    </font>
    <font>
      <b/>
      <sz val="9"/>
      <color theme="1"/>
      <name val="Meiryo UI"/>
      <family val="3"/>
      <charset val="128"/>
    </font>
    <font>
      <u/>
      <sz val="9"/>
      <color theme="10"/>
      <name val="Meiryo UI"/>
      <family val="3"/>
      <charset val="128"/>
    </font>
    <font>
      <u/>
      <sz val="9"/>
      <color rgb="FF0000FF"/>
      <name val="Meiryo UI"/>
      <family val="3"/>
      <charset val="128"/>
    </font>
    <font>
      <sz val="12"/>
      <color theme="1"/>
      <name val="Meiryo UI"/>
      <family val="3"/>
      <charset val="128"/>
    </font>
    <font>
      <sz val="9"/>
      <color rgb="FFFF0000"/>
      <name val="Meiryo UI"/>
      <family val="3"/>
      <charset val="128"/>
    </font>
    <font>
      <sz val="9"/>
      <color theme="1"/>
      <name val="ＭＳ Ｐゴシック"/>
      <family val="2"/>
      <charset val="128"/>
      <scheme val="minor"/>
    </font>
    <font>
      <sz val="9"/>
      <color theme="1"/>
      <name val="ＭＳ Ｐゴシック"/>
      <family val="3"/>
      <charset val="128"/>
      <scheme val="minor"/>
    </font>
  </fonts>
  <fills count="8">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hair">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style="thin">
        <color indexed="64"/>
      </right>
      <top style="thin">
        <color indexed="64"/>
      </top>
      <bottom style="thin">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hair">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diagonalUp="1">
      <left style="hair">
        <color indexed="64"/>
      </left>
      <right style="thin">
        <color indexed="64"/>
      </right>
      <top style="hair">
        <color indexed="64"/>
      </top>
      <bottom style="hair">
        <color indexed="64"/>
      </bottom>
      <diagonal style="hair">
        <color indexed="64"/>
      </diagonal>
    </border>
    <border diagonalUp="1">
      <left style="hair">
        <color indexed="64"/>
      </left>
      <right style="thin">
        <color indexed="64"/>
      </right>
      <top style="thin">
        <color indexed="64"/>
      </top>
      <bottom/>
      <diagonal style="hair">
        <color indexed="64"/>
      </diagonal>
    </border>
    <border diagonalUp="1">
      <left style="hair">
        <color indexed="64"/>
      </left>
      <right style="thin">
        <color indexed="64"/>
      </right>
      <top/>
      <bottom style="hair">
        <color indexed="64"/>
      </bottom>
      <diagonal style="hair">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hair">
        <color indexed="64"/>
      </left>
      <right style="thin">
        <color indexed="64"/>
      </right>
      <top style="thin">
        <color indexed="64"/>
      </top>
      <bottom style="hair">
        <color indexed="64"/>
      </bottom>
      <diagonal style="thin">
        <color indexed="64"/>
      </diagonal>
    </border>
    <border diagonalUp="1">
      <left style="thin">
        <color indexed="64"/>
      </left>
      <right style="thin">
        <color indexed="64"/>
      </right>
      <top style="hair">
        <color indexed="64"/>
      </top>
      <bottom style="hair">
        <color indexed="64"/>
      </bottom>
      <diagonal style="thin">
        <color indexed="64"/>
      </diagonal>
    </border>
    <border diagonalUp="1">
      <left style="hair">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hair">
        <color indexed="64"/>
      </top>
      <bottom style="thin">
        <color indexed="64"/>
      </bottom>
      <diagonal style="thin">
        <color indexed="64"/>
      </diagonal>
    </border>
    <border diagonalUp="1">
      <left style="hair">
        <color indexed="64"/>
      </left>
      <right style="thin">
        <color indexed="64"/>
      </right>
      <top style="hair">
        <color indexed="64"/>
      </top>
      <bottom style="thin">
        <color indexed="64"/>
      </bottom>
      <diagonal style="thin">
        <color indexed="64"/>
      </diagonal>
    </border>
  </borders>
  <cellStyleXfs count="6">
    <xf numFmtId="0" fontId="0" fillId="0" borderId="0">
      <alignment vertical="center"/>
    </xf>
    <xf numFmtId="0" fontId="3" fillId="0" borderId="0"/>
    <xf numFmtId="9" fontId="3" fillId="0" borderId="0" applyFont="0" applyFill="0" applyBorder="0" applyAlignment="0" applyProtection="0">
      <alignment vertical="center"/>
    </xf>
    <xf numFmtId="0" fontId="5" fillId="0" borderId="0">
      <alignment vertical="center"/>
    </xf>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cellStyleXfs>
  <cellXfs count="167">
    <xf numFmtId="0" fontId="0" fillId="0" borderId="0" xfId="0">
      <alignment vertical="center"/>
    </xf>
    <xf numFmtId="0" fontId="1" fillId="2" borderId="0" xfId="0" applyFont="1" applyFill="1">
      <alignment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177" fontId="1" fillId="2" borderId="0" xfId="0" applyNumberFormat="1" applyFont="1" applyFill="1">
      <alignment vertical="center"/>
    </xf>
    <xf numFmtId="177" fontId="1" fillId="4"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4" fillId="2" borderId="2" xfId="1" applyFont="1" applyFill="1" applyBorder="1" applyAlignment="1">
      <alignment horizontal="left" vertical="center" shrinkToFit="1"/>
    </xf>
    <xf numFmtId="0" fontId="1" fillId="2" borderId="11" xfId="0" applyFont="1" applyFill="1" applyBorder="1" applyAlignment="1">
      <alignment horizontal="center" vertical="center"/>
    </xf>
    <xf numFmtId="0" fontId="4" fillId="2" borderId="11" xfId="1" applyFont="1" applyFill="1" applyBorder="1" applyAlignment="1">
      <alignment horizontal="left" vertical="center" shrinkToFit="1"/>
    </xf>
    <xf numFmtId="0" fontId="1" fillId="2" borderId="3" xfId="0" applyFont="1" applyFill="1" applyBorder="1" applyAlignment="1">
      <alignment horizontal="center" vertical="center"/>
    </xf>
    <xf numFmtId="178" fontId="1" fillId="2" borderId="0" xfId="0" applyNumberFormat="1" applyFont="1" applyFill="1">
      <alignment vertical="center"/>
    </xf>
    <xf numFmtId="178" fontId="1" fillId="2" borderId="11" xfId="0" applyNumberFormat="1" applyFont="1" applyFill="1" applyBorder="1" applyAlignment="1">
      <alignment vertical="center" wrapText="1"/>
    </xf>
    <xf numFmtId="178" fontId="6" fillId="2" borderId="2" xfId="0" applyNumberFormat="1" applyFont="1" applyFill="1" applyBorder="1" applyAlignment="1">
      <alignment vertical="center" wrapText="1"/>
    </xf>
    <xf numFmtId="178" fontId="6" fillId="2" borderId="3" xfId="0" applyNumberFormat="1" applyFont="1" applyFill="1" applyBorder="1" applyAlignment="1">
      <alignment vertical="center" wrapText="1"/>
    </xf>
    <xf numFmtId="0" fontId="4" fillId="2" borderId="16" xfId="1" applyFont="1" applyFill="1" applyBorder="1" applyAlignment="1">
      <alignment horizontal="center" vertical="center" shrinkToFit="1"/>
    </xf>
    <xf numFmtId="176" fontId="4" fillId="2" borderId="17" xfId="0" applyNumberFormat="1" applyFont="1" applyFill="1" applyBorder="1" applyAlignment="1">
      <alignment vertical="center" wrapText="1"/>
    </xf>
    <xf numFmtId="0" fontId="1" fillId="2" borderId="17" xfId="0" applyFont="1" applyFill="1" applyBorder="1" applyAlignment="1">
      <alignment horizontal="left" vertical="center"/>
    </xf>
    <xf numFmtId="0" fontId="4" fillId="2" borderId="19" xfId="1" applyFont="1" applyFill="1" applyBorder="1" applyAlignment="1">
      <alignment horizontal="center" vertical="center" shrinkToFit="1"/>
    </xf>
    <xf numFmtId="176" fontId="4" fillId="2" borderId="20" xfId="1" applyNumberFormat="1" applyFont="1" applyFill="1" applyBorder="1" applyAlignment="1">
      <alignment horizontal="right" vertical="center" shrinkToFit="1"/>
    </xf>
    <xf numFmtId="176" fontId="4" fillId="2" borderId="21" xfId="1" applyNumberFormat="1" applyFont="1" applyFill="1" applyBorder="1" applyAlignment="1">
      <alignment horizontal="right" vertical="center" shrinkToFit="1"/>
    </xf>
    <xf numFmtId="176" fontId="4" fillId="2" borderId="20" xfId="0" applyNumberFormat="1" applyFont="1" applyFill="1" applyBorder="1" applyAlignment="1">
      <alignment vertical="center" wrapText="1"/>
    </xf>
    <xf numFmtId="0" fontId="1" fillId="2" borderId="20" xfId="0" applyFont="1" applyFill="1" applyBorder="1" applyAlignment="1">
      <alignment horizontal="left" vertical="center"/>
    </xf>
    <xf numFmtId="0" fontId="4" fillId="2" borderId="22" xfId="1" applyFont="1" applyFill="1" applyBorder="1" applyAlignment="1">
      <alignment horizontal="center" vertical="center" shrinkToFit="1"/>
    </xf>
    <xf numFmtId="176" fontId="4" fillId="2" borderId="23" xfId="1" applyNumberFormat="1" applyFont="1" applyFill="1" applyBorder="1" applyAlignment="1">
      <alignment horizontal="right" vertical="center" shrinkToFit="1"/>
    </xf>
    <xf numFmtId="179" fontId="4" fillId="2" borderId="24" xfId="1" applyNumberFormat="1" applyFont="1" applyFill="1" applyBorder="1" applyAlignment="1">
      <alignment horizontal="right" vertical="center" shrinkToFit="1"/>
    </xf>
    <xf numFmtId="176" fontId="4" fillId="2" borderId="23" xfId="0" applyNumberFormat="1" applyFont="1" applyFill="1" applyBorder="1" applyAlignment="1">
      <alignment vertical="center" wrapText="1"/>
    </xf>
    <xf numFmtId="0" fontId="1" fillId="2" borderId="23" xfId="0" applyFont="1" applyFill="1" applyBorder="1" applyAlignment="1">
      <alignment horizontal="left" vertical="center"/>
    </xf>
    <xf numFmtId="179" fontId="4" fillId="2" borderId="25" xfId="1" applyNumberFormat="1" applyFont="1" applyFill="1" applyBorder="1" applyAlignment="1">
      <alignment horizontal="right" vertical="center" shrinkToFit="1"/>
    </xf>
    <xf numFmtId="180" fontId="4" fillId="2" borderId="24" xfId="1" applyNumberFormat="1" applyFont="1" applyFill="1" applyBorder="1" applyAlignment="1">
      <alignment horizontal="right" vertical="center" shrinkToFit="1"/>
    </xf>
    <xf numFmtId="0" fontId="4" fillId="2" borderId="26" xfId="1" applyFont="1" applyFill="1" applyBorder="1" applyAlignment="1">
      <alignment horizontal="center" vertical="center" shrinkToFit="1"/>
    </xf>
    <xf numFmtId="176" fontId="4" fillId="2" borderId="27" xfId="0" applyNumberFormat="1" applyFont="1" applyFill="1" applyBorder="1" applyAlignment="1">
      <alignment vertical="center" wrapText="1"/>
    </xf>
    <xf numFmtId="0" fontId="4" fillId="2" borderId="18" xfId="1" applyFont="1" applyFill="1" applyBorder="1" applyAlignment="1">
      <alignment horizontal="left" vertical="center" shrinkToFit="1"/>
    </xf>
    <xf numFmtId="0" fontId="4" fillId="2" borderId="25" xfId="1" applyFont="1" applyFill="1" applyBorder="1" applyAlignment="1">
      <alignment horizontal="left" vertical="center" shrinkToFit="1"/>
    </xf>
    <xf numFmtId="176" fontId="4" fillId="2" borderId="9" xfId="1" applyNumberFormat="1" applyFont="1" applyFill="1" applyBorder="1" applyAlignment="1">
      <alignment horizontal="right" vertical="center" shrinkToFit="1"/>
    </xf>
    <xf numFmtId="176" fontId="4" fillId="3" borderId="17" xfId="1" applyNumberFormat="1" applyFont="1" applyFill="1" applyBorder="1" applyAlignment="1">
      <alignment horizontal="right" vertical="center" shrinkToFit="1"/>
    </xf>
    <xf numFmtId="179" fontId="4" fillId="3" borderId="18" xfId="1" applyNumberFormat="1" applyFont="1" applyFill="1" applyBorder="1" applyAlignment="1">
      <alignment horizontal="right" vertical="center" shrinkToFit="1"/>
    </xf>
    <xf numFmtId="176" fontId="4" fillId="3" borderId="27" xfId="1" applyNumberFormat="1" applyFont="1" applyFill="1" applyBorder="1" applyAlignment="1">
      <alignment horizontal="right" vertical="center" shrinkToFit="1"/>
    </xf>
    <xf numFmtId="179" fontId="4" fillId="3" borderId="25" xfId="1" applyNumberFormat="1" applyFont="1" applyFill="1" applyBorder="1" applyAlignment="1">
      <alignment horizontal="right" vertical="center" shrinkToFit="1"/>
    </xf>
    <xf numFmtId="176" fontId="4" fillId="3" borderId="20" xfId="1" applyNumberFormat="1" applyFont="1" applyFill="1" applyBorder="1" applyAlignment="1">
      <alignment horizontal="right" vertical="center" shrinkToFit="1"/>
    </xf>
    <xf numFmtId="179" fontId="4" fillId="3" borderId="21" xfId="1" applyNumberFormat="1" applyFont="1" applyFill="1" applyBorder="1" applyAlignment="1">
      <alignment horizontal="right" vertical="center" shrinkToFit="1"/>
    </xf>
    <xf numFmtId="180" fontId="4" fillId="3" borderId="18" xfId="1" applyNumberFormat="1" applyFont="1" applyFill="1" applyBorder="1" applyAlignment="1">
      <alignment horizontal="right" vertical="center" shrinkToFit="1"/>
    </xf>
    <xf numFmtId="180" fontId="4" fillId="3" borderId="21" xfId="1" applyNumberFormat="1" applyFont="1" applyFill="1" applyBorder="1" applyAlignment="1">
      <alignment horizontal="right" vertical="center" shrinkToFit="1"/>
    </xf>
    <xf numFmtId="180" fontId="4" fillId="3" borderId="25" xfId="1" applyNumberFormat="1" applyFont="1" applyFill="1" applyBorder="1" applyAlignment="1">
      <alignment horizontal="right" vertical="center" shrinkToFit="1"/>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179" fontId="4" fillId="3" borderId="9" xfId="1" applyNumberFormat="1" applyFont="1" applyFill="1" applyBorder="1" applyAlignment="1">
      <alignment horizontal="right" vertical="center" shrinkToFit="1"/>
    </xf>
    <xf numFmtId="179" fontId="4" fillId="3" borderId="29" xfId="1" applyNumberFormat="1" applyFont="1" applyFill="1" applyBorder="1" applyAlignment="1">
      <alignment horizontal="right" vertical="center" shrinkToFit="1"/>
    </xf>
    <xf numFmtId="178" fontId="7" fillId="2" borderId="2" xfId="1" applyNumberFormat="1" applyFont="1" applyFill="1" applyBorder="1" applyAlignment="1">
      <alignment horizontal="right" vertical="center" shrinkToFit="1"/>
    </xf>
    <xf numFmtId="178" fontId="7" fillId="2" borderId="20" xfId="1" applyNumberFormat="1" applyFont="1" applyFill="1" applyBorder="1" applyAlignment="1">
      <alignment horizontal="right" vertical="center" shrinkToFit="1"/>
    </xf>
    <xf numFmtId="178" fontId="7" fillId="2" borderId="3" xfId="1" applyNumberFormat="1" applyFont="1" applyFill="1" applyBorder="1" applyAlignment="1">
      <alignment horizontal="right" vertical="center" shrinkToFit="1"/>
    </xf>
    <xf numFmtId="178" fontId="7" fillId="2" borderId="11" xfId="1" applyNumberFormat="1" applyFont="1" applyFill="1" applyBorder="1" applyAlignment="1">
      <alignment horizontal="right" vertical="center" shrinkToFit="1"/>
    </xf>
    <xf numFmtId="176" fontId="7" fillId="2" borderId="18" xfId="1" applyNumberFormat="1" applyFont="1" applyFill="1" applyBorder="1" applyAlignment="1">
      <alignment horizontal="right" vertical="center" shrinkToFit="1"/>
    </xf>
    <xf numFmtId="176" fontId="7" fillId="2" borderId="21" xfId="1" applyNumberFormat="1" applyFont="1" applyFill="1" applyBorder="1" applyAlignment="1">
      <alignment horizontal="right" vertical="center" shrinkToFit="1"/>
    </xf>
    <xf numFmtId="176" fontId="7" fillId="2" borderId="24" xfId="1" applyNumberFormat="1" applyFont="1" applyFill="1" applyBorder="1" applyAlignment="1">
      <alignment horizontal="right" vertical="center" shrinkToFit="1"/>
    </xf>
    <xf numFmtId="176" fontId="7" fillId="2" borderId="25" xfId="1" applyNumberFormat="1" applyFont="1" applyFill="1" applyBorder="1" applyAlignment="1">
      <alignment horizontal="right" vertical="center" shrinkToFit="1"/>
    </xf>
    <xf numFmtId="176" fontId="4" fillId="2" borderId="17" xfId="0" applyNumberFormat="1" applyFont="1" applyFill="1" applyBorder="1" applyAlignment="1">
      <alignment horizontal="right" vertical="center" wrapText="1"/>
    </xf>
    <xf numFmtId="176" fontId="4" fillId="2" borderId="20" xfId="0" applyNumberFormat="1" applyFont="1" applyFill="1" applyBorder="1" applyAlignment="1">
      <alignment horizontal="right" vertical="center" wrapText="1"/>
    </xf>
    <xf numFmtId="0" fontId="6" fillId="2" borderId="11" xfId="1" applyFont="1" applyFill="1" applyBorder="1" applyAlignment="1">
      <alignment horizontal="left" vertical="center" shrinkToFit="1"/>
    </xf>
    <xf numFmtId="0" fontId="6" fillId="2" borderId="3" xfId="1" applyFont="1" applyFill="1" applyBorder="1" applyAlignment="1">
      <alignment horizontal="left" vertical="center" shrinkToFit="1"/>
    </xf>
    <xf numFmtId="0" fontId="1" fillId="4"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0" xfId="0" applyFont="1" applyFill="1" applyAlignment="1">
      <alignment horizontal="right"/>
    </xf>
    <xf numFmtId="0" fontId="11" fillId="2" borderId="0" xfId="0" applyFont="1" applyFill="1">
      <alignment vertical="center"/>
    </xf>
    <xf numFmtId="0" fontId="4" fillId="2" borderId="4" xfId="1" applyFont="1" applyFill="1" applyBorder="1" applyAlignment="1">
      <alignment horizontal="left" vertical="center" shrinkToFit="1"/>
    </xf>
    <xf numFmtId="0" fontId="6" fillId="2" borderId="5" xfId="1" applyFont="1" applyFill="1" applyBorder="1" applyAlignment="1">
      <alignment horizontal="left" vertical="center" shrinkToFit="1"/>
    </xf>
    <xf numFmtId="0" fontId="4" fillId="2" borderId="30" xfId="1" applyFont="1" applyFill="1" applyBorder="1" applyAlignment="1">
      <alignment horizontal="center" vertical="center" shrinkToFit="1"/>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2" borderId="0" xfId="0" applyFont="1" applyFill="1" applyAlignment="1">
      <alignment horizontal="left" shrinkToFit="1"/>
    </xf>
    <xf numFmtId="0" fontId="1" fillId="4" borderId="31" xfId="0" applyFont="1" applyFill="1" applyBorder="1" applyAlignment="1">
      <alignment horizontal="center" vertical="center"/>
    </xf>
    <xf numFmtId="0" fontId="1" fillId="2" borderId="32" xfId="0" applyFont="1" applyFill="1" applyBorder="1" applyAlignment="1">
      <alignment horizontal="center" vertical="center"/>
    </xf>
    <xf numFmtId="177" fontId="1" fillId="2" borderId="32" xfId="0" applyNumberFormat="1" applyFont="1" applyFill="1" applyBorder="1" applyAlignment="1">
      <alignment horizontal="center" vertical="center"/>
    </xf>
    <xf numFmtId="0" fontId="1" fillId="2" borderId="15" xfId="0" applyFont="1" applyFill="1" applyBorder="1" applyAlignment="1">
      <alignment horizontal="center" vertical="center"/>
    </xf>
    <xf numFmtId="0" fontId="1" fillId="2" borderId="4" xfId="0" applyFont="1" applyFill="1" applyBorder="1" applyAlignment="1">
      <alignment horizontal="left" vertical="center"/>
    </xf>
    <xf numFmtId="181" fontId="1" fillId="0" borderId="1" xfId="0" applyNumberFormat="1" applyFont="1" applyBorder="1" applyAlignment="1">
      <alignment horizontal="right" vertical="center"/>
    </xf>
    <xf numFmtId="0" fontId="1" fillId="2" borderId="31" xfId="0" applyFont="1" applyFill="1" applyBorder="1" applyAlignment="1">
      <alignment horizontal="center" vertical="center"/>
    </xf>
    <xf numFmtId="0" fontId="1" fillId="2" borderId="5" xfId="0" applyFont="1" applyFill="1" applyBorder="1" applyAlignment="1">
      <alignment horizontal="center" vertical="center"/>
    </xf>
    <xf numFmtId="180" fontId="4" fillId="2" borderId="23" xfId="1" applyNumberFormat="1" applyFont="1" applyFill="1" applyBorder="1" applyAlignment="1">
      <alignment horizontal="right" vertical="center" shrinkToFit="1"/>
    </xf>
    <xf numFmtId="180" fontId="4" fillId="2" borderId="17" xfId="1" applyNumberFormat="1" applyFont="1" applyFill="1" applyBorder="1" applyAlignment="1">
      <alignment horizontal="right" vertical="center" shrinkToFit="1"/>
    </xf>
    <xf numFmtId="180" fontId="4" fillId="2" borderId="20" xfId="1" applyNumberFormat="1" applyFont="1" applyFill="1" applyBorder="1" applyAlignment="1">
      <alignment horizontal="right" vertical="center" shrinkToFit="1"/>
    </xf>
    <xf numFmtId="180" fontId="4" fillId="2" borderId="27" xfId="1" applyNumberFormat="1" applyFont="1" applyFill="1" applyBorder="1" applyAlignment="1">
      <alignment horizontal="right" vertical="center" shrinkToFit="1"/>
    </xf>
    <xf numFmtId="182" fontId="4" fillId="3" borderId="18" xfId="1" applyNumberFormat="1" applyFont="1" applyFill="1" applyBorder="1" applyAlignment="1">
      <alignment horizontal="right" vertical="center" shrinkToFit="1"/>
    </xf>
    <xf numFmtId="182" fontId="4" fillId="3" borderId="25" xfId="1" applyNumberFormat="1" applyFont="1" applyFill="1" applyBorder="1" applyAlignment="1">
      <alignment horizontal="right" vertical="center" shrinkToFit="1"/>
    </xf>
    <xf numFmtId="182" fontId="4" fillId="3" borderId="21" xfId="1" applyNumberFormat="1" applyFont="1" applyFill="1" applyBorder="1" applyAlignment="1">
      <alignment horizontal="right" vertical="center" shrinkToFit="1"/>
    </xf>
    <xf numFmtId="182" fontId="4" fillId="2" borderId="24" xfId="1" applyNumberFormat="1" applyFont="1" applyFill="1" applyBorder="1" applyAlignment="1">
      <alignment horizontal="right" vertical="center" shrinkToFit="1"/>
    </xf>
    <xf numFmtId="180" fontId="4" fillId="2" borderId="18" xfId="1" applyNumberFormat="1" applyFont="1" applyFill="1" applyBorder="1" applyAlignment="1">
      <alignment horizontal="right" vertical="center" shrinkToFit="1"/>
    </xf>
    <xf numFmtId="180" fontId="4" fillId="2" borderId="21" xfId="1" applyNumberFormat="1" applyFont="1" applyFill="1" applyBorder="1" applyAlignment="1">
      <alignment horizontal="right" vertical="center" shrinkToFit="1"/>
    </xf>
    <xf numFmtId="180" fontId="4" fillId="2" borderId="17" xfId="0" applyNumberFormat="1" applyFont="1" applyFill="1" applyBorder="1" applyAlignment="1">
      <alignment vertical="center" wrapText="1"/>
    </xf>
    <xf numFmtId="180" fontId="4" fillId="2" borderId="20" xfId="0" applyNumberFormat="1" applyFont="1" applyFill="1" applyBorder="1" applyAlignment="1">
      <alignment vertical="center" wrapText="1"/>
    </xf>
    <xf numFmtId="180" fontId="4" fillId="2" borderId="23" xfId="0" applyNumberFormat="1" applyFont="1" applyFill="1" applyBorder="1" applyAlignment="1">
      <alignment vertical="center" wrapText="1"/>
    </xf>
    <xf numFmtId="180" fontId="4" fillId="2" borderId="27" xfId="0" applyNumberFormat="1" applyFont="1" applyFill="1" applyBorder="1" applyAlignment="1">
      <alignment vertical="center" wrapText="1"/>
    </xf>
    <xf numFmtId="182" fontId="4" fillId="2" borderId="17" xfId="0" applyNumberFormat="1" applyFont="1" applyFill="1" applyBorder="1" applyAlignment="1">
      <alignment vertical="center" wrapText="1"/>
    </xf>
    <xf numFmtId="182" fontId="4" fillId="2" borderId="27" xfId="0" applyNumberFormat="1" applyFont="1" applyFill="1" applyBorder="1" applyAlignment="1">
      <alignment vertical="center" wrapText="1"/>
    </xf>
    <xf numFmtId="182" fontId="4" fillId="2" borderId="20" xfId="0" applyNumberFormat="1" applyFont="1" applyFill="1" applyBorder="1" applyAlignment="1">
      <alignment vertical="center" wrapText="1"/>
    </xf>
    <xf numFmtId="182" fontId="4" fillId="2" borderId="23" xfId="0" applyNumberFormat="1" applyFont="1" applyFill="1" applyBorder="1" applyAlignment="1">
      <alignment vertical="center" wrapText="1"/>
    </xf>
    <xf numFmtId="180" fontId="4" fillId="2" borderId="17" xfId="0" applyNumberFormat="1" applyFont="1" applyFill="1" applyBorder="1" applyAlignment="1">
      <alignment horizontal="right" vertical="center" wrapText="1"/>
    </xf>
    <xf numFmtId="0" fontId="10" fillId="2" borderId="1" xfId="4" applyFont="1" applyFill="1" applyBorder="1" applyAlignment="1" applyProtection="1">
      <alignment horizontal="left" vertical="center" shrinkToFit="1"/>
    </xf>
    <xf numFmtId="0" fontId="10" fillId="0" borderId="1" xfId="4" applyFont="1" applyBorder="1" applyAlignment="1" applyProtection="1">
      <alignment vertical="center"/>
    </xf>
    <xf numFmtId="176" fontId="4" fillId="2" borderId="23" xfId="0" applyNumberFormat="1" applyFont="1" applyFill="1" applyBorder="1" applyAlignment="1">
      <alignment horizontal="right" vertical="center" wrapText="1"/>
    </xf>
    <xf numFmtId="180" fontId="4" fillId="2" borderId="20" xfId="0" applyNumberFormat="1" applyFont="1" applyFill="1" applyBorder="1" applyAlignment="1">
      <alignment horizontal="right" vertical="center" wrapText="1"/>
    </xf>
    <xf numFmtId="180" fontId="4" fillId="2" borderId="23" xfId="0" applyNumberFormat="1" applyFont="1" applyFill="1" applyBorder="1" applyAlignment="1">
      <alignment horizontal="right" vertical="center" wrapText="1"/>
    </xf>
    <xf numFmtId="176" fontId="1" fillId="2" borderId="0" xfId="0" applyNumberFormat="1" applyFont="1" applyFill="1">
      <alignment vertical="center"/>
    </xf>
    <xf numFmtId="178" fontId="7" fillId="2" borderId="23" xfId="1" applyNumberFormat="1" applyFont="1" applyFill="1" applyBorder="1" applyAlignment="1">
      <alignment horizontal="right" vertical="center" shrinkToFit="1"/>
    </xf>
    <xf numFmtId="0" fontId="12" fillId="2" borderId="0" xfId="0" applyFont="1" applyFill="1">
      <alignment vertical="center"/>
    </xf>
    <xf numFmtId="178" fontId="4" fillId="2" borderId="11" xfId="0" applyNumberFormat="1" applyFont="1" applyFill="1" applyBorder="1" applyAlignment="1">
      <alignment vertical="center" wrapText="1"/>
    </xf>
    <xf numFmtId="178" fontId="7" fillId="2" borderId="17" xfId="1" applyNumberFormat="1" applyFont="1" applyFill="1" applyBorder="1" applyAlignment="1">
      <alignment horizontal="right" vertical="center" shrinkToFit="1"/>
    </xf>
    <xf numFmtId="0" fontId="4" fillId="2" borderId="2"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1" applyFont="1" applyFill="1" applyBorder="1" applyAlignment="1">
      <alignment horizontal="center" vertical="center" shrinkToFit="1"/>
    </xf>
    <xf numFmtId="0" fontId="4" fillId="2" borderId="28" xfId="1" applyFont="1" applyFill="1" applyBorder="1" applyAlignment="1">
      <alignment horizontal="center" vertical="center" shrinkToFit="1"/>
    </xf>
    <xf numFmtId="0" fontId="4" fillId="2" borderId="5" xfId="1" applyFont="1" applyFill="1" applyBorder="1" applyAlignment="1">
      <alignment horizontal="center" vertical="center" shrinkToFit="1"/>
    </xf>
    <xf numFmtId="0" fontId="4" fillId="2" borderId="32" xfId="0" applyFont="1" applyFill="1" applyBorder="1" applyAlignment="1">
      <alignment horizontal="center" vertical="center"/>
    </xf>
    <xf numFmtId="178" fontId="6" fillId="0" borderId="2" xfId="0" applyNumberFormat="1" applyFont="1" applyBorder="1" applyAlignment="1">
      <alignment vertical="center" wrapText="1"/>
    </xf>
    <xf numFmtId="178" fontId="1" fillId="0" borderId="11" xfId="0" applyNumberFormat="1" applyFont="1" applyBorder="1" applyAlignment="1">
      <alignment vertical="center" wrapText="1"/>
    </xf>
    <xf numFmtId="178" fontId="6" fillId="0" borderId="3" xfId="0" applyNumberFormat="1" applyFont="1" applyBorder="1" applyAlignment="1">
      <alignment vertical="center" wrapText="1"/>
    </xf>
    <xf numFmtId="176" fontId="4" fillId="0" borderId="17" xfId="0" applyNumberFormat="1" applyFont="1" applyBorder="1" applyAlignment="1">
      <alignment vertical="center" wrapText="1"/>
    </xf>
    <xf numFmtId="0" fontId="1" fillId="0" borderId="17" xfId="0" applyFont="1" applyBorder="1" applyAlignment="1">
      <alignment horizontal="left" vertical="center"/>
    </xf>
    <xf numFmtId="176" fontId="4" fillId="0" borderId="20" xfId="0" applyNumberFormat="1" applyFont="1" applyBorder="1" applyAlignment="1">
      <alignment vertical="center" wrapText="1"/>
    </xf>
    <xf numFmtId="0" fontId="1" fillId="0" borderId="20" xfId="0" applyFont="1" applyBorder="1" applyAlignment="1">
      <alignment horizontal="left" vertical="center"/>
    </xf>
    <xf numFmtId="176" fontId="4" fillId="0" borderId="23" xfId="0" applyNumberFormat="1" applyFont="1" applyBorder="1" applyAlignment="1">
      <alignment vertical="center" wrapText="1"/>
    </xf>
    <xf numFmtId="0" fontId="1" fillId="0" borderId="23" xfId="0" applyFont="1" applyBorder="1" applyAlignment="1">
      <alignment horizontal="left" vertical="center"/>
    </xf>
    <xf numFmtId="179" fontId="4" fillId="0" borderId="34" xfId="1" applyNumberFormat="1" applyFont="1" applyBorder="1" applyAlignment="1">
      <alignment horizontal="right" vertical="center" shrinkToFit="1"/>
    </xf>
    <xf numFmtId="179" fontId="4" fillId="0" borderId="35" xfId="1" applyNumberFormat="1" applyFont="1" applyBorder="1" applyAlignment="1">
      <alignment horizontal="right" vertical="center" shrinkToFit="1"/>
    </xf>
    <xf numFmtId="179" fontId="4" fillId="0" borderId="33" xfId="1" applyNumberFormat="1" applyFont="1" applyBorder="1" applyAlignment="1">
      <alignment horizontal="right" vertical="center" shrinkToFit="1"/>
    </xf>
    <xf numFmtId="176" fontId="4" fillId="2" borderId="36" xfId="1" applyNumberFormat="1" applyFont="1" applyFill="1" applyBorder="1" applyAlignment="1">
      <alignment horizontal="right" vertical="center" shrinkToFit="1"/>
    </xf>
    <xf numFmtId="179" fontId="4" fillId="2" borderId="37" xfId="1" applyNumberFormat="1" applyFont="1" applyFill="1" applyBorder="1" applyAlignment="1">
      <alignment horizontal="right" vertical="center" shrinkToFit="1"/>
    </xf>
    <xf numFmtId="176" fontId="4" fillId="2" borderId="38" xfId="1" applyNumberFormat="1" applyFont="1" applyFill="1" applyBorder="1" applyAlignment="1">
      <alignment horizontal="right" vertical="center" shrinkToFit="1"/>
    </xf>
    <xf numFmtId="179" fontId="4" fillId="2" borderId="39" xfId="1" applyNumberFormat="1" applyFont="1" applyFill="1" applyBorder="1" applyAlignment="1">
      <alignment horizontal="right" vertical="center" shrinkToFit="1"/>
    </xf>
    <xf numFmtId="176" fontId="4" fillId="2" borderId="40" xfId="1" applyNumberFormat="1" applyFont="1" applyFill="1" applyBorder="1" applyAlignment="1">
      <alignment horizontal="right" vertical="center" shrinkToFit="1"/>
    </xf>
    <xf numFmtId="179" fontId="4" fillId="2" borderId="41" xfId="1" applyNumberFormat="1" applyFont="1" applyFill="1" applyBorder="1" applyAlignment="1">
      <alignment horizontal="right" vertical="center" shrinkToFit="1"/>
    </xf>
    <xf numFmtId="0" fontId="14" fillId="6" borderId="1" xfId="0" applyFont="1" applyFill="1" applyBorder="1">
      <alignment vertical="center"/>
    </xf>
    <xf numFmtId="0" fontId="14" fillId="0" borderId="0" xfId="0" applyFont="1">
      <alignment vertical="center"/>
    </xf>
    <xf numFmtId="0" fontId="14" fillId="7" borderId="1" xfId="0" applyFont="1" applyFill="1" applyBorder="1">
      <alignment vertical="center"/>
    </xf>
    <xf numFmtId="0" fontId="14" fillId="0" borderId="1" xfId="0" applyFont="1" applyBorder="1">
      <alignment vertical="center"/>
    </xf>
    <xf numFmtId="176" fontId="4" fillId="2" borderId="27" xfId="0" applyNumberFormat="1" applyFont="1" applyFill="1" applyBorder="1" applyAlignment="1">
      <alignment horizontal="right" vertical="center" wrapText="1"/>
    </xf>
    <xf numFmtId="178" fontId="4" fillId="2" borderId="11" xfId="0" applyNumberFormat="1" applyFont="1" applyFill="1" applyBorder="1" applyAlignment="1">
      <alignment horizontal="right" vertical="center" wrapText="1"/>
    </xf>
    <xf numFmtId="0" fontId="1" fillId="0" borderId="0" xfId="0" applyFont="1">
      <alignment vertical="center"/>
    </xf>
    <xf numFmtId="0" fontId="4" fillId="0" borderId="2" xfId="0" applyFont="1" applyBorder="1" applyAlignment="1">
      <alignment horizontal="center" vertical="center"/>
    </xf>
    <xf numFmtId="0" fontId="4" fillId="0" borderId="2" xfId="1" applyFont="1" applyBorder="1" applyAlignment="1">
      <alignment horizontal="left" vertical="center" shrinkToFit="1"/>
    </xf>
    <xf numFmtId="178" fontId="4" fillId="0" borderId="2" xfId="0" applyNumberFormat="1" applyFont="1" applyBorder="1" applyAlignment="1">
      <alignment vertical="center" wrapText="1"/>
    </xf>
    <xf numFmtId="0" fontId="4" fillId="0" borderId="2" xfId="0" applyFont="1" applyBorder="1" applyAlignment="1">
      <alignment horizontal="left" vertical="center"/>
    </xf>
    <xf numFmtId="178" fontId="4" fillId="0" borderId="11" xfId="0" applyNumberFormat="1" applyFont="1" applyBorder="1" applyAlignment="1">
      <alignment vertical="center" wrapText="1"/>
    </xf>
    <xf numFmtId="0" fontId="4" fillId="0" borderId="20" xfId="0" applyFont="1" applyBorder="1" applyAlignment="1">
      <alignment horizontal="left" vertical="center"/>
    </xf>
    <xf numFmtId="178" fontId="4" fillId="0" borderId="3" xfId="0" applyNumberFormat="1" applyFont="1" applyBorder="1" applyAlignment="1">
      <alignment vertical="center" wrapText="1"/>
    </xf>
    <xf numFmtId="0" fontId="4" fillId="0" borderId="3" xfId="0" applyFont="1" applyBorder="1" applyAlignment="1">
      <alignment horizontal="left" vertical="center"/>
    </xf>
    <xf numFmtId="0" fontId="1" fillId="2" borderId="10" xfId="0" applyFont="1" applyFill="1" applyBorder="1" applyAlignment="1">
      <alignment horizontal="left" shrinkToFit="1"/>
    </xf>
    <xf numFmtId="14" fontId="1" fillId="2" borderId="10" xfId="0" applyNumberFormat="1" applyFont="1" applyFill="1" applyBorder="1" applyAlignment="1">
      <alignment horizontal="left" shrinkToFit="1"/>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wrapText="1"/>
    </xf>
    <xf numFmtId="177" fontId="1" fillId="4" borderId="1" xfId="0" applyNumberFormat="1" applyFont="1" applyFill="1" applyBorder="1" applyAlignment="1">
      <alignment horizontal="center" vertical="center"/>
    </xf>
    <xf numFmtId="0" fontId="1" fillId="4" borderId="4"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4"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5" xfId="0" applyFont="1" applyFill="1" applyBorder="1" applyAlignment="1">
      <alignment horizontal="center" vertical="center"/>
    </xf>
    <xf numFmtId="0" fontId="4" fillId="2" borderId="12" xfId="1" applyFont="1" applyFill="1" applyBorder="1" applyAlignment="1">
      <alignment horizontal="center" vertical="center" shrinkToFit="1"/>
    </xf>
    <xf numFmtId="0" fontId="4" fillId="2" borderId="13" xfId="1" applyFont="1" applyFill="1" applyBorder="1" applyAlignment="1">
      <alignment horizontal="center" vertical="center" shrinkToFit="1"/>
    </xf>
    <xf numFmtId="0" fontId="4" fillId="2" borderId="14" xfId="1" applyFont="1" applyFill="1" applyBorder="1" applyAlignment="1">
      <alignment horizontal="center" vertical="center" shrinkToFit="1"/>
    </xf>
  </cellXfs>
  <cellStyles count="6">
    <cellStyle name="パーセント 3" xfId="2" xr:uid="{00000000-0005-0000-0000-000000000000}"/>
    <cellStyle name="ハイパーリンク" xfId="4" builtinId="8" customBuiltin="1"/>
    <cellStyle name="標準" xfId="0" builtinId="0"/>
    <cellStyle name="標準 2" xfId="1" xr:uid="{00000000-0005-0000-0000-000003000000}"/>
    <cellStyle name="標準 3" xfId="3" xr:uid="{00000000-0005-0000-0000-000004000000}"/>
    <cellStyle name="表示済みのハイパーリンク" xfId="5" builtinId="9" customBuiltin="1"/>
  </cellStyles>
  <dxfs count="29">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ill>
        <patternFill>
          <bgColor theme="9" tint="0.79998168889431442"/>
        </patternFill>
      </fill>
    </dxf>
    <dxf>
      <fill>
        <patternFill>
          <bgColor theme="9" tint="0.79998168889431442"/>
        </patternFill>
      </fill>
    </dxf>
    <dxf>
      <font>
        <color theme="0" tint="-0.14996795556505021"/>
      </font>
      <fill>
        <patternFill>
          <bgColor theme="0" tint="-0.14996795556505021"/>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drawings/_rels/drawing2.xml.rels><?xml version="1.0" encoding="UTF-8" standalone="no"?>
<Relationships xmlns="http://schemas.openxmlformats.org/package/2006/relationships">
<Relationship Id="rId1" Target="../media/image1.png" Type="http://schemas.openxmlformats.org/officeDocument/2006/relationships/image"/>
</Relationships>

</file>

<file path=xl/drawings/_rels/drawing3.xml.rels><?xml version="1.0" encoding="UTF-8" standalone="no"?>
<Relationships xmlns="http://schemas.openxmlformats.org/package/2006/relationships">
<Relationship Id="rId1" Target="../media/image2.png" Type="http://schemas.openxmlformats.org/officeDocument/2006/relationships/image"/>
</Relationships>

</file>

<file path=xl/drawings/_rels/drawing4.xml.rels><?xml version="1.0" encoding="UTF-8" standalone="no"?>
<Relationships xmlns="http://schemas.openxmlformats.org/package/2006/relationships">
<Relationship Id="rId1" Target="../media/image3.pn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66675</xdr:rowOff>
    </xdr:from>
    <xdr:to>
      <xdr:col>5</xdr:col>
      <xdr:colOff>371475</xdr:colOff>
      <xdr:row>8</xdr:row>
      <xdr:rowOff>304800</xdr:rowOff>
    </xdr:to>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238125" y="762000"/>
          <a:ext cx="6448425"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1000">
              <a:latin typeface="Meiryo UI" pitchFamily="50" charset="-128"/>
              <a:ea typeface="Meiryo UI" pitchFamily="50" charset="-128"/>
              <a:cs typeface="Meiryo UI" pitchFamily="50" charset="-128"/>
            </a:rPr>
            <a:t>本チェックシートは、「認定者数」「介護サービス見込み量」「給付費」等について、令和</a:t>
          </a:r>
          <a:r>
            <a:rPr kumimoji="1" lang="en-US" altLang="ja-JP" sz="1000">
              <a:latin typeface="Meiryo UI" pitchFamily="50" charset="-128"/>
              <a:ea typeface="Meiryo UI" pitchFamily="50" charset="-128"/>
              <a:cs typeface="Meiryo UI" pitchFamily="50" charset="-128"/>
            </a:rPr>
            <a:t>6</a:t>
          </a:r>
          <a:r>
            <a:rPr kumimoji="1" lang="ja-JP" altLang="en-US" sz="1000">
              <a:latin typeface="Meiryo UI" pitchFamily="50" charset="-128"/>
              <a:ea typeface="Meiryo UI" pitchFamily="50" charset="-128"/>
              <a:cs typeface="Meiryo UI" pitchFamily="50" charset="-128"/>
            </a:rPr>
            <a:t>～令和</a:t>
          </a:r>
          <a:r>
            <a:rPr kumimoji="1" lang="en-US" altLang="ja-JP" sz="1000">
              <a:latin typeface="Meiryo UI" pitchFamily="50" charset="-128"/>
              <a:ea typeface="Meiryo UI" pitchFamily="50" charset="-128"/>
              <a:cs typeface="Meiryo UI" pitchFamily="50" charset="-128"/>
            </a:rPr>
            <a:t>7</a:t>
          </a:r>
          <a:r>
            <a:rPr kumimoji="1" lang="ja-JP" altLang="en-US" sz="1000">
              <a:latin typeface="Meiryo UI" pitchFamily="50" charset="-128"/>
              <a:ea typeface="Meiryo UI" pitchFamily="50" charset="-128"/>
              <a:cs typeface="Meiryo UI" pitchFamily="50" charset="-128"/>
            </a:rPr>
            <a:t>年度</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一部令和</a:t>
          </a:r>
          <a:r>
            <a:rPr kumimoji="1" lang="en-US" altLang="ja-JP" sz="1000">
              <a:latin typeface="Meiryo UI" pitchFamily="50" charset="-128"/>
              <a:ea typeface="Meiryo UI" pitchFamily="50" charset="-128"/>
              <a:cs typeface="Meiryo UI" pitchFamily="50" charset="-128"/>
            </a:rPr>
            <a:t>5</a:t>
          </a:r>
          <a:r>
            <a:rPr kumimoji="1" lang="ja-JP" altLang="en-US" sz="1000">
              <a:latin typeface="Meiryo UI" pitchFamily="50" charset="-128"/>
              <a:ea typeface="Meiryo UI" pitchFamily="50" charset="-128"/>
              <a:cs typeface="Meiryo UI" pitchFamily="50" charset="-128"/>
            </a:rPr>
            <a:t>年度</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の介護保険事業状況報告に基づく全国の実績値に基づいて算出したおおよその各数値の目安</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上限値及び下限値</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と、貴保険者が設定した施策反映値との比較結果を示しています。</a:t>
          </a:r>
        </a:p>
        <a:p>
          <a:pPr algn="l"/>
          <a:r>
            <a:rPr kumimoji="1" lang="ja-JP" altLang="en-US" sz="1000">
              <a:latin typeface="Meiryo UI" pitchFamily="50" charset="-128"/>
              <a:ea typeface="Meiryo UI" pitchFamily="50" charset="-128"/>
              <a:cs typeface="Meiryo UI" pitchFamily="50" charset="-128"/>
            </a:rPr>
            <a:t>（ご留意事項）</a:t>
          </a:r>
        </a:p>
        <a:p>
          <a:pPr algn="l"/>
          <a:r>
            <a:rPr kumimoji="1" lang="ja-JP" altLang="en-US" sz="1000">
              <a:latin typeface="Meiryo UI" pitchFamily="50" charset="-128"/>
              <a:ea typeface="Meiryo UI" pitchFamily="50" charset="-128"/>
              <a:cs typeface="Meiryo UI" pitchFamily="50" charset="-128"/>
            </a:rPr>
            <a:t>本チェックシートでは、施策反映の検討の気づきをご提供することを目的としており、必ずしも目安の上限値及び下限値内に施策反映値が入る必要はありません。ただし、乖離が見られた数値については、桁誤り等の数値の入力ミスかどうかのチェックを必ず実施して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57152</xdr:colOff>
      <xdr:row>6</xdr:row>
      <xdr:rowOff>60356</xdr:rowOff>
    </xdr:from>
    <xdr:to>
      <xdr:col>11</xdr:col>
      <xdr:colOff>529590</xdr:colOff>
      <xdr:row>33</xdr:row>
      <xdr:rowOff>0</xdr:rowOff>
    </xdr:to>
    <xdr:pic>
      <xdr:nvPicPr>
        <xdr:cNvPr id="10" name="図 9">
          <a:extLst>
            <a:ext uri="{FF2B5EF4-FFF2-40B4-BE49-F238E27FC236}">
              <a16:creationId xmlns:a16="http://schemas.microsoft.com/office/drawing/2014/main" id="{E4561D34-E999-7BBA-A292-2D3D41BB4270}"/>
            </a:ext>
          </a:extLst>
        </xdr:cNvPr>
        <xdr:cNvPicPr>
          <a:picLocks noChangeAspect="1"/>
        </xdr:cNvPicPr>
      </xdr:nvPicPr>
      <xdr:blipFill>
        <a:blip xmlns:r="http://schemas.openxmlformats.org/officeDocument/2006/relationships" r:embed="rId1"/>
        <a:stretch>
          <a:fillRect/>
        </a:stretch>
      </xdr:blipFill>
      <xdr:spPr>
        <a:xfrm>
          <a:off x="266702" y="1193831"/>
          <a:ext cx="7368538" cy="4311619"/>
        </a:xfrm>
        <a:prstGeom prst="rect">
          <a:avLst/>
        </a:prstGeom>
      </xdr:spPr>
    </xdr:pic>
    <xdr:clientData/>
  </xdr:twoCellAnchor>
  <xdr:twoCellAnchor>
    <xdr:from>
      <xdr:col>1</xdr:col>
      <xdr:colOff>17144</xdr:colOff>
      <xdr:row>14</xdr:row>
      <xdr:rowOff>17143</xdr:rowOff>
    </xdr:from>
    <xdr:to>
      <xdr:col>2</xdr:col>
      <xdr:colOff>611505</xdr:colOff>
      <xdr:row>16</xdr:row>
      <xdr:rowOff>60959</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a:off x="226694" y="2446018"/>
          <a:ext cx="880111" cy="367666"/>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674369</xdr:colOff>
      <xdr:row>13</xdr:row>
      <xdr:rowOff>49531</xdr:rowOff>
    </xdr:from>
    <xdr:to>
      <xdr:col>2</xdr:col>
      <xdr:colOff>1066800</xdr:colOff>
      <xdr:row>14</xdr:row>
      <xdr:rowOff>28575</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1169669" y="2316481"/>
          <a:ext cx="392431" cy="140969"/>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624840</xdr:colOff>
      <xdr:row>11</xdr:row>
      <xdr:rowOff>140971</xdr:rowOff>
    </xdr:from>
    <xdr:to>
      <xdr:col>2</xdr:col>
      <xdr:colOff>1724025</xdr:colOff>
      <xdr:row>12</xdr:row>
      <xdr:rowOff>152400</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1120140" y="2084071"/>
          <a:ext cx="1099185" cy="17335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1407794</xdr:colOff>
      <xdr:row>14</xdr:row>
      <xdr:rowOff>131445</xdr:rowOff>
    </xdr:from>
    <xdr:to>
      <xdr:col>2</xdr:col>
      <xdr:colOff>1962150</xdr:colOff>
      <xdr:row>15</xdr:row>
      <xdr:rowOff>133350</xdr:rowOff>
    </xdr:to>
    <xdr:sp macro="" textlink="">
      <xdr:nvSpPr>
        <xdr:cNvPr id="8" name="正方形/長方形 7">
          <a:extLst>
            <a:ext uri="{FF2B5EF4-FFF2-40B4-BE49-F238E27FC236}">
              <a16:creationId xmlns:a16="http://schemas.microsoft.com/office/drawing/2014/main" id="{00000000-0008-0000-0100-000008000000}"/>
            </a:ext>
          </a:extLst>
        </xdr:cNvPr>
        <xdr:cNvSpPr/>
      </xdr:nvSpPr>
      <xdr:spPr>
        <a:xfrm>
          <a:off x="1969769" y="2503170"/>
          <a:ext cx="554356" cy="15430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9</xdr:col>
      <xdr:colOff>60959</xdr:colOff>
      <xdr:row>19</xdr:row>
      <xdr:rowOff>15240</xdr:rowOff>
    </xdr:from>
    <xdr:to>
      <xdr:col>11</xdr:col>
      <xdr:colOff>1306830</xdr:colOff>
      <xdr:row>24</xdr:row>
      <xdr:rowOff>64770</xdr:rowOff>
    </xdr:to>
    <xdr:sp macro="" textlink="">
      <xdr:nvSpPr>
        <xdr:cNvPr id="2049" name="AutoShape 234">
          <a:extLst>
            <a:ext uri="{FF2B5EF4-FFF2-40B4-BE49-F238E27FC236}">
              <a16:creationId xmlns:a16="http://schemas.microsoft.com/office/drawing/2014/main" id="{00000000-0008-0000-0100-000001080000}"/>
            </a:ext>
          </a:extLst>
        </xdr:cNvPr>
        <xdr:cNvSpPr>
          <a:spLocks/>
        </xdr:cNvSpPr>
      </xdr:nvSpPr>
      <xdr:spPr bwMode="auto">
        <a:xfrm>
          <a:off x="5337809" y="3253740"/>
          <a:ext cx="2407921" cy="859155"/>
        </a:xfrm>
        <a:prstGeom prst="borderCallout1">
          <a:avLst>
            <a:gd name="adj1" fmla="val 22019"/>
            <a:gd name="adj2" fmla="val -4657"/>
            <a:gd name="adj3" fmla="val -68382"/>
            <a:gd name="adj4" fmla="val -125714"/>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第</a:t>
          </a:r>
          <a:r>
            <a:rPr lang="en-US" altLang="ja-JP" sz="1000" b="0" i="0" u="none" strike="noStrike" baseline="0">
              <a:solidFill>
                <a:srgbClr val="000000"/>
              </a:solidFill>
              <a:latin typeface="Meiryo UI" pitchFamily="50" charset="-128"/>
              <a:ea typeface="Meiryo UI" pitchFamily="50" charset="-128"/>
              <a:cs typeface="Meiryo UI" pitchFamily="50" charset="-128"/>
            </a:rPr>
            <a:t>1</a:t>
          </a:r>
          <a:r>
            <a:rPr lang="ja-JP" altLang="en-US" sz="1000" b="0" i="0" u="none" strike="noStrike" baseline="0">
              <a:solidFill>
                <a:srgbClr val="000000"/>
              </a:solidFill>
              <a:latin typeface="Meiryo UI" pitchFamily="50" charset="-128"/>
              <a:ea typeface="Meiryo UI" pitchFamily="50" charset="-128"/>
              <a:cs typeface="Meiryo UI" pitchFamily="50" charset="-128"/>
            </a:rPr>
            <a:t>号被保険者の「合計」列の数値が下表「ワーニングチェック結果」の「認定者数」に年度・男女別に出力されています。</a:t>
          </a:r>
        </a:p>
        <a:p>
          <a:pPr algn="l" rtl="0">
            <a:defRPr sz="1000"/>
          </a:pPr>
          <a:endParaRPr lang="ja-JP" altLang="en-US" sz="1000" b="0" i="0" u="none" strike="noStrike" baseline="0">
            <a:solidFill>
              <a:srgbClr val="000000"/>
            </a:solidFill>
            <a:latin typeface="Meiryo UI" pitchFamily="50" charset="-128"/>
            <a:ea typeface="Meiryo UI" pitchFamily="50" charset="-128"/>
            <a:cs typeface="Meiryo UI" pitchFamily="50" charset="-128"/>
          </a:endParaRPr>
        </a:p>
      </xdr:txBody>
    </xdr:sp>
    <xdr:clientData/>
  </xdr:twoCellAnchor>
  <xdr:twoCellAnchor>
    <xdr:from>
      <xdr:col>2</xdr:col>
      <xdr:colOff>680084</xdr:colOff>
      <xdr:row>21</xdr:row>
      <xdr:rowOff>62866</xdr:rowOff>
    </xdr:from>
    <xdr:to>
      <xdr:col>2</xdr:col>
      <xdr:colOff>1076325</xdr:colOff>
      <xdr:row>22</xdr:row>
      <xdr:rowOff>36195</xdr:rowOff>
    </xdr:to>
    <xdr:sp macro="" textlink="">
      <xdr:nvSpPr>
        <xdr:cNvPr id="11" name="正方形/長方形 10">
          <a:extLst>
            <a:ext uri="{FF2B5EF4-FFF2-40B4-BE49-F238E27FC236}">
              <a16:creationId xmlns:a16="http://schemas.microsoft.com/office/drawing/2014/main" id="{E2CDA352-81DF-2C40-66BD-A5274228E129}"/>
            </a:ext>
          </a:extLst>
        </xdr:cNvPr>
        <xdr:cNvSpPr/>
      </xdr:nvSpPr>
      <xdr:spPr>
        <a:xfrm>
          <a:off x="1175384" y="3625216"/>
          <a:ext cx="396241" cy="13525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1409699</xdr:colOff>
      <xdr:row>23</xdr:row>
      <xdr:rowOff>11430</xdr:rowOff>
    </xdr:from>
    <xdr:to>
      <xdr:col>2</xdr:col>
      <xdr:colOff>1952625</xdr:colOff>
      <xdr:row>24</xdr:row>
      <xdr:rowOff>9525</xdr:rowOff>
    </xdr:to>
    <xdr:sp macro="" textlink="">
      <xdr:nvSpPr>
        <xdr:cNvPr id="12" name="正方形/長方形 11">
          <a:extLst>
            <a:ext uri="{FF2B5EF4-FFF2-40B4-BE49-F238E27FC236}">
              <a16:creationId xmlns:a16="http://schemas.microsoft.com/office/drawing/2014/main" id="{6FAD7DB8-2F3D-6CD6-499E-283D0C3ED502}"/>
            </a:ext>
          </a:extLst>
        </xdr:cNvPr>
        <xdr:cNvSpPr/>
      </xdr:nvSpPr>
      <xdr:spPr>
        <a:xfrm>
          <a:off x="1971674" y="3754755"/>
          <a:ext cx="542926" cy="15049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6</xdr:row>
      <xdr:rowOff>123825</xdr:rowOff>
    </xdr:from>
    <xdr:to>
      <xdr:col>10</xdr:col>
      <xdr:colOff>899464</xdr:colOff>
      <xdr:row>32</xdr:row>
      <xdr:rowOff>123825</xdr:rowOff>
    </xdr:to>
    <xdr:pic>
      <xdr:nvPicPr>
        <xdr:cNvPr id="2" name="図 1">
          <a:extLst>
            <a:ext uri="{FF2B5EF4-FFF2-40B4-BE49-F238E27FC236}">
              <a16:creationId xmlns:a16="http://schemas.microsoft.com/office/drawing/2014/main" id="{6E4FEF56-ED03-FE6A-8585-FDA2048A2C21}"/>
            </a:ext>
          </a:extLst>
        </xdr:cNvPr>
        <xdr:cNvPicPr>
          <a:picLocks noChangeAspect="1"/>
        </xdr:cNvPicPr>
      </xdr:nvPicPr>
      <xdr:blipFill>
        <a:blip xmlns:r="http://schemas.openxmlformats.org/officeDocument/2006/relationships" r:embed="rId1"/>
        <a:stretch>
          <a:fillRect/>
        </a:stretch>
      </xdr:blipFill>
      <xdr:spPr>
        <a:xfrm>
          <a:off x="352425" y="1276350"/>
          <a:ext cx="8376589" cy="3962400"/>
        </a:xfrm>
        <a:prstGeom prst="rect">
          <a:avLst/>
        </a:prstGeom>
      </xdr:spPr>
    </xdr:pic>
    <xdr:clientData/>
  </xdr:twoCellAnchor>
  <xdr:twoCellAnchor>
    <xdr:from>
      <xdr:col>1</xdr:col>
      <xdr:colOff>81438</xdr:colOff>
      <xdr:row>18</xdr:row>
      <xdr:rowOff>22145</xdr:rowOff>
    </xdr:from>
    <xdr:to>
      <xdr:col>2</xdr:col>
      <xdr:colOff>893682</xdr:colOff>
      <xdr:row>21</xdr:row>
      <xdr:rowOff>48815</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319563" y="3003470"/>
          <a:ext cx="1136094" cy="483870"/>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892492</xdr:colOff>
      <xdr:row>10</xdr:row>
      <xdr:rowOff>10954</xdr:rowOff>
    </xdr:from>
    <xdr:to>
      <xdr:col>4</xdr:col>
      <xdr:colOff>44291</xdr:colOff>
      <xdr:row>11</xdr:row>
      <xdr:rowOff>49053</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1454467" y="1773079"/>
          <a:ext cx="2399824" cy="190499"/>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1079508</xdr:colOff>
      <xdr:row>17</xdr:row>
      <xdr:rowOff>33037</xdr:rowOff>
    </xdr:from>
    <xdr:to>
      <xdr:col>2</xdr:col>
      <xdr:colOff>1276200</xdr:colOff>
      <xdr:row>20</xdr:row>
      <xdr:rowOff>133449</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1641483" y="2861962"/>
          <a:ext cx="196692" cy="557612"/>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xdr:col>
      <xdr:colOff>356084</xdr:colOff>
      <xdr:row>17</xdr:row>
      <xdr:rowOff>112533</xdr:rowOff>
    </xdr:from>
    <xdr:to>
      <xdr:col>5</xdr:col>
      <xdr:colOff>342900</xdr:colOff>
      <xdr:row>18</xdr:row>
      <xdr:rowOff>123825</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4166084" y="2941458"/>
          <a:ext cx="586891" cy="163692"/>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1276349</xdr:colOff>
      <xdr:row>17</xdr:row>
      <xdr:rowOff>86077</xdr:rowOff>
    </xdr:from>
    <xdr:to>
      <xdr:col>4</xdr:col>
      <xdr:colOff>371475</xdr:colOff>
      <xdr:row>18</xdr:row>
      <xdr:rowOff>123825</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1838324" y="2915002"/>
          <a:ext cx="2343151" cy="190148"/>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7</xdr:col>
      <xdr:colOff>266700</xdr:colOff>
      <xdr:row>15</xdr:row>
      <xdr:rowOff>133350</xdr:rowOff>
    </xdr:from>
    <xdr:to>
      <xdr:col>10</xdr:col>
      <xdr:colOff>838200</xdr:colOff>
      <xdr:row>25</xdr:row>
      <xdr:rowOff>5715</xdr:rowOff>
    </xdr:to>
    <xdr:sp macro="" textlink="">
      <xdr:nvSpPr>
        <xdr:cNvPr id="16" name="AutoShape 234">
          <a:extLst>
            <a:ext uri="{FF2B5EF4-FFF2-40B4-BE49-F238E27FC236}">
              <a16:creationId xmlns:a16="http://schemas.microsoft.com/office/drawing/2014/main" id="{00000000-0008-0000-0200-000010000000}"/>
            </a:ext>
          </a:extLst>
        </xdr:cNvPr>
        <xdr:cNvSpPr>
          <a:spLocks/>
        </xdr:cNvSpPr>
      </xdr:nvSpPr>
      <xdr:spPr bwMode="auto">
        <a:xfrm>
          <a:off x="5943600" y="2657475"/>
          <a:ext cx="2724150" cy="1396365"/>
        </a:xfrm>
        <a:prstGeom prst="borderCallout1">
          <a:avLst>
            <a:gd name="adj1" fmla="val 22019"/>
            <a:gd name="adj2" fmla="val -4657"/>
            <a:gd name="adj3" fmla="val 25403"/>
            <a:gd name="adj4" fmla="val -43667"/>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「合計」列の数値が下表の「利用者数」にサービス種類・年度別に出力されています。</a:t>
          </a:r>
          <a:endParaRPr lang="en-US" altLang="ja-JP" sz="1000" b="0" i="0" u="none" strike="noStrike" baseline="0">
            <a:solidFill>
              <a:srgbClr val="000000"/>
            </a:solidFill>
            <a:latin typeface="Meiryo UI" pitchFamily="50" charset="-128"/>
            <a:ea typeface="Meiryo UI" pitchFamily="50" charset="-128"/>
            <a:cs typeface="Meiryo UI" pitchFamily="50" charset="-128"/>
          </a:endParaRPr>
        </a:p>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例では、令和</a:t>
          </a:r>
          <a:r>
            <a:rPr lang="en-US" altLang="ja-JP" sz="1000" b="0" i="0" u="none" strike="noStrike" baseline="0">
              <a:solidFill>
                <a:srgbClr val="000000"/>
              </a:solidFill>
              <a:latin typeface="Meiryo UI" pitchFamily="50" charset="-128"/>
              <a:ea typeface="Meiryo UI" pitchFamily="50" charset="-128"/>
              <a:cs typeface="Meiryo UI" pitchFamily="50" charset="-128"/>
            </a:rPr>
            <a:t>9</a:t>
          </a:r>
          <a:r>
            <a:rPr lang="ja-JP" altLang="en-US" sz="1000" b="0" i="0" u="none" strike="noStrike" baseline="0">
              <a:solidFill>
                <a:srgbClr val="000000"/>
              </a:solidFill>
              <a:latin typeface="Meiryo UI" pitchFamily="50" charset="-128"/>
              <a:ea typeface="Meiryo UI" pitchFamily="50" charset="-128"/>
              <a:cs typeface="Meiryo UI" pitchFamily="50" charset="-128"/>
            </a:rPr>
            <a:t>年度の「認知症対応型共同生活介護」の利用者数を示しています。</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84985</xdr:colOff>
      <xdr:row>6</xdr:row>
      <xdr:rowOff>28575</xdr:rowOff>
    </xdr:from>
    <xdr:to>
      <xdr:col>10</xdr:col>
      <xdr:colOff>496799</xdr:colOff>
      <xdr:row>31</xdr:row>
      <xdr:rowOff>134173</xdr:rowOff>
    </xdr:to>
    <xdr:pic>
      <xdr:nvPicPr>
        <xdr:cNvPr id="3" name="図 2">
          <a:extLst>
            <a:ext uri="{FF2B5EF4-FFF2-40B4-BE49-F238E27FC236}">
              <a16:creationId xmlns:a16="http://schemas.microsoft.com/office/drawing/2014/main" id="{EC064208-8C76-C132-D9FF-B796C9E8D974}"/>
            </a:ext>
          </a:extLst>
        </xdr:cNvPr>
        <xdr:cNvPicPr>
          <a:picLocks noChangeAspect="1"/>
        </xdr:cNvPicPr>
      </xdr:nvPicPr>
      <xdr:blipFill>
        <a:blip xmlns:r="http://schemas.openxmlformats.org/officeDocument/2006/relationships" r:embed="rId1"/>
        <a:stretch>
          <a:fillRect/>
        </a:stretch>
      </xdr:blipFill>
      <xdr:spPr>
        <a:xfrm>
          <a:off x="323110" y="1181100"/>
          <a:ext cx="8003239" cy="4391848"/>
        </a:xfrm>
        <a:prstGeom prst="rect">
          <a:avLst/>
        </a:prstGeom>
      </xdr:spPr>
    </xdr:pic>
    <xdr:clientData/>
  </xdr:twoCellAnchor>
  <xdr:twoCellAnchor>
    <xdr:from>
      <xdr:col>1</xdr:col>
      <xdr:colOff>76199</xdr:colOff>
      <xdr:row>18</xdr:row>
      <xdr:rowOff>66675</xdr:rowOff>
    </xdr:from>
    <xdr:to>
      <xdr:col>2</xdr:col>
      <xdr:colOff>847724</xdr:colOff>
      <xdr:row>21</xdr:row>
      <xdr:rowOff>47625</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314324" y="3276600"/>
          <a:ext cx="1095375" cy="495300"/>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874394</xdr:colOff>
      <xdr:row>8</xdr:row>
      <xdr:rowOff>142876</xdr:rowOff>
    </xdr:from>
    <xdr:to>
      <xdr:col>3</xdr:col>
      <xdr:colOff>209550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1436369" y="1638301"/>
          <a:ext cx="1916431" cy="20002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977265</xdr:colOff>
      <xdr:row>29</xdr:row>
      <xdr:rowOff>11429</xdr:rowOff>
    </xdr:from>
    <xdr:to>
      <xdr:col>2</xdr:col>
      <xdr:colOff>1952624</xdr:colOff>
      <xdr:row>31</xdr:row>
      <xdr:rowOff>78104</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1539240" y="5107304"/>
          <a:ext cx="975359" cy="40957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8</xdr:col>
      <xdr:colOff>38100</xdr:colOff>
      <xdr:row>20</xdr:row>
      <xdr:rowOff>53340</xdr:rowOff>
    </xdr:from>
    <xdr:to>
      <xdr:col>10</xdr:col>
      <xdr:colOff>1386840</xdr:colOff>
      <xdr:row>29</xdr:row>
      <xdr:rowOff>91440</xdr:rowOff>
    </xdr:to>
    <xdr:sp macro="" textlink="">
      <xdr:nvSpPr>
        <xdr:cNvPr id="14" name="AutoShape 234">
          <a:extLst>
            <a:ext uri="{FF2B5EF4-FFF2-40B4-BE49-F238E27FC236}">
              <a16:creationId xmlns:a16="http://schemas.microsoft.com/office/drawing/2014/main" id="{00000000-0008-0000-0300-00000E000000}"/>
            </a:ext>
          </a:extLst>
        </xdr:cNvPr>
        <xdr:cNvSpPr>
          <a:spLocks/>
        </xdr:cNvSpPr>
      </xdr:nvSpPr>
      <xdr:spPr bwMode="auto">
        <a:xfrm>
          <a:off x="5305425" y="3587115"/>
          <a:ext cx="2510790" cy="1581150"/>
        </a:xfrm>
        <a:prstGeom prst="borderCallout1">
          <a:avLst>
            <a:gd name="adj1" fmla="val 48525"/>
            <a:gd name="adj2" fmla="val -4657"/>
            <a:gd name="adj3" fmla="val 98428"/>
            <a:gd name="adj4" fmla="val -135345"/>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「在宅サービス利用者数」の表の「合計」列の数値が下表の「利用者数」にサービス種類・年度別に出力されています。</a:t>
          </a:r>
          <a:endParaRPr lang="en-US" altLang="ja-JP" sz="1000" b="0" i="0" u="none" strike="noStrike" baseline="0">
            <a:solidFill>
              <a:srgbClr val="000000"/>
            </a:solidFill>
            <a:latin typeface="Meiryo UI" pitchFamily="50" charset="-128"/>
            <a:ea typeface="Meiryo UI" pitchFamily="50" charset="-128"/>
            <a:cs typeface="Meiryo UI" pitchFamily="50" charset="-128"/>
          </a:endParaRPr>
        </a:p>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例では、「訪問介護」における令和</a:t>
          </a:r>
          <a:r>
            <a:rPr lang="en-US" altLang="ja-JP" sz="1000" b="0" i="0" u="none" strike="noStrike" baseline="0">
              <a:solidFill>
                <a:srgbClr val="000000"/>
              </a:solidFill>
              <a:latin typeface="Meiryo UI" pitchFamily="50" charset="-128"/>
              <a:ea typeface="Meiryo UI" pitchFamily="50" charset="-128"/>
              <a:cs typeface="Meiryo UI" pitchFamily="50" charset="-128"/>
            </a:rPr>
            <a:t>6</a:t>
          </a:r>
          <a:r>
            <a:rPr lang="ja-JP" altLang="en-US" sz="1000" b="0" i="0" u="none" strike="noStrike" baseline="0">
              <a:solidFill>
                <a:srgbClr val="000000"/>
              </a:solidFill>
              <a:latin typeface="Meiryo UI" pitchFamily="50" charset="-128"/>
              <a:ea typeface="Meiryo UI" pitchFamily="50" charset="-128"/>
              <a:cs typeface="Meiryo UI" pitchFamily="50" charset="-128"/>
            </a:rPr>
            <a:t>年度～令和</a:t>
          </a:r>
          <a:r>
            <a:rPr lang="en-US" altLang="ja-JP" sz="1000" b="0" i="0" u="none" strike="noStrike" baseline="0">
              <a:solidFill>
                <a:srgbClr val="000000"/>
              </a:solidFill>
              <a:latin typeface="Meiryo UI" pitchFamily="50" charset="-128"/>
              <a:ea typeface="Meiryo UI" pitchFamily="50" charset="-128"/>
              <a:cs typeface="Meiryo UI" pitchFamily="50" charset="-128"/>
            </a:rPr>
            <a:t>8</a:t>
          </a:r>
          <a:r>
            <a:rPr lang="ja-JP" altLang="en-US" sz="1000" b="0" i="0" u="none" strike="noStrike" baseline="0">
              <a:solidFill>
                <a:srgbClr val="000000"/>
              </a:solidFill>
              <a:latin typeface="Meiryo UI" pitchFamily="50" charset="-128"/>
              <a:ea typeface="Meiryo UI" pitchFamily="50" charset="-128"/>
              <a:cs typeface="Meiryo UI" pitchFamily="50" charset="-128"/>
            </a:rPr>
            <a:t>年度の利用者数を示しています。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3.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s>

</file>

<file path=xl/worksheets/_rels/sheet4.xml.rels><?xml version="1.0" encoding="UTF-8" standalone="no"?>
<Relationships xmlns="http://schemas.openxmlformats.org/package/2006/relationships">
<Relationship Id="rId1" Target="../printerSettings/printerSettings3.bin" Type="http://schemas.openxmlformats.org/officeDocument/2006/relationships/printerSettings"/>
<Relationship Id="rId2" Target="../drawings/drawing3.xml" Type="http://schemas.openxmlformats.org/officeDocument/2006/relationships/drawing"/>
</Relationships>

</file>

<file path=xl/worksheets/_rels/sheet5.xml.rels><?xml version="1.0" encoding="UTF-8" standalone="no"?>
<Relationships xmlns="http://schemas.openxmlformats.org/package/2006/relationships">
<Relationship Id="rId1" Target="../printerSettings/printerSettings4.bin" Type="http://schemas.openxmlformats.org/officeDocument/2006/relationships/printerSettings"/>
<Relationship Id="rId2" Target="../drawings/drawing4.xml" Type="http://schemas.openxmlformats.org/officeDocument/2006/relationships/drawing"/>
</Relationships>

</file>

<file path=xl/worksheets/_rels/sheet6.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view="pageBreakPreview" zoomScaleNormal="100" zoomScaleSheetLayoutView="100" workbookViewId="0"/>
  </sheetViews>
  <sheetFormatPr defaultColWidth="9" defaultRowHeight="12"/>
  <cols>
    <col min="1" max="1" customWidth="true" style="1" width="3.125" collapsed="false"/>
    <col min="2" max="2" customWidth="true" style="1" width="4.25" collapsed="false"/>
    <col min="3" max="3" customWidth="true" style="1" width="44.25" collapsed="false"/>
    <col min="4" max="4" bestFit="true" customWidth="true" style="1" width="13.625" collapsed="false"/>
    <col min="5" max="5" customWidth="true" style="1" width="17.625" collapsed="false"/>
    <col min="6" max="16384" style="1" width="9.0" collapsed="false"/>
  </cols>
  <sheetData>
    <row r="1" spans="1:6" ht="19.5" customHeight="1">
      <c r="A1" s="63" t="s">
        <v>59</v>
      </c>
      <c r="D1" s="62" t="s">
        <v>107</v>
      </c>
      <c r="E1" s="148" t="s">
        <v>418</v>
      </c>
      <c r="F1" s="147"/>
    </row>
    <row r="2" spans="1:6" ht="19.5" customHeight="1">
      <c r="A2" s="63"/>
      <c r="D2" s="62" t="s">
        <v>61</v>
      </c>
      <c r="E2" s="147" t="s">
        <v>419</v>
      </c>
      <c r="F2" s="147"/>
    </row>
    <row r="3" spans="1:6" ht="15.75" customHeight="1">
      <c r="A3" s="63"/>
      <c r="D3" s="62"/>
      <c r="E3" s="69"/>
      <c r="F3" s="69"/>
    </row>
    <row r="4" spans="1:6" ht="24.75" customHeight="1">
      <c r="A4" s="63"/>
      <c r="D4" s="62"/>
      <c r="E4" s="69"/>
      <c r="F4" s="69"/>
    </row>
    <row r="5" spans="1:6" ht="24.75" customHeight="1">
      <c r="A5" s="63"/>
      <c r="D5" s="62"/>
      <c r="E5" s="69"/>
      <c r="F5" s="69"/>
    </row>
    <row r="6" spans="1:6" ht="24.75" customHeight="1">
      <c r="A6" s="63"/>
      <c r="D6" s="62"/>
      <c r="E6" s="69"/>
      <c r="F6" s="69"/>
    </row>
    <row r="7" spans="1:6" ht="24.75" customHeight="1">
      <c r="A7" s="63"/>
      <c r="D7" s="62"/>
      <c r="E7" s="69"/>
      <c r="F7" s="69"/>
    </row>
    <row r="8" spans="1:6" ht="24.75" customHeight="1">
      <c r="A8" s="63"/>
      <c r="D8" s="62"/>
      <c r="E8" s="69"/>
      <c r="F8" s="69"/>
    </row>
    <row r="9" spans="1:6" ht="24.75" customHeight="1">
      <c r="A9" s="63"/>
      <c r="D9" s="62"/>
      <c r="E9" s="69"/>
      <c r="F9" s="69"/>
    </row>
    <row r="10" spans="1:6" ht="15.75" customHeight="1"/>
    <row r="11" spans="1:6" ht="30" customHeight="1">
      <c r="B11" s="67" t="s">
        <v>0</v>
      </c>
      <c r="C11" s="68" t="s">
        <v>113</v>
      </c>
      <c r="D11" s="60" t="s">
        <v>81</v>
      </c>
    </row>
    <row r="12" spans="1:6" ht="15.75" customHeight="1">
      <c r="B12" s="3">
        <v>1</v>
      </c>
      <c r="C12" s="97" t="s">
        <v>78</v>
      </c>
      <c r="D12" s="75" t="str">
        <f>IF('施策反映 認定者数'!O43="","",IF(COUNTIF('施策反映 認定者数'!N37:N42,1)=0,"該当無し",COUNTIF('施策反映 認定者数'!N37:N42,1)))</f>
        <v>該当無し</v>
      </c>
    </row>
    <row r="13" spans="1:6" ht="15.75" customHeight="1">
      <c r="B13" s="3">
        <v>2</v>
      </c>
      <c r="C13" s="97" t="s">
        <v>79</v>
      </c>
      <c r="D13" s="75" t="str">
        <f>IF('施策反映 施設・居住系サービス利用者数'!N58="","",IF(COUNTIF('施策反映 施設・居住系サービス利用者数'!M37:M60,1)=0,"該当無し",COUNTIF('施策反映 施設・居住系サービス利用者数'!M37:M60,1)))</f>
        <v>該当無し</v>
      </c>
    </row>
    <row r="14" spans="1:6" ht="15.75" customHeight="1">
      <c r="B14" s="3">
        <v>3</v>
      </c>
      <c r="C14" s="97" t="s">
        <v>80</v>
      </c>
      <c r="D14" s="75" t="str">
        <f>IF('施策反映 在宅サービス利用者数'!N108="","",IF(COUNTIF('施策反映 在宅サービス利用者数'!M37:M104,1)=0,"該当無し",COUNTIF('施策反映 在宅サービス利用者数'!M37:M104,1)))</f>
        <v>該当無し</v>
      </c>
    </row>
    <row r="15" spans="1:6" ht="15.75" customHeight="1"/>
    <row r="16" spans="1:6" ht="15.75" customHeight="1"/>
    <row r="17" spans="2:4" ht="15.75" customHeight="1">
      <c r="B17" s="1" t="s">
        <v>85</v>
      </c>
    </row>
    <row r="18" spans="2:4" ht="8.25" customHeight="1"/>
    <row r="19" spans="2:4" ht="15.75" customHeight="1">
      <c r="B19" s="1" t="s">
        <v>92</v>
      </c>
    </row>
    <row r="20" spans="2:4" ht="30" customHeight="1">
      <c r="B20" s="68" t="s">
        <v>0</v>
      </c>
      <c r="C20" s="68" t="s">
        <v>88</v>
      </c>
      <c r="D20" s="60" t="s">
        <v>81</v>
      </c>
    </row>
    <row r="21" spans="2:4" ht="15.75" customHeight="1">
      <c r="B21" s="3">
        <v>1</v>
      </c>
      <c r="C21" s="98" t="s">
        <v>87</v>
      </c>
      <c r="D21" s="75" t="str">
        <f>IF('(参考)在宅・居住系・施設1人1月あたり給付費'!N73="","",IF(COUNTIF('(参考)在宅・居住系・施設1人1月あたり給付費'!$M$7:$M$72,1)=0,"該当無し",COUNTIF('(参考)在宅・居住系・施設1人1月あたり給付費'!$M$7:$M$72,1)))</f>
        <v>該当無し</v>
      </c>
    </row>
    <row r="22" spans="2:4" ht="15.75" customHeight="1"/>
    <row r="23" spans="2:4" ht="15.75" customHeight="1">
      <c r="B23" s="1" t="s">
        <v>93</v>
      </c>
    </row>
    <row r="24" spans="2:4" ht="30" customHeight="1">
      <c r="B24" s="70" t="s">
        <v>0</v>
      </c>
      <c r="C24" s="67" t="s">
        <v>88</v>
      </c>
      <c r="D24" s="61" t="s">
        <v>81</v>
      </c>
    </row>
    <row r="25" spans="2:4" ht="15.75" customHeight="1">
      <c r="B25" s="77">
        <v>1</v>
      </c>
      <c r="C25" s="98" t="s">
        <v>110</v>
      </c>
      <c r="D25" s="75" t="str">
        <f>IF('(参考)1人(1回(日))1月あたり給付費(在宅)'!O517="","",IF(COUNTIF('(参考)1人(1回(日))1月あたり給付費(在宅)'!N7:N498,1)=0,"該当無し",COUNTIF('(参考)1人(1回(日))1月あたり給付費(在宅)'!N7:N498,1)))</f>
        <v>該当無し</v>
      </c>
    </row>
    <row r="26" spans="2:4" ht="15.75" customHeight="1">
      <c r="B26" s="76">
        <v>2</v>
      </c>
      <c r="C26" s="97" t="s">
        <v>111</v>
      </c>
      <c r="D26" s="75" t="str">
        <f>IF('(参考)1人(1回(日))1月あたり給付費(居住系)'!O91="","",IF(COUNTIF('(参考)1人(1回(日))1月あたり給付費(居住系)'!N7:N90,1)=0,"該当無し",COUNTIF('(参考)1人(1回(日))1月あたり給付費(居住系)'!N7:N90,1)))</f>
        <v>該当無し</v>
      </c>
    </row>
    <row r="27" spans="2:4" ht="15.75" customHeight="1">
      <c r="B27" s="76">
        <v>3</v>
      </c>
      <c r="C27" s="97" t="s">
        <v>86</v>
      </c>
      <c r="D27" s="75" t="str">
        <f>IF('(参考)1人(1回(日))1月あたり給付費(施設)'!O61="","",IF(COUNTIF('(参考)1人(1回(日))1月あたり給付費(施設)'!N7:N42,1)=0,"該当無し",COUNTIF('(参考)1人(1回(日))1月あたり給付費(施設)'!N7:N42,1)))</f>
        <v>該当無し</v>
      </c>
    </row>
    <row r="29" spans="2:4" ht="15.75" customHeight="1">
      <c r="B29" s="1" t="s">
        <v>89</v>
      </c>
    </row>
    <row r="30" spans="2:4" ht="30" customHeight="1">
      <c r="B30" s="68" t="s">
        <v>0</v>
      </c>
      <c r="C30" s="68" t="s">
        <v>88</v>
      </c>
      <c r="D30" s="60" t="s">
        <v>81</v>
      </c>
    </row>
    <row r="31" spans="2:4" ht="15.75" customHeight="1">
      <c r="B31" s="3">
        <v>1</v>
      </c>
      <c r="C31" s="97" t="s">
        <v>82</v>
      </c>
      <c r="D31" s="75" t="n">
        <f>IF('在宅サービス1人1月あたり利用回（日）数'!L271="","",IF(COUNTIF('在宅サービス1人1月あたり利用回（日）数'!K7:K270,1)=0,"該当無し",COUNTIF('在宅サービス1人1月あたり利用回（日）数'!K7:K270,1)))</f>
        <v>33.0</v>
      </c>
    </row>
  </sheetData>
  <mergeCells count="2">
    <mergeCell ref="E2:F2"/>
    <mergeCell ref="E1:F1"/>
  </mergeCells>
  <phoneticPr fontId="2"/>
  <conditionalFormatting sqref="B12:D14 B21:D21 B25:D27 B31:D31">
    <cfRule type="expression" dxfId="28" priority="2">
      <formula>$D12=""</formula>
    </cfRule>
  </conditionalFormatting>
  <conditionalFormatting sqref="D12:D14 D21 D25:D27">
    <cfRule type="expression" dxfId="27" priority="18">
      <formula>D12&lt;&gt;"該当無し"</formula>
    </cfRule>
  </conditionalFormatting>
  <conditionalFormatting sqref="D31">
    <cfRule type="expression" dxfId="26" priority="12">
      <formula>D31&lt;&gt;"該当無し"</formula>
    </cfRule>
  </conditionalFormatting>
  <hyperlinks>
    <hyperlink ref="C12" location="'施策反映 認定者数'!A1" display="施策反映　認定者数" xr:uid="{00000000-0004-0000-0000-000000000000}"/>
    <hyperlink ref="C13" location="'施策反映 施設・居住系サービス利用者数'!A1" display="施策反映　施設・居住系サービス利用者数" xr:uid="{00000000-0004-0000-0000-000001000000}"/>
    <hyperlink ref="C14" location="'施策反映 在宅サービス利用者数'!A1" display="施策反映　在宅サービス利用者数" xr:uid="{00000000-0004-0000-0000-000002000000}"/>
    <hyperlink ref="C21" location="'(参考)在宅・居住系・施設1人1月あたり給付費'!A1" display="在宅サービス／居住系サービス／施設サービス" xr:uid="{00000000-0004-0000-0000-000003000000}"/>
    <hyperlink ref="C26" location="'(参考)1人(1回(日))1月あたり給付費(居住系)'!A1" display="居住系サービス" xr:uid="{00000000-0004-0000-0000-000004000000}"/>
    <hyperlink ref="C27" location="'(参考)1人(1回(日))1月あたり給付費(施設)'!A1" display="施設サービス" xr:uid="{00000000-0004-0000-0000-000005000000}"/>
    <hyperlink ref="C31" location="'在宅サービス1人1月あたり利用回（日）数'!A1" display="在宅サービス" xr:uid="{00000000-0004-0000-0000-000006000000}"/>
    <hyperlink ref="C25" location="'(参考)1人(1回(日))1月あたり給付費(在宅)'!A1" display="在宅サービス" xr:uid="{00000000-0004-0000-0000-000007000000}"/>
  </hyperlinks>
  <pageMargins left="0.51181102362204722" right="0.51181102362204722" top="0.55118110236220474" bottom="0.55118110236220474" header="0.31496062992125984" footer="0.31496062992125984"/>
  <pageSetup paperSize="9" orientation="portrait" useFirstPageNumber="1" r:id="rId1"/>
  <headerFooter>
    <oddFooter>&amp;C&amp;A-&amp;P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59A31-F570-47F2-B490-F14B96A4F747}">
  <dimension ref="A1:K356"/>
  <sheetViews>
    <sheetView workbookViewId="0">
      <selection activeCell="L18" sqref="L18"/>
    </sheetView>
  </sheetViews>
  <sheetFormatPr defaultRowHeight="11.25"/>
  <cols>
    <col min="1" max="1" customWidth="true" style="133" width="36.875" collapsed="false"/>
    <col min="2" max="2" customWidth="true" style="133" width="19.5" collapsed="false"/>
    <col min="3" max="7" style="133" width="9.0" collapsed="false"/>
    <col min="8" max="8" customWidth="true" style="133" width="17.125" collapsed="false"/>
    <col min="9" max="9" customWidth="true" style="133" width="10.875" collapsed="false"/>
    <col min="10" max="10" customWidth="true" style="133" width="21.5" collapsed="false"/>
    <col min="11" max="16384" style="133" width="9.0" collapsed="false"/>
  </cols>
  <sheetData>
    <row r="1" spans="1:10">
      <c r="A1" s="132"/>
      <c r="B1" s="132"/>
      <c r="C1" s="132"/>
      <c r="D1" s="132"/>
      <c r="E1" s="132"/>
      <c r="F1" s="132"/>
      <c r="G1" s="132"/>
      <c r="H1" s="132"/>
      <c r="I1" s="132" t="s">
        <v>124</v>
      </c>
      <c r="J1" s="132" t="s">
        <v>125</v>
      </c>
    </row>
    <row r="2" spans="1:10">
      <c r="A2" s="132" t="s">
        <v>126</v>
      </c>
      <c r="B2" s="132"/>
      <c r="C2" s="132" t="s">
        <v>127</v>
      </c>
      <c r="D2" s="132" t="s">
        <v>128</v>
      </c>
      <c r="E2" s="132" t="s">
        <v>129</v>
      </c>
      <c r="F2" s="132" t="s">
        <v>130</v>
      </c>
      <c r="G2" s="132" t="s">
        <v>131</v>
      </c>
      <c r="H2" s="132" t="s">
        <v>132</v>
      </c>
      <c r="I2" s="132" t="s">
        <v>133</v>
      </c>
      <c r="J2" s="132" t="s">
        <v>134</v>
      </c>
    </row>
    <row r="3" spans="1:10">
      <c r="A3" s="134" t="s">
        <v>135</v>
      </c>
      <c r="B3" s="134" t="s">
        <v>136</v>
      </c>
      <c r="C3" s="135">
        <v>-22.352941176470502</v>
      </c>
      <c r="D3" s="135">
        <v>-0.54406964091403698</v>
      </c>
      <c r="E3" s="135">
        <v>2.0562770562770498</v>
      </c>
      <c r="F3" s="135">
        <v>4.1925465838509304</v>
      </c>
      <c r="G3" s="135">
        <v>34.375</v>
      </c>
      <c r="H3" s="134" t="n">
        <f>F3-D3</f>
        <v>4.736616224764967</v>
      </c>
      <c r="I3" s="134">
        <v>-0.11</v>
      </c>
      <c r="J3" s="134">
        <v>0.14000000000000001</v>
      </c>
    </row>
    <row r="4" spans="1:10">
      <c r="A4" s="134" t="s">
        <v>138</v>
      </c>
      <c r="B4" s="134" t="s">
        <v>137</v>
      </c>
      <c r="C4" s="135">
        <v>-13.824884792626699</v>
      </c>
      <c r="D4" s="135">
        <v>-0.97656400865120896</v>
      </c>
      <c r="E4" s="135">
        <v>1.09139898389167</v>
      </c>
      <c r="F4" s="135">
        <v>2.8908324907483198</v>
      </c>
      <c r="G4" s="135">
        <v>12.290502793296</v>
      </c>
      <c r="H4" s="134" t="n">
        <f t="shared" ref="H4:H33" si="0">F4-D4</f>
        <v>3.8673964993995287</v>
      </c>
      <c r="I4" s="134">
        <v>-0.09</v>
      </c>
      <c r="J4" s="134">
        <v>0.11</v>
      </c>
    </row>
    <row r="5" spans="1:10">
      <c r="A5" s="134" t="s">
        <v>140</v>
      </c>
      <c r="B5" s="134" t="s">
        <v>141</v>
      </c>
      <c r="C5" s="135">
        <v>-100</v>
      </c>
      <c r="D5" s="135">
        <v>-3.38775019741133</v>
      </c>
      <c r="E5" s="135">
        <v>2.9035012809564398</v>
      </c>
      <c r="F5" s="135">
        <v>9.3070721052329901</v>
      </c>
      <c r="G5" s="135">
        <v>2039.1304347826001</v>
      </c>
      <c r="H5" s="134" t="n">
        <f t="shared" si="0"/>
        <v>12.69482230264432</v>
      </c>
      <c r="I5" s="134">
        <v>-0.25</v>
      </c>
      <c r="J5" s="134">
        <v>0.35</v>
      </c>
    </row>
    <row r="6" spans="1:10">
      <c r="A6" s="134" t="s">
        <v>139</v>
      </c>
      <c r="B6" s="134" t="s">
        <v>142</v>
      </c>
      <c r="C6" s="135">
        <v>-100</v>
      </c>
      <c r="D6" s="135">
        <v>-2.5593796692256099</v>
      </c>
      <c r="E6" s="135">
        <v>0.51318070461618004</v>
      </c>
      <c r="F6" s="135">
        <v>3.2132709203128198</v>
      </c>
      <c r="G6" s="135">
        <v>93.75</v>
      </c>
      <c r="H6" s="134" t="n">
        <f t="shared" si="0"/>
        <v>5.772650589538429</v>
      </c>
      <c r="I6" s="134">
        <v>-0.1</v>
      </c>
      <c r="J6" s="134">
        <v>0.15</v>
      </c>
    </row>
    <row r="7" spans="1:10">
      <c r="A7" s="134" t="s">
        <v>139</v>
      </c>
      <c r="B7" s="134" t="s">
        <v>143</v>
      </c>
      <c r="C7" s="135">
        <v>-100</v>
      </c>
      <c r="D7" s="135">
        <v>-3.1977550180220198</v>
      </c>
      <c r="E7" s="135">
        <v>0.91326105087572895</v>
      </c>
      <c r="F7" s="135">
        <v>5.8734582542694502</v>
      </c>
      <c r="G7" s="135">
        <v>1100</v>
      </c>
      <c r="H7" s="134" t="n">
        <f t="shared" si="0"/>
        <v>9.07121327229147</v>
      </c>
      <c r="I7" s="134">
        <v>-0.2</v>
      </c>
      <c r="J7" s="134">
        <v>0.25</v>
      </c>
    </row>
    <row r="8" spans="1:10">
      <c r="A8" s="134" t="s">
        <v>139</v>
      </c>
      <c r="B8" s="134" t="s">
        <v>144</v>
      </c>
      <c r="C8" s="135">
        <v>-100</v>
      </c>
      <c r="D8" s="135">
        <v>-1.57057883139141</v>
      </c>
      <c r="E8" s="135">
        <v>0.43399644013046501</v>
      </c>
      <c r="F8" s="135">
        <v>2.5177677378755998</v>
      </c>
      <c r="G8" s="135">
        <v>2091.6666666666601</v>
      </c>
      <c r="H8" s="134" t="n">
        <f t="shared" si="0"/>
        <v>4.08834656926701</v>
      </c>
      <c r="I8" s="134">
        <v>-0.05</v>
      </c>
      <c r="J8" s="134">
        <v>0.15</v>
      </c>
    </row>
    <row r="9" spans="1:10">
      <c r="A9" s="134" t="s">
        <v>139</v>
      </c>
      <c r="B9" s="134" t="s">
        <v>145</v>
      </c>
      <c r="C9" s="135">
        <v>-45.011086474501099</v>
      </c>
      <c r="D9" s="135">
        <v>-1.55045362277011</v>
      </c>
      <c r="E9" s="135">
        <v>0.86844887479232702</v>
      </c>
      <c r="F9" s="135">
        <v>3.5259000496751698</v>
      </c>
      <c r="G9" s="135">
        <v>75.195143104943597</v>
      </c>
      <c r="H9" s="134" t="n">
        <f t="shared" si="0"/>
        <v>5.07635367244528</v>
      </c>
      <c r="I9" s="134">
        <v>-0.1</v>
      </c>
      <c r="J9" s="134">
        <v>0.15</v>
      </c>
    </row>
    <row r="10" spans="1:10">
      <c r="A10" s="134" t="s">
        <v>139</v>
      </c>
      <c r="B10" s="134" t="s">
        <v>146</v>
      </c>
      <c r="C10" s="135">
        <v>-100</v>
      </c>
      <c r="D10" s="135">
        <v>-4.85553772070626</v>
      </c>
      <c r="E10" s="135">
        <v>-0.27397260273972601</v>
      </c>
      <c r="F10" s="135">
        <v>3.5936751317680802</v>
      </c>
      <c r="G10" s="135">
        <v>266.666666666666</v>
      </c>
      <c r="H10" s="134" t="n">
        <f t="shared" si="0"/>
        <v>8.44921285247434</v>
      </c>
      <c r="I10" s="134">
        <v>-0.2</v>
      </c>
      <c r="J10" s="134">
        <v>0.25</v>
      </c>
    </row>
    <row r="11" spans="1:10">
      <c r="A11" s="134" t="s">
        <v>139</v>
      </c>
      <c r="B11" s="134" t="s">
        <v>147</v>
      </c>
      <c r="C11" s="135">
        <v>-100</v>
      </c>
      <c r="D11" s="135">
        <v>-8.2474144119215698</v>
      </c>
      <c r="E11" s="135">
        <v>3.9955654101995499</v>
      </c>
      <c r="F11" s="135">
        <v>20.2849588719153</v>
      </c>
      <c r="G11" s="135">
        <v>1745.45454545454</v>
      </c>
      <c r="H11" s="134" t="n">
        <f t="shared" si="0"/>
        <v>28.53237328383687</v>
      </c>
      <c r="I11" s="134">
        <v>-0.65</v>
      </c>
      <c r="J11" s="134">
        <v>0.8</v>
      </c>
    </row>
    <row r="12" spans="1:10">
      <c r="A12" s="134" t="s">
        <v>149</v>
      </c>
      <c r="B12" s="134" t="s">
        <v>150</v>
      </c>
      <c r="C12" s="135">
        <v>-37.878787878787797</v>
      </c>
      <c r="D12" s="135">
        <v>-3.2667300983190599</v>
      </c>
      <c r="E12" s="135">
        <v>0.94696969696969702</v>
      </c>
      <c r="F12" s="135">
        <v>4.6026547147043599</v>
      </c>
      <c r="G12" s="135">
        <v>66.6666666666666</v>
      </c>
      <c r="H12" s="134" t="n">
        <f t="shared" si="0"/>
        <v>7.869384813023419</v>
      </c>
      <c r="I12" s="134">
        <v>-0.15</v>
      </c>
      <c r="J12" s="134">
        <v>0.25</v>
      </c>
    </row>
    <row r="13" spans="1:10">
      <c r="A13" s="134" t="s">
        <v>148</v>
      </c>
      <c r="B13" s="134" t="s">
        <v>151</v>
      </c>
      <c r="C13" s="135">
        <v>-100</v>
      </c>
      <c r="D13" s="135">
        <v>-16.124435175529999</v>
      </c>
      <c r="E13" s="135">
        <v>-3.87596899224806</v>
      </c>
      <c r="F13" s="135">
        <v>7.6108442319626697</v>
      </c>
      <c r="G13" s="135">
        <v>2200</v>
      </c>
      <c r="H13" s="134" t="n">
        <f t="shared" si="0"/>
        <v>23.73527940749267</v>
      </c>
      <c r="I13" s="134">
        <v>-0.6</v>
      </c>
      <c r="J13" s="134">
        <v>0.6</v>
      </c>
    </row>
    <row r="14" spans="1:10">
      <c r="A14" s="134" t="s">
        <v>148</v>
      </c>
      <c r="B14" s="134" t="s">
        <v>152</v>
      </c>
      <c r="C14" s="135">
        <v>-78.347578347578306</v>
      </c>
      <c r="D14" s="135">
        <v>2.3720510575912299</v>
      </c>
      <c r="E14" s="135">
        <v>7.7659911336288703</v>
      </c>
      <c r="F14" s="135">
        <v>12.851493176921</v>
      </c>
      <c r="G14" s="135">
        <v>157.142857142857</v>
      </c>
      <c r="H14" s="134" t="n">
        <f t="shared" si="0"/>
        <v>10.47944211932977</v>
      </c>
      <c r="I14" s="134">
        <v>-0.15</v>
      </c>
      <c r="J14" s="134">
        <v>0.35</v>
      </c>
    </row>
    <row r="15" spans="1:10">
      <c r="A15" s="134" t="s">
        <v>148</v>
      </c>
      <c r="B15" s="134" t="s">
        <v>153</v>
      </c>
      <c r="C15" s="135">
        <v>-100</v>
      </c>
      <c r="D15" s="135">
        <v>-4.9594698424894297</v>
      </c>
      <c r="E15" s="135">
        <v>3.4222541409463001</v>
      </c>
      <c r="F15" s="135">
        <v>14.5486038211211</v>
      </c>
      <c r="G15" s="135">
        <v>1300</v>
      </c>
      <c r="H15" s="134" t="n">
        <f t="shared" si="0"/>
        <v>19.50807366361053</v>
      </c>
      <c r="I15" s="134">
        <v>-0.4</v>
      </c>
      <c r="J15" s="134">
        <v>0.55000000000000004</v>
      </c>
    </row>
    <row r="16" spans="1:10">
      <c r="A16" s="134" t="s">
        <v>148</v>
      </c>
      <c r="B16" s="134" t="s">
        <v>154</v>
      </c>
      <c r="C16" s="135">
        <v>-70.212765957446805</v>
      </c>
      <c r="D16" s="135">
        <v>2.4769976959184499</v>
      </c>
      <c r="E16" s="135">
        <v>7.4143650639379901</v>
      </c>
      <c r="F16" s="135">
        <v>12.580275905023999</v>
      </c>
      <c r="G16" s="135">
        <v>217.5</v>
      </c>
      <c r="H16" s="134" t="n">
        <f t="shared" si="0"/>
        <v>10.10327820910555</v>
      </c>
      <c r="I16" s="134">
        <v>-0.15</v>
      </c>
      <c r="J16" s="134">
        <v>0.35</v>
      </c>
    </row>
    <row r="17" spans="1:10">
      <c r="A17" s="134" t="s">
        <v>148</v>
      </c>
      <c r="B17" s="134" t="s">
        <v>155</v>
      </c>
      <c r="C17" s="135">
        <v>-80.223880597014897</v>
      </c>
      <c r="D17" s="135">
        <v>-3.5080645161290298</v>
      </c>
      <c r="E17" s="135">
        <v>0.61050061050061</v>
      </c>
      <c r="F17" s="135">
        <v>4.1247053781872696</v>
      </c>
      <c r="G17" s="135">
        <v>600</v>
      </c>
      <c r="H17" s="134" t="n">
        <f t="shared" si="0"/>
        <v>7.632769894316299</v>
      </c>
      <c r="I17" s="134">
        <v>-0.15</v>
      </c>
      <c r="J17" s="134">
        <v>0.2</v>
      </c>
    </row>
    <row r="18" spans="1:10">
      <c r="A18" s="134" t="s">
        <v>148</v>
      </c>
      <c r="B18" s="134" t="s">
        <v>156</v>
      </c>
      <c r="C18" s="135">
        <v>-100</v>
      </c>
      <c r="D18" s="135">
        <v>-3.5074796191847102</v>
      </c>
      <c r="E18" s="135">
        <v>1.09300052491538</v>
      </c>
      <c r="F18" s="135">
        <v>5.2809803886300797</v>
      </c>
      <c r="G18" s="135">
        <v>227.36842105263099</v>
      </c>
      <c r="H18" s="134" t="n">
        <f t="shared" si="0"/>
        <v>8.78846000781479</v>
      </c>
      <c r="I18" s="134">
        <v>-0.2</v>
      </c>
      <c r="J18" s="134">
        <v>0.25</v>
      </c>
    </row>
    <row r="19" spans="1:10">
      <c r="A19" s="134" t="s">
        <v>148</v>
      </c>
      <c r="B19" s="134" t="s">
        <v>157</v>
      </c>
      <c r="C19" s="135">
        <v>-65.8536585365853</v>
      </c>
      <c r="D19" s="135">
        <v>-5.8700717569535996</v>
      </c>
      <c r="E19" s="135">
        <v>-0.76628352490421403</v>
      </c>
      <c r="F19" s="135">
        <v>4.7129503948667297</v>
      </c>
      <c r="G19" s="135">
        <v>130</v>
      </c>
      <c r="H19" s="134" t="n">
        <f t="shared" si="0"/>
        <v>10.58302215182033</v>
      </c>
      <c r="I19" s="134">
        <v>-0.25</v>
      </c>
      <c r="J19" s="134">
        <v>0.3</v>
      </c>
    </row>
    <row r="20" spans="1:10">
      <c r="A20" s="134" t="s">
        <v>148</v>
      </c>
      <c r="B20" s="134" t="s">
        <v>158</v>
      </c>
      <c r="C20" s="135">
        <v>-100</v>
      </c>
      <c r="D20" s="135">
        <v>-14.6245940266191</v>
      </c>
      <c r="E20" s="135">
        <v>-1.36825472853749</v>
      </c>
      <c r="F20" s="135">
        <v>13.644538914323</v>
      </c>
      <c r="G20" s="135">
        <v>625</v>
      </c>
      <c r="H20" s="134" t="n">
        <f t="shared" si="0"/>
        <v>28.2691329409421</v>
      </c>
      <c r="I20" s="134">
        <v>-0.7</v>
      </c>
      <c r="J20" s="134">
        <v>0.75</v>
      </c>
    </row>
    <row r="21" spans="1:10">
      <c r="A21" s="134" t="s">
        <v>148</v>
      </c>
      <c r="B21" s="134" t="s">
        <v>159</v>
      </c>
      <c r="C21" s="135">
        <v>-100</v>
      </c>
      <c r="D21" s="135">
        <v>-100</v>
      </c>
      <c r="E21" s="135">
        <v>-46.428571428571402</v>
      </c>
      <c r="F21" s="135">
        <v>-3.1989844493811401</v>
      </c>
      <c r="G21" s="135">
        <v>1500</v>
      </c>
      <c r="H21" s="134" t="n">
        <f t="shared" si="0"/>
        <v>96.80101555061886</v>
      </c>
      <c r="I21" s="134">
        <v>-2.9</v>
      </c>
      <c r="J21" s="134">
        <v>1.95</v>
      </c>
    </row>
    <row r="22" spans="1:10">
      <c r="A22" s="134" t="s">
        <v>148</v>
      </c>
      <c r="B22" s="134" t="s">
        <v>160</v>
      </c>
      <c r="C22" s="135">
        <v>-100</v>
      </c>
      <c r="D22" s="135">
        <v>-91.942771084337295</v>
      </c>
      <c r="E22" s="135">
        <v>-21.498673740053</v>
      </c>
      <c r="F22" s="135">
        <v>30.7442557442557</v>
      </c>
      <c r="G22" s="135">
        <v>2800</v>
      </c>
      <c r="H22" s="134" t="n">
        <f t="shared" si="0"/>
        <v>122.68702682859299</v>
      </c>
      <c r="I22" s="134">
        <v>-3.35</v>
      </c>
      <c r="J22" s="134">
        <v>2.8</v>
      </c>
    </row>
    <row r="23" spans="1:10">
      <c r="A23" s="134" t="s">
        <v>148</v>
      </c>
      <c r="B23" s="134" t="s">
        <v>161</v>
      </c>
      <c r="C23" s="135">
        <v>-19.342604298356498</v>
      </c>
      <c r="D23" s="135">
        <v>0.24334704832603599</v>
      </c>
      <c r="E23" s="135">
        <v>2.7824589017958101</v>
      </c>
      <c r="F23" s="135">
        <v>4.9079768919671096</v>
      </c>
      <c r="G23" s="135">
        <v>21.541950113378601</v>
      </c>
      <c r="H23" s="134" t="n">
        <f t="shared" si="0"/>
        <v>4.664629843641074</v>
      </c>
      <c r="I23" s="134">
        <v>-0.05</v>
      </c>
      <c r="J23" s="134">
        <v>0.15</v>
      </c>
    </row>
    <row r="24" spans="1:10">
      <c r="A24" s="134" t="s">
        <v>148</v>
      </c>
      <c r="B24" s="134" t="s">
        <v>162</v>
      </c>
      <c r="C24" s="135">
        <v>-70.8333333333333</v>
      </c>
      <c r="D24" s="135">
        <v>3.1032478678686699</v>
      </c>
      <c r="E24" s="135">
        <v>13.3333333333333</v>
      </c>
      <c r="F24" s="135">
        <v>26.030144927536199</v>
      </c>
      <c r="G24" s="135">
        <v>1020</v>
      </c>
      <c r="H24" s="134" t="n">
        <f t="shared" si="0"/>
        <v>22.926897059667528</v>
      </c>
      <c r="I24" s="134">
        <v>-0.4</v>
      </c>
      <c r="J24" s="134">
        <v>0.75</v>
      </c>
    </row>
    <row r="25" spans="1:10">
      <c r="A25" s="134" t="s">
        <v>148</v>
      </c>
      <c r="B25" s="134" t="s">
        <v>163</v>
      </c>
      <c r="C25" s="135">
        <v>-78.947368421052602</v>
      </c>
      <c r="D25" s="135">
        <v>-9.8014966877144296</v>
      </c>
      <c r="E25" s="135">
        <v>0.46297017063146001</v>
      </c>
      <c r="F25" s="135">
        <v>11.768734891216701</v>
      </c>
      <c r="G25" s="135">
        <v>340</v>
      </c>
      <c r="H25" s="134" t="n">
        <f t="shared" si="0"/>
        <v>21.57023157893113</v>
      </c>
      <c r="I25" s="134">
        <v>-0.5</v>
      </c>
      <c r="J25" s="134">
        <v>0.55000000000000004</v>
      </c>
    </row>
    <row r="26" spans="1:10">
      <c r="A26" s="134" t="s">
        <v>148</v>
      </c>
      <c r="B26" s="134" t="s">
        <v>164</v>
      </c>
      <c r="C26" s="135">
        <v>-17.604912998976399</v>
      </c>
      <c r="D26" s="135">
        <v>-0.43014825167056098</v>
      </c>
      <c r="E26" s="135">
        <v>1.7926460713341399</v>
      </c>
      <c r="F26" s="135">
        <v>3.7242034850485801</v>
      </c>
      <c r="G26" s="135">
        <v>14.3737166324435</v>
      </c>
      <c r="H26" s="134" t="n">
        <f t="shared" si="0"/>
        <v>4.154351736719141</v>
      </c>
      <c r="I26" s="134">
        <v>-0.05</v>
      </c>
      <c r="J26" s="134">
        <v>0.15</v>
      </c>
    </row>
    <row r="27" spans="1:10">
      <c r="A27" s="134" t="s">
        <v>148</v>
      </c>
      <c r="B27" s="134" t="s">
        <v>165</v>
      </c>
      <c r="C27" s="135"/>
      <c r="D27" s="135"/>
      <c r="E27" s="135"/>
      <c r="F27" s="135"/>
      <c r="G27" s="135"/>
      <c r="H27" s="134" t="n">
        <f t="shared" si="0"/>
        <v>0.0</v>
      </c>
      <c r="I27" s="134">
        <v>0</v>
      </c>
      <c r="J27" s="134">
        <v>0</v>
      </c>
    </row>
    <row r="28" spans="1:10">
      <c r="A28" s="134" t="s">
        <v>148</v>
      </c>
      <c r="B28" s="134" t="s">
        <v>166</v>
      </c>
      <c r="C28" s="135">
        <v>-100</v>
      </c>
      <c r="D28" s="135">
        <v>-11.767316178293401</v>
      </c>
      <c r="E28" s="135">
        <v>8.3333333333333304</v>
      </c>
      <c r="F28" s="135">
        <v>33.171521035598701</v>
      </c>
      <c r="G28" s="135">
        <v>4500</v>
      </c>
      <c r="H28" s="134" t="n">
        <f t="shared" si="0"/>
        <v>44.9388372138921</v>
      </c>
      <c r="I28" s="134">
        <v>-1</v>
      </c>
      <c r="J28" s="134">
        <v>1.25</v>
      </c>
    </row>
    <row r="29" spans="1:10">
      <c r="A29" s="134" t="s">
        <v>148</v>
      </c>
      <c r="B29" s="134" t="s">
        <v>167</v>
      </c>
      <c r="C29" s="135">
        <v>-100</v>
      </c>
      <c r="D29" s="135">
        <v>-28.571428571428498</v>
      </c>
      <c r="E29" s="135">
        <v>-3.15763559563606</v>
      </c>
      <c r="F29" s="135">
        <v>10.454527962440901</v>
      </c>
      <c r="G29" s="135">
        <v>1100</v>
      </c>
      <c r="H29" s="134" t="n">
        <f t="shared" si="0"/>
        <v>39.0259565338694</v>
      </c>
      <c r="I29" s="134">
        <v>-1.05</v>
      </c>
      <c r="J29" s="134">
        <v>0.9</v>
      </c>
    </row>
    <row r="30" spans="1:10">
      <c r="A30" s="134" t="s">
        <v>148</v>
      </c>
      <c r="B30" s="134" t="s">
        <v>168</v>
      </c>
      <c r="C30" s="135">
        <v>-100</v>
      </c>
      <c r="D30" s="135">
        <v>-6.3916544614209698</v>
      </c>
      <c r="E30" s="135">
        <v>0.35837957899985101</v>
      </c>
      <c r="F30" s="135">
        <v>7.3647609769160898</v>
      </c>
      <c r="G30" s="135">
        <v>4200</v>
      </c>
      <c r="H30" s="134" t="n">
        <f t="shared" si="0"/>
        <v>13.75641543833706</v>
      </c>
      <c r="I30" s="134">
        <v>-0.3</v>
      </c>
      <c r="J30" s="134">
        <v>0.35</v>
      </c>
    </row>
    <row r="31" spans="1:10">
      <c r="A31" s="134" t="s">
        <v>148</v>
      </c>
      <c r="B31" s="134" t="s">
        <v>169</v>
      </c>
      <c r="C31" s="135">
        <v>-100</v>
      </c>
      <c r="D31" s="135">
        <v>-15.201628501608599</v>
      </c>
      <c r="E31" s="135">
        <v>-3.87596899224806</v>
      </c>
      <c r="F31" s="135">
        <v>8.3333333333333304</v>
      </c>
      <c r="G31" s="135">
        <v>1100</v>
      </c>
      <c r="H31" s="134" t="n">
        <f t="shared" si="0"/>
        <v>23.53496183494193</v>
      </c>
      <c r="I31" s="134">
        <v>-0.6</v>
      </c>
      <c r="J31" s="134">
        <v>0.6</v>
      </c>
    </row>
    <row r="32" spans="1:10">
      <c r="A32" s="134" t="s">
        <v>148</v>
      </c>
      <c r="B32" s="134" t="s">
        <v>170</v>
      </c>
      <c r="C32" s="135">
        <v>-100</v>
      </c>
      <c r="D32" s="135">
        <v>-8.3333333333333304</v>
      </c>
      <c r="E32" s="135">
        <v>-1.2234182455529901</v>
      </c>
      <c r="F32" s="135">
        <v>5.1428286291269396</v>
      </c>
      <c r="G32" s="135">
        <v>1400</v>
      </c>
      <c r="H32" s="134" t="n">
        <f t="shared" si="0"/>
        <v>13.47616196246027</v>
      </c>
      <c r="I32" s="134">
        <v>-0.35</v>
      </c>
      <c r="J32" s="134">
        <v>0.35</v>
      </c>
    </row>
    <row r="33" spans="1:10">
      <c r="A33" s="134" t="s">
        <v>148</v>
      </c>
      <c r="B33" s="134" t="s">
        <v>171</v>
      </c>
      <c r="C33" s="135">
        <v>-100</v>
      </c>
      <c r="D33" s="135">
        <v>-10.1973684210526</v>
      </c>
      <c r="E33" s="135">
        <v>3.3670033670033601</v>
      </c>
      <c r="F33" s="135">
        <v>21.248142644873699</v>
      </c>
      <c r="G33" s="135">
        <v>6825</v>
      </c>
      <c r="H33" s="134" t="n">
        <f t="shared" si="0"/>
        <v>31.445511065926297</v>
      </c>
      <c r="I33" s="134">
        <v>-0.7</v>
      </c>
      <c r="J33" s="134">
        <v>0.85</v>
      </c>
    </row>
    <row r="34" spans="1:10">
      <c r="A34" s="134" t="s">
        <v>173</v>
      </c>
      <c r="B34" s="134" t="s">
        <v>182</v>
      </c>
      <c r="C34" s="135">
        <v>3715</v>
      </c>
      <c r="D34" s="135">
        <v>9064.4146091216207</v>
      </c>
      <c r="E34" s="135">
        <v>9986.2364467695606</v>
      </c>
      <c r="F34" s="135">
        <v>10950.118242496201</v>
      </c>
      <c r="G34" s="135">
        <v>23555.424999999999</v>
      </c>
      <c r="H34" s="134" t="n">
        <f>F34-D34</f>
        <v>1885.70363337458</v>
      </c>
      <c r="I34" s="134">
        <v>5290</v>
      </c>
      <c r="J34" s="134">
        <v>14725</v>
      </c>
    </row>
    <row r="35" spans="1:10">
      <c r="A35" s="134" t="s">
        <v>172</v>
      </c>
      <c r="B35" s="134" t="s">
        <v>183</v>
      </c>
      <c r="C35" s="135">
        <v>4090.1507936507901</v>
      </c>
      <c r="D35" s="135">
        <v>11447.0600749887</v>
      </c>
      <c r="E35" s="135">
        <v>12857.5956295093</v>
      </c>
      <c r="F35" s="135">
        <v>14392.0955447371</v>
      </c>
      <c r="G35" s="135">
        <v>38059.369565217297</v>
      </c>
      <c r="H35" s="134" t="n">
        <f t="shared" ref="H35:H98" si="1">F35-D35</f>
        <v>2945.0354697484</v>
      </c>
      <c r="I35" s="134">
        <v>5555</v>
      </c>
      <c r="J35" s="134">
        <v>20285</v>
      </c>
    </row>
    <row r="36" spans="1:10">
      <c r="A36" s="134" t="s">
        <v>172</v>
      </c>
      <c r="B36" s="134" t="s">
        <v>184</v>
      </c>
      <c r="C36" s="135">
        <v>19238.5899721448</v>
      </c>
      <c r="D36" s="135">
        <v>29242.5959603378</v>
      </c>
      <c r="E36" s="135">
        <v>31730.193293885601</v>
      </c>
      <c r="F36" s="135">
        <v>34145.208381391698</v>
      </c>
      <c r="G36" s="135">
        <v>48932.404255319103</v>
      </c>
      <c r="H36" s="134" t="n">
        <f t="shared" si="1"/>
        <v>4902.612421053898</v>
      </c>
      <c r="I36" s="134">
        <v>19435</v>
      </c>
      <c r="J36" s="134">
        <v>43955</v>
      </c>
    </row>
    <row r="37" spans="1:10">
      <c r="A37" s="134" t="s">
        <v>172</v>
      </c>
      <c r="B37" s="134" t="s">
        <v>185</v>
      </c>
      <c r="C37" s="135">
        <v>20797.244923857801</v>
      </c>
      <c r="D37" s="135">
        <v>35204.175555555499</v>
      </c>
      <c r="E37" s="135">
        <v>37854.242657542003</v>
      </c>
      <c r="F37" s="135">
        <v>40522.503452605102</v>
      </c>
      <c r="G37" s="135">
        <v>68999.206264775406</v>
      </c>
      <c r="H37" s="134" t="n">
        <f t="shared" si="1"/>
        <v>5318.327897049603</v>
      </c>
      <c r="I37" s="134">
        <v>24565</v>
      </c>
      <c r="J37" s="134">
        <v>51160</v>
      </c>
    </row>
    <row r="38" spans="1:10">
      <c r="A38" s="134" t="s">
        <v>172</v>
      </c>
      <c r="B38" s="134" t="s">
        <v>186</v>
      </c>
      <c r="C38" s="135">
        <v>29345.438692098</v>
      </c>
      <c r="D38" s="135">
        <v>47981.892911010502</v>
      </c>
      <c r="E38" s="135">
        <v>51446.952091767802</v>
      </c>
      <c r="F38" s="135">
        <v>55322.452207937298</v>
      </c>
      <c r="G38" s="135">
        <v>157851.46387832699</v>
      </c>
      <c r="H38" s="134" t="n">
        <f t="shared" si="1"/>
        <v>7340.559296926796</v>
      </c>
      <c r="I38" s="134">
        <v>33300</v>
      </c>
      <c r="J38" s="134">
        <v>70005</v>
      </c>
    </row>
    <row r="39" spans="1:10">
      <c r="A39" s="134" t="s">
        <v>172</v>
      </c>
      <c r="B39" s="134" t="s">
        <v>187</v>
      </c>
      <c r="C39" s="135">
        <v>22971.688524590099</v>
      </c>
      <c r="D39" s="135">
        <v>52966.2719669816</v>
      </c>
      <c r="E39" s="135">
        <v>56943.723596159398</v>
      </c>
      <c r="F39" s="135">
        <v>61420.2560227168</v>
      </c>
      <c r="G39" s="135">
        <v>98701.561369664807</v>
      </c>
      <c r="H39" s="134" t="n">
        <f t="shared" si="1"/>
        <v>8453.9840557352</v>
      </c>
      <c r="I39" s="134">
        <v>36055</v>
      </c>
      <c r="J39" s="134">
        <v>78330</v>
      </c>
    </row>
    <row r="40" spans="1:10">
      <c r="A40" s="134" t="s">
        <v>172</v>
      </c>
      <c r="B40" s="134" t="s">
        <v>188</v>
      </c>
      <c r="C40" s="135">
        <v>5661</v>
      </c>
      <c r="D40" s="135">
        <v>57721.4197118515</v>
      </c>
      <c r="E40" s="135">
        <v>63206.372161518899</v>
      </c>
      <c r="F40" s="135">
        <v>68727.973493472004</v>
      </c>
      <c r="G40" s="135">
        <v>355818</v>
      </c>
      <c r="H40" s="134" t="n">
        <f t="shared" si="1"/>
        <v>11006.553781620503</v>
      </c>
      <c r="I40" s="134">
        <v>35705</v>
      </c>
      <c r="J40" s="134">
        <v>90745</v>
      </c>
    </row>
    <row r="41" spans="1:10">
      <c r="A41" s="134" t="s">
        <v>172</v>
      </c>
      <c r="B41" s="134" t="s">
        <v>189</v>
      </c>
      <c r="C41" s="135">
        <v>21989.1949726071</v>
      </c>
      <c r="D41" s="135">
        <v>35290.5282634705</v>
      </c>
      <c r="E41" s="135">
        <v>37664.301468963997</v>
      </c>
      <c r="F41" s="135">
        <v>40552.393368295903</v>
      </c>
      <c r="G41" s="135">
        <v>58586.388120660398</v>
      </c>
      <c r="H41" s="134" t="n">
        <f t="shared" si="1"/>
        <v>5261.865104825403</v>
      </c>
      <c r="I41" s="134">
        <v>24765</v>
      </c>
      <c r="J41" s="134">
        <v>51080</v>
      </c>
    </row>
    <row r="42" spans="1:10">
      <c r="A42" s="134" t="s">
        <v>172</v>
      </c>
      <c r="B42" s="134" t="s">
        <v>190</v>
      </c>
      <c r="C42" s="135">
        <v>8896.5</v>
      </c>
      <c r="D42" s="135">
        <v>57231.776824034299</v>
      </c>
      <c r="E42" s="135">
        <v>59757.3052078412</v>
      </c>
      <c r="F42" s="135">
        <v>61911.032434251298</v>
      </c>
      <c r="G42" s="135">
        <v>108999</v>
      </c>
      <c r="H42" s="134" t="n">
        <f t="shared" si="1"/>
        <v>4679.255610216998</v>
      </c>
      <c r="I42" s="134">
        <v>47870</v>
      </c>
      <c r="J42" s="134">
        <v>71270</v>
      </c>
    </row>
    <row r="43" spans="1:10">
      <c r="A43" s="134" t="s">
        <v>172</v>
      </c>
      <c r="B43" s="134" t="s">
        <v>191</v>
      </c>
      <c r="C43" s="135">
        <v>3222</v>
      </c>
      <c r="D43" s="135">
        <v>96941.571428571406</v>
      </c>
      <c r="E43" s="135">
        <v>103036.189189189</v>
      </c>
      <c r="F43" s="135">
        <v>119052.34117647</v>
      </c>
      <c r="G43" s="135">
        <v>357403.5</v>
      </c>
      <c r="H43" s="134" t="n">
        <f t="shared" si="1"/>
        <v>22110.769747898594</v>
      </c>
      <c r="I43" s="134">
        <v>52720</v>
      </c>
      <c r="J43" s="134">
        <v>163275</v>
      </c>
    </row>
    <row r="44" spans="1:10">
      <c r="A44" s="134" t="s">
        <v>172</v>
      </c>
      <c r="B44" s="134" t="s">
        <v>192</v>
      </c>
      <c r="C44" s="135">
        <v>68826.600000000006</v>
      </c>
      <c r="D44" s="135">
        <v>193708.09808525999</v>
      </c>
      <c r="E44" s="135">
        <v>209240.79319785201</v>
      </c>
      <c r="F44" s="135">
        <v>226419.45864203601</v>
      </c>
      <c r="G44" s="135">
        <v>326900.7</v>
      </c>
      <c r="H44" s="134" t="n">
        <f t="shared" si="1"/>
        <v>32711.360556776024</v>
      </c>
      <c r="I44" s="134">
        <v>128285</v>
      </c>
      <c r="J44" s="134">
        <v>291845</v>
      </c>
    </row>
    <row r="45" spans="1:10">
      <c r="A45" s="134" t="s">
        <v>172</v>
      </c>
      <c r="B45" s="134" t="s">
        <v>193</v>
      </c>
      <c r="C45" s="135">
        <v>44838</v>
      </c>
      <c r="D45" s="135">
        <v>217219.68448570199</v>
      </c>
      <c r="E45" s="135">
        <v>230698.73584905599</v>
      </c>
      <c r="F45" s="135">
        <v>244835.7524726</v>
      </c>
      <c r="G45" s="135">
        <v>366793.36363636301</v>
      </c>
      <c r="H45" s="134" t="n">
        <f t="shared" si="1"/>
        <v>27616.067986898008</v>
      </c>
      <c r="I45" s="134">
        <v>161985</v>
      </c>
      <c r="J45" s="134">
        <v>300070</v>
      </c>
    </row>
    <row r="46" spans="1:10">
      <c r="A46" s="134" t="s">
        <v>172</v>
      </c>
      <c r="B46" s="134" t="s">
        <v>194</v>
      </c>
      <c r="C46" s="135">
        <v>68217</v>
      </c>
      <c r="D46" s="135">
        <v>235716.28629613901</v>
      </c>
      <c r="E46" s="135">
        <v>246393.34908675699</v>
      </c>
      <c r="F46" s="135">
        <v>257438.80487973001</v>
      </c>
      <c r="G46" s="135">
        <v>422187</v>
      </c>
      <c r="H46" s="134" t="n">
        <f t="shared" si="1"/>
        <v>21722.51858359101</v>
      </c>
      <c r="I46" s="134">
        <v>192270</v>
      </c>
      <c r="J46" s="134">
        <v>300885</v>
      </c>
    </row>
    <row r="47" spans="1:10">
      <c r="A47" s="134" t="s">
        <v>172</v>
      </c>
      <c r="B47" s="134" t="s">
        <v>195</v>
      </c>
      <c r="C47" s="135">
        <v>35118</v>
      </c>
      <c r="D47" s="135">
        <v>242409.79797979799</v>
      </c>
      <c r="E47" s="135">
        <v>251832.791530944</v>
      </c>
      <c r="F47" s="135">
        <v>262470.75576036802</v>
      </c>
      <c r="G47" s="135">
        <v>463221</v>
      </c>
      <c r="H47" s="134" t="n">
        <f t="shared" si="1"/>
        <v>20060.957780570025</v>
      </c>
      <c r="I47" s="134">
        <v>202285</v>
      </c>
      <c r="J47" s="134">
        <v>302595</v>
      </c>
    </row>
    <row r="48" spans="1:10">
      <c r="A48" s="134" t="s">
        <v>172</v>
      </c>
      <c r="B48" s="134" t="s">
        <v>196</v>
      </c>
      <c r="C48" s="135">
        <v>9358</v>
      </c>
      <c r="D48" s="135">
        <v>258003.51210912401</v>
      </c>
      <c r="E48" s="135">
        <v>267016.62441565999</v>
      </c>
      <c r="F48" s="135">
        <v>275526.08698810398</v>
      </c>
      <c r="G48" s="135">
        <v>766242</v>
      </c>
      <c r="H48" s="134" t="n">
        <f t="shared" si="1"/>
        <v>17522.57487897997</v>
      </c>
      <c r="I48" s="134">
        <v>222955</v>
      </c>
      <c r="J48" s="134">
        <v>310575</v>
      </c>
    </row>
    <row r="49" spans="1:10">
      <c r="A49" s="134" t="s">
        <v>172</v>
      </c>
      <c r="B49" s="134" t="s">
        <v>197</v>
      </c>
      <c r="C49" s="135">
        <v>97749.0625</v>
      </c>
      <c r="D49" s="135">
        <v>216453.93976994499</v>
      </c>
      <c r="E49" s="135">
        <v>228641.803349327</v>
      </c>
      <c r="F49" s="135">
        <v>242759.943063741</v>
      </c>
      <c r="G49" s="135">
        <v>341775.798994974</v>
      </c>
      <c r="H49" s="134" t="n">
        <f t="shared" si="1"/>
        <v>26306.003293796006</v>
      </c>
      <c r="I49" s="134">
        <v>163840</v>
      </c>
      <c r="J49" s="134">
        <v>295375</v>
      </c>
    </row>
    <row r="50" spans="1:10">
      <c r="A50" s="134" t="s">
        <v>172</v>
      </c>
      <c r="B50" s="134" t="s">
        <v>198</v>
      </c>
      <c r="C50" s="135">
        <v>66645</v>
      </c>
      <c r="D50" s="135">
        <v>240748.66514248899</v>
      </c>
      <c r="E50" s="135">
        <v>251126.99168236001</v>
      </c>
      <c r="F50" s="135">
        <v>260163.872593762</v>
      </c>
      <c r="G50" s="135">
        <v>321962.866666666</v>
      </c>
      <c r="H50" s="134" t="n">
        <f t="shared" si="1"/>
        <v>19415.207451273018</v>
      </c>
      <c r="I50" s="134">
        <v>201915</v>
      </c>
      <c r="J50" s="134">
        <v>298995</v>
      </c>
    </row>
    <row r="51" spans="1:10">
      <c r="A51" s="134" t="s">
        <v>172</v>
      </c>
      <c r="B51" s="134" t="s">
        <v>199</v>
      </c>
      <c r="C51" s="135">
        <v>107706.42687747</v>
      </c>
      <c r="D51" s="135">
        <v>256472.22715711599</v>
      </c>
      <c r="E51" s="135">
        <v>266970.985181625</v>
      </c>
      <c r="F51" s="135">
        <v>276657.720442413</v>
      </c>
      <c r="G51" s="135">
        <v>344318.57142857101</v>
      </c>
      <c r="H51" s="134" t="n">
        <f t="shared" si="1"/>
        <v>20185.49328529701</v>
      </c>
      <c r="I51" s="134">
        <v>216100</v>
      </c>
      <c r="J51" s="134">
        <v>317030</v>
      </c>
    </row>
    <row r="52" spans="1:10">
      <c r="A52" s="134" t="s">
        <v>172</v>
      </c>
      <c r="B52" s="134" t="s">
        <v>200</v>
      </c>
      <c r="C52" s="135">
        <v>203295.652880354</v>
      </c>
      <c r="D52" s="135">
        <v>261188.603273577</v>
      </c>
      <c r="E52" s="135">
        <v>270107.98801677598</v>
      </c>
      <c r="F52" s="135">
        <v>277833.77610619401</v>
      </c>
      <c r="G52" s="135">
        <v>311255.27336777799</v>
      </c>
      <c r="H52" s="134" t="n">
        <f t="shared" si="1"/>
        <v>16645.172832617012</v>
      </c>
      <c r="I52" s="134">
        <v>227895</v>
      </c>
      <c r="J52" s="134">
        <v>311125</v>
      </c>
    </row>
    <row r="53" spans="1:10">
      <c r="A53" s="134" t="s">
        <v>172</v>
      </c>
      <c r="B53" s="134" t="s">
        <v>201</v>
      </c>
      <c r="C53" s="135">
        <v>237602.368421052</v>
      </c>
      <c r="D53" s="135">
        <v>280144.93765585998</v>
      </c>
      <c r="E53" s="135">
        <v>288926.36023622</v>
      </c>
      <c r="F53" s="135">
        <v>297674.10232191999</v>
      </c>
      <c r="G53" s="135">
        <v>342400.17366579099</v>
      </c>
      <c r="H53" s="134" t="n">
        <f t="shared" si="1"/>
        <v>17529.16466606001</v>
      </c>
      <c r="I53" s="134">
        <v>245085</v>
      </c>
      <c r="J53" s="134">
        <v>332735</v>
      </c>
    </row>
    <row r="54" spans="1:10">
      <c r="A54" s="134" t="s">
        <v>172</v>
      </c>
      <c r="B54" s="134" t="s">
        <v>202</v>
      </c>
      <c r="C54" s="135">
        <v>251449.89473684199</v>
      </c>
      <c r="D54" s="135">
        <v>300014.295749704</v>
      </c>
      <c r="E54" s="135">
        <v>310134.84577921999</v>
      </c>
      <c r="F54" s="135">
        <v>319530.95824334002</v>
      </c>
      <c r="G54" s="135">
        <v>367975.06108202401</v>
      </c>
      <c r="H54" s="134" t="n">
        <f t="shared" si="1"/>
        <v>19516.662493636017</v>
      </c>
      <c r="I54" s="134">
        <v>260980</v>
      </c>
      <c r="J54" s="134">
        <v>358565</v>
      </c>
    </row>
    <row r="55" spans="1:10">
      <c r="A55" s="134" t="s">
        <v>172</v>
      </c>
      <c r="B55" s="134" t="s">
        <v>203</v>
      </c>
      <c r="C55" s="135">
        <v>227523.25833333301</v>
      </c>
      <c r="D55" s="135">
        <v>276866.78585384903</v>
      </c>
      <c r="E55" s="135">
        <v>285607.01099841099</v>
      </c>
      <c r="F55" s="135">
        <v>293540.07100396301</v>
      </c>
      <c r="G55" s="135">
        <v>329579.89763779502</v>
      </c>
      <c r="H55" s="134" t="n">
        <f t="shared" si="1"/>
        <v>16673.28515011398</v>
      </c>
      <c r="I55" s="134">
        <v>243520</v>
      </c>
      <c r="J55" s="134">
        <v>326890</v>
      </c>
    </row>
    <row r="56" spans="1:10">
      <c r="A56" s="134" t="s">
        <v>175</v>
      </c>
      <c r="B56" s="134" t="s">
        <v>204</v>
      </c>
      <c r="C56" s="135">
        <v>2084.5647512864398</v>
      </c>
      <c r="D56" s="135">
        <v>2843.8033272642801</v>
      </c>
      <c r="E56" s="135">
        <v>3055.1872340425498</v>
      </c>
      <c r="F56" s="135">
        <v>3296.7652003056401</v>
      </c>
      <c r="G56" s="135">
        <v>4784.8945005611604</v>
      </c>
      <c r="H56" s="134" t="n">
        <f t="shared" si="1"/>
        <v>452.9618730413599</v>
      </c>
      <c r="I56" s="134">
        <v>1935</v>
      </c>
      <c r="J56" s="134">
        <v>4205</v>
      </c>
    </row>
    <row r="57" spans="1:10">
      <c r="A57" s="134" t="s">
        <v>174</v>
      </c>
      <c r="B57" s="134" t="s">
        <v>205</v>
      </c>
      <c r="C57" s="135">
        <v>1874.8311688311601</v>
      </c>
      <c r="D57" s="135">
        <v>2759.9354151214402</v>
      </c>
      <c r="E57" s="135">
        <v>2963.1027388188199</v>
      </c>
      <c r="F57" s="135">
        <v>3209.1893595841102</v>
      </c>
      <c r="G57" s="135">
        <v>5341.1278600269097</v>
      </c>
      <c r="H57" s="134" t="n">
        <f t="shared" si="1"/>
        <v>449.25394446267</v>
      </c>
      <c r="I57" s="134">
        <v>1860</v>
      </c>
      <c r="J57" s="134">
        <v>4110</v>
      </c>
    </row>
    <row r="58" spans="1:10">
      <c r="A58" s="134" t="s">
        <v>174</v>
      </c>
      <c r="B58" s="134" t="s">
        <v>206</v>
      </c>
      <c r="C58" s="135">
        <v>1325.8513513513501</v>
      </c>
      <c r="D58" s="135">
        <v>2640.96945818323</v>
      </c>
      <c r="E58" s="135">
        <v>2832.4589632945899</v>
      </c>
      <c r="F58" s="135">
        <v>3051.2554556181899</v>
      </c>
      <c r="G58" s="135">
        <v>6234.1106382978696</v>
      </c>
      <c r="H58" s="134" t="n">
        <f t="shared" si="1"/>
        <v>410.2859974349599</v>
      </c>
      <c r="I58" s="134">
        <v>1820</v>
      </c>
      <c r="J58" s="134">
        <v>3875</v>
      </c>
    </row>
    <row r="59" spans="1:10">
      <c r="A59" s="134" t="s">
        <v>174</v>
      </c>
      <c r="B59" s="134" t="s">
        <v>207</v>
      </c>
      <c r="C59" s="135">
        <v>1475.74647887323</v>
      </c>
      <c r="D59" s="135">
        <v>2628.1626302008499</v>
      </c>
      <c r="E59" s="135">
        <v>2806.73301667757</v>
      </c>
      <c r="F59" s="135">
        <v>3036.3375504166402</v>
      </c>
      <c r="G59" s="135">
        <v>5670.6634615384601</v>
      </c>
      <c r="H59" s="134" t="n">
        <f t="shared" si="1"/>
        <v>408.1749202157903</v>
      </c>
      <c r="I59" s="134">
        <v>1810</v>
      </c>
      <c r="J59" s="134">
        <v>3855</v>
      </c>
    </row>
    <row r="60" spans="1:10">
      <c r="A60" s="134" t="s">
        <v>174</v>
      </c>
      <c r="B60" s="134" t="s">
        <v>208</v>
      </c>
      <c r="C60" s="135">
        <v>1107</v>
      </c>
      <c r="D60" s="135">
        <v>2742.8173059780902</v>
      </c>
      <c r="E60" s="135">
        <v>2963.5380513703299</v>
      </c>
      <c r="F60" s="135">
        <v>3229.8241039776099</v>
      </c>
      <c r="G60" s="135">
        <v>10093.5</v>
      </c>
      <c r="H60" s="134" t="n">
        <f t="shared" si="1"/>
        <v>487.0067979995197</v>
      </c>
      <c r="I60" s="134">
        <v>1765</v>
      </c>
      <c r="J60" s="134">
        <v>4205</v>
      </c>
    </row>
    <row r="61" spans="1:10">
      <c r="A61" s="134" t="s">
        <v>174</v>
      </c>
      <c r="B61" s="134" t="s">
        <v>209</v>
      </c>
      <c r="C61" s="135">
        <v>2233.1820896760501</v>
      </c>
      <c r="D61" s="135">
        <v>2744.7764539192299</v>
      </c>
      <c r="E61" s="135">
        <v>2917.4349322841699</v>
      </c>
      <c r="F61" s="135">
        <v>3102.6975540251701</v>
      </c>
      <c r="G61" s="135">
        <v>4876.74735294117</v>
      </c>
      <c r="H61" s="134" t="n">
        <f t="shared" si="1"/>
        <v>357.92110010594024</v>
      </c>
      <c r="I61" s="134">
        <v>2025</v>
      </c>
      <c r="J61" s="134">
        <v>3820</v>
      </c>
    </row>
    <row r="62" spans="1:10">
      <c r="A62" s="134" t="s">
        <v>174</v>
      </c>
      <c r="B62" s="134" t="s">
        <v>210</v>
      </c>
      <c r="C62" s="135">
        <v>6314.2950819672096</v>
      </c>
      <c r="D62" s="135">
        <v>8711.8786764705801</v>
      </c>
      <c r="E62" s="135">
        <v>9240</v>
      </c>
      <c r="F62" s="135">
        <v>10242.25</v>
      </c>
      <c r="G62" s="135">
        <v>11814</v>
      </c>
      <c r="H62" s="134" t="n">
        <f t="shared" si="1"/>
        <v>1530.37132352942</v>
      </c>
      <c r="I62" s="134">
        <v>5650</v>
      </c>
      <c r="J62" s="134">
        <v>13305</v>
      </c>
    </row>
    <row r="63" spans="1:10">
      <c r="A63" s="134" t="s">
        <v>174</v>
      </c>
      <c r="B63" s="134" t="s">
        <v>211</v>
      </c>
      <c r="C63" s="135">
        <v>6495</v>
      </c>
      <c r="D63" s="135">
        <v>8518.6105324073997</v>
      </c>
      <c r="E63" s="135">
        <v>8892.5</v>
      </c>
      <c r="F63" s="135">
        <v>9383.7803910687398</v>
      </c>
      <c r="G63" s="135">
        <v>11772</v>
      </c>
      <c r="H63" s="134" t="n">
        <f t="shared" si="1"/>
        <v>865.1698586613402</v>
      </c>
      <c r="I63" s="134">
        <v>6785</v>
      </c>
      <c r="J63" s="134">
        <v>11115</v>
      </c>
    </row>
    <row r="64" spans="1:10">
      <c r="A64" s="134" t="s">
        <v>174</v>
      </c>
      <c r="B64" s="134" t="s">
        <v>212</v>
      </c>
      <c r="C64" s="135">
        <v>6570</v>
      </c>
      <c r="D64" s="135">
        <v>12489.6893287435</v>
      </c>
      <c r="E64" s="135">
        <v>12888.541871921099</v>
      </c>
      <c r="F64" s="135">
        <v>13453.9757751937</v>
      </c>
      <c r="G64" s="135">
        <v>16643.333333333299</v>
      </c>
      <c r="H64" s="134" t="n">
        <f t="shared" si="1"/>
        <v>964.2864464502</v>
      </c>
      <c r="I64" s="134">
        <v>10560</v>
      </c>
      <c r="J64" s="134">
        <v>15385</v>
      </c>
    </row>
    <row r="65" spans="1:10">
      <c r="A65" s="134" t="s">
        <v>174</v>
      </c>
      <c r="B65" s="134" t="s">
        <v>213</v>
      </c>
      <c r="C65" s="135">
        <v>7909.2</v>
      </c>
      <c r="D65" s="135">
        <v>12420.8711153682</v>
      </c>
      <c r="E65" s="135">
        <v>12793.05</v>
      </c>
      <c r="F65" s="135">
        <v>13189.5265667574</v>
      </c>
      <c r="G65" s="135">
        <v>17543.571428571398</v>
      </c>
      <c r="H65" s="134" t="n">
        <f t="shared" si="1"/>
        <v>768.6554513892006</v>
      </c>
      <c r="I65" s="134">
        <v>10880</v>
      </c>
      <c r="J65" s="134">
        <v>14730</v>
      </c>
    </row>
    <row r="66" spans="1:10">
      <c r="A66" s="134" t="s">
        <v>174</v>
      </c>
      <c r="B66" s="134" t="s">
        <v>214</v>
      </c>
      <c r="C66" s="135">
        <v>7789.5</v>
      </c>
      <c r="D66" s="135">
        <v>12434.6936238619</v>
      </c>
      <c r="E66" s="135">
        <v>12739.5170728148</v>
      </c>
      <c r="F66" s="135">
        <v>13114.376378676399</v>
      </c>
      <c r="G66" s="135">
        <v>16308</v>
      </c>
      <c r="H66" s="134" t="n">
        <f t="shared" si="1"/>
        <v>679.6827548144993</v>
      </c>
      <c r="I66" s="134">
        <v>11075</v>
      </c>
      <c r="J66" s="134">
        <v>14475</v>
      </c>
    </row>
    <row r="67" spans="1:10">
      <c r="A67" s="134" t="s">
        <v>174</v>
      </c>
      <c r="B67" s="134" t="s">
        <v>215</v>
      </c>
      <c r="C67" s="135">
        <v>9439.875</v>
      </c>
      <c r="D67" s="135">
        <v>12407.8761426868</v>
      </c>
      <c r="E67" s="135">
        <v>12717.1818181818</v>
      </c>
      <c r="F67" s="135">
        <v>13066.312157832501</v>
      </c>
      <c r="G67" s="135">
        <v>16749</v>
      </c>
      <c r="H67" s="134" t="n">
        <f t="shared" si="1"/>
        <v>658.4360151457004</v>
      </c>
      <c r="I67" s="134">
        <v>11090</v>
      </c>
      <c r="J67" s="134">
        <v>14385</v>
      </c>
    </row>
    <row r="68" spans="1:10">
      <c r="A68" s="134" t="s">
        <v>174</v>
      </c>
      <c r="B68" s="134" t="s">
        <v>216</v>
      </c>
      <c r="C68" s="135">
        <v>7735.25</v>
      </c>
      <c r="D68" s="135">
        <v>12389.919830205399</v>
      </c>
      <c r="E68" s="135">
        <v>12694.846794298401</v>
      </c>
      <c r="F68" s="135">
        <v>13022.91297202</v>
      </c>
      <c r="G68" s="135">
        <v>15860.0895522388</v>
      </c>
      <c r="H68" s="134" t="n">
        <f t="shared" si="1"/>
        <v>632.9931418146007</v>
      </c>
      <c r="I68" s="134">
        <v>11120</v>
      </c>
      <c r="J68" s="134">
        <v>14290</v>
      </c>
    </row>
    <row r="69" spans="1:10">
      <c r="A69" s="134" t="s">
        <v>174</v>
      </c>
      <c r="B69" s="134" t="s">
        <v>217</v>
      </c>
      <c r="C69" s="135">
        <v>7909.2</v>
      </c>
      <c r="D69" s="135">
        <v>12364.6000036102</v>
      </c>
      <c r="E69" s="135">
        <v>12658.504966447899</v>
      </c>
      <c r="F69" s="135">
        <v>12988.994549052501</v>
      </c>
      <c r="G69" s="135">
        <v>15837.9047619047</v>
      </c>
      <c r="H69" s="134" t="n">
        <f t="shared" si="1"/>
        <v>624.394545442301</v>
      </c>
      <c r="I69" s="134">
        <v>11115</v>
      </c>
      <c r="J69" s="134">
        <v>14240</v>
      </c>
    </row>
    <row r="70" spans="1:10">
      <c r="A70" s="134" t="s">
        <v>174</v>
      </c>
      <c r="B70" s="134" t="s">
        <v>218</v>
      </c>
      <c r="C70" s="135">
        <v>1479.8918918918901</v>
      </c>
      <c r="D70" s="135">
        <v>3588.9244981337001</v>
      </c>
      <c r="E70" s="135">
        <v>4271.6665776160398</v>
      </c>
      <c r="F70" s="135">
        <v>5196.3846780494296</v>
      </c>
      <c r="G70" s="135">
        <v>17271</v>
      </c>
      <c r="H70" s="134" t="n">
        <f t="shared" si="1"/>
        <v>1607.4601799157294</v>
      </c>
      <c r="I70" s="134">
        <v>370</v>
      </c>
      <c r="J70" s="134">
        <v>8415</v>
      </c>
    </row>
    <row r="71" spans="1:10">
      <c r="A71" s="134" t="s">
        <v>174</v>
      </c>
      <c r="B71" s="134" t="s">
        <v>219</v>
      </c>
      <c r="C71" s="135">
        <v>2249.2277777777699</v>
      </c>
      <c r="D71" s="135">
        <v>3604.0728246324202</v>
      </c>
      <c r="E71" s="135">
        <v>4207.9765560902797</v>
      </c>
      <c r="F71" s="135">
        <v>5191.8486407646396</v>
      </c>
      <c r="G71" s="135">
        <v>16200</v>
      </c>
      <c r="H71" s="134" t="n">
        <f t="shared" si="1"/>
        <v>1587.7758161322195</v>
      </c>
      <c r="I71" s="134">
        <v>425</v>
      </c>
      <c r="J71" s="134">
        <v>8370</v>
      </c>
    </row>
    <row r="72" spans="1:10">
      <c r="A72" s="134" t="s">
        <v>174</v>
      </c>
      <c r="B72" s="134" t="s">
        <v>220</v>
      </c>
      <c r="C72" s="135">
        <v>2679.6774193548299</v>
      </c>
      <c r="D72" s="135">
        <v>4223.4272806040299</v>
      </c>
      <c r="E72" s="135">
        <v>4840.0381130312899</v>
      </c>
      <c r="F72" s="135">
        <v>5692.4865196078399</v>
      </c>
      <c r="G72" s="135">
        <v>48753.25</v>
      </c>
      <c r="H72" s="134" t="n">
        <f t="shared" si="1"/>
        <v>1469.05923900381</v>
      </c>
      <c r="I72" s="134">
        <v>1285</v>
      </c>
      <c r="J72" s="134">
        <v>8635</v>
      </c>
    </row>
    <row r="73" spans="1:10">
      <c r="A73" s="134" t="s">
        <v>174</v>
      </c>
      <c r="B73" s="134" t="s">
        <v>221</v>
      </c>
      <c r="C73" s="135">
        <v>1490.72727272727</v>
      </c>
      <c r="D73" s="135">
        <v>4197.8288023365103</v>
      </c>
      <c r="E73" s="135">
        <v>4741.5425531914898</v>
      </c>
      <c r="F73" s="135">
        <v>5612.1383874849498</v>
      </c>
      <c r="G73" s="135">
        <v>17559.571428571398</v>
      </c>
      <c r="H73" s="134" t="n">
        <f t="shared" si="1"/>
        <v>1414.3095851484395</v>
      </c>
      <c r="I73" s="134">
        <v>1365</v>
      </c>
      <c r="J73" s="134">
        <v>8445</v>
      </c>
    </row>
    <row r="74" spans="1:10">
      <c r="A74" s="134" t="s">
        <v>174</v>
      </c>
      <c r="B74" s="134" t="s">
        <v>222</v>
      </c>
      <c r="C74" s="135">
        <v>2466.65584415584</v>
      </c>
      <c r="D74" s="135">
        <v>4308.9581414817903</v>
      </c>
      <c r="E74" s="135">
        <v>4943.1674641148302</v>
      </c>
      <c r="F74" s="135">
        <v>5907.0802055754502</v>
      </c>
      <c r="G74" s="135">
        <v>43583.823529411697</v>
      </c>
      <c r="H74" s="134" t="n">
        <f t="shared" si="1"/>
        <v>1598.12206409366</v>
      </c>
      <c r="I74" s="134">
        <v>1110</v>
      </c>
      <c r="J74" s="134">
        <v>9105</v>
      </c>
    </row>
    <row r="75" spans="1:10">
      <c r="A75" s="134" t="s">
        <v>174</v>
      </c>
      <c r="B75" s="134" t="s">
        <v>223</v>
      </c>
      <c r="C75" s="135">
        <v>2592.6136363636301</v>
      </c>
      <c r="D75" s="135">
        <v>4528.14405303904</v>
      </c>
      <c r="E75" s="135">
        <v>5123.4748559710897</v>
      </c>
      <c r="F75" s="135">
        <v>6110.0236486486401</v>
      </c>
      <c r="G75" s="135">
        <v>20698.8</v>
      </c>
      <c r="H75" s="134" t="n">
        <f t="shared" si="1"/>
        <v>1581.8795956096</v>
      </c>
      <c r="I75" s="134">
        <v>1360</v>
      </c>
      <c r="J75" s="134">
        <v>9275</v>
      </c>
    </row>
    <row r="76" spans="1:10">
      <c r="A76" s="134" t="s">
        <v>174</v>
      </c>
      <c r="B76" s="134" t="s">
        <v>224</v>
      </c>
      <c r="C76" s="135">
        <v>2430</v>
      </c>
      <c r="D76" s="135">
        <v>4804.91131534746</v>
      </c>
      <c r="E76" s="135">
        <v>5460.6250514896301</v>
      </c>
      <c r="F76" s="135">
        <v>6423.8566457625602</v>
      </c>
      <c r="G76" s="135">
        <v>18958.5</v>
      </c>
      <c r="H76" s="134" t="n">
        <f t="shared" si="1"/>
        <v>1618.9453304151002</v>
      </c>
      <c r="I76" s="134">
        <v>1565</v>
      </c>
      <c r="J76" s="134">
        <v>9665</v>
      </c>
    </row>
    <row r="77" spans="1:10">
      <c r="A77" s="134" t="s">
        <v>174</v>
      </c>
      <c r="B77" s="134" t="s">
        <v>225</v>
      </c>
      <c r="C77" s="135">
        <v>2971.3241606319898</v>
      </c>
      <c r="D77" s="135">
        <v>4340.6806269794097</v>
      </c>
      <c r="E77" s="135">
        <v>4869.9643185097702</v>
      </c>
      <c r="F77" s="135">
        <v>5650.7536557930198</v>
      </c>
      <c r="G77" s="135">
        <v>13144.5333333333</v>
      </c>
      <c r="H77" s="134" t="n">
        <f t="shared" si="1"/>
        <v>1310.07302881361</v>
      </c>
      <c r="I77" s="134">
        <v>1720</v>
      </c>
      <c r="J77" s="134">
        <v>8275</v>
      </c>
    </row>
    <row r="78" spans="1:10">
      <c r="A78" s="134" t="s">
        <v>174</v>
      </c>
      <c r="B78" s="134" t="s">
        <v>226</v>
      </c>
      <c r="C78" s="135">
        <v>1968.5178571428501</v>
      </c>
      <c r="D78" s="135">
        <v>2585.14783191883</v>
      </c>
      <c r="E78" s="135">
        <v>2695.4547926580499</v>
      </c>
      <c r="F78" s="135">
        <v>2773.0699661721401</v>
      </c>
      <c r="G78" s="135">
        <v>4040</v>
      </c>
      <c r="H78" s="134" t="n">
        <f t="shared" si="1"/>
        <v>187.9221342533101</v>
      </c>
      <c r="I78" s="134">
        <v>2205</v>
      </c>
      <c r="J78" s="134">
        <v>3150</v>
      </c>
    </row>
    <row r="79" spans="1:10">
      <c r="A79" s="134" t="s">
        <v>174</v>
      </c>
      <c r="B79" s="134" t="s">
        <v>227</v>
      </c>
      <c r="C79" s="135">
        <v>1994.3076923076901</v>
      </c>
      <c r="D79" s="135">
        <v>2609.82100184003</v>
      </c>
      <c r="E79" s="135">
        <v>2709.0262135922299</v>
      </c>
      <c r="F79" s="135">
        <v>2794.9682002979998</v>
      </c>
      <c r="G79" s="135">
        <v>3732.3076923076901</v>
      </c>
      <c r="H79" s="134" t="n">
        <f t="shared" si="1"/>
        <v>185.1471984579698</v>
      </c>
      <c r="I79" s="134">
        <v>2235</v>
      </c>
      <c r="J79" s="134">
        <v>3170</v>
      </c>
    </row>
    <row r="80" spans="1:10">
      <c r="A80" s="134" t="s">
        <v>174</v>
      </c>
      <c r="B80" s="134" t="s">
        <v>228</v>
      </c>
      <c r="C80" s="135">
        <v>2141.4090909090901</v>
      </c>
      <c r="D80" s="135">
        <v>2849.1412698412701</v>
      </c>
      <c r="E80" s="135">
        <v>2971.5044943820199</v>
      </c>
      <c r="F80" s="135">
        <v>3125.9886925794999</v>
      </c>
      <c r="G80" s="135">
        <v>4289.765625</v>
      </c>
      <c r="H80" s="134" t="n">
        <f t="shared" si="1"/>
        <v>276.84742273822985</v>
      </c>
      <c r="I80" s="134">
        <v>2295</v>
      </c>
      <c r="J80" s="134">
        <v>3680</v>
      </c>
    </row>
    <row r="81" spans="1:10">
      <c r="A81" s="134" t="s">
        <v>174</v>
      </c>
      <c r="B81" s="134" t="s">
        <v>229</v>
      </c>
      <c r="C81" s="135">
        <v>2089.5</v>
      </c>
      <c r="D81" s="135">
        <v>2846.78274268104</v>
      </c>
      <c r="E81" s="135">
        <v>2963.33682207421</v>
      </c>
      <c r="F81" s="135">
        <v>3102.4900249376501</v>
      </c>
      <c r="G81" s="135">
        <v>4751.25</v>
      </c>
      <c r="H81" s="134" t="n">
        <f t="shared" si="1"/>
        <v>255.70728225661014</v>
      </c>
      <c r="I81" s="134">
        <v>2335</v>
      </c>
      <c r="J81" s="134">
        <v>3615</v>
      </c>
    </row>
    <row r="82" spans="1:10">
      <c r="A82" s="134" t="s">
        <v>174</v>
      </c>
      <c r="B82" s="134" t="s">
        <v>230</v>
      </c>
      <c r="C82" s="135">
        <v>1963.4761904761899</v>
      </c>
      <c r="D82" s="135">
        <v>2862.34289101584</v>
      </c>
      <c r="E82" s="135">
        <v>2984.20433173732</v>
      </c>
      <c r="F82" s="135">
        <v>3136.3659168415502</v>
      </c>
      <c r="G82" s="135">
        <v>4824</v>
      </c>
      <c r="H82" s="134" t="n">
        <f t="shared" si="1"/>
        <v>274.0230258257102</v>
      </c>
      <c r="I82" s="134">
        <v>2310</v>
      </c>
      <c r="J82" s="134">
        <v>3685</v>
      </c>
    </row>
    <row r="83" spans="1:10">
      <c r="A83" s="134" t="s">
        <v>174</v>
      </c>
      <c r="B83" s="134" t="s">
        <v>231</v>
      </c>
      <c r="C83" s="135">
        <v>1762.25</v>
      </c>
      <c r="D83" s="135">
        <v>2857.2417306276102</v>
      </c>
      <c r="E83" s="135">
        <v>2982.0215128383002</v>
      </c>
      <c r="F83" s="135">
        <v>3148.9101875207198</v>
      </c>
      <c r="G83" s="135">
        <v>5526</v>
      </c>
      <c r="H83" s="134" t="n">
        <f t="shared" si="1"/>
        <v>291.6684568931096</v>
      </c>
      <c r="I83" s="134">
        <v>2270</v>
      </c>
      <c r="J83" s="134">
        <v>3735</v>
      </c>
    </row>
    <row r="84" spans="1:10">
      <c r="A84" s="134" t="s">
        <v>174</v>
      </c>
      <c r="B84" s="134" t="s">
        <v>232</v>
      </c>
      <c r="C84" s="135">
        <v>1945.8333333333301</v>
      </c>
      <c r="D84" s="135">
        <v>2822.7557013769301</v>
      </c>
      <c r="E84" s="135">
        <v>2943.0211399167401</v>
      </c>
      <c r="F84" s="135">
        <v>3105.6343276515099</v>
      </c>
      <c r="G84" s="135">
        <v>6642</v>
      </c>
      <c r="H84" s="134" t="n">
        <f t="shared" si="1"/>
        <v>282.8786262745798</v>
      </c>
      <c r="I84" s="134">
        <v>2255</v>
      </c>
      <c r="J84" s="134">
        <v>3675</v>
      </c>
    </row>
    <row r="85" spans="1:10">
      <c r="A85" s="134" t="s">
        <v>174</v>
      </c>
      <c r="B85" s="134" t="s">
        <v>233</v>
      </c>
      <c r="C85" s="135">
        <v>2238.73770491803</v>
      </c>
      <c r="D85" s="135">
        <v>2816.3186119873799</v>
      </c>
      <c r="E85" s="135">
        <v>2917.1225749558998</v>
      </c>
      <c r="F85" s="135">
        <v>3041.6426944639102</v>
      </c>
      <c r="G85" s="135">
        <v>4462.89932885906</v>
      </c>
      <c r="H85" s="134" t="n">
        <f t="shared" si="1"/>
        <v>225.3240824765303</v>
      </c>
      <c r="I85" s="134">
        <v>2365</v>
      </c>
      <c r="J85" s="134">
        <v>3495</v>
      </c>
    </row>
    <row r="86" spans="1:10">
      <c r="A86" s="134" t="s">
        <v>174</v>
      </c>
      <c r="B86" s="134" t="s">
        <v>234</v>
      </c>
      <c r="C86" s="135">
        <v>2076.5714285714198</v>
      </c>
      <c r="D86" s="135">
        <v>7292.7</v>
      </c>
      <c r="E86" s="135">
        <v>9302.8064516128998</v>
      </c>
      <c r="F86" s="135">
        <v>11592.4818789278</v>
      </c>
      <c r="G86" s="135">
        <v>50037.75</v>
      </c>
      <c r="H86" s="134" t="n">
        <f t="shared" si="1"/>
        <v>4299.7818789278</v>
      </c>
      <c r="I86" s="134">
        <v>0</v>
      </c>
      <c r="J86" s="134">
        <v>20195</v>
      </c>
    </row>
    <row r="87" spans="1:10">
      <c r="A87" s="134" t="s">
        <v>174</v>
      </c>
      <c r="B87" s="134" t="s">
        <v>235</v>
      </c>
      <c r="C87" s="135">
        <v>2314.625</v>
      </c>
      <c r="D87" s="135">
        <v>7099.3037573881202</v>
      </c>
      <c r="E87" s="135">
        <v>8997.5858585858496</v>
      </c>
      <c r="F87" s="135">
        <v>10798.117741485201</v>
      </c>
      <c r="G87" s="135">
        <v>60396</v>
      </c>
      <c r="H87" s="134" t="n">
        <f t="shared" si="1"/>
        <v>3698.8139840970807</v>
      </c>
      <c r="I87" s="134">
        <v>0</v>
      </c>
      <c r="J87" s="134">
        <v>18200</v>
      </c>
    </row>
    <row r="88" spans="1:10">
      <c r="A88" s="134" t="s">
        <v>174</v>
      </c>
      <c r="B88" s="134" t="s">
        <v>236</v>
      </c>
      <c r="C88" s="135">
        <v>2925</v>
      </c>
      <c r="D88" s="135">
        <v>8056.4427918894798</v>
      </c>
      <c r="E88" s="135">
        <v>9903.4506840494796</v>
      </c>
      <c r="F88" s="135">
        <v>12132.3028081749</v>
      </c>
      <c r="G88" s="135">
        <v>30632.333333333299</v>
      </c>
      <c r="H88" s="134" t="n">
        <f t="shared" si="1"/>
        <v>4075.86001628542</v>
      </c>
      <c r="I88" s="134">
        <v>0</v>
      </c>
      <c r="J88" s="134">
        <v>20285</v>
      </c>
    </row>
    <row r="89" spans="1:10">
      <c r="A89" s="134" t="s">
        <v>174</v>
      </c>
      <c r="B89" s="134" t="s">
        <v>237</v>
      </c>
      <c r="C89" s="135">
        <v>2678.7272727272698</v>
      </c>
      <c r="D89" s="135">
        <v>7829.3140094383198</v>
      </c>
      <c r="E89" s="135">
        <v>9898.3374346108594</v>
      </c>
      <c r="F89" s="135">
        <v>12268.100238814401</v>
      </c>
      <c r="G89" s="135">
        <v>23569.200000000001</v>
      </c>
      <c r="H89" s="134" t="n">
        <f t="shared" si="1"/>
        <v>4438.786229376081</v>
      </c>
      <c r="I89" s="134">
        <v>0</v>
      </c>
      <c r="J89" s="134">
        <v>21150</v>
      </c>
    </row>
    <row r="90" spans="1:10">
      <c r="A90" s="134" t="s">
        <v>174</v>
      </c>
      <c r="B90" s="134" t="s">
        <v>238</v>
      </c>
      <c r="C90" s="135">
        <v>2580</v>
      </c>
      <c r="D90" s="135">
        <v>7687.1588327179697</v>
      </c>
      <c r="E90" s="135">
        <v>9798.1175735846391</v>
      </c>
      <c r="F90" s="135">
        <v>12526.737154038099</v>
      </c>
      <c r="G90" s="135">
        <v>35442</v>
      </c>
      <c r="H90" s="134" t="n">
        <f t="shared" si="1"/>
        <v>4839.578321320129</v>
      </c>
      <c r="I90" s="134">
        <v>0</v>
      </c>
      <c r="J90" s="134">
        <v>22210</v>
      </c>
    </row>
    <row r="91" spans="1:10">
      <c r="A91" s="134" t="s">
        <v>174</v>
      </c>
      <c r="B91" s="134" t="s">
        <v>239</v>
      </c>
      <c r="C91" s="135">
        <v>2579.1428571428501</v>
      </c>
      <c r="D91" s="135">
        <v>7748.9325842696599</v>
      </c>
      <c r="E91" s="135">
        <v>9870.5876494023905</v>
      </c>
      <c r="F91" s="135">
        <v>12860.733333333301</v>
      </c>
      <c r="G91" s="135">
        <v>27473.4</v>
      </c>
      <c r="H91" s="134" t="n">
        <f t="shared" si="1"/>
        <v>5111.800749063641</v>
      </c>
      <c r="I91" s="134">
        <v>0</v>
      </c>
      <c r="J91" s="134">
        <v>23085</v>
      </c>
    </row>
    <row r="92" spans="1:10">
      <c r="A92" s="134" t="s">
        <v>174</v>
      </c>
      <c r="B92" s="134" t="s">
        <v>240</v>
      </c>
      <c r="C92" s="135">
        <v>2340</v>
      </c>
      <c r="D92" s="135">
        <v>7850.7247549019603</v>
      </c>
      <c r="E92" s="135">
        <v>10366.281499750199</v>
      </c>
      <c r="F92" s="135">
        <v>13549.407542528599</v>
      </c>
      <c r="G92" s="135">
        <v>62415</v>
      </c>
      <c r="H92" s="134" t="n">
        <f t="shared" si="1"/>
        <v>5698.682787626639</v>
      </c>
      <c r="I92" s="134">
        <v>0</v>
      </c>
      <c r="J92" s="134">
        <v>24950</v>
      </c>
    </row>
    <row r="93" spans="1:10">
      <c r="A93" s="134" t="s">
        <v>174</v>
      </c>
      <c r="B93" s="134" t="s">
        <v>241</v>
      </c>
      <c r="C93" s="135">
        <v>3540.2828947368398</v>
      </c>
      <c r="D93" s="135">
        <v>8069.43379322702</v>
      </c>
      <c r="E93" s="135">
        <v>9873.8407960199002</v>
      </c>
      <c r="F93" s="135">
        <v>12253.457104557599</v>
      </c>
      <c r="G93" s="135">
        <v>20670.589285714199</v>
      </c>
      <c r="H93" s="134" t="n">
        <f t="shared" si="1"/>
        <v>4184.023311330579</v>
      </c>
      <c r="I93" s="134">
        <v>0</v>
      </c>
      <c r="J93" s="134">
        <v>20625</v>
      </c>
    </row>
    <row r="94" spans="1:10">
      <c r="A94" s="134" t="s">
        <v>174</v>
      </c>
      <c r="B94" s="134" t="s">
        <v>242</v>
      </c>
      <c r="C94" s="135">
        <v>3358</v>
      </c>
      <c r="D94" s="135">
        <v>6339.8507519529403</v>
      </c>
      <c r="E94" s="135">
        <v>6611.8833696339398</v>
      </c>
      <c r="F94" s="135">
        <v>6872.4827844969705</v>
      </c>
      <c r="G94" s="135">
        <v>7938.2283354426099</v>
      </c>
      <c r="H94" s="134" t="n">
        <f t="shared" si="1"/>
        <v>532.6320325440302</v>
      </c>
      <c r="I94" s="134">
        <v>5270</v>
      </c>
      <c r="J94" s="134">
        <v>7940</v>
      </c>
    </row>
    <row r="95" spans="1:10">
      <c r="A95" s="134" t="s">
        <v>174</v>
      </c>
      <c r="B95" s="134" t="s">
        <v>243</v>
      </c>
      <c r="C95" s="135">
        <v>3999.8684210526299</v>
      </c>
      <c r="D95" s="135">
        <v>7343.2187876034805</v>
      </c>
      <c r="E95" s="135">
        <v>7647.3177514765603</v>
      </c>
      <c r="F95" s="135">
        <v>7941.1566320260699</v>
      </c>
      <c r="G95" s="135">
        <v>9124.2035786230499</v>
      </c>
      <c r="H95" s="134" t="n">
        <f t="shared" si="1"/>
        <v>597.9378444225895</v>
      </c>
      <c r="I95" s="134">
        <v>6145</v>
      </c>
      <c r="J95" s="134">
        <v>9140</v>
      </c>
    </row>
    <row r="96" spans="1:10">
      <c r="A96" s="134" t="s">
        <v>174</v>
      </c>
      <c r="B96" s="134" t="s">
        <v>244</v>
      </c>
      <c r="C96" s="135">
        <v>4480.8639053254401</v>
      </c>
      <c r="D96" s="135">
        <v>8399.3924829203006</v>
      </c>
      <c r="E96" s="135">
        <v>8793.9304129573302</v>
      </c>
      <c r="F96" s="135">
        <v>9124.7916942669708</v>
      </c>
      <c r="G96" s="135">
        <v>10338.934824902701</v>
      </c>
      <c r="H96" s="134" t="n">
        <f t="shared" si="1"/>
        <v>725.3992113466702</v>
      </c>
      <c r="I96" s="134">
        <v>6945</v>
      </c>
      <c r="J96" s="134">
        <v>10580</v>
      </c>
    </row>
    <row r="97" spans="1:10">
      <c r="A97" s="134" t="s">
        <v>174</v>
      </c>
      <c r="B97" s="134" t="s">
        <v>245</v>
      </c>
      <c r="C97" s="135">
        <v>4681.2375000000002</v>
      </c>
      <c r="D97" s="135">
        <v>9298.1086141875603</v>
      </c>
      <c r="E97" s="135">
        <v>9723.9796247206195</v>
      </c>
      <c r="F97" s="135">
        <v>10152.6874968583</v>
      </c>
      <c r="G97" s="135">
        <v>11946.8167456556</v>
      </c>
      <c r="H97" s="134" t="n">
        <f t="shared" si="1"/>
        <v>854.5788826707394</v>
      </c>
      <c r="I97" s="134">
        <v>7585</v>
      </c>
      <c r="J97" s="134">
        <v>11865</v>
      </c>
    </row>
    <row r="98" spans="1:10">
      <c r="A98" s="134" t="s">
        <v>174</v>
      </c>
      <c r="B98" s="134" t="s">
        <v>246</v>
      </c>
      <c r="C98" s="135">
        <v>3481.6329113923998</v>
      </c>
      <c r="D98" s="135">
        <v>10234.336633663301</v>
      </c>
      <c r="E98" s="135">
        <v>10805.919589392601</v>
      </c>
      <c r="F98" s="135">
        <v>11308.347572815501</v>
      </c>
      <c r="G98" s="135">
        <v>13491</v>
      </c>
      <c r="H98" s="134" t="n">
        <f t="shared" si="1"/>
        <v>1074.0109391522</v>
      </c>
      <c r="I98" s="134">
        <v>8085</v>
      </c>
      <c r="J98" s="134">
        <v>13460</v>
      </c>
    </row>
    <row r="99" spans="1:10">
      <c r="A99" s="134" t="s">
        <v>174</v>
      </c>
      <c r="B99" s="134" t="s">
        <v>247</v>
      </c>
      <c r="C99" s="135">
        <v>3358</v>
      </c>
      <c r="D99" s="135">
        <v>7570.4618646804001</v>
      </c>
      <c r="E99" s="135">
        <v>7880.42590790349</v>
      </c>
      <c r="F99" s="135">
        <v>8203.0236640783605</v>
      </c>
      <c r="G99" s="135">
        <v>9264.3307153470596</v>
      </c>
      <c r="H99" s="134" t="n">
        <f t="shared" ref="H99:H162" si="2">F99-D99</f>
        <v>632.5617993979604</v>
      </c>
      <c r="I99" s="134">
        <v>6305</v>
      </c>
      <c r="J99" s="134">
        <v>9470</v>
      </c>
    </row>
    <row r="100" spans="1:10">
      <c r="A100" s="134" t="s">
        <v>174</v>
      </c>
      <c r="B100" s="134" t="s">
        <v>248</v>
      </c>
      <c r="C100" s="135">
        <v>14616.9053254437</v>
      </c>
      <c r="D100" s="135">
        <v>22130.4815013363</v>
      </c>
      <c r="E100" s="135">
        <v>22712.909952606598</v>
      </c>
      <c r="F100" s="135">
        <v>23347.8947368421</v>
      </c>
      <c r="G100" s="135">
        <v>41976</v>
      </c>
      <c r="H100" s="134" t="n">
        <f t="shared" si="2"/>
        <v>1217.413235505799</v>
      </c>
      <c r="I100" s="134">
        <v>19695</v>
      </c>
      <c r="J100" s="134">
        <v>25785</v>
      </c>
    </row>
    <row r="101" spans="1:10">
      <c r="A101" s="134" t="s">
        <v>174</v>
      </c>
      <c r="B101" s="134" t="s">
        <v>249</v>
      </c>
      <c r="C101" s="135">
        <v>9041.2999999999993</v>
      </c>
      <c r="D101" s="135">
        <v>41170.450558749799</v>
      </c>
      <c r="E101" s="135">
        <v>42129.740769230702</v>
      </c>
      <c r="F101" s="135">
        <v>43203.539894574802</v>
      </c>
      <c r="G101" s="135">
        <v>54488.181818181802</v>
      </c>
      <c r="H101" s="134" t="n">
        <f t="shared" si="2"/>
        <v>2033.0893358250032</v>
      </c>
      <c r="I101" s="134">
        <v>37100</v>
      </c>
      <c r="J101" s="134">
        <v>47270</v>
      </c>
    </row>
    <row r="102" spans="1:10">
      <c r="A102" s="134" t="s">
        <v>174</v>
      </c>
      <c r="B102" s="134" t="s">
        <v>250</v>
      </c>
      <c r="C102" s="135">
        <v>2717.6896551724099</v>
      </c>
      <c r="D102" s="135">
        <v>6734.1573629737704</v>
      </c>
      <c r="E102" s="135">
        <v>7197.0350043766402</v>
      </c>
      <c r="F102" s="135">
        <v>7650.53097884821</v>
      </c>
      <c r="G102" s="135">
        <v>10137.9375</v>
      </c>
      <c r="H102" s="134" t="n">
        <f t="shared" si="2"/>
        <v>916.3736158744396</v>
      </c>
      <c r="I102" s="134">
        <v>4900</v>
      </c>
      <c r="J102" s="134">
        <v>9485</v>
      </c>
    </row>
    <row r="103" spans="1:10">
      <c r="A103" s="134" t="s">
        <v>174</v>
      </c>
      <c r="B103" s="134" t="s">
        <v>251</v>
      </c>
      <c r="C103" s="135">
        <v>1819.2139737991199</v>
      </c>
      <c r="D103" s="135">
        <v>7992.1146771977501</v>
      </c>
      <c r="E103" s="135">
        <v>8470.89140444021</v>
      </c>
      <c r="F103" s="135">
        <v>8925.5627971624999</v>
      </c>
      <c r="G103" s="135">
        <v>23294.880000000001</v>
      </c>
      <c r="H103" s="134" t="n">
        <f t="shared" si="2"/>
        <v>933.4481199647498</v>
      </c>
      <c r="I103" s="134">
        <v>6125</v>
      </c>
      <c r="J103" s="134">
        <v>10795</v>
      </c>
    </row>
    <row r="104" spans="1:10">
      <c r="A104" s="134" t="s">
        <v>174</v>
      </c>
      <c r="B104" s="134" t="s">
        <v>252</v>
      </c>
      <c r="C104" s="135">
        <v>2270.6954887217998</v>
      </c>
      <c r="D104" s="135">
        <v>9369.3222649809304</v>
      </c>
      <c r="E104" s="135">
        <v>9895.0377360611001</v>
      </c>
      <c r="F104" s="135">
        <v>10382.2695008798</v>
      </c>
      <c r="G104" s="135">
        <v>13275</v>
      </c>
      <c r="H104" s="134" t="n">
        <f t="shared" si="2"/>
        <v>1012.9472358988696</v>
      </c>
      <c r="I104" s="134">
        <v>7340</v>
      </c>
      <c r="J104" s="134">
        <v>12410</v>
      </c>
    </row>
    <row r="105" spans="1:10">
      <c r="A105" s="134" t="s">
        <v>174</v>
      </c>
      <c r="B105" s="134" t="s">
        <v>253</v>
      </c>
      <c r="C105" s="135">
        <v>3249</v>
      </c>
      <c r="D105" s="135">
        <v>10832.666776776099</v>
      </c>
      <c r="E105" s="135">
        <v>11460.074315801599</v>
      </c>
      <c r="F105" s="135">
        <v>11993.414387830901</v>
      </c>
      <c r="G105" s="135">
        <v>14683.909090908999</v>
      </c>
      <c r="H105" s="134" t="n">
        <f t="shared" si="2"/>
        <v>1160.7476110548014</v>
      </c>
      <c r="I105" s="134">
        <v>8510</v>
      </c>
      <c r="J105" s="134">
        <v>14315</v>
      </c>
    </row>
    <row r="106" spans="1:10">
      <c r="A106" s="134" t="s">
        <v>174</v>
      </c>
      <c r="B106" s="134" t="s">
        <v>254</v>
      </c>
      <c r="C106" s="135">
        <v>3519</v>
      </c>
      <c r="D106" s="135">
        <v>12167.6019234789</v>
      </c>
      <c r="E106" s="135">
        <v>12966.518709677401</v>
      </c>
      <c r="F106" s="135">
        <v>13613.792580101101</v>
      </c>
      <c r="G106" s="135">
        <v>19827</v>
      </c>
      <c r="H106" s="134" t="n">
        <f t="shared" si="2"/>
        <v>1446.1906566222005</v>
      </c>
      <c r="I106" s="134">
        <v>9275</v>
      </c>
      <c r="J106" s="134">
        <v>16510</v>
      </c>
    </row>
    <row r="107" spans="1:10">
      <c r="A107" s="134" t="s">
        <v>174</v>
      </c>
      <c r="B107" s="134" t="s">
        <v>255</v>
      </c>
      <c r="C107" s="135">
        <v>2550.40625</v>
      </c>
      <c r="D107" s="135">
        <v>9853.1756381458399</v>
      </c>
      <c r="E107" s="135">
        <v>10448.333333333299</v>
      </c>
      <c r="F107" s="135">
        <v>11183.895290467401</v>
      </c>
      <c r="G107" s="135">
        <v>32631.7430478309</v>
      </c>
      <c r="H107" s="134" t="n">
        <f t="shared" si="2"/>
        <v>1330.7196523215607</v>
      </c>
      <c r="I107" s="134">
        <v>7190</v>
      </c>
      <c r="J107" s="134">
        <v>13850</v>
      </c>
    </row>
    <row r="108" spans="1:10">
      <c r="A108" s="134" t="s">
        <v>174</v>
      </c>
      <c r="B108" s="134" t="s">
        <v>256</v>
      </c>
      <c r="C108" s="135">
        <v>1415.4736842105201</v>
      </c>
      <c r="D108" s="135">
        <v>4938.3660287081302</v>
      </c>
      <c r="E108" s="135">
        <v>5528.6470588235297</v>
      </c>
      <c r="F108" s="135">
        <v>6047.1459854014602</v>
      </c>
      <c r="G108" s="135">
        <v>8178.5</v>
      </c>
      <c r="H108" s="134" t="n">
        <f t="shared" si="2"/>
        <v>1108.77995669333</v>
      </c>
      <c r="I108" s="134">
        <v>2720</v>
      </c>
      <c r="J108" s="134">
        <v>8265</v>
      </c>
    </row>
    <row r="109" spans="1:10">
      <c r="A109" s="134" t="s">
        <v>174</v>
      </c>
      <c r="B109" s="134" t="s">
        <v>257</v>
      </c>
      <c r="C109" s="135">
        <v>3594.6666666666601</v>
      </c>
      <c r="D109" s="135">
        <v>6411.1177039664599</v>
      </c>
      <c r="E109" s="135">
        <v>6906.63831426056</v>
      </c>
      <c r="F109" s="135">
        <v>7342.8866164112696</v>
      </c>
      <c r="G109" s="135">
        <v>9102.2745664739796</v>
      </c>
      <c r="H109" s="134" t="n">
        <f t="shared" si="2"/>
        <v>931.7689124448098</v>
      </c>
      <c r="I109" s="134">
        <v>4545</v>
      </c>
      <c r="J109" s="134">
        <v>9210</v>
      </c>
    </row>
    <row r="110" spans="1:10">
      <c r="A110" s="134" t="s">
        <v>174</v>
      </c>
      <c r="B110" s="134" t="s">
        <v>258</v>
      </c>
      <c r="C110" s="135">
        <v>1627.8157894736801</v>
      </c>
      <c r="D110" s="135">
        <v>6966.70785276487</v>
      </c>
      <c r="E110" s="135">
        <v>7342.9767274039305</v>
      </c>
      <c r="F110" s="135">
        <v>7687.7201565557698</v>
      </c>
      <c r="G110" s="135">
        <v>9397.3305263157799</v>
      </c>
      <c r="H110" s="134" t="n">
        <f t="shared" si="2"/>
        <v>721.0123037908998</v>
      </c>
      <c r="I110" s="134">
        <v>5520</v>
      </c>
      <c r="J110" s="134">
        <v>9130</v>
      </c>
    </row>
    <row r="111" spans="1:10">
      <c r="A111" s="134" t="s">
        <v>174</v>
      </c>
      <c r="B111" s="134" t="s">
        <v>259</v>
      </c>
      <c r="C111" s="135">
        <v>5835.8514851485097</v>
      </c>
      <c r="D111" s="135">
        <v>7588.8829931591499</v>
      </c>
      <c r="E111" s="135">
        <v>7935.45764183138</v>
      </c>
      <c r="F111" s="135">
        <v>8284.2616614837407</v>
      </c>
      <c r="G111" s="135">
        <v>9457.5301455301396</v>
      </c>
      <c r="H111" s="134" t="n">
        <f t="shared" si="2"/>
        <v>695.3786683245908</v>
      </c>
      <c r="I111" s="134">
        <v>6195</v>
      </c>
      <c r="J111" s="134">
        <v>9680</v>
      </c>
    </row>
    <row r="112" spans="1:10">
      <c r="A112" s="134" t="s">
        <v>174</v>
      </c>
      <c r="B112" s="134" t="s">
        <v>260</v>
      </c>
      <c r="C112" s="135">
        <v>3451.3333333333298</v>
      </c>
      <c r="D112" s="135">
        <v>8358.8800734244305</v>
      </c>
      <c r="E112" s="135">
        <v>8679.1943301325991</v>
      </c>
      <c r="F112" s="135">
        <v>8995.0178253119393</v>
      </c>
      <c r="G112" s="135">
        <v>10480.2616609783</v>
      </c>
      <c r="H112" s="134" t="n">
        <f t="shared" si="2"/>
        <v>636.1377518875088</v>
      </c>
      <c r="I112" s="134">
        <v>7085</v>
      </c>
      <c r="J112" s="134">
        <v>10270</v>
      </c>
    </row>
    <row r="113" spans="1:10">
      <c r="A113" s="134" t="s">
        <v>174</v>
      </c>
      <c r="B113" s="134" t="s">
        <v>261</v>
      </c>
      <c r="C113" s="135">
        <v>6301.3333333333303</v>
      </c>
      <c r="D113" s="135">
        <v>9055.2846094370107</v>
      </c>
      <c r="E113" s="135">
        <v>9381.4038461538403</v>
      </c>
      <c r="F113" s="135">
        <v>9694.9258876438998</v>
      </c>
      <c r="G113" s="135">
        <v>16594.953488372001</v>
      </c>
      <c r="H113" s="134" t="n">
        <f t="shared" si="2"/>
        <v>639.6412782068892</v>
      </c>
      <c r="I113" s="134">
        <v>7775</v>
      </c>
      <c r="J113" s="134">
        <v>10975</v>
      </c>
    </row>
    <row r="114" spans="1:10">
      <c r="A114" s="134" t="s">
        <v>174</v>
      </c>
      <c r="B114" s="134" t="s">
        <v>262</v>
      </c>
      <c r="C114" s="135">
        <v>6201</v>
      </c>
      <c r="D114" s="135">
        <v>9864.0066334991698</v>
      </c>
      <c r="E114" s="135">
        <v>10222.4556962025</v>
      </c>
      <c r="F114" s="135">
        <v>10604.8782051282</v>
      </c>
      <c r="G114" s="135">
        <v>13077.3552631578</v>
      </c>
      <c r="H114" s="134" t="n">
        <f t="shared" si="2"/>
        <v>740.8715716290299</v>
      </c>
      <c r="I114" s="134">
        <v>8380</v>
      </c>
      <c r="J114" s="134">
        <v>12090</v>
      </c>
    </row>
    <row r="115" spans="1:10">
      <c r="A115" s="134" t="s">
        <v>174</v>
      </c>
      <c r="B115" s="134" t="s">
        <v>263</v>
      </c>
      <c r="C115" s="135">
        <v>6112.8048780487798</v>
      </c>
      <c r="D115" s="135">
        <v>8208.9410567306804</v>
      </c>
      <c r="E115" s="135">
        <v>8598.04754276733</v>
      </c>
      <c r="F115" s="135">
        <v>8932.3038617337297</v>
      </c>
      <c r="G115" s="135">
        <v>10243.8931380663</v>
      </c>
      <c r="H115" s="134" t="n">
        <f t="shared" si="2"/>
        <v>723.3628050030493</v>
      </c>
      <c r="I115" s="134">
        <v>6760</v>
      </c>
      <c r="J115" s="134">
        <v>10380</v>
      </c>
    </row>
    <row r="116" spans="1:10">
      <c r="A116" s="134" t="s">
        <v>174</v>
      </c>
      <c r="B116" s="134" t="s">
        <v>264</v>
      </c>
      <c r="C116" s="135">
        <v>265.55</v>
      </c>
      <c r="D116" s="135">
        <v>6139.8947368421004</v>
      </c>
      <c r="E116" s="135">
        <v>7535.25</v>
      </c>
      <c r="F116" s="135">
        <v>8784</v>
      </c>
      <c r="G116" s="135">
        <v>17724</v>
      </c>
      <c r="H116" s="134" t="n">
        <f t="shared" si="2"/>
        <v>2644.1052631578996</v>
      </c>
      <c r="I116" s="134">
        <v>850</v>
      </c>
      <c r="J116" s="134">
        <v>14075</v>
      </c>
    </row>
    <row r="117" spans="1:10">
      <c r="A117" s="134" t="s">
        <v>174</v>
      </c>
      <c r="B117" s="134" t="s">
        <v>265</v>
      </c>
      <c r="C117" s="135">
        <v>3649.4</v>
      </c>
      <c r="D117" s="135">
        <v>8558.54054054054</v>
      </c>
      <c r="E117" s="135">
        <v>9673.1020408163204</v>
      </c>
      <c r="F117" s="135">
        <v>10750.666666666601</v>
      </c>
      <c r="G117" s="135">
        <v>46888.5</v>
      </c>
      <c r="H117" s="134" t="n">
        <f t="shared" si="2"/>
        <v>2192.1261261260606</v>
      </c>
      <c r="I117" s="134">
        <v>4170</v>
      </c>
      <c r="J117" s="134">
        <v>15135</v>
      </c>
    </row>
    <row r="118" spans="1:10">
      <c r="A118" s="134" t="s">
        <v>174</v>
      </c>
      <c r="B118" s="134" t="s">
        <v>266</v>
      </c>
      <c r="C118" s="135">
        <v>2092.5</v>
      </c>
      <c r="D118" s="135">
        <v>9688.0637945318904</v>
      </c>
      <c r="E118" s="135">
        <v>10365.811764705801</v>
      </c>
      <c r="F118" s="135">
        <v>10963.924295774599</v>
      </c>
      <c r="G118" s="135">
        <v>14697</v>
      </c>
      <c r="H118" s="134" t="n">
        <f t="shared" si="2"/>
        <v>1275.8605012427088</v>
      </c>
      <c r="I118" s="134">
        <v>7135</v>
      </c>
      <c r="J118" s="134">
        <v>13520</v>
      </c>
    </row>
    <row r="119" spans="1:10">
      <c r="A119" s="134" t="s">
        <v>174</v>
      </c>
      <c r="B119" s="134" t="s">
        <v>267</v>
      </c>
      <c r="C119" s="135">
        <v>5740.2</v>
      </c>
      <c r="D119" s="135">
        <v>10237.0556139896</v>
      </c>
      <c r="E119" s="135">
        <v>10919.2198757763</v>
      </c>
      <c r="F119" s="135">
        <v>11511.249641717</v>
      </c>
      <c r="G119" s="135">
        <v>15031.091954022901</v>
      </c>
      <c r="H119" s="134" t="n">
        <f t="shared" si="2"/>
        <v>1274.1940277274007</v>
      </c>
      <c r="I119" s="134">
        <v>7685</v>
      </c>
      <c r="J119" s="134">
        <v>14060</v>
      </c>
    </row>
    <row r="120" spans="1:10">
      <c r="A120" s="134" t="s">
        <v>174</v>
      </c>
      <c r="B120" s="134" t="s">
        <v>268</v>
      </c>
      <c r="C120" s="135">
        <v>7009</v>
      </c>
      <c r="D120" s="135">
        <v>11113.3351449682</v>
      </c>
      <c r="E120" s="135">
        <v>11785.780156618001</v>
      </c>
      <c r="F120" s="135">
        <v>12385.821888708901</v>
      </c>
      <c r="G120" s="135">
        <v>56808</v>
      </c>
      <c r="H120" s="134" t="n">
        <f t="shared" si="2"/>
        <v>1272.486743740701</v>
      </c>
      <c r="I120" s="134">
        <v>8565</v>
      </c>
      <c r="J120" s="134">
        <v>14935</v>
      </c>
    </row>
    <row r="121" spans="1:10">
      <c r="A121" s="134" t="s">
        <v>174</v>
      </c>
      <c r="B121" s="134" t="s">
        <v>269</v>
      </c>
      <c r="C121" s="135">
        <v>5762.25</v>
      </c>
      <c r="D121" s="135">
        <v>11656.7653866738</v>
      </c>
      <c r="E121" s="135">
        <v>12382.406862745</v>
      </c>
      <c r="F121" s="135">
        <v>13046.5645833333</v>
      </c>
      <c r="G121" s="135">
        <v>16433.1428571428</v>
      </c>
      <c r="H121" s="134" t="n">
        <f t="shared" si="2"/>
        <v>1389.7991966595</v>
      </c>
      <c r="I121" s="134">
        <v>8875</v>
      </c>
      <c r="J121" s="134">
        <v>15830</v>
      </c>
    </row>
    <row r="122" spans="1:10">
      <c r="A122" s="134" t="s">
        <v>174</v>
      </c>
      <c r="B122" s="134" t="s">
        <v>270</v>
      </c>
      <c r="C122" s="135">
        <v>6877.5454545454504</v>
      </c>
      <c r="D122" s="135">
        <v>12458.145544376501</v>
      </c>
      <c r="E122" s="135">
        <v>13278.7348710317</v>
      </c>
      <c r="F122" s="135">
        <v>13988.725709606901</v>
      </c>
      <c r="G122" s="135">
        <v>17164.444444444402</v>
      </c>
      <c r="H122" s="134" t="n">
        <f t="shared" si="2"/>
        <v>1530.5801652303999</v>
      </c>
      <c r="I122" s="134">
        <v>9395</v>
      </c>
      <c r="J122" s="134">
        <v>17050</v>
      </c>
    </row>
    <row r="123" spans="1:10">
      <c r="A123" s="134" t="s">
        <v>174</v>
      </c>
      <c r="B123" s="134" t="s">
        <v>271</v>
      </c>
      <c r="C123" s="135">
        <v>6787.4776119402904</v>
      </c>
      <c r="D123" s="135">
        <v>10894.8262626262</v>
      </c>
      <c r="E123" s="135">
        <v>11582.7086383601</v>
      </c>
      <c r="F123" s="135">
        <v>12163.7371029511</v>
      </c>
      <c r="G123" s="135">
        <v>56808</v>
      </c>
      <c r="H123" s="134" t="n">
        <f t="shared" si="2"/>
        <v>1268.9108403248993</v>
      </c>
      <c r="I123" s="134">
        <v>8355</v>
      </c>
      <c r="J123" s="134">
        <v>14705</v>
      </c>
    </row>
    <row r="124" spans="1:10">
      <c r="A124" s="134" t="s">
        <v>174</v>
      </c>
      <c r="B124" s="134" t="s">
        <v>272</v>
      </c>
      <c r="C124" s="135">
        <v>3458.4642857142799</v>
      </c>
      <c r="D124" s="135">
        <v>5086.9864864864803</v>
      </c>
      <c r="E124" s="135">
        <v>5724.6315789473601</v>
      </c>
      <c r="F124" s="135">
        <v>6465.796875</v>
      </c>
      <c r="G124" s="135">
        <v>8322.2592592592591</v>
      </c>
      <c r="H124" s="134" t="n">
        <f t="shared" si="2"/>
        <v>1378.8103885135197</v>
      </c>
      <c r="I124" s="134">
        <v>2325</v>
      </c>
      <c r="J124" s="134">
        <v>9225</v>
      </c>
    </row>
    <row r="125" spans="1:10">
      <c r="A125" s="134" t="s">
        <v>174</v>
      </c>
      <c r="B125" s="134" t="s">
        <v>273</v>
      </c>
      <c r="C125" s="135">
        <v>5356.6031746031704</v>
      </c>
      <c r="D125" s="135">
        <v>6658.9728260869497</v>
      </c>
      <c r="E125" s="135">
        <v>7223.4523809523798</v>
      </c>
      <c r="F125" s="135">
        <v>7512.8916666666601</v>
      </c>
      <c r="G125" s="135">
        <v>10590.269662921301</v>
      </c>
      <c r="H125" s="134" t="n">
        <f t="shared" si="2"/>
        <v>853.9188405797104</v>
      </c>
      <c r="I125" s="134">
        <v>4950</v>
      </c>
      <c r="J125" s="134">
        <v>9225</v>
      </c>
    </row>
    <row r="126" spans="1:10">
      <c r="A126" s="134" t="s">
        <v>174</v>
      </c>
      <c r="B126" s="134" t="s">
        <v>274</v>
      </c>
      <c r="C126" s="135">
        <v>4528.9473684210498</v>
      </c>
      <c r="D126" s="135">
        <v>7281.3508634222899</v>
      </c>
      <c r="E126" s="135">
        <v>8266.99761904761</v>
      </c>
      <c r="F126" s="135">
        <v>9223.4874387254895</v>
      </c>
      <c r="G126" s="135">
        <v>13842.625</v>
      </c>
      <c r="H126" s="134" t="n">
        <f t="shared" si="2"/>
        <v>1942.1365753031996</v>
      </c>
      <c r="I126" s="134">
        <v>3395</v>
      </c>
      <c r="J126" s="134">
        <v>13110</v>
      </c>
    </row>
    <row r="127" spans="1:10">
      <c r="A127" s="134" t="s">
        <v>174</v>
      </c>
      <c r="B127" s="134" t="s">
        <v>275</v>
      </c>
      <c r="C127" s="135">
        <v>5064.6643356643299</v>
      </c>
      <c r="D127" s="135">
        <v>7474.65</v>
      </c>
      <c r="E127" s="135">
        <v>8601.7910647405006</v>
      </c>
      <c r="F127" s="135">
        <v>9927.2243589743593</v>
      </c>
      <c r="G127" s="135">
        <v>15684.75</v>
      </c>
      <c r="H127" s="134" t="n">
        <f t="shared" si="2"/>
        <v>2452.5743589743597</v>
      </c>
      <c r="I127" s="134">
        <v>2565</v>
      </c>
      <c r="J127" s="134">
        <v>14835</v>
      </c>
    </row>
    <row r="128" spans="1:10">
      <c r="A128" s="134" t="s">
        <v>174</v>
      </c>
      <c r="B128" s="134" t="s">
        <v>276</v>
      </c>
      <c r="C128" s="135">
        <v>6912.5938697317997</v>
      </c>
      <c r="D128" s="135">
        <v>8074.6072054032102</v>
      </c>
      <c r="E128" s="135">
        <v>8989.3807271592195</v>
      </c>
      <c r="F128" s="135">
        <v>10551.655209452199</v>
      </c>
      <c r="G128" s="135">
        <v>17822.861111111099</v>
      </c>
      <c r="H128" s="134" t="n">
        <f t="shared" si="2"/>
        <v>2477.0480040489892</v>
      </c>
      <c r="I128" s="134">
        <v>3120</v>
      </c>
      <c r="J128" s="134">
        <v>15510</v>
      </c>
    </row>
    <row r="129" spans="1:10">
      <c r="A129" s="134" t="s">
        <v>174</v>
      </c>
      <c r="B129" s="134" t="s">
        <v>277</v>
      </c>
      <c r="C129" s="135">
        <v>4660.2</v>
      </c>
      <c r="D129" s="135">
        <v>8350.9134573578303</v>
      </c>
      <c r="E129" s="135">
        <v>9765.1569767441797</v>
      </c>
      <c r="F129" s="135">
        <v>11561.7789915966</v>
      </c>
      <c r="G129" s="135">
        <v>18648.551912568299</v>
      </c>
      <c r="H129" s="134" t="n">
        <f t="shared" si="2"/>
        <v>3210.86553423877</v>
      </c>
      <c r="I129" s="134">
        <v>1925</v>
      </c>
      <c r="J129" s="134">
        <v>17985</v>
      </c>
    </row>
    <row r="130" spans="1:10">
      <c r="A130" s="134" t="s">
        <v>174</v>
      </c>
      <c r="B130" s="134" t="s">
        <v>278</v>
      </c>
      <c r="C130" s="135">
        <v>4390.8846153846098</v>
      </c>
      <c r="D130" s="135">
        <v>9021.0375000000004</v>
      </c>
      <c r="E130" s="135">
        <v>10097.4280211314</v>
      </c>
      <c r="F130" s="135">
        <v>12507.7979760119</v>
      </c>
      <c r="G130" s="135">
        <v>20343.599999999999</v>
      </c>
      <c r="H130" s="134" t="n">
        <f t="shared" si="2"/>
        <v>3486.7604760118993</v>
      </c>
      <c r="I130" s="134">
        <v>2045</v>
      </c>
      <c r="J130" s="134">
        <v>19485</v>
      </c>
    </row>
    <row r="131" spans="1:10">
      <c r="A131" s="134" t="s">
        <v>174</v>
      </c>
      <c r="B131" s="134" t="s">
        <v>279</v>
      </c>
      <c r="C131" s="135">
        <v>4390.8846153846098</v>
      </c>
      <c r="D131" s="135">
        <v>8377.6180916718604</v>
      </c>
      <c r="E131" s="135">
        <v>9428.9729729729697</v>
      </c>
      <c r="F131" s="135">
        <v>11453.6776553696</v>
      </c>
      <c r="G131" s="135">
        <v>20343.599999999999</v>
      </c>
      <c r="H131" s="134" t="n">
        <f t="shared" si="2"/>
        <v>3076.0595636977396</v>
      </c>
      <c r="I131" s="134">
        <v>2225</v>
      </c>
      <c r="J131" s="134">
        <v>17610</v>
      </c>
    </row>
    <row r="132" spans="1:10">
      <c r="A132" s="134" t="s">
        <v>174</v>
      </c>
      <c r="B132" s="134" t="s">
        <v>280</v>
      </c>
      <c r="C132" s="135">
        <v>3483.6923076922999</v>
      </c>
      <c r="D132" s="135">
        <v>5273.8928571428496</v>
      </c>
      <c r="E132" s="135">
        <v>5981</v>
      </c>
      <c r="F132" s="135">
        <v>6789.2946428571404</v>
      </c>
      <c r="G132" s="135">
        <v>8709</v>
      </c>
      <c r="H132" s="134" t="n">
        <f t="shared" si="2"/>
        <v>1515.4017857142908</v>
      </c>
      <c r="I132" s="134">
        <v>2240</v>
      </c>
      <c r="J132" s="134">
        <v>9825</v>
      </c>
    </row>
    <row r="133" spans="1:10">
      <c r="A133" s="134" t="s">
        <v>174</v>
      </c>
      <c r="B133" s="134" t="s">
        <v>281</v>
      </c>
      <c r="C133" s="135">
        <v>6720.5454545454504</v>
      </c>
      <c r="D133" s="135">
        <v>7257.4347222222204</v>
      </c>
      <c r="E133" s="135">
        <v>8167.3</v>
      </c>
      <c r="F133" s="135">
        <v>8619.9591836734598</v>
      </c>
      <c r="G133" s="135">
        <v>9760.5</v>
      </c>
      <c r="H133" s="134" t="n">
        <f t="shared" si="2"/>
        <v>1362.5244614512394</v>
      </c>
      <c r="I133" s="134">
        <v>4530</v>
      </c>
      <c r="J133" s="134">
        <v>11350</v>
      </c>
    </row>
    <row r="134" spans="1:10">
      <c r="A134" s="134" t="s">
        <v>174</v>
      </c>
      <c r="B134" s="134" t="s">
        <v>282</v>
      </c>
      <c r="C134" s="135">
        <v>5839.1052631578896</v>
      </c>
      <c r="D134" s="135">
        <v>7969.0721153846098</v>
      </c>
      <c r="E134" s="135">
        <v>8723.5</v>
      </c>
      <c r="F134" s="135">
        <v>9931.875</v>
      </c>
      <c r="G134" s="135">
        <v>13111.8</v>
      </c>
      <c r="H134" s="134" t="n">
        <f t="shared" si="2"/>
        <v>1962.8028846153902</v>
      </c>
      <c r="I134" s="134">
        <v>4040</v>
      </c>
      <c r="J134" s="134">
        <v>13860</v>
      </c>
    </row>
    <row r="135" spans="1:10">
      <c r="A135" s="134" t="s">
        <v>174</v>
      </c>
      <c r="B135" s="134" t="s">
        <v>283</v>
      </c>
      <c r="C135" s="135">
        <v>5389.65</v>
      </c>
      <c r="D135" s="135">
        <v>8656.7370129870105</v>
      </c>
      <c r="E135" s="135">
        <v>9849</v>
      </c>
      <c r="F135" s="135">
        <v>11157.8658707865</v>
      </c>
      <c r="G135" s="135">
        <v>13882</v>
      </c>
      <c r="H135" s="134" t="n">
        <f t="shared" si="2"/>
        <v>2501.128857799489</v>
      </c>
      <c r="I135" s="134">
        <v>3650</v>
      </c>
      <c r="J135" s="134">
        <v>16165</v>
      </c>
    </row>
    <row r="136" spans="1:10">
      <c r="A136" s="134" t="s">
        <v>174</v>
      </c>
      <c r="B136" s="134" t="s">
        <v>284</v>
      </c>
      <c r="C136" s="135">
        <v>6884.3684210526299</v>
      </c>
      <c r="D136" s="135">
        <v>10984.138755980801</v>
      </c>
      <c r="E136" s="135">
        <v>11979.385416666601</v>
      </c>
      <c r="F136" s="135">
        <v>12866.714285714201</v>
      </c>
      <c r="G136" s="135">
        <v>16755.705882352901</v>
      </c>
      <c r="H136" s="134" t="n">
        <f t="shared" si="2"/>
        <v>1882.5755297334</v>
      </c>
      <c r="I136" s="134">
        <v>7215</v>
      </c>
      <c r="J136" s="134">
        <v>16635</v>
      </c>
    </row>
    <row r="137" spans="1:10">
      <c r="A137" s="134" t="s">
        <v>174</v>
      </c>
      <c r="B137" s="134" t="s">
        <v>285</v>
      </c>
      <c r="C137" s="135">
        <v>9453.2307692307695</v>
      </c>
      <c r="D137" s="135">
        <v>11735.738389833599</v>
      </c>
      <c r="E137" s="135">
        <v>12817.890597183999</v>
      </c>
      <c r="F137" s="135">
        <v>13836.857142857099</v>
      </c>
      <c r="G137" s="135">
        <v>16437.333333333299</v>
      </c>
      <c r="H137" s="134" t="n">
        <f t="shared" si="2"/>
        <v>2101.1187530235</v>
      </c>
      <c r="I137" s="134">
        <v>7530</v>
      </c>
      <c r="J137" s="134">
        <v>18040</v>
      </c>
    </row>
    <row r="138" spans="1:10">
      <c r="A138" s="134" t="s">
        <v>174</v>
      </c>
      <c r="B138" s="134" t="s">
        <v>286</v>
      </c>
      <c r="C138" s="135">
        <v>7614</v>
      </c>
      <c r="D138" s="135">
        <v>12727.9327868852</v>
      </c>
      <c r="E138" s="135">
        <v>13944.0560851063</v>
      </c>
      <c r="F138" s="135">
        <v>15002.3963414634</v>
      </c>
      <c r="G138" s="135">
        <v>18485.231155778802</v>
      </c>
      <c r="H138" s="134" t="n">
        <f t="shared" si="2"/>
        <v>2274.4635545782003</v>
      </c>
      <c r="I138" s="134">
        <v>8175</v>
      </c>
      <c r="J138" s="134">
        <v>19555</v>
      </c>
    </row>
    <row r="139" spans="1:10">
      <c r="A139" s="134" t="s">
        <v>174</v>
      </c>
      <c r="B139" s="134" t="s">
        <v>287</v>
      </c>
      <c r="C139" s="135">
        <v>5073.8823529411702</v>
      </c>
      <c r="D139" s="135">
        <v>10437.988485804401</v>
      </c>
      <c r="E139" s="135">
        <v>11846.6193103448</v>
      </c>
      <c r="F139" s="135">
        <v>13050.6687893462</v>
      </c>
      <c r="G139" s="135">
        <v>17291.526515151501</v>
      </c>
      <c r="H139" s="134" t="n">
        <f t="shared" si="2"/>
        <v>2612.6803035417997</v>
      </c>
      <c r="I139" s="134">
        <v>5210</v>
      </c>
      <c r="J139" s="134">
        <v>18280</v>
      </c>
    </row>
    <row r="140" spans="1:10">
      <c r="A140" s="134" t="s">
        <v>174</v>
      </c>
      <c r="B140" s="134" t="s">
        <v>288</v>
      </c>
      <c r="C140" s="135">
        <v>1592.3076923076901</v>
      </c>
      <c r="D140" s="135">
        <v>4983.57556171129</v>
      </c>
      <c r="E140" s="135">
        <v>5724.0507855316</v>
      </c>
      <c r="F140" s="135">
        <v>6550.59284332688</v>
      </c>
      <c r="G140" s="135">
        <v>17607.931034482699</v>
      </c>
      <c r="H140" s="134" t="n">
        <f t="shared" si="2"/>
        <v>1567.01728161559</v>
      </c>
      <c r="I140" s="134">
        <v>1845</v>
      </c>
      <c r="J140" s="134">
        <v>9685</v>
      </c>
    </row>
    <row r="141" spans="1:10">
      <c r="A141" s="134" t="s">
        <v>174</v>
      </c>
      <c r="B141" s="134" t="s">
        <v>289</v>
      </c>
      <c r="C141" s="135">
        <v>2515.7419354838698</v>
      </c>
      <c r="D141" s="135">
        <v>6152.2943034802402</v>
      </c>
      <c r="E141" s="135">
        <v>6989.6876053879596</v>
      </c>
      <c r="F141" s="135">
        <v>7917.8924883618802</v>
      </c>
      <c r="G141" s="135">
        <v>14577.394444444401</v>
      </c>
      <c r="H141" s="134" t="n">
        <f t="shared" si="2"/>
        <v>1765.59818488164</v>
      </c>
      <c r="I141" s="134">
        <v>2620</v>
      </c>
      <c r="J141" s="134">
        <v>11450</v>
      </c>
    </row>
    <row r="142" spans="1:10">
      <c r="A142" s="134" t="s">
        <v>174</v>
      </c>
      <c r="B142" s="134" t="s">
        <v>290</v>
      </c>
      <c r="C142" s="135">
        <v>3942.0681818181802</v>
      </c>
      <c r="D142" s="135">
        <v>6728.66</v>
      </c>
      <c r="E142" s="135">
        <v>7481.2028985507204</v>
      </c>
      <c r="F142" s="135">
        <v>8449.2795911638605</v>
      </c>
      <c r="G142" s="135">
        <v>14219.746987951799</v>
      </c>
      <c r="H142" s="134" t="n">
        <f t="shared" si="2"/>
        <v>1720.6195911638606</v>
      </c>
      <c r="I142" s="134">
        <v>3285</v>
      </c>
      <c r="J142" s="134">
        <v>11895</v>
      </c>
    </row>
    <row r="143" spans="1:10">
      <c r="A143" s="134" t="s">
        <v>174</v>
      </c>
      <c r="B143" s="134" t="s">
        <v>291</v>
      </c>
      <c r="C143" s="135">
        <v>6422.1858736059403</v>
      </c>
      <c r="D143" s="135">
        <v>11739.8585118376</v>
      </c>
      <c r="E143" s="135">
        <v>12903.2763428939</v>
      </c>
      <c r="F143" s="135">
        <v>13945.664864864801</v>
      </c>
      <c r="G143" s="135">
        <v>19967.5522388059</v>
      </c>
      <c r="H143" s="134" t="n">
        <f t="shared" si="2"/>
        <v>2205.806353027201</v>
      </c>
      <c r="I143" s="134">
        <v>7325</v>
      </c>
      <c r="J143" s="134">
        <v>18360</v>
      </c>
    </row>
    <row r="144" spans="1:10">
      <c r="A144" s="134" t="s">
        <v>174</v>
      </c>
      <c r="B144" s="134" t="s">
        <v>292</v>
      </c>
      <c r="C144" s="135">
        <v>7812.7923076922998</v>
      </c>
      <c r="D144" s="135">
        <v>14298.8181330472</v>
      </c>
      <c r="E144" s="135">
        <v>15555.231979030101</v>
      </c>
      <c r="F144" s="135">
        <v>16803.0896491987</v>
      </c>
      <c r="G144" s="135">
        <v>28112.232558139502</v>
      </c>
      <c r="H144" s="134" t="n">
        <f t="shared" si="2"/>
        <v>2504.2715161515007</v>
      </c>
      <c r="I144" s="134">
        <v>9290</v>
      </c>
      <c r="J144" s="134">
        <v>21815</v>
      </c>
    </row>
    <row r="145" spans="1:10">
      <c r="A145" s="134" t="s">
        <v>174</v>
      </c>
      <c r="B145" s="134" t="s">
        <v>293</v>
      </c>
      <c r="C145" s="135">
        <v>6483.7241379310299</v>
      </c>
      <c r="D145" s="135">
        <v>17624.462915601001</v>
      </c>
      <c r="E145" s="135">
        <v>19044.593394077401</v>
      </c>
      <c r="F145" s="135">
        <v>20472.5895339329</v>
      </c>
      <c r="G145" s="135">
        <v>36110.4545454545</v>
      </c>
      <c r="H145" s="134" t="n">
        <f t="shared" si="2"/>
        <v>2848.1266183318985</v>
      </c>
      <c r="I145" s="134">
        <v>11925</v>
      </c>
      <c r="J145" s="134">
        <v>26170</v>
      </c>
    </row>
    <row r="146" spans="1:10">
      <c r="A146" s="134" t="s">
        <v>174</v>
      </c>
      <c r="B146" s="134" t="s">
        <v>294</v>
      </c>
      <c r="C146" s="135">
        <v>3695.1428571428501</v>
      </c>
      <c r="D146" s="135">
        <v>20719.593597092098</v>
      </c>
      <c r="E146" s="135">
        <v>22648.5429151592</v>
      </c>
      <c r="F146" s="135">
        <v>24476.2410785104</v>
      </c>
      <c r="G146" s="135">
        <v>64197</v>
      </c>
      <c r="H146" s="134" t="n">
        <f t="shared" si="2"/>
        <v>3756.647481418302</v>
      </c>
      <c r="I146" s="134">
        <v>13205</v>
      </c>
      <c r="J146" s="134">
        <v>31990</v>
      </c>
    </row>
    <row r="147" spans="1:10">
      <c r="A147" s="134" t="s">
        <v>174</v>
      </c>
      <c r="B147" s="134" t="s">
        <v>295</v>
      </c>
      <c r="C147" s="135">
        <v>6314.1668946648397</v>
      </c>
      <c r="D147" s="135">
        <v>10957.492221029999</v>
      </c>
      <c r="E147" s="135">
        <v>11975.3559328711</v>
      </c>
      <c r="F147" s="135">
        <v>12858.840531067999</v>
      </c>
      <c r="G147" s="135">
        <v>18067.093620927</v>
      </c>
      <c r="H147" s="134" t="n">
        <f t="shared" si="2"/>
        <v>1901.348310038</v>
      </c>
      <c r="I147" s="134">
        <v>7150</v>
      </c>
      <c r="J147" s="134">
        <v>16665</v>
      </c>
    </row>
    <row r="148" spans="1:10">
      <c r="A148" s="134" t="s">
        <v>174</v>
      </c>
      <c r="B148" s="134" t="s">
        <v>296</v>
      </c>
      <c r="C148" s="135">
        <v>3060</v>
      </c>
      <c r="D148" s="135">
        <v>24501.950260804701</v>
      </c>
      <c r="E148" s="135">
        <v>27588.1727272727</v>
      </c>
      <c r="F148" s="135">
        <v>30785.585343228198</v>
      </c>
      <c r="G148" s="135">
        <v>74220</v>
      </c>
      <c r="H148" s="134" t="n">
        <f t="shared" si="2"/>
        <v>6283.635082423498</v>
      </c>
      <c r="I148" s="134">
        <v>11930</v>
      </c>
      <c r="J148" s="134">
        <v>43355</v>
      </c>
    </row>
    <row r="149" spans="1:10">
      <c r="A149" s="134" t="s">
        <v>174</v>
      </c>
      <c r="B149" s="134" t="s">
        <v>297</v>
      </c>
      <c r="C149" s="135">
        <v>7929</v>
      </c>
      <c r="D149" s="135">
        <v>24709.579166666601</v>
      </c>
      <c r="E149" s="135">
        <v>27897.7854747532</v>
      </c>
      <c r="F149" s="135">
        <v>30808.208333333299</v>
      </c>
      <c r="G149" s="135">
        <v>70200</v>
      </c>
      <c r="H149" s="134" t="n">
        <f t="shared" si="2"/>
        <v>6098.629166666698</v>
      </c>
      <c r="I149" s="134">
        <v>12510</v>
      </c>
      <c r="J149" s="134">
        <v>43010</v>
      </c>
    </row>
    <row r="150" spans="1:10">
      <c r="A150" s="134" t="s">
        <v>174</v>
      </c>
      <c r="B150" s="134" t="s">
        <v>298</v>
      </c>
      <c r="C150" s="135">
        <v>9900</v>
      </c>
      <c r="D150" s="135">
        <v>26044.8186813186</v>
      </c>
      <c r="E150" s="135">
        <v>29217.0769230769</v>
      </c>
      <c r="F150" s="135">
        <v>32205.75</v>
      </c>
      <c r="G150" s="135">
        <v>77418</v>
      </c>
      <c r="H150" s="134" t="n">
        <f t="shared" si="2"/>
        <v>6160.9313186814</v>
      </c>
      <c r="I150" s="134">
        <v>13720</v>
      </c>
      <c r="J150" s="134">
        <v>44530</v>
      </c>
    </row>
    <row r="151" spans="1:10">
      <c r="A151" s="134" t="s">
        <v>174</v>
      </c>
      <c r="B151" s="134" t="s">
        <v>299</v>
      </c>
      <c r="C151" s="135">
        <v>9960</v>
      </c>
      <c r="D151" s="135">
        <v>26382.685714285701</v>
      </c>
      <c r="E151" s="135">
        <v>30093</v>
      </c>
      <c r="F151" s="135">
        <v>33494.400000000001</v>
      </c>
      <c r="G151" s="135">
        <v>74303.333333333299</v>
      </c>
      <c r="H151" s="134" t="n">
        <f t="shared" si="2"/>
        <v>7111.714285714301</v>
      </c>
      <c r="I151" s="134">
        <v>12155</v>
      </c>
      <c r="J151" s="134">
        <v>47720</v>
      </c>
    </row>
    <row r="152" spans="1:10">
      <c r="A152" s="134" t="s">
        <v>174</v>
      </c>
      <c r="B152" s="134" t="s">
        <v>300</v>
      </c>
      <c r="C152" s="135">
        <v>6593</v>
      </c>
      <c r="D152" s="135">
        <v>27123.391304347799</v>
      </c>
      <c r="E152" s="135">
        <v>31476.337931034399</v>
      </c>
      <c r="F152" s="135">
        <v>35564.71875</v>
      </c>
      <c r="G152" s="135">
        <v>90000</v>
      </c>
      <c r="H152" s="134" t="n">
        <f t="shared" si="2"/>
        <v>8441.327445652201</v>
      </c>
      <c r="I152" s="134">
        <v>10240</v>
      </c>
      <c r="J152" s="134">
        <v>52450</v>
      </c>
    </row>
    <row r="153" spans="1:10">
      <c r="A153" s="134" t="s">
        <v>174</v>
      </c>
      <c r="B153" s="134" t="s">
        <v>301</v>
      </c>
      <c r="C153" s="135">
        <v>8730</v>
      </c>
      <c r="D153" s="135">
        <v>27930</v>
      </c>
      <c r="E153" s="135">
        <v>32933.25</v>
      </c>
      <c r="F153" s="135">
        <v>37889.2307692307</v>
      </c>
      <c r="G153" s="135">
        <v>90000</v>
      </c>
      <c r="H153" s="134" t="n">
        <f t="shared" si="2"/>
        <v>9959.2307692307</v>
      </c>
      <c r="I153" s="134">
        <v>8010</v>
      </c>
      <c r="J153" s="134">
        <v>57810</v>
      </c>
    </row>
    <row r="154" spans="1:10">
      <c r="A154" s="134" t="s">
        <v>174</v>
      </c>
      <c r="B154" s="134" t="s">
        <v>302</v>
      </c>
      <c r="C154" s="135">
        <v>4455</v>
      </c>
      <c r="D154" s="135">
        <v>27175.5</v>
      </c>
      <c r="E154" s="135">
        <v>33960</v>
      </c>
      <c r="F154" s="135">
        <v>41391.411764705801</v>
      </c>
      <c r="G154" s="135">
        <v>100000</v>
      </c>
      <c r="H154" s="134" t="n">
        <f t="shared" si="2"/>
        <v>14215.911764705801</v>
      </c>
      <c r="I154" s="134">
        <v>0</v>
      </c>
      <c r="J154" s="134">
        <v>69825</v>
      </c>
    </row>
    <row r="155" spans="1:10">
      <c r="A155" s="134" t="s">
        <v>174</v>
      </c>
      <c r="B155" s="134" t="s">
        <v>303</v>
      </c>
      <c r="C155" s="135">
        <v>15492.53125</v>
      </c>
      <c r="D155" s="135">
        <v>27374.161943319799</v>
      </c>
      <c r="E155" s="135">
        <v>30259.785714285699</v>
      </c>
      <c r="F155" s="135">
        <v>32764.140740740699</v>
      </c>
      <c r="G155" s="135">
        <v>56554.444444444402</v>
      </c>
      <c r="H155" s="134" t="n">
        <f t="shared" si="2"/>
        <v>5389.978797420899</v>
      </c>
      <c r="I155" s="134">
        <v>16590</v>
      </c>
      <c r="J155" s="134">
        <v>43545</v>
      </c>
    </row>
    <row r="156" spans="1:10">
      <c r="A156" s="134" t="s">
        <v>174</v>
      </c>
      <c r="B156" s="134" t="s">
        <v>304</v>
      </c>
      <c r="C156" s="135">
        <v>7200</v>
      </c>
      <c r="D156" s="135">
        <v>74677.899999999994</v>
      </c>
      <c r="E156" s="135">
        <v>90121.511111111104</v>
      </c>
      <c r="F156" s="135">
        <v>103170.716346153</v>
      </c>
      <c r="G156" s="135">
        <v>200000</v>
      </c>
      <c r="H156" s="134" t="n">
        <f t="shared" si="2"/>
        <v>28492.816346153006</v>
      </c>
      <c r="I156" s="134">
        <v>17690</v>
      </c>
      <c r="J156" s="134">
        <v>160160</v>
      </c>
    </row>
    <row r="157" spans="1:10">
      <c r="A157" s="134" t="s">
        <v>174</v>
      </c>
      <c r="B157" s="134" t="s">
        <v>305</v>
      </c>
      <c r="C157" s="135">
        <v>6930</v>
      </c>
      <c r="D157" s="135">
        <v>72927.909130384403</v>
      </c>
      <c r="E157" s="135">
        <v>85607.885714285701</v>
      </c>
      <c r="F157" s="135">
        <v>98577.95</v>
      </c>
      <c r="G157" s="135">
        <v>180000</v>
      </c>
      <c r="H157" s="134" t="n">
        <f t="shared" si="2"/>
        <v>25650.040869615594</v>
      </c>
      <c r="I157" s="134">
        <v>21625</v>
      </c>
      <c r="J157" s="134">
        <v>149880</v>
      </c>
    </row>
    <row r="158" spans="1:10">
      <c r="A158" s="134" t="s">
        <v>174</v>
      </c>
      <c r="B158" s="134" t="s">
        <v>306</v>
      </c>
      <c r="C158" s="135">
        <v>16236</v>
      </c>
      <c r="D158" s="135">
        <v>70968.7</v>
      </c>
      <c r="E158" s="135">
        <v>84637.545454545398</v>
      </c>
      <c r="F158" s="135">
        <v>96938.181818181794</v>
      </c>
      <c r="G158" s="135">
        <v>200000</v>
      </c>
      <c r="H158" s="134" t="n">
        <f t="shared" si="2"/>
        <v>25969.481818181797</v>
      </c>
      <c r="I158" s="134">
        <v>19025</v>
      </c>
      <c r="J158" s="134">
        <v>148880</v>
      </c>
    </row>
    <row r="159" spans="1:10">
      <c r="A159" s="134" t="s">
        <v>174</v>
      </c>
      <c r="B159" s="134" t="s">
        <v>307</v>
      </c>
      <c r="C159" s="135">
        <v>8624</v>
      </c>
      <c r="D159" s="135">
        <v>67590</v>
      </c>
      <c r="E159" s="135">
        <v>79575.264150943302</v>
      </c>
      <c r="F159" s="135">
        <v>95749.7</v>
      </c>
      <c r="G159" s="135">
        <v>180000</v>
      </c>
      <c r="H159" s="134" t="n">
        <f t="shared" si="2"/>
        <v>28159.699999999997</v>
      </c>
      <c r="I159" s="134">
        <v>11270</v>
      </c>
      <c r="J159" s="134">
        <v>152070</v>
      </c>
    </row>
    <row r="160" spans="1:10">
      <c r="A160" s="134" t="s">
        <v>174</v>
      </c>
      <c r="B160" s="134" t="s">
        <v>308</v>
      </c>
      <c r="C160" s="135">
        <v>7380</v>
      </c>
      <c r="D160" s="135">
        <v>66630.331168831093</v>
      </c>
      <c r="E160" s="135">
        <v>80694.989130434697</v>
      </c>
      <c r="F160" s="135">
        <v>97258.501623376593</v>
      </c>
      <c r="G160" s="135">
        <v>180000</v>
      </c>
      <c r="H160" s="134" t="n">
        <f t="shared" si="2"/>
        <v>30628.1704545455</v>
      </c>
      <c r="I160" s="134">
        <v>5370</v>
      </c>
      <c r="J160" s="134">
        <v>158515</v>
      </c>
    </row>
    <row r="161" spans="1:10">
      <c r="A161" s="134" t="s">
        <v>174</v>
      </c>
      <c r="B161" s="134" t="s">
        <v>309</v>
      </c>
      <c r="C161" s="135">
        <v>7128</v>
      </c>
      <c r="D161" s="135">
        <v>68476.966517857101</v>
      </c>
      <c r="E161" s="135">
        <v>85193.050970873795</v>
      </c>
      <c r="F161" s="135">
        <v>103139.184782608</v>
      </c>
      <c r="G161" s="135">
        <v>200000</v>
      </c>
      <c r="H161" s="134" t="n">
        <f t="shared" si="2"/>
        <v>34662.2182647509</v>
      </c>
      <c r="I161" s="134">
        <v>0</v>
      </c>
      <c r="J161" s="134">
        <v>172465</v>
      </c>
    </row>
    <row r="162" spans="1:10">
      <c r="A162" s="134" t="s">
        <v>174</v>
      </c>
      <c r="B162" s="134" t="s">
        <v>310</v>
      </c>
      <c r="C162" s="135">
        <v>8153</v>
      </c>
      <c r="D162" s="135">
        <v>67782.443012211603</v>
      </c>
      <c r="E162" s="135">
        <v>91430.557692307601</v>
      </c>
      <c r="F162" s="135">
        <v>117844.285714285</v>
      </c>
      <c r="G162" s="135">
        <v>184090.5</v>
      </c>
      <c r="H162" s="134" t="n">
        <f t="shared" si="2"/>
        <v>50061.842702073394</v>
      </c>
      <c r="I162" s="134">
        <v>0</v>
      </c>
      <c r="J162" s="134">
        <v>217970</v>
      </c>
    </row>
    <row r="163" spans="1:10">
      <c r="A163" s="134" t="s">
        <v>174</v>
      </c>
      <c r="B163" s="134" t="s">
        <v>311</v>
      </c>
      <c r="C163" s="135">
        <v>37778.1538461538</v>
      </c>
      <c r="D163" s="135">
        <v>74854.815101522807</v>
      </c>
      <c r="E163" s="135">
        <v>86149.481322295498</v>
      </c>
      <c r="F163" s="135">
        <v>96024.782405140693</v>
      </c>
      <c r="G163" s="135">
        <v>175050</v>
      </c>
      <c r="H163" s="134" t="n">
        <f t="shared" ref="H163:H226" si="3">F163-D163</f>
        <v>21169.967303617887</v>
      </c>
      <c r="I163" s="134">
        <v>32510</v>
      </c>
      <c r="J163" s="134">
        <v>138365</v>
      </c>
    </row>
    <row r="164" spans="1:10">
      <c r="A164" s="134" t="s">
        <v>174</v>
      </c>
      <c r="B164" s="134" t="s">
        <v>312</v>
      </c>
      <c r="C164" s="135">
        <v>3371.4383561643799</v>
      </c>
      <c r="D164" s="135">
        <v>4569.4053225219604</v>
      </c>
      <c r="E164" s="135">
        <v>4645.25714285714</v>
      </c>
      <c r="F164" s="135">
        <v>4789.2071549596003</v>
      </c>
      <c r="G164" s="135">
        <v>6893.3333333333303</v>
      </c>
      <c r="H164" s="134" t="n">
        <f t="shared" si="3"/>
        <v>219.80183243763986</v>
      </c>
      <c r="I164" s="134">
        <v>4125</v>
      </c>
      <c r="J164" s="134">
        <v>5230</v>
      </c>
    </row>
    <row r="165" spans="1:10">
      <c r="A165" s="134" t="s">
        <v>174</v>
      </c>
      <c r="B165" s="134" t="s">
        <v>313</v>
      </c>
      <c r="C165" s="135">
        <v>3421.01818181818</v>
      </c>
      <c r="D165" s="135">
        <v>4568.01422845456</v>
      </c>
      <c r="E165" s="135">
        <v>4636.8207159396197</v>
      </c>
      <c r="F165" s="135">
        <v>4775.7178945034902</v>
      </c>
      <c r="G165" s="135">
        <v>5617.27027027027</v>
      </c>
      <c r="H165" s="134" t="n">
        <f t="shared" si="3"/>
        <v>207.70366604893024</v>
      </c>
      <c r="I165" s="134">
        <v>4150</v>
      </c>
      <c r="J165" s="134">
        <v>5195</v>
      </c>
    </row>
    <row r="166" spans="1:10">
      <c r="A166" s="134" t="s">
        <v>174</v>
      </c>
      <c r="B166" s="134" t="s">
        <v>314</v>
      </c>
      <c r="C166" s="135">
        <v>9577.5894097222208</v>
      </c>
      <c r="D166" s="135">
        <v>13406.6653397027</v>
      </c>
      <c r="E166" s="135">
        <v>14068.742619926101</v>
      </c>
      <c r="F166" s="135">
        <v>14703.110310247501</v>
      </c>
      <c r="G166" s="135">
        <v>17456.783393501799</v>
      </c>
      <c r="H166" s="134" t="n">
        <f t="shared" si="3"/>
        <v>1296.4449705448005</v>
      </c>
      <c r="I166" s="134">
        <v>10810</v>
      </c>
      <c r="J166" s="134">
        <v>17300</v>
      </c>
    </row>
    <row r="167" spans="1:10">
      <c r="A167" s="134" t="s">
        <v>174</v>
      </c>
      <c r="B167" s="134" t="s">
        <v>315</v>
      </c>
      <c r="C167" s="135">
        <v>8085.31468531468</v>
      </c>
      <c r="D167" s="135">
        <v>13456.7589388696</v>
      </c>
      <c r="E167" s="135">
        <v>14102.669746346301</v>
      </c>
      <c r="F167" s="135">
        <v>14717.113211554801</v>
      </c>
      <c r="G167" s="135">
        <v>18090.4545454545</v>
      </c>
      <c r="H167" s="134" t="n">
        <f t="shared" si="3"/>
        <v>1260.354272685201</v>
      </c>
      <c r="I167" s="134">
        <v>10935</v>
      </c>
      <c r="J167" s="134">
        <v>17240</v>
      </c>
    </row>
    <row r="168" spans="1:10">
      <c r="A168" s="134" t="s">
        <v>174</v>
      </c>
      <c r="B168" s="134" t="s">
        <v>316</v>
      </c>
      <c r="C168" s="135">
        <v>9043.1162790697599</v>
      </c>
      <c r="D168" s="135">
        <v>16983.051770206999</v>
      </c>
      <c r="E168" s="135">
        <v>17637.1875</v>
      </c>
      <c r="F168" s="135">
        <v>18337.8884462151</v>
      </c>
      <c r="G168" s="135">
        <v>23261.166666666599</v>
      </c>
      <c r="H168" s="134" t="n">
        <f t="shared" si="3"/>
        <v>1354.8366760081008</v>
      </c>
      <c r="I168" s="134">
        <v>14270</v>
      </c>
      <c r="J168" s="134">
        <v>21050</v>
      </c>
    </row>
    <row r="169" spans="1:10">
      <c r="A169" s="134" t="s">
        <v>174</v>
      </c>
      <c r="B169" s="134" t="s">
        <v>317</v>
      </c>
      <c r="C169" s="135">
        <v>10223.274336283101</v>
      </c>
      <c r="D169" s="135">
        <v>17094.6496070188</v>
      </c>
      <c r="E169" s="135">
        <v>17786.460740072202</v>
      </c>
      <c r="F169" s="135">
        <v>18493.2674897119</v>
      </c>
      <c r="G169" s="135">
        <v>23101.8181818181</v>
      </c>
      <c r="H169" s="134" t="n">
        <f t="shared" si="3"/>
        <v>1398.617882693099</v>
      </c>
      <c r="I169" s="134">
        <v>14295</v>
      </c>
      <c r="J169" s="134">
        <v>21295</v>
      </c>
    </row>
    <row r="170" spans="1:10">
      <c r="A170" s="134" t="s">
        <v>174</v>
      </c>
      <c r="B170" s="134" t="s">
        <v>318</v>
      </c>
      <c r="C170" s="135">
        <v>9349.5384615384592</v>
      </c>
      <c r="D170" s="135">
        <v>17113.880448263601</v>
      </c>
      <c r="E170" s="135">
        <v>17800.805333333301</v>
      </c>
      <c r="F170" s="135">
        <v>18477.277327170101</v>
      </c>
      <c r="G170" s="135">
        <v>57960</v>
      </c>
      <c r="H170" s="134" t="n">
        <f t="shared" si="3"/>
        <v>1363.3968789065002</v>
      </c>
      <c r="I170" s="134">
        <v>14385</v>
      </c>
      <c r="J170" s="134">
        <v>21205</v>
      </c>
    </row>
    <row r="171" spans="1:10">
      <c r="A171" s="134" t="s">
        <v>174</v>
      </c>
      <c r="B171" s="134" t="s">
        <v>319</v>
      </c>
      <c r="C171" s="135">
        <v>8813.6317386647606</v>
      </c>
      <c r="D171" s="135">
        <v>12062.1913911509</v>
      </c>
      <c r="E171" s="135">
        <v>12882.273837360301</v>
      </c>
      <c r="F171" s="135">
        <v>13662.577571027399</v>
      </c>
      <c r="G171" s="135">
        <v>16862.669371196698</v>
      </c>
      <c r="H171" s="134" t="n">
        <f t="shared" si="3"/>
        <v>1600.3861798764992</v>
      </c>
      <c r="I171" s="134">
        <v>8860</v>
      </c>
      <c r="J171" s="134">
        <v>16865</v>
      </c>
    </row>
    <row r="172" spans="1:10">
      <c r="A172" s="134" t="s">
        <v>174</v>
      </c>
      <c r="B172" s="134" t="s">
        <v>320</v>
      </c>
      <c r="C172" s="135"/>
      <c r="D172" s="135"/>
      <c r="E172" s="135"/>
      <c r="F172" s="135"/>
      <c r="G172" s="135"/>
      <c r="H172" s="134" t="n">
        <f t="shared" si="3"/>
        <v>0.0</v>
      </c>
      <c r="I172" s="134">
        <v>0</v>
      </c>
      <c r="J172" s="134">
        <v>0</v>
      </c>
    </row>
    <row r="173" spans="1:10">
      <c r="A173" s="134" t="s">
        <v>174</v>
      </c>
      <c r="B173" s="134" t="s">
        <v>321</v>
      </c>
      <c r="C173" s="135"/>
      <c r="D173" s="135"/>
      <c r="E173" s="135"/>
      <c r="F173" s="135"/>
      <c r="G173" s="135"/>
      <c r="H173" s="134" t="n">
        <f t="shared" si="3"/>
        <v>0.0</v>
      </c>
      <c r="I173" s="134">
        <v>0</v>
      </c>
      <c r="J173" s="134">
        <v>0</v>
      </c>
    </row>
    <row r="174" spans="1:10">
      <c r="A174" s="134" t="s">
        <v>174</v>
      </c>
      <c r="B174" s="134" t="s">
        <v>322</v>
      </c>
      <c r="C174" s="135"/>
      <c r="D174" s="135"/>
      <c r="E174" s="135"/>
      <c r="F174" s="135"/>
      <c r="G174" s="135"/>
      <c r="H174" s="134" t="n">
        <f t="shared" si="3"/>
        <v>0.0</v>
      </c>
      <c r="I174" s="134">
        <v>0</v>
      </c>
      <c r="J174" s="134">
        <v>0</v>
      </c>
    </row>
    <row r="175" spans="1:10">
      <c r="A175" s="134" t="s">
        <v>174</v>
      </c>
      <c r="B175" s="134" t="s">
        <v>323</v>
      </c>
      <c r="C175" s="135"/>
      <c r="D175" s="135"/>
      <c r="E175" s="135"/>
      <c r="F175" s="135"/>
      <c r="G175" s="135"/>
      <c r="H175" s="134" t="n">
        <f t="shared" si="3"/>
        <v>0.0</v>
      </c>
      <c r="I175" s="134">
        <v>0</v>
      </c>
      <c r="J175" s="134">
        <v>0</v>
      </c>
    </row>
    <row r="176" spans="1:10">
      <c r="A176" s="134" t="s">
        <v>174</v>
      </c>
      <c r="B176" s="134" t="s">
        <v>324</v>
      </c>
      <c r="C176" s="135"/>
      <c r="D176" s="135"/>
      <c r="E176" s="135"/>
      <c r="F176" s="135"/>
      <c r="G176" s="135"/>
      <c r="H176" s="134" t="n">
        <f t="shared" si="3"/>
        <v>0.0</v>
      </c>
      <c r="I176" s="134">
        <v>0</v>
      </c>
      <c r="J176" s="134">
        <v>0</v>
      </c>
    </row>
    <row r="177" spans="1:10">
      <c r="A177" s="134" t="s">
        <v>174</v>
      </c>
      <c r="B177" s="134" t="s">
        <v>325</v>
      </c>
      <c r="C177" s="135"/>
      <c r="D177" s="135"/>
      <c r="E177" s="135"/>
      <c r="F177" s="135"/>
      <c r="G177" s="135"/>
      <c r="H177" s="134" t="n">
        <f t="shared" si="3"/>
        <v>0.0</v>
      </c>
      <c r="I177" s="134">
        <v>0</v>
      </c>
      <c r="J177" s="134">
        <v>0</v>
      </c>
    </row>
    <row r="178" spans="1:10">
      <c r="A178" s="134" t="s">
        <v>174</v>
      </c>
      <c r="B178" s="134" t="s">
        <v>326</v>
      </c>
      <c r="C178" s="135"/>
      <c r="D178" s="135"/>
      <c r="E178" s="135"/>
      <c r="F178" s="135"/>
      <c r="G178" s="135"/>
      <c r="H178" s="134" t="n">
        <f t="shared" si="3"/>
        <v>0.0</v>
      </c>
      <c r="I178" s="134">
        <v>0</v>
      </c>
      <c r="J178" s="134">
        <v>0</v>
      </c>
    </row>
    <row r="179" spans="1:10">
      <c r="A179" s="134" t="s">
        <v>174</v>
      </c>
      <c r="B179" s="134" t="s">
        <v>327</v>
      </c>
      <c r="C179" s="135"/>
      <c r="D179" s="135"/>
      <c r="E179" s="135"/>
      <c r="F179" s="135"/>
      <c r="G179" s="135"/>
      <c r="H179" s="134" t="n">
        <f t="shared" si="3"/>
        <v>0.0</v>
      </c>
      <c r="I179" s="134">
        <v>0</v>
      </c>
      <c r="J179" s="134">
        <v>0</v>
      </c>
    </row>
    <row r="180" spans="1:10">
      <c r="A180" s="134" t="s">
        <v>174</v>
      </c>
      <c r="B180" s="134" t="s">
        <v>328</v>
      </c>
      <c r="C180" s="135">
        <v>21375</v>
      </c>
      <c r="D180" s="135">
        <v>68912.751602564094</v>
      </c>
      <c r="E180" s="135">
        <v>76099.446428571406</v>
      </c>
      <c r="F180" s="135">
        <v>83705.901495726401</v>
      </c>
      <c r="G180" s="135">
        <v>185222</v>
      </c>
      <c r="H180" s="134" t="n">
        <f t="shared" si="3"/>
        <v>14793.149893162306</v>
      </c>
      <c r="I180" s="134">
        <v>39325</v>
      </c>
      <c r="J180" s="134">
        <v>113295</v>
      </c>
    </row>
    <row r="181" spans="1:10">
      <c r="A181" s="134" t="s">
        <v>174</v>
      </c>
      <c r="B181" s="134" t="s">
        <v>329</v>
      </c>
      <c r="C181" s="135">
        <v>24129</v>
      </c>
      <c r="D181" s="135">
        <v>111324.386363636</v>
      </c>
      <c r="E181" s="135">
        <v>120344.57692307601</v>
      </c>
      <c r="F181" s="135">
        <v>132291.642857142</v>
      </c>
      <c r="G181" s="135">
        <v>340515</v>
      </c>
      <c r="H181" s="134" t="n">
        <f t="shared" si="3"/>
        <v>20967.256493505993</v>
      </c>
      <c r="I181" s="134">
        <v>69385</v>
      </c>
      <c r="J181" s="134">
        <v>174230</v>
      </c>
    </row>
    <row r="182" spans="1:10">
      <c r="A182" s="134" t="s">
        <v>174</v>
      </c>
      <c r="B182" s="134" t="s">
        <v>330</v>
      </c>
      <c r="C182" s="135">
        <v>24543</v>
      </c>
      <c r="D182" s="135">
        <v>173274.875</v>
      </c>
      <c r="E182" s="135">
        <v>185926.253968253</v>
      </c>
      <c r="F182" s="135">
        <v>202412.15517241301</v>
      </c>
      <c r="G182" s="135">
        <v>841323</v>
      </c>
      <c r="H182" s="134" t="n">
        <f t="shared" si="3"/>
        <v>29137.28017241301</v>
      </c>
      <c r="I182" s="134">
        <v>115000</v>
      </c>
      <c r="J182" s="134">
        <v>260690</v>
      </c>
    </row>
    <row r="183" spans="1:10">
      <c r="A183" s="134" t="s">
        <v>174</v>
      </c>
      <c r="B183" s="134" t="s">
        <v>331</v>
      </c>
      <c r="C183" s="135">
        <v>6291</v>
      </c>
      <c r="D183" s="135">
        <v>215186.39590838901</v>
      </c>
      <c r="E183" s="135">
        <v>231910.984126984</v>
      </c>
      <c r="F183" s="135">
        <v>251110.25242718399</v>
      </c>
      <c r="G183" s="135">
        <v>515621</v>
      </c>
      <c r="H183" s="134" t="n">
        <f t="shared" si="3"/>
        <v>35923.856518794986</v>
      </c>
      <c r="I183" s="134">
        <v>143335</v>
      </c>
      <c r="J183" s="134">
        <v>322960</v>
      </c>
    </row>
    <row r="184" spans="1:10">
      <c r="A184" s="134" t="s">
        <v>174</v>
      </c>
      <c r="B184" s="134" t="s">
        <v>332</v>
      </c>
      <c r="C184" s="135">
        <v>30558.666666666599</v>
      </c>
      <c r="D184" s="135">
        <v>256496.189179104</v>
      </c>
      <c r="E184" s="135">
        <v>280227.67747651902</v>
      </c>
      <c r="F184" s="135">
        <v>306769.86495983897</v>
      </c>
      <c r="G184" s="135">
        <v>656469</v>
      </c>
      <c r="H184" s="134" t="n">
        <f t="shared" si="3"/>
        <v>50273.67578073498</v>
      </c>
      <c r="I184" s="134">
        <v>155945</v>
      </c>
      <c r="J184" s="134">
        <v>407320</v>
      </c>
    </row>
    <row r="185" spans="1:10">
      <c r="A185" s="134" t="s">
        <v>174</v>
      </c>
      <c r="B185" s="134" t="s">
        <v>333</v>
      </c>
      <c r="C185" s="135">
        <v>20619</v>
      </c>
      <c r="D185" s="135">
        <v>135324.56521739101</v>
      </c>
      <c r="E185" s="135">
        <v>164284.731343283</v>
      </c>
      <c r="F185" s="135">
        <v>196495.5</v>
      </c>
      <c r="G185" s="135">
        <v>512359</v>
      </c>
      <c r="H185" s="134" t="n">
        <f t="shared" si="3"/>
        <v>61170.934782608994</v>
      </c>
      <c r="I185" s="134">
        <v>12980</v>
      </c>
      <c r="J185" s="134">
        <v>318840</v>
      </c>
    </row>
    <row r="186" spans="1:10">
      <c r="A186" s="134" t="s">
        <v>174</v>
      </c>
      <c r="B186" s="134" t="s">
        <v>334</v>
      </c>
      <c r="C186" s="135">
        <v>1184</v>
      </c>
      <c r="D186" s="135">
        <v>17690.8533313679</v>
      </c>
      <c r="E186" s="135">
        <v>19483.4773351648</v>
      </c>
      <c r="F186" s="135">
        <v>28822.122159090901</v>
      </c>
      <c r="G186" s="135">
        <v>149620</v>
      </c>
      <c r="H186" s="134" t="n">
        <f t="shared" si="3"/>
        <v>11131.268827723</v>
      </c>
      <c r="I186" s="134">
        <v>0</v>
      </c>
      <c r="J186" s="134">
        <v>51085</v>
      </c>
    </row>
    <row r="187" spans="1:10">
      <c r="A187" s="134" t="s">
        <v>174</v>
      </c>
      <c r="B187" s="134" t="s">
        <v>335</v>
      </c>
      <c r="C187" s="135">
        <v>8452.5</v>
      </c>
      <c r="D187" s="135">
        <v>17882.828979125799</v>
      </c>
      <c r="E187" s="135">
        <v>19975.9302118171</v>
      </c>
      <c r="F187" s="135">
        <v>30436.378888888801</v>
      </c>
      <c r="G187" s="135">
        <v>195340.66666666599</v>
      </c>
      <c r="H187" s="134" t="n">
        <f t="shared" si="3"/>
        <v>12553.549909763002</v>
      </c>
      <c r="I187" s="134">
        <v>0</v>
      </c>
      <c r="J187" s="134">
        <v>55545</v>
      </c>
    </row>
    <row r="188" spans="1:10">
      <c r="A188" s="134" t="s">
        <v>174</v>
      </c>
      <c r="B188" s="134" t="s">
        <v>336</v>
      </c>
      <c r="C188" s="135">
        <v>10563.12</v>
      </c>
      <c r="D188" s="135">
        <v>19372.2124999999</v>
      </c>
      <c r="E188" s="135">
        <v>23066.805448741601</v>
      </c>
      <c r="F188" s="135">
        <v>40372.434328358198</v>
      </c>
      <c r="G188" s="135">
        <v>331487.59999999998</v>
      </c>
      <c r="H188" s="134" t="n">
        <f t="shared" si="3"/>
        <v>21000.2218283583</v>
      </c>
      <c r="I188" s="134">
        <v>0</v>
      </c>
      <c r="J188" s="134">
        <v>82375</v>
      </c>
    </row>
    <row r="189" spans="1:10">
      <c r="A189" s="134" t="s">
        <v>174</v>
      </c>
      <c r="B189" s="134" t="s">
        <v>337</v>
      </c>
      <c r="C189" s="135">
        <v>3465</v>
      </c>
      <c r="D189" s="135">
        <v>21198.9219569015</v>
      </c>
      <c r="E189" s="135">
        <v>30143.741139355501</v>
      </c>
      <c r="F189" s="135">
        <v>69351.459619093497</v>
      </c>
      <c r="G189" s="135">
        <v>326138.08333333302</v>
      </c>
      <c r="H189" s="134" t="n">
        <f t="shared" si="3"/>
        <v>48152.537662192</v>
      </c>
      <c r="I189" s="134">
        <v>0</v>
      </c>
      <c r="J189" s="134">
        <v>165660</v>
      </c>
    </row>
    <row r="190" spans="1:10">
      <c r="A190" s="134" t="s">
        <v>174</v>
      </c>
      <c r="B190" s="134" t="s">
        <v>338</v>
      </c>
      <c r="C190" s="135">
        <v>9940.6363636363603</v>
      </c>
      <c r="D190" s="135">
        <v>26935.512953367801</v>
      </c>
      <c r="E190" s="135">
        <v>45252.664612911802</v>
      </c>
      <c r="F190" s="135">
        <v>78859.578512396605</v>
      </c>
      <c r="G190" s="135">
        <v>609780</v>
      </c>
      <c r="H190" s="134" t="n">
        <f t="shared" si="3"/>
        <v>51924.06555902881</v>
      </c>
      <c r="I190" s="134">
        <v>0</v>
      </c>
      <c r="J190" s="134">
        <v>182710</v>
      </c>
    </row>
    <row r="191" spans="1:10">
      <c r="A191" s="134" t="s">
        <v>174</v>
      </c>
      <c r="B191" s="134" t="s">
        <v>339</v>
      </c>
      <c r="C191" s="135">
        <v>5350.5</v>
      </c>
      <c r="D191" s="135">
        <v>23021.3908045977</v>
      </c>
      <c r="E191" s="135">
        <v>29674.611111111099</v>
      </c>
      <c r="F191" s="135">
        <v>115980.1</v>
      </c>
      <c r="G191" s="135">
        <v>432937</v>
      </c>
      <c r="H191" s="134" t="n">
        <f t="shared" si="3"/>
        <v>92958.7091954023</v>
      </c>
      <c r="I191" s="134">
        <v>0</v>
      </c>
      <c r="J191" s="134">
        <v>301900</v>
      </c>
    </row>
    <row r="192" spans="1:10">
      <c r="A192" s="134" t="s">
        <v>174</v>
      </c>
      <c r="B192" s="134" t="s">
        <v>340</v>
      </c>
      <c r="C192" s="135">
        <v>3159</v>
      </c>
      <c r="D192" s="135">
        <v>6271.4664379654796</v>
      </c>
      <c r="E192" s="135">
        <v>6797.3382391590003</v>
      </c>
      <c r="F192" s="135">
        <v>7288.3960276671896</v>
      </c>
      <c r="G192" s="135">
        <v>9661.8181432810507</v>
      </c>
      <c r="H192" s="134" t="n">
        <f t="shared" si="3"/>
        <v>1016.92958970171</v>
      </c>
      <c r="I192" s="134">
        <v>4235</v>
      </c>
      <c r="J192" s="134">
        <v>9325</v>
      </c>
    </row>
    <row r="193" spans="1:10">
      <c r="A193" s="134" t="s">
        <v>174</v>
      </c>
      <c r="B193" s="134" t="s">
        <v>341</v>
      </c>
      <c r="C193" s="135">
        <v>3456</v>
      </c>
      <c r="D193" s="135">
        <v>7431.0691711015497</v>
      </c>
      <c r="E193" s="135">
        <v>7985.7907845579002</v>
      </c>
      <c r="F193" s="135">
        <v>8502.3741750318404</v>
      </c>
      <c r="G193" s="135">
        <v>15685.369132856</v>
      </c>
      <c r="H193" s="134" t="n">
        <f t="shared" si="3"/>
        <v>1071.3050039302907</v>
      </c>
      <c r="I193" s="134">
        <v>5285</v>
      </c>
      <c r="J193" s="134">
        <v>10645</v>
      </c>
    </row>
    <row r="194" spans="1:10">
      <c r="A194" s="134" t="s">
        <v>174</v>
      </c>
      <c r="B194" s="134" t="s">
        <v>342</v>
      </c>
      <c r="C194" s="135">
        <v>4346.5573770491801</v>
      </c>
      <c r="D194" s="135">
        <v>8948.0908524190108</v>
      </c>
      <c r="E194" s="135">
        <v>9436.8296171045895</v>
      </c>
      <c r="F194" s="135">
        <v>9908.5778105589998</v>
      </c>
      <c r="G194" s="135">
        <v>30420</v>
      </c>
      <c r="H194" s="134" t="n">
        <f t="shared" si="3"/>
        <v>960.4869581399889</v>
      </c>
      <c r="I194" s="134">
        <v>7025</v>
      </c>
      <c r="J194" s="134">
        <v>11830</v>
      </c>
    </row>
    <row r="195" spans="1:10">
      <c r="A195" s="134" t="s">
        <v>174</v>
      </c>
      <c r="B195" s="134" t="s">
        <v>343</v>
      </c>
      <c r="C195" s="135">
        <v>3852.2</v>
      </c>
      <c r="D195" s="135">
        <v>10003.9411668348</v>
      </c>
      <c r="E195" s="135">
        <v>10635.9892494014</v>
      </c>
      <c r="F195" s="135">
        <v>11218.6201473862</v>
      </c>
      <c r="G195" s="135">
        <v>83123</v>
      </c>
      <c r="H195" s="134" t="n">
        <f t="shared" si="3"/>
        <v>1214.6789805514</v>
      </c>
      <c r="I195" s="134">
        <v>7570</v>
      </c>
      <c r="J195" s="134">
        <v>13650</v>
      </c>
    </row>
    <row r="196" spans="1:10">
      <c r="A196" s="134" t="s">
        <v>174</v>
      </c>
      <c r="B196" s="134" t="s">
        <v>344</v>
      </c>
      <c r="C196" s="135">
        <v>4208.6785714285697</v>
      </c>
      <c r="D196" s="135">
        <v>11127.2283163265</v>
      </c>
      <c r="E196" s="135">
        <v>11958.095405947201</v>
      </c>
      <c r="F196" s="135">
        <v>12633.602634269701</v>
      </c>
      <c r="G196" s="135">
        <v>595339.5</v>
      </c>
      <c r="H196" s="134" t="n">
        <f t="shared" si="3"/>
        <v>1506.3743179432004</v>
      </c>
      <c r="I196" s="134">
        <v>8110</v>
      </c>
      <c r="J196" s="134">
        <v>15650</v>
      </c>
    </row>
    <row r="197" spans="1:10">
      <c r="A197" s="134" t="s">
        <v>174</v>
      </c>
      <c r="B197" s="134" t="s">
        <v>345</v>
      </c>
      <c r="C197" s="135">
        <v>3456</v>
      </c>
      <c r="D197" s="135">
        <v>7678.2083913689803</v>
      </c>
      <c r="E197" s="135">
        <v>8184.6982876352504</v>
      </c>
      <c r="F197" s="135">
        <v>8746.7176370809793</v>
      </c>
      <c r="G197" s="135">
        <v>15353.7930112659</v>
      </c>
      <c r="H197" s="134" t="n">
        <f t="shared" si="3"/>
        <v>1068.509245711999</v>
      </c>
      <c r="I197" s="134">
        <v>5540</v>
      </c>
      <c r="J197" s="134">
        <v>10885</v>
      </c>
    </row>
    <row r="198" spans="1:10">
      <c r="A198" s="134" t="s">
        <v>174</v>
      </c>
      <c r="B198" s="134" t="s">
        <v>346</v>
      </c>
      <c r="C198" s="135">
        <v>3726.9642857142799</v>
      </c>
      <c r="D198" s="135">
        <v>7105.1919642857101</v>
      </c>
      <c r="E198" s="135">
        <v>8382.7837054529791</v>
      </c>
      <c r="F198" s="135">
        <v>9206.8663967611301</v>
      </c>
      <c r="G198" s="135">
        <v>10933.384615384601</v>
      </c>
      <c r="H198" s="134" t="n">
        <f t="shared" si="3"/>
        <v>2101.67443247542</v>
      </c>
      <c r="I198" s="134">
        <v>2900</v>
      </c>
      <c r="J198" s="134">
        <v>13415</v>
      </c>
    </row>
    <row r="199" spans="1:10">
      <c r="A199" s="134" t="s">
        <v>174</v>
      </c>
      <c r="B199" s="134" t="s">
        <v>347</v>
      </c>
      <c r="C199" s="135">
        <v>2934.5714285714198</v>
      </c>
      <c r="D199" s="135">
        <v>8540.6940247252696</v>
      </c>
      <c r="E199" s="135">
        <v>9436.9250469924791</v>
      </c>
      <c r="F199" s="135">
        <v>9984.1768678020708</v>
      </c>
      <c r="G199" s="135">
        <v>11923.1052631578</v>
      </c>
      <c r="H199" s="134" t="n">
        <f t="shared" si="3"/>
        <v>1443.4828430768011</v>
      </c>
      <c r="I199" s="134">
        <v>5650</v>
      </c>
      <c r="J199" s="134">
        <v>12875</v>
      </c>
    </row>
    <row r="200" spans="1:10">
      <c r="A200" s="134" t="s">
        <v>174</v>
      </c>
      <c r="B200" s="134" t="s">
        <v>348</v>
      </c>
      <c r="C200" s="135">
        <v>2060.6086956521699</v>
      </c>
      <c r="D200" s="135">
        <v>8741.1435016123596</v>
      </c>
      <c r="E200" s="135">
        <v>9600.9101479915407</v>
      </c>
      <c r="F200" s="135">
        <v>10227.263956442101</v>
      </c>
      <c r="G200" s="135">
        <v>12486</v>
      </c>
      <c r="H200" s="134" t="n">
        <f t="shared" si="3"/>
        <v>1486.120454829741</v>
      </c>
      <c r="I200" s="134">
        <v>5765</v>
      </c>
      <c r="J200" s="134">
        <v>13200</v>
      </c>
    </row>
    <row r="201" spans="1:10">
      <c r="A201" s="134" t="s">
        <v>174</v>
      </c>
      <c r="B201" s="134" t="s">
        <v>349</v>
      </c>
      <c r="C201" s="135">
        <v>2950.9090909090901</v>
      </c>
      <c r="D201" s="135">
        <v>9474.7493222632293</v>
      </c>
      <c r="E201" s="135">
        <v>10522.8771416245</v>
      </c>
      <c r="F201" s="135">
        <v>11242.8184672431</v>
      </c>
      <c r="G201" s="135">
        <v>14302.75</v>
      </c>
      <c r="H201" s="134" t="n">
        <f t="shared" si="3"/>
        <v>1768.0691449798705</v>
      </c>
      <c r="I201" s="134">
        <v>5935</v>
      </c>
      <c r="J201" s="134">
        <v>14780</v>
      </c>
    </row>
    <row r="202" spans="1:10">
      <c r="A202" s="134" t="s">
        <v>174</v>
      </c>
      <c r="B202" s="134" t="s">
        <v>350</v>
      </c>
      <c r="C202" s="135">
        <v>3261.79545454545</v>
      </c>
      <c r="D202" s="135">
        <v>10518.915652212399</v>
      </c>
      <c r="E202" s="135">
        <v>11670.1208333333</v>
      </c>
      <c r="F202" s="135">
        <v>12382.084266109199</v>
      </c>
      <c r="G202" s="135">
        <v>15447.328185328101</v>
      </c>
      <c r="H202" s="134" t="n">
        <f t="shared" si="3"/>
        <v>1863.1686138967998</v>
      </c>
      <c r="I202" s="134">
        <v>6790</v>
      </c>
      <c r="J202" s="134">
        <v>16110</v>
      </c>
    </row>
    <row r="203" spans="1:10">
      <c r="A203" s="134" t="s">
        <v>174</v>
      </c>
      <c r="B203" s="134" t="s">
        <v>351</v>
      </c>
      <c r="C203" s="135">
        <v>3247.6909090908998</v>
      </c>
      <c r="D203" s="135">
        <v>11571.5782420749</v>
      </c>
      <c r="E203" s="135">
        <v>12704.0314960629</v>
      </c>
      <c r="F203" s="135">
        <v>13497.6620813397</v>
      </c>
      <c r="G203" s="135">
        <v>16668</v>
      </c>
      <c r="H203" s="134" t="n">
        <f t="shared" si="3"/>
        <v>1926.0838392648002</v>
      </c>
      <c r="I203" s="134">
        <v>7715</v>
      </c>
      <c r="J203" s="134">
        <v>17350</v>
      </c>
    </row>
    <row r="204" spans="1:10">
      <c r="A204" s="134" t="s">
        <v>174</v>
      </c>
      <c r="B204" s="134" t="s">
        <v>352</v>
      </c>
      <c r="C204" s="135">
        <v>4322.25</v>
      </c>
      <c r="D204" s="135">
        <v>12573.834569971101</v>
      </c>
      <c r="E204" s="135">
        <v>13800.0271371608</v>
      </c>
      <c r="F204" s="135">
        <v>14530.793740736101</v>
      </c>
      <c r="G204" s="135">
        <v>17688.181818181802</v>
      </c>
      <c r="H204" s="134" t="n">
        <f t="shared" si="3"/>
        <v>1956.9591707649997</v>
      </c>
      <c r="I204" s="134">
        <v>8655</v>
      </c>
      <c r="J204" s="134">
        <v>18445</v>
      </c>
    </row>
    <row r="205" spans="1:10">
      <c r="A205" s="134" t="s">
        <v>174</v>
      </c>
      <c r="B205" s="134" t="s">
        <v>353</v>
      </c>
      <c r="C205" s="135">
        <v>2060.6086956521699</v>
      </c>
      <c r="D205" s="135">
        <v>9838.4377017289899</v>
      </c>
      <c r="E205" s="135">
        <v>10950.828459168801</v>
      </c>
      <c r="F205" s="135">
        <v>11872.8890834215</v>
      </c>
      <c r="G205" s="135">
        <v>16615.071428571398</v>
      </c>
      <c r="H205" s="134" t="n">
        <f t="shared" si="3"/>
        <v>2034.45138169251</v>
      </c>
      <c r="I205" s="134">
        <v>5765</v>
      </c>
      <c r="J205" s="134">
        <v>15945</v>
      </c>
    </row>
    <row r="206" spans="1:10">
      <c r="A206" s="134" t="s">
        <v>174</v>
      </c>
      <c r="B206" s="134" t="s">
        <v>354</v>
      </c>
      <c r="C206" s="135">
        <v>6380</v>
      </c>
      <c r="D206" s="135">
        <v>47744.1</v>
      </c>
      <c r="E206" s="135">
        <v>51977.480662983398</v>
      </c>
      <c r="F206" s="135">
        <v>55476.177083333299</v>
      </c>
      <c r="G206" s="135">
        <v>149823</v>
      </c>
      <c r="H206" s="134" t="n">
        <f t="shared" si="3"/>
        <v>7732.077083333301</v>
      </c>
      <c r="I206" s="134">
        <v>32275</v>
      </c>
      <c r="J206" s="134">
        <v>70945</v>
      </c>
    </row>
    <row r="207" spans="1:10">
      <c r="A207" s="134" t="s">
        <v>174</v>
      </c>
      <c r="B207" s="134" t="s">
        <v>355</v>
      </c>
      <c r="C207" s="135">
        <v>16434</v>
      </c>
      <c r="D207" s="135">
        <v>83486.061068702198</v>
      </c>
      <c r="E207" s="135">
        <v>89170.131147540902</v>
      </c>
      <c r="F207" s="135">
        <v>93724.272727272706</v>
      </c>
      <c r="G207" s="135">
        <v>208801.25</v>
      </c>
      <c r="H207" s="134" t="n">
        <f t="shared" si="3"/>
        <v>10238.211658570508</v>
      </c>
      <c r="I207" s="134">
        <v>63005</v>
      </c>
      <c r="J207" s="134">
        <v>114205</v>
      </c>
    </row>
    <row r="208" spans="1:10">
      <c r="A208" s="134" t="s">
        <v>174</v>
      </c>
      <c r="B208" s="134" t="s">
        <v>356</v>
      </c>
      <c r="C208" s="135">
        <v>11798</v>
      </c>
      <c r="D208" s="135">
        <v>127846.39453592501</v>
      </c>
      <c r="E208" s="135">
        <v>135742.80589118999</v>
      </c>
      <c r="F208" s="135">
        <v>143099.13701666301</v>
      </c>
      <c r="G208" s="135">
        <v>243796.5</v>
      </c>
      <c r="H208" s="134" t="n">
        <f t="shared" si="3"/>
        <v>15252.742480738001</v>
      </c>
      <c r="I208" s="134">
        <v>97340</v>
      </c>
      <c r="J208" s="134">
        <v>173605</v>
      </c>
    </row>
    <row r="209" spans="1:10">
      <c r="A209" s="134" t="s">
        <v>174</v>
      </c>
      <c r="B209" s="134" t="s">
        <v>357</v>
      </c>
      <c r="C209" s="135">
        <v>39402</v>
      </c>
      <c r="D209" s="135">
        <v>178690.96200939501</v>
      </c>
      <c r="E209" s="135">
        <v>189025.03507462601</v>
      </c>
      <c r="F209" s="135">
        <v>198225.15275588201</v>
      </c>
      <c r="G209" s="135">
        <v>382805</v>
      </c>
      <c r="H209" s="134" t="n">
        <f t="shared" si="3"/>
        <v>19534.190746487002</v>
      </c>
      <c r="I209" s="134">
        <v>139620</v>
      </c>
      <c r="J209" s="134">
        <v>237295</v>
      </c>
    </row>
    <row r="210" spans="1:10">
      <c r="A210" s="134" t="s">
        <v>174</v>
      </c>
      <c r="B210" s="134" t="s">
        <v>358</v>
      </c>
      <c r="C210" s="135">
        <v>15183</v>
      </c>
      <c r="D210" s="135">
        <v>247291.776678344</v>
      </c>
      <c r="E210" s="135">
        <v>259847.60236220399</v>
      </c>
      <c r="F210" s="135">
        <v>273194.20444720797</v>
      </c>
      <c r="G210" s="135">
        <v>486027</v>
      </c>
      <c r="H210" s="134" t="n">
        <f t="shared" si="3"/>
        <v>25902.42776886397</v>
      </c>
      <c r="I210" s="134">
        <v>195485</v>
      </c>
      <c r="J210" s="134">
        <v>325000</v>
      </c>
    </row>
    <row r="211" spans="1:10">
      <c r="A211" s="134" t="s">
        <v>174</v>
      </c>
      <c r="B211" s="134" t="s">
        <v>359</v>
      </c>
      <c r="C211" s="135">
        <v>34092</v>
      </c>
      <c r="D211" s="135">
        <v>265902.93307667499</v>
      </c>
      <c r="E211" s="135">
        <v>281895.36456369702</v>
      </c>
      <c r="F211" s="135">
        <v>297338.01852225198</v>
      </c>
      <c r="G211" s="135">
        <v>580212</v>
      </c>
      <c r="H211" s="134" t="n">
        <f t="shared" si="3"/>
        <v>31435.085445576988</v>
      </c>
      <c r="I211" s="134">
        <v>203030</v>
      </c>
      <c r="J211" s="134">
        <v>360210</v>
      </c>
    </row>
    <row r="212" spans="1:10">
      <c r="A212" s="134" t="s">
        <v>174</v>
      </c>
      <c r="B212" s="134" t="s">
        <v>360</v>
      </c>
      <c r="C212" s="135">
        <v>21924</v>
      </c>
      <c r="D212" s="135">
        <v>291002.24917600502</v>
      </c>
      <c r="E212" s="135">
        <v>308145.62962962902</v>
      </c>
      <c r="F212" s="135">
        <v>323983.52586206899</v>
      </c>
      <c r="G212" s="135">
        <v>891580</v>
      </c>
      <c r="H212" s="134" t="n">
        <f t="shared" si="3"/>
        <v>32981.27668606397</v>
      </c>
      <c r="I212" s="134">
        <v>225035</v>
      </c>
      <c r="J212" s="134">
        <v>389950</v>
      </c>
    </row>
    <row r="213" spans="1:10">
      <c r="A213" s="134" t="s">
        <v>174</v>
      </c>
      <c r="B213" s="134" t="s">
        <v>361</v>
      </c>
      <c r="C213" s="135">
        <v>35874</v>
      </c>
      <c r="D213" s="135">
        <v>174044.804165376</v>
      </c>
      <c r="E213" s="135">
        <v>194124.904109589</v>
      </c>
      <c r="F213" s="135">
        <v>212285.030527044</v>
      </c>
      <c r="G213" s="135">
        <v>420863.72222222202</v>
      </c>
      <c r="H213" s="134" t="n">
        <f t="shared" si="3"/>
        <v>38240.226361668</v>
      </c>
      <c r="I213" s="134">
        <v>97560</v>
      </c>
      <c r="J213" s="134">
        <v>288770</v>
      </c>
    </row>
    <row r="214" spans="1:10">
      <c r="A214" s="134" t="s">
        <v>174</v>
      </c>
      <c r="B214" s="134" t="s">
        <v>362</v>
      </c>
      <c r="C214" s="135">
        <v>24231.7225433526</v>
      </c>
      <c r="D214" s="135">
        <v>144209.58024691301</v>
      </c>
      <c r="E214" s="135">
        <v>155683.464285714</v>
      </c>
      <c r="F214" s="135">
        <v>169021.8125</v>
      </c>
      <c r="G214" s="135">
        <v>381042</v>
      </c>
      <c r="H214" s="134" t="n">
        <f t="shared" si="3"/>
        <v>24812.232253086986</v>
      </c>
      <c r="I214" s="134">
        <v>94585</v>
      </c>
      <c r="J214" s="134">
        <v>218650</v>
      </c>
    </row>
    <row r="215" spans="1:10">
      <c r="A215" s="134" t="s">
        <v>174</v>
      </c>
      <c r="B215" s="134" t="s">
        <v>363</v>
      </c>
      <c r="C215" s="135">
        <v>13851</v>
      </c>
      <c r="D215" s="135">
        <v>190471.59782608601</v>
      </c>
      <c r="E215" s="135">
        <v>206810.66666666599</v>
      </c>
      <c r="F215" s="135">
        <v>224201.24339423201</v>
      </c>
      <c r="G215" s="135">
        <v>333560.5</v>
      </c>
      <c r="H215" s="134" t="n">
        <f t="shared" si="3"/>
        <v>33729.64556814599</v>
      </c>
      <c r="I215" s="134">
        <v>123010</v>
      </c>
      <c r="J215" s="134">
        <v>291665</v>
      </c>
    </row>
    <row r="216" spans="1:10">
      <c r="A216" s="134" t="s">
        <v>174</v>
      </c>
      <c r="B216" s="134" t="s">
        <v>364</v>
      </c>
      <c r="C216" s="135">
        <v>12694.5</v>
      </c>
      <c r="D216" s="135">
        <v>260318.227848101</v>
      </c>
      <c r="E216" s="135">
        <v>277815.75</v>
      </c>
      <c r="F216" s="135">
        <v>299513.67961165</v>
      </c>
      <c r="G216" s="135">
        <v>752607</v>
      </c>
      <c r="H216" s="134" t="n">
        <f t="shared" si="3"/>
        <v>39195.451763549005</v>
      </c>
      <c r="I216" s="134">
        <v>181925</v>
      </c>
      <c r="J216" s="134">
        <v>377905</v>
      </c>
    </row>
    <row r="217" spans="1:10">
      <c r="A217" s="134" t="s">
        <v>174</v>
      </c>
      <c r="B217" s="134" t="s">
        <v>365</v>
      </c>
      <c r="C217" s="135">
        <v>13914</v>
      </c>
      <c r="D217" s="135">
        <v>287643.5</v>
      </c>
      <c r="E217" s="135">
        <v>308733.72972972901</v>
      </c>
      <c r="F217" s="135">
        <v>329717.73214285698</v>
      </c>
      <c r="G217" s="135">
        <v>572250.33333333302</v>
      </c>
      <c r="H217" s="134" t="n">
        <f t="shared" si="3"/>
        <v>42074.232142856985</v>
      </c>
      <c r="I217" s="134">
        <v>203495</v>
      </c>
      <c r="J217" s="134">
        <v>413870</v>
      </c>
    </row>
    <row r="218" spans="1:10">
      <c r="A218" s="134" t="s">
        <v>174</v>
      </c>
      <c r="B218" s="134" t="s">
        <v>366</v>
      </c>
      <c r="C218" s="135">
        <v>44676</v>
      </c>
      <c r="D218" s="135">
        <v>324456.47946153802</v>
      </c>
      <c r="E218" s="135">
        <v>350156.26670317602</v>
      </c>
      <c r="F218" s="135">
        <v>372988.56754658301</v>
      </c>
      <c r="G218" s="135">
        <v>658174.5</v>
      </c>
      <c r="H218" s="134" t="n">
        <f t="shared" si="3"/>
        <v>48532.08808504499</v>
      </c>
      <c r="I218" s="134">
        <v>227390</v>
      </c>
      <c r="J218" s="134">
        <v>470055</v>
      </c>
    </row>
    <row r="219" spans="1:10">
      <c r="A219" s="134" t="s">
        <v>174</v>
      </c>
      <c r="B219" s="134" t="s">
        <v>367</v>
      </c>
      <c r="C219" s="135">
        <v>16036</v>
      </c>
      <c r="D219" s="135">
        <v>235218.75</v>
      </c>
      <c r="E219" s="135">
        <v>264209.727272727</v>
      </c>
      <c r="F219" s="135">
        <v>296865.74327628303</v>
      </c>
      <c r="G219" s="135">
        <v>629649</v>
      </c>
      <c r="H219" s="134" t="n">
        <f t="shared" si="3"/>
        <v>61646.99327628303</v>
      </c>
      <c r="I219" s="134">
        <v>111920</v>
      </c>
      <c r="J219" s="134">
        <v>420160</v>
      </c>
    </row>
    <row r="220" spans="1:10">
      <c r="A220" s="134" t="s">
        <v>177</v>
      </c>
      <c r="B220" s="134" t="s">
        <v>368</v>
      </c>
      <c r="C220" s="135">
        <v>8896.5</v>
      </c>
      <c r="D220" s="135">
        <v>57231.776824034299</v>
      </c>
      <c r="E220" s="135">
        <v>59757.3052078412</v>
      </c>
      <c r="F220" s="135">
        <v>61911.032434251298</v>
      </c>
      <c r="G220" s="135">
        <v>108999</v>
      </c>
      <c r="H220" s="134" t="n">
        <f t="shared" si="3"/>
        <v>4679.255610216998</v>
      </c>
      <c r="I220" s="134">
        <v>47870</v>
      </c>
      <c r="J220" s="134">
        <v>71270</v>
      </c>
    </row>
    <row r="221" spans="1:10">
      <c r="A221" s="134" t="s">
        <v>176</v>
      </c>
      <c r="B221" s="134" t="s">
        <v>369</v>
      </c>
      <c r="C221" s="135">
        <v>3222</v>
      </c>
      <c r="D221" s="135">
        <v>93821.868027383302</v>
      </c>
      <c r="E221" s="135">
        <v>97965.087912087896</v>
      </c>
      <c r="F221" s="135">
        <v>101335.846378136</v>
      </c>
      <c r="G221" s="135">
        <v>169671.85714285701</v>
      </c>
      <c r="H221" s="134" t="n">
        <f t="shared" si="3"/>
        <v>7513.978350752703</v>
      </c>
      <c r="I221" s="134">
        <v>78790</v>
      </c>
      <c r="J221" s="134">
        <v>116365</v>
      </c>
    </row>
    <row r="222" spans="1:10">
      <c r="A222" s="134" t="s">
        <v>176</v>
      </c>
      <c r="B222" s="134" t="s">
        <v>370</v>
      </c>
      <c r="C222" s="135">
        <v>5755</v>
      </c>
      <c r="D222" s="135">
        <v>163033.29803240701</v>
      </c>
      <c r="E222" s="135">
        <v>168125.21150190101</v>
      </c>
      <c r="F222" s="135">
        <v>172746.54391768199</v>
      </c>
      <c r="G222" s="135">
        <v>253764.5</v>
      </c>
      <c r="H222" s="134" t="n">
        <f t="shared" si="3"/>
        <v>9713.245885274984</v>
      </c>
      <c r="I222" s="134">
        <v>143605</v>
      </c>
      <c r="J222" s="134">
        <v>192175</v>
      </c>
    </row>
    <row r="223" spans="1:10">
      <c r="A223" s="134" t="s">
        <v>176</v>
      </c>
      <c r="B223" s="134" t="s">
        <v>371</v>
      </c>
      <c r="C223" s="135">
        <v>40428</v>
      </c>
      <c r="D223" s="135">
        <v>181165.16315789401</v>
      </c>
      <c r="E223" s="135">
        <v>187030.561352966</v>
      </c>
      <c r="F223" s="135">
        <v>192329.73670062199</v>
      </c>
      <c r="G223" s="135">
        <v>315133.33333333302</v>
      </c>
      <c r="H223" s="134" t="n">
        <f t="shared" si="3"/>
        <v>11164.573542727972</v>
      </c>
      <c r="I223" s="134">
        <v>158835</v>
      </c>
      <c r="J223" s="134">
        <v>214660</v>
      </c>
    </row>
    <row r="224" spans="1:10">
      <c r="A224" s="134" t="s">
        <v>176</v>
      </c>
      <c r="B224" s="134" t="s">
        <v>372</v>
      </c>
      <c r="C224" s="135">
        <v>26778</v>
      </c>
      <c r="D224" s="135">
        <v>200474.671875</v>
      </c>
      <c r="E224" s="135">
        <v>207878.68823016499</v>
      </c>
      <c r="F224" s="135">
        <v>214419.09140316199</v>
      </c>
      <c r="G224" s="135">
        <v>422187</v>
      </c>
      <c r="H224" s="134" t="n">
        <f t="shared" si="3"/>
        <v>13944.41952816199</v>
      </c>
      <c r="I224" s="134">
        <v>172585</v>
      </c>
      <c r="J224" s="134">
        <v>242310</v>
      </c>
    </row>
    <row r="225" spans="1:10">
      <c r="A225" s="134" t="s">
        <v>176</v>
      </c>
      <c r="B225" s="134" t="s">
        <v>373</v>
      </c>
      <c r="C225" s="135">
        <v>35118</v>
      </c>
      <c r="D225" s="135">
        <v>219244.291248833</v>
      </c>
      <c r="E225" s="135">
        <v>227926.71943573601</v>
      </c>
      <c r="F225" s="135">
        <v>234495.16809694399</v>
      </c>
      <c r="G225" s="135">
        <v>463221</v>
      </c>
      <c r="H225" s="134" t="n">
        <f t="shared" si="3"/>
        <v>15250.876848110987</v>
      </c>
      <c r="I225" s="134">
        <v>188740</v>
      </c>
      <c r="J225" s="134">
        <v>265000</v>
      </c>
    </row>
    <row r="226" spans="1:10">
      <c r="A226" s="134" t="s">
        <v>176</v>
      </c>
      <c r="B226" s="134" t="s">
        <v>374</v>
      </c>
      <c r="C226" s="135">
        <v>9358</v>
      </c>
      <c r="D226" s="135">
        <v>240607.099264705</v>
      </c>
      <c r="E226" s="135">
        <v>249721.28571428501</v>
      </c>
      <c r="F226" s="135">
        <v>258358.20022624399</v>
      </c>
      <c r="G226" s="135">
        <v>609921</v>
      </c>
      <c r="H226" s="134" t="n">
        <f t="shared" si="3"/>
        <v>17751.100961538992</v>
      </c>
      <c r="I226" s="134">
        <v>205100</v>
      </c>
      <c r="J226" s="134">
        <v>293865</v>
      </c>
    </row>
    <row r="227" spans="1:10">
      <c r="A227" s="134" t="s">
        <v>176</v>
      </c>
      <c r="B227" s="134" t="s">
        <v>375</v>
      </c>
      <c r="C227" s="135">
        <v>43686</v>
      </c>
      <c r="D227" s="135">
        <v>175309.54857142799</v>
      </c>
      <c r="E227" s="135">
        <v>186310.36458333299</v>
      </c>
      <c r="F227" s="135">
        <v>195835.827814569</v>
      </c>
      <c r="G227" s="135">
        <v>297191.25</v>
      </c>
      <c r="H227" s="134" t="n">
        <f t="shared" ref="H227:H290" si="4">F227-D227</f>
        <v>20526.279243141005</v>
      </c>
      <c r="I227" s="134">
        <v>134255</v>
      </c>
      <c r="J227" s="134">
        <v>236890</v>
      </c>
    </row>
    <row r="228" spans="1:10">
      <c r="A228" s="134" t="s">
        <v>176</v>
      </c>
      <c r="B228" s="134" t="s">
        <v>376</v>
      </c>
      <c r="C228" s="135"/>
      <c r="D228" s="135"/>
      <c r="E228" s="135"/>
      <c r="F228" s="135"/>
      <c r="G228" s="135"/>
      <c r="H228" s="134" t="n">
        <f t="shared" si="4"/>
        <v>0.0</v>
      </c>
      <c r="I228" s="134">
        <v>0</v>
      </c>
      <c r="J228" s="134">
        <v>0</v>
      </c>
    </row>
    <row r="229" spans="1:10">
      <c r="A229" s="134" t="s">
        <v>176</v>
      </c>
      <c r="B229" s="134" t="s">
        <v>377</v>
      </c>
      <c r="C229" s="135">
        <v>8203.5</v>
      </c>
      <c r="D229" s="135">
        <v>220607.528846153</v>
      </c>
      <c r="E229" s="135">
        <v>237497.08</v>
      </c>
      <c r="F229" s="135">
        <v>247557.23863636301</v>
      </c>
      <c r="G229" s="135">
        <v>897871</v>
      </c>
      <c r="H229" s="134" t="n">
        <f t="shared" si="4"/>
        <v>26949.709790210007</v>
      </c>
      <c r="I229" s="134">
        <v>166705</v>
      </c>
      <c r="J229" s="134">
        <v>301460</v>
      </c>
    </row>
    <row r="230" spans="1:10">
      <c r="A230" s="134" t="s">
        <v>176</v>
      </c>
      <c r="B230" s="134" t="s">
        <v>378</v>
      </c>
      <c r="C230" s="135">
        <v>28779</v>
      </c>
      <c r="D230" s="135">
        <v>244905.081099779</v>
      </c>
      <c r="E230" s="135">
        <v>251246.40810585101</v>
      </c>
      <c r="F230" s="135">
        <v>258213.03840269201</v>
      </c>
      <c r="G230" s="135">
        <v>369443.45333333302</v>
      </c>
      <c r="H230" s="134" t="n">
        <f t="shared" si="4"/>
        <v>13307.957302913012</v>
      </c>
      <c r="I230" s="134">
        <v>218285</v>
      </c>
      <c r="J230" s="134">
        <v>284830</v>
      </c>
    </row>
    <row r="231" spans="1:10">
      <c r="A231" s="134" t="s">
        <v>176</v>
      </c>
      <c r="B231" s="134" t="s">
        <v>379</v>
      </c>
      <c r="C231" s="135">
        <v>16704</v>
      </c>
      <c r="D231" s="135">
        <v>256725.597734346</v>
      </c>
      <c r="E231" s="135">
        <v>262947.11306876497</v>
      </c>
      <c r="F231" s="135">
        <v>269243.08627002197</v>
      </c>
      <c r="G231" s="135">
        <v>379462.5</v>
      </c>
      <c r="H231" s="134" t="n">
        <f t="shared" si="4"/>
        <v>12517.488535675977</v>
      </c>
      <c r="I231" s="134">
        <v>231690</v>
      </c>
      <c r="J231" s="134">
        <v>294280</v>
      </c>
    </row>
    <row r="232" spans="1:10">
      <c r="A232" s="134" t="s">
        <v>176</v>
      </c>
      <c r="B232" s="134" t="s">
        <v>380</v>
      </c>
      <c r="C232" s="135">
        <v>206336.93023255799</v>
      </c>
      <c r="D232" s="135">
        <v>263975.31016483501</v>
      </c>
      <c r="E232" s="135">
        <v>270532.93731962203</v>
      </c>
      <c r="F232" s="135">
        <v>277592.26153846103</v>
      </c>
      <c r="G232" s="135">
        <v>383043.17499999999</v>
      </c>
      <c r="H232" s="134" t="n">
        <f t="shared" si="4"/>
        <v>13616.951373626012</v>
      </c>
      <c r="I232" s="134">
        <v>236740</v>
      </c>
      <c r="J232" s="134">
        <v>304830</v>
      </c>
    </row>
    <row r="233" spans="1:10">
      <c r="A233" s="134" t="s">
        <v>176</v>
      </c>
      <c r="B233" s="134" t="s">
        <v>381</v>
      </c>
      <c r="C233" s="135">
        <v>14760</v>
      </c>
      <c r="D233" s="135">
        <v>268474.06719228602</v>
      </c>
      <c r="E233" s="135">
        <v>276502.126373626</v>
      </c>
      <c r="F233" s="135">
        <v>284870.95274390199</v>
      </c>
      <c r="G233" s="135">
        <v>799461.5</v>
      </c>
      <c r="H233" s="134" t="n">
        <f t="shared" si="4"/>
        <v>16396.885551615967</v>
      </c>
      <c r="I233" s="134">
        <v>235680</v>
      </c>
      <c r="J233" s="134">
        <v>317665</v>
      </c>
    </row>
    <row r="234" spans="1:10">
      <c r="A234" s="134" t="s">
        <v>176</v>
      </c>
      <c r="B234" s="134" t="s">
        <v>382</v>
      </c>
      <c r="C234" s="135">
        <v>29745</v>
      </c>
      <c r="D234" s="135">
        <v>273667.8</v>
      </c>
      <c r="E234" s="135">
        <v>282398.76699029101</v>
      </c>
      <c r="F234" s="135">
        <v>291899.94230769202</v>
      </c>
      <c r="G234" s="135">
        <v>862245</v>
      </c>
      <c r="H234" s="134" t="n">
        <f t="shared" si="4"/>
        <v>18232.142307692033</v>
      </c>
      <c r="I234" s="134">
        <v>237200</v>
      </c>
      <c r="J234" s="134">
        <v>328365</v>
      </c>
    </row>
    <row r="235" spans="1:10">
      <c r="A235" s="134" t="s">
        <v>176</v>
      </c>
      <c r="B235" s="134" t="s">
        <v>383</v>
      </c>
      <c r="C235" s="135">
        <v>17955</v>
      </c>
      <c r="D235" s="135">
        <v>259700.20405405399</v>
      </c>
      <c r="E235" s="135">
        <v>266021.94137168099</v>
      </c>
      <c r="F235" s="135">
        <v>273044.86175115203</v>
      </c>
      <c r="G235" s="135">
        <v>364861.4</v>
      </c>
      <c r="H235" s="134" t="n">
        <f t="shared" si="4"/>
        <v>13344.657697098039</v>
      </c>
      <c r="I235" s="134">
        <v>233010</v>
      </c>
      <c r="J235" s="134">
        <v>299735</v>
      </c>
    </row>
    <row r="236" spans="1:10">
      <c r="A236" s="134" t="s">
        <v>176</v>
      </c>
      <c r="B236" s="134" t="s">
        <v>384</v>
      </c>
      <c r="C236" s="135">
        <v>12267</v>
      </c>
      <c r="D236" s="135">
        <v>160263.99344758</v>
      </c>
      <c r="E236" s="135">
        <v>166987.618556701</v>
      </c>
      <c r="F236" s="135">
        <v>172992.84851093101</v>
      </c>
      <c r="G236" s="135">
        <v>229095</v>
      </c>
      <c r="H236" s="134" t="n">
        <f t="shared" si="4"/>
        <v>12728.855063351017</v>
      </c>
      <c r="I236" s="134">
        <v>134805</v>
      </c>
      <c r="J236" s="134">
        <v>198455</v>
      </c>
    </row>
    <row r="237" spans="1:10">
      <c r="A237" s="134" t="s">
        <v>176</v>
      </c>
      <c r="B237" s="134" t="s">
        <v>385</v>
      </c>
      <c r="C237" s="135">
        <v>136440</v>
      </c>
      <c r="D237" s="135">
        <v>181723.68548387001</v>
      </c>
      <c r="E237" s="135">
        <v>188030.762008733</v>
      </c>
      <c r="F237" s="135">
        <v>193001.83333333299</v>
      </c>
      <c r="G237" s="135">
        <v>243141.8</v>
      </c>
      <c r="H237" s="134" t="n">
        <f t="shared" si="4"/>
        <v>11278.147849462985</v>
      </c>
      <c r="I237" s="134">
        <v>159165</v>
      </c>
      <c r="J237" s="134">
        <v>215560</v>
      </c>
    </row>
    <row r="238" spans="1:10">
      <c r="A238" s="134" t="s">
        <v>176</v>
      </c>
      <c r="B238" s="134" t="s">
        <v>386</v>
      </c>
      <c r="C238" s="135">
        <v>57159</v>
      </c>
      <c r="D238" s="135">
        <v>202084.85732600701</v>
      </c>
      <c r="E238" s="135">
        <v>209968.61927028399</v>
      </c>
      <c r="F238" s="135">
        <v>215248.52724606299</v>
      </c>
      <c r="G238" s="135">
        <v>264892.58333333302</v>
      </c>
      <c r="H238" s="134" t="n">
        <f t="shared" si="4"/>
        <v>13163.669920055981</v>
      </c>
      <c r="I238" s="134">
        <v>175755</v>
      </c>
      <c r="J238" s="134">
        <v>241580</v>
      </c>
    </row>
    <row r="239" spans="1:10">
      <c r="A239" s="134" t="s">
        <v>176</v>
      </c>
      <c r="B239" s="134" t="s">
        <v>387</v>
      </c>
      <c r="C239" s="135">
        <v>44568</v>
      </c>
      <c r="D239" s="135">
        <v>218154.115384615</v>
      </c>
      <c r="E239" s="135">
        <v>227407.8</v>
      </c>
      <c r="F239" s="135">
        <v>235556.26315789399</v>
      </c>
      <c r="G239" s="135">
        <v>294637.5</v>
      </c>
      <c r="H239" s="134" t="n">
        <f t="shared" si="4"/>
        <v>17402.147773278994</v>
      </c>
      <c r="I239" s="134">
        <v>183345</v>
      </c>
      <c r="J239" s="134">
        <v>270365</v>
      </c>
    </row>
    <row r="240" spans="1:10">
      <c r="A240" s="134" t="s">
        <v>176</v>
      </c>
      <c r="B240" s="134" t="s">
        <v>388</v>
      </c>
      <c r="C240" s="135">
        <v>90666</v>
      </c>
      <c r="D240" s="135">
        <v>237697.93798701299</v>
      </c>
      <c r="E240" s="135">
        <v>247603.119738751</v>
      </c>
      <c r="F240" s="135">
        <v>258174.23678160901</v>
      </c>
      <c r="G240" s="135">
        <v>521784</v>
      </c>
      <c r="H240" s="134" t="n">
        <f t="shared" si="4"/>
        <v>20476.29879459602</v>
      </c>
      <c r="I240" s="134">
        <v>196745</v>
      </c>
      <c r="J240" s="134">
        <v>299130</v>
      </c>
    </row>
    <row r="241" spans="1:10">
      <c r="A241" s="134" t="s">
        <v>176</v>
      </c>
      <c r="B241" s="134" t="s">
        <v>389</v>
      </c>
      <c r="C241" s="135">
        <v>147188.00359712201</v>
      </c>
      <c r="D241" s="135">
        <v>194430.19209214801</v>
      </c>
      <c r="E241" s="135">
        <v>203079.64573990999</v>
      </c>
      <c r="F241" s="135">
        <v>213367.47157290301</v>
      </c>
      <c r="G241" s="135">
        <v>267441</v>
      </c>
      <c r="H241" s="134" t="n">
        <f t="shared" si="4"/>
        <v>18937.27948075501</v>
      </c>
      <c r="I241" s="134">
        <v>156555</v>
      </c>
      <c r="J241" s="134">
        <v>251245</v>
      </c>
    </row>
    <row r="242" spans="1:10">
      <c r="A242" s="134" t="s">
        <v>176</v>
      </c>
      <c r="B242" s="134" t="s">
        <v>390</v>
      </c>
      <c r="C242" s="135">
        <v>26862</v>
      </c>
      <c r="D242" s="135">
        <v>212840.33333333299</v>
      </c>
      <c r="E242" s="135">
        <v>231743.1</v>
      </c>
      <c r="F242" s="135">
        <v>245977.5</v>
      </c>
      <c r="G242" s="135">
        <v>319017.44444444397</v>
      </c>
      <c r="H242" s="134" t="n">
        <f t="shared" si="4"/>
        <v>33137.166666667006</v>
      </c>
      <c r="I242" s="134">
        <v>146565</v>
      </c>
      <c r="J242" s="134">
        <v>312255</v>
      </c>
    </row>
    <row r="243" spans="1:10">
      <c r="A243" s="134" t="s">
        <v>176</v>
      </c>
      <c r="B243" s="134" t="s">
        <v>391</v>
      </c>
      <c r="C243" s="135">
        <v>8730</v>
      </c>
      <c r="D243" s="135">
        <v>239089.246428571</v>
      </c>
      <c r="E243" s="135">
        <v>255612.13648588001</v>
      </c>
      <c r="F243" s="135">
        <v>271520.55229591799</v>
      </c>
      <c r="G243" s="135">
        <v>870189</v>
      </c>
      <c r="H243" s="134" t="n">
        <f t="shared" si="4"/>
        <v>32431.305867346993</v>
      </c>
      <c r="I243" s="134">
        <v>174225</v>
      </c>
      <c r="J243" s="134">
        <v>336385</v>
      </c>
    </row>
    <row r="244" spans="1:10">
      <c r="A244" s="134" t="s">
        <v>176</v>
      </c>
      <c r="B244" s="134" t="s">
        <v>392</v>
      </c>
      <c r="C244" s="135">
        <v>66501</v>
      </c>
      <c r="D244" s="135">
        <v>261995.04762711001</v>
      </c>
      <c r="E244" s="135">
        <v>273717.08785529702</v>
      </c>
      <c r="F244" s="135">
        <v>285261.94810642902</v>
      </c>
      <c r="G244" s="135">
        <v>342212.909090909</v>
      </c>
      <c r="H244" s="134" t="n">
        <f t="shared" si="4"/>
        <v>23266.90047931901</v>
      </c>
      <c r="I244" s="134">
        <v>215460</v>
      </c>
      <c r="J244" s="134">
        <v>331800</v>
      </c>
    </row>
    <row r="245" spans="1:10">
      <c r="A245" s="134" t="s">
        <v>176</v>
      </c>
      <c r="B245" s="134" t="s">
        <v>393</v>
      </c>
      <c r="C245" s="135">
        <v>161338.5</v>
      </c>
      <c r="D245" s="135">
        <v>283986.54539628298</v>
      </c>
      <c r="E245" s="135">
        <v>297199.05182926799</v>
      </c>
      <c r="F245" s="135">
        <v>308358.86652542301</v>
      </c>
      <c r="G245" s="135">
        <v>418745.875</v>
      </c>
      <c r="H245" s="134" t="n">
        <f t="shared" si="4"/>
        <v>24372.321129140037</v>
      </c>
      <c r="I245" s="134">
        <v>235240</v>
      </c>
      <c r="J245" s="134">
        <v>357105</v>
      </c>
    </row>
    <row r="246" spans="1:10">
      <c r="A246" s="134" t="s">
        <v>176</v>
      </c>
      <c r="B246" s="134" t="s">
        <v>394</v>
      </c>
      <c r="C246" s="135">
        <v>73584</v>
      </c>
      <c r="D246" s="135">
        <v>305535.91591501498</v>
      </c>
      <c r="E246" s="135">
        <v>318564.283574862</v>
      </c>
      <c r="F246" s="135">
        <v>330187.03725369403</v>
      </c>
      <c r="G246" s="135">
        <v>381809.53797468299</v>
      </c>
      <c r="H246" s="134" t="n">
        <f t="shared" si="4"/>
        <v>24651.121338679048</v>
      </c>
      <c r="I246" s="134">
        <v>256230</v>
      </c>
      <c r="J246" s="134">
        <v>379490</v>
      </c>
    </row>
    <row r="247" spans="1:10">
      <c r="A247" s="134" t="s">
        <v>176</v>
      </c>
      <c r="B247" s="134" t="s">
        <v>395</v>
      </c>
      <c r="C247" s="135">
        <v>133830</v>
      </c>
      <c r="D247" s="135">
        <v>283242.50522463798</v>
      </c>
      <c r="E247" s="135">
        <v>296232.282884632</v>
      </c>
      <c r="F247" s="135">
        <v>307431.03033794102</v>
      </c>
      <c r="G247" s="135">
        <v>399922.875</v>
      </c>
      <c r="H247" s="134" t="n">
        <f t="shared" si="4"/>
        <v>24188.52511330304</v>
      </c>
      <c r="I247" s="134">
        <v>234865</v>
      </c>
      <c r="J247" s="134">
        <v>355810</v>
      </c>
    </row>
    <row r="248" spans="1:10">
      <c r="A248" s="134" t="s">
        <v>180</v>
      </c>
      <c r="B248" s="134" t="s">
        <v>396</v>
      </c>
      <c r="C248" s="135">
        <v>4716</v>
      </c>
      <c r="D248" s="135">
        <v>199768.5</v>
      </c>
      <c r="E248" s="135">
        <v>211990.47272727199</v>
      </c>
      <c r="F248" s="135">
        <v>224795.960403726</v>
      </c>
      <c r="G248" s="135">
        <v>349497</v>
      </c>
      <c r="H248" s="134" t="n">
        <f t="shared" si="4"/>
        <v>25027.460403726</v>
      </c>
      <c r="I248" s="134">
        <v>149710</v>
      </c>
      <c r="J248" s="134">
        <v>274855</v>
      </c>
    </row>
    <row r="249" spans="1:10">
      <c r="A249" s="134" t="s">
        <v>179</v>
      </c>
      <c r="B249" s="134" t="s">
        <v>397</v>
      </c>
      <c r="C249" s="135">
        <v>22284</v>
      </c>
      <c r="D249" s="135">
        <v>222593.25</v>
      </c>
      <c r="E249" s="135">
        <v>234864.545023696</v>
      </c>
      <c r="F249" s="135">
        <v>245789.290716124</v>
      </c>
      <c r="G249" s="135">
        <v>335574.9</v>
      </c>
      <c r="H249" s="134" t="n">
        <f t="shared" si="4"/>
        <v>23196.040716124</v>
      </c>
      <c r="I249" s="134">
        <v>176200</v>
      </c>
      <c r="J249" s="134">
        <v>292185</v>
      </c>
    </row>
    <row r="250" spans="1:10">
      <c r="A250" s="134" t="s">
        <v>179</v>
      </c>
      <c r="B250" s="134" t="s">
        <v>398</v>
      </c>
      <c r="C250" s="135">
        <v>201359.95522388001</v>
      </c>
      <c r="D250" s="135">
        <v>244715.86382978701</v>
      </c>
      <c r="E250" s="135">
        <v>252982.45</v>
      </c>
      <c r="F250" s="135">
        <v>260619.900645802</v>
      </c>
      <c r="G250" s="135">
        <v>299498.90963855397</v>
      </c>
      <c r="H250" s="134" t="n">
        <f t="shared" si="4"/>
        <v>15904.036816014996</v>
      </c>
      <c r="I250" s="134">
        <v>212905</v>
      </c>
      <c r="J250" s="134">
        <v>292430</v>
      </c>
    </row>
    <row r="251" spans="1:10">
      <c r="A251" s="134" t="s">
        <v>179</v>
      </c>
      <c r="B251" s="134" t="s">
        <v>399</v>
      </c>
      <c r="C251" s="135">
        <v>212158.162486368</v>
      </c>
      <c r="D251" s="135">
        <v>264991.73138876702</v>
      </c>
      <c r="E251" s="135">
        <v>273140.078125</v>
      </c>
      <c r="F251" s="135">
        <v>281078.71678599803</v>
      </c>
      <c r="G251" s="135">
        <v>325679.51501154702</v>
      </c>
      <c r="H251" s="134" t="n">
        <f t="shared" si="4"/>
        <v>16086.985397231008</v>
      </c>
      <c r="I251" s="134">
        <v>232815</v>
      </c>
      <c r="J251" s="134">
        <v>313255</v>
      </c>
    </row>
    <row r="252" spans="1:10">
      <c r="A252" s="134" t="s">
        <v>179</v>
      </c>
      <c r="B252" s="134" t="s">
        <v>400</v>
      </c>
      <c r="C252" s="135">
        <v>216453.55150753699</v>
      </c>
      <c r="D252" s="135">
        <v>285185.73095822998</v>
      </c>
      <c r="E252" s="135">
        <v>293240.17735042702</v>
      </c>
      <c r="F252" s="135">
        <v>301994.309352518</v>
      </c>
      <c r="G252" s="135">
        <v>342831.25675675599</v>
      </c>
      <c r="H252" s="134" t="n">
        <f t="shared" si="4"/>
        <v>16808.578394288023</v>
      </c>
      <c r="I252" s="134">
        <v>251565</v>
      </c>
      <c r="J252" s="134">
        <v>335615</v>
      </c>
    </row>
    <row r="253" spans="1:10">
      <c r="A253" s="134" t="s">
        <v>179</v>
      </c>
      <c r="B253" s="134" t="s">
        <v>401</v>
      </c>
      <c r="C253" s="135">
        <v>213917.56315789401</v>
      </c>
      <c r="D253" s="135">
        <v>264140.742296918</v>
      </c>
      <c r="E253" s="135">
        <v>272393.96556547203</v>
      </c>
      <c r="F253" s="135">
        <v>279664.89406952902</v>
      </c>
      <c r="G253" s="135">
        <v>321851.573556797</v>
      </c>
      <c r="H253" s="134" t="n">
        <f t="shared" si="4"/>
        <v>15524.151772611018</v>
      </c>
      <c r="I253" s="134">
        <v>233090</v>
      </c>
      <c r="J253" s="134">
        <v>310715</v>
      </c>
    </row>
    <row r="254" spans="1:10">
      <c r="A254" s="134" t="s">
        <v>179</v>
      </c>
      <c r="B254" s="134" t="s">
        <v>402</v>
      </c>
      <c r="C254" s="135">
        <v>63693</v>
      </c>
      <c r="D254" s="135">
        <v>245392.52390381799</v>
      </c>
      <c r="E254" s="135">
        <v>255705.49850427301</v>
      </c>
      <c r="F254" s="135">
        <v>265872.30128802499</v>
      </c>
      <c r="G254" s="135">
        <v>383665.5</v>
      </c>
      <c r="H254" s="134" t="n">
        <f t="shared" si="4"/>
        <v>20479.777384207002</v>
      </c>
      <c r="I254" s="134">
        <v>204430</v>
      </c>
      <c r="J254" s="134">
        <v>306835</v>
      </c>
    </row>
    <row r="255" spans="1:10">
      <c r="A255" s="134" t="s">
        <v>179</v>
      </c>
      <c r="B255" s="134" t="s">
        <v>403</v>
      </c>
      <c r="C255" s="135">
        <v>101853</v>
      </c>
      <c r="D255" s="135">
        <v>262713.83669963101</v>
      </c>
      <c r="E255" s="135">
        <v>273843.92842862802</v>
      </c>
      <c r="F255" s="135">
        <v>285330.78661280603</v>
      </c>
      <c r="G255" s="135">
        <v>372374.625</v>
      </c>
      <c r="H255" s="134" t="n">
        <f t="shared" si="4"/>
        <v>22616.94991317502</v>
      </c>
      <c r="I255" s="134">
        <v>217475</v>
      </c>
      <c r="J255" s="134">
        <v>330565</v>
      </c>
    </row>
    <row r="256" spans="1:10">
      <c r="A256" s="134" t="s">
        <v>179</v>
      </c>
      <c r="B256" s="134" t="s">
        <v>404</v>
      </c>
      <c r="C256" s="135">
        <v>128764</v>
      </c>
      <c r="D256" s="135">
        <v>283870.19251429097</v>
      </c>
      <c r="E256" s="135">
        <v>295029.18881118798</v>
      </c>
      <c r="F256" s="135">
        <v>306460.01014748699</v>
      </c>
      <c r="G256" s="135">
        <v>368303.5</v>
      </c>
      <c r="H256" s="134" t="n">
        <f t="shared" si="4"/>
        <v>22589.817633196013</v>
      </c>
      <c r="I256" s="134">
        <v>238690</v>
      </c>
      <c r="J256" s="134">
        <v>351640</v>
      </c>
    </row>
    <row r="257" spans="1:10">
      <c r="A257" s="134" t="s">
        <v>179</v>
      </c>
      <c r="B257" s="134" t="s">
        <v>405</v>
      </c>
      <c r="C257" s="135">
        <v>21411</v>
      </c>
      <c r="D257" s="135">
        <v>300178.18861919898</v>
      </c>
      <c r="E257" s="135">
        <v>312815.84259174502</v>
      </c>
      <c r="F257" s="135">
        <v>325168.413623537</v>
      </c>
      <c r="G257" s="135">
        <v>383552.40201005002</v>
      </c>
      <c r="H257" s="134" t="n">
        <f t="shared" si="4"/>
        <v>24990.22500433802</v>
      </c>
      <c r="I257" s="134">
        <v>250195</v>
      </c>
      <c r="J257" s="134">
        <v>375150</v>
      </c>
    </row>
    <row r="258" spans="1:10">
      <c r="A258" s="134" t="s">
        <v>179</v>
      </c>
      <c r="B258" s="134" t="s">
        <v>406</v>
      </c>
      <c r="C258" s="135">
        <v>15258</v>
      </c>
      <c r="D258" s="135">
        <v>314975.54135567101</v>
      </c>
      <c r="E258" s="135">
        <v>327966.26139760797</v>
      </c>
      <c r="F258" s="135">
        <v>341821.97054589802</v>
      </c>
      <c r="G258" s="135">
        <v>443891.85882352898</v>
      </c>
      <c r="H258" s="134" t="n">
        <f t="shared" si="4"/>
        <v>26846.429190227005</v>
      </c>
      <c r="I258" s="134">
        <v>261280</v>
      </c>
      <c r="J258" s="134">
        <v>395515</v>
      </c>
    </row>
    <row r="259" spans="1:10">
      <c r="A259" s="134" t="s">
        <v>179</v>
      </c>
      <c r="B259" s="134" t="s">
        <v>407</v>
      </c>
      <c r="C259" s="135">
        <v>197993.66691394601</v>
      </c>
      <c r="D259" s="135">
        <v>284446.94819466199</v>
      </c>
      <c r="E259" s="135">
        <v>295808.13021130703</v>
      </c>
      <c r="F259" s="135">
        <v>307559.09512600303</v>
      </c>
      <c r="G259" s="135">
        <v>360964.64861294499</v>
      </c>
      <c r="H259" s="134" t="n">
        <f t="shared" si="4"/>
        <v>23112.146931341034</v>
      </c>
      <c r="I259" s="134">
        <v>238220</v>
      </c>
      <c r="J259" s="134">
        <v>353785</v>
      </c>
    </row>
    <row r="260" spans="1:10">
      <c r="A260" s="134" t="s">
        <v>179</v>
      </c>
      <c r="B260" s="134" t="s">
        <v>408</v>
      </c>
      <c r="C260" s="135">
        <v>6237</v>
      </c>
      <c r="D260" s="135">
        <v>201552.50751879701</v>
      </c>
      <c r="E260" s="135">
        <v>232686.592592592</v>
      </c>
      <c r="F260" s="135">
        <v>256021.30434782599</v>
      </c>
      <c r="G260" s="135">
        <v>953321</v>
      </c>
      <c r="H260" s="134" t="n">
        <f t="shared" si="4"/>
        <v>54468.79682902899</v>
      </c>
      <c r="I260" s="134">
        <v>92610</v>
      </c>
      <c r="J260" s="134">
        <v>364960</v>
      </c>
    </row>
    <row r="261" spans="1:10">
      <c r="A261" s="134" t="s">
        <v>179</v>
      </c>
      <c r="B261" s="134" t="s">
        <v>409</v>
      </c>
      <c r="C261" s="135">
        <v>9710</v>
      </c>
      <c r="D261" s="135">
        <v>236699.333653846</v>
      </c>
      <c r="E261" s="135">
        <v>264394.03882783803</v>
      </c>
      <c r="F261" s="135">
        <v>286870.08246225299</v>
      </c>
      <c r="G261" s="135">
        <v>928048</v>
      </c>
      <c r="H261" s="134" t="n">
        <f t="shared" si="4"/>
        <v>50170.74880840699</v>
      </c>
      <c r="I261" s="134">
        <v>136355</v>
      </c>
      <c r="J261" s="134">
        <v>387215</v>
      </c>
    </row>
    <row r="262" spans="1:10">
      <c r="A262" s="134" t="s">
        <v>179</v>
      </c>
      <c r="B262" s="134" t="s">
        <v>410</v>
      </c>
      <c r="C262" s="135">
        <v>5013</v>
      </c>
      <c r="D262" s="135">
        <v>300488.54166666599</v>
      </c>
      <c r="E262" s="135">
        <v>330638.50347222202</v>
      </c>
      <c r="F262" s="135">
        <v>354228.41499999998</v>
      </c>
      <c r="G262" s="135">
        <v>996930</v>
      </c>
      <c r="H262" s="134" t="n">
        <f t="shared" si="4"/>
        <v>53739.87333333399</v>
      </c>
      <c r="I262" s="134">
        <v>193005</v>
      </c>
      <c r="J262" s="134">
        <v>461710</v>
      </c>
    </row>
    <row r="263" spans="1:10">
      <c r="A263" s="134" t="s">
        <v>179</v>
      </c>
      <c r="B263" s="134" t="s">
        <v>411</v>
      </c>
      <c r="C263" s="135">
        <v>12964</v>
      </c>
      <c r="D263" s="135">
        <v>341095.83333333302</v>
      </c>
      <c r="E263" s="135">
        <v>364873.13690476102</v>
      </c>
      <c r="F263" s="135">
        <v>383490.67372881301</v>
      </c>
      <c r="G263" s="135">
        <v>500740.33333333302</v>
      </c>
      <c r="H263" s="134" t="n">
        <f t="shared" si="4"/>
        <v>42394.84039547999</v>
      </c>
      <c r="I263" s="134">
        <v>256305</v>
      </c>
      <c r="J263" s="134">
        <v>468285</v>
      </c>
    </row>
    <row r="264" spans="1:10">
      <c r="A264" s="134" t="s">
        <v>179</v>
      </c>
      <c r="B264" s="134" t="s">
        <v>412</v>
      </c>
      <c r="C264" s="135">
        <v>12843</v>
      </c>
      <c r="D264" s="135">
        <v>368306.68085106299</v>
      </c>
      <c r="E264" s="135">
        <v>391251.62666666601</v>
      </c>
      <c r="F264" s="135">
        <v>408735.35433070798</v>
      </c>
      <c r="G264" s="135">
        <v>648099</v>
      </c>
      <c r="H264" s="134" t="n">
        <f t="shared" si="4"/>
        <v>40428.67347964499</v>
      </c>
      <c r="I264" s="134">
        <v>287445</v>
      </c>
      <c r="J264" s="134">
        <v>489595</v>
      </c>
    </row>
    <row r="265" spans="1:10">
      <c r="A265" s="134" t="s">
        <v>179</v>
      </c>
      <c r="B265" s="134" t="s">
        <v>413</v>
      </c>
      <c r="C265" s="135">
        <v>12964</v>
      </c>
      <c r="D265" s="135">
        <v>343986.51113563398</v>
      </c>
      <c r="E265" s="135">
        <v>370019.85902255599</v>
      </c>
      <c r="F265" s="135">
        <v>388918.970760233</v>
      </c>
      <c r="G265" s="135">
        <v>568480.25</v>
      </c>
      <c r="H265" s="134" t="n">
        <f t="shared" si="4"/>
        <v>44932.459624599025</v>
      </c>
      <c r="I265" s="134">
        <v>254120</v>
      </c>
      <c r="J265" s="134">
        <v>478785</v>
      </c>
    </row>
    <row r="266" spans="1:10">
      <c r="A266" s="134" t="s">
        <v>181</v>
      </c>
      <c r="B266" s="134" t="s">
        <v>204</v>
      </c>
      <c r="C266" s="135">
        <v>4.578125</v>
      </c>
      <c r="D266" s="135">
        <v>10.001273885350299</v>
      </c>
      <c r="E266" s="135">
        <v>11.676183320811401</v>
      </c>
      <c r="F266" s="135">
        <v>14.0084745762711</v>
      </c>
      <c r="G266" s="135">
        <v>54.385714285714201</v>
      </c>
      <c r="H266" s="134" t="n">
        <f t="shared" si="4"/>
        <v>4.007200690920801</v>
      </c>
      <c r="I266" s="134">
        <v>1</v>
      </c>
      <c r="J266" s="134">
        <v>23</v>
      </c>
    </row>
    <row r="267" spans="1:10">
      <c r="A267" s="134" t="s">
        <v>181</v>
      </c>
      <c r="B267" s="134" t="s">
        <v>205</v>
      </c>
      <c r="C267" s="135">
        <v>4.5901639344262204</v>
      </c>
      <c r="D267" s="135">
        <v>13.607929515418499</v>
      </c>
      <c r="E267" s="135">
        <v>16.632963988919599</v>
      </c>
      <c r="F267" s="135">
        <v>20.323076923076901</v>
      </c>
      <c r="G267" s="135">
        <v>63.473214285714199</v>
      </c>
      <c r="H267" s="134" t="n">
        <f t="shared" si="4"/>
        <v>6.715147407658401</v>
      </c>
      <c r="I267" s="134">
        <v>0</v>
      </c>
      <c r="J267" s="134">
        <v>34</v>
      </c>
    </row>
    <row r="268" spans="1:10">
      <c r="A268" s="134" t="s">
        <v>181</v>
      </c>
      <c r="B268" s="134" t="s">
        <v>206</v>
      </c>
      <c r="C268" s="135">
        <v>2</v>
      </c>
      <c r="D268" s="135">
        <v>22.7689346432552</v>
      </c>
      <c r="E268" s="135">
        <v>29.493141122528399</v>
      </c>
      <c r="F268" s="135">
        <v>37.974200407721298</v>
      </c>
      <c r="G268" s="135">
        <v>137</v>
      </c>
      <c r="H268" s="134" t="n">
        <f t="shared" si="4"/>
        <v>15.205265764466098</v>
      </c>
      <c r="I268" s="134">
        <v>0</v>
      </c>
      <c r="J268" s="134">
        <v>69</v>
      </c>
    </row>
    <row r="269" spans="1:10">
      <c r="A269" s="134" t="s">
        <v>181</v>
      </c>
      <c r="B269" s="134" t="s">
        <v>207</v>
      </c>
      <c r="C269" s="135">
        <v>1.3333333333333299</v>
      </c>
      <c r="D269" s="135">
        <v>31.195079825834501</v>
      </c>
      <c r="E269" s="135">
        <v>40.788293197997199</v>
      </c>
      <c r="F269" s="135">
        <v>51.9366839483178</v>
      </c>
      <c r="G269" s="135">
        <v>108.12</v>
      </c>
      <c r="H269" s="134" t="n">
        <f t="shared" si="4"/>
        <v>20.7416041224833</v>
      </c>
      <c r="I269" s="134">
        <v>0</v>
      </c>
      <c r="J269" s="134">
        <v>94</v>
      </c>
    </row>
    <row r="270" spans="1:10">
      <c r="A270" s="134" t="s">
        <v>181</v>
      </c>
      <c r="B270" s="134" t="s">
        <v>208</v>
      </c>
      <c r="C270" s="135">
        <v>1.2222222222222201</v>
      </c>
      <c r="D270" s="135">
        <v>38.749032975068999</v>
      </c>
      <c r="E270" s="135">
        <v>51.394096653564802</v>
      </c>
      <c r="F270" s="135">
        <v>64.326537370718199</v>
      </c>
      <c r="G270" s="135">
        <v>325</v>
      </c>
      <c r="H270" s="134" t="n">
        <f t="shared" si="4"/>
        <v>25.5775043956492</v>
      </c>
      <c r="I270" s="134">
        <v>0</v>
      </c>
      <c r="J270" s="134">
        <v>116</v>
      </c>
    </row>
    <row r="271" spans="1:10">
      <c r="A271" s="134" t="s">
        <v>181</v>
      </c>
      <c r="B271" s="134" t="s">
        <v>209</v>
      </c>
      <c r="C271" s="135">
        <v>7.3275862068965498</v>
      </c>
      <c r="D271" s="135">
        <v>18.668022782750199</v>
      </c>
      <c r="E271" s="135">
        <v>22.877528089887601</v>
      </c>
      <c r="F271" s="135">
        <v>28.971451876019501</v>
      </c>
      <c r="G271" s="135">
        <v>60.4800664451827</v>
      </c>
      <c r="H271" s="134" t="n">
        <f t="shared" si="4"/>
        <v>10.303429093269301</v>
      </c>
      <c r="I271" s="134">
        <v>0</v>
      </c>
      <c r="J271" s="134">
        <v>50</v>
      </c>
    </row>
    <row r="272" spans="1:10">
      <c r="A272" s="134" t="s">
        <v>181</v>
      </c>
      <c r="B272" s="134" t="s">
        <v>210</v>
      </c>
      <c r="C272" s="135">
        <v>1</v>
      </c>
      <c r="D272" s="135">
        <v>1</v>
      </c>
      <c r="E272" s="135">
        <v>2.2000000000000002</v>
      </c>
      <c r="F272" s="135">
        <v>3.7083333333333299</v>
      </c>
      <c r="G272" s="135">
        <v>9</v>
      </c>
      <c r="H272" s="134" t="n">
        <f t="shared" si="4"/>
        <v>2.70833333333333</v>
      </c>
      <c r="I272" s="134">
        <v>0</v>
      </c>
      <c r="J272" s="134">
        <v>10</v>
      </c>
    </row>
    <row r="273" spans="1:10">
      <c r="A273" s="134" t="s">
        <v>181</v>
      </c>
      <c r="B273" s="134" t="s">
        <v>211</v>
      </c>
      <c r="C273" s="135">
        <v>0.5</v>
      </c>
      <c r="D273" s="135">
        <v>2.0968749999999998</v>
      </c>
      <c r="E273" s="135">
        <v>3.52857142857142</v>
      </c>
      <c r="F273" s="135">
        <v>4.2981727574750801</v>
      </c>
      <c r="G273" s="135">
        <v>8.6666666666666607</v>
      </c>
      <c r="H273" s="134" t="n">
        <f t="shared" si="4"/>
        <v>2.2012977574750803</v>
      </c>
      <c r="I273" s="134">
        <v>0</v>
      </c>
      <c r="J273" s="134">
        <v>9</v>
      </c>
    </row>
    <row r="274" spans="1:10">
      <c r="A274" s="134" t="s">
        <v>181</v>
      </c>
      <c r="B274" s="134" t="s">
        <v>212</v>
      </c>
      <c r="C274" s="135">
        <v>0.66666666666666596</v>
      </c>
      <c r="D274" s="135">
        <v>2.5</v>
      </c>
      <c r="E274" s="135">
        <v>3.5278637770897801</v>
      </c>
      <c r="F274" s="135">
        <v>4.3051839464882899</v>
      </c>
      <c r="G274" s="135">
        <v>17</v>
      </c>
      <c r="H274" s="134" t="n">
        <f t="shared" si="4"/>
        <v>1.80518394648829</v>
      </c>
      <c r="I274" s="134">
        <v>0</v>
      </c>
      <c r="J274" s="134">
        <v>8</v>
      </c>
    </row>
    <row r="275" spans="1:10">
      <c r="A275" s="134" t="s">
        <v>181</v>
      </c>
      <c r="B275" s="134" t="s">
        <v>213</v>
      </c>
      <c r="C275" s="135">
        <v>1</v>
      </c>
      <c r="D275" s="135">
        <v>3.25766283524904</v>
      </c>
      <c r="E275" s="135">
        <v>4</v>
      </c>
      <c r="F275" s="135">
        <v>4.6373446697187699</v>
      </c>
      <c r="G275" s="135">
        <v>12</v>
      </c>
      <c r="H275" s="134" t="n">
        <f t="shared" si="4"/>
        <v>1.37968183446973</v>
      </c>
      <c r="I275" s="134">
        <v>0</v>
      </c>
      <c r="J275" s="134">
        <v>8</v>
      </c>
    </row>
    <row r="276" spans="1:10">
      <c r="A276" s="134" t="s">
        <v>181</v>
      </c>
      <c r="B276" s="134" t="s">
        <v>214</v>
      </c>
      <c r="C276" s="135">
        <v>0.5</v>
      </c>
      <c r="D276" s="135">
        <v>3.5459057071960198</v>
      </c>
      <c r="E276" s="135">
        <v>4.2323936696340203</v>
      </c>
      <c r="F276" s="135">
        <v>5.0120584239130404</v>
      </c>
      <c r="G276" s="135">
        <v>12.25</v>
      </c>
      <c r="H276" s="134" t="n">
        <f t="shared" si="4"/>
        <v>1.4661527167170205</v>
      </c>
      <c r="I276" s="134">
        <v>0</v>
      </c>
      <c r="J276" s="134">
        <v>8</v>
      </c>
    </row>
    <row r="277" spans="1:10">
      <c r="A277" s="134" t="s">
        <v>181</v>
      </c>
      <c r="B277" s="134" t="s">
        <v>215</v>
      </c>
      <c r="C277" s="135">
        <v>0.4</v>
      </c>
      <c r="D277" s="135">
        <v>3.8333333333333299</v>
      </c>
      <c r="E277" s="135">
        <v>4.5</v>
      </c>
      <c r="F277" s="135">
        <v>5.1061643835616399</v>
      </c>
      <c r="G277" s="135">
        <v>10.5</v>
      </c>
      <c r="H277" s="134" t="n">
        <f t="shared" si="4"/>
        <v>1.27283105022831</v>
      </c>
      <c r="I277" s="134">
        <v>1</v>
      </c>
      <c r="J277" s="134">
        <v>8</v>
      </c>
    </row>
    <row r="278" spans="1:10">
      <c r="A278" s="134" t="s">
        <v>181</v>
      </c>
      <c r="B278" s="134" t="s">
        <v>216</v>
      </c>
      <c r="C278" s="135">
        <v>1</v>
      </c>
      <c r="D278" s="135">
        <v>4.1675824175824099</v>
      </c>
      <c r="E278" s="135">
        <v>4.9425824175824102</v>
      </c>
      <c r="F278" s="135">
        <v>5.6109307359307303</v>
      </c>
      <c r="G278" s="135">
        <v>12.1818181818181</v>
      </c>
      <c r="H278" s="134" t="n">
        <f t="shared" si="4"/>
        <v>1.4433483183483204</v>
      </c>
      <c r="I278" s="134">
        <v>1</v>
      </c>
      <c r="J278" s="134">
        <v>9</v>
      </c>
    </row>
    <row r="279" spans="1:10">
      <c r="A279" s="134" t="s">
        <v>181</v>
      </c>
      <c r="B279" s="134" t="s">
        <v>217</v>
      </c>
      <c r="C279" s="135">
        <v>0.5</v>
      </c>
      <c r="D279" s="135">
        <v>4.1201512956703601</v>
      </c>
      <c r="E279" s="135">
        <v>4.6939215341308902</v>
      </c>
      <c r="F279" s="135">
        <v>5.1500632376538</v>
      </c>
      <c r="G279" s="135">
        <v>9.8000000000000007</v>
      </c>
      <c r="H279" s="134" t="n">
        <f t="shared" si="4"/>
        <v>1.02991194198344</v>
      </c>
      <c r="I279" s="134">
        <v>2</v>
      </c>
      <c r="J279" s="134">
        <v>8</v>
      </c>
    </row>
    <row r="280" spans="1:10">
      <c r="A280" s="134" t="s">
        <v>181</v>
      </c>
      <c r="B280" s="134" t="s">
        <v>218</v>
      </c>
      <c r="C280" s="135">
        <v>0.5</v>
      </c>
      <c r="D280" s="135">
        <v>4.0215130023640597</v>
      </c>
      <c r="E280" s="135">
        <v>5.2419641012693097</v>
      </c>
      <c r="F280" s="135">
        <v>6.3214997444816898</v>
      </c>
      <c r="G280" s="135">
        <v>22.5</v>
      </c>
      <c r="H280" s="134" t="n">
        <f t="shared" si="4"/>
        <v>2.29998674211763</v>
      </c>
      <c r="I280" s="134">
        <v>0</v>
      </c>
      <c r="J280" s="134">
        <v>11</v>
      </c>
    </row>
    <row r="281" spans="1:10">
      <c r="A281" s="134" t="s">
        <v>181</v>
      </c>
      <c r="B281" s="134" t="s">
        <v>219</v>
      </c>
      <c r="C281" s="135">
        <v>1</v>
      </c>
      <c r="D281" s="135">
        <v>5.3259905313476699</v>
      </c>
      <c r="E281" s="135">
        <v>6.8925741101374003</v>
      </c>
      <c r="F281" s="135">
        <v>8.3810181531175996</v>
      </c>
      <c r="G281" s="135">
        <v>19.636363636363601</v>
      </c>
      <c r="H281" s="134" t="n">
        <f t="shared" si="4"/>
        <v>3.0550276217699297</v>
      </c>
      <c r="I281" s="134">
        <v>0</v>
      </c>
      <c r="J281" s="134">
        <v>15</v>
      </c>
    </row>
    <row r="282" spans="1:10">
      <c r="A282" s="134" t="s">
        <v>181</v>
      </c>
      <c r="B282" s="134" t="s">
        <v>220</v>
      </c>
      <c r="C282" s="135">
        <v>0.66666666666666596</v>
      </c>
      <c r="D282" s="135">
        <v>5.4984954864593698</v>
      </c>
      <c r="E282" s="135">
        <v>7</v>
      </c>
      <c r="F282" s="135">
        <v>8.5327102803738306</v>
      </c>
      <c r="G282" s="135">
        <v>20.641791044776099</v>
      </c>
      <c r="H282" s="134" t="n">
        <f t="shared" si="4"/>
        <v>3.034214793914461</v>
      </c>
      <c r="I282" s="134">
        <v>0</v>
      </c>
      <c r="J282" s="134">
        <v>15</v>
      </c>
    </row>
    <row r="283" spans="1:10">
      <c r="A283" s="134" t="s">
        <v>181</v>
      </c>
      <c r="B283" s="134" t="s">
        <v>221</v>
      </c>
      <c r="C283" s="135">
        <v>1.41397849462365</v>
      </c>
      <c r="D283" s="135">
        <v>6.1447852760736197</v>
      </c>
      <c r="E283" s="135">
        <v>7.9103869653767802</v>
      </c>
      <c r="F283" s="135">
        <v>9.47555555555555</v>
      </c>
      <c r="G283" s="135">
        <v>34.461538461538403</v>
      </c>
      <c r="H283" s="134" t="n">
        <f t="shared" si="4"/>
        <v>3.3307702794819303</v>
      </c>
      <c r="I283" s="134">
        <v>0</v>
      </c>
      <c r="J283" s="134">
        <v>17</v>
      </c>
    </row>
    <row r="284" spans="1:10">
      <c r="A284" s="134" t="s">
        <v>181</v>
      </c>
      <c r="B284" s="134" t="s">
        <v>222</v>
      </c>
      <c r="C284" s="135">
        <v>0.77272727272727204</v>
      </c>
      <c r="D284" s="135">
        <v>6.0996015936254899</v>
      </c>
      <c r="E284" s="135">
        <v>7.9679144385026701</v>
      </c>
      <c r="F284" s="135">
        <v>9.7127103888566406</v>
      </c>
      <c r="G284" s="135">
        <v>23.1428571428571</v>
      </c>
      <c r="H284" s="134" t="n">
        <f t="shared" si="4"/>
        <v>3.6131087952311507</v>
      </c>
      <c r="I284" s="134">
        <v>0</v>
      </c>
      <c r="J284" s="134">
        <v>17</v>
      </c>
    </row>
    <row r="285" spans="1:10">
      <c r="A285" s="134" t="s">
        <v>181</v>
      </c>
      <c r="B285" s="134" t="s">
        <v>223</v>
      </c>
      <c r="C285" s="135">
        <v>1</v>
      </c>
      <c r="D285" s="135">
        <v>6.4666666666666597</v>
      </c>
      <c r="E285" s="135">
        <v>8.4545454545454497</v>
      </c>
      <c r="F285" s="135">
        <v>10.358974358974301</v>
      </c>
      <c r="G285" s="135">
        <v>29.6666666666666</v>
      </c>
      <c r="H285" s="134" t="n">
        <f t="shared" si="4"/>
        <v>3.892307692307641</v>
      </c>
      <c r="I285" s="134">
        <v>0</v>
      </c>
      <c r="J285" s="134">
        <v>19</v>
      </c>
    </row>
    <row r="286" spans="1:10">
      <c r="A286" s="134" t="s">
        <v>181</v>
      </c>
      <c r="B286" s="134" t="s">
        <v>224</v>
      </c>
      <c r="C286" s="135">
        <v>1</v>
      </c>
      <c r="D286" s="135">
        <v>7.4489519945909297</v>
      </c>
      <c r="E286" s="135">
        <v>9.9249194847020892</v>
      </c>
      <c r="F286" s="135">
        <v>12.3370850386539</v>
      </c>
      <c r="G286" s="135">
        <v>39.181818181818102</v>
      </c>
      <c r="H286" s="134" t="n">
        <f t="shared" si="4"/>
        <v>4.88813304406297</v>
      </c>
      <c r="I286" s="134">
        <v>0</v>
      </c>
      <c r="J286" s="134">
        <v>23</v>
      </c>
    </row>
    <row r="287" spans="1:10">
      <c r="A287" s="134" t="s">
        <v>181</v>
      </c>
      <c r="B287" s="134" t="s">
        <v>225</v>
      </c>
      <c r="C287" s="135">
        <v>1.82791435368754</v>
      </c>
      <c r="D287" s="135">
        <v>6.2908260373049103</v>
      </c>
      <c r="E287" s="135">
        <v>7.8463476070528904</v>
      </c>
      <c r="F287" s="135">
        <v>9.3247691690084302</v>
      </c>
      <c r="G287" s="135">
        <v>18.34375</v>
      </c>
      <c r="H287" s="134" t="n">
        <f t="shared" si="4"/>
        <v>3.03394313170352</v>
      </c>
      <c r="I287" s="134">
        <v>0</v>
      </c>
      <c r="J287" s="134">
        <v>16</v>
      </c>
    </row>
    <row r="288" spans="1:10">
      <c r="A288" s="134" t="s">
        <v>181</v>
      </c>
      <c r="B288" s="134" t="s">
        <v>226</v>
      </c>
      <c r="C288" s="135">
        <v>0.85714285714285698</v>
      </c>
      <c r="D288" s="135">
        <v>7.3727517985611497</v>
      </c>
      <c r="E288" s="135">
        <v>8.24</v>
      </c>
      <c r="F288" s="135">
        <v>9.1999999999999993</v>
      </c>
      <c r="G288" s="135">
        <v>20</v>
      </c>
      <c r="H288" s="134" t="n">
        <f t="shared" si="4"/>
        <v>1.8272482014388496</v>
      </c>
      <c r="I288" s="134">
        <v>3</v>
      </c>
      <c r="J288" s="134">
        <v>13</v>
      </c>
    </row>
    <row r="289" spans="1:10">
      <c r="A289" s="134" t="s">
        <v>181</v>
      </c>
      <c r="B289" s="134" t="s">
        <v>227</v>
      </c>
      <c r="C289" s="135">
        <v>1</v>
      </c>
      <c r="D289" s="135">
        <v>8.8418415856066694</v>
      </c>
      <c r="E289" s="135">
        <v>10.506329113924</v>
      </c>
      <c r="F289" s="135">
        <v>12.097203591549601</v>
      </c>
      <c r="G289" s="135">
        <v>45.5</v>
      </c>
      <c r="H289" s="134" t="n">
        <f t="shared" si="4"/>
        <v>3.2553620059429313</v>
      </c>
      <c r="I289" s="134">
        <v>2</v>
      </c>
      <c r="J289" s="134">
        <v>19</v>
      </c>
    </row>
    <row r="290" spans="1:10">
      <c r="A290" s="134" t="s">
        <v>181</v>
      </c>
      <c r="B290" s="134" t="s">
        <v>228</v>
      </c>
      <c r="C290" s="135">
        <v>1</v>
      </c>
      <c r="D290" s="135">
        <v>9.0370370370370292</v>
      </c>
      <c r="E290" s="135">
        <v>10.857142857142801</v>
      </c>
      <c r="F290" s="135">
        <v>12.64</v>
      </c>
      <c r="G290" s="135">
        <v>28.5</v>
      </c>
      <c r="H290" s="134" t="n">
        <f t="shared" si="4"/>
        <v>3.6029629629629714</v>
      </c>
      <c r="I290" s="134">
        <v>1</v>
      </c>
      <c r="J290" s="134">
        <v>20</v>
      </c>
    </row>
    <row r="291" spans="1:10">
      <c r="A291" s="134" t="s">
        <v>181</v>
      </c>
      <c r="B291" s="134" t="s">
        <v>229</v>
      </c>
      <c r="C291" s="135">
        <v>1</v>
      </c>
      <c r="D291" s="135">
        <v>9.4833333333333307</v>
      </c>
      <c r="E291" s="135">
        <v>11.263392857142801</v>
      </c>
      <c r="F291" s="135">
        <v>12.857142857142801</v>
      </c>
      <c r="G291" s="135">
        <v>28</v>
      </c>
      <c r="H291" s="134" t="n">
        <f t="shared" ref="H291:H353" si="5">F291-D291</f>
        <v>3.37380952380947</v>
      </c>
      <c r="I291" s="134">
        <v>2</v>
      </c>
      <c r="J291" s="134">
        <v>20</v>
      </c>
    </row>
    <row r="292" spans="1:10">
      <c r="A292" s="134" t="s">
        <v>181</v>
      </c>
      <c r="B292" s="134" t="s">
        <v>230</v>
      </c>
      <c r="C292" s="135">
        <v>1</v>
      </c>
      <c r="D292" s="135">
        <v>9.4</v>
      </c>
      <c r="E292" s="135">
        <v>11.4042553191489</v>
      </c>
      <c r="F292" s="135">
        <v>13.25</v>
      </c>
      <c r="G292" s="135">
        <v>30</v>
      </c>
      <c r="H292" s="134" t="n">
        <f t="shared" si="5"/>
        <v>3.8499999999999996</v>
      </c>
      <c r="I292" s="134">
        <v>1</v>
      </c>
      <c r="J292" s="134">
        <v>21</v>
      </c>
    </row>
    <row r="293" spans="1:10">
      <c r="A293" s="134" t="s">
        <v>181</v>
      </c>
      <c r="B293" s="134" t="s">
        <v>231</v>
      </c>
      <c r="C293" s="135">
        <v>2</v>
      </c>
      <c r="D293" s="135">
        <v>9.1925258310871492</v>
      </c>
      <c r="E293" s="135">
        <v>11.2407407407407</v>
      </c>
      <c r="F293" s="135">
        <v>13.1303538175046</v>
      </c>
      <c r="G293" s="135">
        <v>36</v>
      </c>
      <c r="H293" s="134" t="n">
        <f t="shared" si="5"/>
        <v>3.9378279864174512</v>
      </c>
      <c r="I293" s="134">
        <v>1</v>
      </c>
      <c r="J293" s="134">
        <v>22</v>
      </c>
    </row>
    <row r="294" spans="1:10">
      <c r="A294" s="134" t="s">
        <v>181</v>
      </c>
      <c r="B294" s="134" t="s">
        <v>232</v>
      </c>
      <c r="C294" s="135">
        <v>1</v>
      </c>
      <c r="D294" s="135">
        <v>9</v>
      </c>
      <c r="E294" s="135">
        <v>11.5554824561403</v>
      </c>
      <c r="F294" s="135">
        <v>13.4563930961606</v>
      </c>
      <c r="G294" s="135">
        <v>28</v>
      </c>
      <c r="H294" s="134" t="n">
        <f t="shared" si="5"/>
        <v>4.4563930961606</v>
      </c>
      <c r="I294" s="134">
        <v>0</v>
      </c>
      <c r="J294" s="134">
        <v>23</v>
      </c>
    </row>
    <row r="295" spans="1:10">
      <c r="A295" s="134" t="s">
        <v>181</v>
      </c>
      <c r="B295" s="134" t="s">
        <v>233</v>
      </c>
      <c r="C295" s="135">
        <v>1.03061224489795</v>
      </c>
      <c r="D295" s="135">
        <v>9.5652173913043406</v>
      </c>
      <c r="E295" s="135">
        <v>10.9878141660319</v>
      </c>
      <c r="F295" s="135">
        <v>12.327777777777699</v>
      </c>
      <c r="G295" s="135">
        <v>24.375</v>
      </c>
      <c r="H295" s="134" t="n">
        <f t="shared" si="5"/>
        <v>2.7625603864733588</v>
      </c>
      <c r="I295" s="134">
        <v>4</v>
      </c>
      <c r="J295" s="134">
        <v>18</v>
      </c>
    </row>
    <row r="296" spans="1:10">
      <c r="A296" s="134" t="s">
        <v>181</v>
      </c>
      <c r="B296" s="134" t="s">
        <v>242</v>
      </c>
      <c r="C296" s="135">
        <v>3</v>
      </c>
      <c r="D296" s="135">
        <v>8.4216184419171594</v>
      </c>
      <c r="E296" s="135">
        <v>9.2441254547242107</v>
      </c>
      <c r="F296" s="135">
        <v>10.3359848484848</v>
      </c>
      <c r="G296" s="135">
        <v>24.431818181818102</v>
      </c>
      <c r="H296" s="134" t="n">
        <f t="shared" si="5"/>
        <v>1.9143664065676411</v>
      </c>
      <c r="I296" s="134">
        <v>4</v>
      </c>
      <c r="J296" s="134">
        <v>15</v>
      </c>
    </row>
    <row r="297" spans="1:10">
      <c r="A297" s="134" t="s">
        <v>181</v>
      </c>
      <c r="B297" s="134" t="s">
        <v>243</v>
      </c>
      <c r="C297" s="135">
        <v>4.1538461538461497</v>
      </c>
      <c r="D297" s="135">
        <v>9.1560789537685991</v>
      </c>
      <c r="E297" s="135">
        <v>10.1195259455134</v>
      </c>
      <c r="F297" s="135">
        <v>11.302305905302299</v>
      </c>
      <c r="G297" s="135">
        <v>29.5</v>
      </c>
      <c r="H297" s="134" t="n">
        <f t="shared" si="5"/>
        <v>2.1462269515337002</v>
      </c>
      <c r="I297" s="134">
        <v>4</v>
      </c>
      <c r="J297" s="134">
        <v>16</v>
      </c>
    </row>
    <row r="298" spans="1:10">
      <c r="A298" s="134" t="s">
        <v>181</v>
      </c>
      <c r="B298" s="134" t="s">
        <v>244</v>
      </c>
      <c r="C298" s="135">
        <v>2</v>
      </c>
      <c r="D298" s="135">
        <v>9.8712120238110508</v>
      </c>
      <c r="E298" s="135">
        <v>11.3313765905624</v>
      </c>
      <c r="F298" s="135">
        <v>12.871503970773301</v>
      </c>
      <c r="G298" s="135">
        <v>30.4</v>
      </c>
      <c r="H298" s="134" t="n">
        <f t="shared" si="5"/>
        <v>3.0002919469622498</v>
      </c>
      <c r="I298" s="134">
        <v>3</v>
      </c>
      <c r="J298" s="134">
        <v>19</v>
      </c>
    </row>
    <row r="299" spans="1:10">
      <c r="A299" s="134" t="s">
        <v>181</v>
      </c>
      <c r="B299" s="134" t="s">
        <v>245</v>
      </c>
      <c r="C299" s="135">
        <v>2</v>
      </c>
      <c r="D299" s="135">
        <v>9.4162489287597708</v>
      </c>
      <c r="E299" s="135">
        <v>11.232893607893599</v>
      </c>
      <c r="F299" s="135">
        <v>13.2466416101581</v>
      </c>
      <c r="G299" s="135">
        <v>26.7777777777777</v>
      </c>
      <c r="H299" s="134" t="n">
        <f t="shared" si="5"/>
        <v>3.8303926813983296</v>
      </c>
      <c r="I299" s="134">
        <v>1</v>
      </c>
      <c r="J299" s="134">
        <v>21</v>
      </c>
    </row>
    <row r="300" spans="1:10">
      <c r="A300" s="134" t="s">
        <v>181</v>
      </c>
      <c r="B300" s="134" t="s">
        <v>246</v>
      </c>
      <c r="C300" s="135">
        <v>1</v>
      </c>
      <c r="D300" s="135">
        <v>8.9952229299363005</v>
      </c>
      <c r="E300" s="135">
        <v>11.3478260869565</v>
      </c>
      <c r="F300" s="135">
        <v>13.898148148148101</v>
      </c>
      <c r="G300" s="135">
        <v>31.8125</v>
      </c>
      <c r="H300" s="134" t="n">
        <f t="shared" si="5"/>
        <v>4.9029252182118</v>
      </c>
      <c r="I300" s="134">
        <v>0</v>
      </c>
      <c r="J300" s="134">
        <v>24</v>
      </c>
    </row>
    <row r="301" spans="1:10">
      <c r="A301" s="134" t="s">
        <v>181</v>
      </c>
      <c r="B301" s="134" t="s">
        <v>247</v>
      </c>
      <c r="C301" s="135">
        <v>3.5</v>
      </c>
      <c r="D301" s="135">
        <v>9.2245032149361705</v>
      </c>
      <c r="E301" s="135">
        <v>10.1726790726686</v>
      </c>
      <c r="F301" s="135">
        <v>11.4204836636019</v>
      </c>
      <c r="G301" s="135">
        <v>23.807017543859601</v>
      </c>
      <c r="H301" s="134" t="n">
        <f t="shared" si="5"/>
        <v>2.195980448665729</v>
      </c>
      <c r="I301" s="134">
        <v>4</v>
      </c>
      <c r="J301" s="134">
        <v>16</v>
      </c>
    </row>
    <row r="302" spans="1:10">
      <c r="A302" s="134" t="s">
        <v>181</v>
      </c>
      <c r="B302" s="134" t="s">
        <v>250</v>
      </c>
      <c r="C302" s="135">
        <v>2.9166666666666599</v>
      </c>
      <c r="D302" s="135">
        <v>6.8382765480912404</v>
      </c>
      <c r="E302" s="135">
        <v>7.5470331250345604</v>
      </c>
      <c r="F302" s="135">
        <v>8.3791410482155992</v>
      </c>
      <c r="G302" s="135">
        <v>18.4444444444444</v>
      </c>
      <c r="H302" s="134" t="n">
        <f t="shared" si="5"/>
        <v>1.5408645001243588</v>
      </c>
      <c r="I302" s="134">
        <v>3</v>
      </c>
      <c r="J302" s="134">
        <v>12</v>
      </c>
    </row>
    <row r="303" spans="1:10">
      <c r="A303" s="134" t="s">
        <v>181</v>
      </c>
      <c r="B303" s="134" t="s">
        <v>251</v>
      </c>
      <c r="C303" s="135">
        <v>1</v>
      </c>
      <c r="D303" s="135">
        <v>7.1395271077143496</v>
      </c>
      <c r="E303" s="135">
        <v>7.9534398078579898</v>
      </c>
      <c r="F303" s="135">
        <v>8.8236103467253706</v>
      </c>
      <c r="G303" s="135">
        <v>15.75</v>
      </c>
      <c r="H303" s="134" t="n">
        <f t="shared" si="5"/>
        <v>1.684083239011021</v>
      </c>
      <c r="I303" s="134">
        <v>3</v>
      </c>
      <c r="J303" s="134">
        <v>13</v>
      </c>
    </row>
    <row r="304" spans="1:10">
      <c r="A304" s="134" t="s">
        <v>181</v>
      </c>
      <c r="B304" s="134" t="s">
        <v>252</v>
      </c>
      <c r="C304" s="135">
        <v>1.5</v>
      </c>
      <c r="D304" s="135">
        <v>7.3208673719923203</v>
      </c>
      <c r="E304" s="135">
        <v>8.2958515101372203</v>
      </c>
      <c r="F304" s="135">
        <v>9.2959401709401703</v>
      </c>
      <c r="G304" s="135">
        <v>19.75</v>
      </c>
      <c r="H304" s="134" t="n">
        <f t="shared" si="5"/>
        <v>1.97507279894785</v>
      </c>
      <c r="I304" s="134">
        <v>3</v>
      </c>
      <c r="J304" s="134">
        <v>14</v>
      </c>
    </row>
    <row r="305" spans="1:10">
      <c r="A305" s="134" t="s">
        <v>181</v>
      </c>
      <c r="B305" s="134" t="s">
        <v>253</v>
      </c>
      <c r="C305" s="135">
        <v>1</v>
      </c>
      <c r="D305" s="135">
        <v>7.0367665418227201</v>
      </c>
      <c r="E305" s="135">
        <v>8.0803990610328604</v>
      </c>
      <c r="F305" s="135">
        <v>9.1317205678847806</v>
      </c>
      <c r="G305" s="135">
        <v>17.84375</v>
      </c>
      <c r="H305" s="134" t="n">
        <f t="shared" si="5"/>
        <v>2.0949540260620605</v>
      </c>
      <c r="I305" s="134">
        <v>2</v>
      </c>
      <c r="J305" s="134">
        <v>14</v>
      </c>
    </row>
    <row r="306" spans="1:10">
      <c r="A306" s="134" t="s">
        <v>181</v>
      </c>
      <c r="B306" s="134" t="s">
        <v>254</v>
      </c>
      <c r="C306" s="135">
        <v>0.5</v>
      </c>
      <c r="D306" s="135">
        <v>6.4449838187702202</v>
      </c>
      <c r="E306" s="135">
        <v>7.7958333333333298</v>
      </c>
      <c r="F306" s="135">
        <v>9.1724906191369602</v>
      </c>
      <c r="G306" s="135">
        <v>25</v>
      </c>
      <c r="H306" s="134" t="n">
        <f t="shared" si="5"/>
        <v>2.72750680036674</v>
      </c>
      <c r="I306" s="134">
        <v>0</v>
      </c>
      <c r="J306" s="134">
        <v>15</v>
      </c>
    </row>
    <row r="307" spans="1:10">
      <c r="A307" s="134" t="s">
        <v>181</v>
      </c>
      <c r="B307" s="134" t="s">
        <v>255</v>
      </c>
      <c r="C307" s="135">
        <v>2.59770114942528</v>
      </c>
      <c r="D307" s="135">
        <v>7.1205710091716101</v>
      </c>
      <c r="E307" s="135">
        <v>7.8606896551724104</v>
      </c>
      <c r="F307" s="135">
        <v>8.7084130762887195</v>
      </c>
      <c r="G307" s="135">
        <v>12.8484848484848</v>
      </c>
      <c r="H307" s="134" t="n">
        <f t="shared" si="5"/>
        <v>1.5878420671171094</v>
      </c>
      <c r="I307" s="134">
        <v>3</v>
      </c>
      <c r="J307" s="134">
        <v>12</v>
      </c>
    </row>
    <row r="308" spans="1:10">
      <c r="A308" s="134" t="s">
        <v>181</v>
      </c>
      <c r="B308" s="134" t="s">
        <v>256</v>
      </c>
      <c r="C308" s="135">
        <v>0.66666666666666596</v>
      </c>
      <c r="D308" s="135">
        <v>3.4090909090908998</v>
      </c>
      <c r="E308" s="135">
        <v>4.3333333333333304</v>
      </c>
      <c r="F308" s="135">
        <v>5.55</v>
      </c>
      <c r="G308" s="135">
        <v>43</v>
      </c>
      <c r="H308" s="134" t="n">
        <f t="shared" si="5"/>
        <v>2.1409090909091</v>
      </c>
      <c r="I308" s="134">
        <v>0</v>
      </c>
      <c r="J308" s="134">
        <v>10</v>
      </c>
    </row>
    <row r="309" spans="1:10">
      <c r="A309" s="134" t="s">
        <v>181</v>
      </c>
      <c r="B309" s="134" t="s">
        <v>257</v>
      </c>
      <c r="C309" s="135">
        <v>0.5</v>
      </c>
      <c r="D309" s="135">
        <v>4.20672250859106</v>
      </c>
      <c r="E309" s="135">
        <v>5.3735465116279002</v>
      </c>
      <c r="F309" s="135">
        <v>6.7777777777777697</v>
      </c>
      <c r="G309" s="135">
        <v>29.5</v>
      </c>
      <c r="H309" s="134" t="n">
        <f t="shared" si="5"/>
        <v>2.5710552691867097</v>
      </c>
      <c r="I309" s="134">
        <v>0</v>
      </c>
      <c r="J309" s="134">
        <v>12</v>
      </c>
    </row>
    <row r="310" spans="1:10">
      <c r="A310" s="134" t="s">
        <v>181</v>
      </c>
      <c r="B310" s="134" t="s">
        <v>258</v>
      </c>
      <c r="C310" s="135">
        <v>2.1428571428571401</v>
      </c>
      <c r="D310" s="135">
        <v>6.4767536919831201</v>
      </c>
      <c r="E310" s="135">
        <v>7.6857142857142797</v>
      </c>
      <c r="F310" s="135">
        <v>9.3598876404494291</v>
      </c>
      <c r="G310" s="135">
        <v>30.047619047619001</v>
      </c>
      <c r="H310" s="134" t="n">
        <f t="shared" si="5"/>
        <v>2.883133948466309</v>
      </c>
      <c r="I310" s="134">
        <v>0</v>
      </c>
      <c r="J310" s="134">
        <v>16</v>
      </c>
    </row>
    <row r="311" spans="1:10">
      <c r="A311" s="134" t="s">
        <v>181</v>
      </c>
      <c r="B311" s="134" t="s">
        <v>259</v>
      </c>
      <c r="C311" s="135">
        <v>2.9285714285714199</v>
      </c>
      <c r="D311" s="135">
        <v>7.7423344310281701</v>
      </c>
      <c r="E311" s="135">
        <v>9.3069804369918696</v>
      </c>
      <c r="F311" s="135">
        <v>11.568714488636299</v>
      </c>
      <c r="G311" s="135">
        <v>27.877450980392101</v>
      </c>
      <c r="H311" s="134" t="n">
        <f t="shared" si="5"/>
        <v>3.8263800576081293</v>
      </c>
      <c r="I311" s="134">
        <v>0</v>
      </c>
      <c r="J311" s="134">
        <v>20</v>
      </c>
    </row>
    <row r="312" spans="1:10">
      <c r="A312" s="134" t="s">
        <v>181</v>
      </c>
      <c r="B312" s="134" t="s">
        <v>260</v>
      </c>
      <c r="C312" s="135">
        <v>3.0909090909090899</v>
      </c>
      <c r="D312" s="135">
        <v>10.7306397306397</v>
      </c>
      <c r="E312" s="135">
        <v>13.3603603603603</v>
      </c>
      <c r="F312" s="135">
        <v>16.5566037735849</v>
      </c>
      <c r="G312" s="135">
        <v>29</v>
      </c>
      <c r="H312" s="134" t="n">
        <f t="shared" si="5"/>
        <v>5.8259640429452</v>
      </c>
      <c r="I312" s="134">
        <v>0</v>
      </c>
      <c r="J312" s="134">
        <v>29</v>
      </c>
    </row>
    <row r="313" spans="1:10">
      <c r="A313" s="134" t="s">
        <v>181</v>
      </c>
      <c r="B313" s="134" t="s">
        <v>261</v>
      </c>
      <c r="C313" s="135">
        <v>2</v>
      </c>
      <c r="D313" s="135">
        <v>11.4068000661862</v>
      </c>
      <c r="E313" s="135">
        <v>14.4478260869565</v>
      </c>
      <c r="F313" s="135">
        <v>17.816326530612201</v>
      </c>
      <c r="G313" s="135">
        <v>29</v>
      </c>
      <c r="H313" s="134" t="n">
        <f t="shared" si="5"/>
        <v>6.409526464426001</v>
      </c>
      <c r="I313" s="134">
        <v>0</v>
      </c>
      <c r="J313" s="134">
        <v>31</v>
      </c>
    </row>
    <row r="314" spans="1:10">
      <c r="A314" s="134" t="s">
        <v>181</v>
      </c>
      <c r="B314" s="134" t="s">
        <v>262</v>
      </c>
      <c r="C314" s="135">
        <v>1</v>
      </c>
      <c r="D314" s="135">
        <v>10.1458333333333</v>
      </c>
      <c r="E314" s="135">
        <v>12.9310344827586</v>
      </c>
      <c r="F314" s="135">
        <v>16.3333333333333</v>
      </c>
      <c r="G314" s="135">
        <v>29.5</v>
      </c>
      <c r="H314" s="134" t="n">
        <f t="shared" si="5"/>
        <v>6.1875</v>
      </c>
      <c r="I314" s="134">
        <v>0</v>
      </c>
      <c r="J314" s="134">
        <v>29</v>
      </c>
    </row>
    <row r="315" spans="1:10">
      <c r="A315" s="134" t="s">
        <v>181</v>
      </c>
      <c r="B315" s="134" t="s">
        <v>263</v>
      </c>
      <c r="C315" s="135">
        <v>3.3333333333333299</v>
      </c>
      <c r="D315" s="135">
        <v>9.4258886653252798</v>
      </c>
      <c r="E315" s="135">
        <v>11.320534943917099</v>
      </c>
      <c r="F315" s="135">
        <v>13.898916967509001</v>
      </c>
      <c r="G315" s="135">
        <v>27.333830104321901</v>
      </c>
      <c r="H315" s="134" t="n">
        <f t="shared" si="5"/>
        <v>4.473028302183721</v>
      </c>
      <c r="I315" s="134">
        <v>0</v>
      </c>
      <c r="J315" s="134">
        <v>23</v>
      </c>
    </row>
    <row r="316" spans="1:10">
      <c r="A316" s="134" t="s">
        <v>181</v>
      </c>
      <c r="B316" s="134" t="s">
        <v>264</v>
      </c>
      <c r="C316" s="135">
        <v>1</v>
      </c>
      <c r="D316" s="135">
        <v>2.96428571428571</v>
      </c>
      <c r="E316" s="135">
        <v>3.5</v>
      </c>
      <c r="F316" s="135">
        <v>5</v>
      </c>
      <c r="G316" s="135">
        <v>37.5</v>
      </c>
      <c r="H316" s="134" t="n">
        <f t="shared" si="5"/>
        <v>2.03571428571429</v>
      </c>
      <c r="I316" s="134">
        <v>0</v>
      </c>
      <c r="J316" s="134">
        <v>10</v>
      </c>
    </row>
    <row r="317" spans="1:10">
      <c r="A317" s="134" t="s">
        <v>181</v>
      </c>
      <c r="B317" s="134" t="s">
        <v>265</v>
      </c>
      <c r="C317" s="135">
        <v>1</v>
      </c>
      <c r="D317" s="135">
        <v>3.4444444444444402</v>
      </c>
      <c r="E317" s="135">
        <v>4.4800000000000004</v>
      </c>
      <c r="F317" s="135">
        <v>6</v>
      </c>
      <c r="G317" s="135">
        <v>40.5</v>
      </c>
      <c r="H317" s="134" t="n">
        <f t="shared" si="5"/>
        <v>2.55555555555556</v>
      </c>
      <c r="I317" s="134">
        <v>0</v>
      </c>
      <c r="J317" s="134">
        <v>12</v>
      </c>
    </row>
    <row r="318" spans="1:10">
      <c r="A318" s="134" t="s">
        <v>181</v>
      </c>
      <c r="B318" s="134" t="s">
        <v>266</v>
      </c>
      <c r="C318" s="135">
        <v>1</v>
      </c>
      <c r="D318" s="135">
        <v>4.8250000000000002</v>
      </c>
      <c r="E318" s="135">
        <v>5.85</v>
      </c>
      <c r="F318" s="135">
        <v>7.2</v>
      </c>
      <c r="G318" s="135">
        <v>23.5</v>
      </c>
      <c r="H318" s="134" t="n">
        <f t="shared" si="5"/>
        <v>2.375</v>
      </c>
      <c r="I318" s="134">
        <v>0</v>
      </c>
      <c r="J318" s="134">
        <v>12</v>
      </c>
    </row>
    <row r="319" spans="1:10">
      <c r="A319" s="134" t="s">
        <v>181</v>
      </c>
      <c r="B319" s="134" t="s">
        <v>267</v>
      </c>
      <c r="C319" s="135">
        <v>1</v>
      </c>
      <c r="D319" s="135">
        <v>5.4580419580419504</v>
      </c>
      <c r="E319" s="135">
        <v>6.6408450704225297</v>
      </c>
      <c r="F319" s="135">
        <v>8.2206477732793495</v>
      </c>
      <c r="G319" s="135">
        <v>24</v>
      </c>
      <c r="H319" s="134" t="n">
        <f t="shared" si="5"/>
        <v>2.762605815237399</v>
      </c>
      <c r="I319" s="134">
        <v>0</v>
      </c>
      <c r="J319" s="134">
        <v>14</v>
      </c>
    </row>
    <row r="320" spans="1:10">
      <c r="A320" s="134" t="s">
        <v>181</v>
      </c>
      <c r="B320" s="134" t="s">
        <v>268</v>
      </c>
      <c r="C320" s="135">
        <v>1</v>
      </c>
      <c r="D320" s="135">
        <v>6.2380952380952301</v>
      </c>
      <c r="E320" s="135">
        <v>7.85</v>
      </c>
      <c r="F320" s="135">
        <v>9.6709677419354794</v>
      </c>
      <c r="G320" s="135">
        <v>30.5</v>
      </c>
      <c r="H320" s="134" t="n">
        <f t="shared" si="5"/>
        <v>3.4328725038402492</v>
      </c>
      <c r="I320" s="134">
        <v>0</v>
      </c>
      <c r="J320" s="134">
        <v>17</v>
      </c>
    </row>
    <row r="321" spans="1:10">
      <c r="A321" s="134" t="s">
        <v>181</v>
      </c>
      <c r="B321" s="134" t="s">
        <v>269</v>
      </c>
      <c r="C321" s="135">
        <v>1</v>
      </c>
      <c r="D321" s="135">
        <v>6.38675213675213</v>
      </c>
      <c r="E321" s="135">
        <v>8.2682926829268197</v>
      </c>
      <c r="F321" s="135">
        <v>10.307692307692299</v>
      </c>
      <c r="G321" s="135">
        <v>41.6666666666666</v>
      </c>
      <c r="H321" s="134" t="n">
        <f t="shared" si="5"/>
        <v>3.9209401709401694</v>
      </c>
      <c r="I321" s="134">
        <v>0</v>
      </c>
      <c r="J321" s="134">
        <v>19</v>
      </c>
    </row>
    <row r="322" spans="1:10">
      <c r="A322" s="134" t="s">
        <v>181</v>
      </c>
      <c r="B322" s="134" t="s">
        <v>270</v>
      </c>
      <c r="C322" s="135">
        <v>1</v>
      </c>
      <c r="D322" s="135">
        <v>5.921875</v>
      </c>
      <c r="E322" s="135">
        <v>8.01889483065953</v>
      </c>
      <c r="F322" s="135">
        <v>10.453409090909</v>
      </c>
      <c r="G322" s="135">
        <v>54</v>
      </c>
      <c r="H322" s="134" t="n">
        <f t="shared" si="5"/>
        <v>4.531534090909</v>
      </c>
      <c r="I322" s="134">
        <v>0</v>
      </c>
      <c r="J322" s="134">
        <v>20</v>
      </c>
    </row>
    <row r="323" spans="1:10">
      <c r="A323" s="134" t="s">
        <v>181</v>
      </c>
      <c r="B323" s="134" t="s">
        <v>271</v>
      </c>
      <c r="C323" s="135">
        <v>1</v>
      </c>
      <c r="D323" s="135">
        <v>6.3209233683791801</v>
      </c>
      <c r="E323" s="135">
        <v>7.4197719211258999</v>
      </c>
      <c r="F323" s="135">
        <v>8.8328697676253594</v>
      </c>
      <c r="G323" s="135">
        <v>29</v>
      </c>
      <c r="H323" s="134" t="n">
        <f t="shared" si="5"/>
        <v>2.5119463992461792</v>
      </c>
      <c r="I323" s="134">
        <v>1</v>
      </c>
      <c r="J323" s="134">
        <v>14</v>
      </c>
    </row>
    <row r="324" spans="1:10">
      <c r="A324" s="134" t="s">
        <v>181</v>
      </c>
      <c r="B324" s="134" t="s">
        <v>272</v>
      </c>
      <c r="C324" s="135">
        <v>2.6428571428571401</v>
      </c>
      <c r="D324" s="135">
        <v>2.9166666666666599</v>
      </c>
      <c r="E324" s="135">
        <v>5</v>
      </c>
      <c r="F324" s="135">
        <v>6.4375</v>
      </c>
      <c r="G324" s="135">
        <v>7</v>
      </c>
      <c r="H324" s="134" t="n">
        <f t="shared" si="5"/>
        <v>3.52083333333334</v>
      </c>
      <c r="I324" s="134">
        <v>0</v>
      </c>
      <c r="J324" s="134">
        <v>14</v>
      </c>
    </row>
    <row r="325" spans="1:10">
      <c r="A325" s="134" t="s">
        <v>181</v>
      </c>
      <c r="B325" s="134" t="s">
        <v>273</v>
      </c>
      <c r="C325" s="135">
        <v>1</v>
      </c>
      <c r="D325" s="135">
        <v>3</v>
      </c>
      <c r="E325" s="135">
        <v>4.0909090909090899</v>
      </c>
      <c r="F325" s="135">
        <v>9.1750000000000007</v>
      </c>
      <c r="G325" s="135">
        <v>15</v>
      </c>
      <c r="H325" s="134" t="n">
        <f t="shared" si="5"/>
        <v>6.175000000000001</v>
      </c>
      <c r="I325" s="134">
        <v>0</v>
      </c>
      <c r="J325" s="134">
        <v>22</v>
      </c>
    </row>
    <row r="326" spans="1:10">
      <c r="A326" s="134" t="s">
        <v>181</v>
      </c>
      <c r="B326" s="134" t="s">
        <v>274</v>
      </c>
      <c r="C326" s="135">
        <v>2</v>
      </c>
      <c r="D326" s="135">
        <v>4.6624999999999996</v>
      </c>
      <c r="E326" s="135">
        <v>6.9666666666666597</v>
      </c>
      <c r="F326" s="135">
        <v>10.0833333333333</v>
      </c>
      <c r="G326" s="135">
        <v>26.2</v>
      </c>
      <c r="H326" s="134" t="n">
        <f t="shared" si="5"/>
        <v>5.4208333333333005</v>
      </c>
      <c r="I326" s="134">
        <v>0</v>
      </c>
      <c r="J326" s="134">
        <v>21</v>
      </c>
    </row>
    <row r="327" spans="1:10">
      <c r="A327" s="134" t="s">
        <v>181</v>
      </c>
      <c r="B327" s="134" t="s">
        <v>275</v>
      </c>
      <c r="C327" s="135">
        <v>0.5</v>
      </c>
      <c r="D327" s="135">
        <v>5</v>
      </c>
      <c r="E327" s="135">
        <v>6.7125000000000004</v>
      </c>
      <c r="F327" s="135">
        <v>11.7559523809523</v>
      </c>
      <c r="G327" s="135">
        <v>29</v>
      </c>
      <c r="H327" s="134" t="n">
        <f t="shared" si="5"/>
        <v>6.7559523809523</v>
      </c>
      <c r="I327" s="134">
        <v>0</v>
      </c>
      <c r="J327" s="134">
        <v>26</v>
      </c>
    </row>
    <row r="328" spans="1:10">
      <c r="A328" s="134" t="s">
        <v>181</v>
      </c>
      <c r="B328" s="134" t="s">
        <v>276</v>
      </c>
      <c r="C328" s="135">
        <v>1</v>
      </c>
      <c r="D328" s="135">
        <v>5.1488095238095202</v>
      </c>
      <c r="E328" s="135">
        <v>9.1666666666666607</v>
      </c>
      <c r="F328" s="135">
        <v>21.475000000000001</v>
      </c>
      <c r="G328" s="135">
        <v>34.6666666666666</v>
      </c>
      <c r="H328" s="134" t="n">
        <f t="shared" si="5"/>
        <v>16.326190476190483</v>
      </c>
      <c r="I328" s="134">
        <v>0</v>
      </c>
      <c r="J328" s="134">
        <v>55</v>
      </c>
    </row>
    <row r="329" spans="1:10">
      <c r="A329" s="134" t="s">
        <v>181</v>
      </c>
      <c r="B329" s="134" t="s">
        <v>277</v>
      </c>
      <c r="C329" s="135">
        <v>2.3333333333333299</v>
      </c>
      <c r="D329" s="135">
        <v>5.9</v>
      </c>
      <c r="E329" s="135">
        <v>10.5</v>
      </c>
      <c r="F329" s="135">
        <v>21.3526315789473</v>
      </c>
      <c r="G329" s="135">
        <v>45</v>
      </c>
      <c r="H329" s="134" t="n">
        <f t="shared" si="5"/>
        <v>15.4526315789473</v>
      </c>
      <c r="I329" s="134">
        <v>0</v>
      </c>
      <c r="J329" s="134">
        <v>53</v>
      </c>
    </row>
    <row r="330" spans="1:10">
      <c r="A330" s="134" t="s">
        <v>181</v>
      </c>
      <c r="B330" s="134" t="s">
        <v>278</v>
      </c>
      <c r="C330" s="135">
        <v>2</v>
      </c>
      <c r="D330" s="135">
        <v>6.9583333333333304</v>
      </c>
      <c r="E330" s="135">
        <v>12.816666666666601</v>
      </c>
      <c r="F330" s="135">
        <v>21.372423510466898</v>
      </c>
      <c r="G330" s="135">
        <v>48</v>
      </c>
      <c r="H330" s="134" t="n">
        <f t="shared" si="5"/>
        <v>14.414090177133568</v>
      </c>
      <c r="I330" s="134">
        <v>0</v>
      </c>
      <c r="J330" s="134">
        <v>51</v>
      </c>
    </row>
    <row r="331" spans="1:10">
      <c r="A331" s="134" t="s">
        <v>181</v>
      </c>
      <c r="B331" s="134" t="s">
        <v>279</v>
      </c>
      <c r="C331" s="135">
        <v>2</v>
      </c>
      <c r="D331" s="135">
        <v>6.0829124579124496</v>
      </c>
      <c r="E331" s="135">
        <v>10.0166666666666</v>
      </c>
      <c r="F331" s="135">
        <v>18.373323754789201</v>
      </c>
      <c r="G331" s="135">
        <v>45.5</v>
      </c>
      <c r="H331" s="134" t="n">
        <f t="shared" si="5"/>
        <v>12.290411296876751</v>
      </c>
      <c r="I331" s="134">
        <v>0</v>
      </c>
      <c r="J331" s="134">
        <v>43</v>
      </c>
    </row>
    <row r="332" spans="1:10">
      <c r="A332" s="134" t="s">
        <v>181</v>
      </c>
      <c r="B332" s="134" t="s">
        <v>280</v>
      </c>
      <c r="C332" s="135">
        <v>3</v>
      </c>
      <c r="D332" s="135">
        <v>3.75</v>
      </c>
      <c r="E332" s="135">
        <v>4.8333333333333304</v>
      </c>
      <c r="F332" s="135">
        <v>6.75</v>
      </c>
      <c r="G332" s="135">
        <v>13</v>
      </c>
      <c r="H332" s="134" t="n">
        <f t="shared" si="5"/>
        <v>3.0</v>
      </c>
      <c r="I332" s="134">
        <v>0</v>
      </c>
      <c r="J332" s="134">
        <v>13</v>
      </c>
    </row>
    <row r="333" spans="1:10">
      <c r="A333" s="134" t="s">
        <v>181</v>
      </c>
      <c r="B333" s="134" t="s">
        <v>281</v>
      </c>
      <c r="C333" s="135">
        <v>2</v>
      </c>
      <c r="D333" s="135">
        <v>4.0416666666666599</v>
      </c>
      <c r="E333" s="135">
        <v>5</v>
      </c>
      <c r="F333" s="135">
        <v>8.75</v>
      </c>
      <c r="G333" s="135">
        <v>15</v>
      </c>
      <c r="H333" s="134" t="n">
        <f t="shared" si="5"/>
        <v>4.70833333333334</v>
      </c>
      <c r="I333" s="134">
        <v>0</v>
      </c>
      <c r="J333" s="134">
        <v>19</v>
      </c>
    </row>
    <row r="334" spans="1:10">
      <c r="A334" s="134" t="s">
        <v>181</v>
      </c>
      <c r="B334" s="134" t="s">
        <v>282</v>
      </c>
      <c r="C334" s="135">
        <v>1</v>
      </c>
      <c r="D334" s="135">
        <v>4</v>
      </c>
      <c r="E334" s="135">
        <v>5</v>
      </c>
      <c r="F334" s="135">
        <v>7.375</v>
      </c>
      <c r="G334" s="135">
        <v>19</v>
      </c>
      <c r="H334" s="134" t="n">
        <f t="shared" si="5"/>
        <v>3.375</v>
      </c>
      <c r="I334" s="134">
        <v>0</v>
      </c>
      <c r="J334" s="134">
        <v>15</v>
      </c>
    </row>
    <row r="335" spans="1:10">
      <c r="A335" s="134" t="s">
        <v>181</v>
      </c>
      <c r="B335" s="134" t="s">
        <v>283</v>
      </c>
      <c r="C335" s="135">
        <v>1</v>
      </c>
      <c r="D335" s="135">
        <v>4</v>
      </c>
      <c r="E335" s="135">
        <v>5.7</v>
      </c>
      <c r="F335" s="135">
        <v>8</v>
      </c>
      <c r="G335" s="135">
        <v>24</v>
      </c>
      <c r="H335" s="134" t="n">
        <f t="shared" si="5"/>
        <v>4.0</v>
      </c>
      <c r="I335" s="134">
        <v>0</v>
      </c>
      <c r="J335" s="134">
        <v>16</v>
      </c>
    </row>
    <row r="336" spans="1:10">
      <c r="A336" s="134" t="s">
        <v>181</v>
      </c>
      <c r="B336" s="134" t="s">
        <v>284</v>
      </c>
      <c r="C336" s="135">
        <v>1</v>
      </c>
      <c r="D336" s="135">
        <v>4.375</v>
      </c>
      <c r="E336" s="135">
        <v>6.5833333333333304</v>
      </c>
      <c r="F336" s="135">
        <v>10.3125</v>
      </c>
      <c r="G336" s="135">
        <v>46</v>
      </c>
      <c r="H336" s="134" t="n">
        <f t="shared" si="5"/>
        <v>5.9375</v>
      </c>
      <c r="I336" s="134">
        <v>0</v>
      </c>
      <c r="J336" s="134">
        <v>23</v>
      </c>
    </row>
    <row r="337" spans="1:10">
      <c r="A337" s="134" t="s">
        <v>181</v>
      </c>
      <c r="B337" s="134" t="s">
        <v>285</v>
      </c>
      <c r="C337" s="135">
        <v>1</v>
      </c>
      <c r="D337" s="135">
        <v>4</v>
      </c>
      <c r="E337" s="135">
        <v>6.8571428571428497</v>
      </c>
      <c r="F337" s="135">
        <v>10.525454545454499</v>
      </c>
      <c r="G337" s="135">
        <v>43.5</v>
      </c>
      <c r="H337" s="134" t="n">
        <f t="shared" si="5"/>
        <v>6.525454545454499</v>
      </c>
      <c r="I337" s="134">
        <v>0</v>
      </c>
      <c r="J337" s="134">
        <v>24</v>
      </c>
    </row>
    <row r="338" spans="1:10">
      <c r="A338" s="134" t="s">
        <v>181</v>
      </c>
      <c r="B338" s="134" t="s">
        <v>286</v>
      </c>
      <c r="C338" s="135">
        <v>1.5</v>
      </c>
      <c r="D338" s="135">
        <v>4</v>
      </c>
      <c r="E338" s="135">
        <v>6.7467532467532401</v>
      </c>
      <c r="F338" s="135">
        <v>9.45117647058823</v>
      </c>
      <c r="G338" s="135">
        <v>26</v>
      </c>
      <c r="H338" s="134" t="n">
        <f t="shared" si="5"/>
        <v>5.45117647058823</v>
      </c>
      <c r="I338" s="134">
        <v>0</v>
      </c>
      <c r="J338" s="134">
        <v>21</v>
      </c>
    </row>
    <row r="339" spans="1:10">
      <c r="A339" s="134" t="s">
        <v>181</v>
      </c>
      <c r="B339" s="134" t="s">
        <v>287</v>
      </c>
      <c r="C339" s="135">
        <v>1</v>
      </c>
      <c r="D339" s="135">
        <v>4.8641176470588201</v>
      </c>
      <c r="E339" s="135">
        <v>6.6734449760765502</v>
      </c>
      <c r="F339" s="135">
        <v>8.9833333333333307</v>
      </c>
      <c r="G339" s="135">
        <v>39</v>
      </c>
      <c r="H339" s="134" t="n">
        <f t="shared" si="5"/>
        <v>4.119215686274511</v>
      </c>
      <c r="I339" s="134">
        <v>0</v>
      </c>
      <c r="J339" s="134">
        <v>18</v>
      </c>
    </row>
    <row r="340" spans="1:10">
      <c r="A340" s="134" t="s">
        <v>181</v>
      </c>
      <c r="B340" s="134" t="s">
        <v>340</v>
      </c>
      <c r="C340" s="135">
        <v>1</v>
      </c>
      <c r="D340" s="135">
        <v>7.3341570932407096</v>
      </c>
      <c r="E340" s="135">
        <v>8.3682310469314007</v>
      </c>
      <c r="F340" s="135">
        <v>9.5787497552161192</v>
      </c>
      <c r="G340" s="135">
        <v>27</v>
      </c>
      <c r="H340" s="134" t="n">
        <f t="shared" si="5"/>
        <v>2.2445926619754095</v>
      </c>
      <c r="I340" s="134">
        <v>2</v>
      </c>
      <c r="J340" s="134">
        <v>15</v>
      </c>
    </row>
    <row r="341" spans="1:10">
      <c r="A341" s="134" t="s">
        <v>181</v>
      </c>
      <c r="B341" s="134" t="s">
        <v>341</v>
      </c>
      <c r="C341" s="135">
        <v>1</v>
      </c>
      <c r="D341" s="135">
        <v>8.0589912372646797</v>
      </c>
      <c r="E341" s="135">
        <v>9.1014851485148505</v>
      </c>
      <c r="F341" s="135">
        <v>10.597578665276901</v>
      </c>
      <c r="G341" s="135">
        <v>25</v>
      </c>
      <c r="H341" s="134" t="n">
        <f t="shared" si="5"/>
        <v>2.538587428012221</v>
      </c>
      <c r="I341" s="134">
        <v>2</v>
      </c>
      <c r="J341" s="134">
        <v>16</v>
      </c>
    </row>
    <row r="342" spans="1:10">
      <c r="A342" s="134" t="s">
        <v>181</v>
      </c>
      <c r="B342" s="134" t="s">
        <v>342</v>
      </c>
      <c r="C342" s="135">
        <v>1.3333333333333299</v>
      </c>
      <c r="D342" s="135">
        <v>8.8644241631488203</v>
      </c>
      <c r="E342" s="135">
        <v>10.498648648648601</v>
      </c>
      <c r="F342" s="135">
        <v>12.439143959678599</v>
      </c>
      <c r="G342" s="135">
        <v>43</v>
      </c>
      <c r="H342" s="134" t="n">
        <f t="shared" si="5"/>
        <v>3.574719796529779</v>
      </c>
      <c r="I342" s="134">
        <v>1</v>
      </c>
      <c r="J342" s="134">
        <v>20</v>
      </c>
    </row>
    <row r="343" spans="1:10">
      <c r="A343" s="134" t="s">
        <v>181</v>
      </c>
      <c r="B343" s="134" t="s">
        <v>343</v>
      </c>
      <c r="C343" s="135">
        <v>1</v>
      </c>
      <c r="D343" s="135">
        <v>8.2517496207115908</v>
      </c>
      <c r="E343" s="135">
        <v>10.4040404040404</v>
      </c>
      <c r="F343" s="135">
        <v>12.958018867924499</v>
      </c>
      <c r="G343" s="135">
        <v>32.105263157894697</v>
      </c>
      <c r="H343" s="134" t="n">
        <f t="shared" si="5"/>
        <v>4.706269247212909</v>
      </c>
      <c r="I343" s="134">
        <v>0</v>
      </c>
      <c r="J343" s="134">
        <v>23</v>
      </c>
    </row>
    <row r="344" spans="1:10">
      <c r="A344" s="134" t="s">
        <v>181</v>
      </c>
      <c r="B344" s="134" t="s">
        <v>344</v>
      </c>
      <c r="C344" s="135">
        <v>0.19718309859154901</v>
      </c>
      <c r="D344" s="135">
        <v>7.9360795454545396</v>
      </c>
      <c r="E344" s="135">
        <v>10.9341202516385</v>
      </c>
      <c r="F344" s="135">
        <v>14.372841174584201</v>
      </c>
      <c r="G344" s="135">
        <v>82</v>
      </c>
      <c r="H344" s="134" t="n">
        <f t="shared" si="5"/>
        <v>6.436761629129661</v>
      </c>
      <c r="I344" s="134">
        <v>0</v>
      </c>
      <c r="J344" s="134">
        <v>28</v>
      </c>
    </row>
    <row r="345" spans="1:10">
      <c r="A345" s="134" t="s">
        <v>181</v>
      </c>
      <c r="B345" s="134" t="s">
        <v>345</v>
      </c>
      <c r="C345" s="135">
        <v>2</v>
      </c>
      <c r="D345" s="135">
        <v>8.1360507961573791</v>
      </c>
      <c r="E345" s="135">
        <v>9.25</v>
      </c>
      <c r="F345" s="135">
        <v>10.829935833385299</v>
      </c>
      <c r="G345" s="135">
        <v>43</v>
      </c>
      <c r="H345" s="134" t="n">
        <f t="shared" si="5"/>
        <v>2.69388503722792</v>
      </c>
      <c r="I345" s="134">
        <v>2</v>
      </c>
      <c r="J345" s="134">
        <v>17</v>
      </c>
    </row>
    <row r="346" spans="1:10">
      <c r="A346" s="134" t="s">
        <v>181</v>
      </c>
      <c r="B346" s="134" t="s">
        <v>346</v>
      </c>
      <c r="C346" s="135">
        <v>1</v>
      </c>
      <c r="D346" s="135">
        <v>3.6557971014492701</v>
      </c>
      <c r="E346" s="135">
        <v>4.0909090909090899</v>
      </c>
      <c r="F346" s="135">
        <v>4.7589285714285703</v>
      </c>
      <c r="G346" s="135">
        <v>16</v>
      </c>
      <c r="H346" s="134" t="n">
        <f t="shared" si="5"/>
        <v>1.1031314699793002</v>
      </c>
      <c r="I346" s="134">
        <v>1</v>
      </c>
      <c r="J346" s="134">
        <v>7</v>
      </c>
    </row>
    <row r="347" spans="1:10">
      <c r="A347" s="134" t="s">
        <v>181</v>
      </c>
      <c r="B347" s="134" t="s">
        <v>347</v>
      </c>
      <c r="C347" s="135">
        <v>1</v>
      </c>
      <c r="D347" s="135">
        <v>4.8230519480519396</v>
      </c>
      <c r="E347" s="135">
        <v>7</v>
      </c>
      <c r="F347" s="135">
        <v>8</v>
      </c>
      <c r="G347" s="135">
        <v>23.3333333333333</v>
      </c>
      <c r="H347" s="134" t="n">
        <f t="shared" si="5"/>
        <v>3.1769480519480604</v>
      </c>
      <c r="I347" s="134">
        <v>0</v>
      </c>
      <c r="J347" s="134">
        <v>15</v>
      </c>
    </row>
    <row r="348" spans="1:10">
      <c r="A348" s="134" t="s">
        <v>181</v>
      </c>
      <c r="B348" s="134" t="s">
        <v>348</v>
      </c>
      <c r="C348" s="135">
        <v>1</v>
      </c>
      <c r="D348" s="135">
        <v>7.7700763358778602</v>
      </c>
      <c r="E348" s="135">
        <v>9.0070671378091802</v>
      </c>
      <c r="F348" s="135">
        <v>10.3672917417958</v>
      </c>
      <c r="G348" s="135">
        <v>28.6666666666666</v>
      </c>
      <c r="H348" s="134" t="n">
        <f t="shared" si="5"/>
        <v>2.5972154059179395</v>
      </c>
      <c r="I348" s="134">
        <v>2</v>
      </c>
      <c r="J348" s="134">
        <v>16</v>
      </c>
    </row>
    <row r="349" spans="1:10">
      <c r="A349" s="134" t="s">
        <v>181</v>
      </c>
      <c r="B349" s="134" t="s">
        <v>349</v>
      </c>
      <c r="C349" s="135">
        <v>1</v>
      </c>
      <c r="D349" s="135">
        <v>8.6101190476190403</v>
      </c>
      <c r="E349" s="135">
        <v>10.0413770982572</v>
      </c>
      <c r="F349" s="135">
        <v>11.7620705244122</v>
      </c>
      <c r="G349" s="135">
        <v>30</v>
      </c>
      <c r="H349" s="134" t="n">
        <f t="shared" si="5"/>
        <v>3.15195147679316</v>
      </c>
      <c r="I349" s="134">
        <v>2</v>
      </c>
      <c r="J349" s="134">
        <v>19</v>
      </c>
    </row>
    <row r="350" spans="1:10">
      <c r="A350" s="134" t="s">
        <v>181</v>
      </c>
      <c r="B350" s="134" t="s">
        <v>350</v>
      </c>
      <c r="C350" s="135">
        <v>1</v>
      </c>
      <c r="D350" s="135">
        <v>9.4224071207430296</v>
      </c>
      <c r="E350" s="135">
        <v>11.212670565302099</v>
      </c>
      <c r="F350" s="135">
        <v>13.3411458333333</v>
      </c>
      <c r="G350" s="135">
        <v>28.5</v>
      </c>
      <c r="H350" s="134" t="n">
        <f t="shared" si="5"/>
        <v>3.9187387125902706</v>
      </c>
      <c r="I350" s="134">
        <v>1</v>
      </c>
      <c r="J350" s="134">
        <v>22</v>
      </c>
    </row>
    <row r="351" spans="1:10">
      <c r="A351" s="134" t="s">
        <v>181</v>
      </c>
      <c r="B351" s="134" t="s">
        <v>351</v>
      </c>
      <c r="C351" s="135">
        <v>1</v>
      </c>
      <c r="D351" s="135">
        <v>8.5</v>
      </c>
      <c r="E351" s="135">
        <v>11.0465116279069</v>
      </c>
      <c r="F351" s="135">
        <v>13.7071078431372</v>
      </c>
      <c r="G351" s="135">
        <v>61</v>
      </c>
      <c r="H351" s="134" t="n">
        <f t="shared" si="5"/>
        <v>5.2071078431372</v>
      </c>
      <c r="I351" s="134">
        <v>0</v>
      </c>
      <c r="J351" s="134">
        <v>25</v>
      </c>
    </row>
    <row r="352" spans="1:10">
      <c r="A352" s="134" t="s">
        <v>181</v>
      </c>
      <c r="B352" s="134" t="s">
        <v>352</v>
      </c>
      <c r="C352" s="135">
        <v>1</v>
      </c>
      <c r="D352" s="135">
        <v>8.5025510204081591</v>
      </c>
      <c r="E352" s="135">
        <v>10.839743589743501</v>
      </c>
      <c r="F352" s="135">
        <v>13.737103174603099</v>
      </c>
      <c r="G352" s="135">
        <v>29.5</v>
      </c>
      <c r="H352" s="134" t="n">
        <f t="shared" si="5"/>
        <v>5.23455215419494</v>
      </c>
      <c r="I352" s="134">
        <v>0</v>
      </c>
      <c r="J352" s="134">
        <v>25</v>
      </c>
    </row>
    <row r="353" spans="1:10">
      <c r="A353" s="134" t="s">
        <v>181</v>
      </c>
      <c r="B353" s="134" t="s">
        <v>353</v>
      </c>
      <c r="C353" s="135">
        <v>1</v>
      </c>
      <c r="D353" s="135">
        <v>8.8494022308498099</v>
      </c>
      <c r="E353" s="135">
        <v>10.1788950490327</v>
      </c>
      <c r="F353" s="135">
        <v>11.857629243209701</v>
      </c>
      <c r="G353" s="135">
        <v>25.885714285714201</v>
      </c>
      <c r="H353" s="134" t="n">
        <f t="shared" si="5"/>
        <v>3.0082270123598907</v>
      </c>
      <c r="I353" s="134">
        <v>2</v>
      </c>
      <c r="J353" s="134">
        <v>18</v>
      </c>
    </row>
    <row r="354" spans="1:10">
      <c r="A354" s="134"/>
      <c r="B354" s="134"/>
      <c r="C354" s="135"/>
      <c r="D354" s="135"/>
      <c r="E354" s="135"/>
      <c r="F354" s="135"/>
      <c r="G354" s="135"/>
      <c r="H354" s="134"/>
      <c r="I354" s="134"/>
      <c r="J354" s="134"/>
    </row>
    <row r="355" spans="1:10">
      <c r="A355" s="134"/>
      <c r="B355" s="134"/>
      <c r="C355" s="135"/>
      <c r="D355" s="135"/>
      <c r="E355" s="135"/>
      <c r="F355" s="135"/>
      <c r="G355" s="135"/>
      <c r="H355" s="134"/>
      <c r="I355" s="134"/>
      <c r="J355" s="134"/>
    </row>
    <row r="356" spans="1:10">
      <c r="A356" s="134"/>
      <c r="B356" s="134"/>
      <c r="C356" s="135"/>
      <c r="D356" s="135"/>
      <c r="E356" s="135"/>
      <c r="F356" s="135"/>
      <c r="G356" s="135"/>
      <c r="H356" s="134"/>
      <c r="I356" s="134"/>
      <c r="J356" s="134"/>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3"/>
  <sheetViews>
    <sheetView view="pageBreakPreview" zoomScaleNormal="100" zoomScaleSheetLayoutView="100" workbookViewId="0">
      <selection activeCell="R42" sqref="R42"/>
    </sheetView>
  </sheetViews>
  <sheetFormatPr defaultColWidth="9" defaultRowHeight="12"/>
  <cols>
    <col min="1" max="1" customWidth="true" style="1" width="3.125" collapsed="false"/>
    <col min="2" max="2" customWidth="true" style="1" width="4.25" collapsed="false"/>
    <col min="3" max="3" customWidth="true" style="1" width="31.0" collapsed="false"/>
    <col min="4" max="4" bestFit="true" customWidth="true" style="1" width="3.0" collapsed="false"/>
    <col min="5" max="5" customWidth="true" style="1" width="8.75" collapsed="false"/>
    <col min="6" max="6" bestFit="true" customWidth="true" style="1" width="7.875" collapsed="false"/>
    <col min="7" max="7" customWidth="true" style="1" width="8.75" collapsed="false"/>
    <col min="8" max="8" bestFit="true" customWidth="true" style="1" width="7.875" collapsed="false"/>
    <col min="9" max="9" customWidth="true" style="1" width="11.25" collapsed="false"/>
    <col min="10" max="11" customWidth="true" style="4" width="8.5" collapsed="false"/>
    <col min="12" max="12" customWidth="true" style="1" width="23.625" collapsed="false"/>
    <col min="13" max="13" style="1" width="9.0" collapsed="false"/>
    <col min="14" max="14" customWidth="true" hidden="true" style="1" width="9.0" collapsed="false"/>
    <col min="15" max="15" customWidth="true" hidden="true" style="1" width="0.0" collapsed="false"/>
    <col min="16" max="16384" style="1" width="9.0" collapsed="false"/>
  </cols>
  <sheetData>
    <row r="1" spans="1:3" ht="19.5" customHeight="1">
      <c r="A1" s="63" t="s">
        <v>60</v>
      </c>
    </row>
    <row r="2" spans="1:3" ht="13.5" customHeight="1">
      <c r="A2" s="63"/>
    </row>
    <row r="3" spans="1:3" ht="16.5" customHeight="1">
      <c r="B3" s="63" t="s">
        <v>62</v>
      </c>
    </row>
    <row r="4" spans="1:3" ht="6.75" customHeight="1">
      <c r="B4" s="63"/>
    </row>
    <row r="5" spans="1:3" ht="17.25" customHeight="1">
      <c r="C5" s="1" t="s">
        <v>75</v>
      </c>
    </row>
    <row r="6" spans="1:3" ht="17.25" customHeight="1">
      <c r="C6" s="1" t="s">
        <v>66</v>
      </c>
    </row>
    <row r="34" spans="2:15" ht="16.5" customHeight="1">
      <c r="B34" s="63" t="s">
        <v>65</v>
      </c>
    </row>
    <row r="35" spans="2:15" ht="14.25" customHeight="1">
      <c r="B35" s="150" t="s">
        <v>0</v>
      </c>
      <c r="C35" s="150" t="s">
        <v>2</v>
      </c>
      <c r="D35" s="153" t="s">
        <v>67</v>
      </c>
      <c r="E35" s="154"/>
      <c r="F35" s="154"/>
      <c r="G35" s="154"/>
      <c r="H35" s="155"/>
      <c r="I35" s="151" t="s">
        <v>23</v>
      </c>
      <c r="J35" s="152" t="s">
        <v>21</v>
      </c>
      <c r="K35" s="152"/>
      <c r="L35" s="149" t="s">
        <v>22</v>
      </c>
    </row>
    <row r="36" spans="2:15" s="2" customFormat="1" ht="14.25" customHeight="1">
      <c r="B36" s="150"/>
      <c r="C36" s="150"/>
      <c r="D36" s="156"/>
      <c r="E36" s="157"/>
      <c r="F36" s="157"/>
      <c r="G36" s="157"/>
      <c r="H36" s="158"/>
      <c r="I36" s="149"/>
      <c r="J36" s="5" t="s">
        <v>4</v>
      </c>
      <c r="K36" s="5" t="s">
        <v>3</v>
      </c>
      <c r="L36" s="149"/>
    </row>
    <row r="37" spans="2:15" ht="15.75" customHeight="1">
      <c r="B37" s="6">
        <v>1</v>
      </c>
      <c r="C37" s="7" t="s">
        <v>67</v>
      </c>
      <c r="D37" s="64"/>
      <c r="E37" s="110" t="s">
        <v>417</v>
      </c>
      <c r="F37" s="46" t="n">
        <v>254.0</v>
      </c>
      <c r="G37" s="110" t="s">
        <v>416</v>
      </c>
      <c r="H37" s="46" t="n">
        <v>256.0</v>
      </c>
      <c r="I37" s="48" t="n">
        <f>IF(ISERROR(ROUND((H37-F37)/F37*1,3))=TRUE,"－",ROUND((H37-F37)/F37*1,3))</f>
        <v>0.008</v>
      </c>
      <c r="J37" s="13" t="n">
        <f>J38</f>
        <v>-0.11</v>
      </c>
      <c r="K37" s="13" t="n">
        <f>K38</f>
        <v>0.14</v>
      </c>
      <c r="L37" s="44" t="str">
        <f t="shared" ref="L37:L42" si="0">IF(I37="－","",IF(I37&lt;J37,"下限値を"&amp;ROUND((J37-I37)*100,1)&amp;"％下回っています。",IF(I37&gt;K37,"上限値を"&amp;ROUND((I37-K37)*100,1)&amp;"％上回っています。","閾値の範囲内です。")))</f>
        <v>閾値の範囲内です。</v>
      </c>
      <c r="N37" s="1" t="str">
        <f>IF(OR(I37="－",AND(J37="－",K37="－")),"",IF(OR(I37&lt;J37,I37&gt;K37),1,""))</f>
        <v/>
      </c>
      <c r="O37" s="1" t="n">
        <f>IF(AND(F37="",H37=""),"",1)</f>
        <v>1.0</v>
      </c>
    </row>
    <row r="38" spans="2:15" ht="15.75" customHeight="1">
      <c r="B38" s="8"/>
      <c r="C38" s="58" t="str">
        <f>C37</f>
        <v>認定者数</v>
      </c>
      <c r="D38" s="66" t="s">
        <v>63</v>
      </c>
      <c r="E38" s="111" t="s">
        <v>416</v>
      </c>
      <c r="F38" s="40" t="n">
        <f>IF(H37="","",H37)</f>
        <v>256.0</v>
      </c>
      <c r="G38" s="111" t="s">
        <v>415</v>
      </c>
      <c r="H38" s="40" t="n">
        <v>258.0</v>
      </c>
      <c r="I38" s="49" t="n">
        <f t="shared" ref="I38:I42" si="1">IF(ISERROR(ROUND((H38-F38)/F38*1,3))=TRUE,"－",ROUND((H38-F38)/F38*1,3))</f>
        <v>0.008</v>
      </c>
      <c r="J38" s="12" t="n">
        <f>data!I3</f>
        <v>-0.11</v>
      </c>
      <c r="K38" s="12" t="n">
        <f>data!J3</f>
        <v>0.14</v>
      </c>
      <c r="L38" s="22" t="str">
        <f t="shared" si="0"/>
        <v>閾値の範囲内です。</v>
      </c>
      <c r="N38" s="1" t="str">
        <f t="shared" ref="N38:N42" si="2">IF(OR(I38="－",AND(J38="－",K38="－")),"",IF(OR(I38&lt;J38,I38&gt;K38),1,""))</f>
        <v/>
      </c>
      <c r="O38" s="1" t="n">
        <f t="shared" ref="O38:O42" si="3">IF(AND(F38="",H38=""),"",1)</f>
        <v>1.0</v>
      </c>
    </row>
    <row r="39" spans="2:15" ht="15.75" customHeight="1">
      <c r="B39" s="8"/>
      <c r="C39" s="58" t="str">
        <f t="shared" ref="C39:C42" si="4">C38</f>
        <v>認定者数</v>
      </c>
      <c r="D39" s="65"/>
      <c r="E39" s="112" t="s">
        <v>415</v>
      </c>
      <c r="F39" s="47" t="n">
        <f>IF(H38="","",H38)</f>
        <v>258.0</v>
      </c>
      <c r="G39" s="112" t="s">
        <v>414</v>
      </c>
      <c r="H39" s="47" t="n">
        <v>263.0</v>
      </c>
      <c r="I39" s="50" t="n">
        <f t="shared" si="1"/>
        <v>0.019</v>
      </c>
      <c r="J39" s="14" t="n">
        <f>J38</f>
        <v>-0.11</v>
      </c>
      <c r="K39" s="14" t="n">
        <f>K38</f>
        <v>0.14</v>
      </c>
      <c r="L39" s="45" t="str">
        <f t="shared" si="0"/>
        <v>閾値の範囲内です。</v>
      </c>
      <c r="N39" s="1" t="str">
        <f t="shared" si="2"/>
        <v/>
      </c>
      <c r="O39" s="1" t="n">
        <f t="shared" si="3"/>
        <v>1.0</v>
      </c>
    </row>
    <row r="40" spans="2:15" ht="15.75" customHeight="1">
      <c r="B40" s="8"/>
      <c r="C40" s="58" t="str">
        <f t="shared" si="4"/>
        <v>認定者数</v>
      </c>
      <c r="D40" s="64"/>
      <c r="E40" s="110" t="s">
        <v>417</v>
      </c>
      <c r="F40" s="46" t="n">
        <v>527.0</v>
      </c>
      <c r="G40" s="110" t="s">
        <v>416</v>
      </c>
      <c r="H40" s="46" t="n">
        <v>522.0</v>
      </c>
      <c r="I40" s="48" t="n">
        <f t="shared" si="1"/>
        <v>-0.009</v>
      </c>
      <c r="J40" s="13" t="n">
        <f>J41</f>
        <v>-0.09</v>
      </c>
      <c r="K40" s="13" t="n">
        <f>K41</f>
        <v>0.11</v>
      </c>
      <c r="L40" s="44" t="str">
        <f t="shared" si="0"/>
        <v>閾値の範囲内です。</v>
      </c>
      <c r="N40" s="1" t="str">
        <f t="shared" si="2"/>
        <v/>
      </c>
      <c r="O40" s="1" t="n">
        <f t="shared" si="3"/>
        <v>1.0</v>
      </c>
    </row>
    <row r="41" spans="2:15" ht="15.75" customHeight="1">
      <c r="B41" s="8"/>
      <c r="C41" s="58" t="str">
        <f t="shared" si="4"/>
        <v>認定者数</v>
      </c>
      <c r="D41" s="66" t="s">
        <v>64</v>
      </c>
      <c r="E41" s="111" t="s">
        <v>416</v>
      </c>
      <c r="F41" s="40" t="n">
        <f>IF(H40="","",H40)</f>
        <v>522.0</v>
      </c>
      <c r="G41" s="111" t="s">
        <v>415</v>
      </c>
      <c r="H41" s="40" t="n">
        <v>516.0</v>
      </c>
      <c r="I41" s="49" t="n">
        <f t="shared" si="1"/>
        <v>-0.011</v>
      </c>
      <c r="J41" s="12" t="n">
        <f>data!I4</f>
        <v>-0.09</v>
      </c>
      <c r="K41" s="12" t="n">
        <f>data!J4</f>
        <v>0.11</v>
      </c>
      <c r="L41" s="22" t="str">
        <f t="shared" si="0"/>
        <v>閾値の範囲内です。</v>
      </c>
      <c r="N41" s="1" t="str">
        <f t="shared" si="2"/>
        <v/>
      </c>
      <c r="O41" s="1" t="n">
        <f t="shared" si="3"/>
        <v>1.0</v>
      </c>
    </row>
    <row r="42" spans="2:15" ht="15.75" customHeight="1">
      <c r="B42" s="10"/>
      <c r="C42" s="59" t="str">
        <f t="shared" si="4"/>
        <v>認定者数</v>
      </c>
      <c r="D42" s="65"/>
      <c r="E42" s="112" t="s">
        <v>415</v>
      </c>
      <c r="F42" s="47" t="n">
        <f>IF(H41="","",H41)</f>
        <v>516.0</v>
      </c>
      <c r="G42" s="112" t="s">
        <v>414</v>
      </c>
      <c r="H42" s="47" t="n">
        <v>511.0</v>
      </c>
      <c r="I42" s="50" t="n">
        <f t="shared" si="1"/>
        <v>-0.01</v>
      </c>
      <c r="J42" s="14" t="n">
        <f>J41</f>
        <v>-0.09</v>
      </c>
      <c r="K42" s="14" t="n">
        <f>K41</f>
        <v>0.11</v>
      </c>
      <c r="L42" s="45" t="str">
        <f t="shared" si="0"/>
        <v>閾値の範囲内です。</v>
      </c>
      <c r="N42" s="1" t="str">
        <f t="shared" si="2"/>
        <v/>
      </c>
      <c r="O42" s="1" t="n">
        <f t="shared" si="3"/>
        <v>1.0</v>
      </c>
    </row>
    <row r="43" spans="2:15">
      <c r="O43" s="1" t="n">
        <f>IF(COUNTIF(O37:O42,1)&gt;0,1,"")</f>
        <v>1.0</v>
      </c>
    </row>
  </sheetData>
  <mergeCells count="6">
    <mergeCell ref="L35:L36"/>
    <mergeCell ref="B35:B36"/>
    <mergeCell ref="C35:C36"/>
    <mergeCell ref="I35:I36"/>
    <mergeCell ref="J35:K35"/>
    <mergeCell ref="D35:H36"/>
  </mergeCells>
  <phoneticPr fontId="2"/>
  <conditionalFormatting sqref="L37:L42">
    <cfRule type="expression" dxfId="25" priority="1">
      <formula>J37&gt;I37</formula>
    </cfRule>
    <cfRule type="expression" dxfId="24" priority="2">
      <formula>I37&gt;K37</formula>
    </cfRule>
  </conditionalFormatting>
  <dataValidations count="1">
    <dataValidation imeMode="disabled" allowBlank="1" showInputMessage="1" showErrorMessage="1" sqref="J37:K37 J40:K40" xr:uid="{00000000-0002-0000-01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0"/>
  <sheetViews>
    <sheetView view="pageBreakPreview" topLeftCell="A5" zoomScaleNormal="100" zoomScaleSheetLayoutView="100" workbookViewId="0">
      <selection activeCell="O30" sqref="O30"/>
    </sheetView>
  </sheetViews>
  <sheetFormatPr defaultColWidth="9" defaultRowHeight="12"/>
  <cols>
    <col min="1" max="1" customWidth="true" style="1" width="3.125" collapsed="false"/>
    <col min="2" max="2" customWidth="true" style="1" width="4.25" collapsed="false"/>
    <col min="3" max="3" bestFit="true" customWidth="true" style="1" width="33.875" collapsed="false"/>
    <col min="4" max="4" customWidth="true" style="1" width="8.75" collapsed="false"/>
    <col min="5" max="5" bestFit="true" customWidth="true" style="1" width="7.875" collapsed="false"/>
    <col min="6" max="6" customWidth="true" style="1" width="8.75" collapsed="false"/>
    <col min="7" max="7" bestFit="true" customWidth="true" style="1" width="7.875" collapsed="false"/>
    <col min="8" max="8" customWidth="true" style="1" width="11.25" collapsed="false"/>
    <col min="9" max="10" customWidth="true" style="4" width="8.5" collapsed="false"/>
    <col min="11" max="11" customWidth="true" style="1" width="23.625" collapsed="false"/>
    <col min="12" max="12" customWidth="true" style="1" width="8.125" collapsed="false"/>
    <col min="13" max="13" customWidth="true" hidden="true" style="1" width="9.0" collapsed="false"/>
    <col min="14" max="14" customWidth="true" hidden="true" style="1" width="0.125" collapsed="false"/>
    <col min="15" max="15" customWidth="true" style="1" width="9.0" collapsed="false"/>
    <col min="16" max="16384" style="1" width="9.0" collapsed="false"/>
  </cols>
  <sheetData>
    <row r="1" spans="1:11" ht="19.5" customHeight="1">
      <c r="A1" s="63" t="s">
        <v>60</v>
      </c>
      <c r="I1" s="1"/>
      <c r="K1" s="4"/>
    </row>
    <row r="2" spans="1:11" ht="13.5" customHeight="1">
      <c r="A2" s="63"/>
      <c r="I2" s="1"/>
      <c r="K2" s="4"/>
    </row>
    <row r="3" spans="1:11" ht="16.5" customHeight="1">
      <c r="B3" s="63" t="s">
        <v>68</v>
      </c>
      <c r="I3" s="1"/>
      <c r="K3" s="4"/>
    </row>
    <row r="4" spans="1:11" ht="6.75" customHeight="1"/>
    <row r="5" spans="1:11" ht="17.25" customHeight="1">
      <c r="C5" s="1" t="s">
        <v>76</v>
      </c>
      <c r="I5" s="1"/>
      <c r="K5" s="4"/>
    </row>
    <row r="6" spans="1:11" ht="17.25" customHeight="1">
      <c r="C6" s="1" t="s">
        <v>70</v>
      </c>
      <c r="I6" s="1"/>
      <c r="K6" s="4"/>
    </row>
    <row r="7" spans="1:11">
      <c r="I7" s="1"/>
      <c r="K7" s="4"/>
    </row>
    <row r="8" spans="1:11">
      <c r="I8" s="1"/>
      <c r="K8" s="4"/>
    </row>
    <row r="9" spans="1:11">
      <c r="I9" s="1"/>
      <c r="K9" s="4"/>
    </row>
    <row r="10" spans="1:11">
      <c r="I10" s="1"/>
      <c r="K10" s="4"/>
    </row>
    <row r="11" spans="1:11">
      <c r="I11" s="1"/>
      <c r="K11" s="4"/>
    </row>
    <row r="12" spans="1:11">
      <c r="I12" s="1"/>
      <c r="K12" s="4"/>
    </row>
    <row r="13" spans="1:11">
      <c r="I13" s="1"/>
      <c r="K13" s="4"/>
    </row>
    <row r="14" spans="1:11">
      <c r="I14" s="1"/>
      <c r="K14" s="4"/>
    </row>
    <row r="15" spans="1:11">
      <c r="I15" s="1"/>
      <c r="K15" s="4"/>
    </row>
    <row r="16" spans="1:11">
      <c r="I16" s="1"/>
      <c r="K16" s="4"/>
    </row>
    <row r="17" spans="9:11">
      <c r="I17" s="1"/>
      <c r="K17" s="4"/>
    </row>
    <row r="18" spans="9:11">
      <c r="I18" s="1"/>
      <c r="K18" s="4"/>
    </row>
    <row r="19" spans="9:11">
      <c r="I19" s="1"/>
      <c r="K19" s="4"/>
    </row>
    <row r="20" spans="9:11">
      <c r="I20" s="1"/>
      <c r="K20" s="4"/>
    </row>
    <row r="21" spans="9:11">
      <c r="I21" s="1"/>
      <c r="K21" s="4"/>
    </row>
    <row r="22" spans="9:11">
      <c r="I22" s="1"/>
      <c r="K22" s="4"/>
    </row>
    <row r="23" spans="9:11">
      <c r="I23" s="1"/>
      <c r="K23" s="4"/>
    </row>
    <row r="24" spans="9:11">
      <c r="I24" s="1"/>
      <c r="K24" s="4"/>
    </row>
    <row r="25" spans="9:11">
      <c r="I25" s="1"/>
      <c r="K25" s="4"/>
    </row>
    <row r="26" spans="9:11">
      <c r="I26" s="1"/>
      <c r="K26" s="4"/>
    </row>
    <row r="27" spans="9:11">
      <c r="I27" s="1"/>
      <c r="K27" s="4"/>
    </row>
    <row r="28" spans="9:11">
      <c r="I28" s="1"/>
      <c r="K28" s="4"/>
    </row>
    <row r="29" spans="9:11">
      <c r="I29" s="1"/>
      <c r="K29" s="4"/>
    </row>
    <row r="30" spans="9:11">
      <c r="I30" s="1"/>
      <c r="K30" s="4"/>
    </row>
    <row r="31" spans="9:11">
      <c r="I31" s="1"/>
      <c r="K31" s="4"/>
    </row>
    <row r="32" spans="9:11">
      <c r="I32" s="1"/>
      <c r="K32" s="4"/>
    </row>
    <row r="33" spans="2:14">
      <c r="I33" s="1"/>
      <c r="K33" s="4"/>
    </row>
    <row r="34" spans="2:14" ht="16.5" customHeight="1">
      <c r="B34" s="63" t="s">
        <v>65</v>
      </c>
      <c r="I34" s="1"/>
      <c r="K34" s="4"/>
    </row>
    <row r="35" spans="2:14" ht="14.25" customHeight="1">
      <c r="B35" s="150" t="s">
        <v>0</v>
      </c>
      <c r="C35" s="150" t="s">
        <v>2</v>
      </c>
      <c r="D35" s="153" t="s">
        <v>69</v>
      </c>
      <c r="E35" s="154"/>
      <c r="F35" s="154"/>
      <c r="G35" s="155"/>
      <c r="H35" s="151" t="s">
        <v>23</v>
      </c>
      <c r="I35" s="152" t="s">
        <v>21</v>
      </c>
      <c r="J35" s="152"/>
      <c r="K35" s="149" t="s">
        <v>22</v>
      </c>
    </row>
    <row r="36" spans="2:14" s="2" customFormat="1" ht="14.25" customHeight="1">
      <c r="B36" s="150"/>
      <c r="C36" s="150"/>
      <c r="D36" s="156"/>
      <c r="E36" s="157"/>
      <c r="F36" s="157"/>
      <c r="G36" s="158"/>
      <c r="H36" s="149"/>
      <c r="I36" s="5" t="s">
        <v>4</v>
      </c>
      <c r="J36" s="5" t="s">
        <v>3</v>
      </c>
      <c r="K36" s="149"/>
    </row>
    <row r="37" spans="2:14" s="2" customFormat="1" ht="14.25" customHeight="1">
      <c r="B37" s="74" t="s">
        <v>71</v>
      </c>
      <c r="C37" s="71"/>
      <c r="D37" s="71"/>
      <c r="E37" s="71"/>
      <c r="F37" s="71"/>
      <c r="G37" s="71"/>
      <c r="H37" s="71"/>
      <c r="I37" s="72"/>
      <c r="J37" s="72"/>
      <c r="K37" s="73"/>
    </row>
    <row r="38" spans="2:14" ht="15.75" customHeight="1">
      <c r="B38" s="6">
        <v>1</v>
      </c>
      <c r="C38" s="7" t="s">
        <v>33</v>
      </c>
      <c r="D38" s="110" t="s">
        <v>417</v>
      </c>
      <c r="E38" s="46" t="n">
        <v>2.0</v>
      </c>
      <c r="F38" s="110" t="s">
        <v>416</v>
      </c>
      <c r="G38" s="46" t="n">
        <v>2.0</v>
      </c>
      <c r="H38" s="48" t="n">
        <f t="shared" ref="H38:H47" si="0">IF(ISERROR(ROUND((G38-E38)/E38*1,3))=TRUE,"－",ROUND((G38-E38)/E38*1,3))</f>
        <v>0.0</v>
      </c>
      <c r="I38" s="13" t="n">
        <f>I39</f>
        <v>-0.25</v>
      </c>
      <c r="J38" s="13" t="n">
        <f>J39</f>
        <v>0.35</v>
      </c>
      <c r="K38" s="44" t="str">
        <f t="shared" ref="K38:K50" si="1">IF(H38="－","",IF(H38&lt;I38,"下限値を"&amp;ROUND((I38-H38)*100,1)&amp;"％下回っています。",IF(H38&gt;J38,"上限値を"&amp;ROUND((H38-J38)*100,1)&amp;"％上回っています。","閾値の範囲内です。")))</f>
        <v>閾値の範囲内です。</v>
      </c>
      <c r="M38" s="1" t="str">
        <f>IF(OR(H38="－",AND(I38="－",J38="－")),"",IF(OR(H38&lt;I38,H38&gt;J38),1,""))</f>
        <v/>
      </c>
      <c r="N38" s="1" t="n">
        <f>IF(AND(E38="",G38=""),"",1)</f>
        <v>1.0</v>
      </c>
    </row>
    <row r="39" spans="2:14" ht="15.75" customHeight="1">
      <c r="B39" s="8"/>
      <c r="C39" s="58" t="str">
        <f>C38</f>
        <v>特定施設入居者生活介護</v>
      </c>
      <c r="D39" s="111" t="s">
        <v>416</v>
      </c>
      <c r="E39" s="40" t="n">
        <f>IF(G38="","",G38)</f>
        <v>2.0</v>
      </c>
      <c r="F39" s="111" t="s">
        <v>415</v>
      </c>
      <c r="G39" s="40" t="n">
        <v>2.0</v>
      </c>
      <c r="H39" s="49" t="n">
        <f t="shared" si="0"/>
        <v>0.0</v>
      </c>
      <c r="I39" s="12" t="n">
        <f>data!I5</f>
        <v>-0.25</v>
      </c>
      <c r="J39" s="12" t="n">
        <f>data!J5</f>
        <v>0.35</v>
      </c>
      <c r="K39" s="22" t="str">
        <f t="shared" si="1"/>
        <v>閾値の範囲内です。</v>
      </c>
      <c r="M39" s="1" t="str">
        <f t="shared" ref="M39:M50" si="2">IF(OR(H39="－",AND(I39="－",J39="－")),"",IF(OR(H39&lt;I39,H39&gt;J39),1,""))</f>
        <v/>
      </c>
      <c r="N39" s="1" t="n">
        <f t="shared" ref="N39:N40" si="3">IF(AND(E39="",G39=""),"",1)</f>
        <v>1.0</v>
      </c>
    </row>
    <row r="40" spans="2:14" ht="15.75" customHeight="1">
      <c r="B40" s="10"/>
      <c r="C40" s="59" t="str">
        <f>C39</f>
        <v>特定施設入居者生活介護</v>
      </c>
      <c r="D40" s="112" t="s">
        <v>415</v>
      </c>
      <c r="E40" s="47" t="n">
        <f>IF(G39="","",G39)</f>
        <v>2.0</v>
      </c>
      <c r="F40" s="112" t="s">
        <v>414</v>
      </c>
      <c r="G40" s="47" t="n">
        <v>2.0</v>
      </c>
      <c r="H40" s="51" t="n">
        <f t="shared" si="0"/>
        <v>0.0</v>
      </c>
      <c r="I40" s="14" t="n">
        <f>I39</f>
        <v>-0.25</v>
      </c>
      <c r="J40" s="14" t="n">
        <f>J39</f>
        <v>0.35</v>
      </c>
      <c r="K40" s="45" t="str">
        <f t="shared" si="1"/>
        <v>閾値の範囲内です。</v>
      </c>
      <c r="M40" s="1" t="str">
        <f t="shared" si="2"/>
        <v/>
      </c>
      <c r="N40" s="1" t="n">
        <f t="shared" si="3"/>
        <v>1.0</v>
      </c>
    </row>
    <row r="41" spans="2:14" s="2" customFormat="1" ht="14.25" customHeight="1">
      <c r="B41" s="74" t="s">
        <v>72</v>
      </c>
      <c r="C41" s="71"/>
      <c r="D41" s="71"/>
      <c r="E41" s="71"/>
      <c r="F41" s="71"/>
      <c r="G41" s="71"/>
      <c r="H41" s="71"/>
      <c r="I41" s="72"/>
      <c r="J41" s="72"/>
      <c r="K41" s="73"/>
    </row>
    <row r="42" spans="2:14" ht="15.75" customHeight="1">
      <c r="B42" s="6">
        <v>2</v>
      </c>
      <c r="C42" s="7" t="s">
        <v>31</v>
      </c>
      <c r="D42" s="110" t="s">
        <v>417</v>
      </c>
      <c r="E42" s="46" t="n">
        <v>44.0</v>
      </c>
      <c r="F42" s="110" t="s">
        <v>416</v>
      </c>
      <c r="G42" s="46" t="n">
        <v>46.0</v>
      </c>
      <c r="H42" s="48" t="n">
        <f t="shared" si="0"/>
        <v>0.045</v>
      </c>
      <c r="I42" s="13" t="n">
        <f>I43</f>
        <v>-0.1</v>
      </c>
      <c r="J42" s="13" t="n">
        <f>J43</f>
        <v>0.15</v>
      </c>
      <c r="K42" s="44" t="str">
        <f t="shared" si="1"/>
        <v>閾値の範囲内です。</v>
      </c>
      <c r="M42" s="1" t="str">
        <f t="shared" si="2"/>
        <v/>
      </c>
      <c r="N42" s="1" t="n">
        <f t="shared" ref="N42:N60" si="4">IF(AND(E42="",G42=""),"",1)</f>
        <v>1.0</v>
      </c>
    </row>
    <row r="43" spans="2:14" ht="15.75" customHeight="1">
      <c r="B43" s="8"/>
      <c r="C43" s="58" t="str">
        <f>C42</f>
        <v>認知症対応型共同生活介護</v>
      </c>
      <c r="D43" s="111" t="s">
        <v>416</v>
      </c>
      <c r="E43" s="40" t="n">
        <f>IF(G42="","",G42)</f>
        <v>46.0</v>
      </c>
      <c r="F43" s="111" t="s">
        <v>415</v>
      </c>
      <c r="G43" s="40" t="n">
        <v>45.0</v>
      </c>
      <c r="H43" s="49" t="n">
        <f t="shared" si="0"/>
        <v>-0.022</v>
      </c>
      <c r="I43" s="12" t="n">
        <f>data!I6</f>
        <v>-0.1</v>
      </c>
      <c r="J43" s="12" t="n">
        <f>data!J6</f>
        <v>0.15</v>
      </c>
      <c r="K43" s="22" t="str">
        <f t="shared" si="1"/>
        <v>閾値の範囲内です。</v>
      </c>
      <c r="M43" s="1" t="str">
        <f t="shared" si="2"/>
        <v/>
      </c>
      <c r="N43" s="1" t="n">
        <f t="shared" si="4"/>
        <v>1.0</v>
      </c>
    </row>
    <row r="44" spans="2:14" ht="15.75" customHeight="1">
      <c r="B44" s="10"/>
      <c r="C44" s="59" t="str">
        <f>C43</f>
        <v>認知症対応型共同生活介護</v>
      </c>
      <c r="D44" s="112" t="s">
        <v>415</v>
      </c>
      <c r="E44" s="47" t="n">
        <f>IF(G43="","",G43)</f>
        <v>45.0</v>
      </c>
      <c r="F44" s="112" t="s">
        <v>414</v>
      </c>
      <c r="G44" s="47" t="n">
        <v>45.0</v>
      </c>
      <c r="H44" s="51" t="n">
        <f t="shared" si="0"/>
        <v>0.0</v>
      </c>
      <c r="I44" s="14" t="n">
        <f>I43</f>
        <v>-0.1</v>
      </c>
      <c r="J44" s="14" t="n">
        <f>J43</f>
        <v>0.15</v>
      </c>
      <c r="K44" s="45" t="str">
        <f t="shared" si="1"/>
        <v>閾値の範囲内です。</v>
      </c>
      <c r="M44" s="1" t="str">
        <f t="shared" si="2"/>
        <v/>
      </c>
      <c r="N44" s="1" t="n">
        <f t="shared" si="4"/>
        <v>1.0</v>
      </c>
    </row>
    <row r="45" spans="2:14" ht="15.75" customHeight="1">
      <c r="B45" s="6">
        <v>3</v>
      </c>
      <c r="C45" s="7" t="s">
        <v>30</v>
      </c>
      <c r="D45" s="110" t="s">
        <v>417</v>
      </c>
      <c r="E45" s="46" t="n">
        <v>0.0</v>
      </c>
      <c r="F45" s="110" t="s">
        <v>416</v>
      </c>
      <c r="G45" s="46" t="n">
        <v>0.0</v>
      </c>
      <c r="H45" s="48" t="str">
        <f t="shared" si="0"/>
        <v>－</v>
      </c>
      <c r="I45" s="13" t="n">
        <f>I46</f>
        <v>-0.2</v>
      </c>
      <c r="J45" s="13" t="n">
        <f>J46</f>
        <v>0.25</v>
      </c>
      <c r="K45" s="44" t="str">
        <f t="shared" si="1"/>
        <v/>
      </c>
      <c r="M45" s="1" t="str">
        <f t="shared" si="2"/>
        <v/>
      </c>
      <c r="N45" s="1" t="n">
        <f t="shared" si="4"/>
        <v>1.0</v>
      </c>
    </row>
    <row r="46" spans="2:14" ht="15.75" customHeight="1">
      <c r="B46" s="8"/>
      <c r="C46" s="58" t="str">
        <f>C45</f>
        <v>地域密着型特定施設入居者生活介護</v>
      </c>
      <c r="D46" s="111" t="s">
        <v>416</v>
      </c>
      <c r="E46" s="40" t="n">
        <f>IF(G45="","",G45)</f>
        <v>0.0</v>
      </c>
      <c r="F46" s="111" t="s">
        <v>415</v>
      </c>
      <c r="G46" s="40" t="n">
        <v>0.0</v>
      </c>
      <c r="H46" s="49" t="str">
        <f t="shared" si="0"/>
        <v>－</v>
      </c>
      <c r="I46" s="12" t="n">
        <f>data!I7</f>
        <v>-0.2</v>
      </c>
      <c r="J46" s="12" t="n">
        <f>data!J7</f>
        <v>0.25</v>
      </c>
      <c r="K46" s="22" t="str">
        <f t="shared" si="1"/>
        <v/>
      </c>
      <c r="M46" s="1" t="str">
        <f t="shared" si="2"/>
        <v/>
      </c>
      <c r="N46" s="1" t="n">
        <f t="shared" si="4"/>
        <v>1.0</v>
      </c>
    </row>
    <row r="47" spans="2:14" ht="15.75" customHeight="1">
      <c r="B47" s="10"/>
      <c r="C47" s="59" t="str">
        <f>C46</f>
        <v>地域密着型特定施設入居者生活介護</v>
      </c>
      <c r="D47" s="112" t="s">
        <v>415</v>
      </c>
      <c r="E47" s="47" t="n">
        <f>IF(G46="","",G46)</f>
        <v>0.0</v>
      </c>
      <c r="F47" s="112" t="s">
        <v>414</v>
      </c>
      <c r="G47" s="47" t="n">
        <v>0.0</v>
      </c>
      <c r="H47" s="51" t="str">
        <f t="shared" si="0"/>
        <v>－</v>
      </c>
      <c r="I47" s="14" t="n">
        <f>I46</f>
        <v>-0.2</v>
      </c>
      <c r="J47" s="14" t="n">
        <f>J46</f>
        <v>0.25</v>
      </c>
      <c r="K47" s="45" t="str">
        <f t="shared" si="1"/>
        <v/>
      </c>
      <c r="M47" s="1" t="str">
        <f t="shared" si="2"/>
        <v/>
      </c>
      <c r="N47" s="1" t="n">
        <f t="shared" si="4"/>
        <v>1.0</v>
      </c>
    </row>
    <row r="48" spans="2:14" ht="15.75" customHeight="1">
      <c r="B48" s="6">
        <v>4</v>
      </c>
      <c r="C48" s="7" t="s">
        <v>37</v>
      </c>
      <c r="D48" s="110" t="s">
        <v>417</v>
      </c>
      <c r="E48" s="46" t="n">
        <v>40.0</v>
      </c>
      <c r="F48" s="110" t="s">
        <v>416</v>
      </c>
      <c r="G48" s="46" t="n">
        <v>40.0</v>
      </c>
      <c r="H48" s="48" t="n">
        <f>IF(ISERROR(ROUND((G48-E48)/E48*1,3))=TRUE,"－",ROUND((G48-E48)/E48*1,3))</f>
        <v>0.0</v>
      </c>
      <c r="I48" s="13" t="n">
        <f>I49</f>
        <v>-0.05</v>
      </c>
      <c r="J48" s="13" t="n">
        <f>J49</f>
        <v>0.15</v>
      </c>
      <c r="K48" s="44" t="str">
        <f t="shared" si="1"/>
        <v>閾値の範囲内です。</v>
      </c>
      <c r="M48" s="1" t="str">
        <f t="shared" si="2"/>
        <v/>
      </c>
      <c r="N48" s="1" t="n">
        <f t="shared" si="4"/>
        <v>1.0</v>
      </c>
    </row>
    <row r="49" spans="2:14" ht="15.75" customHeight="1">
      <c r="B49" s="8"/>
      <c r="C49" s="58" t="str">
        <f>C48</f>
        <v>地域密着型介護老人福祉施設入所者生活介護</v>
      </c>
      <c r="D49" s="111" t="s">
        <v>416</v>
      </c>
      <c r="E49" s="40" t="n">
        <f>IF(G48="","",G48)</f>
        <v>40.0</v>
      </c>
      <c r="F49" s="111" t="s">
        <v>415</v>
      </c>
      <c r="G49" s="40" t="n">
        <v>40.0</v>
      </c>
      <c r="H49" s="49" t="n">
        <f>IF(ISERROR(ROUND((G49-E49)/E49*1,3))=TRUE,"－",ROUND((G49-E49)/E49*1,3))</f>
        <v>0.0</v>
      </c>
      <c r="I49" s="12" t="n">
        <f>data!I8</f>
        <v>-0.05</v>
      </c>
      <c r="J49" s="12" t="n">
        <f>data!J8</f>
        <v>0.15</v>
      </c>
      <c r="K49" s="22" t="str">
        <f t="shared" si="1"/>
        <v>閾値の範囲内です。</v>
      </c>
      <c r="M49" s="1" t="str">
        <f t="shared" si="2"/>
        <v/>
      </c>
      <c r="N49" s="1" t="n">
        <f t="shared" si="4"/>
        <v>1.0</v>
      </c>
    </row>
    <row r="50" spans="2:14" ht="15.75" customHeight="1">
      <c r="B50" s="10"/>
      <c r="C50" s="59" t="str">
        <f>C49</f>
        <v>地域密着型介護老人福祉施設入所者生活介護</v>
      </c>
      <c r="D50" s="112" t="s">
        <v>415</v>
      </c>
      <c r="E50" s="47" t="n">
        <f>IF(G49="","",G49)</f>
        <v>40.0</v>
      </c>
      <c r="F50" s="112" t="s">
        <v>414</v>
      </c>
      <c r="G50" s="47" t="n">
        <v>40.0</v>
      </c>
      <c r="H50" s="51" t="n">
        <f>IF(ISERROR(ROUND((G50-E50)/E50*1,3))=TRUE,"－",ROUND((G50-E50)/E50*1,3))</f>
        <v>0.0</v>
      </c>
      <c r="I50" s="14" t="n">
        <f>I49</f>
        <v>-0.05</v>
      </c>
      <c r="J50" s="14" t="n">
        <f>J49</f>
        <v>0.15</v>
      </c>
      <c r="K50" s="45" t="str">
        <f t="shared" si="1"/>
        <v>閾値の範囲内です。</v>
      </c>
      <c r="M50" s="1" t="str">
        <f t="shared" si="2"/>
        <v/>
      </c>
      <c r="N50" s="1" t="n">
        <f t="shared" si="4"/>
        <v>1.0</v>
      </c>
    </row>
    <row r="51" spans="2:14" s="2" customFormat="1" ht="14.25" customHeight="1">
      <c r="B51" s="74" t="s">
        <v>73</v>
      </c>
      <c r="C51" s="71"/>
      <c r="D51" s="71"/>
      <c r="E51" s="71"/>
      <c r="F51" s="71"/>
      <c r="G51" s="71"/>
      <c r="H51" s="71"/>
      <c r="I51" s="72"/>
      <c r="J51" s="72"/>
      <c r="K51" s="73"/>
      <c r="N51" s="1" t="str">
        <f t="shared" si="4"/>
        <v/>
      </c>
    </row>
    <row r="52" spans="2:14" ht="15.75" customHeight="1">
      <c r="B52" s="6">
        <v>5</v>
      </c>
      <c r="C52" s="7" t="s">
        <v>114</v>
      </c>
      <c r="D52" s="110" t="s">
        <v>417</v>
      </c>
      <c r="E52" s="46" t="n">
        <v>59.0</v>
      </c>
      <c r="F52" s="110" t="s">
        <v>416</v>
      </c>
      <c r="G52" s="46" t="n">
        <v>59.0</v>
      </c>
      <c r="H52" s="48" t="n">
        <f t="shared" ref="H52:H60" si="5">IF(ISERROR(ROUND((G52-E52)/E52*1,3))=TRUE,"－",ROUND((G52-E52)/E52*1,3))</f>
        <v>0.0</v>
      </c>
      <c r="I52" s="13" t="n">
        <f>I53</f>
        <v>-0.1</v>
      </c>
      <c r="J52" s="13" t="n">
        <f>J53</f>
        <v>0.15</v>
      </c>
      <c r="K52" s="44" t="str">
        <f t="shared" ref="K52:K60" si="6"><![CDATA[IF(H52="－","",IF(AND(I52<>"－",H52<I52),"下限値を"&ROUND((I52-H52)*100,1)&"％下回っています。",IF(AND(J52<>"－",H52>J52),"上限値を"&ROUND((H52-J52)*100,1)&"％上回っています。","閾値の範囲内です。")))]]></f>
        <v>閾値の範囲内です。</v>
      </c>
      <c r="M52" s="1" t="str">
        <f t="shared" ref="M52:M57" si="7">IF(OR(H52="－",AND(I52="－",J52="－")),"",IF(AND(K52&lt;&gt;"チェック対象外",OR(AND(I52&lt;&gt;"－",H52&lt;I52),AND(J52&lt;&gt;"－",H52&gt;J52))),1,""))</f>
        <v/>
      </c>
      <c r="N52" s="1" t="n">
        <f t="shared" si="4"/>
        <v>1.0</v>
      </c>
    </row>
    <row r="53" spans="2:14" ht="15.75" customHeight="1">
      <c r="B53" s="8"/>
      <c r="C53" s="58"/>
      <c r="D53" s="111" t="s">
        <v>416</v>
      </c>
      <c r="E53" s="40" t="n">
        <f>IF(G52="","",G52)</f>
        <v>59.0</v>
      </c>
      <c r="F53" s="111" t="s">
        <v>415</v>
      </c>
      <c r="G53" s="40" t="n">
        <v>59.0</v>
      </c>
      <c r="H53" s="49" t="n">
        <f t="shared" si="5"/>
        <v>0.0</v>
      </c>
      <c r="I53" s="12" t="n">
        <f>data!I9</f>
        <v>-0.1</v>
      </c>
      <c r="J53" s="12" t="n">
        <f>data!J9</f>
        <v>0.15</v>
      </c>
      <c r="K53" s="22" t="str">
        <f t="shared" si="6"/>
        <v>閾値の範囲内です。</v>
      </c>
      <c r="M53" s="1" t="str">
        <f t="shared" si="7"/>
        <v/>
      </c>
      <c r="N53" s="1" t="n">
        <f t="shared" si="4"/>
        <v>1.0</v>
      </c>
    </row>
    <row r="54" spans="2:14" ht="15.75" customHeight="1">
      <c r="B54" s="10"/>
      <c r="C54" s="59" t="n">
        <f>C53</f>
        <v>0.0</v>
      </c>
      <c r="D54" s="112" t="s">
        <v>415</v>
      </c>
      <c r="E54" s="47" t="n">
        <f>IF(G53="","",G53)</f>
        <v>59.0</v>
      </c>
      <c r="F54" s="112" t="s">
        <v>414</v>
      </c>
      <c r="G54" s="47" t="n">
        <v>59.0</v>
      </c>
      <c r="H54" s="51" t="n">
        <f t="shared" si="5"/>
        <v>0.0</v>
      </c>
      <c r="I54" s="14" t="n">
        <f>I53</f>
        <v>-0.1</v>
      </c>
      <c r="J54" s="14" t="n">
        <f>J53</f>
        <v>0.15</v>
      </c>
      <c r="K54" s="45" t="str">
        <f t="shared" si="6"/>
        <v>閾値の範囲内です。</v>
      </c>
      <c r="M54" s="1" t="str">
        <f t="shared" si="7"/>
        <v/>
      </c>
      <c r="N54" s="1" t="n">
        <f t="shared" si="4"/>
        <v>1.0</v>
      </c>
    </row>
    <row r="55" spans="2:14" ht="15.75" customHeight="1">
      <c r="B55" s="6">
        <v>6</v>
      </c>
      <c r="C55" s="7" t="s">
        <v>103</v>
      </c>
      <c r="D55" s="110" t="s">
        <v>417</v>
      </c>
      <c r="E55" s="46" t="n">
        <v>26.0</v>
      </c>
      <c r="F55" s="110" t="s">
        <v>416</v>
      </c>
      <c r="G55" s="46" t="n">
        <v>26.0</v>
      </c>
      <c r="H55" s="48" t="n">
        <f t="shared" si="5"/>
        <v>0.0</v>
      </c>
      <c r="I55" s="13" t="n">
        <f>I56</f>
        <v>-0.2</v>
      </c>
      <c r="J55" s="13" t="n">
        <f>J56</f>
        <v>0.25</v>
      </c>
      <c r="K55" s="44" t="str">
        <f t="shared" si="6"/>
        <v>閾値の範囲内です。</v>
      </c>
      <c r="M55" s="1" t="str">
        <f t="shared" si="7"/>
        <v/>
      </c>
      <c r="N55" s="1" t="n">
        <f t="shared" si="4"/>
        <v>1.0</v>
      </c>
    </row>
    <row r="56" spans="2:14" ht="15.75" customHeight="1">
      <c r="B56" s="8"/>
      <c r="C56" s="58"/>
      <c r="D56" s="111" t="s">
        <v>416</v>
      </c>
      <c r="E56" s="40" t="n">
        <f>IF(G55="","",G55)</f>
        <v>26.0</v>
      </c>
      <c r="F56" s="111" t="s">
        <v>415</v>
      </c>
      <c r="G56" s="40" t="n">
        <v>26.0</v>
      </c>
      <c r="H56" s="49" t="n">
        <f t="shared" si="5"/>
        <v>0.0</v>
      </c>
      <c r="I56" s="12" t="n">
        <f>data!I10</f>
        <v>-0.2</v>
      </c>
      <c r="J56" s="12" t="n">
        <f>data!J10</f>
        <v>0.25</v>
      </c>
      <c r="K56" s="22" t="str">
        <f t="shared" si="6"/>
        <v>閾値の範囲内です。</v>
      </c>
      <c r="M56" s="1" t="str">
        <f t="shared" si="7"/>
        <v/>
      </c>
      <c r="N56" s="1" t="n">
        <f t="shared" si="4"/>
        <v>1.0</v>
      </c>
    </row>
    <row r="57" spans="2:14" ht="15.75" customHeight="1">
      <c r="B57" s="10"/>
      <c r="C57" s="59" t="n">
        <f>C56</f>
        <v>0.0</v>
      </c>
      <c r="D57" s="112" t="s">
        <v>415</v>
      </c>
      <c r="E57" s="47" t="n">
        <f>IF(G56="","",G56)</f>
        <v>26.0</v>
      </c>
      <c r="F57" s="112" t="s">
        <v>414</v>
      </c>
      <c r="G57" s="47" t="n">
        <v>26.0</v>
      </c>
      <c r="H57" s="51" t="n">
        <f t="shared" si="5"/>
        <v>0.0</v>
      </c>
      <c r="I57" s="14" t="n">
        <f>I56</f>
        <v>-0.2</v>
      </c>
      <c r="J57" s="14" t="n">
        <f>J56</f>
        <v>0.25</v>
      </c>
      <c r="K57" s="45" t="str">
        <f t="shared" si="6"/>
        <v>閾値の範囲内です。</v>
      </c>
      <c r="M57" s="1" t="str">
        <f t="shared" si="7"/>
        <v/>
      </c>
      <c r="N57" s="1" t="n">
        <f t="shared" si="4"/>
        <v>1.0</v>
      </c>
    </row>
    <row r="58" spans="2:14" ht="15.75" customHeight="1">
      <c r="B58" s="6">
        <v>7</v>
      </c>
      <c r="C58" s="7" t="s">
        <v>118</v>
      </c>
      <c r="D58" s="110" t="s">
        <v>417</v>
      </c>
      <c r="E58" s="46" t="n">
        <v>0.0</v>
      </c>
      <c r="F58" s="110" t="s">
        <v>416</v>
      </c>
      <c r="G58" s="46" t="n">
        <v>0.0</v>
      </c>
      <c r="H58" s="106" t="str">
        <f t="shared" si="5"/>
        <v>－</v>
      </c>
      <c r="I58" s="13" t="n">
        <f>I59</f>
        <v>-0.65</v>
      </c>
      <c r="J58" s="13" t="n">
        <f>J59</f>
        <v>0.8</v>
      </c>
      <c r="K58" s="44" t="str">
        <f t="shared" si="6"/>
        <v/>
      </c>
      <c r="N58" s="1" t="n">
        <f t="shared" si="4"/>
        <v>1.0</v>
      </c>
    </row>
    <row r="59" spans="2:14" ht="15.75" customHeight="1">
      <c r="B59" s="8"/>
      <c r="C59" s="9"/>
      <c r="D59" s="111" t="s">
        <v>416</v>
      </c>
      <c r="E59" s="40" t="n">
        <f>IF(G58="","",G58)</f>
        <v>0.0</v>
      </c>
      <c r="F59" s="111" t="s">
        <v>415</v>
      </c>
      <c r="G59" s="40" t="n">
        <v>0.0</v>
      </c>
      <c r="H59" s="51" t="str">
        <f t="shared" si="5"/>
        <v>－</v>
      </c>
      <c r="I59" s="137" t="n">
        <f>data!I11</f>
        <v>-0.65</v>
      </c>
      <c r="J59" s="137" t="n">
        <f>data!J11</f>
        <v>0.8</v>
      </c>
      <c r="K59" s="22" t="str">
        <f t="shared" si="6"/>
        <v/>
      </c>
      <c r="N59" s="1" t="n">
        <f t="shared" si="4"/>
        <v>1.0</v>
      </c>
    </row>
    <row r="60" spans="2:14" ht="15.75" customHeight="1">
      <c r="B60" s="10"/>
      <c r="C60" s="59"/>
      <c r="D60" s="112" t="s">
        <v>415</v>
      </c>
      <c r="E60" s="47" t="n">
        <f>IF(G59="","",G59)</f>
        <v>0.0</v>
      </c>
      <c r="F60" s="112" t="s">
        <v>414</v>
      </c>
      <c r="G60" s="47" t="n">
        <v>0.0</v>
      </c>
      <c r="H60" s="103" t="str">
        <f t="shared" si="5"/>
        <v>－</v>
      </c>
      <c r="I60" s="14" t="n">
        <f>I59</f>
        <v>-0.65</v>
      </c>
      <c r="J60" s="14" t="n">
        <f>J59</f>
        <v>0.8</v>
      </c>
      <c r="K60" s="45" t="str">
        <f t="shared" si="6"/>
        <v/>
      </c>
      <c r="N60" s="1" t="n">
        <f t="shared" si="4"/>
        <v>1.0</v>
      </c>
    </row>
  </sheetData>
  <mergeCells count="6">
    <mergeCell ref="K35:K36"/>
    <mergeCell ref="B35:B36"/>
    <mergeCell ref="C35:C36"/>
    <mergeCell ref="D35:G36"/>
    <mergeCell ref="H35:H36"/>
    <mergeCell ref="I35:J35"/>
  </mergeCells>
  <phoneticPr fontId="2"/>
  <conditionalFormatting sqref="K38:K40 K42:K50">
    <cfRule type="expression" dxfId="23" priority="8">
      <formula>I38&gt;H38</formula>
    </cfRule>
    <cfRule type="expression" dxfId="22" priority="9">
      <formula>H38&gt;J38</formula>
    </cfRule>
  </conditionalFormatting>
  <conditionalFormatting sqref="K52:K60">
    <cfRule type="expression" dxfId="21" priority="4">
      <formula>AND(I52&lt;&gt;"－",K52&lt;&gt;"チェック対象外",I52&gt;H52)</formula>
    </cfRule>
    <cfRule type="expression" dxfId="20" priority="5">
      <formula>AND(J52&lt;&gt;"－",K52&lt;&gt;"チェック対象外",H52&gt;J52)</formula>
    </cfRule>
  </conditionalFormatting>
  <dataValidations count="1">
    <dataValidation imeMode="disabled" allowBlank="1" showInputMessage="1" showErrorMessage="1" sqref="I48:J48 I42:J42 I45:J45 I38:J38 I52:J52 I55:J55" xr:uid="{00000000-0002-0000-02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108"/>
  <sheetViews>
    <sheetView view="pageBreakPreview" zoomScaleNormal="100" zoomScaleSheetLayoutView="100" workbookViewId="0">
      <selection activeCell="Q27" sqref="Q27"/>
    </sheetView>
  </sheetViews>
  <sheetFormatPr defaultColWidth="9" defaultRowHeight="12"/>
  <cols>
    <col min="1" max="1" customWidth="true" style="1" width="3.125" collapsed="false"/>
    <col min="2" max="2" customWidth="true" style="1" width="4.25" collapsed="false"/>
    <col min="3" max="3" bestFit="true" customWidth="true" style="1" width="33.875" collapsed="false"/>
    <col min="4" max="4" customWidth="true" style="1" width="8.75" collapsed="false"/>
    <col min="5" max="5" bestFit="true" customWidth="true" style="1" width="7.875" collapsed="false"/>
    <col min="6" max="6" customWidth="true" style="1" width="8.75" collapsed="false"/>
    <col min="7" max="7" bestFit="true" customWidth="true" style="1" width="7.875" collapsed="false"/>
    <col min="8" max="8" customWidth="true" style="1" width="11.25" collapsed="false"/>
    <col min="9" max="10" customWidth="true" style="4" width="8.5" collapsed="false"/>
    <col min="11" max="11" customWidth="true" style="1" width="23.625" collapsed="false"/>
    <col min="12" max="12" style="1" width="9.0" collapsed="false"/>
    <col min="13" max="13" customWidth="true" hidden="true" style="1" width="9.0" collapsed="false"/>
    <col min="14" max="14" customWidth="true" hidden="true" style="1" width="0.0" collapsed="false"/>
    <col min="15" max="16384" style="1" width="9.0" collapsed="false"/>
  </cols>
  <sheetData>
    <row r="1" spans="1:11" ht="19.5" customHeight="1">
      <c r="A1" s="63" t="s">
        <v>60</v>
      </c>
      <c r="I1" s="1"/>
      <c r="K1" s="4"/>
    </row>
    <row r="2" spans="1:11" ht="13.5" customHeight="1">
      <c r="A2" s="63"/>
      <c r="I2" s="1"/>
      <c r="K2" s="4"/>
    </row>
    <row r="3" spans="1:11" ht="16.5" customHeight="1">
      <c r="B3" s="63" t="s">
        <v>74</v>
      </c>
      <c r="I3" s="1"/>
      <c r="K3" s="4"/>
    </row>
    <row r="4" spans="1:11" ht="6.75" customHeight="1"/>
    <row r="5" spans="1:11" ht="17.25" customHeight="1">
      <c r="C5" s="1" t="s">
        <v>77</v>
      </c>
      <c r="I5" s="1"/>
      <c r="K5" s="4"/>
    </row>
    <row r="6" spans="1:11" ht="17.25" customHeight="1">
      <c r="C6" s="1" t="s">
        <v>70</v>
      </c>
      <c r="I6" s="1"/>
      <c r="K6" s="4"/>
    </row>
    <row r="7" spans="1:11" ht="13.5" customHeight="1">
      <c r="I7" s="1"/>
      <c r="K7" s="4"/>
    </row>
    <row r="8" spans="1:11" ht="13.5" customHeight="1">
      <c r="I8" s="1"/>
      <c r="K8" s="4"/>
    </row>
    <row r="9" spans="1:11" ht="13.5" customHeight="1">
      <c r="I9" s="1"/>
      <c r="K9" s="4"/>
    </row>
    <row r="10" spans="1:11" ht="13.5" customHeight="1">
      <c r="I10" s="1"/>
      <c r="K10" s="4"/>
    </row>
    <row r="11" spans="1:11" ht="13.5" customHeight="1">
      <c r="I11" s="1"/>
      <c r="K11" s="4"/>
    </row>
    <row r="12" spans="1:11" ht="13.5" customHeight="1">
      <c r="I12" s="1"/>
      <c r="K12" s="4"/>
    </row>
    <row r="13" spans="1:11" ht="13.5" customHeight="1">
      <c r="I13" s="1"/>
      <c r="K13" s="4"/>
    </row>
    <row r="14" spans="1:11" ht="13.5" customHeight="1">
      <c r="I14" s="1"/>
      <c r="K14" s="4"/>
    </row>
    <row r="15" spans="1:11" ht="13.5" customHeight="1">
      <c r="I15" s="1"/>
      <c r="K15" s="4"/>
    </row>
    <row r="16" spans="1:11" ht="13.5" customHeight="1">
      <c r="I16" s="1"/>
      <c r="K16" s="4"/>
    </row>
    <row r="17" spans="9:11" ht="13.5" customHeight="1">
      <c r="I17" s="1"/>
      <c r="K17" s="4"/>
    </row>
    <row r="18" spans="9:11" ht="13.5" customHeight="1">
      <c r="I18" s="1"/>
      <c r="K18" s="4"/>
    </row>
    <row r="19" spans="9:11" ht="13.5" customHeight="1">
      <c r="I19" s="1"/>
      <c r="K19" s="4"/>
    </row>
    <row r="20" spans="9:11" ht="13.5" customHeight="1">
      <c r="I20" s="1"/>
      <c r="K20" s="4"/>
    </row>
    <row r="21" spans="9:11" ht="13.5" customHeight="1">
      <c r="I21" s="1"/>
      <c r="K21" s="4"/>
    </row>
    <row r="22" spans="9:11" ht="13.5" customHeight="1">
      <c r="I22" s="1"/>
      <c r="K22" s="4"/>
    </row>
    <row r="23" spans="9:11" ht="13.5" customHeight="1">
      <c r="I23" s="1"/>
      <c r="K23" s="4"/>
    </row>
    <row r="24" spans="9:11" ht="13.5" customHeight="1">
      <c r="I24" s="1"/>
      <c r="K24" s="4"/>
    </row>
    <row r="25" spans="9:11" ht="13.5" customHeight="1">
      <c r="I25" s="1"/>
      <c r="K25" s="4"/>
    </row>
    <row r="26" spans="9:11" ht="13.5" customHeight="1">
      <c r="I26" s="1"/>
      <c r="K26" s="4"/>
    </row>
    <row r="27" spans="9:11" ht="13.5" customHeight="1">
      <c r="I27" s="1"/>
      <c r="K27" s="4"/>
    </row>
    <row r="28" spans="9:11" ht="13.5" customHeight="1">
      <c r="I28" s="1"/>
      <c r="K28" s="4"/>
    </row>
    <row r="29" spans="9:11" ht="13.5" customHeight="1">
      <c r="I29" s="1"/>
      <c r="K29" s="4"/>
    </row>
    <row r="30" spans="9:11" ht="13.5" customHeight="1">
      <c r="I30" s="1"/>
      <c r="K30" s="4"/>
    </row>
    <row r="31" spans="9:11" ht="13.5" customHeight="1">
      <c r="I31" s="1"/>
      <c r="K31" s="4"/>
    </row>
    <row r="32" spans="9:11" ht="13.5" customHeight="1">
      <c r="I32" s="1"/>
      <c r="K32" s="4"/>
    </row>
    <row r="33" spans="2:14" ht="13.5" customHeight="1">
      <c r="I33" s="1"/>
      <c r="K33" s="4"/>
    </row>
    <row r="34" spans="2:14" ht="16.5" customHeight="1">
      <c r="B34" s="63" t="s">
        <v>65</v>
      </c>
      <c r="I34" s="1"/>
      <c r="K34" s="4"/>
    </row>
    <row r="35" spans="2:14" ht="14.25" customHeight="1">
      <c r="B35" s="150" t="s">
        <v>0</v>
      </c>
      <c r="C35" s="150" t="s">
        <v>2</v>
      </c>
      <c r="D35" s="153" t="s">
        <v>24</v>
      </c>
      <c r="E35" s="154"/>
      <c r="F35" s="154"/>
      <c r="G35" s="155"/>
      <c r="H35" s="151" t="s">
        <v>23</v>
      </c>
      <c r="I35" s="152" t="s">
        <v>21</v>
      </c>
      <c r="J35" s="152"/>
      <c r="K35" s="149" t="s">
        <v>22</v>
      </c>
    </row>
    <row r="36" spans="2:14" s="2" customFormat="1" ht="14.25" customHeight="1">
      <c r="B36" s="150"/>
      <c r="C36" s="150"/>
      <c r="D36" s="156"/>
      <c r="E36" s="157"/>
      <c r="F36" s="157"/>
      <c r="G36" s="158"/>
      <c r="H36" s="149"/>
      <c r="I36" s="5" t="s">
        <v>4</v>
      </c>
      <c r="J36" s="5" t="s">
        <v>3</v>
      </c>
      <c r="K36" s="149"/>
    </row>
    <row r="37" spans="2:14" s="2" customFormat="1" ht="14.25" customHeight="1">
      <c r="B37" s="74" t="s">
        <v>71</v>
      </c>
      <c r="C37" s="71"/>
      <c r="D37" s="71"/>
      <c r="E37" s="71"/>
      <c r="F37" s="71"/>
      <c r="G37" s="71"/>
      <c r="H37" s="71"/>
      <c r="I37" s="72"/>
      <c r="J37" s="72"/>
      <c r="K37" s="73"/>
    </row>
    <row r="38" spans="2:14" ht="15.75" customHeight="1">
      <c r="B38" s="6">
        <v>1</v>
      </c>
      <c r="C38" s="7" t="s">
        <v>108</v>
      </c>
      <c r="D38" s="110" t="s">
        <v>417</v>
      </c>
      <c r="E38" s="46" t="n">
        <v>67.0</v>
      </c>
      <c r="F38" s="110" t="s">
        <v>416</v>
      </c>
      <c r="G38" s="46" t="n">
        <v>65.0</v>
      </c>
      <c r="H38" s="48" t="n">
        <f t="shared" ref="H38:H43" si="0">IF(ISERROR(ROUND((G38-E38)/E38*1,3))=TRUE,"－",ROUND((G38-E38)/E38*1,3))</f>
        <v>-0.03</v>
      </c>
      <c r="I38" s="13" t="n">
        <f>I39</f>
        <v>-0.15</v>
      </c>
      <c r="J38" s="13" t="n">
        <f>J39</f>
        <v>0.25</v>
      </c>
      <c r="K38" s="44" t="str">
        <f t="shared" ref="K38:K82" si="1">IF(H38="－","",IF(H38&lt;I38,"下限値を"&amp;ROUND((I38-H38)*100,1)&amp;"％下回っています。",IF(H38&gt;J38,"上限値を"&amp;ROUND((H38-J38)*100,1)&amp;"％上回っています。","閾値の範囲内です。")))</f>
        <v>閾値の範囲内です。</v>
      </c>
      <c r="M38" s="1" t="str">
        <f t="shared" ref="M38:M43" si="2">IF(OR(H38="－",AND(I38="－",J38="－")),"",IF(OR(H38&lt;I38,H38&gt;J38),1,""))</f>
        <v/>
      </c>
      <c r="N38" s="1" t="n">
        <f>IF(AND(E38="",G38=""),"",1)</f>
        <v>1.0</v>
      </c>
    </row>
    <row r="39" spans="2:14" ht="15.75" customHeight="1">
      <c r="B39" s="8"/>
      <c r="C39" s="58" t="str">
        <f>C38</f>
        <v>訪問介護</v>
      </c>
      <c r="D39" s="111" t="s">
        <v>416</v>
      </c>
      <c r="E39" s="40" t="n">
        <f>IF(G38="","",G38)</f>
        <v>65.0</v>
      </c>
      <c r="F39" s="111" t="s">
        <v>415</v>
      </c>
      <c r="G39" s="40" t="n">
        <v>64.0</v>
      </c>
      <c r="H39" s="49" t="n">
        <f t="shared" si="0"/>
        <v>-0.015</v>
      </c>
      <c r="I39" s="12" t="n">
        <f>data!I12</f>
        <v>-0.15</v>
      </c>
      <c r="J39" s="12" t="n">
        <f>data!J12</f>
        <v>0.25</v>
      </c>
      <c r="K39" s="22" t="str">
        <f t="shared" si="1"/>
        <v>閾値の範囲内です。</v>
      </c>
      <c r="M39" s="1" t="str">
        <f t="shared" si="2"/>
        <v/>
      </c>
      <c r="N39" s="1" t="n">
        <f t="shared" ref="N39:N82" si="3">IF(AND(E39="",G39=""),"",1)</f>
        <v>1.0</v>
      </c>
    </row>
    <row r="40" spans="2:14" ht="15.75" customHeight="1">
      <c r="B40" s="10"/>
      <c r="C40" s="59" t="str">
        <f>C39</f>
        <v>訪問介護</v>
      </c>
      <c r="D40" s="112" t="s">
        <v>415</v>
      </c>
      <c r="E40" s="47" t="n">
        <f>IF(G39="","",G39)</f>
        <v>64.0</v>
      </c>
      <c r="F40" s="112" t="s">
        <v>414</v>
      </c>
      <c r="G40" s="47" t="n">
        <v>63.0</v>
      </c>
      <c r="H40" s="51" t="n">
        <f t="shared" si="0"/>
        <v>-0.016</v>
      </c>
      <c r="I40" s="14" t="n">
        <f>I39</f>
        <v>-0.15</v>
      </c>
      <c r="J40" s="14" t="n">
        <f>J39</f>
        <v>0.25</v>
      </c>
      <c r="K40" s="45" t="str">
        <f t="shared" si="1"/>
        <v>閾値の範囲内です。</v>
      </c>
      <c r="M40" s="1" t="str">
        <f t="shared" si="2"/>
        <v/>
      </c>
      <c r="N40" s="1" t="n">
        <f t="shared" si="3"/>
        <v>1.0</v>
      </c>
    </row>
    <row r="41" spans="2:14" ht="15.75" customHeight="1">
      <c r="B41" s="6" t="n">
        <f>B38+1</f>
        <v>2.0</v>
      </c>
      <c r="C41" s="7" t="s">
        <v>5</v>
      </c>
      <c r="D41" s="110" t="s">
        <v>417</v>
      </c>
      <c r="E41" s="46" t="n">
        <v>5.0</v>
      </c>
      <c r="F41" s="110" t="s">
        <v>416</v>
      </c>
      <c r="G41" s="46" t="n">
        <v>5.0</v>
      </c>
      <c r="H41" s="48" t="n">
        <f t="shared" si="0"/>
        <v>0.0</v>
      </c>
      <c r="I41" s="13" t="n">
        <f>I42</f>
        <v>-0.6</v>
      </c>
      <c r="J41" s="13" t="n">
        <f>J42</f>
        <v>0.6</v>
      </c>
      <c r="K41" s="44" t="str">
        <f t="shared" si="1"/>
        <v>閾値の範囲内です。</v>
      </c>
      <c r="M41" s="1" t="str">
        <f t="shared" si="2"/>
        <v/>
      </c>
      <c r="N41" s="1" t="n">
        <f t="shared" si="3"/>
        <v>1.0</v>
      </c>
    </row>
    <row r="42" spans="2:14" ht="15.75" customHeight="1">
      <c r="B42" s="8"/>
      <c r="C42" s="58" t="str">
        <f>C41</f>
        <v>訪問入浴介護</v>
      </c>
      <c r="D42" s="111" t="s">
        <v>416</v>
      </c>
      <c r="E42" s="40" t="n">
        <f t="shared" ref="E42:E43" si="4">IF(G41="","",G41)</f>
        <v>5.0</v>
      </c>
      <c r="F42" s="111" t="s">
        <v>415</v>
      </c>
      <c r="G42" s="40" t="n">
        <v>5.0</v>
      </c>
      <c r="H42" s="49" t="n">
        <f>IF(ISERROR(ROUND((G42-E42)/E42*1,3))=TRUE,"－",ROUND((G42-E42)/E42*1,3))</f>
        <v>0.0</v>
      </c>
      <c r="I42" s="12" t="n">
        <f>data!I13</f>
        <v>-0.6</v>
      </c>
      <c r="J42" s="12" t="n">
        <f>data!J13</f>
        <v>0.6</v>
      </c>
      <c r="K42" s="22" t="str">
        <f t="shared" si="1"/>
        <v>閾値の範囲内です。</v>
      </c>
      <c r="M42" s="1" t="str">
        <f t="shared" si="2"/>
        <v/>
      </c>
      <c r="N42" s="1" t="n">
        <f t="shared" si="3"/>
        <v>1.0</v>
      </c>
    </row>
    <row r="43" spans="2:14" ht="15.75" customHeight="1">
      <c r="B43" s="10"/>
      <c r="C43" s="59" t="str">
        <f>C42</f>
        <v>訪問入浴介護</v>
      </c>
      <c r="D43" s="112" t="s">
        <v>415</v>
      </c>
      <c r="E43" s="47" t="n">
        <f t="shared" si="4"/>
        <v>5.0</v>
      </c>
      <c r="F43" s="112" t="s">
        <v>414</v>
      </c>
      <c r="G43" s="47" t="n">
        <v>5.0</v>
      </c>
      <c r="H43" s="51" t="n">
        <f t="shared" si="0"/>
        <v>0.0</v>
      </c>
      <c r="I43" s="14" t="n">
        <f>I42</f>
        <v>-0.6</v>
      </c>
      <c r="J43" s="14" t="n">
        <f>J42</f>
        <v>0.6</v>
      </c>
      <c r="K43" s="45" t="str">
        <f t="shared" si="1"/>
        <v>閾値の範囲内です。</v>
      </c>
      <c r="M43" s="1" t="str">
        <f t="shared" si="2"/>
        <v/>
      </c>
      <c r="N43" s="1" t="n">
        <f t="shared" si="3"/>
        <v>1.0</v>
      </c>
    </row>
    <row r="44" spans="2:14" ht="15.75" customHeight="1">
      <c r="B44" s="6" t="n">
        <f>B41+1</f>
        <v>3.0</v>
      </c>
      <c r="C44" s="7" t="s">
        <v>6</v>
      </c>
      <c r="D44" s="110" t="s">
        <v>417</v>
      </c>
      <c r="E44" s="46" t="n">
        <v>52.0</v>
      </c>
      <c r="F44" s="110" t="s">
        <v>416</v>
      </c>
      <c r="G44" s="46" t="n">
        <v>56.0</v>
      </c>
      <c r="H44" s="48" t="n">
        <f t="shared" ref="H44:H79" si="5">IF(ISERROR(ROUND((G44-E44)/E44*1,3))=TRUE,"－",ROUND((G44-E44)/E44*1,3))</f>
        <v>0.077</v>
      </c>
      <c r="I44" s="13" t="n">
        <f>I45</f>
        <v>-0.15</v>
      </c>
      <c r="J44" s="13" t="n">
        <f>J45</f>
        <v>0.35</v>
      </c>
      <c r="K44" s="44" t="str">
        <f t="shared" si="1"/>
        <v>閾値の範囲内です。</v>
      </c>
      <c r="M44" s="1" t="str">
        <f t="shared" ref="M44:M87" si="6">IF(OR(H44="－",AND(I44="－",J44="－")),"",IF(OR(H44&lt;I44,H44&gt;J44),1,""))</f>
        <v/>
      </c>
      <c r="N44" s="1" t="n">
        <f t="shared" si="3"/>
        <v>1.0</v>
      </c>
    </row>
    <row r="45" spans="2:14" ht="15.75" customHeight="1">
      <c r="B45" s="8"/>
      <c r="C45" s="58" t="str">
        <f>C44</f>
        <v>訪問看護</v>
      </c>
      <c r="D45" s="111" t="s">
        <v>416</v>
      </c>
      <c r="E45" s="40" t="n">
        <f t="shared" ref="E45:E46" si="7">IF(G44="","",G44)</f>
        <v>56.0</v>
      </c>
      <c r="F45" s="111" t="s">
        <v>415</v>
      </c>
      <c r="G45" s="40" t="n">
        <v>53.0</v>
      </c>
      <c r="H45" s="49" t="n">
        <f t="shared" si="5"/>
        <v>-0.054</v>
      </c>
      <c r="I45" s="12" t="n">
        <f>data!I14</f>
        <v>-0.15</v>
      </c>
      <c r="J45" s="12" t="n">
        <f>data!J14</f>
        <v>0.35</v>
      </c>
      <c r="K45" s="22" t="str">
        <f t="shared" si="1"/>
        <v>閾値の範囲内です。</v>
      </c>
      <c r="M45" s="1" t="str">
        <f t="shared" si="6"/>
        <v/>
      </c>
      <c r="N45" s="1" t="n">
        <f t="shared" si="3"/>
        <v>1.0</v>
      </c>
    </row>
    <row r="46" spans="2:14" ht="15.75" customHeight="1">
      <c r="B46" s="10"/>
      <c r="C46" s="59" t="str">
        <f>C45</f>
        <v>訪問看護</v>
      </c>
      <c r="D46" s="112" t="s">
        <v>415</v>
      </c>
      <c r="E46" s="47" t="n">
        <f t="shared" si="7"/>
        <v>53.0</v>
      </c>
      <c r="F46" s="112" t="s">
        <v>414</v>
      </c>
      <c r="G46" s="47" t="n">
        <v>54.0</v>
      </c>
      <c r="H46" s="51" t="n">
        <f t="shared" si="5"/>
        <v>0.019</v>
      </c>
      <c r="I46" s="14" t="n">
        <f>I45</f>
        <v>-0.15</v>
      </c>
      <c r="J46" s="14" t="n">
        <f>J45</f>
        <v>0.35</v>
      </c>
      <c r="K46" s="45" t="str">
        <f t="shared" si="1"/>
        <v>閾値の範囲内です。</v>
      </c>
      <c r="M46" s="1" t="str">
        <f t="shared" si="6"/>
        <v/>
      </c>
      <c r="N46" s="1" t="n">
        <f t="shared" si="3"/>
        <v>1.0</v>
      </c>
    </row>
    <row r="47" spans="2:14" ht="15.75" customHeight="1">
      <c r="B47" s="6" t="n">
        <f>B44+1</f>
        <v>4.0</v>
      </c>
      <c r="C47" s="7" t="s">
        <v>7</v>
      </c>
      <c r="D47" s="110" t="s">
        <v>417</v>
      </c>
      <c r="E47" s="46" t="n">
        <v>0.0</v>
      </c>
      <c r="F47" s="110" t="s">
        <v>416</v>
      </c>
      <c r="G47" s="46" t="n">
        <v>0.0</v>
      </c>
      <c r="H47" s="48" t="str">
        <f t="shared" si="5"/>
        <v>－</v>
      </c>
      <c r="I47" s="13" t="n">
        <f>I48</f>
        <v>-0.4</v>
      </c>
      <c r="J47" s="13" t="n">
        <f>J48</f>
        <v>0.55</v>
      </c>
      <c r="K47" s="44" t="str">
        <f t="shared" si="1"/>
        <v/>
      </c>
      <c r="M47" s="1" t="str">
        <f t="shared" si="6"/>
        <v/>
      </c>
      <c r="N47" s="1" t="n">
        <f t="shared" si="3"/>
        <v>1.0</v>
      </c>
    </row>
    <row r="48" spans="2:14" ht="15.75" customHeight="1">
      <c r="B48" s="8"/>
      <c r="C48" s="58" t="str">
        <f>C47</f>
        <v>訪問リハビリテーション</v>
      </c>
      <c r="D48" s="111" t="s">
        <v>416</v>
      </c>
      <c r="E48" s="40" t="n">
        <f t="shared" ref="E48:E49" si="8">IF(G47="","",G47)</f>
        <v>0.0</v>
      </c>
      <c r="F48" s="111" t="s">
        <v>415</v>
      </c>
      <c r="G48" s="40" t="n">
        <v>0.0</v>
      </c>
      <c r="H48" s="49" t="str">
        <f t="shared" si="5"/>
        <v>－</v>
      </c>
      <c r="I48" s="12" t="n">
        <f>data!I15</f>
        <v>-0.4</v>
      </c>
      <c r="J48" s="12" t="n">
        <f>data!J15</f>
        <v>0.55</v>
      </c>
      <c r="K48" s="22" t="str">
        <f t="shared" si="1"/>
        <v/>
      </c>
      <c r="M48" s="1" t="str">
        <f t="shared" si="6"/>
        <v/>
      </c>
      <c r="N48" s="1" t="n">
        <f t="shared" si="3"/>
        <v>1.0</v>
      </c>
    </row>
    <row r="49" spans="2:14" ht="15.75" customHeight="1">
      <c r="B49" s="10"/>
      <c r="C49" s="59" t="str">
        <f>C48</f>
        <v>訪問リハビリテーション</v>
      </c>
      <c r="D49" s="112" t="s">
        <v>415</v>
      </c>
      <c r="E49" s="47" t="n">
        <f t="shared" si="8"/>
        <v>0.0</v>
      </c>
      <c r="F49" s="112" t="s">
        <v>414</v>
      </c>
      <c r="G49" s="47" t="n">
        <v>0.0</v>
      </c>
      <c r="H49" s="51" t="str">
        <f t="shared" si="5"/>
        <v>－</v>
      </c>
      <c r="I49" s="14" t="n">
        <f>I48</f>
        <v>-0.4</v>
      </c>
      <c r="J49" s="14" t="n">
        <f>J48</f>
        <v>0.55</v>
      </c>
      <c r="K49" s="45" t="str">
        <f t="shared" si="1"/>
        <v/>
      </c>
      <c r="M49" s="1" t="str">
        <f t="shared" si="6"/>
        <v/>
      </c>
      <c r="N49" s="1" t="n">
        <f t="shared" si="3"/>
        <v>1.0</v>
      </c>
    </row>
    <row r="50" spans="2:14" ht="15.75" customHeight="1">
      <c r="B50" s="6" t="n">
        <f>B47+1</f>
        <v>5.0</v>
      </c>
      <c r="C50" s="7" t="s">
        <v>32</v>
      </c>
      <c r="D50" s="110" t="s">
        <v>417</v>
      </c>
      <c r="E50" s="46" t="n">
        <v>9.0</v>
      </c>
      <c r="F50" s="110" t="s">
        <v>416</v>
      </c>
      <c r="G50" s="46" t="n">
        <v>9.0</v>
      </c>
      <c r="H50" s="48" t="n">
        <f>IF(ISERROR(ROUND((G50-E50)/E50*1,3))=TRUE,"－",ROUND((G50-E50)/E50*1,3))</f>
        <v>0.0</v>
      </c>
      <c r="I50" s="13" t="n">
        <f>I51</f>
        <v>-0.15</v>
      </c>
      <c r="J50" s="13" t="n">
        <f>J51</f>
        <v>0.35</v>
      </c>
      <c r="K50" s="44" t="str">
        <f t="shared" si="1"/>
        <v>閾値の範囲内です。</v>
      </c>
      <c r="M50" s="1" t="str">
        <f t="shared" si="6"/>
        <v/>
      </c>
      <c r="N50" s="1" t="n">
        <f t="shared" si="3"/>
        <v>1.0</v>
      </c>
    </row>
    <row r="51" spans="2:14" ht="15.75" customHeight="1">
      <c r="B51" s="8"/>
      <c r="C51" s="58" t="str">
        <f>C50</f>
        <v>居宅療養管理指導</v>
      </c>
      <c r="D51" s="111" t="s">
        <v>416</v>
      </c>
      <c r="E51" s="40" t="n">
        <f t="shared" ref="E51:E52" si="9">IF(G50="","",G50)</f>
        <v>9.0</v>
      </c>
      <c r="F51" s="111" t="s">
        <v>415</v>
      </c>
      <c r="G51" s="40" t="n">
        <v>9.0</v>
      </c>
      <c r="H51" s="49" t="n">
        <f>IF(ISERROR(ROUND((G51-E51)/E51*1,3))=TRUE,"－",ROUND((G51-E51)/E51*1,3))</f>
        <v>0.0</v>
      </c>
      <c r="I51" s="12" t="n">
        <f>data!I16</f>
        <v>-0.15</v>
      </c>
      <c r="J51" s="12" t="n">
        <f>data!J16</f>
        <v>0.35</v>
      </c>
      <c r="K51" s="22" t="str">
        <f t="shared" si="1"/>
        <v>閾値の範囲内です。</v>
      </c>
      <c r="M51" s="1" t="str">
        <f t="shared" si="6"/>
        <v/>
      </c>
      <c r="N51" s="1" t="n">
        <f t="shared" si="3"/>
        <v>1.0</v>
      </c>
    </row>
    <row r="52" spans="2:14" ht="15.75" customHeight="1">
      <c r="B52" s="10"/>
      <c r="C52" s="59" t="str">
        <f>C51</f>
        <v>居宅療養管理指導</v>
      </c>
      <c r="D52" s="112" t="s">
        <v>415</v>
      </c>
      <c r="E52" s="47" t="n">
        <f t="shared" si="9"/>
        <v>9.0</v>
      </c>
      <c r="F52" s="112" t="s">
        <v>414</v>
      </c>
      <c r="G52" s="47" t="n">
        <v>9.0</v>
      </c>
      <c r="H52" s="51" t="n">
        <f>IF(ISERROR(ROUND((G52-E52)/E52*1,3))=TRUE,"－",ROUND((G52-E52)/E52*1,3))</f>
        <v>0.0</v>
      </c>
      <c r="I52" s="14" t="n">
        <f>I51</f>
        <v>-0.15</v>
      </c>
      <c r="J52" s="14" t="n">
        <f>J51</f>
        <v>0.35</v>
      </c>
      <c r="K52" s="45" t="str">
        <f t="shared" si="1"/>
        <v>閾値の範囲内です。</v>
      </c>
      <c r="M52" s="1" t="str">
        <f t="shared" si="6"/>
        <v/>
      </c>
      <c r="N52" s="1" t="n">
        <f t="shared" si="3"/>
        <v>1.0</v>
      </c>
    </row>
    <row r="53" spans="2:14" ht="15.75" customHeight="1">
      <c r="B53" s="6" t="n">
        <f>B50+1</f>
        <v>6.0</v>
      </c>
      <c r="C53" s="7" t="s">
        <v>25</v>
      </c>
      <c r="D53" s="110" t="s">
        <v>417</v>
      </c>
      <c r="E53" s="46" t="n">
        <v>169.0</v>
      </c>
      <c r="F53" s="110" t="s">
        <v>416</v>
      </c>
      <c r="G53" s="46" t="n">
        <v>168.0</v>
      </c>
      <c r="H53" s="48" t="n">
        <f t="shared" si="5"/>
        <v>-0.006</v>
      </c>
      <c r="I53" s="13" t="n">
        <f>I54</f>
        <v>-0.15</v>
      </c>
      <c r="J53" s="13" t="n">
        <f>J54</f>
        <v>0.2</v>
      </c>
      <c r="K53" s="44" t="str">
        <f t="shared" si="1"/>
        <v>閾値の範囲内です。</v>
      </c>
      <c r="M53" s="1" t="str">
        <f t="shared" si="6"/>
        <v/>
      </c>
      <c r="N53" s="1" t="n">
        <f t="shared" si="3"/>
        <v>1.0</v>
      </c>
    </row>
    <row r="54" spans="2:14" ht="15.75" customHeight="1">
      <c r="B54" s="8"/>
      <c r="C54" s="58" t="str">
        <f>C53</f>
        <v>通所介護</v>
      </c>
      <c r="D54" s="111" t="s">
        <v>416</v>
      </c>
      <c r="E54" s="40" t="n">
        <f t="shared" ref="E54:E55" si="10">IF(G53="","",G53)</f>
        <v>168.0</v>
      </c>
      <c r="F54" s="111" t="s">
        <v>415</v>
      </c>
      <c r="G54" s="40" t="n">
        <v>164.0</v>
      </c>
      <c r="H54" s="49" t="n">
        <f t="shared" si="5"/>
        <v>-0.024</v>
      </c>
      <c r="I54" s="12" t="n">
        <f>data!I17</f>
        <v>-0.15</v>
      </c>
      <c r="J54" s="12" t="n">
        <f>data!J17</f>
        <v>0.2</v>
      </c>
      <c r="K54" s="22" t="str">
        <f t="shared" si="1"/>
        <v>閾値の範囲内です。</v>
      </c>
      <c r="M54" s="1" t="str">
        <f t="shared" si="6"/>
        <v/>
      </c>
      <c r="N54" s="1" t="n">
        <f t="shared" si="3"/>
        <v>1.0</v>
      </c>
    </row>
    <row r="55" spans="2:14" ht="15.75" customHeight="1">
      <c r="B55" s="10"/>
      <c r="C55" s="59" t="str">
        <f>C54</f>
        <v>通所介護</v>
      </c>
      <c r="D55" s="112" t="s">
        <v>415</v>
      </c>
      <c r="E55" s="47" t="n">
        <f t="shared" si="10"/>
        <v>164.0</v>
      </c>
      <c r="F55" s="112" t="s">
        <v>414</v>
      </c>
      <c r="G55" s="47" t="n">
        <v>162.0</v>
      </c>
      <c r="H55" s="51" t="n">
        <f t="shared" si="5"/>
        <v>-0.012</v>
      </c>
      <c r="I55" s="14" t="n">
        <f>I54</f>
        <v>-0.15</v>
      </c>
      <c r="J55" s="14" t="n">
        <f>J54</f>
        <v>0.2</v>
      </c>
      <c r="K55" s="45" t="str">
        <f t="shared" si="1"/>
        <v>閾値の範囲内です。</v>
      </c>
      <c r="M55" s="1" t="str">
        <f t="shared" si="6"/>
        <v/>
      </c>
      <c r="N55" s="1" t="n">
        <f t="shared" si="3"/>
        <v>1.0</v>
      </c>
    </row>
    <row r="56" spans="2:14" ht="15.75" customHeight="1">
      <c r="B56" s="6" t="n">
        <f>B53+1</f>
        <v>7.0</v>
      </c>
      <c r="C56" s="7" t="s">
        <v>26</v>
      </c>
      <c r="D56" s="110" t="s">
        <v>417</v>
      </c>
      <c r="E56" s="46" t="n">
        <v>66.0</v>
      </c>
      <c r="F56" s="110" t="s">
        <v>416</v>
      </c>
      <c r="G56" s="46" t="n">
        <v>71.0</v>
      </c>
      <c r="H56" s="48" t="n">
        <f t="shared" si="5"/>
        <v>0.076</v>
      </c>
      <c r="I56" s="13" t="n">
        <f>I57</f>
        <v>-0.2</v>
      </c>
      <c r="J56" s="13" t="n">
        <f>J57</f>
        <v>0.25</v>
      </c>
      <c r="K56" s="44" t="str">
        <f t="shared" si="1"/>
        <v>閾値の範囲内です。</v>
      </c>
      <c r="M56" s="1" t="str">
        <f t="shared" si="6"/>
        <v/>
      </c>
      <c r="N56" s="1" t="n">
        <f t="shared" si="3"/>
        <v>1.0</v>
      </c>
    </row>
    <row r="57" spans="2:14" ht="15.75" customHeight="1">
      <c r="B57" s="8"/>
      <c r="C57" s="58" t="str">
        <f>C56</f>
        <v>通所リハビリテーション</v>
      </c>
      <c r="D57" s="111" t="s">
        <v>416</v>
      </c>
      <c r="E57" s="40" t="n">
        <f t="shared" ref="E57:E58" si="11">IF(G56="","",G56)</f>
        <v>71.0</v>
      </c>
      <c r="F57" s="111" t="s">
        <v>415</v>
      </c>
      <c r="G57" s="40" t="n">
        <v>72.0</v>
      </c>
      <c r="H57" s="49" t="n">
        <f t="shared" si="5"/>
        <v>0.014</v>
      </c>
      <c r="I57" s="12" t="n">
        <f>data!I18</f>
        <v>-0.2</v>
      </c>
      <c r="J57" s="12" t="n">
        <f>data!J18</f>
        <v>0.25</v>
      </c>
      <c r="K57" s="22" t="str">
        <f t="shared" si="1"/>
        <v>閾値の範囲内です。</v>
      </c>
      <c r="M57" s="1" t="str">
        <f t="shared" si="6"/>
        <v/>
      </c>
      <c r="N57" s="1" t="n">
        <f t="shared" si="3"/>
        <v>1.0</v>
      </c>
    </row>
    <row r="58" spans="2:14" ht="15.75" customHeight="1">
      <c r="B58" s="10"/>
      <c r="C58" s="59" t="str">
        <f>C57</f>
        <v>通所リハビリテーション</v>
      </c>
      <c r="D58" s="112" t="s">
        <v>415</v>
      </c>
      <c r="E58" s="47" t="n">
        <f t="shared" si="11"/>
        <v>72.0</v>
      </c>
      <c r="F58" s="112" t="s">
        <v>414</v>
      </c>
      <c r="G58" s="47" t="n">
        <v>72.0</v>
      </c>
      <c r="H58" s="51" t="n">
        <f t="shared" si="5"/>
        <v>0.0</v>
      </c>
      <c r="I58" s="14" t="n">
        <f>I57</f>
        <v>-0.2</v>
      </c>
      <c r="J58" s="14" t="n">
        <f>J57</f>
        <v>0.25</v>
      </c>
      <c r="K58" s="45" t="str">
        <f t="shared" si="1"/>
        <v>閾値の範囲内です。</v>
      </c>
      <c r="M58" s="1" t="str">
        <f t="shared" si="6"/>
        <v/>
      </c>
      <c r="N58" s="1" t="n">
        <f t="shared" si="3"/>
        <v>1.0</v>
      </c>
    </row>
    <row r="59" spans="2:14" ht="15.75" customHeight="1">
      <c r="B59" s="6" t="n">
        <f>B56+1</f>
        <v>8.0</v>
      </c>
      <c r="C59" s="7" t="s">
        <v>27</v>
      </c>
      <c r="D59" s="110" t="s">
        <v>417</v>
      </c>
      <c r="E59" s="46" t="n">
        <v>60.0</v>
      </c>
      <c r="F59" s="110" t="s">
        <v>416</v>
      </c>
      <c r="G59" s="46" t="n">
        <v>61.0</v>
      </c>
      <c r="H59" s="48" t="n">
        <f t="shared" si="5"/>
        <v>0.017</v>
      </c>
      <c r="I59" s="13" t="n">
        <f>I60</f>
        <v>-0.25</v>
      </c>
      <c r="J59" s="13" t="n">
        <f>J60</f>
        <v>0.3</v>
      </c>
      <c r="K59" s="44" t="str">
        <f t="shared" si="1"/>
        <v>閾値の範囲内です。</v>
      </c>
      <c r="M59" s="1" t="str">
        <f t="shared" si="6"/>
        <v/>
      </c>
      <c r="N59" s="1" t="n">
        <f t="shared" si="3"/>
        <v>1.0</v>
      </c>
    </row>
    <row r="60" spans="2:14" ht="15.75" customHeight="1">
      <c r="B60" s="8"/>
      <c r="C60" s="58" t="str">
        <f>C59</f>
        <v>短期入所生活介護</v>
      </c>
      <c r="D60" s="111" t="s">
        <v>416</v>
      </c>
      <c r="E60" s="40" t="n">
        <f t="shared" ref="E60:E61" si="12">IF(G59="","",G59)</f>
        <v>61.0</v>
      </c>
      <c r="F60" s="111" t="s">
        <v>415</v>
      </c>
      <c r="G60" s="40" t="n">
        <v>60.0</v>
      </c>
      <c r="H60" s="49" t="n">
        <f t="shared" si="5"/>
        <v>-0.016</v>
      </c>
      <c r="I60" s="12" t="n">
        <f>data!I19</f>
        <v>-0.25</v>
      </c>
      <c r="J60" s="12" t="n">
        <f>data!J19</f>
        <v>0.3</v>
      </c>
      <c r="K60" s="22" t="str">
        <f t="shared" si="1"/>
        <v>閾値の範囲内です。</v>
      </c>
      <c r="M60" s="1" t="str">
        <f t="shared" si="6"/>
        <v/>
      </c>
      <c r="N60" s="1" t="n">
        <f t="shared" si="3"/>
        <v>1.0</v>
      </c>
    </row>
    <row r="61" spans="2:14" ht="15.75" customHeight="1">
      <c r="B61" s="10"/>
      <c r="C61" s="59" t="str">
        <f>C60</f>
        <v>短期入所生活介護</v>
      </c>
      <c r="D61" s="112" t="s">
        <v>415</v>
      </c>
      <c r="E61" s="47" t="n">
        <f t="shared" si="12"/>
        <v>60.0</v>
      </c>
      <c r="F61" s="112" t="s">
        <v>414</v>
      </c>
      <c r="G61" s="47" t="n">
        <v>60.0</v>
      </c>
      <c r="H61" s="51" t="n">
        <f t="shared" si="5"/>
        <v>0.0</v>
      </c>
      <c r="I61" s="14" t="n">
        <f>I60</f>
        <v>-0.25</v>
      </c>
      <c r="J61" s="14" t="n">
        <f>J60</f>
        <v>0.3</v>
      </c>
      <c r="K61" s="45" t="str">
        <f t="shared" si="1"/>
        <v>閾値の範囲内です。</v>
      </c>
      <c r="M61" s="1" t="str">
        <f t="shared" si="6"/>
        <v/>
      </c>
      <c r="N61" s="1" t="n">
        <f t="shared" si="3"/>
        <v>1.0</v>
      </c>
    </row>
    <row r="62" spans="2:14" ht="15.75" customHeight="1">
      <c r="B62" s="6" t="n">
        <f>B59+1</f>
        <v>9.0</v>
      </c>
      <c r="C62" s="7" t="s">
        <v>28</v>
      </c>
      <c r="D62" s="110" t="s">
        <v>417</v>
      </c>
      <c r="E62" s="46" t="n">
        <v>2.0</v>
      </c>
      <c r="F62" s="110" t="s">
        <v>416</v>
      </c>
      <c r="G62" s="46" t="n">
        <v>2.0</v>
      </c>
      <c r="H62" s="48" t="n">
        <f t="shared" si="5"/>
        <v>0.0</v>
      </c>
      <c r="I62" s="13" t="n">
        <f>I63</f>
        <v>-0.7</v>
      </c>
      <c r="J62" s="13" t="n">
        <f>J63</f>
        <v>0.75</v>
      </c>
      <c r="K62" s="44" t="str">
        <f t="shared" si="1"/>
        <v>閾値の範囲内です。</v>
      </c>
      <c r="M62" s="1" t="str">
        <f t="shared" si="6"/>
        <v/>
      </c>
      <c r="N62" s="1" t="n">
        <f t="shared" si="3"/>
        <v>1.0</v>
      </c>
    </row>
    <row r="63" spans="2:14" ht="15.75" customHeight="1">
      <c r="B63" s="8"/>
      <c r="C63" s="58" t="str">
        <f>C62</f>
        <v>短期入所療養介護（老健）</v>
      </c>
      <c r="D63" s="111" t="s">
        <v>416</v>
      </c>
      <c r="E63" s="40" t="n">
        <f t="shared" ref="E63:E64" si="13">IF(G62="","",G62)</f>
        <v>2.0</v>
      </c>
      <c r="F63" s="111" t="s">
        <v>415</v>
      </c>
      <c r="G63" s="40" t="n">
        <v>2.0</v>
      </c>
      <c r="H63" s="49" t="n">
        <f t="shared" si="5"/>
        <v>0.0</v>
      </c>
      <c r="I63" s="12" t="n">
        <f>data!I20</f>
        <v>-0.7</v>
      </c>
      <c r="J63" s="12" t="n">
        <f>data!J20</f>
        <v>0.75</v>
      </c>
      <c r="K63" s="22" t="str">
        <f t="shared" si="1"/>
        <v>閾値の範囲内です。</v>
      </c>
      <c r="M63" s="1" t="str">
        <f t="shared" si="6"/>
        <v/>
      </c>
      <c r="N63" s="1" t="n">
        <f t="shared" si="3"/>
        <v>1.0</v>
      </c>
    </row>
    <row r="64" spans="2:14" ht="15.75" customHeight="1">
      <c r="B64" s="10"/>
      <c r="C64" s="59" t="str">
        <f>C63</f>
        <v>短期入所療養介護（老健）</v>
      </c>
      <c r="D64" s="112" t="s">
        <v>415</v>
      </c>
      <c r="E64" s="47" t="n">
        <f t="shared" si="13"/>
        <v>2.0</v>
      </c>
      <c r="F64" s="112" t="s">
        <v>414</v>
      </c>
      <c r="G64" s="47" t="n">
        <v>2.0</v>
      </c>
      <c r="H64" s="51" t="n">
        <f t="shared" si="5"/>
        <v>0.0</v>
      </c>
      <c r="I64" s="14" t="n">
        <f>I63</f>
        <v>-0.7</v>
      </c>
      <c r="J64" s="14" t="n">
        <f>J63</f>
        <v>0.75</v>
      </c>
      <c r="K64" s="45" t="str">
        <f t="shared" si="1"/>
        <v>閾値の範囲内です。</v>
      </c>
      <c r="M64" s="1" t="str">
        <f t="shared" si="6"/>
        <v/>
      </c>
      <c r="N64" s="1" t="n">
        <f t="shared" si="3"/>
        <v>1.0</v>
      </c>
    </row>
    <row r="65" spans="2:14" ht="15.75" customHeight="1">
      <c r="B65" s="6" t="n">
        <f>B62+1</f>
        <v>10.0</v>
      </c>
      <c r="C65" s="7" t="s">
        <v>29</v>
      </c>
      <c r="D65" s="110" t="s">
        <v>417</v>
      </c>
      <c r="E65" s="46" t="n">
        <v>0.0</v>
      </c>
      <c r="F65" s="110" t="s">
        <v>416</v>
      </c>
      <c r="G65" s="46" t="n">
        <v>0.0</v>
      </c>
      <c r="H65" s="48" t="str">
        <f t="shared" si="5"/>
        <v>－</v>
      </c>
      <c r="I65" s="13" t="n">
        <f>I66</f>
        <v>-2.9</v>
      </c>
      <c r="J65" s="13" t="n">
        <f>J66</f>
        <v>1.95</v>
      </c>
      <c r="K65" s="44" t="str">
        <f t="shared" si="1"/>
        <v/>
      </c>
      <c r="M65" s="1" t="str">
        <f t="shared" si="6"/>
        <v/>
      </c>
      <c r="N65" s="1" t="n">
        <f t="shared" si="3"/>
        <v>1.0</v>
      </c>
    </row>
    <row r="66" spans="2:14" ht="15.75" customHeight="1">
      <c r="B66" s="8"/>
      <c r="C66" s="58" t="str">
        <f>C65</f>
        <v>短期入所療養介護（病院等）</v>
      </c>
      <c r="D66" s="111" t="s">
        <v>416</v>
      </c>
      <c r="E66" s="40" t="n">
        <f t="shared" ref="E66:E67" si="14">IF(G65="","",G65)</f>
        <v>0.0</v>
      </c>
      <c r="F66" s="111" t="s">
        <v>415</v>
      </c>
      <c r="G66" s="40" t="n">
        <v>0.0</v>
      </c>
      <c r="H66" s="49" t="str">
        <f t="shared" si="5"/>
        <v>－</v>
      </c>
      <c r="I66" s="12" t="n">
        <f>data!I21</f>
        <v>-2.9</v>
      </c>
      <c r="J66" s="12" t="n">
        <f>data!J21</f>
        <v>1.95</v>
      </c>
      <c r="K66" s="22" t="str">
        <f t="shared" si="1"/>
        <v/>
      </c>
      <c r="M66" s="1" t="str">
        <f t="shared" si="6"/>
        <v/>
      </c>
      <c r="N66" s="1" t="n">
        <f t="shared" si="3"/>
        <v>1.0</v>
      </c>
    </row>
    <row r="67" spans="2:14" ht="15.75" customHeight="1">
      <c r="B67" s="10"/>
      <c r="C67" s="59" t="str">
        <f>C66</f>
        <v>短期入所療養介護（病院等）</v>
      </c>
      <c r="D67" s="112" t="s">
        <v>415</v>
      </c>
      <c r="E67" s="47" t="n">
        <f t="shared" si="14"/>
        <v>0.0</v>
      </c>
      <c r="F67" s="112" t="s">
        <v>414</v>
      </c>
      <c r="G67" s="47" t="n">
        <v>0.0</v>
      </c>
      <c r="H67" s="51" t="str">
        <f t="shared" si="5"/>
        <v>－</v>
      </c>
      <c r="I67" s="14" t="n">
        <f>I66</f>
        <v>-2.9</v>
      </c>
      <c r="J67" s="14" t="n">
        <f>J66</f>
        <v>1.95</v>
      </c>
      <c r="K67" s="45" t="str">
        <f t="shared" si="1"/>
        <v/>
      </c>
      <c r="M67" s="1" t="str">
        <f t="shared" si="6"/>
        <v/>
      </c>
      <c r="N67" s="1" t="n">
        <f t="shared" si="3"/>
        <v>1.0</v>
      </c>
    </row>
    <row r="68" spans="2:14" s="104" customFormat="1" ht="15.75" customHeight="1">
      <c r="B68" s="107" t="n">
        <f>B65+1</f>
        <v>11.0</v>
      </c>
      <c r="C68" s="7" t="s">
        <v>115</v>
      </c>
      <c r="D68" s="110" t="s">
        <v>417</v>
      </c>
      <c r="E68" s="46" t="n">
        <v>0.0</v>
      </c>
      <c r="F68" s="110" t="s">
        <v>416</v>
      </c>
      <c r="G68" s="46" t="n">
        <v>0.0</v>
      </c>
      <c r="H68" s="48" t="str">
        <f t="shared" ref="H68:H70" si="15">IF(ISERROR(ROUND((G68-E68)/E68*1,3))=TRUE,"－",ROUND((G68-E68)/E68*1,3))</f>
        <v>－</v>
      </c>
      <c r="I68" s="13" t="n">
        <f>I69</f>
        <v>-3.35</v>
      </c>
      <c r="J68" s="13" t="n">
        <f>J69</f>
        <v>2.8</v>
      </c>
      <c r="K68" s="44" t="str">
        <f t="shared" si="1"/>
        <v/>
      </c>
      <c r="M68" s="104" t="str">
        <f t="shared" ref="M68:M70" si="16">IF(OR(H68="－",AND(I68="－",J68="－")),"",IF(OR(H68&lt;I68,H68&gt;J68),1,""))</f>
        <v/>
      </c>
      <c r="N68" s="104" t="n">
        <f t="shared" ref="N68:N70" si="17">IF(AND(E68="",G68=""),"",1)</f>
        <v>1.0</v>
      </c>
    </row>
    <row r="69" spans="2:14" s="104" customFormat="1" ht="15.75" customHeight="1">
      <c r="B69" s="108"/>
      <c r="C69" s="58" t="str">
        <f>C68</f>
        <v>短期入所療養介護（介護医療院）</v>
      </c>
      <c r="D69" s="111" t="s">
        <v>416</v>
      </c>
      <c r="E69" s="40" t="n">
        <f t="shared" ref="E69:E70" si="18">IF(G68="","",G68)</f>
        <v>0.0</v>
      </c>
      <c r="F69" s="111" t="s">
        <v>415</v>
      </c>
      <c r="G69" s="40" t="n">
        <v>0.0</v>
      </c>
      <c r="H69" s="49" t="str">
        <f t="shared" si="15"/>
        <v>－</v>
      </c>
      <c r="I69" s="105" t="n">
        <f>data!I22</f>
        <v>-3.35</v>
      </c>
      <c r="J69" s="105" t="n">
        <f>data!J22</f>
        <v>2.8</v>
      </c>
      <c r="K69" s="22" t="str">
        <f t="shared" si="1"/>
        <v/>
      </c>
      <c r="M69" s="104" t="str">
        <f t="shared" si="16"/>
        <v/>
      </c>
      <c r="N69" s="104" t="n">
        <f t="shared" si="17"/>
        <v>1.0</v>
      </c>
    </row>
    <row r="70" spans="2:14" s="104" customFormat="1" ht="15.75" customHeight="1">
      <c r="B70" s="109"/>
      <c r="C70" s="59" t="str">
        <f>C69</f>
        <v>短期入所療養介護（介護医療院）</v>
      </c>
      <c r="D70" s="112" t="s">
        <v>415</v>
      </c>
      <c r="E70" s="47" t="n">
        <f t="shared" si="18"/>
        <v>0.0</v>
      </c>
      <c r="F70" s="112" t="s">
        <v>414</v>
      </c>
      <c r="G70" s="47" t="n">
        <v>0.0</v>
      </c>
      <c r="H70" s="51" t="str">
        <f t="shared" si="15"/>
        <v>－</v>
      </c>
      <c r="I70" s="14" t="n">
        <f>I69</f>
        <v>-3.35</v>
      </c>
      <c r="J70" s="14" t="n">
        <f>J69</f>
        <v>2.8</v>
      </c>
      <c r="K70" s="45" t="str">
        <f t="shared" si="1"/>
        <v/>
      </c>
      <c r="M70" s="104" t="str">
        <f t="shared" si="16"/>
        <v/>
      </c>
      <c r="N70" s="104" t="n">
        <f t="shared" si="17"/>
        <v>1.0</v>
      </c>
    </row>
    <row r="71" spans="2:14" ht="15.75" customHeight="1">
      <c r="B71" s="107" t="n">
        <f>B68+1</f>
        <v>12.0</v>
      </c>
      <c r="C71" s="9" t="s">
        <v>12</v>
      </c>
      <c r="D71" s="110" t="s">
        <v>417</v>
      </c>
      <c r="E71" s="46" t="n">
        <v>270.0</v>
      </c>
      <c r="F71" s="110" t="s">
        <v>416</v>
      </c>
      <c r="G71" s="46" t="n">
        <v>280.0</v>
      </c>
      <c r="H71" s="48" t="n">
        <f t="shared" si="5"/>
        <v>0.037</v>
      </c>
      <c r="I71" s="13" t="n">
        <f>I72</f>
        <v>-0.05</v>
      </c>
      <c r="J71" s="13" t="n">
        <f>J72</f>
        <v>0.15</v>
      </c>
      <c r="K71" s="44" t="str">
        <f t="shared" si="1"/>
        <v>閾値の範囲内です。</v>
      </c>
      <c r="M71" s="1" t="str">
        <f t="shared" si="6"/>
        <v/>
      </c>
      <c r="N71" s="1" t="n">
        <f t="shared" si="3"/>
        <v>1.0</v>
      </c>
    </row>
    <row r="72" spans="2:14" ht="15.75" customHeight="1">
      <c r="B72" s="108"/>
      <c r="C72" s="58" t="str">
        <f>C71</f>
        <v>福祉用具貸与</v>
      </c>
      <c r="D72" s="111" t="s">
        <v>416</v>
      </c>
      <c r="E72" s="40" t="n">
        <f t="shared" ref="E72:E73" si="19">IF(G71="","",G71)</f>
        <v>280.0</v>
      </c>
      <c r="F72" s="111" t="s">
        <v>415</v>
      </c>
      <c r="G72" s="40" t="n">
        <v>277.0</v>
      </c>
      <c r="H72" s="49" t="n">
        <f t="shared" si="5"/>
        <v>-0.011</v>
      </c>
      <c r="I72" s="12" t="n">
        <f>data!I23</f>
        <v>-0.05</v>
      </c>
      <c r="J72" s="12" t="n">
        <f>data!J23</f>
        <v>0.15</v>
      </c>
      <c r="K72" s="22" t="str">
        <f t="shared" si="1"/>
        <v>閾値の範囲内です。</v>
      </c>
      <c r="M72" s="1" t="str">
        <f t="shared" si="6"/>
        <v/>
      </c>
      <c r="N72" s="1" t="n">
        <f t="shared" si="3"/>
        <v>1.0</v>
      </c>
    </row>
    <row r="73" spans="2:14" ht="15.75" customHeight="1">
      <c r="B73" s="109"/>
      <c r="C73" s="59" t="str">
        <f>C72</f>
        <v>福祉用具貸与</v>
      </c>
      <c r="D73" s="112" t="s">
        <v>415</v>
      </c>
      <c r="E73" s="47" t="n">
        <f t="shared" si="19"/>
        <v>277.0</v>
      </c>
      <c r="F73" s="112" t="s">
        <v>414</v>
      </c>
      <c r="G73" s="47" t="n">
        <v>277.0</v>
      </c>
      <c r="H73" s="51" t="n">
        <f t="shared" si="5"/>
        <v>0.0</v>
      </c>
      <c r="I73" s="14" t="n">
        <f>I72</f>
        <v>-0.05</v>
      </c>
      <c r="J73" s="14" t="n">
        <f>J72</f>
        <v>0.15</v>
      </c>
      <c r="K73" s="45" t="str">
        <f t="shared" si="1"/>
        <v>閾値の範囲内です。</v>
      </c>
      <c r="M73" s="1" t="str">
        <f t="shared" si="6"/>
        <v/>
      </c>
      <c r="N73" s="1" t="n">
        <f t="shared" si="3"/>
        <v>1.0</v>
      </c>
    </row>
    <row r="74" spans="2:14" ht="15.75" customHeight="1">
      <c r="B74" s="107" t="n">
        <f>B71+1</f>
        <v>13.0</v>
      </c>
      <c r="C74" s="7" t="s">
        <v>36</v>
      </c>
      <c r="D74" s="110" t="s">
        <v>417</v>
      </c>
      <c r="E74" s="46" t="n">
        <v>0.0</v>
      </c>
      <c r="F74" s="110" t="s">
        <v>416</v>
      </c>
      <c r="G74" s="46" t="n">
        <v>0.0</v>
      </c>
      <c r="H74" s="48" t="str">
        <f t="shared" si="5"/>
        <v>－</v>
      </c>
      <c r="I74" s="13" t="n">
        <f>I75</f>
        <v>-0.4</v>
      </c>
      <c r="J74" s="13" t="n">
        <f>J75</f>
        <v>0.75</v>
      </c>
      <c r="K74" s="44" t="str">
        <f t="shared" si="1"/>
        <v/>
      </c>
      <c r="M74" s="1" t="str">
        <f t="shared" si="6"/>
        <v/>
      </c>
      <c r="N74" s="1" t="n">
        <f t="shared" si="3"/>
        <v>1.0</v>
      </c>
    </row>
    <row r="75" spans="2:14" ht="15.75" customHeight="1">
      <c r="B75" s="108"/>
      <c r="C75" s="58" t="str">
        <f>C74</f>
        <v>特定福祉用具購入費</v>
      </c>
      <c r="D75" s="111" t="s">
        <v>416</v>
      </c>
      <c r="E75" s="40" t="n">
        <f t="shared" ref="E75:E76" si="20">IF(G74="","",G74)</f>
        <v>0.0</v>
      </c>
      <c r="F75" s="111" t="s">
        <v>415</v>
      </c>
      <c r="G75" s="40" t="n">
        <v>0.0</v>
      </c>
      <c r="H75" s="49" t="str">
        <f t="shared" si="5"/>
        <v>－</v>
      </c>
      <c r="I75" s="12" t="n">
        <f>data!I24</f>
        <v>-0.4</v>
      </c>
      <c r="J75" s="12" t="n">
        <f>data!J24</f>
        <v>0.75</v>
      </c>
      <c r="K75" s="22" t="str">
        <f t="shared" si="1"/>
        <v/>
      </c>
      <c r="M75" s="1" t="str">
        <f t="shared" si="6"/>
        <v/>
      </c>
      <c r="N75" s="1" t="n">
        <f t="shared" si="3"/>
        <v>1.0</v>
      </c>
    </row>
    <row r="76" spans="2:14" ht="15.75" customHeight="1">
      <c r="B76" s="109"/>
      <c r="C76" s="59" t="str">
        <f>C75</f>
        <v>特定福祉用具購入費</v>
      </c>
      <c r="D76" s="112" t="s">
        <v>415</v>
      </c>
      <c r="E76" s="47" t="n">
        <f t="shared" si="20"/>
        <v>0.0</v>
      </c>
      <c r="F76" s="112" t="s">
        <v>414</v>
      </c>
      <c r="G76" s="47" t="n">
        <v>0.0</v>
      </c>
      <c r="H76" s="51" t="str">
        <f t="shared" si="5"/>
        <v>－</v>
      </c>
      <c r="I76" s="14" t="n">
        <f>I75</f>
        <v>-0.4</v>
      </c>
      <c r="J76" s="14" t="n">
        <f>J75</f>
        <v>0.75</v>
      </c>
      <c r="K76" s="45" t="str">
        <f t="shared" si="1"/>
        <v/>
      </c>
      <c r="M76" s="1" t="str">
        <f t="shared" si="6"/>
        <v/>
      </c>
      <c r="N76" s="1" t="n">
        <f t="shared" si="3"/>
        <v>1.0</v>
      </c>
    </row>
    <row r="77" spans="2:14" ht="15.75" customHeight="1">
      <c r="B77" s="107" t="n">
        <f>B74+1</f>
        <v>14.0</v>
      </c>
      <c r="C77" s="7" t="s">
        <v>34</v>
      </c>
      <c r="D77" s="110" t="s">
        <v>417</v>
      </c>
      <c r="E77" s="46" t="n">
        <v>0.0</v>
      </c>
      <c r="F77" s="110" t="s">
        <v>416</v>
      </c>
      <c r="G77" s="46" t="n">
        <v>0.0</v>
      </c>
      <c r="H77" s="48" t="str">
        <f t="shared" si="5"/>
        <v>－</v>
      </c>
      <c r="I77" s="13" t="n">
        <f>I78</f>
        <v>-0.5</v>
      </c>
      <c r="J77" s="13" t="n">
        <f>J78</f>
        <v>0.55</v>
      </c>
      <c r="K77" s="44" t="str">
        <f t="shared" si="1"/>
        <v/>
      </c>
      <c r="M77" s="1" t="str">
        <f t="shared" si="6"/>
        <v/>
      </c>
      <c r="N77" s="1" t="n">
        <f t="shared" si="3"/>
        <v>1.0</v>
      </c>
    </row>
    <row r="78" spans="2:14" ht="15.75" customHeight="1">
      <c r="B78" s="108"/>
      <c r="C78" s="58" t="str">
        <f>C77</f>
        <v>住宅改修費</v>
      </c>
      <c r="D78" s="111" t="s">
        <v>416</v>
      </c>
      <c r="E78" s="40" t="n">
        <f t="shared" ref="E78:E79" si="21">IF(G77="","",G77)</f>
        <v>0.0</v>
      </c>
      <c r="F78" s="111" t="s">
        <v>415</v>
      </c>
      <c r="G78" s="40" t="n">
        <v>0.0</v>
      </c>
      <c r="H78" s="49" t="str">
        <f t="shared" si="5"/>
        <v>－</v>
      </c>
      <c r="I78" s="12" t="n">
        <f>data!I25</f>
        <v>-0.5</v>
      </c>
      <c r="J78" s="12" t="n">
        <f>data!J25</f>
        <v>0.55</v>
      </c>
      <c r="K78" s="22" t="str">
        <f t="shared" si="1"/>
        <v/>
      </c>
      <c r="M78" s="1" t="str">
        <f t="shared" si="6"/>
        <v/>
      </c>
      <c r="N78" s="1" t="n">
        <f t="shared" si="3"/>
        <v>1.0</v>
      </c>
    </row>
    <row r="79" spans="2:14" ht="15.75" customHeight="1">
      <c r="B79" s="109"/>
      <c r="C79" s="59" t="str">
        <f>C78</f>
        <v>住宅改修費</v>
      </c>
      <c r="D79" s="112" t="s">
        <v>415</v>
      </c>
      <c r="E79" s="47" t="n">
        <f t="shared" si="21"/>
        <v>0.0</v>
      </c>
      <c r="F79" s="112" t="s">
        <v>414</v>
      </c>
      <c r="G79" s="47" t="n">
        <v>0.0</v>
      </c>
      <c r="H79" s="51" t="str">
        <f t="shared" si="5"/>
        <v>－</v>
      </c>
      <c r="I79" s="14" t="n">
        <f>I78</f>
        <v>-0.5</v>
      </c>
      <c r="J79" s="14" t="n">
        <f>J78</f>
        <v>0.55</v>
      </c>
      <c r="K79" s="45" t="str">
        <f t="shared" si="1"/>
        <v/>
      </c>
      <c r="M79" s="1" t="str">
        <f t="shared" si="6"/>
        <v/>
      </c>
      <c r="N79" s="1" t="n">
        <f t="shared" si="3"/>
        <v>1.0</v>
      </c>
    </row>
    <row r="80" spans="2:14" ht="15.75" customHeight="1">
      <c r="B80" s="107" t="n">
        <f>B77+1</f>
        <v>15.0</v>
      </c>
      <c r="C80" s="7" t="s">
        <v>35</v>
      </c>
      <c r="D80" s="110" t="s">
        <v>417</v>
      </c>
      <c r="E80" s="46" t="n">
        <v>353.0</v>
      </c>
      <c r="F80" s="110" t="s">
        <v>416</v>
      </c>
      <c r="G80" s="46" t="n">
        <v>365.0</v>
      </c>
      <c r="H80" s="48" t="n">
        <f>IF(ISERROR(ROUND((G80-E80)/E80*1,3))=TRUE,"－",ROUND((G80-E80)/E80*1,3))</f>
        <v>0.034</v>
      </c>
      <c r="I80" s="13" t="n">
        <f>I81</f>
        <v>-0.05</v>
      </c>
      <c r="J80" s="13" t="n">
        <f>J81</f>
        <v>0.15</v>
      </c>
      <c r="K80" s="44" t="str">
        <f t="shared" si="1"/>
        <v>閾値の範囲内です。</v>
      </c>
      <c r="M80" s="1" t="str">
        <f t="shared" si="6"/>
        <v/>
      </c>
      <c r="N80" s="1" t="n">
        <f t="shared" si="3"/>
        <v>1.0</v>
      </c>
    </row>
    <row r="81" spans="1:14" ht="15.75" customHeight="1">
      <c r="B81" s="108"/>
      <c r="C81" s="58" t="str">
        <f>C80</f>
        <v>介護予防支援・居宅介護支援</v>
      </c>
      <c r="D81" s="111" t="s">
        <v>416</v>
      </c>
      <c r="E81" s="40" t="n">
        <f t="shared" ref="E81:E82" si="22">IF(G80="","",G80)</f>
        <v>365.0</v>
      </c>
      <c r="F81" s="111" t="s">
        <v>415</v>
      </c>
      <c r="G81" s="40" t="n">
        <v>363.0</v>
      </c>
      <c r="H81" s="49" t="n">
        <f>IF(ISERROR(ROUND((G81-E81)/E81*1,3))=TRUE,"－",ROUND((G81-E81)/E81*1,3))</f>
        <v>-0.005</v>
      </c>
      <c r="I81" s="12" t="n">
        <f>data!I26</f>
        <v>-0.05</v>
      </c>
      <c r="J81" s="12" t="n">
        <f>data!J26</f>
        <v>0.15</v>
      </c>
      <c r="K81" s="22" t="str">
        <f t="shared" si="1"/>
        <v>閾値の範囲内です。</v>
      </c>
      <c r="M81" s="1" t="str">
        <f t="shared" si="6"/>
        <v/>
      </c>
      <c r="N81" s="1" t="n">
        <f t="shared" si="3"/>
        <v>1.0</v>
      </c>
    </row>
    <row r="82" spans="1:14" ht="15.75" customHeight="1">
      <c r="B82" s="109"/>
      <c r="C82" s="59" t="str">
        <f>C81</f>
        <v>介護予防支援・居宅介護支援</v>
      </c>
      <c r="D82" s="112" t="s">
        <v>415</v>
      </c>
      <c r="E82" s="47" t="n">
        <f t="shared" si="22"/>
        <v>363.0</v>
      </c>
      <c r="F82" s="112" t="s">
        <v>414</v>
      </c>
      <c r="G82" s="47" t="n">
        <v>364.0</v>
      </c>
      <c r="H82" s="50" t="n">
        <f>IF(ISERROR(ROUND((G82-E82)/E82*1,3))=TRUE,"－",ROUND((G82-E82)/E82*1,3))</f>
        <v>0.003</v>
      </c>
      <c r="I82" s="14" t="n">
        <f>I81</f>
        <v>-0.05</v>
      </c>
      <c r="J82" s="14" t="n">
        <f>J81</f>
        <v>0.15</v>
      </c>
      <c r="K82" s="45" t="str">
        <f t="shared" si="1"/>
        <v>閾値の範囲内です。</v>
      </c>
      <c r="M82" s="1" t="str">
        <f t="shared" si="6"/>
        <v/>
      </c>
      <c r="N82" s="1" t="n">
        <f t="shared" si="3"/>
        <v>1.0</v>
      </c>
    </row>
    <row r="83" spans="1:14" ht="15.75" customHeight="1">
      <c r="A83" s="138"/>
      <c r="B83" s="139" t="n">
        <f>B80+1</f>
        <v>16.0</v>
      </c>
      <c r="C83" s="140" t="s">
        <v>122</v>
      </c>
      <c r="D83" s="110" t="s">
        <v>417</v>
      </c>
      <c r="E83" s="46"/>
      <c r="F83" s="110" t="s">
        <v>416</v>
      </c>
      <c r="G83" s="46"/>
      <c r="H83" s="48" t="str">
        <f t="shared" ref="H83:H85" si="23">IF(ISERROR(ROUND((G83-E83)/E83*1,3))=TRUE,"－",ROUND((G83-E83)/E83*1,3))</f>
        <v>－</v>
      </c>
      <c r="I83" s="141" t="str">
        <f>I84</f>
        <v>－</v>
      </c>
      <c r="J83" s="141" t="str">
        <f>J84</f>
        <v>－</v>
      </c>
      <c r="K83" s="142" t="s">
        <v>178</v>
      </c>
      <c r="M83" s="1" t="str">
        <f t="shared" ref="M83:M85" si="24">IF(OR(H83="－",AND(I83="－",J83="－")),"",IF(OR(H83&lt;I83,H83&gt;J83),1,""))</f>
        <v/>
      </c>
      <c r="N83" s="1" t="str">
        <f t="shared" ref="N83:N85" si="25">IF(AND(E83="",G83=""),"",1)</f>
        <v/>
      </c>
    </row>
    <row r="84" spans="1:14" ht="15.75" customHeight="1">
      <c r="B84" s="108"/>
      <c r="C84" s="58" t="str">
        <f>C83</f>
        <v>登録施設介護支援</v>
      </c>
      <c r="D84" s="111" t="s">
        <v>416</v>
      </c>
      <c r="E84" s="40" t="str">
        <f t="shared" ref="E84:E85" si="26">IF(G83="","",G83)</f>
        <v/>
      </c>
      <c r="F84" s="111" t="s">
        <v>415</v>
      </c>
      <c r="G84" s="40" t="n">
        <v>0.0</v>
      </c>
      <c r="H84" s="49" t="str">
        <f t="shared" si="23"/>
        <v>－</v>
      </c>
      <c r="I84" s="143" t="s">
        <v>119</v>
      </c>
      <c r="J84" s="143" t="s">
        <v>119</v>
      </c>
      <c r="K84" s="144" t="s">
        <v>120</v>
      </c>
      <c r="M84" s="1" t="str">
        <f t="shared" si="24"/>
        <v/>
      </c>
      <c r="N84" s="1" t="n">
        <f t="shared" si="25"/>
        <v>1.0</v>
      </c>
    </row>
    <row r="85" spans="1:14" ht="15.75" customHeight="1">
      <c r="B85" s="109"/>
      <c r="C85" s="59" t="str">
        <f>C84</f>
        <v>登録施設介護支援</v>
      </c>
      <c r="D85" s="112" t="s">
        <v>415</v>
      </c>
      <c r="E85" s="47" t="n">
        <f t="shared" si="26"/>
        <v>0.0</v>
      </c>
      <c r="F85" s="112" t="s">
        <v>414</v>
      </c>
      <c r="G85" s="47" t="n">
        <v>0.0</v>
      </c>
      <c r="H85" s="50" t="str">
        <f t="shared" si="23"/>
        <v>－</v>
      </c>
      <c r="I85" s="145" t="str">
        <f>I84</f>
        <v>－</v>
      </c>
      <c r="J85" s="145" t="str">
        <f>J84</f>
        <v>－</v>
      </c>
      <c r="K85" s="146" t="s">
        <v>120</v>
      </c>
      <c r="M85" s="1" t="str">
        <f t="shared" si="24"/>
        <v/>
      </c>
      <c r="N85" s="1" t="n">
        <f t="shared" si="25"/>
        <v>1.0</v>
      </c>
    </row>
    <row r="86" spans="1:14" s="2" customFormat="1" ht="14.25" customHeight="1">
      <c r="B86" s="74" t="s">
        <v>72</v>
      </c>
      <c r="C86" s="71"/>
      <c r="D86" s="113"/>
      <c r="E86" s="71"/>
      <c r="F86" s="113"/>
      <c r="G86" s="71"/>
      <c r="H86" s="71"/>
      <c r="I86" s="72"/>
      <c r="J86" s="72"/>
      <c r="K86" s="73"/>
    </row>
    <row r="87" spans="1:14" ht="15.75" customHeight="1">
      <c r="B87" s="107" t="n">
        <f>B83+1</f>
        <v>17.0</v>
      </c>
      <c r="C87" s="7" t="s">
        <v>40</v>
      </c>
      <c r="D87" s="110" t="s">
        <v>417</v>
      </c>
      <c r="E87" s="46" t="n">
        <v>0.0</v>
      </c>
      <c r="F87" s="110" t="s">
        <v>416</v>
      </c>
      <c r="G87" s="46" t="n">
        <v>0.0</v>
      </c>
      <c r="H87" s="48" t="str">
        <f>IF(ISERROR(ROUND((G87-E87)/E87*1,3))=TRUE,"－",ROUND((G87-E87)/E87*1,3))</f>
        <v>－</v>
      </c>
      <c r="I87" s="13" t="n">
        <f>I88</f>
        <v>-1.0</v>
      </c>
      <c r="J87" s="13" t="n">
        <f>J88</f>
        <v>1.25</v>
      </c>
      <c r="K87" s="44" t="str">
        <f t="shared" ref="K87:K104" si="27">IF(H87="－","",IF(H87&lt;I87,"下限値を"&amp;ROUND((I87-H87)*100,1)&amp;"％下回っています。",IF(H87&gt;J87,"上限値を"&amp;ROUND((H87-J87)*100,1)&amp;"％上回っています。","閾値の範囲内です。")))</f>
        <v/>
      </c>
      <c r="M87" s="1" t="str">
        <f t="shared" si="6"/>
        <v/>
      </c>
      <c r="N87" s="1" t="n">
        <f t="shared" ref="N87:N104" si="28">IF(AND(E87="",G87=""),"",1)</f>
        <v>1.0</v>
      </c>
    </row>
    <row r="88" spans="1:14" ht="15.75" customHeight="1">
      <c r="B88" s="108"/>
      <c r="C88" s="58" t="str">
        <f>C87</f>
        <v>定期巡回・随時対応型訪問介護看護</v>
      </c>
      <c r="D88" s="111" t="s">
        <v>416</v>
      </c>
      <c r="E88" s="40" t="n">
        <f>IF(G87="","",G87)</f>
        <v>0.0</v>
      </c>
      <c r="F88" s="111" t="s">
        <v>415</v>
      </c>
      <c r="G88" s="40" t="n">
        <v>0.0</v>
      </c>
      <c r="H88" s="49" t="str">
        <f t="shared" ref="H88:H101" si="29">IF(ISERROR(ROUND((G88-E88)/E88*1,3))=TRUE,"－",ROUND((G88-E88)/E88*1,3))</f>
        <v>－</v>
      </c>
      <c r="I88" s="12" t="n">
        <f>data!I28</f>
        <v>-1.0</v>
      </c>
      <c r="J88" s="12" t="n">
        <f>data!J28</f>
        <v>1.25</v>
      </c>
      <c r="K88" s="22" t="str">
        <f t="shared" si="27"/>
        <v/>
      </c>
      <c r="M88" s="1" t="str">
        <f t="shared" ref="M88:M101" si="30">IF(OR(H88="－",AND(I88="－",J88="－")),"",IF(OR(H88&lt;I88,H88&gt;J88),1,""))</f>
        <v/>
      </c>
      <c r="N88" s="1" t="n">
        <f t="shared" si="28"/>
        <v>1.0</v>
      </c>
    </row>
    <row r="89" spans="1:14" ht="15.75" customHeight="1">
      <c r="B89" s="109"/>
      <c r="C89" s="59" t="str">
        <f>C88</f>
        <v>定期巡回・随時対応型訪問介護看護</v>
      </c>
      <c r="D89" s="112" t="s">
        <v>415</v>
      </c>
      <c r="E89" s="47" t="n">
        <f>IF(G88="","",G88)</f>
        <v>0.0</v>
      </c>
      <c r="F89" s="112" t="s">
        <v>414</v>
      </c>
      <c r="G89" s="47" t="n">
        <v>0.0</v>
      </c>
      <c r="H89" s="51" t="str">
        <f t="shared" si="29"/>
        <v>－</v>
      </c>
      <c r="I89" s="14" t="n">
        <f>I88</f>
        <v>-1.0</v>
      </c>
      <c r="J89" s="14" t="n">
        <f>J88</f>
        <v>1.25</v>
      </c>
      <c r="K89" s="45" t="str">
        <f t="shared" si="27"/>
        <v/>
      </c>
      <c r="M89" s="1" t="str">
        <f t="shared" si="30"/>
        <v/>
      </c>
      <c r="N89" s="1" t="n">
        <f t="shared" si="28"/>
        <v>1.0</v>
      </c>
    </row>
    <row r="90" spans="1:14" ht="15.75" customHeight="1">
      <c r="B90" s="107" t="n">
        <f>B87+1</f>
        <v>18.0</v>
      </c>
      <c r="C90" s="7" t="s">
        <v>38</v>
      </c>
      <c r="D90" s="110" t="s">
        <v>417</v>
      </c>
      <c r="E90" s="46" t="n">
        <v>0.0</v>
      </c>
      <c r="F90" s="110" t="s">
        <v>416</v>
      </c>
      <c r="G90" s="46" t="n">
        <v>0.0</v>
      </c>
      <c r="H90" s="48" t="str">
        <f t="shared" si="29"/>
        <v>－</v>
      </c>
      <c r="I90" s="13" t="n">
        <f>I91</f>
        <v>-1.05</v>
      </c>
      <c r="J90" s="13" t="n">
        <f>J91</f>
        <v>0.9</v>
      </c>
      <c r="K90" s="44" t="str">
        <f t="shared" si="27"/>
        <v/>
      </c>
      <c r="M90" s="1" t="str">
        <f t="shared" si="30"/>
        <v/>
      </c>
      <c r="N90" s="1" t="n">
        <f t="shared" si="28"/>
        <v>1.0</v>
      </c>
    </row>
    <row r="91" spans="1:14" ht="15.75" customHeight="1">
      <c r="B91" s="108"/>
      <c r="C91" s="58" t="str">
        <f>C90</f>
        <v>夜間対応型訪問介護</v>
      </c>
      <c r="D91" s="111" t="s">
        <v>416</v>
      </c>
      <c r="E91" s="40" t="n">
        <f t="shared" ref="E91:E92" si="31">IF(G90="","",G90)</f>
        <v>0.0</v>
      </c>
      <c r="F91" s="111" t="s">
        <v>415</v>
      </c>
      <c r="G91" s="40" t="n">
        <v>0.0</v>
      </c>
      <c r="H91" s="49" t="str">
        <f t="shared" si="29"/>
        <v>－</v>
      </c>
      <c r="I91" s="12" t="n">
        <f>data!I29</f>
        <v>-1.05</v>
      </c>
      <c r="J91" s="12" t="n">
        <f>data!J29</f>
        <v>0.9</v>
      </c>
      <c r="K91" s="22" t="str">
        <f t="shared" si="27"/>
        <v/>
      </c>
      <c r="M91" s="1" t="str">
        <f t="shared" si="30"/>
        <v/>
      </c>
      <c r="N91" s="1" t="n">
        <f t="shared" si="28"/>
        <v>1.0</v>
      </c>
    </row>
    <row r="92" spans="1:14" ht="15.75" customHeight="1">
      <c r="B92" s="109"/>
      <c r="C92" s="59" t="str">
        <f>C91</f>
        <v>夜間対応型訪問介護</v>
      </c>
      <c r="D92" s="112" t="s">
        <v>415</v>
      </c>
      <c r="E92" s="47" t="n">
        <f t="shared" si="31"/>
        <v>0.0</v>
      </c>
      <c r="F92" s="112" t="s">
        <v>414</v>
      </c>
      <c r="G92" s="47" t="n">
        <v>0.0</v>
      </c>
      <c r="H92" s="51" t="str">
        <f t="shared" si="29"/>
        <v>－</v>
      </c>
      <c r="I92" s="14" t="n">
        <f>I91</f>
        <v>-1.05</v>
      </c>
      <c r="J92" s="14" t="n">
        <f>J91</f>
        <v>0.9</v>
      </c>
      <c r="K92" s="45" t="str">
        <f t="shared" si="27"/>
        <v/>
      </c>
      <c r="M92" s="1" t="str">
        <f t="shared" si="30"/>
        <v/>
      </c>
      <c r="N92" s="1" t="n">
        <f t="shared" si="28"/>
        <v>1.0</v>
      </c>
    </row>
    <row r="93" spans="1:14" ht="15.75" customHeight="1">
      <c r="B93" s="107" t="n">
        <f>B90+1</f>
        <v>19.0</v>
      </c>
      <c r="C93" s="7" t="s">
        <v>102</v>
      </c>
      <c r="D93" s="110" t="s">
        <v>417</v>
      </c>
      <c r="E93" s="46" t="n">
        <v>0.0</v>
      </c>
      <c r="F93" s="110" t="s">
        <v>416</v>
      </c>
      <c r="G93" s="46" t="n">
        <v>0.0</v>
      </c>
      <c r="H93" s="48" t="str">
        <f>IF(ISERROR(ROUND((G93-E93)/E93*1,3))=TRUE,"－",ROUND((G93-E93)/E93*1,3))</f>
        <v>－</v>
      </c>
      <c r="I93" s="13" t="n">
        <f>I94</f>
        <v>-0.3</v>
      </c>
      <c r="J93" s="13" t="n">
        <f>J94</f>
        <v>0.35</v>
      </c>
      <c r="K93" s="44" t="str">
        <f t="shared" si="27"/>
        <v/>
      </c>
      <c r="M93" s="1" t="str">
        <f>IF(OR(H93="－",AND(I93="－",J93="－")),"",IF(OR(H93&lt;I93,H93&gt;J93),1,""))</f>
        <v/>
      </c>
      <c r="N93" s="1" t="n">
        <f>IF(AND(E93="",G93=""),"",1)</f>
        <v>1.0</v>
      </c>
    </row>
    <row r="94" spans="1:14" ht="15.75" customHeight="1">
      <c r="B94" s="108"/>
      <c r="C94" s="58" t="str">
        <f>C93</f>
        <v>地域密着型通所介護</v>
      </c>
      <c r="D94" s="111" t="s">
        <v>416</v>
      </c>
      <c r="E94" s="40" t="n">
        <f t="shared" ref="E94:E95" si="32">IF(G93="","",G93)</f>
        <v>0.0</v>
      </c>
      <c r="F94" s="111" t="s">
        <v>415</v>
      </c>
      <c r="G94" s="40" t="n">
        <v>0.0</v>
      </c>
      <c r="H94" s="49" t="str">
        <f>IF(ISERROR(ROUND((G94-E94)/E94*1,3))=TRUE,"－",ROUND((G94-E94)/E94*1,3))</f>
        <v>－</v>
      </c>
      <c r="I94" s="12" t="n">
        <f>data!I30</f>
        <v>-0.3</v>
      </c>
      <c r="J94" s="12" t="n">
        <f>data!J30</f>
        <v>0.35</v>
      </c>
      <c r="K94" s="22" t="str">
        <f t="shared" si="27"/>
        <v/>
      </c>
      <c r="M94" s="1" t="str">
        <f>IF(OR(H94="－",AND(I94="－",J94="－")),"",IF(OR(H94&lt;I94,H94&gt;J94),1,""))</f>
        <v/>
      </c>
      <c r="N94" s="1" t="n">
        <f>IF(AND(E94="",G94=""),"",1)</f>
        <v>1.0</v>
      </c>
    </row>
    <row r="95" spans="1:14" ht="15.75" customHeight="1">
      <c r="B95" s="109"/>
      <c r="C95" s="59" t="str">
        <f>C94</f>
        <v>地域密着型通所介護</v>
      </c>
      <c r="D95" s="112" t="s">
        <v>415</v>
      </c>
      <c r="E95" s="47" t="n">
        <f t="shared" si="32"/>
        <v>0.0</v>
      </c>
      <c r="F95" s="112" t="s">
        <v>414</v>
      </c>
      <c r="G95" s="47" t="n">
        <v>0.0</v>
      </c>
      <c r="H95" s="50" t="str">
        <f>IF(ISERROR(ROUND((G95-E95)/E95*1,3))=TRUE,"－",ROUND((G95-E95)/E95*1,3))</f>
        <v>－</v>
      </c>
      <c r="I95" s="14" t="n">
        <f>I94</f>
        <v>-0.3</v>
      </c>
      <c r="J95" s="14" t="n">
        <f>J94</f>
        <v>0.35</v>
      </c>
      <c r="K95" s="45" t="str">
        <f t="shared" si="27"/>
        <v/>
      </c>
      <c r="M95" s="1" t="str">
        <f>IF(OR(H95="－",AND(I95="－",J95="－")),"",IF(OR(H95&lt;I95,H95&gt;J95),1,""))</f>
        <v/>
      </c>
      <c r="N95" s="1" t="n">
        <f>IF(AND(E95="",G95=""),"",1)</f>
        <v>1.0</v>
      </c>
    </row>
    <row r="96" spans="1:14" ht="15.75" customHeight="1">
      <c r="B96" s="107" t="n">
        <f>B93+1</f>
        <v>20.0</v>
      </c>
      <c r="C96" s="7" t="s">
        <v>42</v>
      </c>
      <c r="D96" s="110" t="s">
        <v>417</v>
      </c>
      <c r="E96" s="46" t="n">
        <v>14.0</v>
      </c>
      <c r="F96" s="110" t="s">
        <v>416</v>
      </c>
      <c r="G96" s="46" t="n">
        <v>15.0</v>
      </c>
      <c r="H96" s="48" t="n">
        <f t="shared" si="29"/>
        <v>0.071</v>
      </c>
      <c r="I96" s="13" t="n">
        <f>I97</f>
        <v>-0.6</v>
      </c>
      <c r="J96" s="13" t="n">
        <f>J97</f>
        <v>0.6</v>
      </c>
      <c r="K96" s="44" t="str">
        <f t="shared" si="27"/>
        <v>閾値の範囲内です。</v>
      </c>
      <c r="M96" s="1" t="str">
        <f t="shared" si="30"/>
        <v/>
      </c>
      <c r="N96" s="1" t="n">
        <f t="shared" si="28"/>
        <v>1.0</v>
      </c>
    </row>
    <row r="97" spans="2:14" ht="15.75" customHeight="1">
      <c r="B97" s="108"/>
      <c r="C97" s="58" t="str">
        <f>C96</f>
        <v>認知症対応型通所介護</v>
      </c>
      <c r="D97" s="111" t="s">
        <v>416</v>
      </c>
      <c r="E97" s="40" t="n">
        <f t="shared" ref="E97:E98" si="33">IF(G96="","",G96)</f>
        <v>15.0</v>
      </c>
      <c r="F97" s="111" t="s">
        <v>415</v>
      </c>
      <c r="G97" s="40" t="n">
        <v>15.0</v>
      </c>
      <c r="H97" s="49" t="n">
        <f t="shared" si="29"/>
        <v>0.0</v>
      </c>
      <c r="I97" s="12" t="n">
        <f>data!I31</f>
        <v>-0.6</v>
      </c>
      <c r="J97" s="12" t="n">
        <f>data!J31</f>
        <v>0.6</v>
      </c>
      <c r="K97" s="22" t="str">
        <f t="shared" si="27"/>
        <v>閾値の範囲内です。</v>
      </c>
      <c r="M97" s="1" t="str">
        <f t="shared" si="30"/>
        <v/>
      </c>
      <c r="N97" s="1" t="n">
        <f t="shared" si="28"/>
        <v>1.0</v>
      </c>
    </row>
    <row r="98" spans="2:14" ht="15.75" customHeight="1">
      <c r="B98" s="109"/>
      <c r="C98" s="59" t="str">
        <f>C97</f>
        <v>認知症対応型通所介護</v>
      </c>
      <c r="D98" s="112" t="s">
        <v>415</v>
      </c>
      <c r="E98" s="47" t="n">
        <f t="shared" si="33"/>
        <v>15.0</v>
      </c>
      <c r="F98" s="112" t="s">
        <v>414</v>
      </c>
      <c r="G98" s="47" t="n">
        <v>15.0</v>
      </c>
      <c r="H98" s="51" t="n">
        <f t="shared" si="29"/>
        <v>0.0</v>
      </c>
      <c r="I98" s="14" t="n">
        <f>I97</f>
        <v>-0.6</v>
      </c>
      <c r="J98" s="14" t="n">
        <f>J97</f>
        <v>0.6</v>
      </c>
      <c r="K98" s="45" t="str">
        <f t="shared" si="27"/>
        <v>閾値の範囲内です。</v>
      </c>
      <c r="M98" s="1" t="str">
        <f t="shared" si="30"/>
        <v/>
      </c>
      <c r="N98" s="1" t="n">
        <f t="shared" si="28"/>
        <v>1.0</v>
      </c>
    </row>
    <row r="99" spans="2:14" ht="15.75" customHeight="1">
      <c r="B99" s="107" t="n">
        <f>B96+1</f>
        <v>21.0</v>
      </c>
      <c r="C99" s="7" t="s">
        <v>39</v>
      </c>
      <c r="D99" s="110" t="s">
        <v>417</v>
      </c>
      <c r="E99" s="46" t="n">
        <v>32.0</v>
      </c>
      <c r="F99" s="110" t="s">
        <v>416</v>
      </c>
      <c r="G99" s="46" t="n">
        <v>30.0</v>
      </c>
      <c r="H99" s="48" t="n">
        <f t="shared" si="29"/>
        <v>-0.063</v>
      </c>
      <c r="I99" s="13" t="n">
        <f>I100</f>
        <v>-0.35</v>
      </c>
      <c r="J99" s="13" t="n">
        <f>J100</f>
        <v>0.35</v>
      </c>
      <c r="K99" s="44" t="str">
        <f t="shared" si="27"/>
        <v>閾値の範囲内です。</v>
      </c>
      <c r="M99" s="1" t="str">
        <f t="shared" si="30"/>
        <v/>
      </c>
      <c r="N99" s="1" t="n">
        <f t="shared" si="28"/>
        <v>1.0</v>
      </c>
    </row>
    <row r="100" spans="2:14" ht="15.75" customHeight="1">
      <c r="B100" s="108"/>
      <c r="C100" s="58" t="str">
        <f>C99</f>
        <v>小規模多機能型居宅介護</v>
      </c>
      <c r="D100" s="111" t="s">
        <v>416</v>
      </c>
      <c r="E100" s="40" t="n">
        <f t="shared" ref="E100:E101" si="34">IF(G99="","",G99)</f>
        <v>30.0</v>
      </c>
      <c r="F100" s="111" t="s">
        <v>415</v>
      </c>
      <c r="G100" s="40" t="n">
        <v>31.0</v>
      </c>
      <c r="H100" s="49" t="n">
        <f t="shared" si="29"/>
        <v>0.033</v>
      </c>
      <c r="I100" s="12" t="n">
        <f>data!I32</f>
        <v>-0.35</v>
      </c>
      <c r="J100" s="12" t="n">
        <f>data!J32</f>
        <v>0.35</v>
      </c>
      <c r="K100" s="22" t="str">
        <f t="shared" si="27"/>
        <v>閾値の範囲内です。</v>
      </c>
      <c r="M100" s="1" t="str">
        <f t="shared" si="30"/>
        <v/>
      </c>
      <c r="N100" s="1" t="n">
        <f t="shared" si="28"/>
        <v>1.0</v>
      </c>
    </row>
    <row r="101" spans="2:14" ht="15.75" customHeight="1">
      <c r="B101" s="109"/>
      <c r="C101" s="59" t="str">
        <f>C100</f>
        <v>小規模多機能型居宅介護</v>
      </c>
      <c r="D101" s="112" t="s">
        <v>415</v>
      </c>
      <c r="E101" s="47" t="n">
        <f t="shared" si="34"/>
        <v>31.0</v>
      </c>
      <c r="F101" s="112" t="s">
        <v>414</v>
      </c>
      <c r="G101" s="47" t="n">
        <v>31.0</v>
      </c>
      <c r="H101" s="51" t="n">
        <f t="shared" si="29"/>
        <v>0.0</v>
      </c>
      <c r="I101" s="14" t="n">
        <f>I100</f>
        <v>-0.35</v>
      </c>
      <c r="J101" s="14" t="n">
        <f>J100</f>
        <v>0.35</v>
      </c>
      <c r="K101" s="45" t="str">
        <f t="shared" si="27"/>
        <v>閾値の範囲内です。</v>
      </c>
      <c r="M101" s="1" t="str">
        <f t="shared" si="30"/>
        <v/>
      </c>
      <c r="N101" s="1" t="n">
        <f t="shared" si="28"/>
        <v>1.0</v>
      </c>
    </row>
    <row r="102" spans="2:14" ht="15.75" customHeight="1">
      <c r="B102" s="107" t="n">
        <f>B99+1</f>
        <v>22.0</v>
      </c>
      <c r="C102" s="7" t="s">
        <v>41</v>
      </c>
      <c r="D102" s="110" t="s">
        <v>417</v>
      </c>
      <c r="E102" s="46" t="n">
        <v>0.0</v>
      </c>
      <c r="F102" s="110" t="s">
        <v>416</v>
      </c>
      <c r="G102" s="46" t="n">
        <v>0.0</v>
      </c>
      <c r="H102" s="48" t="str">
        <f t="shared" ref="H102:H104" si="35">IF(ISERROR(ROUND((G102-E102)/E102*1,3))=TRUE,"－",ROUND((G102-E102)/E102*1,3))</f>
        <v>－</v>
      </c>
      <c r="I102" s="13" t="n">
        <f>I103</f>
        <v>-0.7</v>
      </c>
      <c r="J102" s="13" t="n">
        <f>J103</f>
        <v>0.85</v>
      </c>
      <c r="K102" s="44" t="str">
        <f t="shared" si="27"/>
        <v/>
      </c>
      <c r="M102" s="1" t="str">
        <f t="shared" ref="M102:M104" si="36">IF(OR(H102="－",AND(I102="－",J102="－")),"",IF(OR(H102&lt;I102,H102&gt;J102),1,""))</f>
        <v/>
      </c>
      <c r="N102" s="1" t="n">
        <f t="shared" si="28"/>
        <v>1.0</v>
      </c>
    </row>
    <row r="103" spans="2:14" ht="15.75" customHeight="1">
      <c r="B103" s="108"/>
      <c r="C103" s="58" t="str">
        <f>C102</f>
        <v>看護小規模多機能型居宅介護</v>
      </c>
      <c r="D103" s="111" t="s">
        <v>416</v>
      </c>
      <c r="E103" s="40" t="n">
        <f t="shared" ref="E103:E104" si="37">IF(G102="","",G102)</f>
        <v>0.0</v>
      </c>
      <c r="F103" s="111" t="s">
        <v>415</v>
      </c>
      <c r="G103" s="40" t="n">
        <v>0.0</v>
      </c>
      <c r="H103" s="49" t="str">
        <f t="shared" si="35"/>
        <v>－</v>
      </c>
      <c r="I103" s="12" t="n">
        <f>data!I33</f>
        <v>-0.7</v>
      </c>
      <c r="J103" s="12" t="n">
        <f>data!J33</f>
        <v>0.85</v>
      </c>
      <c r="K103" s="22" t="str">
        <f t="shared" si="27"/>
        <v/>
      </c>
      <c r="M103" s="1" t="str">
        <f t="shared" si="36"/>
        <v/>
      </c>
      <c r="N103" s="1" t="n">
        <f t="shared" si="28"/>
        <v>1.0</v>
      </c>
    </row>
    <row r="104" spans="2:14" ht="15.75" customHeight="1">
      <c r="B104" s="109"/>
      <c r="C104" s="59" t="str">
        <f>C103</f>
        <v>看護小規模多機能型居宅介護</v>
      </c>
      <c r="D104" s="112" t="s">
        <v>415</v>
      </c>
      <c r="E104" s="47" t="n">
        <f t="shared" si="37"/>
        <v>0.0</v>
      </c>
      <c r="F104" s="112" t="s">
        <v>414</v>
      </c>
      <c r="G104" s="47" t="n">
        <v>0.0</v>
      </c>
      <c r="H104" s="50" t="str">
        <f t="shared" si="35"/>
        <v>－</v>
      </c>
      <c r="I104" s="14" t="n">
        <f>I103</f>
        <v>-0.7</v>
      </c>
      <c r="J104" s="14" t="n">
        <f>J103</f>
        <v>0.85</v>
      </c>
      <c r="K104" s="45" t="str">
        <f t="shared" si="27"/>
        <v/>
      </c>
      <c r="M104" s="1" t="str">
        <f t="shared" si="36"/>
        <v/>
      </c>
      <c r="N104" s="1" t="n">
        <f t="shared" si="28"/>
        <v>1.0</v>
      </c>
    </row>
    <row r="105" spans="2:14" ht="15.75" hidden="1" customHeight="1">
      <c r="B105" s="107" t="n">
        <f>B102+1</f>
        <v>23.0</v>
      </c>
      <c r="C105" s="7"/>
      <c r="D105" s="110" t="s">
        <v>417</v>
      </c>
      <c r="E105" s="123"/>
      <c r="F105" s="110" t="s">
        <v>416</v>
      </c>
      <c r="G105" s="123"/>
      <c r="H105" s="48" t="str">
        <f t="shared" ref="H105:H107" si="38">IF(ISERROR(ROUND((G105-E105)/E105*1,3))=TRUE,"－",ROUND((G105-E105)/E105*1,3))</f>
        <v>－</v>
      </c>
      <c r="I105" s="114" t="str">
        <f>I106</f>
        <v>－</v>
      </c>
      <c r="J105" s="114" t="str">
        <f>J106</f>
        <v>－</v>
      </c>
      <c r="K105" s="44" t="s">
        <v>120</v>
      </c>
      <c r="M105" s="1" t="str">
        <f t="shared" ref="M105:M107" si="39">IF(OR(H105="－",AND(I105="－",J105="－")),"",IF(OR(H105&lt;I105,H105&gt;J105),1,""))</f>
        <v/>
      </c>
      <c r="N105" s="1" t="str">
        <f t="shared" ref="N105:N107" si="40">IF(AND(E105="",G105=""),"",1)</f>
        <v/>
      </c>
    </row>
    <row r="106" spans="2:14" ht="15.75" hidden="1" customHeight="1">
      <c r="B106" s="108"/>
      <c r="C106" s="58"/>
      <c r="D106" s="111" t="s">
        <v>416</v>
      </c>
      <c r="E106" s="125"/>
      <c r="F106" s="111" t="s">
        <v>415</v>
      </c>
      <c r="G106" s="125"/>
      <c r="H106" s="49" t="str">
        <f t="shared" si="38"/>
        <v>－</v>
      </c>
      <c r="I106" s="115" t="s">
        <v>119</v>
      </c>
      <c r="J106" s="115" t="s">
        <v>119</v>
      </c>
      <c r="K106" s="22" t="s">
        <v>120</v>
      </c>
      <c r="M106" s="1" t="str">
        <f t="shared" si="39"/>
        <v/>
      </c>
      <c r="N106" s="1" t="str">
        <f t="shared" si="40"/>
        <v/>
      </c>
    </row>
    <row r="107" spans="2:14" ht="15.75" hidden="1" customHeight="1">
      <c r="B107" s="109"/>
      <c r="C107" s="59"/>
      <c r="D107" s="112" t="s">
        <v>415</v>
      </c>
      <c r="E107" s="124"/>
      <c r="F107" s="112" t="s">
        <v>414</v>
      </c>
      <c r="G107" s="124"/>
      <c r="H107" s="50" t="str">
        <f t="shared" si="38"/>
        <v>－</v>
      </c>
      <c r="I107" s="116" t="str">
        <f>I106</f>
        <v>－</v>
      </c>
      <c r="J107" s="116" t="str">
        <f>J106</f>
        <v>－</v>
      </c>
      <c r="K107" s="45" t="s">
        <v>120</v>
      </c>
      <c r="M107" s="1" t="str">
        <f t="shared" si="39"/>
        <v/>
      </c>
      <c r="N107" s="1" t="str">
        <f t="shared" si="40"/>
        <v/>
      </c>
    </row>
    <row r="108" spans="2:14">
      <c r="N108" s="1" t="n">
        <f>IF(COUNTIF(N37:N104,1)&gt;0,1,"")</f>
        <v>1.0</v>
      </c>
    </row>
  </sheetData>
  <mergeCells count="6">
    <mergeCell ref="K35:K36"/>
    <mergeCell ref="B35:B36"/>
    <mergeCell ref="C35:C36"/>
    <mergeCell ref="D35:G36"/>
    <mergeCell ref="H35:H36"/>
    <mergeCell ref="I35:J35"/>
  </mergeCells>
  <phoneticPr fontId="2"/>
  <conditionalFormatting sqref="K38:K85">
    <cfRule type="expression" dxfId="19" priority="1">
      <formula>I38&gt;H38</formula>
    </cfRule>
    <cfRule type="expression" dxfId="18" priority="2">
      <formula>H38&gt;J38</formula>
    </cfRule>
  </conditionalFormatting>
  <conditionalFormatting sqref="K87:K107">
    <cfRule type="expression" dxfId="17" priority="3">
      <formula>I87&gt;H87</formula>
    </cfRule>
    <cfRule type="expression" dxfId="16" priority="4">
      <formula>H87&gt;J87</formula>
    </cfRule>
  </conditionalFormatting>
  <dataValidations count="1">
    <dataValidation imeMode="disabled" allowBlank="1" showInputMessage="1" showErrorMessage="1" sqref="I93:J93 I71:J71 I65:J65 I62:J62 I59:J59 I44:J44 I47:J47 I53:J53 I56:J56 I50:J50 I74:J74 I77:J77 I80:J80 I87:J87 I99:J99 I96:J96 I90:J90 I38:J38 I41:J41 I102:J102 I68:J68 I105:J105 I83:J83" xr:uid="{00000000-0002-0000-03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rowBreaks count="1" manualBreakCount="1">
    <brk id="70"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73"/>
  <sheetViews>
    <sheetView view="pageBreakPreview" zoomScaleNormal="100" zoomScaleSheetLayoutView="100" workbookViewId="0">
      <pane xSplit="5" ySplit="6" topLeftCell="F7" activePane="bottomRight" state="frozen"/>
      <selection activeCell="F7" sqref="F7"/>
      <selection pane="topRight" activeCell="F7" sqref="F7"/>
      <selection pane="bottomLeft" activeCell="F7" sqref="F7"/>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0.2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7.5" collapsed="false"/>
    <col min="9" max="10" bestFit="true" customWidth="true" style="4" width="8.75" collapsed="false"/>
    <col min="11" max="11" customWidth="true" style="1" width="27.0" collapsed="false"/>
    <col min="12" max="12" style="1" width="9.0" collapsed="false"/>
    <col min="13" max="16" customWidth="true" hidden="true" style="1" width="9.0" collapsed="false"/>
    <col min="17" max="16384" style="1" width="9.0" collapsed="false"/>
  </cols>
  <sheetData>
    <row r="1" spans="1:16" ht="19.5" customHeight="1">
      <c r="A1" s="63" t="s">
        <v>60</v>
      </c>
      <c r="I1" s="1"/>
      <c r="K1" s="4"/>
    </row>
    <row r="2" spans="1:16" ht="13.5" customHeight="1">
      <c r="A2" s="63"/>
      <c r="I2" s="1"/>
      <c r="K2" s="4"/>
    </row>
    <row r="3" spans="1:16" ht="16.5" customHeight="1">
      <c r="B3" s="63" t="s">
        <v>90</v>
      </c>
      <c r="I3" s="1"/>
      <c r="K3" s="4"/>
    </row>
    <row r="4" spans="1:16" ht="7.5" customHeight="1"/>
    <row r="5" spans="1:16" ht="15.75" customHeight="1">
      <c r="B5" s="150" t="s">
        <v>0</v>
      </c>
      <c r="C5" s="150" t="s">
        <v>2</v>
      </c>
      <c r="D5" s="159" t="s">
        <v>58</v>
      </c>
      <c r="E5" s="160"/>
      <c r="F5" s="163" t="s">
        <v>52</v>
      </c>
      <c r="G5" s="150" t="s">
        <v>54</v>
      </c>
      <c r="H5" s="151" t="s">
        <v>55</v>
      </c>
      <c r="I5" s="152" t="s">
        <v>21</v>
      </c>
      <c r="J5" s="152"/>
      <c r="K5" s="149" t="s">
        <v>22</v>
      </c>
    </row>
    <row r="6" spans="1:16" s="2" customFormat="1" ht="15.75" customHeight="1">
      <c r="B6" s="150"/>
      <c r="C6" s="150"/>
      <c r="D6" s="161"/>
      <c r="E6" s="162"/>
      <c r="F6" s="163"/>
      <c r="G6" s="150"/>
      <c r="H6" s="151"/>
      <c r="I6" s="5" t="s">
        <v>4</v>
      </c>
      <c r="J6" s="5" t="s">
        <v>3</v>
      </c>
      <c r="K6" s="149"/>
    </row>
    <row r="7" spans="1:16" ht="15.75" customHeight="1">
      <c r="B7" s="6">
        <v>1</v>
      </c>
      <c r="C7" s="7" t="s">
        <v>82</v>
      </c>
      <c r="D7" s="164" t="s">
        <v>416</v>
      </c>
      <c r="E7" s="15" t="s">
        <v>50</v>
      </c>
      <c r="F7" s="35" t="n">
        <f>IF('(参考)1人(1回(日))1月あたり給付費(在宅)'!$O$517="","",O7)</f>
        <v>9737340.0</v>
      </c>
      <c r="G7" s="36" t="n">
        <f>IF('(参考)1人(1回(日))1月あたり給付費(在宅)'!$O$517="","",P7)</f>
        <v>78.0</v>
      </c>
      <c r="H7" s="52" t="n">
        <f t="shared" ref="H7:H30" si="0">IF(ISERROR((F7/G7)/12)=TRUE,"－",(F7/G7)/12)</f>
        <v>10403.141025641025</v>
      </c>
      <c r="I7" s="16" t="n">
        <f>data!I34</f>
        <v>5290.0</v>
      </c>
      <c r="J7" s="16" t="n">
        <f>data!J34</f>
        <v>14725.0</v>
      </c>
      <c r="K7" s="22" t="str">
        <f t="shared" ref="K7:K24" si="1">IF(H7="－","",IF(H7&lt;I7,"下限値を\"&amp;TEXT(ROUND(I7-H7,0),"#,##0")&amp;"下回っています。",IF(H7&gt;J7,"上限値を\"&amp;TEXT(ROUND(H7-J7,0),"#,##0")&amp;"上回っています。","閾値の範囲内です。")))</f>
        <v>閾値の範囲内です。</v>
      </c>
      <c r="L7" s="11"/>
      <c r="M7" s="1" t="str">
        <f>IF(OR(H7="－",AND(I7="－",J7="－")),"",IF(OR(H7&lt;I7,H7&gt;J7),1,""))</f>
        <v/>
      </c>
      <c r="N7" s="1" t="n">
        <f>IF(AND(F7="",G7=""),"",1)</f>
        <v>1.0</v>
      </c>
      <c r="O7" s="102" t="n">
        <f>SUM('(参考)1人(1回(日))1月あたり給付費(在宅)'!F25,'(参考)1人(1回(日))1月あたり給付費(在宅)'!F49,'(参考)1人(1回(日))1月あたり給付費(在宅)'!F73,'(参考)1人(1回(日))1月あたり給付費(在宅)'!F97,'(参考)1人(1回(日))1月あたり給付費(在宅)'!F139,'(参考)1人(1回(日))1月あたり給付費(在宅)'!F163,'(参考)1人(1回(日))1月あたり給付費(在宅)'!F187,'(参考)1人(1回(日))1月あたり給付費(在宅)'!F211,'(参考)1人(1回(日))1月あたり給付費(在宅)'!F259,'(参考)1人(1回(日))1月あたり給付費(在宅)'!F283,'(参考)1人(1回(日))1月あたり給付費(在宅)'!F307,'(参考)1人(1回(日))1月あたり給付費(在宅)'!F331,'(参考)1人(1回(日))1月あたり給付費(在宅)'!F433,'(参考)1人(1回(日))1月あたり給付費(在宅)'!F457)</f>
        <v>9737340.0</v>
      </c>
      <c r="P7" s="1" t="n">
        <f>SUM('(参考)1人(1回(日))1月あたり給付費(在宅)'!G25,'(参考)1人(1回(日))1月あたり給付費(在宅)'!G49,'(参考)1人(1回(日))1月あたり給付費(在宅)'!G73,'(参考)1人(1回(日))1月あたり給付費(在宅)'!G97,'(参考)1人(1回(日))1月あたり給付費(在宅)'!G139,'(参考)1人(1回(日))1月あたり給付費(在宅)'!G163,'(参考)1人(1回(日))1月あたり給付費(在宅)'!G187,'(参考)1人(1回(日))1月あたり給付費(在宅)'!G211,'(参考)1人(1回(日))1月あたり給付費(在宅)'!G259,'(参考)1人(1回(日))1月あたり給付費(在宅)'!G283,'(参考)1人(1回(日))1月あたり給付費(在宅)'!G307,'(参考)1人(1回(日))1月あたり給付費(在宅)'!G331,'(参考)1人(1回(日))1月あたり給付費(在宅)'!G433,'(参考)1人(1回(日))1月あたり給付費(在宅)'!G457)</f>
        <v>78.0</v>
      </c>
    </row>
    <row r="8" spans="1:16" ht="15.75" customHeight="1">
      <c r="B8" s="8"/>
      <c r="C8" s="58" t="str">
        <f t="shared" ref="C8:C30" si="2">C7</f>
        <v>在宅サービス</v>
      </c>
      <c r="D8" s="165"/>
      <c r="E8" s="18" t="s">
        <v>51</v>
      </c>
      <c r="F8" s="37" t="n">
        <f>IF('(参考)1人(1回(日))1月あたり給付費(在宅)'!$O$517="","",O8)</f>
        <v>2.78856072E7</v>
      </c>
      <c r="G8" s="38" t="n">
        <f>IF('(参考)1人(1回(日))1月あたり給付費(在宅)'!$O$517="","",P8)</f>
        <v>146.0</v>
      </c>
      <c r="H8" s="53" t="n">
        <f t="shared" si="0"/>
        <v>15916.442465753424</v>
      </c>
      <c r="I8" s="31" t="n">
        <f>data!I35</f>
        <v>5555.0</v>
      </c>
      <c r="J8" s="31" t="n">
        <f>data!J35</f>
        <v>20285.0</v>
      </c>
      <c r="K8" s="22" t="str">
        <f t="shared" si="1"/>
        <v>閾値の範囲内です。</v>
      </c>
      <c r="L8" s="11"/>
      <c r="M8" s="1" t="str">
        <f t="shared" ref="M8:M30" si="3">IF(OR(H8="－",AND(I8="－",J8="－")),"",IF(OR(H8&lt;I8,H8&gt;J8),1,""))</f>
        <v/>
      </c>
      <c r="N8" s="1" t="n">
        <f t="shared" ref="N8:N13" si="4">IF(AND(F8="",G8=""),"",1)</f>
        <v>1.0</v>
      </c>
      <c r="O8" s="102" t="n">
        <f>SUM('(参考)1人(1回(日))1月あたり給付費(在宅)'!F26,'(参考)1人(1回(日))1月あたり給付費(在宅)'!F50,'(参考)1人(1回(日))1月あたり給付費(在宅)'!F74,'(参考)1人(1回(日))1月あたり給付費(在宅)'!F98,'(参考)1人(1回(日))1月あたり給付費(在宅)'!F140,'(参考)1人(1回(日))1月あたり給付費(在宅)'!F164,'(参考)1人(1回(日))1月あたり給付費(在宅)'!F188,'(参考)1人(1回(日))1月あたり給付費(在宅)'!F212,'(参考)1人(1回(日))1月あたり給付費(在宅)'!F260,'(参考)1人(1回(日))1月あたり給付費(在宅)'!F284,'(参考)1人(1回(日))1月あたり給付費(在宅)'!F308,'(参考)1人(1回(日))1月あたり給付費(在宅)'!F332,'(参考)1人(1回(日))1月あたり給付費(在宅)'!F434,'(参考)1人(1回(日))1月あたり給付費(在宅)'!F458)</f>
        <v>2.78856072E7</v>
      </c>
      <c r="P8" s="1" t="n">
        <f>SUM('(参考)1人(1回(日))1月あたり給付費(在宅)'!G26,'(参考)1人(1回(日))1月あたり給付費(在宅)'!G50,'(参考)1人(1回(日))1月あたり給付費(在宅)'!G74,'(参考)1人(1回(日))1月あたり給付費(在宅)'!G98,'(参考)1人(1回(日))1月あたり給付費(在宅)'!G140,'(参考)1人(1回(日))1月あたり給付費(在宅)'!G164,'(参考)1人(1回(日))1月あたり給付費(在宅)'!G188,'(参考)1人(1回(日))1月あたり給付費(在宅)'!G212,'(参考)1人(1回(日))1月あたり給付費(在宅)'!G260,'(参考)1人(1回(日))1月あたり給付費(在宅)'!G284,'(参考)1人(1回(日))1月あたり給付費(在宅)'!G308,'(参考)1人(1回(日))1月あたり給付費(在宅)'!G332,'(参考)1人(1回(日))1月あたり給付費(在宅)'!G434,'(参考)1人(1回(日))1月あたり給付費(在宅)'!G458)</f>
        <v>146.0</v>
      </c>
    </row>
    <row r="9" spans="1:16" ht="15.75" customHeight="1">
      <c r="B9" s="8"/>
      <c r="C9" s="58" t="str">
        <f t="shared" si="2"/>
        <v>在宅サービス</v>
      </c>
      <c r="D9" s="165"/>
      <c r="E9" s="18" t="s">
        <v>44</v>
      </c>
      <c r="F9" s="39" t="n">
        <f>IF('(参考)1人(1回(日))1月あたり給付費(在宅)'!$O$517="","",O9)</f>
        <v>9.85261848E7</v>
      </c>
      <c r="G9" s="40" t="n">
        <f>IF('(参考)1人(1回(日))1月あたり給付費(在宅)'!$O$517="","",P9)</f>
        <v>267.0</v>
      </c>
      <c r="H9" s="53" t="n">
        <f t="shared" si="0"/>
        <v>30750.994007490634</v>
      </c>
      <c r="I9" s="21" t="n">
        <f>data!I36</f>
        <v>19435.0</v>
      </c>
      <c r="J9" s="21" t="n">
        <f>data!J36</f>
        <v>43955.0</v>
      </c>
      <c r="K9" s="22" t="str">
        <f t="shared" si="1"/>
        <v>閾値の範囲内です。</v>
      </c>
      <c r="L9" s="11"/>
      <c r="M9" s="1" t="str">
        <f t="shared" si="3"/>
        <v/>
      </c>
      <c r="N9" s="1" t="n">
        <f t="shared" si="4"/>
        <v>1.0</v>
      </c>
      <c r="O9" s="102" t="n">
        <f>SUM('(参考)1人(1回(日))1月あたり給付費(在宅)'!F7,'(参考)1人(1回(日))1月あたり給付費(在宅)'!F27,'(参考)1人(1回(日))1月あたり給付費(在宅)'!F51,'(参考)1人(1回(日))1月あたり給付費(在宅)'!F75,'(参考)1人(1回(日))1月あたり給付費(在宅)'!F99,'(参考)1人(1回(日))1月あたり給付費(在宅)'!F121,'(参考)1人(1回(日))1月あたり給付費(在宅)'!F141,'(参考)1人(1回(日))1月あたり給付費(在宅)'!F165,'(参考)1人(1回(日))1月あたり給付費(在宅)'!F189,'(参考)1人(1回(日))1月あたり給付費(在宅)'!F213,'(参考)1人(1回(日))1月あたり給付費(在宅)'!F261,'(参考)1人(1回(日))1月あたり給付費(在宅)'!F285,'(参考)1人(1回(日))1月あたり給付費(在宅)'!F309,'(参考)1人(1回(日))1月あたり給付費(在宅)'!F333,'(参考)1人(1回(日))1月あたり給付費(在宅)'!F379,'(参考)1人(1回(日))1月あたり給付費(在宅)'!F397,'(参考)1人(1回(日))1月あたり給付費(在宅)'!F435,'(参考)1人(1回(日))1月あたり給付費(在宅)'!F459,'(参考)1人(1回(日))1月あたり給付費(在宅)'!F481,'(参考)1人(1回(日))1月あたり給付費(在宅)'!F415)</f>
        <v>9.85261848E7</v>
      </c>
      <c r="P9" s="1" t="n">
        <f>SUM('(参考)1人(1回(日))1月あたり給付費(在宅)'!G7,'(参考)1人(1回(日))1月あたり給付費(在宅)'!G27,'(参考)1人(1回(日))1月あたり給付費(在宅)'!G51,'(参考)1人(1回(日))1月あたり給付費(在宅)'!G75,'(参考)1人(1回(日))1月あたり給付費(在宅)'!G99,'(参考)1人(1回(日))1月あたり給付費(在宅)'!G121,'(参考)1人(1回(日))1月あたり給付費(在宅)'!G141,'(参考)1人(1回(日))1月あたり給付費(在宅)'!G165,'(参考)1人(1回(日))1月あたり給付費(在宅)'!G189,'(参考)1人(1回(日))1月あたり給付費(在宅)'!G213,'(参考)1人(1回(日))1月あたり給付費(在宅)'!G261,'(参考)1人(1回(日))1月あたり給付費(在宅)'!G285,'(参考)1人(1回(日))1月あたり給付費(在宅)'!G309,'(参考)1人(1回(日))1月あたり給付費(在宅)'!G333,'(参考)1人(1回(日))1月あたり給付費(在宅)'!G379,'(参考)1人(1回(日))1月あたり給付費(在宅)'!G397,'(参考)1人(1回(日))1月あたり給付費(在宅)'!G435,'(参考)1人(1回(日))1月あたり給付費(在宅)'!G459,'(参考)1人(1回(日))1月あたり給付費(在宅)'!G481,'(参考)1人(1回(日))1月あたり給付費(在宅)'!G415)</f>
        <v>267.0</v>
      </c>
    </row>
    <row r="10" spans="1:16" ht="15.75" customHeight="1">
      <c r="B10" s="8"/>
      <c r="C10" s="58" t="str">
        <f t="shared" si="2"/>
        <v>在宅サービス</v>
      </c>
      <c r="D10" s="165"/>
      <c r="E10" s="18" t="s">
        <v>45</v>
      </c>
      <c r="F10" s="39" t="n">
        <f>IF('(参考)1人(1回(日))1月あたり給付費(在宅)'!$O$517="","",O10)</f>
        <v>1.01057376E8</v>
      </c>
      <c r="G10" s="40" t="n">
        <f>IF('(参考)1人(1回(日))1月あたり給付費(在宅)'!$O$517="","",P10)</f>
        <v>216.0</v>
      </c>
      <c r="H10" s="53" t="n">
        <f t="shared" si="0"/>
        <v>38988.18518518519</v>
      </c>
      <c r="I10" s="21" t="n">
        <f>data!I37</f>
        <v>24565.0</v>
      </c>
      <c r="J10" s="21" t="n">
        <f>data!J37</f>
        <v>51160.0</v>
      </c>
      <c r="K10" s="22" t="str">
        <f t="shared" si="1"/>
        <v>閾値の範囲内です。</v>
      </c>
      <c r="L10" s="11"/>
      <c r="M10" s="1" t="str">
        <f t="shared" si="3"/>
        <v/>
      </c>
      <c r="N10" s="1" t="n">
        <f t="shared" si="4"/>
        <v>1.0</v>
      </c>
      <c r="O10" s="102" t="n">
        <f>SUM('(参考)1人(1回(日))1月あたり給付費(在宅)'!F8,'(参考)1人(1回(日))1月あたり給付費(在宅)'!F28,'(参考)1人(1回(日))1月あたり給付費(在宅)'!F52,'(参考)1人(1回(日))1月あたり給付費(在宅)'!F76,'(参考)1人(1回(日))1月あたり給付費(在宅)'!F100,'(参考)1人(1回(日))1月あたり給付費(在宅)'!F122,'(参考)1人(1回(日))1月あたり給付費(在宅)'!F142,'(参考)1人(1回(日))1月あたり給付費(在宅)'!F166,'(参考)1人(1回(日))1月あたり給付費(在宅)'!F190,'(参考)1人(1回(日))1月あたり給付費(在宅)'!F214,'(参考)1人(1回(日))1月あたり給付費(在宅)'!F262,'(参考)1人(1回(日))1月あたり給付費(在宅)'!F286,'(参考)1人(1回(日))1月あたり給付費(在宅)'!F310,'(参考)1人(1回(日))1月あたり給付費(在宅)'!F334,'(参考)1人(1回(日))1月あたり給付費(在宅)'!F380,'(参考)1人(1回(日))1月あたり給付費(在宅)'!F398,'(参考)1人(1回(日))1月あたり給付費(在宅)'!F436,'(参考)1人(1回(日))1月あたり給付費(在宅)'!F460,'(参考)1人(1回(日))1月あたり給付費(在宅)'!F482,'(参考)1人(1回(日))1月あたり給付費(在宅)'!F416)</f>
        <v>1.01057376E8</v>
      </c>
      <c r="P10" s="1" t="n">
        <f>SUM('(参考)1人(1回(日))1月あたり給付費(在宅)'!G8,'(参考)1人(1回(日))1月あたり給付費(在宅)'!G28,'(参考)1人(1回(日))1月あたり給付費(在宅)'!G52,'(参考)1人(1回(日))1月あたり給付費(在宅)'!G76,'(参考)1人(1回(日))1月あたり給付費(在宅)'!G100,'(参考)1人(1回(日))1月あたり給付費(在宅)'!G122,'(参考)1人(1回(日))1月あたり給付費(在宅)'!G142,'(参考)1人(1回(日))1月あたり給付費(在宅)'!G166,'(参考)1人(1回(日))1月あたり給付費(在宅)'!G190,'(参考)1人(1回(日))1月あたり給付費(在宅)'!G214,'(参考)1人(1回(日))1月あたり給付費(在宅)'!G262,'(参考)1人(1回(日))1月あたり給付費(在宅)'!G286,'(参考)1人(1回(日))1月あたり給付費(在宅)'!G310,'(参考)1人(1回(日))1月あたり給付費(在宅)'!G334,'(参考)1人(1回(日))1月あたり給付費(在宅)'!G380,'(参考)1人(1回(日))1月あたり給付費(在宅)'!G398,'(参考)1人(1回(日))1月あたり給付費(在宅)'!G436,'(参考)1人(1回(日))1月あたり給付費(在宅)'!G460,'(参考)1人(1回(日))1月あたり給付費(在宅)'!G482,'(参考)1人(1回(日))1月あたり給付費(在宅)'!G416)</f>
        <v>216.0</v>
      </c>
    </row>
    <row r="11" spans="1:16" ht="15.75" customHeight="1">
      <c r="B11" s="8"/>
      <c r="C11" s="58" t="str">
        <f t="shared" si="2"/>
        <v>在宅サービス</v>
      </c>
      <c r="D11" s="165"/>
      <c r="E11" s="18" t="s">
        <v>46</v>
      </c>
      <c r="F11" s="39" t="n">
        <f>IF('(参考)1人(1回(日))1月あたり給付費(在宅)'!$O$517="","",O11)</f>
        <v>1.615589196E8</v>
      </c>
      <c r="G11" s="40" t="n">
        <f>IF('(参考)1人(1回(日))1月あたり給付費(在宅)'!$O$517="","",P11)</f>
        <v>246.0</v>
      </c>
      <c r="H11" s="53" t="n">
        <f t="shared" si="0"/>
        <v>54728.631300813</v>
      </c>
      <c r="I11" s="21" t="n">
        <f>data!I38</f>
        <v>33300.0</v>
      </c>
      <c r="J11" s="21" t="n">
        <f>data!J38</f>
        <v>70005.0</v>
      </c>
      <c r="K11" s="22" t="str">
        <f t="shared" si="1"/>
        <v>閾値の範囲内です。</v>
      </c>
      <c r="L11" s="11"/>
      <c r="M11" s="1" t="str">
        <f t="shared" si="3"/>
        <v/>
      </c>
      <c r="N11" s="1" t="n">
        <f t="shared" si="4"/>
        <v>1.0</v>
      </c>
      <c r="O11" s="102" t="n">
        <f>SUM('(参考)1人(1回(日))1月あたり給付費(在宅)'!F9,'(参考)1人(1回(日))1月あたり給付費(在宅)'!F29,'(参考)1人(1回(日))1月あたり給付費(在宅)'!F53,'(参考)1人(1回(日))1月あたり給付費(在宅)'!F77,'(参考)1人(1回(日))1月あたり給付費(在宅)'!F101,'(参考)1人(1回(日))1月あたり給付費(在宅)'!F123,'(参考)1人(1回(日))1月あたり給付費(在宅)'!F143,'(参考)1人(1回(日))1月あたり給付費(在宅)'!F167,'(参考)1人(1回(日))1月あたり給付費(在宅)'!F191,'(参考)1人(1回(日))1月あたり給付費(在宅)'!F215,'(参考)1人(1回(日))1月あたり給付費(在宅)'!F263,'(参考)1人(1回(日))1月あたり給付費(在宅)'!F287,'(参考)1人(1回(日))1月あたり給付費(在宅)'!F311,'(参考)1人(1回(日))1月あたり給付費(在宅)'!F335,'(参考)1人(1回(日))1月あたり給付費(在宅)'!F381,'(参考)1人(1回(日))1月あたり給付費(在宅)'!F399,'(参考)1人(1回(日))1月あたり給付費(在宅)'!F437,'(参考)1人(1回(日))1月あたり給付費(在宅)'!F461,'(参考)1人(1回(日))1月あたり給付費(在宅)'!F483,'(参考)1人(1回(日))1月あたり給付費(在宅)'!F417)</f>
        <v>1.615589196E8</v>
      </c>
      <c r="P11" s="1" t="n">
        <f>SUM('(参考)1人(1回(日))1月あたり給付費(在宅)'!G9,'(参考)1人(1回(日))1月あたり給付費(在宅)'!G29,'(参考)1人(1回(日))1月あたり給付費(在宅)'!G53,'(参考)1人(1回(日))1月あたり給付費(在宅)'!G77,'(参考)1人(1回(日))1月あたり給付費(在宅)'!G101,'(参考)1人(1回(日))1月あたり給付費(在宅)'!G123,'(参考)1人(1回(日))1月あたり給付費(在宅)'!G143,'(参考)1人(1回(日))1月あたり給付費(在宅)'!G167,'(参考)1人(1回(日))1月あたり給付費(在宅)'!G191,'(参考)1人(1回(日))1月あたり給付費(在宅)'!G215,'(参考)1人(1回(日))1月あたり給付費(在宅)'!G263,'(参考)1人(1回(日))1月あたり給付費(在宅)'!G287,'(参考)1人(1回(日))1月あたり給付費(在宅)'!G311,'(参考)1人(1回(日))1月あたり給付費(在宅)'!G335,'(参考)1人(1回(日))1月あたり給付費(在宅)'!G381,'(参考)1人(1回(日))1月あたり給付費(在宅)'!G399,'(参考)1人(1回(日))1月あたり給付費(在宅)'!G437,'(参考)1人(1回(日))1月あたり給付費(在宅)'!G461,'(参考)1人(1回(日))1月あたり給付費(在宅)'!G483,'(参考)1人(1回(日))1月あたり給付費(在宅)'!G417)</f>
        <v>246.0</v>
      </c>
    </row>
    <row r="12" spans="1:16" ht="15.75" customHeight="1">
      <c r="B12" s="8"/>
      <c r="C12" s="58" t="str">
        <f t="shared" si="2"/>
        <v>在宅サービス</v>
      </c>
      <c r="D12" s="165"/>
      <c r="E12" s="18" t="s">
        <v>47</v>
      </c>
      <c r="F12" s="39" t="n">
        <f>IF('(参考)1人(1回(日))1月あたり給付費(在宅)'!$O$517="","",O12)</f>
        <v>9.64237272E7</v>
      </c>
      <c r="G12" s="40" t="n">
        <f>IF('(参考)1人(1回(日))1月あたり給付費(在宅)'!$O$517="","",P12)</f>
        <v>137.0</v>
      </c>
      <c r="H12" s="53" t="n">
        <f t="shared" si="0"/>
        <v>58651.90218978102</v>
      </c>
      <c r="I12" s="21" t="n">
        <f>data!I39</f>
        <v>36055.0</v>
      </c>
      <c r="J12" s="21" t="n">
        <f>data!J39</f>
        <v>78330.0</v>
      </c>
      <c r="K12" s="22" t="str">
        <f t="shared" si="1"/>
        <v>閾値の範囲内です。</v>
      </c>
      <c r="L12" s="11"/>
      <c r="M12" s="1" t="str">
        <f t="shared" si="3"/>
        <v/>
      </c>
      <c r="N12" s="1" t="n">
        <f t="shared" si="4"/>
        <v>1.0</v>
      </c>
      <c r="O12" s="102" t="n">
        <f>SUM('(参考)1人(1回(日))1月あたり給付費(在宅)'!F10,'(参考)1人(1回(日))1月あたり給付費(在宅)'!F30,'(参考)1人(1回(日))1月あたり給付費(在宅)'!F54,'(参考)1人(1回(日))1月あたり給付費(在宅)'!F78,'(参考)1人(1回(日))1月あたり給付費(在宅)'!F102,'(参考)1人(1回(日))1月あたり給付費(在宅)'!F124,'(参考)1人(1回(日))1月あたり給付費(在宅)'!F144,'(参考)1人(1回(日))1月あたり給付費(在宅)'!F168,'(参考)1人(1回(日))1月あたり給付費(在宅)'!F192,'(参考)1人(1回(日))1月あたり給付費(在宅)'!F216,'(参考)1人(1回(日))1月あたり給付費(在宅)'!F264,'(参考)1人(1回(日))1月あたり給付費(在宅)'!F288,'(参考)1人(1回(日))1月あたり給付費(在宅)'!F312,'(参考)1人(1回(日))1月あたり給付費(在宅)'!F336,'(参考)1人(1回(日))1月あたり給付費(在宅)'!F382,'(参考)1人(1回(日))1月あたり給付費(在宅)'!F400,'(参考)1人(1回(日))1月あたり給付費(在宅)'!F438,'(参考)1人(1回(日))1月あたり給付費(在宅)'!F462,'(参考)1人(1回(日))1月あたり給付費(在宅)'!F484,'(参考)1人(1回(日))1月あたり給付費(在宅)'!F418)</f>
        <v>9.64237272E7</v>
      </c>
      <c r="P12" s="1" t="n">
        <f>SUM('(参考)1人(1回(日))1月あたり給付費(在宅)'!G10,'(参考)1人(1回(日))1月あたり給付費(在宅)'!G30,'(参考)1人(1回(日))1月あたり給付費(在宅)'!G54,'(参考)1人(1回(日))1月あたり給付費(在宅)'!G78,'(参考)1人(1回(日))1月あたり給付費(在宅)'!G102,'(参考)1人(1回(日))1月あたり給付費(在宅)'!G124,'(参考)1人(1回(日))1月あたり給付費(在宅)'!G144,'(参考)1人(1回(日))1月あたり給付費(在宅)'!G168,'(参考)1人(1回(日))1月あたり給付費(在宅)'!G192,'(参考)1人(1回(日))1月あたり給付費(在宅)'!G216,'(参考)1人(1回(日))1月あたり給付費(在宅)'!G264,'(参考)1人(1回(日))1月あたり給付費(在宅)'!G288,'(参考)1人(1回(日))1月あたり給付費(在宅)'!G312,'(参考)1人(1回(日))1月あたり給付費(在宅)'!G336,'(参考)1人(1回(日))1月あたり給付費(在宅)'!G382,'(参考)1人(1回(日))1月あたり給付費(在宅)'!G400,'(参考)1人(1回(日))1月あたり給付費(在宅)'!G438,'(参考)1人(1回(日))1月あたり給付費(在宅)'!G462,'(参考)1人(1回(日))1月あたり給付費(在宅)'!G484,'(参考)1人(1回(日))1月あたり給付費(在宅)'!G418)</f>
        <v>137.0</v>
      </c>
    </row>
    <row r="13" spans="1:16" ht="15.75" customHeight="1">
      <c r="B13" s="8"/>
      <c r="C13" s="58" t="str">
        <f t="shared" si="2"/>
        <v>在宅サービス</v>
      </c>
      <c r="D13" s="165"/>
      <c r="E13" s="18" t="s">
        <v>48</v>
      </c>
      <c r="F13" s="39" t="n">
        <f>IF('(参考)1人(1回(日))1月あたり給付費(在宅)'!$O$517="","",O13)</f>
        <v>2.82187668E7</v>
      </c>
      <c r="G13" s="40" t="n">
        <f>IF('(参考)1人(1回(日))1月あたり給付費(在宅)'!$O$517="","",P13)</f>
        <v>37.0</v>
      </c>
      <c r="H13" s="53" t="n">
        <f t="shared" si="0"/>
        <v>63555.781081081084</v>
      </c>
      <c r="I13" s="21" t="n">
        <f>data!I40</f>
        <v>35705.0</v>
      </c>
      <c r="J13" s="21" t="n">
        <f>data!J40</f>
        <v>90745.0</v>
      </c>
      <c r="K13" s="22" t="str">
        <f t="shared" si="1"/>
        <v>閾値の範囲内です。</v>
      </c>
      <c r="L13" s="11"/>
      <c r="M13" s="1" t="str">
        <f t="shared" si="3"/>
        <v/>
      </c>
      <c r="N13" s="1" t="n">
        <f t="shared" si="4"/>
        <v>1.0</v>
      </c>
      <c r="O13" s="102" t="n">
        <f>SUM('(参考)1人(1回(日))1月あたり給付費(在宅)'!F11,'(参考)1人(1回(日))1月あたり給付費(在宅)'!F31,'(参考)1人(1回(日))1月あたり給付費(在宅)'!F55,'(参考)1人(1回(日))1月あたり給付費(在宅)'!F79,'(参考)1人(1回(日))1月あたり給付費(在宅)'!F103,'(参考)1人(1回(日))1月あたり給付費(在宅)'!F125,'(参考)1人(1回(日))1月あたり給付費(在宅)'!F145,'(参考)1人(1回(日))1月あたり給付費(在宅)'!F169,'(参考)1人(1回(日))1月あたり給付費(在宅)'!F193,'(参考)1人(1回(日))1月あたり給付費(在宅)'!F217,'(参考)1人(1回(日))1月あたり給付費(在宅)'!F265,'(参考)1人(1回(日))1月あたり給付費(在宅)'!F289,'(参考)1人(1回(日))1月あたり給付費(在宅)'!F313,'(参考)1人(1回(日))1月あたり給付費(在宅)'!F337,'(参考)1人(1回(日))1月あたり給付費(在宅)'!F383,'(参考)1人(1回(日))1月あたり給付費(在宅)'!F401,'(参考)1人(1回(日))1月あたり給付費(在宅)'!F439,'(参考)1人(1回(日))1月あたり給付費(在宅)'!F463,'(参考)1人(1回(日))1月あたり給付費(在宅)'!F485,'(参考)1人(1回(日))1月あたり給付費(在宅)'!F419)</f>
        <v>2.82187668E7</v>
      </c>
      <c r="P13" s="1" t="n">
        <f>SUM('(参考)1人(1回(日))1月あたり給付費(在宅)'!G11,'(参考)1人(1回(日))1月あたり給付費(在宅)'!G31,'(参考)1人(1回(日))1月あたり給付費(在宅)'!G55,'(参考)1人(1回(日))1月あたり給付費(在宅)'!G79,'(参考)1人(1回(日))1月あたり給付費(在宅)'!G103,'(参考)1人(1回(日))1月あたり給付費(在宅)'!G125,'(参考)1人(1回(日))1月あたり給付費(在宅)'!G145,'(参考)1人(1回(日))1月あたり給付費(在宅)'!G169,'(参考)1人(1回(日))1月あたり給付費(在宅)'!G193,'(参考)1人(1回(日))1月あたり給付費(在宅)'!G217,'(参考)1人(1回(日))1月あたり給付費(在宅)'!G265,'(参考)1人(1回(日))1月あたり給付費(在宅)'!G289,'(参考)1人(1回(日))1月あたり給付費(在宅)'!G313,'(参考)1人(1回(日))1月あたり給付費(在宅)'!G337,'(参考)1人(1回(日))1月あたり給付費(在宅)'!G383,'(参考)1人(1回(日))1月あたり給付費(在宅)'!G401,'(参考)1人(1回(日))1月あたり給付費(在宅)'!G439,'(参考)1人(1回(日))1月あたり給付費(在宅)'!G463,'(参考)1人(1回(日))1月あたり給付費(在宅)'!G485,'(参考)1人(1回(日))1月あたり給付費(在宅)'!G419)</f>
        <v>37.0</v>
      </c>
    </row>
    <row r="14" spans="1:16" ht="15.75" customHeight="1">
      <c r="B14" s="8"/>
      <c r="C14" s="58" t="str">
        <f t="shared" si="2"/>
        <v>在宅サービス</v>
      </c>
      <c r="D14" s="166"/>
      <c r="E14" s="23" t="s">
        <v>49</v>
      </c>
      <c r="F14" s="24" t="n">
        <f>SUM(F7:F13)</f>
        <v>5.234079216E8</v>
      </c>
      <c r="G14" s="25" t="n">
        <f>SUM(G7:G13)</f>
        <v>1127.0</v>
      </c>
      <c r="H14" s="54" t="n">
        <f t="shared" si="0"/>
        <v>38702.153327417924</v>
      </c>
      <c r="I14" s="26" t="n">
        <f>data!I41</f>
        <v>24765.0</v>
      </c>
      <c r="J14" s="26" t="n">
        <f>data!J41</f>
        <v>51080.0</v>
      </c>
      <c r="K14" s="27" t="str">
        <f t="shared" si="1"/>
        <v>閾値の範囲内です。</v>
      </c>
      <c r="L14" s="11"/>
      <c r="M14" s="1" t="str">
        <f t="shared" si="3"/>
        <v/>
      </c>
    </row>
    <row r="15" spans="1:16" ht="15.75" customHeight="1">
      <c r="B15" s="8"/>
      <c r="C15" s="58" t="str">
        <f t="shared" si="2"/>
        <v>在宅サービス</v>
      </c>
      <c r="D15" s="164" t="s">
        <v>415</v>
      </c>
      <c r="E15" s="15" t="s">
        <v>50</v>
      </c>
      <c r="F15" s="35" t="n">
        <f>IF('(参考)1人(1回(日))1月あたり給付費(在宅)'!$O$517="","",O15)</f>
        <v>9792024.0</v>
      </c>
      <c r="G15" s="36" t="n">
        <f>IF('(参考)1人(1回(日))1月あたり給付費(在宅)'!$O$517="","",P15)</f>
        <v>79.0</v>
      </c>
      <c r="H15" s="52" t="n">
        <f t="shared" si="0"/>
        <v>10329.139240506329</v>
      </c>
      <c r="I15" s="16" t="n">
        <f t="shared" ref="I15:J30" si="5">I7</f>
        <v>5290.0</v>
      </c>
      <c r="J15" s="16" t="n">
        <f t="shared" si="5"/>
        <v>14725.0</v>
      </c>
      <c r="K15" s="22" t="str">
        <f t="shared" si="1"/>
        <v>閾値の範囲内です。</v>
      </c>
      <c r="L15" s="11"/>
      <c r="M15" s="1" t="str">
        <f t="shared" si="3"/>
        <v/>
      </c>
      <c r="N15" s="1" t="n">
        <f t="shared" ref="N15:N21" si="6">IF(AND(F15="",G15=""),"",1)</f>
        <v>1.0</v>
      </c>
      <c r="O15" s="102" t="n">
        <f>SUM('(参考)1人(1回(日))1月あたり給付費(在宅)'!F33,'(参考)1人(1回(日))1月あたり給付費(在宅)'!F57,'(参考)1人(1回(日))1月あたり給付費(在宅)'!F81,'(参考)1人(1回(日))1月あたり給付費(在宅)'!F105,'(参考)1人(1回(日))1月あたり給付費(在宅)'!F147,'(参考)1人(1回(日))1月あたり給付費(在宅)'!F171,'(参考)1人(1回(日))1月あたり給付費(在宅)'!F195,'(参考)1人(1回(日))1月あたり給付費(在宅)'!F219,'(参考)1人(1回(日))1月あたり給付費(在宅)'!F267,'(参考)1人(1回(日))1月あたり給付費(在宅)'!F291,'(参考)1人(1回(日))1月あたり給付費(在宅)'!F315,'(参考)1人(1回(日))1月あたり給付費(在宅)'!F339,'(参考)1人(1回(日))1月あたり給付費(在宅)'!F441,'(参考)1人(1回(日))1月あたり給付費(在宅)'!F465)</f>
        <v>9792024.0</v>
      </c>
      <c r="P15" s="1" t="n">
        <f>SUM('(参考)1人(1回(日))1月あたり給付費(在宅)'!G33,'(参考)1人(1回(日))1月あたり給付費(在宅)'!G57,'(参考)1人(1回(日))1月あたり給付費(在宅)'!G81,'(参考)1人(1回(日))1月あたり給付費(在宅)'!G105,'(参考)1人(1回(日))1月あたり給付費(在宅)'!G147,'(参考)1人(1回(日))1月あたり給付費(在宅)'!G171,'(参考)1人(1回(日))1月あたり給付費(在宅)'!G195,'(参考)1人(1回(日))1月あたり給付費(在宅)'!G219,'(参考)1人(1回(日))1月あたり給付費(在宅)'!G267,'(参考)1人(1回(日))1月あたり給付費(在宅)'!G291,'(参考)1人(1回(日))1月あたり給付費(在宅)'!G315,'(参考)1人(1回(日))1月あたり給付費(在宅)'!G339,'(参考)1人(1回(日))1月あたり給付費(在宅)'!G441,'(参考)1人(1回(日))1月あたり給付費(在宅)'!G465)</f>
        <v>79.0</v>
      </c>
    </row>
    <row r="16" spans="1:16" ht="15.75" customHeight="1">
      <c r="B16" s="8"/>
      <c r="C16" s="58" t="str">
        <f t="shared" si="2"/>
        <v>在宅サービス</v>
      </c>
      <c r="D16" s="165"/>
      <c r="E16" s="18" t="s">
        <v>51</v>
      </c>
      <c r="F16" s="37" t="n">
        <f>IF('(参考)1人(1回(日))1月あたり給付費(在宅)'!$O$517="","",O16)</f>
        <v>3.00487032E7</v>
      </c>
      <c r="G16" s="38" t="n">
        <f>IF('(参考)1人(1回(日))1月あたり給付費(在宅)'!$O$517="","",P16)</f>
        <v>152.0</v>
      </c>
      <c r="H16" s="53" t="n">
        <f t="shared" si="0"/>
        <v>16474.069736842106</v>
      </c>
      <c r="I16" s="31" t="n">
        <f t="shared" si="5"/>
        <v>5555.0</v>
      </c>
      <c r="J16" s="31" t="n">
        <f t="shared" si="5"/>
        <v>20285.0</v>
      </c>
      <c r="K16" s="22" t="str">
        <f t="shared" si="1"/>
        <v>閾値の範囲内です。</v>
      </c>
      <c r="L16" s="11"/>
      <c r="M16" s="1" t="str">
        <f t="shared" si="3"/>
        <v/>
      </c>
      <c r="N16" s="1" t="n">
        <f t="shared" si="6"/>
        <v>1.0</v>
      </c>
      <c r="O16" s="102" t="n">
        <f>SUM('(参考)1人(1回(日))1月あたり給付費(在宅)'!F34,'(参考)1人(1回(日))1月あたり給付費(在宅)'!F58,'(参考)1人(1回(日))1月あたり給付費(在宅)'!F82,'(参考)1人(1回(日))1月あたり給付費(在宅)'!F106,'(参考)1人(1回(日))1月あたり給付費(在宅)'!F148,'(参考)1人(1回(日))1月あたり給付費(在宅)'!F172,'(参考)1人(1回(日))1月あたり給付費(在宅)'!F196,'(参考)1人(1回(日))1月あたり給付費(在宅)'!F220,'(参考)1人(1回(日))1月あたり給付費(在宅)'!F268,'(参考)1人(1回(日))1月あたり給付費(在宅)'!F292,'(参考)1人(1回(日))1月あたり給付費(在宅)'!F316,'(参考)1人(1回(日))1月あたり給付費(在宅)'!F340,'(参考)1人(1回(日))1月あたり給付費(在宅)'!F442,'(参考)1人(1回(日))1月あたり給付費(在宅)'!F466)</f>
        <v>3.00487032E7</v>
      </c>
      <c r="P16" s="1" t="n">
        <f>SUM('(参考)1人(1回(日))1月あたり給付費(在宅)'!G34,'(参考)1人(1回(日))1月あたり給付費(在宅)'!G58,'(参考)1人(1回(日))1月あたり給付費(在宅)'!G82,'(参考)1人(1回(日))1月あたり給付費(在宅)'!G106,'(参考)1人(1回(日))1月あたり給付費(在宅)'!G148,'(参考)1人(1回(日))1月あたり給付費(在宅)'!G172,'(参考)1人(1回(日))1月あたり給付費(在宅)'!G196,'(参考)1人(1回(日))1月あたり給付費(在宅)'!G220,'(参考)1人(1回(日))1月あたり給付費(在宅)'!G268,'(参考)1人(1回(日))1月あたり給付費(在宅)'!G292,'(参考)1人(1回(日))1月あたり給付費(在宅)'!G316,'(参考)1人(1回(日))1月あたり給付費(在宅)'!G340,'(参考)1人(1回(日))1月あたり給付費(在宅)'!G442,'(参考)1人(1回(日))1月あたり給付費(在宅)'!G466)</f>
        <v>152.0</v>
      </c>
    </row>
    <row r="17" spans="2:16" ht="15.75" customHeight="1">
      <c r="B17" s="8"/>
      <c r="C17" s="58" t="str">
        <f t="shared" si="2"/>
        <v>在宅サービス</v>
      </c>
      <c r="D17" s="165"/>
      <c r="E17" s="18" t="s">
        <v>44</v>
      </c>
      <c r="F17" s="39" t="n">
        <f>IF('(参考)1人(1回(日))1月あたり給付費(在宅)'!$O$517="","",O17)</f>
        <v>9.71972448E7</v>
      </c>
      <c r="G17" s="40" t="n">
        <f>IF('(参考)1人(1回(日))1月あたり給付費(在宅)'!$O$517="","",P17)</f>
        <v>266.0</v>
      </c>
      <c r="H17" s="53" t="n">
        <f t="shared" si="0"/>
        <v>30450.264661654135</v>
      </c>
      <c r="I17" s="21" t="n">
        <f t="shared" si="5"/>
        <v>19435.0</v>
      </c>
      <c r="J17" s="21" t="n">
        <f t="shared" si="5"/>
        <v>43955.0</v>
      </c>
      <c r="K17" s="22" t="str">
        <f t="shared" ref="K17:K22" si="7">IF(H17="－","",IF(H17&lt;I17,"下限値を\"&amp;TEXT(ROUND(I17-H17,0),"#,##0")&amp;"下回っています。",IF(H17&gt;J17,"上限値を\"&amp;TEXT(ROUND(H17-J17,0),"#,##0")&amp;"上回っています。","閾値の範囲内です。")))</f>
        <v>閾値の範囲内です。</v>
      </c>
      <c r="L17" s="11"/>
      <c r="M17" s="1" t="str">
        <f t="shared" si="3"/>
        <v/>
      </c>
      <c r="N17" s="1" t="n">
        <f t="shared" si="6"/>
        <v>1.0</v>
      </c>
      <c r="O17" s="102" t="n">
        <f>SUM('(参考)1人(1回(日))1月あたり給付費(在宅)'!F13,'(参考)1人(1回(日))1月あたり給付費(在宅)'!F35,'(参考)1人(1回(日))1月あたり給付費(在宅)'!F59,'(参考)1人(1回(日))1月あたり給付費(在宅)'!F83,'(参考)1人(1回(日))1月あたり給付費(在宅)'!F107,'(参考)1人(1回(日))1月あたり給付費(在宅)'!F127,'(参考)1人(1回(日))1月あたり給付費(在宅)'!F149,'(参考)1人(1回(日))1月あたり給付費(在宅)'!F173,'(参考)1人(1回(日))1月あたり給付費(在宅)'!F197,'(参考)1人(1回(日))1月あたり給付費(在宅)'!F221,'(参考)1人(1回(日))1月あたり給付費(在宅)'!F269,'(参考)1人(1回(日))1月あたり給付費(在宅)'!F293,'(参考)1人(1回(日))1月あたり給付費(在宅)'!F317,'(参考)1人(1回(日))1月あたり給付費(在宅)'!F341,'(参考)1人(1回(日))1月あたり給付費(在宅)'!F385,'(参考)1人(1回(日))1月あたり給付費(在宅)'!F403,'(参考)1人(1回(日))1月あたり給付費(在宅)'!F443,'(参考)1人(1回(日))1月あたり給付費(在宅)'!F467,'(参考)1人(1回(日))1月あたり給付費(在宅)'!F487,'(参考)1人(1回(日))1月あたり給付費(在宅)'!F421)</f>
        <v>9.71972448E7</v>
      </c>
      <c r="P17" s="1" t="n">
        <f>SUM('(参考)1人(1回(日))1月あたり給付費(在宅)'!G13,'(参考)1人(1回(日))1月あたり給付費(在宅)'!G35,'(参考)1人(1回(日))1月あたり給付費(在宅)'!G59,'(参考)1人(1回(日))1月あたり給付費(在宅)'!G83,'(参考)1人(1回(日))1月あたり給付費(在宅)'!G107,'(参考)1人(1回(日))1月あたり給付費(在宅)'!G127,'(参考)1人(1回(日))1月あたり給付費(在宅)'!G149,'(参考)1人(1回(日))1月あたり給付費(在宅)'!G173,'(参考)1人(1回(日))1月あたり給付費(在宅)'!G197,'(参考)1人(1回(日))1月あたり給付費(在宅)'!G221,'(参考)1人(1回(日))1月あたり給付費(在宅)'!G269,'(参考)1人(1回(日))1月あたり給付費(在宅)'!G293,'(参考)1人(1回(日))1月あたり給付費(在宅)'!G317,'(参考)1人(1回(日))1月あたり給付費(在宅)'!G341,'(参考)1人(1回(日))1月あたり給付費(在宅)'!G385,'(参考)1人(1回(日))1月あたり給付費(在宅)'!G403,'(参考)1人(1回(日))1月あたり給付費(在宅)'!G443,'(参考)1人(1回(日))1月あたり給付費(在宅)'!G467,'(参考)1人(1回(日))1月あたり給付費(在宅)'!G487,'(参考)1人(1回(日))1月あたり給付費(在宅)'!G421)</f>
        <v>266.0</v>
      </c>
    </row>
    <row r="18" spans="2:16" ht="15.75" customHeight="1">
      <c r="B18" s="8"/>
      <c r="C18" s="58" t="str">
        <f t="shared" si="2"/>
        <v>在宅サービス</v>
      </c>
      <c r="D18" s="165"/>
      <c r="E18" s="18" t="s">
        <v>45</v>
      </c>
      <c r="F18" s="39" t="n">
        <f>IF('(参考)1人(1回(日))1月あたり給付費(在宅)'!$O$517="","",O18)</f>
        <v>9.9349368E7</v>
      </c>
      <c r="G18" s="40" t="n">
        <f>IF('(参考)1人(1回(日))1月あたり給付費(在宅)'!$O$517="","",P18)</f>
        <v>212.0</v>
      </c>
      <c r="H18" s="53" t="n">
        <f t="shared" si="0"/>
        <v>39052.42452830189</v>
      </c>
      <c r="I18" s="21" t="n">
        <f t="shared" si="5"/>
        <v>24565.0</v>
      </c>
      <c r="J18" s="21" t="n">
        <f t="shared" si="5"/>
        <v>51160.0</v>
      </c>
      <c r="K18" s="22" t="str">
        <f t="shared" si="7"/>
        <v>閾値の範囲内です。</v>
      </c>
      <c r="L18" s="11"/>
      <c r="M18" s="1" t="str">
        <f t="shared" si="3"/>
        <v/>
      </c>
      <c r="N18" s="1" t="n">
        <f t="shared" si="6"/>
        <v>1.0</v>
      </c>
      <c r="O18" s="102" t="n">
        <f>SUM('(参考)1人(1回(日))1月あたり給付費(在宅)'!F14,'(参考)1人(1回(日))1月あたり給付費(在宅)'!F36,'(参考)1人(1回(日))1月あたり給付費(在宅)'!F60,'(参考)1人(1回(日))1月あたり給付費(在宅)'!F84,'(参考)1人(1回(日))1月あたり給付費(在宅)'!F108,'(参考)1人(1回(日))1月あたり給付費(在宅)'!F128,'(参考)1人(1回(日))1月あたり給付費(在宅)'!F150,'(参考)1人(1回(日))1月あたり給付費(在宅)'!F174,'(参考)1人(1回(日))1月あたり給付費(在宅)'!F198,'(参考)1人(1回(日))1月あたり給付費(在宅)'!F222,'(参考)1人(1回(日))1月あたり給付費(在宅)'!F270,'(参考)1人(1回(日))1月あたり給付費(在宅)'!F294,'(参考)1人(1回(日))1月あたり給付費(在宅)'!F318,'(参考)1人(1回(日))1月あたり給付費(在宅)'!F342,'(参考)1人(1回(日))1月あたり給付費(在宅)'!F386,'(参考)1人(1回(日))1月あたり給付費(在宅)'!F404,'(参考)1人(1回(日))1月あたり給付費(在宅)'!F444,'(参考)1人(1回(日))1月あたり給付費(在宅)'!F468,'(参考)1人(1回(日))1月あたり給付費(在宅)'!F488,'(参考)1人(1回(日))1月あたり給付費(在宅)'!F422)</f>
        <v>9.9349368E7</v>
      </c>
      <c r="P18" s="1" t="n">
        <f>SUM('(参考)1人(1回(日))1月あたり給付費(在宅)'!G14,'(参考)1人(1回(日))1月あたり給付費(在宅)'!G36,'(参考)1人(1回(日))1月あたり給付費(在宅)'!G60,'(参考)1人(1回(日))1月あたり給付費(在宅)'!G84,'(参考)1人(1回(日))1月あたり給付費(在宅)'!G108,'(参考)1人(1回(日))1月あたり給付費(在宅)'!G128,'(参考)1人(1回(日))1月あたり給付費(在宅)'!G150,'(参考)1人(1回(日))1月あたり給付費(在宅)'!G174,'(参考)1人(1回(日))1月あたり給付費(在宅)'!G198,'(参考)1人(1回(日))1月あたり給付費(在宅)'!G222,'(参考)1人(1回(日))1月あたり給付費(在宅)'!G270,'(参考)1人(1回(日))1月あたり給付費(在宅)'!G294,'(参考)1人(1回(日))1月あたり給付費(在宅)'!G318,'(参考)1人(1回(日))1月あたり給付費(在宅)'!G342,'(参考)1人(1回(日))1月あたり給付費(在宅)'!G386,'(参考)1人(1回(日))1月あたり給付費(在宅)'!G404,'(参考)1人(1回(日))1月あたり給付費(在宅)'!G444,'(参考)1人(1回(日))1月あたり給付費(在宅)'!G468,'(参考)1人(1回(日))1月あたり給付費(在宅)'!G488,'(参考)1人(1回(日))1月あたり給付費(在宅)'!G422)</f>
        <v>212.0</v>
      </c>
    </row>
    <row r="19" spans="2:16" ht="15.75" customHeight="1">
      <c r="B19" s="8"/>
      <c r="C19" s="58" t="str">
        <f t="shared" si="2"/>
        <v>在宅サービス</v>
      </c>
      <c r="D19" s="165"/>
      <c r="E19" s="18" t="s">
        <v>46</v>
      </c>
      <c r="F19" s="39" t="n">
        <f>IF('(参考)1人(1回(日))1月あたり給付費(在宅)'!$O$517="","",O19)</f>
        <v>1.607457636E8</v>
      </c>
      <c r="G19" s="40" t="n">
        <f>IF('(参考)1人(1回(日))1月あたり給付費(在宅)'!$O$517="","",P19)</f>
        <v>242.0</v>
      </c>
      <c r="H19" s="53" t="n">
        <f t="shared" si="0"/>
        <v>55353.22438016529</v>
      </c>
      <c r="I19" s="21" t="n">
        <f t="shared" si="5"/>
        <v>33300.0</v>
      </c>
      <c r="J19" s="21" t="n">
        <f t="shared" si="5"/>
        <v>70005.0</v>
      </c>
      <c r="K19" s="22" t="str">
        <f t="shared" si="7"/>
        <v>閾値の範囲内です。</v>
      </c>
      <c r="L19" s="11"/>
      <c r="M19" s="1" t="str">
        <f t="shared" si="3"/>
        <v/>
      </c>
      <c r="N19" s="1" t="n">
        <f t="shared" si="6"/>
        <v>1.0</v>
      </c>
      <c r="O19" s="102" t="n">
        <f>SUM('(参考)1人(1回(日))1月あたり給付費(在宅)'!F15,'(参考)1人(1回(日))1月あたり給付費(在宅)'!F37,'(参考)1人(1回(日))1月あたり給付費(在宅)'!F61,'(参考)1人(1回(日))1月あたり給付費(在宅)'!F85,'(参考)1人(1回(日))1月あたり給付費(在宅)'!F109,'(参考)1人(1回(日))1月あたり給付費(在宅)'!F129,'(参考)1人(1回(日))1月あたり給付費(在宅)'!F151,'(参考)1人(1回(日))1月あたり給付費(在宅)'!F175,'(参考)1人(1回(日))1月あたり給付費(在宅)'!F199,'(参考)1人(1回(日))1月あたり給付費(在宅)'!F223,'(参考)1人(1回(日))1月あたり給付費(在宅)'!F271,'(参考)1人(1回(日))1月あたり給付費(在宅)'!F295,'(参考)1人(1回(日))1月あたり給付費(在宅)'!F319,'(参考)1人(1回(日))1月あたり給付費(在宅)'!F343,'(参考)1人(1回(日))1月あたり給付費(在宅)'!F387,'(参考)1人(1回(日))1月あたり給付費(在宅)'!F405,'(参考)1人(1回(日))1月あたり給付費(在宅)'!F445,'(参考)1人(1回(日))1月あたり給付費(在宅)'!F469,'(参考)1人(1回(日))1月あたり給付費(在宅)'!F489,'(参考)1人(1回(日))1月あたり給付費(在宅)'!F423)</f>
        <v>1.607457636E8</v>
      </c>
      <c r="P19" s="1" t="n">
        <f>SUM('(参考)1人(1回(日))1月あたり給付費(在宅)'!G15,'(参考)1人(1回(日))1月あたり給付費(在宅)'!G37,'(参考)1人(1回(日))1月あたり給付費(在宅)'!G61,'(参考)1人(1回(日))1月あたり給付費(在宅)'!G85,'(参考)1人(1回(日))1月あたり給付費(在宅)'!G109,'(参考)1人(1回(日))1月あたり給付費(在宅)'!G129,'(参考)1人(1回(日))1月あたり給付費(在宅)'!G151,'(参考)1人(1回(日))1月あたり給付費(在宅)'!G175,'(参考)1人(1回(日))1月あたり給付費(在宅)'!G199,'(参考)1人(1回(日))1月あたり給付費(在宅)'!G223,'(参考)1人(1回(日))1月あたり給付費(在宅)'!G271,'(参考)1人(1回(日))1月あたり給付費(在宅)'!G295,'(参考)1人(1回(日))1月あたり給付費(在宅)'!G319,'(参考)1人(1回(日))1月あたり給付費(在宅)'!G343,'(参考)1人(1回(日))1月あたり給付費(在宅)'!G387,'(参考)1人(1回(日))1月あたり給付費(在宅)'!G405,'(参考)1人(1回(日))1月あたり給付費(在宅)'!G445,'(参考)1人(1回(日))1月あたり給付費(在宅)'!G469,'(参考)1人(1回(日))1月あたり給付費(在宅)'!G489,'(参考)1人(1回(日))1月あたり給付費(在宅)'!G423)</f>
        <v>242.0</v>
      </c>
    </row>
    <row r="20" spans="2:16" ht="15.75" customHeight="1">
      <c r="B20" s="8"/>
      <c r="C20" s="58" t="str">
        <f t="shared" si="2"/>
        <v>在宅サービス</v>
      </c>
      <c r="D20" s="165"/>
      <c r="E20" s="18" t="s">
        <v>47</v>
      </c>
      <c r="F20" s="39" t="n">
        <f>IF('(参考)1人(1回(日))1月あたり給付費(在宅)'!$O$517="","",O20)</f>
        <v>9.03229536E7</v>
      </c>
      <c r="G20" s="40" t="n">
        <f>IF('(参考)1人(1回(日))1月あたり給付費(在宅)'!$O$517="","",P20)</f>
        <v>128.0</v>
      </c>
      <c r="H20" s="53" t="n">
        <f t="shared" si="0"/>
        <v>58804.00625</v>
      </c>
      <c r="I20" s="21" t="n">
        <f t="shared" si="5"/>
        <v>36055.0</v>
      </c>
      <c r="J20" s="21" t="n">
        <f t="shared" si="5"/>
        <v>78330.0</v>
      </c>
      <c r="K20" s="22" t="str">
        <f t="shared" si="7"/>
        <v>閾値の範囲内です。</v>
      </c>
      <c r="L20" s="11"/>
      <c r="M20" s="1" t="str">
        <f t="shared" si="3"/>
        <v/>
      </c>
      <c r="N20" s="1" t="n">
        <f t="shared" si="6"/>
        <v>1.0</v>
      </c>
      <c r="O20" s="102" t="n">
        <f>SUM('(参考)1人(1回(日))1月あたり給付費(在宅)'!F16,'(参考)1人(1回(日))1月あたり給付費(在宅)'!F38,'(参考)1人(1回(日))1月あたり給付費(在宅)'!F62,'(参考)1人(1回(日))1月あたり給付費(在宅)'!F86,'(参考)1人(1回(日))1月あたり給付費(在宅)'!F110,'(参考)1人(1回(日))1月あたり給付費(在宅)'!F130,'(参考)1人(1回(日))1月あたり給付費(在宅)'!F152,'(参考)1人(1回(日))1月あたり給付費(在宅)'!F176,'(参考)1人(1回(日))1月あたり給付費(在宅)'!F200,'(参考)1人(1回(日))1月あたり給付費(在宅)'!F224,'(参考)1人(1回(日))1月あたり給付費(在宅)'!F272,'(参考)1人(1回(日))1月あたり給付費(在宅)'!F296,'(参考)1人(1回(日))1月あたり給付費(在宅)'!F320,'(参考)1人(1回(日))1月あたり給付費(在宅)'!F344,'(参考)1人(1回(日))1月あたり給付費(在宅)'!F388,'(参考)1人(1回(日))1月あたり給付費(在宅)'!F406,'(参考)1人(1回(日))1月あたり給付費(在宅)'!F446,'(参考)1人(1回(日))1月あたり給付費(在宅)'!F470,'(参考)1人(1回(日))1月あたり給付費(在宅)'!F490,'(参考)1人(1回(日))1月あたり給付費(在宅)'!F424)</f>
        <v>9.03229536E7</v>
      </c>
      <c r="P20" s="1" t="n">
        <f>SUM('(参考)1人(1回(日))1月あたり給付費(在宅)'!G16,'(参考)1人(1回(日))1月あたり給付費(在宅)'!G38,'(参考)1人(1回(日))1月あたり給付費(在宅)'!G62,'(参考)1人(1回(日))1月あたり給付費(在宅)'!G86,'(参考)1人(1回(日))1月あたり給付費(在宅)'!G110,'(参考)1人(1回(日))1月あたり給付費(在宅)'!G130,'(参考)1人(1回(日))1月あたり給付費(在宅)'!G152,'(参考)1人(1回(日))1月あたり給付費(在宅)'!G176,'(参考)1人(1回(日))1月あたり給付費(在宅)'!G200,'(参考)1人(1回(日))1月あたり給付費(在宅)'!G224,'(参考)1人(1回(日))1月あたり給付費(在宅)'!G272,'(参考)1人(1回(日))1月あたり給付費(在宅)'!G296,'(参考)1人(1回(日))1月あたり給付費(在宅)'!G320,'(参考)1人(1回(日))1月あたり給付費(在宅)'!G344,'(参考)1人(1回(日))1月あたり給付費(在宅)'!G388,'(参考)1人(1回(日))1月あたり給付費(在宅)'!G406,'(参考)1人(1回(日))1月あたり給付費(在宅)'!G446,'(参考)1人(1回(日))1月あたり給付費(在宅)'!G470,'(参考)1人(1回(日))1月あたり給付費(在宅)'!G490,'(参考)1人(1回(日))1月あたり給付費(在宅)'!G424)</f>
        <v>128.0</v>
      </c>
    </row>
    <row r="21" spans="2:16" ht="15.75" customHeight="1">
      <c r="B21" s="8"/>
      <c r="C21" s="58" t="str">
        <f t="shared" si="2"/>
        <v>在宅サービス</v>
      </c>
      <c r="D21" s="165"/>
      <c r="E21" s="18" t="s">
        <v>48</v>
      </c>
      <c r="F21" s="39" t="n">
        <f>IF('(参考)1人(1回(日))1月あたり給付費(在宅)'!$O$517="","",O21)</f>
        <v>2.73341508E7</v>
      </c>
      <c r="G21" s="40" t="n">
        <f>IF('(参考)1人(1回(日))1月あたり給付費(在宅)'!$O$517="","",P21)</f>
        <v>36.0</v>
      </c>
      <c r="H21" s="53" t="n">
        <f t="shared" si="0"/>
        <v>63273.49722222222</v>
      </c>
      <c r="I21" s="21" t="n">
        <f t="shared" si="5"/>
        <v>35705.0</v>
      </c>
      <c r="J21" s="21" t="n">
        <f t="shared" si="5"/>
        <v>90745.0</v>
      </c>
      <c r="K21" s="22" t="str">
        <f t="shared" si="7"/>
        <v>閾値の範囲内です。</v>
      </c>
      <c r="L21" s="11"/>
      <c r="M21" s="1" t="str">
        <f t="shared" si="3"/>
        <v/>
      </c>
      <c r="N21" s="1" t="n">
        <f t="shared" si="6"/>
        <v>1.0</v>
      </c>
      <c r="O21" s="102" t="n">
        <f>SUM('(参考)1人(1回(日))1月あたり給付費(在宅)'!F17,'(参考)1人(1回(日))1月あたり給付費(在宅)'!F39,'(参考)1人(1回(日))1月あたり給付費(在宅)'!F63,'(参考)1人(1回(日))1月あたり給付費(在宅)'!F87,'(参考)1人(1回(日))1月あたり給付費(在宅)'!F111,'(参考)1人(1回(日))1月あたり給付費(在宅)'!F131,'(参考)1人(1回(日))1月あたり給付費(在宅)'!F153,'(参考)1人(1回(日))1月あたり給付費(在宅)'!F177,'(参考)1人(1回(日))1月あたり給付費(在宅)'!F201,'(参考)1人(1回(日))1月あたり給付費(在宅)'!F225,'(参考)1人(1回(日))1月あたり給付費(在宅)'!F273,'(参考)1人(1回(日))1月あたり給付費(在宅)'!F297,'(参考)1人(1回(日))1月あたり給付費(在宅)'!F321,'(参考)1人(1回(日))1月あたり給付費(在宅)'!F345,'(参考)1人(1回(日))1月あたり給付費(在宅)'!F389,'(参考)1人(1回(日))1月あたり給付費(在宅)'!F407,'(参考)1人(1回(日))1月あたり給付費(在宅)'!F447,'(参考)1人(1回(日))1月あたり給付費(在宅)'!F471,'(参考)1人(1回(日))1月あたり給付費(在宅)'!F491,'(参考)1人(1回(日))1月あたり給付費(在宅)'!F425)</f>
        <v>2.73341508E7</v>
      </c>
      <c r="P21" s="1" t="n">
        <f>SUM('(参考)1人(1回(日))1月あたり給付費(在宅)'!G17,'(参考)1人(1回(日))1月あたり給付費(在宅)'!G39,'(参考)1人(1回(日))1月あたり給付費(在宅)'!G63,'(参考)1人(1回(日))1月あたり給付費(在宅)'!G87,'(参考)1人(1回(日))1月あたり給付費(在宅)'!G111,'(参考)1人(1回(日))1月あたり給付費(在宅)'!G131,'(参考)1人(1回(日))1月あたり給付費(在宅)'!G153,'(参考)1人(1回(日))1月あたり給付費(在宅)'!G177,'(参考)1人(1回(日))1月あたり給付費(在宅)'!G201,'(参考)1人(1回(日))1月あたり給付費(在宅)'!G225,'(参考)1人(1回(日))1月あたり給付費(在宅)'!G273,'(参考)1人(1回(日))1月あたり給付費(在宅)'!G297,'(参考)1人(1回(日))1月あたり給付費(在宅)'!G321,'(参考)1人(1回(日))1月あたり給付費(在宅)'!G345,'(参考)1人(1回(日))1月あたり給付費(在宅)'!G389,'(参考)1人(1回(日))1月あたり給付費(在宅)'!G407,'(参考)1人(1回(日))1月あたり給付費(在宅)'!G447,'(参考)1人(1回(日))1月あたり給付費(在宅)'!G471,'(参考)1人(1回(日))1月あたり給付費(在宅)'!G491,'(参考)1人(1回(日))1月あたり給付費(在宅)'!G425)</f>
        <v>36.0</v>
      </c>
    </row>
    <row r="22" spans="2:16" ht="15.75" customHeight="1">
      <c r="B22" s="8"/>
      <c r="C22" s="58" t="str">
        <f t="shared" si="2"/>
        <v>在宅サービス</v>
      </c>
      <c r="D22" s="166"/>
      <c r="E22" s="23" t="s">
        <v>49</v>
      </c>
      <c r="F22" s="24" t="n">
        <f>SUM(F15:F21)</f>
        <v>5.1479020800000006E8</v>
      </c>
      <c r="G22" s="25" t="n">
        <f>SUM(G15:G21)</f>
        <v>1115.0</v>
      </c>
      <c r="H22" s="54" t="n">
        <f t="shared" si="0"/>
        <v>38474.60448430494</v>
      </c>
      <c r="I22" s="21" t="n">
        <f t="shared" si="5"/>
        <v>24765.0</v>
      </c>
      <c r="J22" s="21" t="n">
        <f t="shared" si="5"/>
        <v>51080.0</v>
      </c>
      <c r="K22" s="27" t="str">
        <f t="shared" si="7"/>
        <v>閾値の範囲内です。</v>
      </c>
      <c r="L22" s="11"/>
      <c r="M22" s="1" t="str">
        <f t="shared" si="3"/>
        <v/>
      </c>
    </row>
    <row r="23" spans="2:16" ht="15.75" customHeight="1">
      <c r="B23" s="8"/>
      <c r="C23" s="58" t="str">
        <f t="shared" si="2"/>
        <v>在宅サービス</v>
      </c>
      <c r="D23" s="164" t="s">
        <v>414</v>
      </c>
      <c r="E23" s="15" t="s">
        <v>50</v>
      </c>
      <c r="F23" s="35" t="n">
        <f>IF('(参考)1人(1回(日))1月あたり給付費(在宅)'!$O$517="","",O23)</f>
        <v>9731436.0</v>
      </c>
      <c r="G23" s="36" t="n">
        <f>IF('(参考)1人(1回(日))1月あたり給付費(在宅)'!$O$517="","",P23)</f>
        <v>79.0</v>
      </c>
      <c r="H23" s="52" t="n">
        <f t="shared" si="0"/>
        <v>10265.227848101265</v>
      </c>
      <c r="I23" s="16" t="n">
        <f t="shared" si="5"/>
        <v>5290.0</v>
      </c>
      <c r="J23" s="16" t="n">
        <f t="shared" si="5"/>
        <v>14725.0</v>
      </c>
      <c r="K23" s="22" t="str">
        <f t="shared" si="1"/>
        <v>閾値の範囲内です。</v>
      </c>
      <c r="L23" s="11"/>
      <c r="M23" s="1" t="str">
        <f t="shared" si="3"/>
        <v/>
      </c>
      <c r="N23" s="1" t="n">
        <f t="shared" ref="N23:N29" si="8">IF(AND(F23="",G23=""),"",1)</f>
        <v>1.0</v>
      </c>
      <c r="O23" s="102" t="n">
        <f>SUM('(参考)1人(1回(日))1月あたり給付費(在宅)'!F41,'(参考)1人(1回(日))1月あたり給付費(在宅)'!F65,'(参考)1人(1回(日))1月あたり給付費(在宅)'!F89,'(参考)1人(1回(日))1月あたり給付費(在宅)'!F113,'(参考)1人(1回(日))1月あたり給付費(在宅)'!F155,'(参考)1人(1回(日))1月あたり給付費(在宅)'!F179,'(参考)1人(1回(日))1月あたり給付費(在宅)'!F203,'(参考)1人(1回(日))1月あたり給付費(在宅)'!F227,'(参考)1人(1回(日))1月あたり給付費(在宅)'!F275,'(参考)1人(1回(日))1月あたり給付費(在宅)'!F299,'(参考)1人(1回(日))1月あたり給付費(在宅)'!F323,'(参考)1人(1回(日))1月あたり給付費(在宅)'!F347,'(参考)1人(1回(日))1月あたり給付費(在宅)'!F449,'(参考)1人(1回(日))1月あたり給付費(在宅)'!F473)</f>
        <v>9731436.0</v>
      </c>
      <c r="P23" s="1" t="n">
        <f>SUM('(参考)1人(1回(日))1月あたり給付費(在宅)'!G41,'(参考)1人(1回(日))1月あたり給付費(在宅)'!G65,'(参考)1人(1回(日))1月あたり給付費(在宅)'!G89,'(参考)1人(1回(日))1月あたり給付費(在宅)'!G113,'(参考)1人(1回(日))1月あたり給付費(在宅)'!G155,'(参考)1人(1回(日))1月あたり給付費(在宅)'!G179,'(参考)1人(1回(日))1月あたり給付費(在宅)'!G203,'(参考)1人(1回(日))1月あたり給付費(在宅)'!G227,'(参考)1人(1回(日))1月あたり給付費(在宅)'!G275,'(参考)1人(1回(日))1月あたり給付費(在宅)'!G299,'(参考)1人(1回(日))1月あたり給付費(在宅)'!G323,'(参考)1人(1回(日))1月あたり給付費(在宅)'!G347,'(参考)1人(1回(日))1月あたり給付費(在宅)'!G449,'(参考)1人(1回(日))1月あたり給付費(在宅)'!G473)</f>
        <v>79.0</v>
      </c>
    </row>
    <row r="24" spans="2:16" ht="15.75" customHeight="1">
      <c r="B24" s="8"/>
      <c r="C24" s="58" t="str">
        <f t="shared" si="2"/>
        <v>在宅サービス</v>
      </c>
      <c r="D24" s="165"/>
      <c r="E24" s="18" t="s">
        <v>51</v>
      </c>
      <c r="F24" s="37" t="n">
        <f>IF('(参考)1人(1回(日))1月あたり給付費(在宅)'!$O$517="","",O24)</f>
        <v>3.00487032E7</v>
      </c>
      <c r="G24" s="38" t="n">
        <f>IF('(参考)1人(1回(日))1月あたり給付費(在宅)'!$O$517="","",P24)</f>
        <v>152.0</v>
      </c>
      <c r="H24" s="53" t="n">
        <f t="shared" si="0"/>
        <v>16474.069736842106</v>
      </c>
      <c r="I24" s="31" t="n">
        <f t="shared" si="5"/>
        <v>5555.0</v>
      </c>
      <c r="J24" s="31" t="n">
        <f t="shared" si="5"/>
        <v>20285.0</v>
      </c>
      <c r="K24" s="22" t="str">
        <f t="shared" si="1"/>
        <v>閾値の範囲内です。</v>
      </c>
      <c r="L24" s="11"/>
      <c r="M24" s="1" t="str">
        <f t="shared" si="3"/>
        <v/>
      </c>
      <c r="N24" s="1" t="n">
        <f t="shared" si="8"/>
        <v>1.0</v>
      </c>
      <c r="O24" s="102" t="n">
        <f>SUM('(参考)1人(1回(日))1月あたり給付費(在宅)'!F42,'(参考)1人(1回(日))1月あたり給付費(在宅)'!F66,'(参考)1人(1回(日))1月あたり給付費(在宅)'!F90,'(参考)1人(1回(日))1月あたり給付費(在宅)'!F114,'(参考)1人(1回(日))1月あたり給付費(在宅)'!F156,'(参考)1人(1回(日))1月あたり給付費(在宅)'!F180,'(参考)1人(1回(日))1月あたり給付費(在宅)'!F204,'(参考)1人(1回(日))1月あたり給付費(在宅)'!F228,'(参考)1人(1回(日))1月あたり給付費(在宅)'!F276,'(参考)1人(1回(日))1月あたり給付費(在宅)'!F300,'(参考)1人(1回(日))1月あたり給付費(在宅)'!F324,'(参考)1人(1回(日))1月あたり給付費(在宅)'!F348,'(参考)1人(1回(日))1月あたり給付費(在宅)'!F450,'(参考)1人(1回(日))1月あたり給付費(在宅)'!F474)</f>
        <v>3.00487032E7</v>
      </c>
      <c r="P24" s="1" t="n">
        <f>SUM('(参考)1人(1回(日))1月あたり給付費(在宅)'!G42,'(参考)1人(1回(日))1月あたり給付費(在宅)'!G66,'(参考)1人(1回(日))1月あたり給付費(在宅)'!G90,'(参考)1人(1回(日))1月あたり給付費(在宅)'!G114,'(参考)1人(1回(日))1月あたり給付費(在宅)'!G156,'(参考)1人(1回(日))1月あたり給付費(在宅)'!G180,'(参考)1人(1回(日))1月あたり給付費(在宅)'!G204,'(参考)1人(1回(日))1月あたり給付費(在宅)'!G228,'(参考)1人(1回(日))1月あたり給付費(在宅)'!G276,'(参考)1人(1回(日))1月あたり給付費(在宅)'!G300,'(参考)1人(1回(日))1月あたり給付費(在宅)'!G324,'(参考)1人(1回(日))1月あたり給付費(在宅)'!G348,'(参考)1人(1回(日))1月あたり給付費(在宅)'!G450,'(参考)1人(1回(日))1月あたり給付費(在宅)'!G474)</f>
        <v>152.0</v>
      </c>
    </row>
    <row r="25" spans="2:16" ht="15.75" customHeight="1">
      <c r="B25" s="8"/>
      <c r="C25" s="58" t="str">
        <f t="shared" si="2"/>
        <v>在宅サービス</v>
      </c>
      <c r="D25" s="165"/>
      <c r="E25" s="18" t="s">
        <v>44</v>
      </c>
      <c r="F25" s="39" t="n">
        <f>IF('(参考)1人(1回(日))1月あたり給付費(在宅)'!$O$517="","",O25)</f>
        <v>9.65141088E7</v>
      </c>
      <c r="G25" s="40" t="n">
        <f>IF('(参考)1人(1回(日))1月あたり給付費(在宅)'!$O$517="","",P25)</f>
        <v>265.0</v>
      </c>
      <c r="H25" s="53" t="n">
        <f t="shared" si="0"/>
        <v>30350.34867924528</v>
      </c>
      <c r="I25" s="21" t="n">
        <f t="shared" si="5"/>
        <v>19435.0</v>
      </c>
      <c r="J25" s="21" t="n">
        <f t="shared" si="5"/>
        <v>43955.0</v>
      </c>
      <c r="K25" s="22" t="str">
        <f t="shared" ref="K25:K30" si="9">IF(H25="－","",IF(H25&lt;I25,"下限値を\"&amp;TEXT(ROUND(I25-H25,0),"#,##0")&amp;"下回っています。",IF(H25&gt;J25,"上限値を\"&amp;TEXT(ROUND(H25-J25,0),"#,##0")&amp;"上回っています。","閾値の範囲内です。")))</f>
        <v>閾値の範囲内です。</v>
      </c>
      <c r="L25" s="11"/>
      <c r="M25" s="1" t="str">
        <f t="shared" si="3"/>
        <v/>
      </c>
      <c r="N25" s="1" t="n">
        <f t="shared" si="8"/>
        <v>1.0</v>
      </c>
      <c r="O25" s="102" t="n">
        <f>SUM('(参考)1人(1回(日))1月あたり給付費(在宅)'!F19,'(参考)1人(1回(日))1月あたり給付費(在宅)'!F43,'(参考)1人(1回(日))1月あたり給付費(在宅)'!F67,'(参考)1人(1回(日))1月あたり給付費(在宅)'!F91,'(参考)1人(1回(日))1月あたり給付費(在宅)'!F115,'(参考)1人(1回(日))1月あたり給付費(在宅)'!F133,'(参考)1人(1回(日))1月あたり給付費(在宅)'!F157,'(参考)1人(1回(日))1月あたり給付費(在宅)'!F181,'(参考)1人(1回(日))1月あたり給付費(在宅)'!F205,'(参考)1人(1回(日))1月あたり給付費(在宅)'!F229,'(参考)1人(1回(日))1月あたり給付費(在宅)'!F277,'(参考)1人(1回(日))1月あたり給付費(在宅)'!F301,'(参考)1人(1回(日))1月あたり給付費(在宅)'!F325,'(参考)1人(1回(日))1月あたり給付費(在宅)'!F349,'(参考)1人(1回(日))1月あたり給付費(在宅)'!F391,'(参考)1人(1回(日))1月あたり給付費(在宅)'!F409,'(参考)1人(1回(日))1月あたり給付費(在宅)'!F451,'(参考)1人(1回(日))1月あたり給付費(在宅)'!F475,'(参考)1人(1回(日))1月あたり給付費(在宅)'!F493,'(参考)1人(1回(日))1月あたり給付費(在宅)'!F427)</f>
        <v>9.65141088E7</v>
      </c>
      <c r="P25" s="1" t="n">
        <f>SUM('(参考)1人(1回(日))1月あたり給付費(在宅)'!G19,'(参考)1人(1回(日))1月あたり給付費(在宅)'!G43,'(参考)1人(1回(日))1月あたり給付費(在宅)'!G67,'(参考)1人(1回(日))1月あたり給付費(在宅)'!G91,'(参考)1人(1回(日))1月あたり給付費(在宅)'!G115,'(参考)1人(1回(日))1月あたり給付費(在宅)'!G133,'(参考)1人(1回(日))1月あたり給付費(在宅)'!G157,'(参考)1人(1回(日))1月あたり給付費(在宅)'!G181,'(参考)1人(1回(日))1月あたり給付費(在宅)'!G205,'(参考)1人(1回(日))1月あたり給付費(在宅)'!G229,'(参考)1人(1回(日))1月あたり給付費(在宅)'!G277,'(参考)1人(1回(日))1月あたり給付費(在宅)'!G301,'(参考)1人(1回(日))1月あたり給付費(在宅)'!G325,'(参考)1人(1回(日))1月あたり給付費(在宅)'!G349,'(参考)1人(1回(日))1月あたり給付費(在宅)'!G391,'(参考)1人(1回(日))1月あたり給付費(在宅)'!G409,'(参考)1人(1回(日))1月あたり給付費(在宅)'!G451,'(参考)1人(1回(日))1月あたり給付費(在宅)'!G475,'(参考)1人(1回(日))1月あたり給付費(在宅)'!G493,'(参考)1人(1回(日))1月あたり給付費(在宅)'!G427)</f>
        <v>265.0</v>
      </c>
    </row>
    <row r="26" spans="2:16" ht="15.75" customHeight="1">
      <c r="B26" s="8"/>
      <c r="C26" s="58" t="str">
        <f t="shared" si="2"/>
        <v>在宅サービス</v>
      </c>
      <c r="D26" s="165"/>
      <c r="E26" s="18" t="s">
        <v>45</v>
      </c>
      <c r="F26" s="39" t="n">
        <f>IF('(参考)1人(1回(日))1月あたり給付費(在宅)'!$O$517="","",O26)</f>
        <v>9.9509292E7</v>
      </c>
      <c r="G26" s="40" t="n">
        <f>IF('(参考)1人(1回(日))1月あたり給付費(在宅)'!$O$517="","",P26)</f>
        <v>213.0</v>
      </c>
      <c r="H26" s="53" t="n">
        <f t="shared" si="0"/>
        <v>38931.64788732395</v>
      </c>
      <c r="I26" s="21" t="n">
        <f t="shared" si="5"/>
        <v>24565.0</v>
      </c>
      <c r="J26" s="21" t="n">
        <f t="shared" si="5"/>
        <v>51160.0</v>
      </c>
      <c r="K26" s="22" t="str">
        <f t="shared" si="9"/>
        <v>閾値の範囲内です。</v>
      </c>
      <c r="L26" s="11"/>
      <c r="M26" s="1" t="str">
        <f t="shared" si="3"/>
        <v/>
      </c>
      <c r="N26" s="1" t="n">
        <f t="shared" si="8"/>
        <v>1.0</v>
      </c>
      <c r="O26" s="102" t="n">
        <f>SUM('(参考)1人(1回(日))1月あたり給付費(在宅)'!F20,'(参考)1人(1回(日))1月あたり給付費(在宅)'!F44,'(参考)1人(1回(日))1月あたり給付費(在宅)'!F68,'(参考)1人(1回(日))1月あたり給付費(在宅)'!F92,'(参考)1人(1回(日))1月あたり給付費(在宅)'!F116,'(参考)1人(1回(日))1月あたり給付費(在宅)'!F134,'(参考)1人(1回(日))1月あたり給付費(在宅)'!F158,'(参考)1人(1回(日))1月あたり給付費(在宅)'!F182,'(参考)1人(1回(日))1月あたり給付費(在宅)'!F206,'(参考)1人(1回(日))1月あたり給付費(在宅)'!F230,'(参考)1人(1回(日))1月あたり給付費(在宅)'!F278,'(参考)1人(1回(日))1月あたり給付費(在宅)'!F302,'(参考)1人(1回(日))1月あたり給付費(在宅)'!F326,'(参考)1人(1回(日))1月あたり給付費(在宅)'!F350,'(参考)1人(1回(日))1月あたり給付費(在宅)'!F392,'(参考)1人(1回(日))1月あたり給付費(在宅)'!F410,'(参考)1人(1回(日))1月あたり給付費(在宅)'!F452,'(参考)1人(1回(日))1月あたり給付費(在宅)'!F476,'(参考)1人(1回(日))1月あたり給付費(在宅)'!F494,'(参考)1人(1回(日))1月あたり給付費(在宅)'!F428)</f>
        <v>9.9509292E7</v>
      </c>
      <c r="P26" s="1" t="n">
        <f>SUM('(参考)1人(1回(日))1月あたり給付費(在宅)'!G20,'(参考)1人(1回(日))1月あたり給付費(在宅)'!G44,'(参考)1人(1回(日))1月あたり給付費(在宅)'!G68,'(参考)1人(1回(日))1月あたり給付費(在宅)'!G92,'(参考)1人(1回(日))1月あたり給付費(在宅)'!G116,'(参考)1人(1回(日))1月あたり給付費(在宅)'!G134,'(参考)1人(1回(日))1月あたり給付費(在宅)'!G158,'(参考)1人(1回(日))1月あたり給付費(在宅)'!G182,'(参考)1人(1回(日))1月あたり給付費(在宅)'!G206,'(参考)1人(1回(日))1月あたり給付費(在宅)'!G230,'(参考)1人(1回(日))1月あたり給付費(在宅)'!G278,'(参考)1人(1回(日))1月あたり給付費(在宅)'!G302,'(参考)1人(1回(日))1月あたり給付費(在宅)'!G326,'(参考)1人(1回(日))1月あたり給付費(在宅)'!G350,'(参考)1人(1回(日))1月あたり給付費(在宅)'!G392,'(参考)1人(1回(日))1月あたり給付費(在宅)'!G410,'(参考)1人(1回(日))1月あたり給付費(在宅)'!G452,'(参考)1人(1回(日))1月あたり給付費(在宅)'!G476,'(参考)1人(1回(日))1月あたり給付費(在宅)'!G494,'(参考)1人(1回(日))1月あたり給付費(在宅)'!G428)</f>
        <v>213.0</v>
      </c>
    </row>
    <row r="27" spans="2:16" ht="15.75" customHeight="1">
      <c r="B27" s="8"/>
      <c r="C27" s="58" t="str">
        <f t="shared" si="2"/>
        <v>在宅サービス</v>
      </c>
      <c r="D27" s="165"/>
      <c r="E27" s="18" t="s">
        <v>46</v>
      </c>
      <c r="F27" s="39" t="n">
        <f>IF('(参考)1人(1回(日))1月あたり給付費(在宅)'!$O$517="","",O27)</f>
        <v>1.57289652E8</v>
      </c>
      <c r="G27" s="40" t="n">
        <f>IF('(参考)1人(1回(日))1月あたり給付費(在宅)'!$O$517="","",P27)</f>
        <v>237.0</v>
      </c>
      <c r="H27" s="53" t="n">
        <f t="shared" si="0"/>
        <v>55305.784810126584</v>
      </c>
      <c r="I27" s="21" t="n">
        <f t="shared" si="5"/>
        <v>33300.0</v>
      </c>
      <c r="J27" s="21" t="n">
        <f t="shared" si="5"/>
        <v>70005.0</v>
      </c>
      <c r="K27" s="22" t="str">
        <f t="shared" si="9"/>
        <v>閾値の範囲内です。</v>
      </c>
      <c r="L27" s="11"/>
      <c r="M27" s="1" t="str">
        <f t="shared" si="3"/>
        <v/>
      </c>
      <c r="N27" s="1" t="n">
        <f t="shared" si="8"/>
        <v>1.0</v>
      </c>
      <c r="O27" s="102" t="n">
        <f>SUM('(参考)1人(1回(日))1月あたり給付費(在宅)'!F21,'(参考)1人(1回(日))1月あたり給付費(在宅)'!F45,'(参考)1人(1回(日))1月あたり給付費(在宅)'!F69,'(参考)1人(1回(日))1月あたり給付費(在宅)'!F93,'(参考)1人(1回(日))1月あたり給付費(在宅)'!F117,'(参考)1人(1回(日))1月あたり給付費(在宅)'!F135,'(参考)1人(1回(日))1月あたり給付費(在宅)'!F159,'(参考)1人(1回(日))1月あたり給付費(在宅)'!F183,'(参考)1人(1回(日))1月あたり給付費(在宅)'!F207,'(参考)1人(1回(日))1月あたり給付費(在宅)'!F231,'(参考)1人(1回(日))1月あたり給付費(在宅)'!F279,'(参考)1人(1回(日))1月あたり給付費(在宅)'!F303,'(参考)1人(1回(日))1月あたり給付費(在宅)'!F327,'(参考)1人(1回(日))1月あたり給付費(在宅)'!F351,'(参考)1人(1回(日))1月あたり給付費(在宅)'!F393,'(参考)1人(1回(日))1月あたり給付費(在宅)'!F411,'(参考)1人(1回(日))1月あたり給付費(在宅)'!F453,'(参考)1人(1回(日))1月あたり給付費(在宅)'!F477,'(参考)1人(1回(日))1月あたり給付費(在宅)'!F495,'(参考)1人(1回(日))1月あたり給付費(在宅)'!F429)</f>
        <v>1.57289652E8</v>
      </c>
      <c r="P27" s="1" t="n">
        <f>SUM('(参考)1人(1回(日))1月あたり給付費(在宅)'!G21,'(参考)1人(1回(日))1月あたり給付費(在宅)'!G45,'(参考)1人(1回(日))1月あたり給付費(在宅)'!G69,'(参考)1人(1回(日))1月あたり給付費(在宅)'!G93,'(参考)1人(1回(日))1月あたり給付費(在宅)'!G117,'(参考)1人(1回(日))1月あたり給付費(在宅)'!G135,'(参考)1人(1回(日))1月あたり給付費(在宅)'!G159,'(参考)1人(1回(日))1月あたり給付費(在宅)'!G183,'(参考)1人(1回(日))1月あたり給付費(在宅)'!G207,'(参考)1人(1回(日))1月あたり給付費(在宅)'!G231,'(参考)1人(1回(日))1月あたり給付費(在宅)'!G279,'(参考)1人(1回(日))1月あたり給付費(在宅)'!G303,'(参考)1人(1回(日))1月あたり給付費(在宅)'!G327,'(参考)1人(1回(日))1月あたり給付費(在宅)'!G351,'(参考)1人(1回(日))1月あたり給付費(在宅)'!G393,'(参考)1人(1回(日))1月あたり給付費(在宅)'!G411,'(参考)1人(1回(日))1月あたり給付費(在宅)'!G453,'(参考)1人(1回(日))1月あたり給付費(在宅)'!G477,'(参考)1人(1回(日))1月あたり給付費(在宅)'!G495,'(参考)1人(1回(日))1月あたり給付費(在宅)'!G429)</f>
        <v>237.0</v>
      </c>
    </row>
    <row r="28" spans="2:16" ht="15.75" customHeight="1">
      <c r="B28" s="8"/>
      <c r="C28" s="58" t="str">
        <f t="shared" si="2"/>
        <v>在宅サービス</v>
      </c>
      <c r="D28" s="165"/>
      <c r="E28" s="18" t="s">
        <v>47</v>
      </c>
      <c r="F28" s="39" t="n">
        <f>IF('(参考)1人(1回(日))1月あたり給付費(在宅)'!$O$517="","",O28)</f>
        <v>9.27872928E7</v>
      </c>
      <c r="G28" s="40" t="n">
        <f>IF('(参考)1人(1回(日))1月あたり給付費(在宅)'!$O$517="","",P28)</f>
        <v>132.0</v>
      </c>
      <c r="H28" s="53" t="n">
        <f t="shared" si="0"/>
        <v>58577.836363636365</v>
      </c>
      <c r="I28" s="21" t="n">
        <f t="shared" si="5"/>
        <v>36055.0</v>
      </c>
      <c r="J28" s="21" t="n">
        <f t="shared" si="5"/>
        <v>78330.0</v>
      </c>
      <c r="K28" s="22" t="str">
        <f t="shared" si="9"/>
        <v>閾値の範囲内です。</v>
      </c>
      <c r="L28" s="11"/>
      <c r="M28" s="1" t="str">
        <f t="shared" si="3"/>
        <v/>
      </c>
      <c r="N28" s="1" t="n">
        <f t="shared" si="8"/>
        <v>1.0</v>
      </c>
      <c r="O28" s="102" t="n">
        <f>SUM('(参考)1人(1回(日))1月あたり給付費(在宅)'!F22,'(参考)1人(1回(日))1月あたり給付費(在宅)'!F46,'(参考)1人(1回(日))1月あたり給付費(在宅)'!F70,'(参考)1人(1回(日))1月あたり給付費(在宅)'!F94,'(参考)1人(1回(日))1月あたり給付費(在宅)'!F118,'(参考)1人(1回(日))1月あたり給付費(在宅)'!F136,'(参考)1人(1回(日))1月あたり給付費(在宅)'!F160,'(参考)1人(1回(日))1月あたり給付費(在宅)'!F184,'(参考)1人(1回(日))1月あたり給付費(在宅)'!F208,'(参考)1人(1回(日))1月あたり給付費(在宅)'!F232,'(参考)1人(1回(日))1月あたり給付費(在宅)'!F280,'(参考)1人(1回(日))1月あたり給付費(在宅)'!F304,'(参考)1人(1回(日))1月あたり給付費(在宅)'!F328,'(参考)1人(1回(日))1月あたり給付費(在宅)'!F352,'(参考)1人(1回(日))1月あたり給付費(在宅)'!F394,'(参考)1人(1回(日))1月あたり給付費(在宅)'!F412,'(参考)1人(1回(日))1月あたり給付費(在宅)'!F454,'(参考)1人(1回(日))1月あたり給付費(在宅)'!F478,'(参考)1人(1回(日))1月あたり給付費(在宅)'!F496,'(参考)1人(1回(日))1月あたり給付費(在宅)'!F430)</f>
        <v>9.27872928E7</v>
      </c>
      <c r="P28" s="1" t="n">
        <f>SUM('(参考)1人(1回(日))1月あたり給付費(在宅)'!G22,'(参考)1人(1回(日))1月あたり給付費(在宅)'!G46,'(参考)1人(1回(日))1月あたり給付費(在宅)'!G70,'(参考)1人(1回(日))1月あたり給付費(在宅)'!G94,'(参考)1人(1回(日))1月あたり給付費(在宅)'!G118,'(参考)1人(1回(日))1月あたり給付費(在宅)'!G136,'(参考)1人(1回(日))1月あたり給付費(在宅)'!G160,'(参考)1人(1回(日))1月あたり給付費(在宅)'!G184,'(参考)1人(1回(日))1月あたり給付費(在宅)'!G208,'(参考)1人(1回(日))1月あたり給付費(在宅)'!G232,'(参考)1人(1回(日))1月あたり給付費(在宅)'!G280,'(参考)1人(1回(日))1月あたり給付費(在宅)'!G304,'(参考)1人(1回(日))1月あたり給付費(在宅)'!G328,'(参考)1人(1回(日))1月あたり給付費(在宅)'!G352,'(参考)1人(1回(日))1月あたり給付費(在宅)'!G394,'(参考)1人(1回(日))1月あたり給付費(在宅)'!G412,'(参考)1人(1回(日))1月あたり給付費(在宅)'!G454,'(参考)1人(1回(日))1月あたり給付費(在宅)'!G478,'(参考)1人(1回(日))1月あたり給付費(在宅)'!G496,'(参考)1人(1回(日))1月あたり給付費(在宅)'!G430)</f>
        <v>132.0</v>
      </c>
    </row>
    <row r="29" spans="2:16" ht="15.75" customHeight="1">
      <c r="B29" s="8"/>
      <c r="C29" s="58" t="str">
        <f t="shared" si="2"/>
        <v>在宅サービス</v>
      </c>
      <c r="D29" s="165"/>
      <c r="E29" s="18" t="s">
        <v>48</v>
      </c>
      <c r="F29" s="39" t="n">
        <f>IF('(参考)1人(1回(日))1月あたり給付費(在宅)'!$O$517="","",O29)</f>
        <v>2.73341508E7</v>
      </c>
      <c r="G29" s="40" t="n">
        <f>IF('(参考)1人(1回(日))1月あたり給付費(在宅)'!$O$517="","",P29)</f>
        <v>36.0</v>
      </c>
      <c r="H29" s="53" t="n">
        <f t="shared" si="0"/>
        <v>63273.49722222222</v>
      </c>
      <c r="I29" s="21" t="n">
        <f t="shared" si="5"/>
        <v>35705.0</v>
      </c>
      <c r="J29" s="21" t="n">
        <f t="shared" si="5"/>
        <v>90745.0</v>
      </c>
      <c r="K29" s="22" t="str">
        <f t="shared" si="9"/>
        <v>閾値の範囲内です。</v>
      </c>
      <c r="L29" s="11"/>
      <c r="M29" s="1" t="str">
        <f t="shared" si="3"/>
        <v/>
      </c>
      <c r="N29" s="1" t="n">
        <f t="shared" si="8"/>
        <v>1.0</v>
      </c>
      <c r="O29" s="102" t="n">
        <f>SUM('(参考)1人(1回(日))1月あたり給付費(在宅)'!F23,'(参考)1人(1回(日))1月あたり給付費(在宅)'!F47,'(参考)1人(1回(日))1月あたり給付費(在宅)'!F71,'(参考)1人(1回(日))1月あたり給付費(在宅)'!F95,'(参考)1人(1回(日))1月あたり給付費(在宅)'!F119,'(参考)1人(1回(日))1月あたり給付費(在宅)'!F137,'(参考)1人(1回(日))1月あたり給付費(在宅)'!F161,'(参考)1人(1回(日))1月あたり給付費(在宅)'!F185,'(参考)1人(1回(日))1月あたり給付費(在宅)'!F209,'(参考)1人(1回(日))1月あたり給付費(在宅)'!F233,'(参考)1人(1回(日))1月あたり給付費(在宅)'!F281,'(参考)1人(1回(日))1月あたり給付費(在宅)'!F305,'(参考)1人(1回(日))1月あたり給付費(在宅)'!F329,'(参考)1人(1回(日))1月あたり給付費(在宅)'!F353,'(参考)1人(1回(日))1月あたり給付費(在宅)'!F395,'(参考)1人(1回(日))1月あたり給付費(在宅)'!F413,'(参考)1人(1回(日))1月あたり給付費(在宅)'!F455,'(参考)1人(1回(日))1月あたり給付費(在宅)'!F479,'(参考)1人(1回(日))1月あたり給付費(在宅)'!F497,'(参考)1人(1回(日))1月あたり給付費(在宅)'!F431)</f>
        <v>2.73341508E7</v>
      </c>
      <c r="P29" s="1" t="n">
        <f>SUM('(参考)1人(1回(日))1月あたり給付費(在宅)'!G23,'(参考)1人(1回(日))1月あたり給付費(在宅)'!G47,'(参考)1人(1回(日))1月あたり給付費(在宅)'!G71,'(参考)1人(1回(日))1月あたり給付費(在宅)'!G95,'(参考)1人(1回(日))1月あたり給付費(在宅)'!G119,'(参考)1人(1回(日))1月あたり給付費(在宅)'!G137,'(参考)1人(1回(日))1月あたり給付費(在宅)'!G161,'(参考)1人(1回(日))1月あたり給付費(在宅)'!G185,'(参考)1人(1回(日))1月あたり給付費(在宅)'!G209,'(参考)1人(1回(日))1月あたり給付費(在宅)'!G233,'(参考)1人(1回(日))1月あたり給付費(在宅)'!G281,'(参考)1人(1回(日))1月あたり給付費(在宅)'!G305,'(参考)1人(1回(日))1月あたり給付費(在宅)'!G329,'(参考)1人(1回(日))1月あたり給付費(在宅)'!G353,'(参考)1人(1回(日))1月あたり給付費(在宅)'!G395,'(参考)1人(1回(日))1月あたり給付費(在宅)'!G413,'(参考)1人(1回(日))1月あたり給付費(在宅)'!G455,'(参考)1人(1回(日))1月あたり給付費(在宅)'!G479,'(参考)1人(1回(日))1月あたり給付費(在宅)'!G497,'(参考)1人(1回(日))1月あたり給付費(在宅)'!G431)</f>
        <v>36.0</v>
      </c>
    </row>
    <row r="30" spans="2:16" ht="15.75" customHeight="1">
      <c r="B30" s="10"/>
      <c r="C30" s="58" t="str">
        <f t="shared" si="2"/>
        <v>在宅サービス</v>
      </c>
      <c r="D30" s="166"/>
      <c r="E30" s="23" t="s">
        <v>49</v>
      </c>
      <c r="F30" s="24" t="n">
        <f>SUM(F23:F29)</f>
        <v>5.132146356E8</v>
      </c>
      <c r="G30" s="25" t="n">
        <f>SUM(G23:G29)</f>
        <v>1114.0</v>
      </c>
      <c r="H30" s="54" t="n">
        <f t="shared" si="0"/>
        <v>38391.28034111311</v>
      </c>
      <c r="I30" s="26" t="n">
        <f t="shared" si="5"/>
        <v>24765.0</v>
      </c>
      <c r="J30" s="26" t="n">
        <f t="shared" si="5"/>
        <v>51080.0</v>
      </c>
      <c r="K30" s="27" t="str">
        <f t="shared" si="9"/>
        <v>閾値の範囲内です。</v>
      </c>
      <c r="L30" s="11"/>
      <c r="M30" s="1" t="str">
        <f t="shared" si="3"/>
        <v/>
      </c>
    </row>
    <row r="31" spans="2:16" ht="15.75" customHeight="1">
      <c r="B31" s="6">
        <v>2</v>
      </c>
      <c r="C31" s="7" t="s">
        <v>83</v>
      </c>
      <c r="D31" s="164" t="s">
        <v>416</v>
      </c>
      <c r="E31" s="15" t="s">
        <v>50</v>
      </c>
      <c r="F31" s="35" t="n">
        <f>IF('(参考)1人(1回(日))1月あたり給付費(居住系)'!$O$91="","",O31)</f>
        <v>0.0</v>
      </c>
      <c r="G31" s="36" t="n">
        <f>IF('(参考)1人(1回(日))1月あたり給付費(居住系)'!$O$91="","",P31)</f>
        <v>0.0</v>
      </c>
      <c r="H31" s="52" t="str">
        <f t="shared" ref="H31:H72" si="10">IF(ISERROR((F31/G31)/12)=TRUE,"－",(F31/G31)/12)</f>
        <v>－</v>
      </c>
      <c r="I31" s="34" t="s">
        <v>119</v>
      </c>
      <c r="J31" s="34" t="s">
        <v>119</v>
      </c>
      <c r="K31" s="17" t="s">
        <v>57</v>
      </c>
      <c r="L31" s="11"/>
      <c r="M31" s="1" t="str">
        <f>IF(OR(H31="－",AND(I31="－",J31="－")),"",IF(OR(H31&lt;I31,H31&gt;J31),1,""))</f>
        <v/>
      </c>
      <c r="N31" s="1" t="n">
        <f t="shared" ref="N31:N37" si="11">IF(AND(F31="",G31=""),"",1)</f>
        <v>1.0</v>
      </c>
      <c r="O31" s="102" t="n">
        <f>SUM('(参考)1人(1回(日))1月あたり給付費(居住系)'!F7,'(参考)1人(1回(日))1月あたり給付費(居住系)'!F31)</f>
        <v>0.0</v>
      </c>
      <c r="P31" s="1" t="n">
        <f>SUM('(参考)1人(1回(日))1月あたり給付費(居住系)'!G7,'(参考)1人(1回(日))1月あたり給付費(居住系)'!G31)</f>
        <v>0.0</v>
      </c>
    </row>
    <row r="32" spans="2:16" ht="15.75" customHeight="1">
      <c r="B32" s="8"/>
      <c r="C32" s="58" t="str">
        <f t="shared" ref="C32:C72" si="12">C31</f>
        <v>居住系サービス</v>
      </c>
      <c r="D32" s="165"/>
      <c r="E32" s="18" t="s">
        <v>51</v>
      </c>
      <c r="F32" s="39" t="n">
        <f>IF('(参考)1人(1回(日))1月あたり給付費(居住系)'!$O$91="","",O32)</f>
        <v>2865744.0</v>
      </c>
      <c r="G32" s="40" t="n">
        <f>IF('(参考)1人(1回(日))1月あたり給付費(居住系)'!$O$91="","",P32)</f>
        <v>1.0</v>
      </c>
      <c r="H32" s="53" t="n">
        <f t="shared" si="10"/>
        <v>238812.0</v>
      </c>
      <c r="I32" s="19" t="s">
        <v>119</v>
      </c>
      <c r="J32" s="20" t="s">
        <v>119</v>
      </c>
      <c r="K32" s="22" t="s">
        <v>57</v>
      </c>
      <c r="L32" s="11"/>
      <c r="M32" s="1" t="str">
        <f t="shared" ref="M32:M72" si="13">IF(OR(H32="－",AND(I32="－",J32="－")),"",IF(OR(H32&lt;I32,H32&gt;J32),1,""))</f>
        <v/>
      </c>
      <c r="N32" s="1" t="n">
        <f t="shared" si="11"/>
        <v>1.0</v>
      </c>
      <c r="O32" s="102" t="n">
        <f>SUM('(参考)1人(1回(日))1月あたり給付費(居住系)'!F8,'(参考)1人(1回(日))1月あたり給付費(居住系)'!F32)</f>
        <v>2865744.0</v>
      </c>
      <c r="P32" s="1" t="n">
        <f>SUM('(参考)1人(1回(日))1月あたり給付費(居住系)'!G8,'(参考)1人(1回(日))1月あたり給付費(居住系)'!G32)</f>
        <v>1.0</v>
      </c>
    </row>
    <row r="33" spans="2:16" ht="15.75" customHeight="1">
      <c r="B33" s="8"/>
      <c r="C33" s="58" t="str">
        <f t="shared" si="12"/>
        <v>居住系サービス</v>
      </c>
      <c r="D33" s="165"/>
      <c r="E33" s="18" t="s">
        <v>44</v>
      </c>
      <c r="F33" s="39" t="n">
        <f>IF('(参考)1人(1回(日))1月あたり給付費(居住系)'!$O$91="","",O33)</f>
        <v>2.2853376E7</v>
      </c>
      <c r="G33" s="40" t="n">
        <f>IF('(参考)1人(1回(日))1月あたり給付費(居住系)'!$O$91="","",P33)</f>
        <v>8.0</v>
      </c>
      <c r="H33" s="53" t="n">
        <f t="shared" si="10"/>
        <v>238056.0</v>
      </c>
      <c r="I33" s="21" t="n">
        <f>data!I44</f>
        <v>128285.0</v>
      </c>
      <c r="J33" s="21" t="n">
        <f>data!J44</f>
        <v>291845.0</v>
      </c>
      <c r="K33" s="22" t="str">
        <f t="shared" ref="K33:K72" si="14">IF(H33="－","",IF(H33&lt;I33,"下限値を\"&amp;TEXT(ROUND(I33-H33,0),"#,##0")&amp;"下回っています。",IF(H33&gt;J33,"上限値を\"&amp;TEXT(ROUND(H33-J33,0),"#,##0")&amp;"上回っています。","閾値の範囲内です。")))</f>
        <v>閾値の範囲内です。</v>
      </c>
      <c r="L33" s="11"/>
      <c r="M33" s="1" t="str">
        <f t="shared" si="13"/>
        <v/>
      </c>
      <c r="N33" s="1" t="n">
        <f t="shared" si="11"/>
        <v>1.0</v>
      </c>
      <c r="O33" s="102" t="n">
        <f>SUM('(参考)1人(1回(日))1月あたり給付費(居住系)'!F9,'(参考)1人(1回(日))1月あたり給付費(居住系)'!F33,'(参考)1人(1回(日))1月あたり給付費(居住系)'!F55,'(参考)1人(1回(日))1月あたり給付費(居住系)'!F73)</f>
        <v>2.2853376E7</v>
      </c>
      <c r="P33" s="1" t="n">
        <f>SUM('(参考)1人(1回(日))1月あたり給付費(居住系)'!G9,'(参考)1人(1回(日))1月あたり給付費(居住系)'!G33,'(参考)1人(1回(日))1月あたり給付費(居住系)'!G55,'(参考)1人(1回(日))1月あたり給付費(居住系)'!G73)</f>
        <v>8.0</v>
      </c>
    </row>
    <row r="34" spans="2:16" ht="15.75" customHeight="1">
      <c r="B34" s="8"/>
      <c r="C34" s="58" t="str">
        <f t="shared" si="12"/>
        <v>居住系サービス</v>
      </c>
      <c r="D34" s="165"/>
      <c r="E34" s="18" t="s">
        <v>45</v>
      </c>
      <c r="F34" s="39" t="n">
        <f>IF('(参考)1人(1回(日))1月あたり給付費(居住系)'!$O$91="","",O34)</f>
        <v>6.0236472E7</v>
      </c>
      <c r="G34" s="40" t="n">
        <f>IF('(参考)1人(1回(日))1月あたり給付費(居住系)'!$O$91="","",P34)</f>
        <v>20.0</v>
      </c>
      <c r="H34" s="53" t="n">
        <f t="shared" si="10"/>
        <v>250985.30000000002</v>
      </c>
      <c r="I34" s="21" t="n">
        <f>data!I45</f>
        <v>161985.0</v>
      </c>
      <c r="J34" s="21" t="n">
        <f>data!J45</f>
        <v>300070.0</v>
      </c>
      <c r="K34" s="22" t="str">
        <f t="shared" si="14"/>
        <v>閾値の範囲内です。</v>
      </c>
      <c r="L34" s="11"/>
      <c r="M34" s="1" t="str">
        <f t="shared" si="13"/>
        <v/>
      </c>
      <c r="N34" s="1" t="n">
        <f t="shared" si="11"/>
        <v>1.0</v>
      </c>
      <c r="O34" s="102" t="n">
        <f>SUM('(参考)1人(1回(日))1月あたり給付費(居住系)'!F10,'(参考)1人(1回(日))1月あたり給付費(居住系)'!F34,'(参考)1人(1回(日))1月あたり給付費(居住系)'!F56,'(参考)1人(1回(日))1月あたり給付費(居住系)'!F74)</f>
        <v>6.0236472E7</v>
      </c>
      <c r="P34" s="1" t="n">
        <f>SUM('(参考)1人(1回(日))1月あたり給付費(居住系)'!G10,'(参考)1人(1回(日))1月あたり給付費(居住系)'!G34,'(参考)1人(1回(日))1月あたり給付費(居住系)'!G56,'(参考)1人(1回(日))1月あたり給付費(居住系)'!G74)</f>
        <v>20.0</v>
      </c>
    </row>
    <row r="35" spans="2:16" ht="15.75" customHeight="1">
      <c r="B35" s="8"/>
      <c r="C35" s="58" t="str">
        <f t="shared" si="12"/>
        <v>居住系サービス</v>
      </c>
      <c r="D35" s="165"/>
      <c r="E35" s="18" t="s">
        <v>46</v>
      </c>
      <c r="F35" s="39" t="n">
        <f>IF('(参考)1人(1回(日))1月あたり給付費(居住系)'!$O$91="","",O35)</f>
        <v>7.6953168E7</v>
      </c>
      <c r="G35" s="40" t="n">
        <f>IF('(参考)1人(1回(日))1月あたり給付費(居住系)'!$O$91="","",P35)</f>
        <v>26.0</v>
      </c>
      <c r="H35" s="53" t="n">
        <f t="shared" si="10"/>
        <v>246644.76923076925</v>
      </c>
      <c r="I35" s="21" t="n">
        <f>data!I46</f>
        <v>192270.0</v>
      </c>
      <c r="J35" s="21" t="n">
        <f>data!J46</f>
        <v>300885.0</v>
      </c>
      <c r="K35" s="22" t="str">
        <f t="shared" si="14"/>
        <v>閾値の範囲内です。</v>
      </c>
      <c r="L35" s="11"/>
      <c r="M35" s="1" t="str">
        <f t="shared" si="13"/>
        <v/>
      </c>
      <c r="N35" s="1" t="n">
        <f t="shared" si="11"/>
        <v>1.0</v>
      </c>
      <c r="O35" s="102" t="n">
        <f>SUM('(参考)1人(1回(日))1月あたり給付費(居住系)'!F11,'(参考)1人(1回(日))1月あたり給付費(居住系)'!F35,'(参考)1人(1回(日))1月あたり給付費(居住系)'!F57,'(参考)1人(1回(日))1月あたり給付費(居住系)'!F75)</f>
        <v>7.6953168E7</v>
      </c>
      <c r="P35" s="1" t="n">
        <f>SUM('(参考)1人(1回(日))1月あたり給付費(居住系)'!G11,'(参考)1人(1回(日))1月あたり給付費(居住系)'!G35,'(参考)1人(1回(日))1月あたり給付費(居住系)'!G57,'(参考)1人(1回(日))1月あたり給付費(居住系)'!G75)</f>
        <v>26.0</v>
      </c>
    </row>
    <row r="36" spans="2:16" ht="15.75" customHeight="1">
      <c r="B36" s="8"/>
      <c r="C36" s="58" t="str">
        <f t="shared" si="12"/>
        <v>居住系サービス</v>
      </c>
      <c r="D36" s="165"/>
      <c r="E36" s="18" t="s">
        <v>47</v>
      </c>
      <c r="F36" s="39" t="n">
        <f>IF('(参考)1人(1回(日))1月あたり給付費(居住系)'!$O$91="","",O36)</f>
        <v>6.9113568E7</v>
      </c>
      <c r="G36" s="40" t="n">
        <f>IF('(参考)1人(1回(日))1月あたり給付費(居住系)'!$O$91="","",P36)</f>
        <v>22.0</v>
      </c>
      <c r="H36" s="53" t="n">
        <f t="shared" si="10"/>
        <v>261793.8181818182</v>
      </c>
      <c r="I36" s="21" t="n">
        <f>data!I47</f>
        <v>202285.0</v>
      </c>
      <c r="J36" s="21" t="n">
        <f>data!J47</f>
        <v>302595.0</v>
      </c>
      <c r="K36" s="22" t="str">
        <f t="shared" si="14"/>
        <v>閾値の範囲内です。</v>
      </c>
      <c r="L36" s="11"/>
      <c r="M36" s="1" t="str">
        <f t="shared" si="13"/>
        <v/>
      </c>
      <c r="N36" s="1" t="n">
        <f t="shared" si="11"/>
        <v>1.0</v>
      </c>
      <c r="O36" s="102" t="n">
        <f>SUM('(参考)1人(1回(日))1月あたり給付費(居住系)'!F12,'(参考)1人(1回(日))1月あたり給付費(居住系)'!F36,'(参考)1人(1回(日))1月あたり給付費(居住系)'!F58,'(参考)1人(1回(日))1月あたり給付費(居住系)'!F76)</f>
        <v>6.9113568E7</v>
      </c>
      <c r="P36" s="1" t="n">
        <f>SUM('(参考)1人(1回(日))1月あたり給付費(居住系)'!G12,'(参考)1人(1回(日))1月あたり給付費(居住系)'!G36,'(参考)1人(1回(日))1月あたり給付費(居住系)'!G58,'(参考)1人(1回(日))1月あたり給付費(居住系)'!G76)</f>
        <v>22.0</v>
      </c>
    </row>
    <row r="37" spans="2:16" ht="15.75" customHeight="1">
      <c r="B37" s="8"/>
      <c r="C37" s="58" t="str">
        <f t="shared" si="12"/>
        <v>居住系サービス</v>
      </c>
      <c r="D37" s="165"/>
      <c r="E37" s="18" t="s">
        <v>48</v>
      </c>
      <c r="F37" s="39" t="n">
        <f>IF('(参考)1人(1回(日))1月あたり給付費(居住系)'!$O$91="","",O37)</f>
        <v>3.6055932E7</v>
      </c>
      <c r="G37" s="40" t="n">
        <f>IF('(参考)1人(1回(日))1月あたり給付費(居住系)'!$O$91="","",P37)</f>
        <v>11.0</v>
      </c>
      <c r="H37" s="53" t="n">
        <f t="shared" si="10"/>
        <v>273151.0</v>
      </c>
      <c r="I37" s="21" t="n">
        <f>data!I48</f>
        <v>222955.0</v>
      </c>
      <c r="J37" s="21" t="n">
        <f>data!J48</f>
        <v>310575.0</v>
      </c>
      <c r="K37" s="22" t="str">
        <f t="shared" si="14"/>
        <v>閾値の範囲内です。</v>
      </c>
      <c r="L37" s="11"/>
      <c r="M37" s="1" t="str">
        <f t="shared" si="13"/>
        <v/>
      </c>
      <c r="N37" s="1" t="n">
        <f t="shared" si="11"/>
        <v>1.0</v>
      </c>
      <c r="O37" s="102" t="n">
        <f>SUM('(参考)1人(1回(日))1月あたり給付費(居住系)'!F13,'(参考)1人(1回(日))1月あたり給付費(居住系)'!F37,'(参考)1人(1回(日))1月あたり給付費(居住系)'!F59,'(参考)1人(1回(日))1月あたり給付費(居住系)'!F77)</f>
        <v>3.6055932E7</v>
      </c>
      <c r="P37" s="1" t="n">
        <f>SUM('(参考)1人(1回(日))1月あたり給付費(居住系)'!G13,'(参考)1人(1回(日))1月あたり給付費(居住系)'!G37,'(参考)1人(1回(日))1月あたり給付費(居住系)'!G59,'(参考)1人(1回(日))1月あたり給付費(居住系)'!G77)</f>
        <v>11.0</v>
      </c>
    </row>
    <row r="38" spans="2:16" ht="15.75" customHeight="1">
      <c r="B38" s="8"/>
      <c r="C38" s="58" t="str">
        <f t="shared" si="12"/>
        <v>居住系サービス</v>
      </c>
      <c r="D38" s="166"/>
      <c r="E38" s="23" t="s">
        <v>49</v>
      </c>
      <c r="F38" s="24" t="n">
        <f>SUM(F31:F37)</f>
        <v>2.6807826E8</v>
      </c>
      <c r="G38" s="25" t="n">
        <f>SUM(G31:G37)</f>
        <v>88.0</v>
      </c>
      <c r="H38" s="54" t="n">
        <f t="shared" si="10"/>
        <v>253861.98863636365</v>
      </c>
      <c r="I38" s="26" t="n">
        <f>data!I49</f>
        <v>163840.0</v>
      </c>
      <c r="J38" s="26" t="n">
        <f>data!J49</f>
        <v>295375.0</v>
      </c>
      <c r="K38" s="27" t="str">
        <f t="shared" si="14"/>
        <v>閾値の範囲内です。</v>
      </c>
      <c r="L38" s="11"/>
      <c r="M38" s="1" t="str">
        <f t="shared" si="13"/>
        <v/>
      </c>
    </row>
    <row r="39" spans="2:16" ht="15.75" customHeight="1">
      <c r="B39" s="8"/>
      <c r="C39" s="58" t="str">
        <f t="shared" si="12"/>
        <v>居住系サービス</v>
      </c>
      <c r="D39" s="164" t="s">
        <v>415</v>
      </c>
      <c r="E39" s="15" t="s">
        <v>50</v>
      </c>
      <c r="F39" s="35" t="n">
        <f>IF('(参考)1人(1回(日))1月あたり給付費(居住系)'!$O$91="","",O39)</f>
        <v>0.0</v>
      </c>
      <c r="G39" s="36" t="n">
        <f>IF('(参考)1人(1回(日))1月あたり給付費(居住系)'!$O$91="","",P39)</f>
        <v>0.0</v>
      </c>
      <c r="H39" s="52" t="str">
        <f t="shared" si="10"/>
        <v>－</v>
      </c>
      <c r="I39" s="56" t="str">
        <f t="shared" ref="I39:J54" si="15">I31</f>
        <v>－</v>
      </c>
      <c r="J39" s="56" t="str">
        <f t="shared" si="15"/>
        <v>－</v>
      </c>
      <c r="K39" s="17" t="s">
        <v>57</v>
      </c>
      <c r="L39" s="11"/>
      <c r="M39" s="1" t="str">
        <f t="shared" si="13"/>
        <v/>
      </c>
      <c r="N39" s="1" t="n">
        <f t="shared" ref="N39:N45" si="16">IF(AND(F39="",G39=""),"",1)</f>
        <v>1.0</v>
      </c>
      <c r="O39" s="102" t="n">
        <f>SUM('(参考)1人(1回(日))1月あたり給付費(居住系)'!F15,'(参考)1人(1回(日))1月あたり給付費(居住系)'!F39)</f>
        <v>0.0</v>
      </c>
      <c r="P39" s="1" t="n">
        <f>SUM('(参考)1人(1回(日))1月あたり給付費(居住系)'!G15,'(参考)1人(1回(日))1月あたり給付費(居住系)'!G39)</f>
        <v>0.0</v>
      </c>
    </row>
    <row r="40" spans="2:16" ht="15.75" customHeight="1">
      <c r="B40" s="8"/>
      <c r="C40" s="58" t="str">
        <f t="shared" si="12"/>
        <v>居住系サービス</v>
      </c>
      <c r="D40" s="165"/>
      <c r="E40" s="18" t="s">
        <v>51</v>
      </c>
      <c r="F40" s="39" t="n">
        <f>IF('(参考)1人(1回(日))1月あたり給付費(居住系)'!$O$91="","",O40)</f>
        <v>2865744.0</v>
      </c>
      <c r="G40" s="40" t="n">
        <f>IF('(参考)1人(1回(日))1月あたり給付費(居住系)'!$O$91="","",P40)</f>
        <v>1.0</v>
      </c>
      <c r="H40" s="53" t="n">
        <f t="shared" si="10"/>
        <v>238812.0</v>
      </c>
      <c r="I40" s="57" t="str">
        <f t="shared" si="15"/>
        <v>－</v>
      </c>
      <c r="J40" s="57" t="str">
        <f t="shared" si="15"/>
        <v>－</v>
      </c>
      <c r="K40" s="22" t="s">
        <v>57</v>
      </c>
      <c r="L40" s="11"/>
      <c r="M40" s="1" t="str">
        <f t="shared" si="13"/>
        <v/>
      </c>
      <c r="N40" s="1" t="n">
        <f t="shared" si="16"/>
        <v>1.0</v>
      </c>
      <c r="O40" s="102" t="n">
        <f>SUM('(参考)1人(1回(日))1月あたり給付費(居住系)'!F16,'(参考)1人(1回(日))1月あたり給付費(居住系)'!F40)</f>
        <v>2865744.0</v>
      </c>
      <c r="P40" s="1" t="n">
        <f>SUM('(参考)1人(1回(日))1月あたり給付費(居住系)'!G16,'(参考)1人(1回(日))1月あたり給付費(居住系)'!G40)</f>
        <v>1.0</v>
      </c>
    </row>
    <row r="41" spans="2:16" ht="15.75" customHeight="1">
      <c r="B41" s="8"/>
      <c r="C41" s="58" t="str">
        <f t="shared" si="12"/>
        <v>居住系サービス</v>
      </c>
      <c r="D41" s="165"/>
      <c r="E41" s="18" t="s">
        <v>44</v>
      </c>
      <c r="F41" s="39" t="n">
        <f>IF('(参考)1人(1回(日))1月あたり給付費(居住系)'!$O$91="","",O41)</f>
        <v>2.2853376E7</v>
      </c>
      <c r="G41" s="40" t="n">
        <f>IF('(参考)1人(1回(日))1月あたり給付費(居住系)'!$O$91="","",P41)</f>
        <v>8.0</v>
      </c>
      <c r="H41" s="53" t="n">
        <f t="shared" si="10"/>
        <v>238056.0</v>
      </c>
      <c r="I41" s="21" t="n">
        <f t="shared" si="15"/>
        <v>128285.0</v>
      </c>
      <c r="J41" s="21" t="n">
        <f t="shared" si="15"/>
        <v>291845.0</v>
      </c>
      <c r="K41" s="22" t="str">
        <f t="shared" si="14"/>
        <v>閾値の範囲内です。</v>
      </c>
      <c r="L41" s="11"/>
      <c r="M41" s="1" t="str">
        <f t="shared" si="13"/>
        <v/>
      </c>
      <c r="N41" s="1" t="n">
        <f t="shared" si="16"/>
        <v>1.0</v>
      </c>
      <c r="O41" s="102" t="n">
        <f>SUM('(参考)1人(1回(日))1月あたり給付費(居住系)'!F17,'(参考)1人(1回(日))1月あたり給付費(居住系)'!F41,'(参考)1人(1回(日))1月あたり給付費(居住系)'!F61,'(参考)1人(1回(日))1月あたり給付費(居住系)'!F79)</f>
        <v>2.2853376E7</v>
      </c>
      <c r="P41" s="1" t="n">
        <f>SUM('(参考)1人(1回(日))1月あたり給付費(居住系)'!G17,'(参考)1人(1回(日))1月あたり給付費(居住系)'!G41,'(参考)1人(1回(日))1月あたり給付費(居住系)'!G61,'(参考)1人(1回(日))1月あたり給付費(居住系)'!G79)</f>
        <v>8.0</v>
      </c>
    </row>
    <row r="42" spans="2:16" ht="15.75" customHeight="1">
      <c r="B42" s="8"/>
      <c r="C42" s="58" t="str">
        <f t="shared" si="12"/>
        <v>居住系サービス</v>
      </c>
      <c r="D42" s="165"/>
      <c r="E42" s="18" t="s">
        <v>45</v>
      </c>
      <c r="F42" s="39" t="n">
        <f>IF('(参考)1人(1回(日))1月あたり給付費(居住系)'!$O$91="","",O42)</f>
        <v>5.715234E7</v>
      </c>
      <c r="G42" s="40" t="n">
        <f>IF('(参考)1人(1回(日))1月あたり給付費(居住系)'!$O$91="","",P42)</f>
        <v>19.0</v>
      </c>
      <c r="H42" s="53" t="n">
        <f t="shared" si="10"/>
        <v>250668.15789473685</v>
      </c>
      <c r="I42" s="21" t="n">
        <f t="shared" si="15"/>
        <v>161985.0</v>
      </c>
      <c r="J42" s="21" t="n">
        <f t="shared" si="15"/>
        <v>300070.0</v>
      </c>
      <c r="K42" s="22" t="str">
        <f t="shared" si="14"/>
        <v>閾値の範囲内です。</v>
      </c>
      <c r="L42" s="11"/>
      <c r="M42" s="1" t="str">
        <f t="shared" si="13"/>
        <v/>
      </c>
      <c r="N42" s="1" t="n">
        <f t="shared" si="16"/>
        <v>1.0</v>
      </c>
      <c r="O42" s="102" t="n">
        <f>SUM('(参考)1人(1回(日))1月あたり給付費(居住系)'!F18,'(参考)1人(1回(日))1月あたり給付費(居住系)'!F42,'(参考)1人(1回(日))1月あたり給付費(居住系)'!F62,'(参考)1人(1回(日))1月あたり給付費(居住系)'!F80)</f>
        <v>5.715234E7</v>
      </c>
      <c r="P42" s="1" t="n">
        <f>SUM('(参考)1人(1回(日))1月あたり給付費(居住系)'!G18,'(参考)1人(1回(日))1月あたり給付費(居住系)'!G42,'(参考)1人(1回(日))1月あたり給付費(居住系)'!G62,'(参考)1人(1回(日))1月あたり給付費(居住系)'!G80)</f>
        <v>19.0</v>
      </c>
    </row>
    <row r="43" spans="2:16" ht="15.75" customHeight="1">
      <c r="B43" s="8"/>
      <c r="C43" s="58" t="str">
        <f t="shared" si="12"/>
        <v>居住系サービス</v>
      </c>
      <c r="D43" s="165"/>
      <c r="E43" s="18" t="s">
        <v>46</v>
      </c>
      <c r="F43" s="39" t="n">
        <f>IF('(参考)1人(1回(日))1月あたり給付費(居住系)'!$O$91="","",O43)</f>
        <v>7.6953168E7</v>
      </c>
      <c r="G43" s="40" t="n">
        <f>IF('(参考)1人(1回(日))1月あたり給付費(居住系)'!$O$91="","",P43)</f>
        <v>26.0</v>
      </c>
      <c r="H43" s="53" t="n">
        <f t="shared" si="10"/>
        <v>246644.76923076925</v>
      </c>
      <c r="I43" s="21" t="n">
        <f t="shared" si="15"/>
        <v>192270.0</v>
      </c>
      <c r="J43" s="21" t="n">
        <f t="shared" si="15"/>
        <v>300885.0</v>
      </c>
      <c r="K43" s="22" t="str">
        <f t="shared" si="14"/>
        <v>閾値の範囲内です。</v>
      </c>
      <c r="L43" s="11"/>
      <c r="M43" s="1" t="str">
        <f t="shared" si="13"/>
        <v/>
      </c>
      <c r="N43" s="1" t="n">
        <f t="shared" si="16"/>
        <v>1.0</v>
      </c>
      <c r="O43" s="102" t="n">
        <f>SUM('(参考)1人(1回(日))1月あたり給付費(居住系)'!F19,'(参考)1人(1回(日))1月あたり給付費(居住系)'!F43,'(参考)1人(1回(日))1月あたり給付費(居住系)'!F63,'(参考)1人(1回(日))1月あたり給付費(居住系)'!F81)</f>
        <v>7.6953168E7</v>
      </c>
      <c r="P43" s="1" t="n">
        <f>SUM('(参考)1人(1回(日))1月あたり給付費(居住系)'!G19,'(参考)1人(1回(日))1月あたり給付費(居住系)'!G43,'(参考)1人(1回(日))1月あたり給付費(居住系)'!G63,'(参考)1人(1回(日))1月あたり給付費(居住系)'!G81)</f>
        <v>26.0</v>
      </c>
    </row>
    <row r="44" spans="2:16" ht="15.75" customHeight="1">
      <c r="B44" s="8"/>
      <c r="C44" s="58" t="str">
        <f t="shared" si="12"/>
        <v>居住系サービス</v>
      </c>
      <c r="D44" s="165"/>
      <c r="E44" s="18" t="s">
        <v>47</v>
      </c>
      <c r="F44" s="39" t="n">
        <f>IF('(参考)1人(1回(日))1月あたり給付費(居住系)'!$O$91="","",O44)</f>
        <v>6.9113568E7</v>
      </c>
      <c r="G44" s="40" t="n">
        <f>IF('(参考)1人(1回(日))1月あたり給付費(居住系)'!$O$91="","",P44)</f>
        <v>22.0</v>
      </c>
      <c r="H44" s="53" t="n">
        <f t="shared" si="10"/>
        <v>261793.8181818182</v>
      </c>
      <c r="I44" s="21" t="n">
        <f t="shared" si="15"/>
        <v>202285.0</v>
      </c>
      <c r="J44" s="21" t="n">
        <f t="shared" si="15"/>
        <v>302595.0</v>
      </c>
      <c r="K44" s="22" t="str">
        <f t="shared" si="14"/>
        <v>閾値の範囲内です。</v>
      </c>
      <c r="L44" s="11"/>
      <c r="M44" s="1" t="str">
        <f t="shared" si="13"/>
        <v/>
      </c>
      <c r="N44" s="1" t="n">
        <f t="shared" si="16"/>
        <v>1.0</v>
      </c>
      <c r="O44" s="102" t="n">
        <f>SUM('(参考)1人(1回(日))1月あたり給付費(居住系)'!F20,'(参考)1人(1回(日))1月あたり給付費(居住系)'!F44,'(参考)1人(1回(日))1月あたり給付費(居住系)'!F64,'(参考)1人(1回(日))1月あたり給付費(居住系)'!F82)</f>
        <v>6.9113568E7</v>
      </c>
      <c r="P44" s="1" t="n">
        <f>SUM('(参考)1人(1回(日))1月あたり給付費(居住系)'!G20,'(参考)1人(1回(日))1月あたり給付費(居住系)'!G44,'(参考)1人(1回(日))1月あたり給付費(居住系)'!G64,'(参考)1人(1回(日))1月あたり給付費(居住系)'!G82)</f>
        <v>22.0</v>
      </c>
    </row>
    <row r="45" spans="2:16" ht="15.75" customHeight="1">
      <c r="B45" s="8"/>
      <c r="C45" s="58" t="str">
        <f t="shared" si="12"/>
        <v>居住系サービス</v>
      </c>
      <c r="D45" s="165"/>
      <c r="E45" s="18" t="s">
        <v>48</v>
      </c>
      <c r="F45" s="39" t="n">
        <f>IF('(参考)1人(1回(日))1月あたり給付費(居住系)'!$O$91="","",O45)</f>
        <v>3.6055932E7</v>
      </c>
      <c r="G45" s="40" t="n">
        <f>IF('(参考)1人(1回(日))1月あたり給付費(居住系)'!$O$91="","",P45)</f>
        <v>11.0</v>
      </c>
      <c r="H45" s="53" t="n">
        <f t="shared" si="10"/>
        <v>273151.0</v>
      </c>
      <c r="I45" s="21" t="n">
        <f t="shared" si="15"/>
        <v>222955.0</v>
      </c>
      <c r="J45" s="21" t="n">
        <f t="shared" si="15"/>
        <v>310575.0</v>
      </c>
      <c r="K45" s="22" t="str">
        <f t="shared" si="14"/>
        <v>閾値の範囲内です。</v>
      </c>
      <c r="L45" s="11"/>
      <c r="M45" s="1" t="str">
        <f t="shared" si="13"/>
        <v/>
      </c>
      <c r="N45" s="1" t="n">
        <f t="shared" si="16"/>
        <v>1.0</v>
      </c>
      <c r="O45" s="102" t="n">
        <f>SUM('(参考)1人(1回(日))1月あたり給付費(居住系)'!F21,'(参考)1人(1回(日))1月あたり給付費(居住系)'!F45,'(参考)1人(1回(日))1月あたり給付費(居住系)'!F65,'(参考)1人(1回(日))1月あたり給付費(居住系)'!F83)</f>
        <v>3.6055932E7</v>
      </c>
      <c r="P45" s="1" t="n">
        <f>SUM('(参考)1人(1回(日))1月あたり給付費(居住系)'!G21,'(参考)1人(1回(日))1月あたり給付費(居住系)'!G45,'(参考)1人(1回(日))1月あたり給付費(居住系)'!G65,'(参考)1人(1回(日))1月あたり給付費(居住系)'!G83)</f>
        <v>11.0</v>
      </c>
    </row>
    <row r="46" spans="2:16" ht="15.75" customHeight="1">
      <c r="B46" s="8"/>
      <c r="C46" s="58" t="str">
        <f t="shared" si="12"/>
        <v>居住系サービス</v>
      </c>
      <c r="D46" s="166"/>
      <c r="E46" s="23" t="s">
        <v>49</v>
      </c>
      <c r="F46" s="24" t="n">
        <f>SUM(F39:F45)</f>
        <v>2.64994128E8</v>
      </c>
      <c r="G46" s="25" t="n">
        <f>SUM(G39:G45)</f>
        <v>87.0</v>
      </c>
      <c r="H46" s="54" t="n">
        <f t="shared" si="10"/>
        <v>253825.79310344826</v>
      </c>
      <c r="I46" s="21" t="n">
        <f t="shared" si="15"/>
        <v>163840.0</v>
      </c>
      <c r="J46" s="21" t="n">
        <f t="shared" si="15"/>
        <v>295375.0</v>
      </c>
      <c r="K46" s="27" t="str">
        <f t="shared" si="14"/>
        <v>閾値の範囲内です。</v>
      </c>
      <c r="L46" s="11"/>
      <c r="M46" s="1" t="str">
        <f t="shared" si="13"/>
        <v/>
      </c>
    </row>
    <row r="47" spans="2:16" ht="15.75" customHeight="1">
      <c r="B47" s="8"/>
      <c r="C47" s="58" t="str">
        <f t="shared" si="12"/>
        <v>居住系サービス</v>
      </c>
      <c r="D47" s="164" t="s">
        <v>414</v>
      </c>
      <c r="E47" s="15" t="s">
        <v>50</v>
      </c>
      <c r="F47" s="35" t="n">
        <f>IF('(参考)1人(1回(日))1月あたり給付費(居住系)'!$O$91="","",O47)</f>
        <v>0.0</v>
      </c>
      <c r="G47" s="36" t="n">
        <f>IF('(参考)1人(1回(日))1月あたり給付費(居住系)'!$O$91="","",P47)</f>
        <v>0.0</v>
      </c>
      <c r="H47" s="52" t="str">
        <f t="shared" si="10"/>
        <v>－</v>
      </c>
      <c r="I47" s="56" t="str">
        <f t="shared" si="15"/>
        <v>－</v>
      </c>
      <c r="J47" s="56" t="str">
        <f t="shared" si="15"/>
        <v>－</v>
      </c>
      <c r="K47" s="17" t="s">
        <v>57</v>
      </c>
      <c r="L47" s="11"/>
      <c r="M47" s="1" t="str">
        <f t="shared" si="13"/>
        <v/>
      </c>
      <c r="N47" s="1" t="n">
        <f t="shared" ref="N47:N53" si="17">IF(AND(F47="",G47=""),"",1)</f>
        <v>1.0</v>
      </c>
      <c r="O47" s="102" t="n">
        <f>SUM('(参考)1人(1回(日))1月あたり給付費(居住系)'!F23,'(参考)1人(1回(日))1月あたり給付費(居住系)'!F47)</f>
        <v>0.0</v>
      </c>
      <c r="P47" s="1" t="n">
        <f>SUM('(参考)1人(1回(日))1月あたり給付費(居住系)'!G23,'(参考)1人(1回(日))1月あたり給付費(居住系)'!G47)</f>
        <v>0.0</v>
      </c>
    </row>
    <row r="48" spans="2:16" ht="15.75" customHeight="1">
      <c r="B48" s="8"/>
      <c r="C48" s="58" t="str">
        <f t="shared" si="12"/>
        <v>居住系サービス</v>
      </c>
      <c r="D48" s="165"/>
      <c r="E48" s="18" t="s">
        <v>51</v>
      </c>
      <c r="F48" s="39" t="n">
        <f>IF('(参考)1人(1回(日))1月あたり給付費(居住系)'!$O$91="","",O48)</f>
        <v>2865744.0</v>
      </c>
      <c r="G48" s="40" t="n">
        <f>IF('(参考)1人(1回(日))1月あたり給付費(居住系)'!$O$91="","",P48)</f>
        <v>1.0</v>
      </c>
      <c r="H48" s="53" t="n">
        <f t="shared" si="10"/>
        <v>238812.0</v>
      </c>
      <c r="I48" s="57" t="str">
        <f t="shared" si="15"/>
        <v>－</v>
      </c>
      <c r="J48" s="57" t="str">
        <f t="shared" si="15"/>
        <v>－</v>
      </c>
      <c r="K48" s="22" t="s">
        <v>57</v>
      </c>
      <c r="L48" s="11"/>
      <c r="M48" s="1" t="str">
        <f t="shared" si="13"/>
        <v/>
      </c>
      <c r="N48" s="1" t="n">
        <f t="shared" si="17"/>
        <v>1.0</v>
      </c>
      <c r="O48" s="102" t="n">
        <f>SUM('(参考)1人(1回(日))1月あたり給付費(居住系)'!F24,'(参考)1人(1回(日))1月あたり給付費(居住系)'!F48)</f>
        <v>2865744.0</v>
      </c>
      <c r="P48" s="1" t="n">
        <f>SUM('(参考)1人(1回(日))1月あたり給付費(居住系)'!G24,'(参考)1人(1回(日))1月あたり給付費(居住系)'!G48)</f>
        <v>1.0</v>
      </c>
    </row>
    <row r="49" spans="2:16" ht="15.75" customHeight="1">
      <c r="B49" s="8"/>
      <c r="C49" s="58" t="str">
        <f t="shared" si="12"/>
        <v>居住系サービス</v>
      </c>
      <c r="D49" s="165"/>
      <c r="E49" s="18" t="s">
        <v>44</v>
      </c>
      <c r="F49" s="39" t="n">
        <f>IF('(参考)1人(1回(日))1月あたり給付費(居住系)'!$O$91="","",O49)</f>
        <v>2.2853376E7</v>
      </c>
      <c r="G49" s="40" t="n">
        <f>IF('(参考)1人(1回(日))1月あたり給付費(居住系)'!$O$91="","",P49)</f>
        <v>8.0</v>
      </c>
      <c r="H49" s="53" t="n">
        <f t="shared" si="10"/>
        <v>238056.0</v>
      </c>
      <c r="I49" s="21" t="n">
        <f t="shared" si="15"/>
        <v>128285.0</v>
      </c>
      <c r="J49" s="21" t="n">
        <f t="shared" si="15"/>
        <v>291845.0</v>
      </c>
      <c r="K49" s="22" t="str">
        <f t="shared" si="14"/>
        <v>閾値の範囲内です。</v>
      </c>
      <c r="L49" s="11"/>
      <c r="M49" s="1" t="str">
        <f t="shared" si="13"/>
        <v/>
      </c>
      <c r="N49" s="1" t="n">
        <f t="shared" si="17"/>
        <v>1.0</v>
      </c>
      <c r="O49" s="102" t="n">
        <f>SUM('(参考)1人(1回(日))1月あたり給付費(居住系)'!F25,'(参考)1人(1回(日))1月あたり給付費(居住系)'!F49,'(参考)1人(1回(日))1月あたり給付費(居住系)'!F67,'(参考)1人(1回(日))1月あたり給付費(居住系)'!F85)</f>
        <v>2.2853376E7</v>
      </c>
      <c r="P49" s="1" t="n">
        <f>SUM('(参考)1人(1回(日))1月あたり給付費(居住系)'!G25,'(参考)1人(1回(日))1月あたり給付費(居住系)'!G49,'(参考)1人(1回(日))1月あたり給付費(居住系)'!G67,'(参考)1人(1回(日))1月あたり給付費(居住系)'!G85)</f>
        <v>8.0</v>
      </c>
    </row>
    <row r="50" spans="2:16" ht="15.75" customHeight="1">
      <c r="B50" s="8"/>
      <c r="C50" s="58" t="str">
        <f t="shared" si="12"/>
        <v>居住系サービス</v>
      </c>
      <c r="D50" s="165"/>
      <c r="E50" s="18" t="s">
        <v>45</v>
      </c>
      <c r="F50" s="39" t="n">
        <f>IF('(参考)1人(1回(日))1月あたり給付費(居住系)'!$O$91="","",O50)</f>
        <v>5.715234E7</v>
      </c>
      <c r="G50" s="40" t="n">
        <f>IF('(参考)1人(1回(日))1月あたり給付費(居住系)'!$O$91="","",P50)</f>
        <v>19.0</v>
      </c>
      <c r="H50" s="53" t="n">
        <f t="shared" si="10"/>
        <v>250668.15789473685</v>
      </c>
      <c r="I50" s="21" t="n">
        <f t="shared" si="15"/>
        <v>161985.0</v>
      </c>
      <c r="J50" s="21" t="n">
        <f t="shared" si="15"/>
        <v>300070.0</v>
      </c>
      <c r="K50" s="22" t="str">
        <f t="shared" si="14"/>
        <v>閾値の範囲内です。</v>
      </c>
      <c r="L50" s="11"/>
      <c r="M50" s="1" t="str">
        <f t="shared" si="13"/>
        <v/>
      </c>
      <c r="N50" s="1" t="n">
        <f t="shared" si="17"/>
        <v>1.0</v>
      </c>
      <c r="O50" s="102" t="n">
        <f>SUM('(参考)1人(1回(日))1月あたり給付費(居住系)'!F26,'(参考)1人(1回(日))1月あたり給付費(居住系)'!F50,'(参考)1人(1回(日))1月あたり給付費(居住系)'!F68,'(参考)1人(1回(日))1月あたり給付費(居住系)'!F86)</f>
        <v>5.715234E7</v>
      </c>
      <c r="P50" s="1" t="n">
        <f>SUM('(参考)1人(1回(日))1月あたり給付費(居住系)'!G26,'(参考)1人(1回(日))1月あたり給付費(居住系)'!G50,'(参考)1人(1回(日))1月あたり給付費(居住系)'!G68,'(参考)1人(1回(日))1月あたり給付費(居住系)'!G86)</f>
        <v>19.0</v>
      </c>
    </row>
    <row r="51" spans="2:16" ht="15.75" customHeight="1">
      <c r="B51" s="8"/>
      <c r="C51" s="58" t="str">
        <f t="shared" si="12"/>
        <v>居住系サービス</v>
      </c>
      <c r="D51" s="165"/>
      <c r="E51" s="18" t="s">
        <v>46</v>
      </c>
      <c r="F51" s="39" t="n">
        <f>IF('(参考)1人(1回(日))1月あたり給付費(居住系)'!$O$91="","",O51)</f>
        <v>7.6953168E7</v>
      </c>
      <c r="G51" s="40" t="n">
        <f>IF('(参考)1人(1回(日))1月あたり給付費(居住系)'!$O$91="","",P51)</f>
        <v>26.0</v>
      </c>
      <c r="H51" s="53" t="n">
        <f t="shared" si="10"/>
        <v>246644.76923076925</v>
      </c>
      <c r="I51" s="21" t="n">
        <f t="shared" si="15"/>
        <v>192270.0</v>
      </c>
      <c r="J51" s="21" t="n">
        <f t="shared" si="15"/>
        <v>300885.0</v>
      </c>
      <c r="K51" s="22" t="str">
        <f t="shared" si="14"/>
        <v>閾値の範囲内です。</v>
      </c>
      <c r="L51" s="11"/>
      <c r="M51" s="1" t="str">
        <f t="shared" si="13"/>
        <v/>
      </c>
      <c r="N51" s="1" t="n">
        <f t="shared" si="17"/>
        <v>1.0</v>
      </c>
      <c r="O51" s="102" t="n">
        <f>SUM('(参考)1人(1回(日))1月あたり給付費(居住系)'!F27,'(参考)1人(1回(日))1月あたり給付費(居住系)'!F51,'(参考)1人(1回(日))1月あたり給付費(居住系)'!F69,'(参考)1人(1回(日))1月あたり給付費(居住系)'!F87)</f>
        <v>7.6953168E7</v>
      </c>
      <c r="P51" s="1" t="n">
        <f>SUM('(参考)1人(1回(日))1月あたり給付費(居住系)'!G27,'(参考)1人(1回(日))1月あたり給付費(居住系)'!G51,'(参考)1人(1回(日))1月あたり給付費(居住系)'!G69,'(参考)1人(1回(日))1月あたり給付費(居住系)'!G87)</f>
        <v>26.0</v>
      </c>
    </row>
    <row r="52" spans="2:16" ht="15.75" customHeight="1">
      <c r="B52" s="8"/>
      <c r="C52" s="58" t="str">
        <f t="shared" si="12"/>
        <v>居住系サービス</v>
      </c>
      <c r="D52" s="165"/>
      <c r="E52" s="18" t="s">
        <v>47</v>
      </c>
      <c r="F52" s="39" t="n">
        <f>IF('(参考)1人(1回(日))1月あたり給付費(居住系)'!$O$91="","",O52)</f>
        <v>6.9113568E7</v>
      </c>
      <c r="G52" s="40" t="n">
        <f>IF('(参考)1人(1回(日))1月あたり給付費(居住系)'!$O$91="","",P52)</f>
        <v>22.0</v>
      </c>
      <c r="H52" s="53" t="n">
        <f t="shared" si="10"/>
        <v>261793.8181818182</v>
      </c>
      <c r="I52" s="21" t="n">
        <f t="shared" si="15"/>
        <v>202285.0</v>
      </c>
      <c r="J52" s="21" t="n">
        <f t="shared" si="15"/>
        <v>302595.0</v>
      </c>
      <c r="K52" s="22" t="str">
        <f t="shared" si="14"/>
        <v>閾値の範囲内です。</v>
      </c>
      <c r="L52" s="11"/>
      <c r="M52" s="1" t="str">
        <f t="shared" si="13"/>
        <v/>
      </c>
      <c r="N52" s="1" t="n">
        <f t="shared" si="17"/>
        <v>1.0</v>
      </c>
      <c r="O52" s="102" t="n">
        <f>SUM('(参考)1人(1回(日))1月あたり給付費(居住系)'!F28,'(参考)1人(1回(日))1月あたり給付費(居住系)'!F52,'(参考)1人(1回(日))1月あたり給付費(居住系)'!F70,'(参考)1人(1回(日))1月あたり給付費(居住系)'!F88)</f>
        <v>6.9113568E7</v>
      </c>
      <c r="P52" s="1" t="n">
        <f>SUM('(参考)1人(1回(日))1月あたり給付費(居住系)'!G28,'(参考)1人(1回(日))1月あたり給付費(居住系)'!G52,'(参考)1人(1回(日))1月あたり給付費(居住系)'!G70,'(参考)1人(1回(日))1月あたり給付費(居住系)'!G88)</f>
        <v>22.0</v>
      </c>
    </row>
    <row r="53" spans="2:16" ht="15.75" customHeight="1">
      <c r="B53" s="8"/>
      <c r="C53" s="58" t="str">
        <f t="shared" si="12"/>
        <v>居住系サービス</v>
      </c>
      <c r="D53" s="165"/>
      <c r="E53" s="18" t="s">
        <v>48</v>
      </c>
      <c r="F53" s="39" t="n">
        <f>IF('(参考)1人(1回(日))1月あたり給付費(居住系)'!$O$91="","",O53)</f>
        <v>3.6055932E7</v>
      </c>
      <c r="G53" s="40" t="n">
        <f>IF('(参考)1人(1回(日))1月あたり給付費(居住系)'!$O$91="","",P53)</f>
        <v>11.0</v>
      </c>
      <c r="H53" s="53" t="n">
        <f t="shared" si="10"/>
        <v>273151.0</v>
      </c>
      <c r="I53" s="21" t="n">
        <f t="shared" si="15"/>
        <v>222955.0</v>
      </c>
      <c r="J53" s="21" t="n">
        <f t="shared" si="15"/>
        <v>310575.0</v>
      </c>
      <c r="K53" s="22" t="str">
        <f t="shared" si="14"/>
        <v>閾値の範囲内です。</v>
      </c>
      <c r="L53" s="11"/>
      <c r="M53" s="1" t="str">
        <f t="shared" si="13"/>
        <v/>
      </c>
      <c r="N53" s="1" t="n">
        <f t="shared" si="17"/>
        <v>1.0</v>
      </c>
      <c r="O53" s="102" t="n">
        <f>SUM('(参考)1人(1回(日))1月あたり給付費(居住系)'!F29,'(参考)1人(1回(日))1月あたり給付費(居住系)'!F53,'(参考)1人(1回(日))1月あたり給付費(居住系)'!F71,'(参考)1人(1回(日))1月あたり給付費(居住系)'!F89)</f>
        <v>3.6055932E7</v>
      </c>
      <c r="P53" s="1" t="n">
        <f>SUM('(参考)1人(1回(日))1月あたり給付費(居住系)'!G29,'(参考)1人(1回(日))1月あたり給付費(居住系)'!G53,'(参考)1人(1回(日))1月あたり給付費(居住系)'!G71,'(参考)1人(1回(日))1月あたり給付費(居住系)'!G89)</f>
        <v>11.0</v>
      </c>
    </row>
    <row r="54" spans="2:16" ht="15.75" customHeight="1">
      <c r="B54" s="10"/>
      <c r="C54" s="58" t="str">
        <f t="shared" si="12"/>
        <v>居住系サービス</v>
      </c>
      <c r="D54" s="166"/>
      <c r="E54" s="23" t="s">
        <v>49</v>
      </c>
      <c r="F54" s="24" t="n">
        <f>SUM(F47:F53)</f>
        <v>2.64994128E8</v>
      </c>
      <c r="G54" s="25" t="n">
        <f>SUM(G47:G53)</f>
        <v>87.0</v>
      </c>
      <c r="H54" s="54" t="n">
        <f t="shared" si="10"/>
        <v>253825.79310344826</v>
      </c>
      <c r="I54" s="26" t="n">
        <f t="shared" si="15"/>
        <v>163840.0</v>
      </c>
      <c r="J54" s="26" t="n">
        <f t="shared" si="15"/>
        <v>295375.0</v>
      </c>
      <c r="K54" s="27" t="str">
        <f t="shared" si="14"/>
        <v>閾値の範囲内です。</v>
      </c>
      <c r="L54" s="11"/>
      <c r="M54" s="1" t="str">
        <f t="shared" si="13"/>
        <v/>
      </c>
    </row>
    <row r="55" spans="2:16" ht="15.75" customHeight="1">
      <c r="B55" s="6">
        <v>3</v>
      </c>
      <c r="C55" s="7" t="s">
        <v>84</v>
      </c>
      <c r="D55" s="164" t="s">
        <v>416</v>
      </c>
      <c r="E55" s="18" t="s">
        <v>44</v>
      </c>
      <c r="F55" s="39" t="n">
        <f>IF('(参考)1人(1回(日))1月あたり給付費(施設)'!$O$61="","",O55)</f>
        <v>1.1250972E7</v>
      </c>
      <c r="G55" s="40" t="n">
        <f>IF('(参考)1人(1回(日))1月あたり給付費(施設)'!$O$61="","",P55)</f>
        <v>4.0</v>
      </c>
      <c r="H55" s="53" t="n">
        <f t="shared" si="10"/>
        <v>234395.25</v>
      </c>
      <c r="I55" s="21" t="n">
        <f>data!I50</f>
        <v>201915.0</v>
      </c>
      <c r="J55" s="21" t="n">
        <f>data!J50</f>
        <v>298995.0</v>
      </c>
      <c r="K55" s="22" t="str">
        <f t="shared" si="14"/>
        <v>閾値の範囲内です。</v>
      </c>
      <c r="L55" s="11"/>
      <c r="M55" s="1" t="str">
        <f t="shared" si="13"/>
        <v/>
      </c>
      <c r="N55" s="1" t="n">
        <f t="shared" ref="N55:N59" si="18">IF(AND(F55="",G55=""),"",1)</f>
        <v>1.0</v>
      </c>
      <c r="O55" s="102" t="n">
        <f>SUM('(参考)1人(1回(日))1月あたり給付費(施設)'!F7,'(参考)1人(1回(日))1月あたり給付費(施設)'!F25,'(参考)1人(1回(日))1月あたり給付費(施設)'!F43)</f>
        <v>1.1250972E7</v>
      </c>
      <c r="P55" s="1" t="n">
        <f>SUM('(参考)1人(1回(日))1月あたり給付費(施設)'!G7,'(参考)1人(1回(日))1月あたり給付費(施設)'!G25,'(参考)1人(1回(日))1月あたり給付費(施設)'!G43)</f>
        <v>4.0</v>
      </c>
    </row>
    <row r="56" spans="2:16" ht="15.75" customHeight="1">
      <c r="B56" s="8"/>
      <c r="C56" s="58" t="str">
        <f t="shared" si="12"/>
        <v>施設サービス</v>
      </c>
      <c r="D56" s="165"/>
      <c r="E56" s="18" t="s">
        <v>45</v>
      </c>
      <c r="F56" s="39" t="n">
        <f>IF('(参考)1人(1回(日))1月あたり給付費(施設)'!$O$61="","",O56)</f>
        <v>1.5819876E7</v>
      </c>
      <c r="G56" s="40" t="n">
        <f>IF('(参考)1人(1回(日))1月あたり給付費(施設)'!$O$61="","",P56)</f>
        <v>5.0</v>
      </c>
      <c r="H56" s="53" t="n">
        <f t="shared" si="10"/>
        <v>263664.60000000003</v>
      </c>
      <c r="I56" s="21" t="n">
        <f>data!I51</f>
        <v>216100.0</v>
      </c>
      <c r="J56" s="21" t="n">
        <f>data!J51</f>
        <v>317030.0</v>
      </c>
      <c r="K56" s="22" t="str">
        <f t="shared" si="14"/>
        <v>閾値の範囲内です。</v>
      </c>
      <c r="L56" s="11"/>
      <c r="M56" s="1" t="str">
        <f t="shared" si="13"/>
        <v/>
      </c>
      <c r="N56" s="1" t="n">
        <f t="shared" si="18"/>
        <v>1.0</v>
      </c>
      <c r="O56" s="102" t="n">
        <f>SUM('(参考)1人(1回(日))1月あたり給付費(施設)'!F8,'(参考)1人(1回(日))1月あたり給付費(施設)'!F26,'(参考)1人(1回(日))1月あたり給付費(施設)'!F44)</f>
        <v>1.5819876E7</v>
      </c>
      <c r="P56" s="1" t="n">
        <f>SUM('(参考)1人(1回(日))1月あたり給付費(施設)'!G8,'(参考)1人(1回(日))1月あたり給付費(施設)'!G26,'(参考)1人(1回(日))1月あたり給付費(施設)'!G44)</f>
        <v>5.0</v>
      </c>
    </row>
    <row r="57" spans="2:16" ht="15.75" customHeight="1">
      <c r="B57" s="8"/>
      <c r="C57" s="58" t="str">
        <f t="shared" si="12"/>
        <v>施設サービス</v>
      </c>
      <c r="D57" s="165"/>
      <c r="E57" s="18" t="s">
        <v>46</v>
      </c>
      <c r="F57" s="39" t="n">
        <f>IF('(参考)1人(1回(日))1月あたり給付費(施設)'!$O$61="","",O57)</f>
        <v>7.9739952E7</v>
      </c>
      <c r="G57" s="40" t="n">
        <f>IF('(参考)1人(1回(日))1月あたり給付費(施設)'!$O$61="","",P57)</f>
        <v>26.0</v>
      </c>
      <c r="H57" s="53" t="n">
        <f t="shared" si="10"/>
        <v>255576.76923076925</v>
      </c>
      <c r="I57" s="21" t="n">
        <f>data!I52</f>
        <v>227895.0</v>
      </c>
      <c r="J57" s="21" t="n">
        <f>data!J52</f>
        <v>311125.0</v>
      </c>
      <c r="K57" s="22" t="str">
        <f t="shared" si="14"/>
        <v>閾値の範囲内です。</v>
      </c>
      <c r="L57" s="11"/>
      <c r="M57" s="1" t="str">
        <f t="shared" si="13"/>
        <v/>
      </c>
      <c r="N57" s="1" t="n">
        <f t="shared" si="18"/>
        <v>1.0</v>
      </c>
      <c r="O57" s="102" t="n">
        <f>SUM('(参考)1人(1回(日))1月あたり給付費(施設)'!F9,'(参考)1人(1回(日))1月あたり給付費(施設)'!F27,'(参考)1人(1回(日))1月あたり給付費(施設)'!F45)</f>
        <v>7.9739952E7</v>
      </c>
      <c r="P57" s="1" t="n">
        <f>SUM('(参考)1人(1回(日))1月あたり給付費(施設)'!G9,'(参考)1人(1回(日))1月あたり給付費(施設)'!G27,'(参考)1人(1回(日))1月あたり給付費(施設)'!G45)</f>
        <v>26.0</v>
      </c>
    </row>
    <row r="58" spans="2:16" ht="15.75" customHeight="1">
      <c r="B58" s="8"/>
      <c r="C58" s="58" t="str">
        <f t="shared" si="12"/>
        <v>施設サービス</v>
      </c>
      <c r="D58" s="165"/>
      <c r="E58" s="18" t="s">
        <v>47</v>
      </c>
      <c r="F58" s="39" t="n">
        <f>IF('(参考)1人(1回(日))1月あたり給付費(施設)'!$O$61="","",O58)</f>
        <v>1.0704306E8</v>
      </c>
      <c r="G58" s="40" t="n">
        <f>IF('(参考)1人(1回(日))1月あたり給付費(施設)'!$O$61="","",P58)</f>
        <v>35.0</v>
      </c>
      <c r="H58" s="53" t="n">
        <f t="shared" si="10"/>
        <v>254864.42857142855</v>
      </c>
      <c r="I58" s="21" t="n">
        <f>data!I53</f>
        <v>245085.0</v>
      </c>
      <c r="J58" s="21" t="n">
        <f>data!J53</f>
        <v>332735.0</v>
      </c>
      <c r="K58" s="22" t="str">
        <f t="shared" si="14"/>
        <v>閾値の範囲内です。</v>
      </c>
      <c r="L58" s="11"/>
      <c r="M58" s="1" t="str">
        <f t="shared" si="13"/>
        <v/>
      </c>
      <c r="N58" s="1" t="n">
        <f t="shared" si="18"/>
        <v>1.0</v>
      </c>
      <c r="O58" s="102" t="n">
        <f>SUM('(参考)1人(1回(日))1月あたり給付費(施設)'!F10,'(参考)1人(1回(日))1月あたり給付費(施設)'!F28,'(参考)1人(1回(日))1月あたり給付費(施設)'!F46)</f>
        <v>1.0704306E8</v>
      </c>
      <c r="P58" s="1" t="n">
        <f>SUM('(参考)1人(1回(日))1月あたり給付費(施設)'!G10,'(参考)1人(1回(日))1月あたり給付費(施設)'!G28,'(参考)1人(1回(日))1月あたり給付費(施設)'!G46)</f>
        <v>35.0</v>
      </c>
    </row>
    <row r="59" spans="2:16" ht="15.75" customHeight="1">
      <c r="B59" s="8"/>
      <c r="C59" s="58" t="str">
        <f t="shared" si="12"/>
        <v>施設サービス</v>
      </c>
      <c r="D59" s="165"/>
      <c r="E59" s="18" t="s">
        <v>48</v>
      </c>
      <c r="F59" s="39" t="n">
        <f>IF('(参考)1人(1回(日))1月あたり給付費(施設)'!$O$61="","",O59)</f>
        <v>5.0484864E7</v>
      </c>
      <c r="G59" s="40" t="n">
        <f>IF('(参考)1人(1回(日))1月あたり給付費(施設)'!$O$61="","",P59)</f>
        <v>15.0</v>
      </c>
      <c r="H59" s="53" t="n">
        <f t="shared" si="10"/>
        <v>280471.4666666667</v>
      </c>
      <c r="I59" s="21" t="n">
        <f>data!I54</f>
        <v>260980.0</v>
      </c>
      <c r="J59" s="21" t="n">
        <f>data!J54</f>
        <v>358565.0</v>
      </c>
      <c r="K59" s="22" t="str">
        <f t="shared" si="14"/>
        <v>閾値の範囲内です。</v>
      </c>
      <c r="L59" s="11"/>
      <c r="M59" s="1" t="str">
        <f t="shared" si="13"/>
        <v/>
      </c>
      <c r="N59" s="1" t="n">
        <f t="shared" si="18"/>
        <v>1.0</v>
      </c>
      <c r="O59" s="102" t="n">
        <f>SUM('(参考)1人(1回(日))1月あたり給付費(施設)'!F11,'(参考)1人(1回(日))1月あたり給付費(施設)'!F29,'(参考)1人(1回(日))1月あたり給付費(施設)'!F47)</f>
        <v>5.0484864E7</v>
      </c>
      <c r="P59" s="1" t="n">
        <f>SUM('(参考)1人(1回(日))1月あたり給付費(施設)'!G11,'(参考)1人(1回(日))1月あたり給付費(施設)'!G29,'(参考)1人(1回(日))1月あたり給付費(施設)'!G47)</f>
        <v>15.0</v>
      </c>
    </row>
    <row r="60" spans="2:16" ht="15.75" customHeight="1">
      <c r="B60" s="8"/>
      <c r="C60" s="58" t="str">
        <f t="shared" si="12"/>
        <v>施設サービス</v>
      </c>
      <c r="D60" s="166"/>
      <c r="E60" s="23" t="s">
        <v>49</v>
      </c>
      <c r="F60" s="24" t="n">
        <f>SUM(F55:F59)</f>
        <v>2.64338724E8</v>
      </c>
      <c r="G60" s="25" t="n">
        <f>SUM(G55:G59)</f>
        <v>85.0</v>
      </c>
      <c r="H60" s="54" t="n">
        <f t="shared" si="10"/>
        <v>259155.61176470589</v>
      </c>
      <c r="I60" s="26" t="n">
        <f>data!I55</f>
        <v>243520.0</v>
      </c>
      <c r="J60" s="26" t="n">
        <f>data!J55</f>
        <v>326890.0</v>
      </c>
      <c r="K60" s="27" t="str">
        <f t="shared" si="14"/>
        <v>閾値の範囲内です。</v>
      </c>
      <c r="L60" s="11"/>
      <c r="M60" s="1" t="str">
        <f t="shared" si="13"/>
        <v/>
      </c>
    </row>
    <row r="61" spans="2:16" ht="15.75" customHeight="1">
      <c r="B61" s="8"/>
      <c r="C61" s="58" t="str">
        <f t="shared" si="12"/>
        <v>施設サービス</v>
      </c>
      <c r="D61" s="164" t="s">
        <v>415</v>
      </c>
      <c r="E61" s="18" t="s">
        <v>44</v>
      </c>
      <c r="F61" s="39" t="n">
        <f>IF('(参考)1人(1回(日))1月あたり給付費(施設)'!$O$61="","",O61)</f>
        <v>1.1250972E7</v>
      </c>
      <c r="G61" s="40" t="n">
        <f>IF('(参考)1人(1回(日))1月あたり給付費(施設)'!$O$61="","",P61)</f>
        <v>4.0</v>
      </c>
      <c r="H61" s="53" t="n">
        <f t="shared" si="10"/>
        <v>234395.25</v>
      </c>
      <c r="I61" s="21" t="n">
        <f t="shared" ref="I61:J72" si="19">I55</f>
        <v>201915.0</v>
      </c>
      <c r="J61" s="21" t="n">
        <f t="shared" si="19"/>
        <v>298995.0</v>
      </c>
      <c r="K61" s="22" t="str">
        <f t="shared" si="14"/>
        <v>閾値の範囲内です。</v>
      </c>
      <c r="L61" s="11"/>
      <c r="M61" s="1" t="str">
        <f t="shared" si="13"/>
        <v/>
      </c>
      <c r="N61" s="1" t="n">
        <f t="shared" ref="N61:N65" si="20">IF(AND(F61="",G61=""),"",1)</f>
        <v>1.0</v>
      </c>
      <c r="O61" s="102" t="n">
        <f>SUM('(参考)1人(1回(日))1月あたり給付費(施設)'!F13,'(参考)1人(1回(日))1月あたり給付費(施設)'!F31,'(参考)1人(1回(日))1月あたり給付費(施設)'!F49)</f>
        <v>1.1250972E7</v>
      </c>
      <c r="P61" s="1" t="n">
        <f>SUM('(参考)1人(1回(日))1月あたり給付費(施設)'!G13,'(参考)1人(1回(日))1月あたり給付費(施設)'!G31,'(参考)1人(1回(日))1月あたり給付費(施設)'!G49)</f>
        <v>4.0</v>
      </c>
    </row>
    <row r="62" spans="2:16" ht="15.75" customHeight="1">
      <c r="B62" s="8"/>
      <c r="C62" s="58" t="str">
        <f t="shared" si="12"/>
        <v>施設サービス</v>
      </c>
      <c r="D62" s="165"/>
      <c r="E62" s="18" t="s">
        <v>45</v>
      </c>
      <c r="F62" s="39" t="n">
        <f>IF('(参考)1人(1回(日))1月あたり給付費(施設)'!$O$61="","",O62)</f>
        <v>1.5819876E7</v>
      </c>
      <c r="G62" s="40" t="n">
        <f>IF('(参考)1人(1回(日))1月あたり給付費(施設)'!$O$61="","",P62)</f>
        <v>5.0</v>
      </c>
      <c r="H62" s="53" t="n">
        <f t="shared" si="10"/>
        <v>263664.60000000003</v>
      </c>
      <c r="I62" s="21" t="n">
        <f t="shared" si="19"/>
        <v>216100.0</v>
      </c>
      <c r="J62" s="21" t="n">
        <f t="shared" si="19"/>
        <v>317030.0</v>
      </c>
      <c r="K62" s="22" t="str">
        <f t="shared" si="14"/>
        <v>閾値の範囲内です。</v>
      </c>
      <c r="L62" s="11"/>
      <c r="M62" s="1" t="str">
        <f t="shared" si="13"/>
        <v/>
      </c>
      <c r="N62" s="1" t="n">
        <f t="shared" si="20"/>
        <v>1.0</v>
      </c>
      <c r="O62" s="102" t="n">
        <f>SUM('(参考)1人(1回(日))1月あたり給付費(施設)'!F14,'(参考)1人(1回(日))1月あたり給付費(施設)'!F32,'(参考)1人(1回(日))1月あたり給付費(施設)'!F50)</f>
        <v>1.5819876E7</v>
      </c>
      <c r="P62" s="1" t="n">
        <f>SUM('(参考)1人(1回(日))1月あたり給付費(施設)'!G14,'(参考)1人(1回(日))1月あたり給付費(施設)'!G32,'(参考)1人(1回(日))1月あたり給付費(施設)'!G50)</f>
        <v>5.0</v>
      </c>
    </row>
    <row r="63" spans="2:16" ht="15.75" customHeight="1">
      <c r="B63" s="8"/>
      <c r="C63" s="58" t="str">
        <f t="shared" si="12"/>
        <v>施設サービス</v>
      </c>
      <c r="D63" s="165"/>
      <c r="E63" s="18" t="s">
        <v>46</v>
      </c>
      <c r="F63" s="39" t="n">
        <f>IF('(参考)1人(1回(日))1月あたり給付費(施設)'!$O$61="","",O63)</f>
        <v>7.9739952E7</v>
      </c>
      <c r="G63" s="40" t="n">
        <f>IF('(参考)1人(1回(日))1月あたり給付費(施設)'!$O$61="","",P63)</f>
        <v>26.0</v>
      </c>
      <c r="H63" s="53" t="n">
        <f t="shared" si="10"/>
        <v>255576.76923076925</v>
      </c>
      <c r="I63" s="21" t="n">
        <f t="shared" si="19"/>
        <v>227895.0</v>
      </c>
      <c r="J63" s="21" t="n">
        <f t="shared" si="19"/>
        <v>311125.0</v>
      </c>
      <c r="K63" s="22" t="str">
        <f t="shared" si="14"/>
        <v>閾値の範囲内です。</v>
      </c>
      <c r="L63" s="11"/>
      <c r="M63" s="1" t="str">
        <f t="shared" si="13"/>
        <v/>
      </c>
      <c r="N63" s="1" t="n">
        <f t="shared" si="20"/>
        <v>1.0</v>
      </c>
      <c r="O63" s="102" t="n">
        <f>SUM('(参考)1人(1回(日))1月あたり給付費(施設)'!F15,'(参考)1人(1回(日))1月あたり給付費(施設)'!F33,'(参考)1人(1回(日))1月あたり給付費(施設)'!F51)</f>
        <v>7.9739952E7</v>
      </c>
      <c r="P63" s="1" t="n">
        <f>SUM('(参考)1人(1回(日))1月あたり給付費(施設)'!G15,'(参考)1人(1回(日))1月あたり給付費(施設)'!G33,'(参考)1人(1回(日))1月あたり給付費(施設)'!G51)</f>
        <v>26.0</v>
      </c>
    </row>
    <row r="64" spans="2:16" ht="15.75" customHeight="1">
      <c r="B64" s="8"/>
      <c r="C64" s="58" t="str">
        <f t="shared" si="12"/>
        <v>施設サービス</v>
      </c>
      <c r="D64" s="165"/>
      <c r="E64" s="18" t="s">
        <v>47</v>
      </c>
      <c r="F64" s="39" t="n">
        <f>IF('(参考)1人(1回(日))1月あたり給付費(施設)'!$O$61="","",O64)</f>
        <v>1.0704306E8</v>
      </c>
      <c r="G64" s="40" t="n">
        <f>IF('(参考)1人(1回(日))1月あたり給付費(施設)'!$O$61="","",P64)</f>
        <v>35.0</v>
      </c>
      <c r="H64" s="53" t="n">
        <f t="shared" si="10"/>
        <v>254864.42857142855</v>
      </c>
      <c r="I64" s="21" t="n">
        <f t="shared" si="19"/>
        <v>245085.0</v>
      </c>
      <c r="J64" s="21" t="n">
        <f t="shared" si="19"/>
        <v>332735.0</v>
      </c>
      <c r="K64" s="22" t="str">
        <f t="shared" si="14"/>
        <v>閾値の範囲内です。</v>
      </c>
      <c r="L64" s="11"/>
      <c r="M64" s="1" t="str">
        <f t="shared" si="13"/>
        <v/>
      </c>
      <c r="N64" s="1" t="n">
        <f t="shared" si="20"/>
        <v>1.0</v>
      </c>
      <c r="O64" s="102" t="n">
        <f>SUM('(参考)1人(1回(日))1月あたり給付費(施設)'!F16,'(参考)1人(1回(日))1月あたり給付費(施設)'!F34,'(参考)1人(1回(日))1月あたり給付費(施設)'!F52)</f>
        <v>1.0704306E8</v>
      </c>
      <c r="P64" s="1" t="n">
        <f>SUM('(参考)1人(1回(日))1月あたり給付費(施設)'!G16,'(参考)1人(1回(日))1月あたり給付費(施設)'!G34,'(参考)1人(1回(日))1月あたり給付費(施設)'!G52)</f>
        <v>35.0</v>
      </c>
    </row>
    <row r="65" spans="2:16" ht="15.75" customHeight="1">
      <c r="B65" s="8"/>
      <c r="C65" s="58" t="str">
        <f t="shared" si="12"/>
        <v>施設サービス</v>
      </c>
      <c r="D65" s="165"/>
      <c r="E65" s="18" t="s">
        <v>48</v>
      </c>
      <c r="F65" s="39" t="n">
        <f>IF('(参考)1人(1回(日))1月あたり給付費(施設)'!$O$61="","",O65)</f>
        <v>5.0484864E7</v>
      </c>
      <c r="G65" s="40" t="n">
        <f>IF('(参考)1人(1回(日))1月あたり給付費(施設)'!$O$61="","",P65)</f>
        <v>15.0</v>
      </c>
      <c r="H65" s="53" t="n">
        <f t="shared" si="10"/>
        <v>280471.4666666667</v>
      </c>
      <c r="I65" s="21" t="n">
        <f t="shared" si="19"/>
        <v>260980.0</v>
      </c>
      <c r="J65" s="21" t="n">
        <f t="shared" si="19"/>
        <v>358565.0</v>
      </c>
      <c r="K65" s="22" t="str">
        <f t="shared" si="14"/>
        <v>閾値の範囲内です。</v>
      </c>
      <c r="L65" s="11"/>
      <c r="M65" s="1" t="str">
        <f t="shared" si="13"/>
        <v/>
      </c>
      <c r="N65" s="1" t="n">
        <f t="shared" si="20"/>
        <v>1.0</v>
      </c>
      <c r="O65" s="102" t="n">
        <f>SUM('(参考)1人(1回(日))1月あたり給付費(施設)'!F17,'(参考)1人(1回(日))1月あたり給付費(施設)'!F35,'(参考)1人(1回(日))1月あたり給付費(施設)'!F53)</f>
        <v>5.0484864E7</v>
      </c>
      <c r="P65" s="1" t="n">
        <f>SUM('(参考)1人(1回(日))1月あたり給付費(施設)'!G17,'(参考)1人(1回(日))1月あたり給付費(施設)'!G35,'(参考)1人(1回(日))1月あたり給付費(施設)'!G53)</f>
        <v>15.0</v>
      </c>
    </row>
    <row r="66" spans="2:16" ht="15.75" customHeight="1">
      <c r="B66" s="8"/>
      <c r="C66" s="58" t="str">
        <f t="shared" si="12"/>
        <v>施設サービス</v>
      </c>
      <c r="D66" s="166"/>
      <c r="E66" s="23" t="s">
        <v>49</v>
      </c>
      <c r="F66" s="24" t="n">
        <f>SUM(F61:F65)</f>
        <v>2.64338724E8</v>
      </c>
      <c r="G66" s="25" t="n">
        <f>SUM(G61:G65)</f>
        <v>85.0</v>
      </c>
      <c r="H66" s="54" t="n">
        <f t="shared" si="10"/>
        <v>259155.61176470589</v>
      </c>
      <c r="I66" s="31" t="n">
        <f t="shared" si="19"/>
        <v>243520.0</v>
      </c>
      <c r="J66" s="31" t="n">
        <f t="shared" si="19"/>
        <v>326890.0</v>
      </c>
      <c r="K66" s="27" t="str">
        <f t="shared" si="14"/>
        <v>閾値の範囲内です。</v>
      </c>
      <c r="L66" s="11"/>
      <c r="M66" s="1" t="str">
        <f t="shared" si="13"/>
        <v/>
      </c>
    </row>
    <row r="67" spans="2:16" ht="15.75" customHeight="1">
      <c r="B67" s="8"/>
      <c r="C67" s="58" t="str">
        <f t="shared" si="12"/>
        <v>施設サービス</v>
      </c>
      <c r="D67" s="164" t="s">
        <v>414</v>
      </c>
      <c r="E67" s="18" t="s">
        <v>44</v>
      </c>
      <c r="F67" s="39" t="n">
        <f>IF('(参考)1人(1回(日))1月あたり給付費(施設)'!$O$61="","",O67)</f>
        <v>1.1250972E7</v>
      </c>
      <c r="G67" s="40" t="n">
        <f>IF('(参考)1人(1回(日))1月あたり給付費(施設)'!$O$61="","",P67)</f>
        <v>4.0</v>
      </c>
      <c r="H67" s="53" t="n">
        <f t="shared" si="10"/>
        <v>234395.25</v>
      </c>
      <c r="I67" s="16" t="n">
        <f t="shared" si="19"/>
        <v>201915.0</v>
      </c>
      <c r="J67" s="16" t="n">
        <f t="shared" si="19"/>
        <v>298995.0</v>
      </c>
      <c r="K67" s="22" t="str">
        <f t="shared" si="14"/>
        <v>閾値の範囲内です。</v>
      </c>
      <c r="L67" s="11"/>
      <c r="M67" s="1" t="str">
        <f t="shared" si="13"/>
        <v/>
      </c>
      <c r="N67" s="1" t="n">
        <f t="shared" ref="N67:N71" si="21">IF(AND(F67="",G67=""),"",1)</f>
        <v>1.0</v>
      </c>
      <c r="O67" s="102" t="n">
        <f>SUM('(参考)1人(1回(日))1月あたり給付費(施設)'!F19,'(参考)1人(1回(日))1月あたり給付費(施設)'!F37,'(参考)1人(1回(日))1月あたり給付費(施設)'!F55)</f>
        <v>1.1250972E7</v>
      </c>
      <c r="P67" s="1" t="n">
        <f>SUM('(参考)1人(1回(日))1月あたり給付費(施設)'!G19,'(参考)1人(1回(日))1月あたり給付費(施設)'!G37,'(参考)1人(1回(日))1月あたり給付費(施設)'!G55)</f>
        <v>4.0</v>
      </c>
    </row>
    <row r="68" spans="2:16" ht="15.75" customHeight="1">
      <c r="B68" s="8"/>
      <c r="C68" s="58" t="str">
        <f t="shared" si="12"/>
        <v>施設サービス</v>
      </c>
      <c r="D68" s="165"/>
      <c r="E68" s="18" t="s">
        <v>45</v>
      </c>
      <c r="F68" s="39" t="n">
        <f>IF('(参考)1人(1回(日))1月あたり給付費(施設)'!$O$61="","",O68)</f>
        <v>1.5819876E7</v>
      </c>
      <c r="G68" s="40" t="n">
        <f>IF('(参考)1人(1回(日))1月あたり給付費(施設)'!$O$61="","",P68)</f>
        <v>5.0</v>
      </c>
      <c r="H68" s="53" t="n">
        <f t="shared" si="10"/>
        <v>263664.60000000003</v>
      </c>
      <c r="I68" s="21" t="n">
        <f t="shared" si="19"/>
        <v>216100.0</v>
      </c>
      <c r="J68" s="21" t="n">
        <f t="shared" si="19"/>
        <v>317030.0</v>
      </c>
      <c r="K68" s="22" t="str">
        <f t="shared" si="14"/>
        <v>閾値の範囲内です。</v>
      </c>
      <c r="L68" s="11"/>
      <c r="M68" s="1" t="str">
        <f t="shared" si="13"/>
        <v/>
      </c>
      <c r="N68" s="1" t="n">
        <f t="shared" si="21"/>
        <v>1.0</v>
      </c>
      <c r="O68" s="102" t="n">
        <f>SUM('(参考)1人(1回(日))1月あたり給付費(施設)'!F20,'(参考)1人(1回(日))1月あたり給付費(施設)'!F38,'(参考)1人(1回(日))1月あたり給付費(施設)'!F56)</f>
        <v>1.5819876E7</v>
      </c>
      <c r="P68" s="1" t="n">
        <f>SUM('(参考)1人(1回(日))1月あたり給付費(施設)'!G20,'(参考)1人(1回(日))1月あたり給付費(施設)'!G38,'(参考)1人(1回(日))1月あたり給付費(施設)'!G56)</f>
        <v>5.0</v>
      </c>
    </row>
    <row r="69" spans="2:16" ht="15.75" customHeight="1">
      <c r="B69" s="8"/>
      <c r="C69" s="58" t="str">
        <f t="shared" si="12"/>
        <v>施設サービス</v>
      </c>
      <c r="D69" s="165"/>
      <c r="E69" s="18" t="s">
        <v>46</v>
      </c>
      <c r="F69" s="39" t="n">
        <f>IF('(参考)1人(1回(日))1月あたり給付費(施設)'!$O$61="","",O69)</f>
        <v>7.9739952E7</v>
      </c>
      <c r="G69" s="40" t="n">
        <f>IF('(参考)1人(1回(日))1月あたり給付費(施設)'!$O$61="","",P69)</f>
        <v>26.0</v>
      </c>
      <c r="H69" s="53" t="n">
        <f t="shared" si="10"/>
        <v>255576.76923076925</v>
      </c>
      <c r="I69" s="21" t="n">
        <f t="shared" si="19"/>
        <v>227895.0</v>
      </c>
      <c r="J69" s="21" t="n">
        <f t="shared" si="19"/>
        <v>311125.0</v>
      </c>
      <c r="K69" s="22" t="str">
        <f t="shared" si="14"/>
        <v>閾値の範囲内です。</v>
      </c>
      <c r="L69" s="11"/>
      <c r="M69" s="1" t="str">
        <f t="shared" si="13"/>
        <v/>
      </c>
      <c r="N69" s="1" t="n">
        <f t="shared" si="21"/>
        <v>1.0</v>
      </c>
      <c r="O69" s="102" t="n">
        <f>SUM('(参考)1人(1回(日))1月あたり給付費(施設)'!F21,'(参考)1人(1回(日))1月あたり給付費(施設)'!F39,'(参考)1人(1回(日))1月あたり給付費(施設)'!F57)</f>
        <v>7.9739952E7</v>
      </c>
      <c r="P69" s="1" t="n">
        <f>SUM('(参考)1人(1回(日))1月あたり給付費(施設)'!G21,'(参考)1人(1回(日))1月あたり給付費(施設)'!G39,'(参考)1人(1回(日))1月あたり給付費(施設)'!G57)</f>
        <v>26.0</v>
      </c>
    </row>
    <row r="70" spans="2:16" ht="15.75" customHeight="1">
      <c r="B70" s="8"/>
      <c r="C70" s="58" t="str">
        <f t="shared" si="12"/>
        <v>施設サービス</v>
      </c>
      <c r="D70" s="165"/>
      <c r="E70" s="18" t="s">
        <v>47</v>
      </c>
      <c r="F70" s="39" t="n">
        <f>IF('(参考)1人(1回(日))1月あたり給付費(施設)'!$O$61="","",O70)</f>
        <v>1.0704306E8</v>
      </c>
      <c r="G70" s="40" t="n">
        <f>IF('(参考)1人(1回(日))1月あたり給付費(施設)'!$O$61="","",P70)</f>
        <v>35.0</v>
      </c>
      <c r="H70" s="53" t="n">
        <f t="shared" si="10"/>
        <v>254864.42857142855</v>
      </c>
      <c r="I70" s="21" t="n">
        <f t="shared" si="19"/>
        <v>245085.0</v>
      </c>
      <c r="J70" s="21" t="n">
        <f t="shared" si="19"/>
        <v>332735.0</v>
      </c>
      <c r="K70" s="22" t="str">
        <f t="shared" si="14"/>
        <v>閾値の範囲内です。</v>
      </c>
      <c r="L70" s="11"/>
      <c r="M70" s="1" t="str">
        <f t="shared" si="13"/>
        <v/>
      </c>
      <c r="N70" s="1" t="n">
        <f t="shared" si="21"/>
        <v>1.0</v>
      </c>
      <c r="O70" s="102" t="n">
        <f>SUM('(参考)1人(1回(日))1月あたり給付費(施設)'!F22,'(参考)1人(1回(日))1月あたり給付費(施設)'!F40,'(参考)1人(1回(日))1月あたり給付費(施設)'!F58)</f>
        <v>1.0704306E8</v>
      </c>
      <c r="P70" s="1" t="n">
        <f>SUM('(参考)1人(1回(日))1月あたり給付費(施設)'!G22,'(参考)1人(1回(日))1月あたり給付費(施設)'!G40,'(参考)1人(1回(日))1月あたり給付費(施設)'!G58)</f>
        <v>35.0</v>
      </c>
    </row>
    <row r="71" spans="2:16" ht="15.75" customHeight="1">
      <c r="B71" s="8"/>
      <c r="C71" s="58" t="str">
        <f t="shared" si="12"/>
        <v>施設サービス</v>
      </c>
      <c r="D71" s="165"/>
      <c r="E71" s="18" t="s">
        <v>48</v>
      </c>
      <c r="F71" s="39" t="n">
        <f>IF('(参考)1人(1回(日))1月あたり給付費(施設)'!$O$61="","",O71)</f>
        <v>5.0484864E7</v>
      </c>
      <c r="G71" s="40" t="n">
        <f>IF('(参考)1人(1回(日))1月あたり給付費(施設)'!$O$61="","",P71)</f>
        <v>15.0</v>
      </c>
      <c r="H71" s="53" t="n">
        <f t="shared" si="10"/>
        <v>280471.4666666667</v>
      </c>
      <c r="I71" s="21" t="n">
        <f t="shared" si="19"/>
        <v>260980.0</v>
      </c>
      <c r="J71" s="21" t="n">
        <f t="shared" si="19"/>
        <v>358565.0</v>
      </c>
      <c r="K71" s="22" t="str">
        <f t="shared" si="14"/>
        <v>閾値の範囲内です。</v>
      </c>
      <c r="L71" s="11"/>
      <c r="M71" s="1" t="str">
        <f t="shared" si="13"/>
        <v/>
      </c>
      <c r="N71" s="1" t="n">
        <f t="shared" si="21"/>
        <v>1.0</v>
      </c>
      <c r="O71" s="102" t="n">
        <f>SUM('(参考)1人(1回(日))1月あたり給付費(施設)'!F23,'(参考)1人(1回(日))1月あたり給付費(施設)'!F41,'(参考)1人(1回(日))1月あたり給付費(施設)'!F59)</f>
        <v>5.0484864E7</v>
      </c>
      <c r="P71" s="1" t="n">
        <f>SUM('(参考)1人(1回(日))1月あたり給付費(施設)'!G23,'(参考)1人(1回(日))1月あたり給付費(施設)'!G41,'(参考)1人(1回(日))1月あたり給付費(施設)'!G59)</f>
        <v>15.0</v>
      </c>
    </row>
    <row r="72" spans="2:16" ht="15.75" customHeight="1">
      <c r="B72" s="10"/>
      <c r="C72" s="59" t="str">
        <f t="shared" si="12"/>
        <v>施設サービス</v>
      </c>
      <c r="D72" s="166"/>
      <c r="E72" s="23" t="s">
        <v>49</v>
      </c>
      <c r="F72" s="24" t="n">
        <f>SUM(F67:F71)</f>
        <v>2.64338724E8</v>
      </c>
      <c r="G72" s="25" t="n">
        <f>SUM(G67:G71)</f>
        <v>85.0</v>
      </c>
      <c r="H72" s="54" t="n">
        <f t="shared" si="10"/>
        <v>259155.61176470589</v>
      </c>
      <c r="I72" s="26" t="n">
        <f t="shared" si="19"/>
        <v>243520.0</v>
      </c>
      <c r="J72" s="26" t="n">
        <f t="shared" si="19"/>
        <v>326890.0</v>
      </c>
      <c r="K72" s="27" t="str">
        <f t="shared" si="14"/>
        <v>閾値の範囲内です。</v>
      </c>
      <c r="L72" s="11"/>
      <c r="M72" s="1" t="str">
        <f t="shared" si="13"/>
        <v/>
      </c>
    </row>
    <row r="73" spans="2:16">
      <c r="N73" s="1" t="n">
        <f>IF(COUNTIF(N7:N72,1)&gt;0,1,"")</f>
        <v>1.0</v>
      </c>
    </row>
  </sheetData>
  <mergeCells count="17">
    <mergeCell ref="D55:D60"/>
    <mergeCell ref="D61:D66"/>
    <mergeCell ref="D67:D72"/>
    <mergeCell ref="D7:D14"/>
    <mergeCell ref="D15:D22"/>
    <mergeCell ref="D23:D30"/>
    <mergeCell ref="D39:D46"/>
    <mergeCell ref="H5:H6"/>
    <mergeCell ref="I5:J5"/>
    <mergeCell ref="K5:K6"/>
    <mergeCell ref="D31:D38"/>
    <mergeCell ref="D47:D54"/>
    <mergeCell ref="B5:B6"/>
    <mergeCell ref="C5:C6"/>
    <mergeCell ref="D5:E6"/>
    <mergeCell ref="F5:F6"/>
    <mergeCell ref="G5:G6"/>
  </mergeCells>
  <phoneticPr fontId="2"/>
  <conditionalFormatting sqref="K7:K30">
    <cfRule type="expression" dxfId="15" priority="1">
      <formula>I7&gt;H7</formula>
    </cfRule>
    <cfRule type="expression" dxfId="14" priority="2">
      <formula>H7&gt;J7</formula>
    </cfRule>
  </conditionalFormatting>
  <conditionalFormatting sqref="K33:K38 K41:K46 K49:K72">
    <cfRule type="expression" dxfId="13" priority="15">
      <formula>I33&gt;H33</formula>
    </cfRule>
    <cfRule type="expression" dxfId="12" priority="16">
      <formula>H33&gt;J33</formula>
    </cfRule>
  </conditionalFormatting>
  <dataValidations count="1">
    <dataValidation imeMode="disabled" allowBlank="1" showInputMessage="1" showErrorMessage="1" sqref="I39:J54 I61:J72 I7:J7 I15:J30" xr:uid="{00000000-0002-0000-0400-000000000000}"/>
  </dataValidations>
  <pageMargins left="0.51181102362204722" right="0.51181102362204722" top="0.55118110236220474" bottom="0.55118110236220474" header="0.31496062992125984" footer="0.31496062992125984"/>
  <pageSetup paperSize="9" scale="71" fitToHeight="0" orientation="portrait" useFirstPageNumber="1" r:id="rId1"/>
  <headerFooter>
    <oddFooter>&amp;C&amp;A-&amp;P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17"/>
  <sheetViews>
    <sheetView view="pageBreakPreview" zoomScaleNormal="100" zoomScaleSheetLayoutView="100" workbookViewId="0">
      <pane xSplit="5" ySplit="6" topLeftCell="F119" activePane="bottomRight" state="frozen"/>
      <selection pane="topRight"/>
      <selection pane="bottomLeft"/>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1" bestFit="true" customWidth="true" style="4" width="8.7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109</v>
      </c>
    </row>
    <row r="4" spans="1:15" ht="7.5" customHeight="1">
      <c r="I4" s="4"/>
      <c r="K4" s="1"/>
    </row>
    <row r="5" spans="1:15" ht="26.25" customHeight="1">
      <c r="B5" s="150" t="s">
        <v>0</v>
      </c>
      <c r="C5" s="150" t="s">
        <v>2</v>
      </c>
      <c r="D5" s="159" t="s">
        <v>58</v>
      </c>
      <c r="E5" s="160"/>
      <c r="F5" s="150" t="s">
        <v>52</v>
      </c>
      <c r="G5" s="150" t="s">
        <v>54</v>
      </c>
      <c r="H5" s="150" t="s">
        <v>43</v>
      </c>
      <c r="I5" s="151" t="s">
        <v>91</v>
      </c>
      <c r="J5" s="152" t="s">
        <v>21</v>
      </c>
      <c r="K5" s="152"/>
      <c r="L5" s="149" t="s">
        <v>22</v>
      </c>
    </row>
    <row r="6" spans="1:15" s="2" customFormat="1" ht="20.25" customHeight="1">
      <c r="B6" s="150"/>
      <c r="C6" s="150"/>
      <c r="D6" s="161"/>
      <c r="E6" s="162"/>
      <c r="F6" s="150"/>
      <c r="G6" s="150"/>
      <c r="H6" s="150"/>
      <c r="I6" s="151"/>
      <c r="J6" s="5" t="s">
        <v>4</v>
      </c>
      <c r="K6" s="5" t="s">
        <v>3</v>
      </c>
      <c r="L6" s="149"/>
    </row>
    <row r="7" spans="1:15" ht="15.75" customHeight="1">
      <c r="B7" s="6">
        <v>1</v>
      </c>
      <c r="C7" s="7" t="s">
        <v>1</v>
      </c>
      <c r="D7" s="165" t="s">
        <v>416</v>
      </c>
      <c r="E7" s="15" t="s">
        <v>44</v>
      </c>
      <c r="F7" s="35" t="n">
        <v>5234616.0</v>
      </c>
      <c r="G7" s="36" t="n">
        <v>15.0</v>
      </c>
      <c r="H7" s="41" t="n">
        <v>9.2</v>
      </c>
      <c r="I7" s="52" t="n">
        <f t="shared" ref="I7:I70" si="0">IF(H7="－",IF(ISERROR(F7/G7/12)=TRUE,"－",F7/G7/12),IF(ISERROR(F7/G7/H7/12)=TRUE,"－",F7/G7/H7/12))</f>
        <v>3161.0000000000005</v>
      </c>
      <c r="J7" s="16" t="n">
        <f>IF(data!I56&lt;0,0,data!I56)</f>
        <v>1935.0</v>
      </c>
      <c r="K7" s="16" t="n">
        <f>IF(data!J56&lt;0,0,data!J56)</f>
        <v>4205.0</v>
      </c>
      <c r="L7" s="17" t="str">
        <f t="shared" ref="L7:L24" si="1">IF(I7="－","",IF(I7&lt;J7,"下限値を\"&amp;TEXT(ROUND(J7-I7,0),"#,##0")&amp;"下回っています。",IF(I7&gt;K7,"上限値を\"&amp;TEXT(ROUND(I7-K7,0),"#,##0")&amp;"上回っています。","閾値の範囲内です。")))</f>
        <v>閾値の範囲内です。</v>
      </c>
      <c r="M7" s="11"/>
      <c r="N7" s="1" t="str">
        <f t="shared" ref="N7:N24" si="2">IF(OR(I7="－",AND(J7="－",K7="－")),"",IF(OR(I7&lt;J7,I7&gt;K7),1,""))</f>
        <v/>
      </c>
      <c r="O7" s="1" t="n">
        <f>IF(OR(AND(F7="",G7="",H7="－"),AND(F7="",G7="",H7="")),"",1)</f>
        <v>1.0</v>
      </c>
    </row>
    <row r="8" spans="1:15" ht="15.75" customHeight="1">
      <c r="B8" s="8"/>
      <c r="C8" s="58" t="str">
        <f t="shared" ref="C8:C236" si="3">C7</f>
        <v>訪問介護</v>
      </c>
      <c r="D8" s="165"/>
      <c r="E8" s="18" t="s">
        <v>45</v>
      </c>
      <c r="F8" s="39" t="n">
        <v>4644948.0</v>
      </c>
      <c r="G8" s="40" t="n">
        <v>10.0</v>
      </c>
      <c r="H8" s="42" t="n">
        <v>12.1</v>
      </c>
      <c r="I8" s="53" t="n">
        <f t="shared" si="0"/>
        <v>3199.0</v>
      </c>
      <c r="J8" s="21" t="n">
        <f>IF(data!I57&lt;0,0,data!I57)</f>
        <v>1860.0</v>
      </c>
      <c r="K8" s="21" t="n">
        <f>IF(data!J57&lt;0,0,data!J57)</f>
        <v>4110.0</v>
      </c>
      <c r="L8" s="22" t="str">
        <f t="shared" si="1"/>
        <v>閾値の範囲内です。</v>
      </c>
      <c r="M8" s="11"/>
      <c r="N8" s="1" t="str">
        <f>IF(OR(I8="－",AND(J8="－",K8="－")),"",IF(OR(I8&lt;J8,I8&gt;K8),1,""))</f>
        <v/>
      </c>
      <c r="O8" s="1" t="n">
        <f t="shared" ref="O8:O11" si="4">IF(OR(AND(F8="",G8="",H8="－"),AND(F8="",G8="",H8="")),"",1)</f>
        <v>1.0</v>
      </c>
    </row>
    <row r="9" spans="1:15" ht="15.75" customHeight="1">
      <c r="B9" s="8"/>
      <c r="C9" s="58" t="str">
        <f t="shared" si="3"/>
        <v>訪問介護</v>
      </c>
      <c r="D9" s="165"/>
      <c r="E9" s="18" t="s">
        <v>46</v>
      </c>
      <c r="F9" s="39" t="n">
        <v>1.67734728E7</v>
      </c>
      <c r="G9" s="40" t="n">
        <v>21.0</v>
      </c>
      <c r="H9" s="42" t="n">
        <v>19.4</v>
      </c>
      <c r="I9" s="53" t="n">
        <f t="shared" si="0"/>
        <v>3431.0000000000005</v>
      </c>
      <c r="J9" s="21" t="n">
        <f>IF(data!I58&lt;0,0,data!I58)</f>
        <v>1820.0</v>
      </c>
      <c r="K9" s="21" t="n">
        <f>IF(data!J58&lt;0,0,data!J58)</f>
        <v>3875.0</v>
      </c>
      <c r="L9" s="22" t="str">
        <f t="shared" si="1"/>
        <v>閾値の範囲内です。</v>
      </c>
      <c r="M9" s="11"/>
      <c r="N9" s="1" t="str">
        <f t="shared" si="2"/>
        <v/>
      </c>
      <c r="O9" s="1" t="n">
        <f t="shared" si="4"/>
        <v>1.0</v>
      </c>
    </row>
    <row r="10" spans="1:15" ht="15.75" customHeight="1">
      <c r="B10" s="8"/>
      <c r="C10" s="58" t="str">
        <f t="shared" si="3"/>
        <v>訪問介護</v>
      </c>
      <c r="D10" s="165"/>
      <c r="E10" s="18" t="s">
        <v>47</v>
      </c>
      <c r="F10" s="39" t="n">
        <v>6600355.2</v>
      </c>
      <c r="G10" s="40" t="n">
        <v>8.0</v>
      </c>
      <c r="H10" s="42" t="n">
        <v>23.7</v>
      </c>
      <c r="I10" s="53" t="n">
        <f t="shared" si="0"/>
        <v>2901.0</v>
      </c>
      <c r="J10" s="21" t="n">
        <f>IF(data!I59&lt;0,0,data!I59)</f>
        <v>1810.0</v>
      </c>
      <c r="K10" s="21" t="n">
        <f>IF(data!J59&lt;0,0,data!J59)</f>
        <v>3855.0</v>
      </c>
      <c r="L10" s="22" t="str">
        <f t="shared" si="1"/>
        <v>閾値の範囲内です。</v>
      </c>
      <c r="M10" s="11"/>
      <c r="N10" s="1" t="str">
        <f t="shared" si="2"/>
        <v/>
      </c>
      <c r="O10" s="1" t="n">
        <f t="shared" si="4"/>
        <v>1.0</v>
      </c>
    </row>
    <row r="11" spans="1:15" ht="15.75" customHeight="1">
      <c r="B11" s="8"/>
      <c r="C11" s="58" t="str">
        <f t="shared" si="3"/>
        <v>訪問介護</v>
      </c>
      <c r="D11" s="165"/>
      <c r="E11" s="18" t="s">
        <v>48</v>
      </c>
      <c r="F11" s="39" t="n">
        <v>1.27120356E7</v>
      </c>
      <c r="G11" s="40" t="n">
        <v>11.0</v>
      </c>
      <c r="H11" s="42" t="n">
        <v>39.1</v>
      </c>
      <c r="I11" s="53" t="n">
        <f t="shared" si="0"/>
        <v>2462.9999999999995</v>
      </c>
      <c r="J11" s="21" t="n">
        <f>IF(data!I60&lt;0,0,data!I60)</f>
        <v>1765.0</v>
      </c>
      <c r="K11" s="21" t="n">
        <f>IF(data!J60&lt;0,0,data!J60)</f>
        <v>4205.0</v>
      </c>
      <c r="L11" s="22" t="str">
        <f t="shared" si="1"/>
        <v>閾値の範囲内です。</v>
      </c>
      <c r="M11" s="11"/>
      <c r="N11" s="1" t="str">
        <f t="shared" si="2"/>
        <v/>
      </c>
      <c r="O11" s="1" t="n">
        <f t="shared" si="4"/>
        <v>1.0</v>
      </c>
    </row>
    <row r="12" spans="1:15" ht="15.75" customHeight="1">
      <c r="B12" s="8"/>
      <c r="C12" s="58" t="str">
        <f t="shared" si="3"/>
        <v>訪問介護</v>
      </c>
      <c r="D12" s="166"/>
      <c r="E12" s="23" t="s">
        <v>49</v>
      </c>
      <c r="F12" s="24" t="n">
        <f>SUM(F7:F11)</f>
        <v>4.59654276E7</v>
      </c>
      <c r="G12" s="25" t="n">
        <f>SUM(G7:G11)</f>
        <v>65.0</v>
      </c>
      <c r="H12" s="29" t="n">
        <f>IF(ISERROR((G7*H7+G8*H8+G9*H9+G10*H10+G11*H11)/G12)=TRUE,"－",(G7*H7+G8*H8+G9*H9+G10*H10+G11*H11)/G12)</f>
        <v>19.786153846153844</v>
      </c>
      <c r="I12" s="54" t="n">
        <f t="shared" si="0"/>
        <v>2978.3471736256906</v>
      </c>
      <c r="J12" s="26" t="n">
        <f>IF(data!I61&lt;0,0,data!I61)</f>
        <v>2025.0</v>
      </c>
      <c r="K12" s="26" t="n">
        <f>IF(data!J61&lt;0,0,data!J61)</f>
        <v>3820.0</v>
      </c>
      <c r="L12" s="27" t="str">
        <f t="shared" si="1"/>
        <v>閾値の範囲内です。</v>
      </c>
      <c r="M12" s="11"/>
      <c r="N12" s="1" t="str">
        <f t="shared" si="2"/>
        <v/>
      </c>
    </row>
    <row r="13" spans="1:15" ht="15.75" customHeight="1">
      <c r="B13" s="8"/>
      <c r="C13" s="58" t="str">
        <f t="shared" si="3"/>
        <v>訪問介護</v>
      </c>
      <c r="D13" s="165" t="s">
        <v>415</v>
      </c>
      <c r="E13" s="15" t="s">
        <v>44</v>
      </c>
      <c r="F13" s="35" t="n">
        <v>5234616.0</v>
      </c>
      <c r="G13" s="36" t="n">
        <v>15.0</v>
      </c>
      <c r="H13" s="41" t="n">
        <v>9.2</v>
      </c>
      <c r="I13" s="52" t="n">
        <f t="shared" si="0"/>
        <v>3161.0000000000005</v>
      </c>
      <c r="J13" s="16" t="n">
        <f t="shared" ref="J13:K24" si="5">J7</f>
        <v>1935.0</v>
      </c>
      <c r="K13" s="16" t="n">
        <f t="shared" si="5"/>
        <v>4205.0</v>
      </c>
      <c r="L13" s="17" t="str">
        <f t="shared" si="1"/>
        <v>閾値の範囲内です。</v>
      </c>
      <c r="M13" s="11"/>
      <c r="N13" s="1" t="str">
        <f t="shared" si="2"/>
        <v/>
      </c>
      <c r="O13" s="1" t="n">
        <f t="shared" ref="O13:O17" si="6">IF(OR(AND(F13="",G13="",H13="－"),AND(F13="",G13="",H13="")),"",1)</f>
        <v>1.0</v>
      </c>
    </row>
    <row r="14" spans="1:15" ht="15.75" customHeight="1">
      <c r="B14" s="8"/>
      <c r="C14" s="58" t="str">
        <f t="shared" si="3"/>
        <v>訪問介護</v>
      </c>
      <c r="D14" s="165"/>
      <c r="E14" s="18" t="s">
        <v>45</v>
      </c>
      <c r="F14" s="39" t="n">
        <v>4644948.0</v>
      </c>
      <c r="G14" s="40" t="n">
        <v>10.0</v>
      </c>
      <c r="H14" s="42" t="n">
        <v>12.1</v>
      </c>
      <c r="I14" s="53" t="n">
        <f t="shared" si="0"/>
        <v>3199.0</v>
      </c>
      <c r="J14" s="21" t="n">
        <f t="shared" si="5"/>
        <v>1860.0</v>
      </c>
      <c r="K14" s="21" t="n">
        <f t="shared" si="5"/>
        <v>4110.0</v>
      </c>
      <c r="L14" s="22" t="str">
        <f t="shared" si="1"/>
        <v>閾値の範囲内です。</v>
      </c>
      <c r="M14" s="11"/>
      <c r="N14" s="1" t="str">
        <f t="shared" si="2"/>
        <v/>
      </c>
      <c r="O14" s="1" t="n">
        <f t="shared" si="6"/>
        <v>1.0</v>
      </c>
    </row>
    <row r="15" spans="1:15" ht="15.75" customHeight="1">
      <c r="B15" s="8"/>
      <c r="C15" s="58" t="str">
        <f t="shared" si="3"/>
        <v>訪問介護</v>
      </c>
      <c r="D15" s="165"/>
      <c r="E15" s="18" t="s">
        <v>46</v>
      </c>
      <c r="F15" s="39" t="n">
        <v>1.67734728E7</v>
      </c>
      <c r="G15" s="40" t="n">
        <v>21.0</v>
      </c>
      <c r="H15" s="42" t="n">
        <v>19.4</v>
      </c>
      <c r="I15" s="53" t="n">
        <f t="shared" si="0"/>
        <v>3431.0000000000005</v>
      </c>
      <c r="J15" s="21" t="n">
        <f t="shared" si="5"/>
        <v>1820.0</v>
      </c>
      <c r="K15" s="21" t="n">
        <f t="shared" si="5"/>
        <v>3875.0</v>
      </c>
      <c r="L15" s="22" t="str">
        <f t="shared" si="1"/>
        <v>閾値の範囲内です。</v>
      </c>
      <c r="M15" s="11"/>
      <c r="N15" s="1" t="str">
        <f t="shared" si="2"/>
        <v/>
      </c>
      <c r="O15" s="1" t="n">
        <f t="shared" si="6"/>
        <v>1.0</v>
      </c>
    </row>
    <row r="16" spans="1:15" ht="15.75" customHeight="1">
      <c r="B16" s="8"/>
      <c r="C16" s="58" t="str">
        <f t="shared" si="3"/>
        <v>訪問介護</v>
      </c>
      <c r="D16" s="165"/>
      <c r="E16" s="18" t="s">
        <v>47</v>
      </c>
      <c r="F16" s="39" t="n">
        <v>5775310.8</v>
      </c>
      <c r="G16" s="40" t="n">
        <v>7.0</v>
      </c>
      <c r="H16" s="42" t="n">
        <v>23.7</v>
      </c>
      <c r="I16" s="53" t="n">
        <f t="shared" si="0"/>
        <v>2901.0</v>
      </c>
      <c r="J16" s="21" t="n">
        <f t="shared" si="5"/>
        <v>1810.0</v>
      </c>
      <c r="K16" s="21" t="n">
        <f t="shared" si="5"/>
        <v>3855.0</v>
      </c>
      <c r="L16" s="22" t="str">
        <f t="shared" si="1"/>
        <v>閾値の範囲内です。</v>
      </c>
      <c r="M16" s="11"/>
      <c r="N16" s="1" t="str">
        <f t="shared" si="2"/>
        <v/>
      </c>
      <c r="O16" s="1" t="n">
        <f t="shared" si="6"/>
        <v>1.0</v>
      </c>
    </row>
    <row r="17" spans="2:15" ht="15.75" customHeight="1">
      <c r="B17" s="8"/>
      <c r="C17" s="58" t="str">
        <f t="shared" si="3"/>
        <v>訪問介護</v>
      </c>
      <c r="D17" s="165"/>
      <c r="E17" s="18" t="s">
        <v>48</v>
      </c>
      <c r="F17" s="39" t="n">
        <v>1.27120356E7</v>
      </c>
      <c r="G17" s="40" t="n">
        <v>11.0</v>
      </c>
      <c r="H17" s="42" t="n">
        <v>39.1</v>
      </c>
      <c r="I17" s="53" t="n">
        <f t="shared" si="0"/>
        <v>2462.9999999999995</v>
      </c>
      <c r="J17" s="21" t="n">
        <f t="shared" si="5"/>
        <v>1765.0</v>
      </c>
      <c r="K17" s="21" t="n">
        <f t="shared" si="5"/>
        <v>4205.0</v>
      </c>
      <c r="L17" s="22" t="str">
        <f t="shared" si="1"/>
        <v>閾値の範囲内です。</v>
      </c>
      <c r="M17" s="11"/>
      <c r="N17" s="1" t="str">
        <f t="shared" si="2"/>
        <v/>
      </c>
      <c r="O17" s="1" t="n">
        <f t="shared" si="6"/>
        <v>1.0</v>
      </c>
    </row>
    <row r="18" spans="2:15" ht="15.75" customHeight="1">
      <c r="B18" s="8"/>
      <c r="C18" s="58" t="str">
        <f t="shared" si="3"/>
        <v>訪問介護</v>
      </c>
      <c r="D18" s="166"/>
      <c r="E18" s="23" t="s">
        <v>49</v>
      </c>
      <c r="F18" s="24" t="n">
        <f>SUM(F13:F17)</f>
        <v>4.51403832E7</v>
      </c>
      <c r="G18" s="25" t="n">
        <f>SUM(G13:G17)</f>
        <v>64.0</v>
      </c>
      <c r="H18" s="29" t="n">
        <f>IF(ISERROR((G13*H13+G14*H14+G15*H15+G16*H16+G17*H17)/G18)=TRUE,"－",(G13*H13+G14*H14+G15*H15+G16*H16+G17*H17)/G18)</f>
        <v>19.725</v>
      </c>
      <c r="I18" s="54" t="n">
        <f t="shared" si="0"/>
        <v>2979.799271229404</v>
      </c>
      <c r="J18" s="21" t="n">
        <f t="shared" si="5"/>
        <v>2025.0</v>
      </c>
      <c r="K18" s="21" t="n">
        <f t="shared" si="5"/>
        <v>3820.0</v>
      </c>
      <c r="L18" s="27" t="str">
        <f t="shared" si="1"/>
        <v>閾値の範囲内です。</v>
      </c>
      <c r="M18" s="11"/>
      <c r="N18" s="1" t="str">
        <f t="shared" si="2"/>
        <v/>
      </c>
    </row>
    <row r="19" spans="2:15" ht="15.75" customHeight="1">
      <c r="B19" s="8"/>
      <c r="C19" s="58" t="str">
        <f t="shared" si="3"/>
        <v>訪問介護</v>
      </c>
      <c r="D19" s="165" t="s">
        <v>414</v>
      </c>
      <c r="E19" s="15" t="s">
        <v>44</v>
      </c>
      <c r="F19" s="35" t="n">
        <v>5234616.0</v>
      </c>
      <c r="G19" s="36" t="n">
        <v>15.0</v>
      </c>
      <c r="H19" s="41" t="n">
        <v>9.2</v>
      </c>
      <c r="I19" s="52" t="n">
        <f t="shared" si="0"/>
        <v>3161.0000000000005</v>
      </c>
      <c r="J19" s="16" t="n">
        <f t="shared" si="5"/>
        <v>1935.0</v>
      </c>
      <c r="K19" s="16" t="n">
        <f t="shared" si="5"/>
        <v>4205.0</v>
      </c>
      <c r="L19" s="17" t="str">
        <f t="shared" si="1"/>
        <v>閾値の範囲内です。</v>
      </c>
      <c r="M19" s="11"/>
      <c r="N19" s="1" t="str">
        <f t="shared" si="2"/>
        <v/>
      </c>
      <c r="O19" s="1" t="n">
        <f t="shared" ref="O19:O23" si="7">IF(OR(AND(F19="",G19="",H19="－"),AND(F19="",G19="",H19="")),"",1)</f>
        <v>1.0</v>
      </c>
    </row>
    <row r="20" spans="2:15" ht="15.75" customHeight="1">
      <c r="B20" s="8"/>
      <c r="C20" s="58" t="str">
        <f t="shared" si="3"/>
        <v>訪問介護</v>
      </c>
      <c r="D20" s="165"/>
      <c r="E20" s="18" t="s">
        <v>45</v>
      </c>
      <c r="F20" s="39" t="n">
        <v>4644948.0</v>
      </c>
      <c r="G20" s="40" t="n">
        <v>10.0</v>
      </c>
      <c r="H20" s="42" t="n">
        <v>12.1</v>
      </c>
      <c r="I20" s="53" t="n">
        <f t="shared" si="0"/>
        <v>3199.0</v>
      </c>
      <c r="J20" s="21" t="n">
        <f t="shared" si="5"/>
        <v>1860.0</v>
      </c>
      <c r="K20" s="21" t="n">
        <f t="shared" si="5"/>
        <v>4110.0</v>
      </c>
      <c r="L20" s="22" t="str">
        <f t="shared" si="1"/>
        <v>閾値の範囲内です。</v>
      </c>
      <c r="M20" s="11"/>
      <c r="N20" s="1" t="str">
        <f t="shared" si="2"/>
        <v/>
      </c>
      <c r="O20" s="1" t="n">
        <f t="shared" si="7"/>
        <v>1.0</v>
      </c>
    </row>
    <row r="21" spans="2:15" ht="15.75" customHeight="1">
      <c r="B21" s="8"/>
      <c r="C21" s="58" t="str">
        <f t="shared" si="3"/>
        <v>訪問介護</v>
      </c>
      <c r="D21" s="165"/>
      <c r="E21" s="18" t="s">
        <v>46</v>
      </c>
      <c r="F21" s="39" t="n">
        <v>1.5974736E7</v>
      </c>
      <c r="G21" s="40" t="n">
        <v>20.0</v>
      </c>
      <c r="H21" s="42" t="n">
        <v>19.4</v>
      </c>
      <c r="I21" s="53" t="n">
        <f t="shared" si="0"/>
        <v>3431.0000000000005</v>
      </c>
      <c r="J21" s="21" t="n">
        <f t="shared" si="5"/>
        <v>1820.0</v>
      </c>
      <c r="K21" s="21" t="n">
        <f t="shared" si="5"/>
        <v>3875.0</v>
      </c>
      <c r="L21" s="22" t="str">
        <f t="shared" si="1"/>
        <v>閾値の範囲内です。</v>
      </c>
      <c r="M21" s="11"/>
      <c r="N21" s="1" t="str">
        <f t="shared" si="2"/>
        <v/>
      </c>
      <c r="O21" s="1" t="n">
        <f t="shared" si="7"/>
        <v>1.0</v>
      </c>
    </row>
    <row r="22" spans="2:15" ht="15.75" customHeight="1">
      <c r="B22" s="8"/>
      <c r="C22" s="58" t="str">
        <f t="shared" si="3"/>
        <v>訪問介護</v>
      </c>
      <c r="D22" s="165"/>
      <c r="E22" s="18" t="s">
        <v>47</v>
      </c>
      <c r="F22" s="39" t="n">
        <v>5775310.8</v>
      </c>
      <c r="G22" s="40" t="n">
        <v>7.0</v>
      </c>
      <c r="H22" s="42" t="n">
        <v>23.7</v>
      </c>
      <c r="I22" s="53" t="n">
        <f t="shared" si="0"/>
        <v>2901.0</v>
      </c>
      <c r="J22" s="21" t="n">
        <f t="shared" si="5"/>
        <v>1810.0</v>
      </c>
      <c r="K22" s="21" t="n">
        <f t="shared" si="5"/>
        <v>3855.0</v>
      </c>
      <c r="L22" s="22" t="str">
        <f t="shared" si="1"/>
        <v>閾値の範囲内です。</v>
      </c>
      <c r="M22" s="11"/>
      <c r="N22" s="1" t="str">
        <f t="shared" si="2"/>
        <v/>
      </c>
      <c r="O22" s="1" t="n">
        <f t="shared" si="7"/>
        <v>1.0</v>
      </c>
    </row>
    <row r="23" spans="2:15" ht="15.75" customHeight="1">
      <c r="B23" s="8"/>
      <c r="C23" s="58" t="str">
        <f t="shared" si="3"/>
        <v>訪問介護</v>
      </c>
      <c r="D23" s="165"/>
      <c r="E23" s="18" t="s">
        <v>48</v>
      </c>
      <c r="F23" s="39" t="n">
        <v>1.27120356E7</v>
      </c>
      <c r="G23" s="40" t="n">
        <v>11.0</v>
      </c>
      <c r="H23" s="42" t="n">
        <v>39.1</v>
      </c>
      <c r="I23" s="53" t="n">
        <f t="shared" si="0"/>
        <v>2462.9999999999995</v>
      </c>
      <c r="J23" s="21" t="n">
        <f t="shared" si="5"/>
        <v>1765.0</v>
      </c>
      <c r="K23" s="21" t="n">
        <f t="shared" si="5"/>
        <v>4205.0</v>
      </c>
      <c r="L23" s="22" t="str">
        <f t="shared" si="1"/>
        <v>閾値の範囲内です。</v>
      </c>
      <c r="M23" s="11"/>
      <c r="N23" s="1" t="str">
        <f t="shared" si="2"/>
        <v/>
      </c>
      <c r="O23" s="1" t="n">
        <f t="shared" si="7"/>
        <v>1.0</v>
      </c>
    </row>
    <row r="24" spans="2:15" ht="15.75" customHeight="1">
      <c r="B24" s="10"/>
      <c r="C24" s="58" t="str">
        <f t="shared" si="3"/>
        <v>訪問介護</v>
      </c>
      <c r="D24" s="166"/>
      <c r="E24" s="23" t="s">
        <v>49</v>
      </c>
      <c r="F24" s="24" t="n">
        <f>SUM(F19:F23)</f>
        <v>4.43416464E7</v>
      </c>
      <c r="G24" s="28" t="n">
        <f>SUM(G19:G23)</f>
        <v>63.0</v>
      </c>
      <c r="H24" s="29" t="n">
        <f>IF(ISERROR((G19*H19+G20*H20+G21*H21+G22*H22+G23*H23)/G24)=TRUE,"－",(G19*H19+G20*H20+G21*H21+G22*H22+G23*H23)/G24)</f>
        <v>19.73015873015873</v>
      </c>
      <c r="I24" s="54" t="n">
        <f t="shared" si="0"/>
        <v>2972.7572003218015</v>
      </c>
      <c r="J24" s="21" t="n">
        <f t="shared" si="5"/>
        <v>2025.0</v>
      </c>
      <c r="K24" s="21" t="n">
        <f t="shared" si="5"/>
        <v>3820.0</v>
      </c>
      <c r="L24" s="27" t="str">
        <f t="shared" si="1"/>
        <v>閾値の範囲内です。</v>
      </c>
      <c r="M24" s="11"/>
      <c r="N24" s="1" t="str">
        <f t="shared" si="2"/>
        <v/>
      </c>
    </row>
    <row r="25" spans="2:15" ht="15.75" customHeight="1">
      <c r="B25" s="6">
        <v>2</v>
      </c>
      <c r="C25" s="7" t="s">
        <v>5</v>
      </c>
      <c r="D25" s="164" t="s">
        <v>416</v>
      </c>
      <c r="E25" s="15" t="s">
        <v>50</v>
      </c>
      <c r="F25" s="35" t="n">
        <v>0.0</v>
      </c>
      <c r="G25" s="36" t="n">
        <v>0.0</v>
      </c>
      <c r="H25" s="41" t="n">
        <v>0.0</v>
      </c>
      <c r="I25" s="52" t="str">
        <f t="shared" si="0"/>
        <v>－</v>
      </c>
      <c r="J25" s="16" t="n">
        <f>IF(data!I62&lt;0,0,data!I62)</f>
        <v>5650.0</v>
      </c>
      <c r="K25" s="16" t="n">
        <f>IF(data!J62&lt;0,0,data!J62)</f>
        <v>13305.0</v>
      </c>
      <c r="L25" s="32" t="str">
        <f t="shared" ref="L25:L48" si="8">IF(I25="－","",IF(I25&lt;J25,"下限値を\"&amp;TEXT(ROUND(J25-I25,0),"#,##0")&amp;"下回っています。",IF(I25&gt;K25,"上限値を\"&amp;TEXT(ROUND(I25-K25,0),"#,##0")&amp;"上回っています。","閾値の範囲内です。")))</f>
        <v/>
      </c>
      <c r="M25" s="11"/>
      <c r="N25" s="1" t="str">
        <f t="shared" ref="N25:N48" si="9">IF(OR(I25="－",AND(J25="－",K25="－")),"",IF(OR(I25&lt;J25,I25&gt;K25),1,""))</f>
        <v/>
      </c>
      <c r="O25" s="1" t="n">
        <f t="shared" ref="O25:O31" si="10">IF(OR(AND(F25="",G25="",H25="－"),AND(F25="",G25="",H25="")),"",1)</f>
        <v>1.0</v>
      </c>
    </row>
    <row r="26" spans="2:15" ht="15.75" customHeight="1">
      <c r="B26" s="8"/>
      <c r="C26" s="58" t="str">
        <f t="shared" si="3"/>
        <v>訪問入浴介護</v>
      </c>
      <c r="D26" s="165"/>
      <c r="E26" s="30" t="s">
        <v>51</v>
      </c>
      <c r="F26" s="37" t="n">
        <v>0.0</v>
      </c>
      <c r="G26" s="38" t="n">
        <v>0.0</v>
      </c>
      <c r="H26" s="43" t="n">
        <v>0.0</v>
      </c>
      <c r="I26" s="55" t="str">
        <f t="shared" si="0"/>
        <v>－</v>
      </c>
      <c r="J26" s="21" t="n">
        <f>IF(data!I63&lt;0,0,data!I63)</f>
        <v>6785.0</v>
      </c>
      <c r="K26" s="21" t="n">
        <f>IF(data!J63&lt;0,0,data!J63)</f>
        <v>11115.0</v>
      </c>
      <c r="L26" s="33" t="str">
        <f t="shared" si="8"/>
        <v/>
      </c>
      <c r="M26" s="11"/>
      <c r="N26" s="1" t="str">
        <f t="shared" si="9"/>
        <v/>
      </c>
      <c r="O26" s="1" t="n">
        <f t="shared" si="10"/>
        <v>1.0</v>
      </c>
    </row>
    <row r="27" spans="2:15" ht="15.75" customHeight="1">
      <c r="B27" s="8"/>
      <c r="C27" s="58" t="str">
        <f t="shared" si="3"/>
        <v>訪問入浴介護</v>
      </c>
      <c r="D27" s="165"/>
      <c r="E27" s="18" t="s">
        <v>44</v>
      </c>
      <c r="F27" s="39" t="n">
        <v>604864.8</v>
      </c>
      <c r="G27" s="40" t="n">
        <v>1.0</v>
      </c>
      <c r="H27" s="42" t="n">
        <v>4.1</v>
      </c>
      <c r="I27" s="53" t="n">
        <f t="shared" si="0"/>
        <v>12294.000000000002</v>
      </c>
      <c r="J27" s="21" t="n">
        <f>IF(data!I64&lt;0,0,data!I64)</f>
        <v>10560.0</v>
      </c>
      <c r="K27" s="21" t="n">
        <f>IF(data!J64&lt;0,0,data!J64)</f>
        <v>15385.0</v>
      </c>
      <c r="L27" s="22" t="str">
        <f t="shared" si="8"/>
        <v>閾値の範囲内です。</v>
      </c>
      <c r="M27" s="11"/>
      <c r="N27" s="1" t="str">
        <f t="shared" si="9"/>
        <v/>
      </c>
      <c r="O27" s="1" t="n">
        <f t="shared" si="10"/>
        <v>1.0</v>
      </c>
    </row>
    <row r="28" spans="2:15" ht="15.75" customHeight="1">
      <c r="B28" s="8"/>
      <c r="C28" s="58" t="str">
        <f t="shared" si="3"/>
        <v>訪問入浴介護</v>
      </c>
      <c r="D28" s="165"/>
      <c r="E28" s="18" t="s">
        <v>45</v>
      </c>
      <c r="F28" s="39" t="n">
        <v>0.0</v>
      </c>
      <c r="G28" s="40" t="n">
        <v>0.0</v>
      </c>
      <c r="H28" s="42" t="n">
        <v>0.0</v>
      </c>
      <c r="I28" s="53" t="str">
        <f t="shared" si="0"/>
        <v>－</v>
      </c>
      <c r="J28" s="21" t="n">
        <f>IF(data!I65&lt;0,0,data!I65)</f>
        <v>10880.0</v>
      </c>
      <c r="K28" s="21" t="n">
        <f>IF(data!J65&lt;0,0,data!J65)</f>
        <v>14730.0</v>
      </c>
      <c r="L28" s="22" t="str">
        <f t="shared" si="8"/>
        <v/>
      </c>
      <c r="M28" s="11"/>
      <c r="N28" s="1" t="str">
        <f t="shared" si="9"/>
        <v/>
      </c>
      <c r="O28" s="1" t="n">
        <f t="shared" si="10"/>
        <v>1.0</v>
      </c>
    </row>
    <row r="29" spans="2:15" ht="15.75" customHeight="1">
      <c r="B29" s="8"/>
      <c r="C29" s="58" t="str">
        <f t="shared" si="3"/>
        <v>訪問入浴介護</v>
      </c>
      <c r="D29" s="165"/>
      <c r="E29" s="18" t="s">
        <v>46</v>
      </c>
      <c r="F29" s="39" t="n">
        <v>0.0</v>
      </c>
      <c r="G29" s="40" t="n">
        <v>0.0</v>
      </c>
      <c r="H29" s="42" t="n">
        <v>2.3</v>
      </c>
      <c r="I29" s="53" t="str">
        <f t="shared" si="0"/>
        <v>－</v>
      </c>
      <c r="J29" s="21" t="n">
        <f>IF(data!I66&lt;0,0,data!I66)</f>
        <v>11075.0</v>
      </c>
      <c r="K29" s="21" t="n">
        <f>IF(data!J66&lt;0,0,data!J66)</f>
        <v>14475.0</v>
      </c>
      <c r="L29" s="22" t="str">
        <f t="shared" si="8"/>
        <v/>
      </c>
      <c r="M29" s="11"/>
      <c r="N29" s="1" t="str">
        <f t="shared" si="9"/>
        <v/>
      </c>
      <c r="O29" s="1" t="n">
        <f t="shared" si="10"/>
        <v>1.0</v>
      </c>
    </row>
    <row r="30" spans="2:15" ht="15.75" customHeight="1">
      <c r="B30" s="8"/>
      <c r="C30" s="58" t="str">
        <f t="shared" si="3"/>
        <v>訪問入浴介護</v>
      </c>
      <c r="D30" s="165"/>
      <c r="E30" s="18" t="s">
        <v>47</v>
      </c>
      <c r="F30" s="39" t="n">
        <v>2268302.4</v>
      </c>
      <c r="G30" s="40" t="n">
        <v>4.0</v>
      </c>
      <c r="H30" s="42" t="n">
        <v>3.9</v>
      </c>
      <c r="I30" s="53" t="n">
        <f t="shared" si="0"/>
        <v>12117.0</v>
      </c>
      <c r="J30" s="21" t="n">
        <f>IF(data!I67&lt;0,0,data!I67)</f>
        <v>11090.0</v>
      </c>
      <c r="K30" s="21" t="n">
        <f>IF(data!J67&lt;0,0,data!J67)</f>
        <v>14385.0</v>
      </c>
      <c r="L30" s="22" t="str">
        <f t="shared" si="8"/>
        <v>閾値の範囲内です。</v>
      </c>
      <c r="M30" s="11"/>
      <c r="N30" s="1" t="str">
        <f t="shared" si="9"/>
        <v/>
      </c>
      <c r="O30" s="1" t="n">
        <f t="shared" si="10"/>
        <v>1.0</v>
      </c>
    </row>
    <row r="31" spans="2:15" ht="15.75" customHeight="1">
      <c r="B31" s="8"/>
      <c r="C31" s="58" t="str">
        <f t="shared" si="3"/>
        <v>訪問入浴介護</v>
      </c>
      <c r="D31" s="165"/>
      <c r="E31" s="18" t="s">
        <v>48</v>
      </c>
      <c r="F31" s="39" t="n">
        <v>0.0</v>
      </c>
      <c r="G31" s="40" t="n">
        <v>0.0</v>
      </c>
      <c r="H31" s="42" t="n">
        <v>2.9</v>
      </c>
      <c r="I31" s="53" t="str">
        <f t="shared" si="0"/>
        <v>－</v>
      </c>
      <c r="J31" s="21" t="n">
        <f>IF(data!I68&lt;0,0,data!I68)</f>
        <v>11120.0</v>
      </c>
      <c r="K31" s="21" t="n">
        <f>IF(data!J68&lt;0,0,data!J68)</f>
        <v>14290.0</v>
      </c>
      <c r="L31" s="22" t="str">
        <f t="shared" si="8"/>
        <v/>
      </c>
      <c r="M31" s="11"/>
      <c r="N31" s="1" t="str">
        <f t="shared" si="9"/>
        <v/>
      </c>
      <c r="O31" s="1" t="n">
        <f t="shared" si="10"/>
        <v>1.0</v>
      </c>
    </row>
    <row r="32" spans="2:15" ht="15.75" customHeight="1">
      <c r="B32" s="8"/>
      <c r="C32" s="58" t="str">
        <f t="shared" si="3"/>
        <v>訪問入浴介護</v>
      </c>
      <c r="D32" s="166"/>
      <c r="E32" s="23" t="s">
        <v>49</v>
      </c>
      <c r="F32" s="24" t="n">
        <f>SUM(F25:F31)</f>
        <v>2873167.2</v>
      </c>
      <c r="G32" s="25" t="n">
        <f>SUM(G25:G31)</f>
        <v>5.0</v>
      </c>
      <c r="H32" s="29" t="n">
        <f>IF(ISERROR((G25*H25+G26*H26+G27*H27+G28*H28+G29*H29+G30*H30+G31*H31)/G32)=TRUE,"－",(G25*H25+G26*H26+G27*H27+G28*H28+G29*H29+G30*H30+G31*H31)/G32)</f>
        <v>3.94</v>
      </c>
      <c r="I32" s="54" t="n">
        <f>IF(H32="－",IF(ISERROR(F32/G32/12)=TRUE,"－",F32/G32/12),IF(ISERROR(F32/G32/H32/12)=TRUE,"－",F32/G32/H32/12))</f>
        <v>12153.837563451778</v>
      </c>
      <c r="J32" s="26" t="n">
        <f>IF(data!I69&lt;0,0,data!I69)</f>
        <v>11115.0</v>
      </c>
      <c r="K32" s="26" t="n">
        <f>IF(data!J69&lt;0,0,data!J69)</f>
        <v>14240.0</v>
      </c>
      <c r="L32" s="27" t="str">
        <f t="shared" si="8"/>
        <v>閾値の範囲内です。</v>
      </c>
      <c r="M32" s="11"/>
      <c r="N32" s="1" t="str">
        <f t="shared" si="9"/>
        <v/>
      </c>
    </row>
    <row r="33" spans="2:15" ht="15.75" customHeight="1">
      <c r="B33" s="8"/>
      <c r="C33" s="58" t="str">
        <f t="shared" si="3"/>
        <v>訪問入浴介護</v>
      </c>
      <c r="D33" s="164" t="s">
        <v>415</v>
      </c>
      <c r="E33" s="15" t="s">
        <v>50</v>
      </c>
      <c r="F33" s="35" t="n">
        <v>0.0</v>
      </c>
      <c r="G33" s="36" t="n">
        <v>0.0</v>
      </c>
      <c r="H33" s="41" t="n">
        <v>0.0</v>
      </c>
      <c r="I33" s="52" t="str">
        <f t="shared" si="0"/>
        <v>－</v>
      </c>
      <c r="J33" s="16" t="n">
        <f t="shared" ref="J33:K48" si="11">J25</f>
        <v>5650.0</v>
      </c>
      <c r="K33" s="16" t="n">
        <f t="shared" si="11"/>
        <v>13305.0</v>
      </c>
      <c r="L33" s="32" t="str">
        <f t="shared" si="8"/>
        <v/>
      </c>
      <c r="M33" s="11"/>
      <c r="N33" s="1" t="str">
        <f t="shared" si="9"/>
        <v/>
      </c>
      <c r="O33" s="1" t="n">
        <f t="shared" ref="O33:O39" si="12">IF(OR(AND(F33="",G33="",H33="－"),AND(F33="",G33="",H33="")),"",1)</f>
        <v>1.0</v>
      </c>
    </row>
    <row r="34" spans="2:15" ht="15.75" customHeight="1">
      <c r="B34" s="8"/>
      <c r="C34" s="58" t="str">
        <f t="shared" si="3"/>
        <v>訪問入浴介護</v>
      </c>
      <c r="D34" s="165"/>
      <c r="E34" s="30" t="s">
        <v>51</v>
      </c>
      <c r="F34" s="37" t="n">
        <v>0.0</v>
      </c>
      <c r="G34" s="38" t="n">
        <v>0.0</v>
      </c>
      <c r="H34" s="43" t="n">
        <v>0.0</v>
      </c>
      <c r="I34" s="55" t="str">
        <f t="shared" si="0"/>
        <v>－</v>
      </c>
      <c r="J34" s="31" t="n">
        <f t="shared" si="11"/>
        <v>6785.0</v>
      </c>
      <c r="K34" s="31" t="n">
        <f t="shared" si="11"/>
        <v>11115.0</v>
      </c>
      <c r="L34" s="33" t="str">
        <f t="shared" si="8"/>
        <v/>
      </c>
      <c r="M34" s="11"/>
      <c r="N34" s="1" t="str">
        <f t="shared" si="9"/>
        <v/>
      </c>
      <c r="O34" s="1" t="n">
        <f t="shared" si="12"/>
        <v>1.0</v>
      </c>
    </row>
    <row r="35" spans="2:15" ht="15.75" customHeight="1">
      <c r="B35" s="8"/>
      <c r="C35" s="58" t="str">
        <f t="shared" si="3"/>
        <v>訪問入浴介護</v>
      </c>
      <c r="D35" s="165"/>
      <c r="E35" s="18" t="s">
        <v>44</v>
      </c>
      <c r="F35" s="39" t="n">
        <v>604864.8</v>
      </c>
      <c r="G35" s="40" t="n">
        <v>1.0</v>
      </c>
      <c r="H35" s="42" t="n">
        <v>4.1</v>
      </c>
      <c r="I35" s="53" t="n">
        <f t="shared" si="0"/>
        <v>12294.000000000002</v>
      </c>
      <c r="J35" s="21" t="n">
        <f t="shared" si="11"/>
        <v>10560.0</v>
      </c>
      <c r="K35" s="21" t="n">
        <f t="shared" si="11"/>
        <v>15385.0</v>
      </c>
      <c r="L35" s="22" t="str">
        <f t="shared" si="8"/>
        <v>閾値の範囲内です。</v>
      </c>
      <c r="M35" s="11"/>
      <c r="N35" s="1" t="str">
        <f t="shared" si="9"/>
        <v/>
      </c>
      <c r="O35" s="1" t="n">
        <f t="shared" si="12"/>
        <v>1.0</v>
      </c>
    </row>
    <row r="36" spans="2:15" ht="15.75" customHeight="1">
      <c r="B36" s="8"/>
      <c r="C36" s="58" t="str">
        <f t="shared" si="3"/>
        <v>訪問入浴介護</v>
      </c>
      <c r="D36" s="165"/>
      <c r="E36" s="18" t="s">
        <v>45</v>
      </c>
      <c r="F36" s="39" t="n">
        <v>0.0</v>
      </c>
      <c r="G36" s="40" t="n">
        <v>0.0</v>
      </c>
      <c r="H36" s="42" t="n">
        <v>0.0</v>
      </c>
      <c r="I36" s="53" t="str">
        <f t="shared" si="0"/>
        <v>－</v>
      </c>
      <c r="J36" s="21" t="n">
        <f t="shared" si="11"/>
        <v>10880.0</v>
      </c>
      <c r="K36" s="21" t="n">
        <f t="shared" si="11"/>
        <v>14730.0</v>
      </c>
      <c r="L36" s="22" t="str">
        <f t="shared" si="8"/>
        <v/>
      </c>
      <c r="M36" s="11"/>
      <c r="N36" s="1" t="str">
        <f t="shared" si="9"/>
        <v/>
      </c>
      <c r="O36" s="1" t="n">
        <f t="shared" si="12"/>
        <v>1.0</v>
      </c>
    </row>
    <row r="37" spans="2:15" ht="15.75" customHeight="1">
      <c r="B37" s="8"/>
      <c r="C37" s="58" t="str">
        <f t="shared" si="3"/>
        <v>訪問入浴介護</v>
      </c>
      <c r="D37" s="165"/>
      <c r="E37" s="18" t="s">
        <v>46</v>
      </c>
      <c r="F37" s="39" t="n">
        <v>0.0</v>
      </c>
      <c r="G37" s="40" t="n">
        <v>0.0</v>
      </c>
      <c r="H37" s="42" t="n">
        <v>2.3</v>
      </c>
      <c r="I37" s="53" t="str">
        <f t="shared" si="0"/>
        <v>－</v>
      </c>
      <c r="J37" s="21" t="n">
        <f t="shared" si="11"/>
        <v>11075.0</v>
      </c>
      <c r="K37" s="21" t="n">
        <f t="shared" si="11"/>
        <v>14475.0</v>
      </c>
      <c r="L37" s="22" t="str">
        <f t="shared" si="8"/>
        <v/>
      </c>
      <c r="M37" s="11"/>
      <c r="N37" s="1" t="str">
        <f t="shared" si="9"/>
        <v/>
      </c>
      <c r="O37" s="1" t="n">
        <f t="shared" si="12"/>
        <v>1.0</v>
      </c>
    </row>
    <row r="38" spans="2:15" ht="15.75" customHeight="1">
      <c r="B38" s="8"/>
      <c r="C38" s="58" t="str">
        <f t="shared" si="3"/>
        <v>訪問入浴介護</v>
      </c>
      <c r="D38" s="165"/>
      <c r="E38" s="18" t="s">
        <v>47</v>
      </c>
      <c r="F38" s="39" t="n">
        <v>2268302.4</v>
      </c>
      <c r="G38" s="40" t="n">
        <v>4.0</v>
      </c>
      <c r="H38" s="42" t="n">
        <v>3.9</v>
      </c>
      <c r="I38" s="53" t="n">
        <f t="shared" si="0"/>
        <v>12117.0</v>
      </c>
      <c r="J38" s="21" t="n">
        <f t="shared" si="11"/>
        <v>11090.0</v>
      </c>
      <c r="K38" s="21" t="n">
        <f t="shared" si="11"/>
        <v>14385.0</v>
      </c>
      <c r="L38" s="22" t="str">
        <f t="shared" si="8"/>
        <v>閾値の範囲内です。</v>
      </c>
      <c r="M38" s="11"/>
      <c r="N38" s="1" t="str">
        <f t="shared" si="9"/>
        <v/>
      </c>
      <c r="O38" s="1" t="n">
        <f t="shared" si="12"/>
        <v>1.0</v>
      </c>
    </row>
    <row r="39" spans="2:15" ht="15.75" customHeight="1">
      <c r="B39" s="8"/>
      <c r="C39" s="58" t="str">
        <f t="shared" si="3"/>
        <v>訪問入浴介護</v>
      </c>
      <c r="D39" s="165"/>
      <c r="E39" s="18" t="s">
        <v>48</v>
      </c>
      <c r="F39" s="39" t="n">
        <v>0.0</v>
      </c>
      <c r="G39" s="40" t="n">
        <v>0.0</v>
      </c>
      <c r="H39" s="42" t="n">
        <v>2.9</v>
      </c>
      <c r="I39" s="53" t="str">
        <f t="shared" si="0"/>
        <v>－</v>
      </c>
      <c r="J39" s="21" t="n">
        <f t="shared" si="11"/>
        <v>11120.0</v>
      </c>
      <c r="K39" s="21" t="n">
        <f t="shared" si="11"/>
        <v>14290.0</v>
      </c>
      <c r="L39" s="22" t="str">
        <f t="shared" si="8"/>
        <v/>
      </c>
      <c r="M39" s="11"/>
      <c r="N39" s="1" t="str">
        <f t="shared" si="9"/>
        <v/>
      </c>
      <c r="O39" s="1" t="n">
        <f t="shared" si="12"/>
        <v>1.0</v>
      </c>
    </row>
    <row r="40" spans="2:15" ht="15.75" customHeight="1">
      <c r="B40" s="8"/>
      <c r="C40" s="58" t="str">
        <f t="shared" si="3"/>
        <v>訪問入浴介護</v>
      </c>
      <c r="D40" s="166"/>
      <c r="E40" s="23" t="s">
        <v>49</v>
      </c>
      <c r="F40" s="24" t="n">
        <f>SUM(F33:F39)</f>
        <v>2873167.2</v>
      </c>
      <c r="G40" s="25" t="n">
        <f>SUM(G33:G39)</f>
        <v>5.0</v>
      </c>
      <c r="H40" s="29" t="n">
        <f>IF(ISERROR((G33*H33+G34*H34+G35*H35+G36*H36+G37*H37+G38*H38+G39*H39)/G40)=TRUE,"－",(G33*H33+G34*H34+G35*H35+G36*H36+G37*H37+G38*H38+G39*H39)/G40)</f>
        <v>3.94</v>
      </c>
      <c r="I40" s="54" t="n">
        <f t="shared" si="0"/>
        <v>12153.837563451778</v>
      </c>
      <c r="J40" s="21" t="n">
        <f t="shared" si="11"/>
        <v>11115.0</v>
      </c>
      <c r="K40" s="21" t="n">
        <f t="shared" si="11"/>
        <v>14240.0</v>
      </c>
      <c r="L40" s="27" t="str">
        <f t="shared" si="8"/>
        <v>閾値の範囲内です。</v>
      </c>
      <c r="M40" s="11"/>
      <c r="N40" s="1" t="str">
        <f t="shared" si="9"/>
        <v/>
      </c>
    </row>
    <row r="41" spans="2:15" ht="15.75" customHeight="1">
      <c r="B41" s="8"/>
      <c r="C41" s="58" t="str">
        <f t="shared" si="3"/>
        <v>訪問入浴介護</v>
      </c>
      <c r="D41" s="164" t="s">
        <v>414</v>
      </c>
      <c r="E41" s="15" t="s">
        <v>50</v>
      </c>
      <c r="F41" s="35" t="n">
        <v>0.0</v>
      </c>
      <c r="G41" s="36" t="n">
        <v>0.0</v>
      </c>
      <c r="H41" s="41" t="n">
        <v>0.0</v>
      </c>
      <c r="I41" s="52" t="str">
        <f t="shared" si="0"/>
        <v>－</v>
      </c>
      <c r="J41" s="16" t="n">
        <f t="shared" si="11"/>
        <v>5650.0</v>
      </c>
      <c r="K41" s="16" t="n">
        <f t="shared" si="11"/>
        <v>13305.0</v>
      </c>
      <c r="L41" s="32" t="str">
        <f t="shared" si="8"/>
        <v/>
      </c>
      <c r="M41" s="11"/>
      <c r="N41" s="1" t="str">
        <f t="shared" si="9"/>
        <v/>
      </c>
      <c r="O41" s="1" t="n">
        <f t="shared" ref="O41:O47" si="13">IF(OR(AND(F41="",G41="",H41="－"),AND(F41="",G41="",H41="")),"",1)</f>
        <v>1.0</v>
      </c>
    </row>
    <row r="42" spans="2:15" ht="15.75" customHeight="1">
      <c r="B42" s="8"/>
      <c r="C42" s="58" t="str">
        <f t="shared" si="3"/>
        <v>訪問入浴介護</v>
      </c>
      <c r="D42" s="165"/>
      <c r="E42" s="30" t="s">
        <v>51</v>
      </c>
      <c r="F42" s="37" t="n">
        <v>0.0</v>
      </c>
      <c r="G42" s="38" t="n">
        <v>0.0</v>
      </c>
      <c r="H42" s="43" t="n">
        <v>0.0</v>
      </c>
      <c r="I42" s="55" t="str">
        <f t="shared" si="0"/>
        <v>－</v>
      </c>
      <c r="J42" s="31" t="n">
        <f t="shared" si="11"/>
        <v>6785.0</v>
      </c>
      <c r="K42" s="31" t="n">
        <f t="shared" si="11"/>
        <v>11115.0</v>
      </c>
      <c r="L42" s="33" t="str">
        <f t="shared" si="8"/>
        <v/>
      </c>
      <c r="M42" s="11"/>
      <c r="N42" s="1" t="str">
        <f t="shared" si="9"/>
        <v/>
      </c>
      <c r="O42" s="1" t="n">
        <f t="shared" si="13"/>
        <v>1.0</v>
      </c>
    </row>
    <row r="43" spans="2:15" ht="15.75" customHeight="1">
      <c r="B43" s="8"/>
      <c r="C43" s="58" t="str">
        <f t="shared" si="3"/>
        <v>訪問入浴介護</v>
      </c>
      <c r="D43" s="165"/>
      <c r="E43" s="18" t="s">
        <v>44</v>
      </c>
      <c r="F43" s="39" t="n">
        <v>604864.8</v>
      </c>
      <c r="G43" s="40" t="n">
        <v>1.0</v>
      </c>
      <c r="H43" s="42" t="n">
        <v>4.1</v>
      </c>
      <c r="I43" s="53" t="n">
        <f t="shared" si="0"/>
        <v>12294.000000000002</v>
      </c>
      <c r="J43" s="21" t="n">
        <f t="shared" si="11"/>
        <v>10560.0</v>
      </c>
      <c r="K43" s="21" t="n">
        <f t="shared" si="11"/>
        <v>15385.0</v>
      </c>
      <c r="L43" s="22" t="str">
        <f t="shared" si="8"/>
        <v>閾値の範囲内です。</v>
      </c>
      <c r="M43" s="11"/>
      <c r="N43" s="1" t="str">
        <f t="shared" si="9"/>
        <v/>
      </c>
      <c r="O43" s="1" t="n">
        <f t="shared" si="13"/>
        <v>1.0</v>
      </c>
    </row>
    <row r="44" spans="2:15" ht="15.75" customHeight="1">
      <c r="B44" s="8"/>
      <c r="C44" s="58" t="str">
        <f t="shared" si="3"/>
        <v>訪問入浴介護</v>
      </c>
      <c r="D44" s="165"/>
      <c r="E44" s="18" t="s">
        <v>45</v>
      </c>
      <c r="F44" s="39" t="n">
        <v>0.0</v>
      </c>
      <c r="G44" s="40" t="n">
        <v>0.0</v>
      </c>
      <c r="H44" s="42" t="n">
        <v>0.0</v>
      </c>
      <c r="I44" s="53" t="str">
        <f t="shared" si="0"/>
        <v>－</v>
      </c>
      <c r="J44" s="21" t="n">
        <f t="shared" si="11"/>
        <v>10880.0</v>
      </c>
      <c r="K44" s="21" t="n">
        <f t="shared" si="11"/>
        <v>14730.0</v>
      </c>
      <c r="L44" s="22" t="str">
        <f t="shared" si="8"/>
        <v/>
      </c>
      <c r="M44" s="11"/>
      <c r="N44" s="1" t="str">
        <f t="shared" si="9"/>
        <v/>
      </c>
      <c r="O44" s="1" t="n">
        <f t="shared" si="13"/>
        <v>1.0</v>
      </c>
    </row>
    <row r="45" spans="2:15" ht="15.75" customHeight="1">
      <c r="B45" s="8"/>
      <c r="C45" s="58" t="str">
        <f t="shared" si="3"/>
        <v>訪問入浴介護</v>
      </c>
      <c r="D45" s="165"/>
      <c r="E45" s="18" t="s">
        <v>46</v>
      </c>
      <c r="F45" s="39" t="n">
        <v>0.0</v>
      </c>
      <c r="G45" s="40" t="n">
        <v>0.0</v>
      </c>
      <c r="H45" s="42" t="n">
        <v>2.3</v>
      </c>
      <c r="I45" s="53" t="str">
        <f t="shared" si="0"/>
        <v>－</v>
      </c>
      <c r="J45" s="21" t="n">
        <f t="shared" si="11"/>
        <v>11075.0</v>
      </c>
      <c r="K45" s="21" t="n">
        <f t="shared" si="11"/>
        <v>14475.0</v>
      </c>
      <c r="L45" s="22" t="str">
        <f t="shared" si="8"/>
        <v/>
      </c>
      <c r="M45" s="11"/>
      <c r="N45" s="1" t="str">
        <f t="shared" si="9"/>
        <v/>
      </c>
      <c r="O45" s="1" t="n">
        <f t="shared" si="13"/>
        <v>1.0</v>
      </c>
    </row>
    <row r="46" spans="2:15" ht="15.75" customHeight="1">
      <c r="B46" s="8"/>
      <c r="C46" s="58" t="str">
        <f t="shared" si="3"/>
        <v>訪問入浴介護</v>
      </c>
      <c r="D46" s="165"/>
      <c r="E46" s="18" t="s">
        <v>47</v>
      </c>
      <c r="F46" s="39" t="n">
        <v>2268302.4</v>
      </c>
      <c r="G46" s="40" t="n">
        <v>4.0</v>
      </c>
      <c r="H46" s="42" t="n">
        <v>3.9</v>
      </c>
      <c r="I46" s="53" t="n">
        <f t="shared" si="0"/>
        <v>12117.0</v>
      </c>
      <c r="J46" s="21" t="n">
        <f t="shared" si="11"/>
        <v>11090.0</v>
      </c>
      <c r="K46" s="21" t="n">
        <f t="shared" si="11"/>
        <v>14385.0</v>
      </c>
      <c r="L46" s="22" t="str">
        <f t="shared" si="8"/>
        <v>閾値の範囲内です。</v>
      </c>
      <c r="M46" s="11"/>
      <c r="N46" s="1" t="str">
        <f t="shared" si="9"/>
        <v/>
      </c>
      <c r="O46" s="1" t="n">
        <f t="shared" si="13"/>
        <v>1.0</v>
      </c>
    </row>
    <row r="47" spans="2:15" ht="15.75" customHeight="1">
      <c r="B47" s="8"/>
      <c r="C47" s="58" t="str">
        <f t="shared" si="3"/>
        <v>訪問入浴介護</v>
      </c>
      <c r="D47" s="165"/>
      <c r="E47" s="18" t="s">
        <v>48</v>
      </c>
      <c r="F47" s="39" t="n">
        <v>0.0</v>
      </c>
      <c r="G47" s="40" t="n">
        <v>0.0</v>
      </c>
      <c r="H47" s="42" t="n">
        <v>2.9</v>
      </c>
      <c r="I47" s="53" t="str">
        <f t="shared" si="0"/>
        <v>－</v>
      </c>
      <c r="J47" s="21" t="n">
        <f t="shared" si="11"/>
        <v>11120.0</v>
      </c>
      <c r="K47" s="21" t="n">
        <f t="shared" si="11"/>
        <v>14290.0</v>
      </c>
      <c r="L47" s="22" t="str">
        <f t="shared" si="8"/>
        <v/>
      </c>
      <c r="M47" s="11"/>
      <c r="N47" s="1" t="str">
        <f t="shared" si="9"/>
        <v/>
      </c>
      <c r="O47" s="1" t="n">
        <f t="shared" si="13"/>
        <v>1.0</v>
      </c>
    </row>
    <row r="48" spans="2:15" ht="15.75" customHeight="1">
      <c r="B48" s="10"/>
      <c r="C48" s="59" t="str">
        <f t="shared" si="3"/>
        <v>訪問入浴介護</v>
      </c>
      <c r="D48" s="166"/>
      <c r="E48" s="23" t="s">
        <v>49</v>
      </c>
      <c r="F48" s="24" t="n">
        <f>SUM(F41:F47)</f>
        <v>2873167.2</v>
      </c>
      <c r="G48" s="25" t="n">
        <f>SUM(G41:G47)</f>
        <v>5.0</v>
      </c>
      <c r="H48" s="29" t="n">
        <f>IF(ISERROR((G41*H41+G42*H42+G43*H43+G44*H44+G45*H45+G46*H46+G47*H47)/G48)=TRUE,"－",(G41*H41+G42*H42+G43*H43+G44*H44+G45*H45+G46*H46+G47*H47)/G48)</f>
        <v>3.94</v>
      </c>
      <c r="I48" s="54" t="n">
        <f t="shared" si="0"/>
        <v>12153.837563451778</v>
      </c>
      <c r="J48" s="26" t="n">
        <f t="shared" si="11"/>
        <v>11115.0</v>
      </c>
      <c r="K48" s="26" t="n">
        <f t="shared" si="11"/>
        <v>14240.0</v>
      </c>
      <c r="L48" s="27" t="str">
        <f t="shared" si="8"/>
        <v>閾値の範囲内です。</v>
      </c>
      <c r="M48" s="11"/>
      <c r="N48" s="1" t="str">
        <f t="shared" si="9"/>
        <v/>
      </c>
    </row>
    <row r="49" spans="2:15" ht="15.75" customHeight="1">
      <c r="B49" s="6">
        <v>3</v>
      </c>
      <c r="C49" s="7" t="s">
        <v>6</v>
      </c>
      <c r="D49" s="164" t="s">
        <v>416</v>
      </c>
      <c r="E49" s="15" t="s">
        <v>50</v>
      </c>
      <c r="F49" s="35" t="n">
        <v>429792.0</v>
      </c>
      <c r="G49" s="36" t="n">
        <v>2.0</v>
      </c>
      <c r="H49" s="41" t="n">
        <v>2.2</v>
      </c>
      <c r="I49" s="52" t="n">
        <f t="shared" si="0"/>
        <v>8139.999999999999</v>
      </c>
      <c r="J49" s="16" t="n">
        <f>IF(data!I70&lt;0,0,data!I70)</f>
        <v>370.0</v>
      </c>
      <c r="K49" s="16" t="n">
        <f>IF(data!J70&lt;0,0,data!J70)</f>
        <v>8415.0</v>
      </c>
      <c r="L49" s="32" t="str">
        <f t="shared" ref="L49:L72" si="14">IF(I49="－","",IF(I49&lt;J49,"下限値を\"&amp;TEXT(ROUND(J49-I49,0),"#,##0")&amp;"下回っています。",IF(I49&gt;K49,"上限値を\"&amp;TEXT(ROUND(I49-K49,0),"#,##0")&amp;"上回っています。","閾値の範囲内です。")))</f>
        <v>閾値の範囲内です。</v>
      </c>
      <c r="M49" s="11"/>
      <c r="N49" s="1" t="str">
        <f t="shared" ref="N49:N72" si="15">IF(OR(I49="－",AND(J49="－",K49="－")),"",IF(OR(I49&lt;J49,I49&gt;K49),1,""))</f>
        <v/>
      </c>
      <c r="O49" s="1" t="n">
        <f t="shared" ref="O49:O55" si="16">IF(OR(AND(F49="",G49="",H49="－"),AND(F49="",G49="",H49="")),"",1)</f>
        <v>1.0</v>
      </c>
    </row>
    <row r="50" spans="2:15" ht="15.75" customHeight="1">
      <c r="B50" s="8"/>
      <c r="C50" s="58" t="str">
        <f t="shared" si="3"/>
        <v>訪問看護</v>
      </c>
      <c r="D50" s="165"/>
      <c r="E50" s="30" t="s">
        <v>51</v>
      </c>
      <c r="F50" s="37" t="n">
        <v>1433059.2</v>
      </c>
      <c r="G50" s="38" t="n">
        <v>4.0</v>
      </c>
      <c r="H50" s="43" t="n">
        <v>5.1</v>
      </c>
      <c r="I50" s="55" t="n">
        <f t="shared" si="0"/>
        <v>5854.0</v>
      </c>
      <c r="J50" s="31" t="n">
        <f>IF(data!I71&lt;0,0,data!I71)</f>
        <v>425.0</v>
      </c>
      <c r="K50" s="31" t="n">
        <f>IF(data!J71&lt;0,0,data!J71)</f>
        <v>8370.0</v>
      </c>
      <c r="L50" s="33" t="str">
        <f t="shared" si="14"/>
        <v>閾値の範囲内です。</v>
      </c>
      <c r="M50" s="11"/>
      <c r="N50" s="1" t="str">
        <f t="shared" si="15"/>
        <v/>
      </c>
      <c r="O50" s="1" t="n">
        <f t="shared" si="16"/>
        <v>1.0</v>
      </c>
    </row>
    <row r="51" spans="2:15" ht="15.75" customHeight="1">
      <c r="B51" s="8"/>
      <c r="C51" s="58" t="str">
        <f t="shared" si="3"/>
        <v>訪問看護</v>
      </c>
      <c r="D51" s="165"/>
      <c r="E51" s="18" t="s">
        <v>44</v>
      </c>
      <c r="F51" s="39" t="n">
        <v>3960660.0</v>
      </c>
      <c r="G51" s="40" t="n">
        <v>10.0</v>
      </c>
      <c r="H51" s="42" t="n">
        <v>5.5</v>
      </c>
      <c r="I51" s="53" t="n">
        <f t="shared" si="0"/>
        <v>6001.0</v>
      </c>
      <c r="J51" s="21" t="n">
        <f>IF(data!I72&lt;0,0,data!I72)</f>
        <v>1285.0</v>
      </c>
      <c r="K51" s="21" t="n">
        <f>IF(data!J72&lt;0,0,data!J72)</f>
        <v>8635.0</v>
      </c>
      <c r="L51" s="22" t="str">
        <f t="shared" si="14"/>
        <v>閾値の範囲内です。</v>
      </c>
      <c r="M51" s="11"/>
      <c r="N51" s="1" t="str">
        <f t="shared" si="15"/>
        <v/>
      </c>
      <c r="O51" s="1" t="n">
        <f t="shared" si="16"/>
        <v>1.0</v>
      </c>
    </row>
    <row r="52" spans="2:15" ht="15.75" customHeight="1">
      <c r="B52" s="8"/>
      <c r="C52" s="58" t="str">
        <f t="shared" si="3"/>
        <v>訪問看護</v>
      </c>
      <c r="D52" s="165"/>
      <c r="E52" s="18" t="s">
        <v>45</v>
      </c>
      <c r="F52" s="39" t="n">
        <v>3246739.2</v>
      </c>
      <c r="G52" s="40" t="n">
        <v>8.0</v>
      </c>
      <c r="H52" s="42" t="n">
        <v>5.4</v>
      </c>
      <c r="I52" s="53" t="n">
        <f t="shared" si="0"/>
        <v>6263.0</v>
      </c>
      <c r="J52" s="21" t="n">
        <f>IF(data!I73&lt;0,0,data!I73)</f>
        <v>1365.0</v>
      </c>
      <c r="K52" s="21" t="n">
        <f>IF(data!J73&lt;0,0,data!J73)</f>
        <v>8445.0</v>
      </c>
      <c r="L52" s="22" t="str">
        <f t="shared" si="14"/>
        <v>閾値の範囲内です。</v>
      </c>
      <c r="M52" s="11"/>
      <c r="N52" s="1" t="str">
        <f t="shared" si="15"/>
        <v/>
      </c>
      <c r="O52" s="1" t="n">
        <f t="shared" si="16"/>
        <v>1.0</v>
      </c>
    </row>
    <row r="53" spans="2:15" ht="15.75" customHeight="1">
      <c r="B53" s="8"/>
      <c r="C53" s="58" t="str">
        <f t="shared" si="3"/>
        <v>訪問看護</v>
      </c>
      <c r="D53" s="165"/>
      <c r="E53" s="18" t="s">
        <v>46</v>
      </c>
      <c r="F53" s="39" t="n">
        <v>9996448.8</v>
      </c>
      <c r="G53" s="40" t="n">
        <v>17.0</v>
      </c>
      <c r="H53" s="42" t="n">
        <v>9.4</v>
      </c>
      <c r="I53" s="53" t="n">
        <f t="shared" si="0"/>
        <v>5213.0</v>
      </c>
      <c r="J53" s="21" t="n">
        <f>IF(data!I74&lt;0,0,data!I74)</f>
        <v>1110.0</v>
      </c>
      <c r="K53" s="21" t="n">
        <f>IF(data!J74&lt;0,0,data!J74)</f>
        <v>9105.0</v>
      </c>
      <c r="L53" s="22" t="str">
        <f t="shared" si="14"/>
        <v>閾値の範囲内です。</v>
      </c>
      <c r="M53" s="11"/>
      <c r="N53" s="1" t="str">
        <f t="shared" si="15"/>
        <v/>
      </c>
      <c r="O53" s="1" t="n">
        <f t="shared" si="16"/>
        <v>1.0</v>
      </c>
    </row>
    <row r="54" spans="2:15" ht="15.75" customHeight="1">
      <c r="B54" s="8"/>
      <c r="C54" s="58" t="str">
        <f t="shared" si="3"/>
        <v>訪問看護</v>
      </c>
      <c r="D54" s="165"/>
      <c r="E54" s="18" t="s">
        <v>47</v>
      </c>
      <c r="F54" s="39" t="n">
        <v>6674486.4</v>
      </c>
      <c r="G54" s="40" t="n">
        <v>12.0</v>
      </c>
      <c r="H54" s="42" t="n">
        <v>6.7</v>
      </c>
      <c r="I54" s="53" t="n">
        <f t="shared" si="0"/>
        <v>6918.000000000001</v>
      </c>
      <c r="J54" s="21" t="n">
        <f>IF(data!I75&lt;0,0,data!I75)</f>
        <v>1360.0</v>
      </c>
      <c r="K54" s="21" t="n">
        <f>IF(data!J75&lt;0,0,data!J75)</f>
        <v>9275.0</v>
      </c>
      <c r="L54" s="22" t="str">
        <f t="shared" si="14"/>
        <v>閾値の範囲内です。</v>
      </c>
      <c r="M54" s="11"/>
      <c r="N54" s="1" t="str">
        <f t="shared" si="15"/>
        <v/>
      </c>
      <c r="O54" s="1" t="n">
        <f t="shared" si="16"/>
        <v>1.0</v>
      </c>
    </row>
    <row r="55" spans="2:15" ht="15.75" customHeight="1">
      <c r="B55" s="8"/>
      <c r="C55" s="58" t="str">
        <f t="shared" si="3"/>
        <v>訪問看護</v>
      </c>
      <c r="D55" s="165"/>
      <c r="E55" s="18" t="s">
        <v>48</v>
      </c>
      <c r="F55" s="39" t="n">
        <v>2653848.0</v>
      </c>
      <c r="G55" s="40" t="n">
        <v>3.0</v>
      </c>
      <c r="H55" s="42" t="n">
        <v>12.4</v>
      </c>
      <c r="I55" s="53" t="n">
        <f t="shared" si="0"/>
        <v>5945.0</v>
      </c>
      <c r="J55" s="21" t="n">
        <f>IF(data!I76&lt;0,0,data!I76)</f>
        <v>1565.0</v>
      </c>
      <c r="K55" s="21" t="n">
        <f>IF(data!J76&lt;0,0,data!J76)</f>
        <v>9665.0</v>
      </c>
      <c r="L55" s="22" t="str">
        <f t="shared" si="14"/>
        <v>閾値の範囲内です。</v>
      </c>
      <c r="M55" s="11"/>
      <c r="N55" s="1" t="str">
        <f t="shared" si="15"/>
        <v/>
      </c>
      <c r="O55" s="1" t="n">
        <f t="shared" si="16"/>
        <v>1.0</v>
      </c>
    </row>
    <row r="56" spans="2:15" ht="15.75" customHeight="1">
      <c r="B56" s="8"/>
      <c r="C56" s="58" t="str">
        <f t="shared" si="3"/>
        <v>訪問看護</v>
      </c>
      <c r="D56" s="166"/>
      <c r="E56" s="23" t="s">
        <v>49</v>
      </c>
      <c r="F56" s="24" t="n">
        <f>SUM(F49:F55)</f>
        <v>2.83950336E7</v>
      </c>
      <c r="G56" s="25" t="n">
        <f>SUM(G49:G55)</f>
        <v>56.0</v>
      </c>
      <c r="H56" s="29" t="n">
        <f>IF(ISERROR((G49*H49+G50*H50+G51*H51+G52*H52+G53*H53+G54*H54+G55*H55)/G56)=TRUE,"－",(G49*H49+G50*H50+G51*H51+G52*H52+G53*H53+G54*H54+G55*H55)/G56)</f>
        <v>7.15</v>
      </c>
      <c r="I56" s="54" t="n">
        <f t="shared" si="0"/>
        <v>5909.722277722278</v>
      </c>
      <c r="J56" s="26" t="n">
        <f>IF(data!I77&lt;0,0,data!I77)</f>
        <v>1720.0</v>
      </c>
      <c r="K56" s="21" t="n">
        <f>IF(data!J77&lt;0,0,data!J77)</f>
        <v>8275.0</v>
      </c>
      <c r="L56" s="27" t="str">
        <f t="shared" si="14"/>
        <v>閾値の範囲内です。</v>
      </c>
      <c r="M56" s="11"/>
      <c r="N56" s="1" t="str">
        <f t="shared" si="15"/>
        <v/>
      </c>
    </row>
    <row r="57" spans="2:15" ht="15.75" customHeight="1">
      <c r="B57" s="8"/>
      <c r="C57" s="58" t="str">
        <f t="shared" si="3"/>
        <v>訪問看護</v>
      </c>
      <c r="D57" s="164" t="s">
        <v>415</v>
      </c>
      <c r="E57" s="15" t="s">
        <v>50</v>
      </c>
      <c r="F57" s="35" t="n">
        <v>429792.0</v>
      </c>
      <c r="G57" s="36" t="n">
        <v>2.0</v>
      </c>
      <c r="H57" s="41" t="n">
        <v>2.2</v>
      </c>
      <c r="I57" s="52" t="n">
        <f t="shared" si="0"/>
        <v>8139.999999999999</v>
      </c>
      <c r="J57" s="16" t="n">
        <f t="shared" ref="J57:K72" si="17">J49</f>
        <v>370.0</v>
      </c>
      <c r="K57" s="16" t="n">
        <f t="shared" si="17"/>
        <v>8415.0</v>
      </c>
      <c r="L57" s="32" t="str">
        <f t="shared" si="14"/>
        <v>閾値の範囲内です。</v>
      </c>
      <c r="M57" s="11"/>
      <c r="N57" s="1" t="str">
        <f t="shared" si="15"/>
        <v/>
      </c>
      <c r="O57" s="1" t="n">
        <f t="shared" ref="O57:O63" si="18">IF(OR(AND(F57="",G57="",H57="－"),AND(F57="",G57="",H57="")),"",1)</f>
        <v>1.0</v>
      </c>
    </row>
    <row r="58" spans="2:15" ht="15.75" customHeight="1">
      <c r="B58" s="8"/>
      <c r="C58" s="58" t="str">
        <f t="shared" si="3"/>
        <v>訪問看護</v>
      </c>
      <c r="D58" s="165"/>
      <c r="E58" s="30" t="s">
        <v>51</v>
      </c>
      <c r="F58" s="37" t="n">
        <v>1433059.2</v>
      </c>
      <c r="G58" s="38" t="n">
        <v>4.0</v>
      </c>
      <c r="H58" s="43" t="n">
        <v>5.1</v>
      </c>
      <c r="I58" s="55" t="n">
        <f t="shared" si="0"/>
        <v>5854.0</v>
      </c>
      <c r="J58" s="31" t="n">
        <f t="shared" si="17"/>
        <v>425.0</v>
      </c>
      <c r="K58" s="31" t="n">
        <f t="shared" si="17"/>
        <v>8370.0</v>
      </c>
      <c r="L58" s="33" t="str">
        <f t="shared" si="14"/>
        <v>閾値の範囲内です。</v>
      </c>
      <c r="M58" s="11"/>
      <c r="N58" s="1" t="str">
        <f t="shared" si="15"/>
        <v/>
      </c>
      <c r="O58" s="1" t="n">
        <f t="shared" si="18"/>
        <v>1.0</v>
      </c>
    </row>
    <row r="59" spans="2:15" ht="15.75" customHeight="1">
      <c r="B59" s="8"/>
      <c r="C59" s="58" t="str">
        <f t="shared" si="3"/>
        <v>訪問看護</v>
      </c>
      <c r="D59" s="165"/>
      <c r="E59" s="18" t="s">
        <v>44</v>
      </c>
      <c r="F59" s="39" t="n">
        <v>3960660.0</v>
      </c>
      <c r="G59" s="40" t="n">
        <v>10.0</v>
      </c>
      <c r="H59" s="42" t="n">
        <v>5.5</v>
      </c>
      <c r="I59" s="53" t="n">
        <f t="shared" si="0"/>
        <v>6001.0</v>
      </c>
      <c r="J59" s="21" t="n">
        <f t="shared" si="17"/>
        <v>1285.0</v>
      </c>
      <c r="K59" s="21" t="n">
        <f t="shared" si="17"/>
        <v>8635.0</v>
      </c>
      <c r="L59" s="22" t="str">
        <f t="shared" si="14"/>
        <v>閾値の範囲内です。</v>
      </c>
      <c r="M59" s="11"/>
      <c r="N59" s="1" t="str">
        <f t="shared" si="15"/>
        <v/>
      </c>
      <c r="O59" s="1" t="n">
        <f t="shared" si="18"/>
        <v>1.0</v>
      </c>
    </row>
    <row r="60" spans="2:15" ht="15.75" customHeight="1">
      <c r="B60" s="8"/>
      <c r="C60" s="58" t="str">
        <f t="shared" si="3"/>
        <v>訪問看護</v>
      </c>
      <c r="D60" s="165"/>
      <c r="E60" s="18" t="s">
        <v>45</v>
      </c>
      <c r="F60" s="39" t="n">
        <v>2840896.8</v>
      </c>
      <c r="G60" s="40" t="n">
        <v>7.0</v>
      </c>
      <c r="H60" s="42" t="n">
        <v>5.4</v>
      </c>
      <c r="I60" s="53" t="n">
        <f t="shared" si="0"/>
        <v>6262.999999999999</v>
      </c>
      <c r="J60" s="21" t="n">
        <f t="shared" si="17"/>
        <v>1365.0</v>
      </c>
      <c r="K60" s="21" t="n">
        <f t="shared" si="17"/>
        <v>8445.0</v>
      </c>
      <c r="L60" s="22" t="str">
        <f t="shared" si="14"/>
        <v>閾値の範囲内です。</v>
      </c>
      <c r="M60" s="11"/>
      <c r="N60" s="1" t="str">
        <f t="shared" si="15"/>
        <v/>
      </c>
      <c r="O60" s="1" t="n">
        <f t="shared" si="18"/>
        <v>1.0</v>
      </c>
    </row>
    <row r="61" spans="2:15" ht="15.75" customHeight="1">
      <c r="B61" s="8"/>
      <c r="C61" s="58" t="str">
        <f t="shared" si="3"/>
        <v>訪問看護</v>
      </c>
      <c r="D61" s="165"/>
      <c r="E61" s="18" t="s">
        <v>46</v>
      </c>
      <c r="F61" s="39" t="n">
        <v>9996448.8</v>
      </c>
      <c r="G61" s="40" t="n">
        <v>17.0</v>
      </c>
      <c r="H61" s="42" t="n">
        <v>9.4</v>
      </c>
      <c r="I61" s="53" t="n">
        <f t="shared" si="0"/>
        <v>5213.0</v>
      </c>
      <c r="J61" s="21" t="n">
        <f t="shared" si="17"/>
        <v>1110.0</v>
      </c>
      <c r="K61" s="21" t="n">
        <f t="shared" si="17"/>
        <v>9105.0</v>
      </c>
      <c r="L61" s="22" t="str">
        <f t="shared" si="14"/>
        <v>閾値の範囲内です。</v>
      </c>
      <c r="M61" s="11"/>
      <c r="N61" s="1" t="str">
        <f t="shared" si="15"/>
        <v/>
      </c>
      <c r="O61" s="1" t="n">
        <f t="shared" si="18"/>
        <v>1.0</v>
      </c>
    </row>
    <row r="62" spans="2:15" ht="15.75" customHeight="1">
      <c r="B62" s="8"/>
      <c r="C62" s="58" t="str">
        <f t="shared" si="3"/>
        <v>訪問看護</v>
      </c>
      <c r="D62" s="165"/>
      <c r="E62" s="18" t="s">
        <v>47</v>
      </c>
      <c r="F62" s="39" t="n">
        <v>6118279.2</v>
      </c>
      <c r="G62" s="40" t="n">
        <v>11.0</v>
      </c>
      <c r="H62" s="42" t="n">
        <v>6.7</v>
      </c>
      <c r="I62" s="53" t="n">
        <f t="shared" si="0"/>
        <v>6918.000000000001</v>
      </c>
      <c r="J62" s="21" t="n">
        <f t="shared" si="17"/>
        <v>1360.0</v>
      </c>
      <c r="K62" s="21" t="n">
        <f t="shared" si="17"/>
        <v>9275.0</v>
      </c>
      <c r="L62" s="22" t="str">
        <f t="shared" si="14"/>
        <v>閾値の範囲内です。</v>
      </c>
      <c r="M62" s="11"/>
      <c r="N62" s="1" t="str">
        <f t="shared" si="15"/>
        <v/>
      </c>
      <c r="O62" s="1" t="n">
        <f t="shared" si="18"/>
        <v>1.0</v>
      </c>
    </row>
    <row r="63" spans="2:15" ht="15.75" customHeight="1">
      <c r="B63" s="8"/>
      <c r="C63" s="58" t="str">
        <f t="shared" si="3"/>
        <v>訪問看護</v>
      </c>
      <c r="D63" s="165"/>
      <c r="E63" s="18" t="s">
        <v>48</v>
      </c>
      <c r="F63" s="39" t="n">
        <v>1769232.0</v>
      </c>
      <c r="G63" s="40" t="n">
        <v>2.0</v>
      </c>
      <c r="H63" s="42" t="n">
        <v>12.4</v>
      </c>
      <c r="I63" s="53" t="n">
        <f t="shared" si="0"/>
        <v>5945.0</v>
      </c>
      <c r="J63" s="21" t="n">
        <f t="shared" si="17"/>
        <v>1565.0</v>
      </c>
      <c r="K63" s="21" t="n">
        <f t="shared" si="17"/>
        <v>9665.0</v>
      </c>
      <c r="L63" s="22" t="str">
        <f t="shared" si="14"/>
        <v>閾値の範囲内です。</v>
      </c>
      <c r="M63" s="11"/>
      <c r="N63" s="1" t="str">
        <f t="shared" si="15"/>
        <v/>
      </c>
      <c r="O63" s="1" t="n">
        <f t="shared" si="18"/>
        <v>1.0</v>
      </c>
    </row>
    <row r="64" spans="2:15" ht="15.75" customHeight="1">
      <c r="B64" s="8"/>
      <c r="C64" s="58" t="str">
        <f t="shared" si="3"/>
        <v>訪問看護</v>
      </c>
      <c r="D64" s="166"/>
      <c r="E64" s="23" t="s">
        <v>49</v>
      </c>
      <c r="F64" s="24" t="n">
        <f>SUM(F57:F63)</f>
        <v>2.6548368E7</v>
      </c>
      <c r="G64" s="25" t="n">
        <f>SUM(G57:G63)</f>
        <v>53.0</v>
      </c>
      <c r="H64" s="29" t="n">
        <f>IF(ISERROR((G57*H57+G58*H58+G59*H59+G60*H60+G61*H61+G62*H62+G63*H63)/G64)=TRUE,"－",(G57*H57+G58*H58+G59*H59+G60*H60+G61*H61+G62*H62+G63*H63)/G64)</f>
        <v>7.0924528301886784</v>
      </c>
      <c r="I64" s="54" t="n">
        <f t="shared" si="0"/>
        <v>5885.512104283054</v>
      </c>
      <c r="J64" s="21" t="n">
        <f t="shared" si="17"/>
        <v>1720.0</v>
      </c>
      <c r="K64" s="21" t="n">
        <f t="shared" si="17"/>
        <v>8275.0</v>
      </c>
      <c r="L64" s="27" t="str">
        <f t="shared" si="14"/>
        <v>閾値の範囲内です。</v>
      </c>
      <c r="M64" s="11"/>
      <c r="N64" s="1" t="str">
        <f t="shared" si="15"/>
        <v/>
      </c>
    </row>
    <row r="65" spans="2:15" ht="15.75" customHeight="1">
      <c r="B65" s="8"/>
      <c r="C65" s="58" t="str">
        <f t="shared" si="3"/>
        <v>訪問看護</v>
      </c>
      <c r="D65" s="164" t="s">
        <v>414</v>
      </c>
      <c r="E65" s="15" t="s">
        <v>50</v>
      </c>
      <c r="F65" s="35" t="n">
        <v>429792.0</v>
      </c>
      <c r="G65" s="36" t="n">
        <v>2.0</v>
      </c>
      <c r="H65" s="41" t="n">
        <v>2.2</v>
      </c>
      <c r="I65" s="52" t="n">
        <f t="shared" si="0"/>
        <v>8139.999999999999</v>
      </c>
      <c r="J65" s="16" t="n">
        <f t="shared" si="17"/>
        <v>370.0</v>
      </c>
      <c r="K65" s="16" t="n">
        <f t="shared" si="17"/>
        <v>8415.0</v>
      </c>
      <c r="L65" s="32" t="str">
        <f t="shared" si="14"/>
        <v>閾値の範囲内です。</v>
      </c>
      <c r="M65" s="11"/>
      <c r="N65" s="1" t="str">
        <f t="shared" si="15"/>
        <v/>
      </c>
      <c r="O65" s="1" t="n">
        <f t="shared" ref="O65:O71" si="19">IF(OR(AND(F65="",G65="",H65="－"),AND(F65="",G65="",H65="")),"",1)</f>
        <v>1.0</v>
      </c>
    </row>
    <row r="66" spans="2:15" ht="15.75" customHeight="1">
      <c r="B66" s="8"/>
      <c r="C66" s="58" t="str">
        <f t="shared" si="3"/>
        <v>訪問看護</v>
      </c>
      <c r="D66" s="165"/>
      <c r="E66" s="30" t="s">
        <v>51</v>
      </c>
      <c r="F66" s="37" t="n">
        <v>1433059.2</v>
      </c>
      <c r="G66" s="38" t="n">
        <v>4.0</v>
      </c>
      <c r="H66" s="43" t="n">
        <v>5.1</v>
      </c>
      <c r="I66" s="55" t="n">
        <f t="shared" si="0"/>
        <v>5854.0</v>
      </c>
      <c r="J66" s="31" t="n">
        <f t="shared" si="17"/>
        <v>425.0</v>
      </c>
      <c r="K66" s="31" t="n">
        <f t="shared" si="17"/>
        <v>8370.0</v>
      </c>
      <c r="L66" s="33" t="str">
        <f t="shared" si="14"/>
        <v>閾値の範囲内です。</v>
      </c>
      <c r="M66" s="11"/>
      <c r="N66" s="1" t="str">
        <f t="shared" si="15"/>
        <v/>
      </c>
      <c r="O66" s="1" t="n">
        <f t="shared" si="19"/>
        <v>1.0</v>
      </c>
    </row>
    <row r="67" spans="2:15" ht="15.75" customHeight="1">
      <c r="B67" s="8"/>
      <c r="C67" s="58" t="str">
        <f t="shared" si="3"/>
        <v>訪問看護</v>
      </c>
      <c r="D67" s="165"/>
      <c r="E67" s="18" t="s">
        <v>44</v>
      </c>
      <c r="F67" s="39" t="n">
        <v>3960660.0</v>
      </c>
      <c r="G67" s="40" t="n">
        <v>10.0</v>
      </c>
      <c r="H67" s="42" t="n">
        <v>5.5</v>
      </c>
      <c r="I67" s="53" t="n">
        <f t="shared" si="0"/>
        <v>6001.0</v>
      </c>
      <c r="J67" s="21" t="n">
        <f t="shared" si="17"/>
        <v>1285.0</v>
      </c>
      <c r="K67" s="21" t="n">
        <f t="shared" si="17"/>
        <v>8635.0</v>
      </c>
      <c r="L67" s="22" t="str">
        <f t="shared" si="14"/>
        <v>閾値の範囲内です。</v>
      </c>
      <c r="M67" s="11"/>
      <c r="N67" s="1" t="str">
        <f t="shared" si="15"/>
        <v/>
      </c>
      <c r="O67" s="1" t="n">
        <f t="shared" si="19"/>
        <v>1.0</v>
      </c>
    </row>
    <row r="68" spans="2:15" ht="15.75" customHeight="1">
      <c r="B68" s="8"/>
      <c r="C68" s="58" t="str">
        <f t="shared" si="3"/>
        <v>訪問看護</v>
      </c>
      <c r="D68" s="165"/>
      <c r="E68" s="18" t="s">
        <v>45</v>
      </c>
      <c r="F68" s="39" t="n">
        <v>2840896.8</v>
      </c>
      <c r="G68" s="40" t="n">
        <v>7.0</v>
      </c>
      <c r="H68" s="42" t="n">
        <v>5.4</v>
      </c>
      <c r="I68" s="53" t="n">
        <f t="shared" si="0"/>
        <v>6262.999999999999</v>
      </c>
      <c r="J68" s="21" t="n">
        <f t="shared" si="17"/>
        <v>1365.0</v>
      </c>
      <c r="K68" s="21" t="n">
        <f t="shared" si="17"/>
        <v>8445.0</v>
      </c>
      <c r="L68" s="22" t="str">
        <f t="shared" si="14"/>
        <v>閾値の範囲内です。</v>
      </c>
      <c r="M68" s="11"/>
      <c r="N68" s="1" t="str">
        <f t="shared" si="15"/>
        <v/>
      </c>
      <c r="O68" s="1" t="n">
        <f t="shared" si="19"/>
        <v>1.0</v>
      </c>
    </row>
    <row r="69" spans="2:15" ht="15.75" customHeight="1">
      <c r="B69" s="8"/>
      <c r="C69" s="58" t="str">
        <f t="shared" si="3"/>
        <v>訪問看護</v>
      </c>
      <c r="D69" s="165"/>
      <c r="E69" s="18" t="s">
        <v>46</v>
      </c>
      <c r="F69" s="39" t="n">
        <v>9996448.8</v>
      </c>
      <c r="G69" s="40" t="n">
        <v>17.0</v>
      </c>
      <c r="H69" s="42" t="n">
        <v>9.4</v>
      </c>
      <c r="I69" s="53" t="n">
        <f t="shared" si="0"/>
        <v>5213.0</v>
      </c>
      <c r="J69" s="21" t="n">
        <f t="shared" si="17"/>
        <v>1110.0</v>
      </c>
      <c r="K69" s="21" t="n">
        <f t="shared" si="17"/>
        <v>9105.0</v>
      </c>
      <c r="L69" s="22" t="str">
        <f t="shared" si="14"/>
        <v>閾値の範囲内です。</v>
      </c>
      <c r="M69" s="11"/>
      <c r="N69" s="1" t="str">
        <f t="shared" si="15"/>
        <v/>
      </c>
      <c r="O69" s="1" t="n">
        <f t="shared" si="19"/>
        <v>1.0</v>
      </c>
    </row>
    <row r="70" spans="2:15" ht="15.75" customHeight="1">
      <c r="B70" s="8"/>
      <c r="C70" s="58" t="str">
        <f t="shared" si="3"/>
        <v>訪問看護</v>
      </c>
      <c r="D70" s="165"/>
      <c r="E70" s="18" t="s">
        <v>47</v>
      </c>
      <c r="F70" s="39" t="n">
        <v>6674486.4</v>
      </c>
      <c r="G70" s="40" t="n">
        <v>12.0</v>
      </c>
      <c r="H70" s="42" t="n">
        <v>6.7</v>
      </c>
      <c r="I70" s="53" t="n">
        <f t="shared" si="0"/>
        <v>6918.000000000001</v>
      </c>
      <c r="J70" s="21" t="n">
        <f t="shared" si="17"/>
        <v>1360.0</v>
      </c>
      <c r="K70" s="21" t="n">
        <f t="shared" si="17"/>
        <v>9275.0</v>
      </c>
      <c r="L70" s="22" t="str">
        <f t="shared" si="14"/>
        <v>閾値の範囲内です。</v>
      </c>
      <c r="M70" s="11"/>
      <c r="N70" s="1" t="str">
        <f t="shared" si="15"/>
        <v/>
      </c>
      <c r="O70" s="1" t="n">
        <f t="shared" si="19"/>
        <v>1.0</v>
      </c>
    </row>
    <row r="71" spans="2:15" ht="15.75" customHeight="1">
      <c r="B71" s="8"/>
      <c r="C71" s="58" t="str">
        <f t="shared" si="3"/>
        <v>訪問看護</v>
      </c>
      <c r="D71" s="165"/>
      <c r="E71" s="18" t="s">
        <v>48</v>
      </c>
      <c r="F71" s="39" t="n">
        <v>1769232.0</v>
      </c>
      <c r="G71" s="40" t="n">
        <v>2.0</v>
      </c>
      <c r="H71" s="42" t="n">
        <v>12.4</v>
      </c>
      <c r="I71" s="53" t="n">
        <f t="shared" ref="I71:I96" si="20">IF(H71="－",IF(ISERROR(F71/G71/12)=TRUE,"－",F71/G71/12),IF(ISERROR(F71/G71/H71/12)=TRUE,"－",F71/G71/H71/12))</f>
        <v>5945.0</v>
      </c>
      <c r="J71" s="21" t="n">
        <f t="shared" si="17"/>
        <v>1565.0</v>
      </c>
      <c r="K71" s="21" t="n">
        <f t="shared" si="17"/>
        <v>9665.0</v>
      </c>
      <c r="L71" s="22" t="str">
        <f t="shared" si="14"/>
        <v>閾値の範囲内です。</v>
      </c>
      <c r="M71" s="11"/>
      <c r="N71" s="1" t="str">
        <f t="shared" si="15"/>
        <v/>
      </c>
      <c r="O71" s="1" t="n">
        <f t="shared" si="19"/>
        <v>1.0</v>
      </c>
    </row>
    <row r="72" spans="2:15" ht="15.75" customHeight="1">
      <c r="B72" s="10"/>
      <c r="C72" s="59" t="str">
        <f t="shared" si="3"/>
        <v>訪問看護</v>
      </c>
      <c r="D72" s="166"/>
      <c r="E72" s="23" t="s">
        <v>49</v>
      </c>
      <c r="F72" s="24" t="n">
        <f>SUM(F65:F71)</f>
        <v>2.7104575200000003E7</v>
      </c>
      <c r="G72" s="25" t="n">
        <f>SUM(G65:G71)</f>
        <v>54.0</v>
      </c>
      <c r="H72" s="29" t="n">
        <f>IF(ISERROR((G65*H65+G66*H66+G67*H67+G68*H68+G69*H69+G70*H70+G71*H71)/G72)=TRUE,"－",(G65*H65+G66*H66+G67*H67+G68*H68+G69*H69+G70*H70+G71*H71)/G72)</f>
        <v>7.085185185185185</v>
      </c>
      <c r="I72" s="54" t="n">
        <f t="shared" si="20"/>
        <v>5903.592786199687</v>
      </c>
      <c r="J72" s="26" t="n">
        <f t="shared" si="17"/>
        <v>1720.0</v>
      </c>
      <c r="K72" s="26" t="n">
        <f t="shared" si="17"/>
        <v>8275.0</v>
      </c>
      <c r="L72" s="27" t="str">
        <f t="shared" si="14"/>
        <v>閾値の範囲内です。</v>
      </c>
      <c r="M72" s="11"/>
      <c r="N72" s="1" t="str">
        <f t="shared" si="15"/>
        <v/>
      </c>
    </row>
    <row r="73" spans="2:15" ht="15.75" customHeight="1">
      <c r="B73" s="6">
        <v>4</v>
      </c>
      <c r="C73" s="7" t="s">
        <v>7</v>
      </c>
      <c r="D73" s="164" t="s">
        <v>416</v>
      </c>
      <c r="E73" s="15" t="s">
        <v>50</v>
      </c>
      <c r="F73" s="35" t="n">
        <v>0.0</v>
      </c>
      <c r="G73" s="36" t="n">
        <v>0.0</v>
      </c>
      <c r="H73" s="41" t="n">
        <v>0.0</v>
      </c>
      <c r="I73" s="52" t="str">
        <f t="shared" si="20"/>
        <v>－</v>
      </c>
      <c r="J73" s="16" t="n">
        <f>IF(data!I78&lt;0,0,data!I78)</f>
        <v>2205.0</v>
      </c>
      <c r="K73" s="16" t="n">
        <f>IF(data!J78&lt;0,0,data!J78)</f>
        <v>3150.0</v>
      </c>
      <c r="L73" s="32" t="str">
        <f t="shared" ref="L73:L96" si="21">IF(I73="－","",IF(I73&lt;J73,"下限値を\"&amp;TEXT(ROUND(J73-I73,0),"#,##0")&amp;"下回っています。",IF(I73&gt;K73,"上限値を\"&amp;TEXT(ROUND(I73-K73,0),"#,##0")&amp;"上回っています。","閾値の範囲内です。")))</f>
        <v/>
      </c>
      <c r="M73" s="11"/>
      <c r="N73" s="1" t="str">
        <f t="shared" ref="N73:N96" si="22">IF(OR(I73="－",AND(J73="－",K73="－")),"",IF(OR(I73&lt;J73,I73&gt;K73),1,""))</f>
        <v/>
      </c>
      <c r="O73" s="1" t="n">
        <f t="shared" ref="O73:O79" si="23">IF(OR(AND(F73="",G73="",H73="－"),AND(F73="",G73="",H73="")),"",1)</f>
        <v>1.0</v>
      </c>
    </row>
    <row r="74" spans="2:15" ht="15.75" customHeight="1">
      <c r="B74" s="8"/>
      <c r="C74" s="58" t="str">
        <f t="shared" si="3"/>
        <v>訪問リハビリテーション</v>
      </c>
      <c r="D74" s="165"/>
      <c r="E74" s="30" t="s">
        <v>51</v>
      </c>
      <c r="F74" s="37" t="n">
        <v>0.0</v>
      </c>
      <c r="G74" s="38" t="n">
        <v>0.0</v>
      </c>
      <c r="H74" s="43" t="n">
        <v>0.0</v>
      </c>
      <c r="I74" s="55" t="str">
        <f t="shared" si="20"/>
        <v>－</v>
      </c>
      <c r="J74" s="31" t="n">
        <f>IF(data!I79&lt;0,0,data!I79)</f>
        <v>2235.0</v>
      </c>
      <c r="K74" s="31" t="n">
        <f>IF(data!J79&lt;0,0,data!J79)</f>
        <v>3170.0</v>
      </c>
      <c r="L74" s="33" t="str">
        <f t="shared" si="21"/>
        <v/>
      </c>
      <c r="M74" s="11"/>
      <c r="N74" s="1" t="str">
        <f t="shared" si="22"/>
        <v/>
      </c>
      <c r="O74" s="1" t="n">
        <f t="shared" si="23"/>
        <v>1.0</v>
      </c>
    </row>
    <row r="75" spans="2:15" ht="15.75" customHeight="1">
      <c r="B75" s="8"/>
      <c r="C75" s="58" t="str">
        <f t="shared" si="3"/>
        <v>訪問リハビリテーション</v>
      </c>
      <c r="D75" s="165"/>
      <c r="E75" s="18" t="s">
        <v>44</v>
      </c>
      <c r="F75" s="39" t="n">
        <v>0.0</v>
      </c>
      <c r="G75" s="40" t="n">
        <v>0.0</v>
      </c>
      <c r="H75" s="42" t="n">
        <v>0.0</v>
      </c>
      <c r="I75" s="53" t="str">
        <f t="shared" si="20"/>
        <v>－</v>
      </c>
      <c r="J75" s="21" t="n">
        <f>IF(data!I80&lt;0,0,data!I80)</f>
        <v>2295.0</v>
      </c>
      <c r="K75" s="21" t="n">
        <f>IF(data!J80&lt;0,0,data!J80)</f>
        <v>3680.0</v>
      </c>
      <c r="L75" s="22" t="str">
        <f t="shared" si="21"/>
        <v/>
      </c>
      <c r="M75" s="11"/>
      <c r="N75" s="1" t="str">
        <f t="shared" si="22"/>
        <v/>
      </c>
      <c r="O75" s="1" t="n">
        <f t="shared" si="23"/>
        <v>1.0</v>
      </c>
    </row>
    <row r="76" spans="2:15" ht="15.75" customHeight="1">
      <c r="B76" s="8"/>
      <c r="C76" s="58" t="str">
        <f t="shared" si="3"/>
        <v>訪問リハビリテーション</v>
      </c>
      <c r="D76" s="165"/>
      <c r="E76" s="18" t="s">
        <v>45</v>
      </c>
      <c r="F76" s="39" t="n">
        <v>0.0</v>
      </c>
      <c r="G76" s="40" t="n">
        <v>0.0</v>
      </c>
      <c r="H76" s="42" t="n">
        <v>0.0</v>
      </c>
      <c r="I76" s="53" t="str">
        <f t="shared" si="20"/>
        <v>－</v>
      </c>
      <c r="J76" s="21" t="n">
        <f>IF(data!I81&lt;0,0,data!I81)</f>
        <v>2335.0</v>
      </c>
      <c r="K76" s="21" t="n">
        <f>IF(data!J81&lt;0,0,data!J81)</f>
        <v>3615.0</v>
      </c>
      <c r="L76" s="22" t="str">
        <f t="shared" si="21"/>
        <v/>
      </c>
      <c r="M76" s="11"/>
      <c r="N76" s="1" t="str">
        <f t="shared" si="22"/>
        <v/>
      </c>
      <c r="O76" s="1" t="n">
        <f t="shared" si="23"/>
        <v>1.0</v>
      </c>
    </row>
    <row r="77" spans="2:15" ht="15.75" customHeight="1">
      <c r="B77" s="8"/>
      <c r="C77" s="58" t="str">
        <f t="shared" si="3"/>
        <v>訪問リハビリテーション</v>
      </c>
      <c r="D77" s="165"/>
      <c r="E77" s="18" t="s">
        <v>46</v>
      </c>
      <c r="F77" s="39" t="n">
        <v>0.0</v>
      </c>
      <c r="G77" s="40" t="n">
        <v>0.0</v>
      </c>
      <c r="H77" s="42" t="n">
        <v>0.0</v>
      </c>
      <c r="I77" s="53" t="str">
        <f t="shared" si="20"/>
        <v>－</v>
      </c>
      <c r="J77" s="21" t="n">
        <f>IF(data!I82&lt;0,0,data!I82)</f>
        <v>2310.0</v>
      </c>
      <c r="K77" s="21" t="n">
        <f>IF(data!J82&lt;0,0,data!J82)</f>
        <v>3685.0</v>
      </c>
      <c r="L77" s="22" t="str">
        <f t="shared" si="21"/>
        <v/>
      </c>
      <c r="M77" s="11"/>
      <c r="N77" s="1" t="str">
        <f t="shared" si="22"/>
        <v/>
      </c>
      <c r="O77" s="1" t="n">
        <f t="shared" si="23"/>
        <v>1.0</v>
      </c>
    </row>
    <row r="78" spans="2:15" ht="15.75" customHeight="1">
      <c r="B78" s="8"/>
      <c r="C78" s="58" t="str">
        <f t="shared" si="3"/>
        <v>訪問リハビリテーション</v>
      </c>
      <c r="D78" s="165"/>
      <c r="E78" s="18" t="s">
        <v>47</v>
      </c>
      <c r="F78" s="39" t="n">
        <v>0.0</v>
      </c>
      <c r="G78" s="40" t="n">
        <v>0.0</v>
      </c>
      <c r="H78" s="42" t="n">
        <v>0.0</v>
      </c>
      <c r="I78" s="53" t="str">
        <f t="shared" si="20"/>
        <v>－</v>
      </c>
      <c r="J78" s="21" t="n">
        <f>IF(data!I83&lt;0,0,data!I83)</f>
        <v>2270.0</v>
      </c>
      <c r="K78" s="21" t="n">
        <f>IF(data!J83&lt;0,0,data!J83)</f>
        <v>3735.0</v>
      </c>
      <c r="L78" s="22" t="str">
        <f t="shared" si="21"/>
        <v/>
      </c>
      <c r="M78" s="11"/>
      <c r="N78" s="1" t="str">
        <f t="shared" si="22"/>
        <v/>
      </c>
      <c r="O78" s="1" t="n">
        <f t="shared" si="23"/>
        <v>1.0</v>
      </c>
    </row>
    <row r="79" spans="2:15" ht="15.75" customHeight="1">
      <c r="B79" s="8"/>
      <c r="C79" s="58" t="str">
        <f t="shared" si="3"/>
        <v>訪問リハビリテーション</v>
      </c>
      <c r="D79" s="165"/>
      <c r="E79" s="18" t="s">
        <v>48</v>
      </c>
      <c r="F79" s="39" t="n">
        <v>0.0</v>
      </c>
      <c r="G79" s="40" t="n">
        <v>0.0</v>
      </c>
      <c r="H79" s="42" t="n">
        <v>0.0</v>
      </c>
      <c r="I79" s="53" t="str">
        <f t="shared" si="20"/>
        <v>－</v>
      </c>
      <c r="J79" s="21" t="n">
        <f>IF(data!I84&lt;0,0,data!I84)</f>
        <v>2255.0</v>
      </c>
      <c r="K79" s="21" t="n">
        <f>IF(data!J84&lt;0,0,data!J84)</f>
        <v>3675.0</v>
      </c>
      <c r="L79" s="22" t="str">
        <f t="shared" si="21"/>
        <v/>
      </c>
      <c r="M79" s="11"/>
      <c r="N79" s="1" t="str">
        <f t="shared" si="22"/>
        <v/>
      </c>
      <c r="O79" s="1" t="n">
        <f t="shared" si="23"/>
        <v>1.0</v>
      </c>
    </row>
    <row r="80" spans="2:15" ht="15.75" customHeight="1">
      <c r="B80" s="8"/>
      <c r="C80" s="58" t="str">
        <f t="shared" si="3"/>
        <v>訪問リハビリテーション</v>
      </c>
      <c r="D80" s="166"/>
      <c r="E80" s="23" t="s">
        <v>49</v>
      </c>
      <c r="F80" s="24" t="n">
        <f>SUM(F73:F79)</f>
        <v>0.0</v>
      </c>
      <c r="G80" s="25" t="n">
        <f>SUM(G73:G79)</f>
        <v>0.0</v>
      </c>
      <c r="H80" s="29" t="str">
        <f>IF(ISERROR((G73*H73+G74*H74+G75*H75+G76*H76+G77*H77+G78*H78+G79*H79)/G80)=TRUE,"－",(G73*H73+G74*H74+G75*H75+G76*H76+G77*H77+G78*H78+G79*H79)/G80)</f>
        <v>－</v>
      </c>
      <c r="I80" s="54" t="str">
        <f t="shared" si="20"/>
        <v>－</v>
      </c>
      <c r="J80" s="26" t="n">
        <f>IF(data!I85&lt;0,0,data!I85)</f>
        <v>2365.0</v>
      </c>
      <c r="K80" s="26" t="n">
        <f>IF(data!J85&lt;0,0,data!J85)</f>
        <v>3495.0</v>
      </c>
      <c r="L80" s="27" t="str">
        <f t="shared" si="21"/>
        <v/>
      </c>
      <c r="M80" s="11"/>
      <c r="N80" s="1" t="str">
        <f t="shared" si="22"/>
        <v/>
      </c>
    </row>
    <row r="81" spans="2:15" ht="15.75" customHeight="1">
      <c r="B81" s="8"/>
      <c r="C81" s="58" t="str">
        <f t="shared" si="3"/>
        <v>訪問リハビリテーション</v>
      </c>
      <c r="D81" s="164" t="s">
        <v>415</v>
      </c>
      <c r="E81" s="15" t="s">
        <v>50</v>
      </c>
      <c r="F81" s="35" t="n">
        <v>0.0</v>
      </c>
      <c r="G81" s="36" t="n">
        <v>0.0</v>
      </c>
      <c r="H81" s="41" t="n">
        <v>0.0</v>
      </c>
      <c r="I81" s="52" t="str">
        <f t="shared" si="20"/>
        <v>－</v>
      </c>
      <c r="J81" s="16" t="n">
        <f t="shared" ref="J81:K96" si="24">J73</f>
        <v>2205.0</v>
      </c>
      <c r="K81" s="16" t="n">
        <f t="shared" si="24"/>
        <v>3150.0</v>
      </c>
      <c r="L81" s="32" t="str">
        <f t="shared" si="21"/>
        <v/>
      </c>
      <c r="M81" s="11"/>
      <c r="N81" s="1" t="str">
        <f t="shared" si="22"/>
        <v/>
      </c>
      <c r="O81" s="1" t="n">
        <f t="shared" ref="O81:O87" si="25">IF(OR(AND(F81="",G81="",H81="－"),AND(F81="",G81="",H81="")),"",1)</f>
        <v>1.0</v>
      </c>
    </row>
    <row r="82" spans="2:15" ht="15.75" customHeight="1">
      <c r="B82" s="8"/>
      <c r="C82" s="58" t="str">
        <f t="shared" si="3"/>
        <v>訪問リハビリテーション</v>
      </c>
      <c r="D82" s="165"/>
      <c r="E82" s="30" t="s">
        <v>51</v>
      </c>
      <c r="F82" s="37" t="n">
        <v>0.0</v>
      </c>
      <c r="G82" s="38" t="n">
        <v>0.0</v>
      </c>
      <c r="H82" s="43" t="n">
        <v>0.0</v>
      </c>
      <c r="I82" s="55" t="str">
        <f t="shared" si="20"/>
        <v>－</v>
      </c>
      <c r="J82" s="31" t="n">
        <f t="shared" si="24"/>
        <v>2235.0</v>
      </c>
      <c r="K82" s="31" t="n">
        <f t="shared" si="24"/>
        <v>3170.0</v>
      </c>
      <c r="L82" s="33" t="str">
        <f t="shared" si="21"/>
        <v/>
      </c>
      <c r="M82" s="11"/>
      <c r="N82" s="1" t="str">
        <f t="shared" si="22"/>
        <v/>
      </c>
      <c r="O82" s="1" t="n">
        <f t="shared" si="25"/>
        <v>1.0</v>
      </c>
    </row>
    <row r="83" spans="2:15" ht="15.75" customHeight="1">
      <c r="B83" s="8"/>
      <c r="C83" s="58" t="str">
        <f t="shared" si="3"/>
        <v>訪問リハビリテーション</v>
      </c>
      <c r="D83" s="165"/>
      <c r="E83" s="18" t="s">
        <v>44</v>
      </c>
      <c r="F83" s="39" t="n">
        <v>0.0</v>
      </c>
      <c r="G83" s="40" t="n">
        <v>0.0</v>
      </c>
      <c r="H83" s="42" t="n">
        <v>0.0</v>
      </c>
      <c r="I83" s="53" t="str">
        <f t="shared" si="20"/>
        <v>－</v>
      </c>
      <c r="J83" s="21" t="n">
        <f t="shared" si="24"/>
        <v>2295.0</v>
      </c>
      <c r="K83" s="21" t="n">
        <f t="shared" si="24"/>
        <v>3680.0</v>
      </c>
      <c r="L83" s="22" t="str">
        <f t="shared" si="21"/>
        <v/>
      </c>
      <c r="M83" s="11"/>
      <c r="N83" s="1" t="str">
        <f t="shared" si="22"/>
        <v/>
      </c>
      <c r="O83" s="1" t="n">
        <f t="shared" si="25"/>
        <v>1.0</v>
      </c>
    </row>
    <row r="84" spans="2:15" ht="15.75" customHeight="1">
      <c r="B84" s="8"/>
      <c r="C84" s="58" t="str">
        <f t="shared" si="3"/>
        <v>訪問リハビリテーション</v>
      </c>
      <c r="D84" s="165"/>
      <c r="E84" s="18" t="s">
        <v>45</v>
      </c>
      <c r="F84" s="39" t="n">
        <v>0.0</v>
      </c>
      <c r="G84" s="40" t="n">
        <v>0.0</v>
      </c>
      <c r="H84" s="42" t="n">
        <v>0.0</v>
      </c>
      <c r="I84" s="53" t="str">
        <f t="shared" si="20"/>
        <v>－</v>
      </c>
      <c r="J84" s="21" t="n">
        <f t="shared" si="24"/>
        <v>2335.0</v>
      </c>
      <c r="K84" s="21" t="n">
        <f t="shared" si="24"/>
        <v>3615.0</v>
      </c>
      <c r="L84" s="22" t="str">
        <f t="shared" si="21"/>
        <v/>
      </c>
      <c r="M84" s="11"/>
      <c r="N84" s="1" t="str">
        <f t="shared" si="22"/>
        <v/>
      </c>
      <c r="O84" s="1" t="n">
        <f t="shared" si="25"/>
        <v>1.0</v>
      </c>
    </row>
    <row r="85" spans="2:15" ht="15.75" customHeight="1">
      <c r="B85" s="8"/>
      <c r="C85" s="58" t="str">
        <f t="shared" si="3"/>
        <v>訪問リハビリテーション</v>
      </c>
      <c r="D85" s="165"/>
      <c r="E85" s="18" t="s">
        <v>46</v>
      </c>
      <c r="F85" s="39" t="n">
        <v>0.0</v>
      </c>
      <c r="G85" s="40" t="n">
        <v>0.0</v>
      </c>
      <c r="H85" s="42" t="n">
        <v>0.0</v>
      </c>
      <c r="I85" s="53" t="str">
        <f t="shared" si="20"/>
        <v>－</v>
      </c>
      <c r="J85" s="21" t="n">
        <f t="shared" si="24"/>
        <v>2310.0</v>
      </c>
      <c r="K85" s="21" t="n">
        <f t="shared" si="24"/>
        <v>3685.0</v>
      </c>
      <c r="L85" s="22" t="str">
        <f t="shared" si="21"/>
        <v/>
      </c>
      <c r="M85" s="11"/>
      <c r="N85" s="1" t="str">
        <f t="shared" si="22"/>
        <v/>
      </c>
      <c r="O85" s="1" t="n">
        <f t="shared" si="25"/>
        <v>1.0</v>
      </c>
    </row>
    <row r="86" spans="2:15" ht="15.75" customHeight="1">
      <c r="B86" s="8"/>
      <c r="C86" s="58" t="str">
        <f t="shared" si="3"/>
        <v>訪問リハビリテーション</v>
      </c>
      <c r="D86" s="165"/>
      <c r="E86" s="18" t="s">
        <v>47</v>
      </c>
      <c r="F86" s="39" t="n">
        <v>0.0</v>
      </c>
      <c r="G86" s="40" t="n">
        <v>0.0</v>
      </c>
      <c r="H86" s="42" t="n">
        <v>0.0</v>
      </c>
      <c r="I86" s="53" t="str">
        <f t="shared" si="20"/>
        <v>－</v>
      </c>
      <c r="J86" s="21" t="n">
        <f t="shared" si="24"/>
        <v>2270.0</v>
      </c>
      <c r="K86" s="21" t="n">
        <f t="shared" si="24"/>
        <v>3735.0</v>
      </c>
      <c r="L86" s="22" t="str">
        <f t="shared" si="21"/>
        <v/>
      </c>
      <c r="M86" s="11"/>
      <c r="N86" s="1" t="str">
        <f t="shared" si="22"/>
        <v/>
      </c>
      <c r="O86" s="1" t="n">
        <f t="shared" si="25"/>
        <v>1.0</v>
      </c>
    </row>
    <row r="87" spans="2:15" ht="15.75" customHeight="1">
      <c r="B87" s="8"/>
      <c r="C87" s="58" t="str">
        <f t="shared" si="3"/>
        <v>訪問リハビリテーション</v>
      </c>
      <c r="D87" s="165"/>
      <c r="E87" s="18" t="s">
        <v>48</v>
      </c>
      <c r="F87" s="39" t="n">
        <v>0.0</v>
      </c>
      <c r="G87" s="40" t="n">
        <v>0.0</v>
      </c>
      <c r="H87" s="42" t="n">
        <v>0.0</v>
      </c>
      <c r="I87" s="53" t="str">
        <f t="shared" si="20"/>
        <v>－</v>
      </c>
      <c r="J87" s="21" t="n">
        <f t="shared" si="24"/>
        <v>2255.0</v>
      </c>
      <c r="K87" s="21" t="n">
        <f t="shared" si="24"/>
        <v>3675.0</v>
      </c>
      <c r="L87" s="22" t="str">
        <f t="shared" si="21"/>
        <v/>
      </c>
      <c r="M87" s="11"/>
      <c r="N87" s="1" t="str">
        <f t="shared" si="22"/>
        <v/>
      </c>
      <c r="O87" s="1" t="n">
        <f t="shared" si="25"/>
        <v>1.0</v>
      </c>
    </row>
    <row r="88" spans="2:15" ht="15.75" customHeight="1">
      <c r="B88" s="8"/>
      <c r="C88" s="58" t="str">
        <f t="shared" si="3"/>
        <v>訪問リハビリテーション</v>
      </c>
      <c r="D88" s="166"/>
      <c r="E88" s="23" t="s">
        <v>49</v>
      </c>
      <c r="F88" s="24" t="n">
        <f>SUM(F81:F87)</f>
        <v>0.0</v>
      </c>
      <c r="G88" s="25" t="n">
        <f>SUM(G81:G87)</f>
        <v>0.0</v>
      </c>
      <c r="H88" s="29" t="str">
        <f>IF(ISERROR((G81*H81+G82*H82+G83*H83+G84*H84+G85*H85+G86*H86+G87*H87)/G88)=TRUE,"－",(G81*H81+G82*H82+G83*H83+G84*H84+G85*H85+G86*H86+G87*H87)/G88)</f>
        <v>－</v>
      </c>
      <c r="I88" s="54" t="str">
        <f t="shared" si="20"/>
        <v>－</v>
      </c>
      <c r="J88" s="21" t="n">
        <f t="shared" si="24"/>
        <v>2365.0</v>
      </c>
      <c r="K88" s="21" t="n">
        <f t="shared" si="24"/>
        <v>3495.0</v>
      </c>
      <c r="L88" s="27" t="str">
        <f t="shared" si="21"/>
        <v/>
      </c>
      <c r="M88" s="11"/>
      <c r="N88" s="1" t="str">
        <f t="shared" si="22"/>
        <v/>
      </c>
    </row>
    <row r="89" spans="2:15" ht="15.75" customHeight="1">
      <c r="B89" s="8"/>
      <c r="C89" s="58" t="str">
        <f t="shared" si="3"/>
        <v>訪問リハビリテーション</v>
      </c>
      <c r="D89" s="164" t="s">
        <v>414</v>
      </c>
      <c r="E89" s="15" t="s">
        <v>50</v>
      </c>
      <c r="F89" s="35" t="n">
        <v>0.0</v>
      </c>
      <c r="G89" s="36" t="n">
        <v>0.0</v>
      </c>
      <c r="H89" s="41" t="n">
        <v>0.0</v>
      </c>
      <c r="I89" s="52" t="str">
        <f t="shared" si="20"/>
        <v>－</v>
      </c>
      <c r="J89" s="16" t="n">
        <f t="shared" si="24"/>
        <v>2205.0</v>
      </c>
      <c r="K89" s="16" t="n">
        <f t="shared" si="24"/>
        <v>3150.0</v>
      </c>
      <c r="L89" s="32" t="str">
        <f t="shared" si="21"/>
        <v/>
      </c>
      <c r="M89" s="11"/>
      <c r="N89" s="1" t="str">
        <f t="shared" si="22"/>
        <v/>
      </c>
      <c r="O89" s="1" t="n">
        <f t="shared" ref="O89:O95" si="26">IF(OR(AND(F89="",G89="",H89="－"),AND(F89="",G89="",H89="")),"",1)</f>
        <v>1.0</v>
      </c>
    </row>
    <row r="90" spans="2:15" ht="15.75" customHeight="1">
      <c r="B90" s="8"/>
      <c r="C90" s="58" t="str">
        <f t="shared" si="3"/>
        <v>訪問リハビリテーション</v>
      </c>
      <c r="D90" s="165"/>
      <c r="E90" s="30" t="s">
        <v>51</v>
      </c>
      <c r="F90" s="37" t="n">
        <v>0.0</v>
      </c>
      <c r="G90" s="38" t="n">
        <v>0.0</v>
      </c>
      <c r="H90" s="43" t="n">
        <v>0.0</v>
      </c>
      <c r="I90" s="55" t="str">
        <f t="shared" si="20"/>
        <v>－</v>
      </c>
      <c r="J90" s="31" t="n">
        <f t="shared" si="24"/>
        <v>2235.0</v>
      </c>
      <c r="K90" s="31" t="n">
        <f t="shared" si="24"/>
        <v>3170.0</v>
      </c>
      <c r="L90" s="33" t="str">
        <f t="shared" si="21"/>
        <v/>
      </c>
      <c r="M90" s="11"/>
      <c r="N90" s="1" t="str">
        <f t="shared" si="22"/>
        <v/>
      </c>
      <c r="O90" s="1" t="n">
        <f t="shared" si="26"/>
        <v>1.0</v>
      </c>
    </row>
    <row r="91" spans="2:15" ht="15.75" customHeight="1">
      <c r="B91" s="8"/>
      <c r="C91" s="58" t="str">
        <f t="shared" si="3"/>
        <v>訪問リハビリテーション</v>
      </c>
      <c r="D91" s="165"/>
      <c r="E91" s="18" t="s">
        <v>44</v>
      </c>
      <c r="F91" s="39" t="n">
        <v>0.0</v>
      </c>
      <c r="G91" s="40" t="n">
        <v>0.0</v>
      </c>
      <c r="H91" s="42" t="n">
        <v>0.0</v>
      </c>
      <c r="I91" s="53" t="str">
        <f t="shared" si="20"/>
        <v>－</v>
      </c>
      <c r="J91" s="21" t="n">
        <f t="shared" si="24"/>
        <v>2295.0</v>
      </c>
      <c r="K91" s="21" t="n">
        <f t="shared" si="24"/>
        <v>3680.0</v>
      </c>
      <c r="L91" s="22" t="str">
        <f t="shared" si="21"/>
        <v/>
      </c>
      <c r="M91" s="11"/>
      <c r="N91" s="1" t="str">
        <f t="shared" si="22"/>
        <v/>
      </c>
      <c r="O91" s="1" t="n">
        <f t="shared" si="26"/>
        <v>1.0</v>
      </c>
    </row>
    <row r="92" spans="2:15" ht="15.75" customHeight="1">
      <c r="B92" s="8"/>
      <c r="C92" s="58" t="str">
        <f t="shared" si="3"/>
        <v>訪問リハビリテーション</v>
      </c>
      <c r="D92" s="165"/>
      <c r="E92" s="18" t="s">
        <v>45</v>
      </c>
      <c r="F92" s="39" t="n">
        <v>0.0</v>
      </c>
      <c r="G92" s="40" t="n">
        <v>0.0</v>
      </c>
      <c r="H92" s="42" t="n">
        <v>0.0</v>
      </c>
      <c r="I92" s="53" t="str">
        <f t="shared" si="20"/>
        <v>－</v>
      </c>
      <c r="J92" s="21" t="n">
        <f t="shared" si="24"/>
        <v>2335.0</v>
      </c>
      <c r="K92" s="21" t="n">
        <f t="shared" si="24"/>
        <v>3615.0</v>
      </c>
      <c r="L92" s="22" t="str">
        <f t="shared" si="21"/>
        <v/>
      </c>
      <c r="M92" s="11"/>
      <c r="N92" s="1" t="str">
        <f t="shared" si="22"/>
        <v/>
      </c>
      <c r="O92" s="1" t="n">
        <f t="shared" si="26"/>
        <v>1.0</v>
      </c>
    </row>
    <row r="93" spans="2:15" ht="15.75" customHeight="1">
      <c r="B93" s="8"/>
      <c r="C93" s="58" t="str">
        <f t="shared" si="3"/>
        <v>訪問リハビリテーション</v>
      </c>
      <c r="D93" s="165"/>
      <c r="E93" s="18" t="s">
        <v>46</v>
      </c>
      <c r="F93" s="39" t="n">
        <v>0.0</v>
      </c>
      <c r="G93" s="40" t="n">
        <v>0.0</v>
      </c>
      <c r="H93" s="42" t="n">
        <v>0.0</v>
      </c>
      <c r="I93" s="53" t="str">
        <f t="shared" si="20"/>
        <v>－</v>
      </c>
      <c r="J93" s="21" t="n">
        <f t="shared" si="24"/>
        <v>2310.0</v>
      </c>
      <c r="K93" s="21" t="n">
        <f t="shared" si="24"/>
        <v>3685.0</v>
      </c>
      <c r="L93" s="22" t="str">
        <f t="shared" si="21"/>
        <v/>
      </c>
      <c r="M93" s="11"/>
      <c r="N93" s="1" t="str">
        <f t="shared" si="22"/>
        <v/>
      </c>
      <c r="O93" s="1" t="n">
        <f t="shared" si="26"/>
        <v>1.0</v>
      </c>
    </row>
    <row r="94" spans="2:15" ht="15.75" customHeight="1">
      <c r="B94" s="8"/>
      <c r="C94" s="58" t="str">
        <f t="shared" si="3"/>
        <v>訪問リハビリテーション</v>
      </c>
      <c r="D94" s="165"/>
      <c r="E94" s="18" t="s">
        <v>47</v>
      </c>
      <c r="F94" s="39" t="n">
        <v>0.0</v>
      </c>
      <c r="G94" s="40" t="n">
        <v>0.0</v>
      </c>
      <c r="H94" s="42" t="n">
        <v>0.0</v>
      </c>
      <c r="I94" s="53" t="str">
        <f t="shared" si="20"/>
        <v>－</v>
      </c>
      <c r="J94" s="21" t="n">
        <f t="shared" si="24"/>
        <v>2270.0</v>
      </c>
      <c r="K94" s="21" t="n">
        <f t="shared" si="24"/>
        <v>3735.0</v>
      </c>
      <c r="L94" s="22" t="str">
        <f t="shared" si="21"/>
        <v/>
      </c>
      <c r="M94" s="11"/>
      <c r="N94" s="1" t="str">
        <f t="shared" si="22"/>
        <v/>
      </c>
      <c r="O94" s="1" t="n">
        <f t="shared" si="26"/>
        <v>1.0</v>
      </c>
    </row>
    <row r="95" spans="2:15" ht="15.75" customHeight="1">
      <c r="B95" s="8"/>
      <c r="C95" s="58" t="str">
        <f t="shared" si="3"/>
        <v>訪問リハビリテーション</v>
      </c>
      <c r="D95" s="165"/>
      <c r="E95" s="18" t="s">
        <v>48</v>
      </c>
      <c r="F95" s="39" t="n">
        <v>0.0</v>
      </c>
      <c r="G95" s="40" t="n">
        <v>0.0</v>
      </c>
      <c r="H95" s="42" t="n">
        <v>0.0</v>
      </c>
      <c r="I95" s="53" t="str">
        <f t="shared" si="20"/>
        <v>－</v>
      </c>
      <c r="J95" s="21" t="n">
        <f t="shared" si="24"/>
        <v>2255.0</v>
      </c>
      <c r="K95" s="21" t="n">
        <f t="shared" si="24"/>
        <v>3675.0</v>
      </c>
      <c r="L95" s="22" t="str">
        <f t="shared" si="21"/>
        <v/>
      </c>
      <c r="M95" s="11"/>
      <c r="N95" s="1" t="str">
        <f t="shared" si="22"/>
        <v/>
      </c>
      <c r="O95" s="1" t="n">
        <f t="shared" si="26"/>
        <v>1.0</v>
      </c>
    </row>
    <row r="96" spans="2:15" ht="15.75" customHeight="1">
      <c r="B96" s="10"/>
      <c r="C96" s="59" t="str">
        <f t="shared" si="3"/>
        <v>訪問リハビリテーション</v>
      </c>
      <c r="D96" s="166"/>
      <c r="E96" s="23" t="s">
        <v>49</v>
      </c>
      <c r="F96" s="24" t="n">
        <f>SUM(F89:F95)</f>
        <v>0.0</v>
      </c>
      <c r="G96" s="25" t="n">
        <f>SUM(G89:G95)</f>
        <v>0.0</v>
      </c>
      <c r="H96" s="29" t="str">
        <f>IF(ISERROR((G89*H89+G90*H90+G91*H91+G92*H92+G93*H93+G94*H94+G95*H95)/G96)=TRUE,"－",(G89*H89+G90*H90+G91*H91+G92*H92+G93*H93+G94*H94+G95*H95)/G96)</f>
        <v>－</v>
      </c>
      <c r="I96" s="54" t="str">
        <f t="shared" si="20"/>
        <v>－</v>
      </c>
      <c r="J96" s="26" t="n">
        <f t="shared" si="24"/>
        <v>2365.0</v>
      </c>
      <c r="K96" s="26" t="n">
        <f t="shared" si="24"/>
        <v>3495.0</v>
      </c>
      <c r="L96" s="27" t="str">
        <f t="shared" si="21"/>
        <v/>
      </c>
      <c r="M96" s="11"/>
      <c r="N96" s="1" t="str">
        <f t="shared" si="22"/>
        <v/>
      </c>
    </row>
    <row r="97" spans="2:15" ht="15.75" customHeight="1">
      <c r="B97" s="6">
        <v>5</v>
      </c>
      <c r="C97" s="7" t="s">
        <v>8</v>
      </c>
      <c r="D97" s="164" t="s">
        <v>416</v>
      </c>
      <c r="E97" s="15" t="s">
        <v>50</v>
      </c>
      <c r="F97" s="35" t="n">
        <v>0.0</v>
      </c>
      <c r="G97" s="36" t="n">
        <v>0.0</v>
      </c>
      <c r="H97" s="79" t="s">
        <v>94</v>
      </c>
      <c r="I97" s="52" t="str">
        <f>IF(H97="－",IF(ISERROR(F97/G97/12)=TRUE,"－",F97/G97/12),IF(ISERROR(F97/G97/H97/12)=TRUE,"－",F97/G97/H97/12))</f>
        <v>－</v>
      </c>
      <c r="J97" s="16" t="n">
        <f>IF(data!I86&lt;0,0,data!I86)</f>
        <v>0.0</v>
      </c>
      <c r="K97" s="16" t="n">
        <f>IF(data!J86&lt;0,0,data!J86)</f>
        <v>20195.0</v>
      </c>
      <c r="L97" s="32" t="str">
        <f t="shared" ref="L97:L138" si="27">IF(I97="－","",IF(I97&lt;J97,"下限値を\"&amp;TEXT(ROUND(J97-I97,0),"#,##0")&amp;"下回っています。",IF(I97&gt;K97,"上限値を\"&amp;TEXT(ROUND(I97-K97,0),"#,##0")&amp;"上回っています。","閾値の範囲内です。")))</f>
        <v/>
      </c>
      <c r="M97" s="11"/>
      <c r="N97" s="1" t="str">
        <f t="shared" ref="N97:N121" si="28">IF(OR(I97="－",AND(J97="－",K97="－")),"",IF(OR(I97&lt;J97,I97&gt;K97),1,""))</f>
        <v/>
      </c>
      <c r="O97" s="1" t="n">
        <f t="shared" ref="O97:O103" si="29">IF(OR(AND(F97="",G97="",H97="－"),AND(F97="",G97="",H97="")),"",1)</f>
        <v>1.0</v>
      </c>
    </row>
    <row r="98" spans="2:15" ht="15.75" customHeight="1">
      <c r="B98" s="8"/>
      <c r="C98" s="58" t="str">
        <f t="shared" si="3"/>
        <v>居宅療養管理指導</v>
      </c>
      <c r="D98" s="165"/>
      <c r="E98" s="30" t="s">
        <v>51</v>
      </c>
      <c r="F98" s="37" t="n">
        <v>122184.0</v>
      </c>
      <c r="G98" s="38" t="n">
        <v>1.0</v>
      </c>
      <c r="H98" s="80" t="s">
        <v>94</v>
      </c>
      <c r="I98" s="55" t="n">
        <f t="shared" ref="I98:I138" si="30">IF(H98="－",IF(ISERROR(F98/G98/12)=TRUE,"－",F98/G98/12),IF(ISERROR(F98/G98/H98/12)=TRUE,"－",F98/G98/H98/12))</f>
        <v>10182.0</v>
      </c>
      <c r="J98" s="31" t="n">
        <f>IF(data!I87&lt;0,0,data!I87)</f>
        <v>0.0</v>
      </c>
      <c r="K98" s="31" t="n">
        <f>IF(data!J87&lt;0,0,data!J87)</f>
        <v>18200.0</v>
      </c>
      <c r="L98" s="33" t="str">
        <f t="shared" si="27"/>
        <v>閾値の範囲内です。</v>
      </c>
      <c r="M98" s="11"/>
      <c r="N98" s="1" t="str">
        <f t="shared" si="28"/>
        <v/>
      </c>
      <c r="O98" s="1" t="n">
        <f t="shared" si="29"/>
        <v>1.0</v>
      </c>
    </row>
    <row r="99" spans="2:15" ht="15.75" customHeight="1">
      <c r="B99" s="8"/>
      <c r="C99" s="58" t="str">
        <f t="shared" si="3"/>
        <v>居宅療養管理指導</v>
      </c>
      <c r="D99" s="165"/>
      <c r="E99" s="18" t="s">
        <v>44</v>
      </c>
      <c r="F99" s="39" t="n">
        <v>0.0</v>
      </c>
      <c r="G99" s="40" t="n">
        <v>0.0</v>
      </c>
      <c r="H99" s="80" t="s">
        <v>94</v>
      </c>
      <c r="I99" s="53" t="str">
        <f t="shared" si="30"/>
        <v>－</v>
      </c>
      <c r="J99" s="21" t="n">
        <f>IF(data!I88&lt;0,0,data!I88)</f>
        <v>0.0</v>
      </c>
      <c r="K99" s="21" t="n">
        <f>IF(data!J88&lt;0,0,data!J88)</f>
        <v>20285.0</v>
      </c>
      <c r="L99" s="22" t="str">
        <f t="shared" si="27"/>
        <v/>
      </c>
      <c r="M99" s="11"/>
      <c r="N99" s="1" t="str">
        <f t="shared" si="28"/>
        <v/>
      </c>
      <c r="O99" s="1" t="n">
        <f t="shared" si="29"/>
        <v>1.0</v>
      </c>
    </row>
    <row r="100" spans="2:15" ht="15.75" customHeight="1">
      <c r="B100" s="8"/>
      <c r="C100" s="58" t="str">
        <f t="shared" si="3"/>
        <v>居宅療養管理指導</v>
      </c>
      <c r="D100" s="165"/>
      <c r="E100" s="18" t="s">
        <v>45</v>
      </c>
      <c r="F100" s="39" t="n">
        <v>134424.0</v>
      </c>
      <c r="G100" s="40" t="n">
        <v>2.0</v>
      </c>
      <c r="H100" s="80" t="s">
        <v>94</v>
      </c>
      <c r="I100" s="53" t="n">
        <f t="shared" si="30"/>
        <v>5601.0</v>
      </c>
      <c r="J100" s="21" t="n">
        <f>IF(data!I89&lt;0,0,data!I89)</f>
        <v>0.0</v>
      </c>
      <c r="K100" s="21" t="n">
        <f>IF(data!J89&lt;0,0,data!J89)</f>
        <v>21150.0</v>
      </c>
      <c r="L100" s="22" t="str">
        <f t="shared" si="27"/>
        <v>閾値の範囲内です。</v>
      </c>
      <c r="M100" s="11"/>
      <c r="N100" s="1" t="str">
        <f t="shared" si="28"/>
        <v/>
      </c>
      <c r="O100" s="1" t="n">
        <f t="shared" si="29"/>
        <v>1.0</v>
      </c>
    </row>
    <row r="101" spans="2:15" ht="15.75" customHeight="1">
      <c r="B101" s="8"/>
      <c r="C101" s="58" t="str">
        <f t="shared" si="3"/>
        <v>居宅療養管理指導</v>
      </c>
      <c r="D101" s="165"/>
      <c r="E101" s="18" t="s">
        <v>46</v>
      </c>
      <c r="F101" s="39" t="n">
        <v>81432.0</v>
      </c>
      <c r="G101" s="40" t="n">
        <v>2.0</v>
      </c>
      <c r="H101" s="80" t="s">
        <v>94</v>
      </c>
      <c r="I101" s="53" t="n">
        <f t="shared" si="30"/>
        <v>3393.0</v>
      </c>
      <c r="J101" s="21" t="n">
        <f>IF(data!I90&lt;0,0,data!I90)</f>
        <v>0.0</v>
      </c>
      <c r="K101" s="21" t="n">
        <f>IF(data!J90&lt;0,0,data!J90)</f>
        <v>22210.0</v>
      </c>
      <c r="L101" s="22" t="str">
        <f t="shared" si="27"/>
        <v>閾値の範囲内です。</v>
      </c>
      <c r="M101" s="11"/>
      <c r="N101" s="1" t="str">
        <f t="shared" si="28"/>
        <v/>
      </c>
      <c r="O101" s="1" t="n">
        <f t="shared" si="29"/>
        <v>1.0</v>
      </c>
    </row>
    <row r="102" spans="2:15" ht="15.75" customHeight="1">
      <c r="B102" s="8"/>
      <c r="C102" s="58" t="str">
        <f t="shared" si="3"/>
        <v>居宅療養管理指導</v>
      </c>
      <c r="D102" s="165"/>
      <c r="E102" s="18" t="s">
        <v>47</v>
      </c>
      <c r="F102" s="39" t="n">
        <v>65736.0</v>
      </c>
      <c r="G102" s="40" t="n">
        <v>2.0</v>
      </c>
      <c r="H102" s="80" t="s">
        <v>94</v>
      </c>
      <c r="I102" s="53" t="n">
        <f t="shared" si="30"/>
        <v>2739.0</v>
      </c>
      <c r="J102" s="21" t="n">
        <f>IF(data!I91&lt;0,0,data!I91)</f>
        <v>0.0</v>
      </c>
      <c r="K102" s="21" t="n">
        <f>IF(data!J91&lt;0,0,data!J91)</f>
        <v>23085.0</v>
      </c>
      <c r="L102" s="22" t="str">
        <f t="shared" si="27"/>
        <v>閾値の範囲内です。</v>
      </c>
      <c r="M102" s="11"/>
      <c r="N102" s="1" t="str">
        <f t="shared" si="28"/>
        <v/>
      </c>
      <c r="O102" s="1" t="n">
        <f t="shared" si="29"/>
        <v>1.0</v>
      </c>
    </row>
    <row r="103" spans="2:15" ht="15.75" customHeight="1">
      <c r="B103" s="8"/>
      <c r="C103" s="58" t="str">
        <f t="shared" si="3"/>
        <v>居宅療養管理指導</v>
      </c>
      <c r="D103" s="165"/>
      <c r="E103" s="18" t="s">
        <v>48</v>
      </c>
      <c r="F103" s="39" t="n">
        <v>370032.0</v>
      </c>
      <c r="G103" s="40" t="n">
        <v>2.0</v>
      </c>
      <c r="H103" s="80" t="s">
        <v>94</v>
      </c>
      <c r="I103" s="53" t="n">
        <f t="shared" si="30"/>
        <v>15418.0</v>
      </c>
      <c r="J103" s="21" t="n">
        <f>IF(data!I92&lt;0,0,data!I92)</f>
        <v>0.0</v>
      </c>
      <c r="K103" s="21" t="n">
        <f>IF(data!J92&lt;0,0,data!J92)</f>
        <v>24950.0</v>
      </c>
      <c r="L103" s="22" t="str">
        <f t="shared" si="27"/>
        <v>閾値の範囲内です。</v>
      </c>
      <c r="M103" s="11"/>
      <c r="N103" s="1" t="str">
        <f t="shared" si="28"/>
        <v/>
      </c>
      <c r="O103" s="1" t="n">
        <f t="shared" si="29"/>
        <v>1.0</v>
      </c>
    </row>
    <row r="104" spans="2:15" ht="15.75" customHeight="1">
      <c r="B104" s="8"/>
      <c r="C104" s="58" t="str">
        <f t="shared" si="3"/>
        <v>居宅療養管理指導</v>
      </c>
      <c r="D104" s="166"/>
      <c r="E104" s="23" t="s">
        <v>49</v>
      </c>
      <c r="F104" s="24" t="n">
        <f>SUM(F97:F103)</f>
        <v>773808.0</v>
      </c>
      <c r="G104" s="25" t="n">
        <f>SUM(G97:G103)</f>
        <v>9.0</v>
      </c>
      <c r="H104" s="78" t="s">
        <v>94</v>
      </c>
      <c r="I104" s="54" t="n">
        <f t="shared" si="30"/>
        <v>7164.88888888889</v>
      </c>
      <c r="J104" s="21" t="n">
        <f>IF(data!I93&lt;0,0,data!I93)</f>
        <v>0.0</v>
      </c>
      <c r="K104" s="26" t="n">
        <f>IF(data!J93&lt;0,0,data!J93)</f>
        <v>20625.0</v>
      </c>
      <c r="L104" s="27" t="str">
        <f t="shared" si="27"/>
        <v>閾値の範囲内です。</v>
      </c>
      <c r="M104" s="11"/>
      <c r="N104" s="1" t="str">
        <f t="shared" si="28"/>
        <v/>
      </c>
    </row>
    <row r="105" spans="2:15" ht="15.75" customHeight="1">
      <c r="B105" s="8"/>
      <c r="C105" s="58" t="str">
        <f t="shared" si="3"/>
        <v>居宅療養管理指導</v>
      </c>
      <c r="D105" s="164" t="s">
        <v>415</v>
      </c>
      <c r="E105" s="15" t="s">
        <v>50</v>
      </c>
      <c r="F105" s="35" t="n">
        <v>0.0</v>
      </c>
      <c r="G105" s="36" t="n">
        <v>0.0</v>
      </c>
      <c r="H105" s="79" t="s">
        <v>94</v>
      </c>
      <c r="I105" s="52" t="str">
        <f t="shared" si="30"/>
        <v>－</v>
      </c>
      <c r="J105" s="16" t="n">
        <f t="shared" ref="J105:K120" si="31">J97</f>
        <v>0.0</v>
      </c>
      <c r="K105" s="16" t="n">
        <f t="shared" si="31"/>
        <v>20195.0</v>
      </c>
      <c r="L105" s="32" t="str">
        <f t="shared" si="27"/>
        <v/>
      </c>
      <c r="M105" s="11"/>
      <c r="N105" s="1" t="str">
        <f t="shared" si="28"/>
        <v/>
      </c>
      <c r="O105" s="1" t="n">
        <f t="shared" ref="O105:O111" si="32">IF(OR(AND(F105="",G105="",H105="－"),AND(F105="",G105="",H105="")),"",1)</f>
        <v>1.0</v>
      </c>
    </row>
    <row r="106" spans="2:15" ht="15.75" customHeight="1">
      <c r="B106" s="8"/>
      <c r="C106" s="58" t="str">
        <f t="shared" si="3"/>
        <v>居宅療養管理指導</v>
      </c>
      <c r="D106" s="165"/>
      <c r="E106" s="30" t="s">
        <v>51</v>
      </c>
      <c r="F106" s="37" t="n">
        <v>122184.0</v>
      </c>
      <c r="G106" s="38" t="n">
        <v>1.0</v>
      </c>
      <c r="H106" s="80" t="s">
        <v>94</v>
      </c>
      <c r="I106" s="55" t="n">
        <f t="shared" si="30"/>
        <v>10182.0</v>
      </c>
      <c r="J106" s="31" t="n">
        <f t="shared" si="31"/>
        <v>0.0</v>
      </c>
      <c r="K106" s="31" t="n">
        <f t="shared" si="31"/>
        <v>18200.0</v>
      </c>
      <c r="L106" s="33" t="str">
        <f t="shared" si="27"/>
        <v>閾値の範囲内です。</v>
      </c>
      <c r="M106" s="11"/>
      <c r="N106" s="1" t="str">
        <f t="shared" si="28"/>
        <v/>
      </c>
      <c r="O106" s="1" t="n">
        <f t="shared" si="32"/>
        <v>1.0</v>
      </c>
    </row>
    <row r="107" spans="2:15" ht="15.75" customHeight="1">
      <c r="B107" s="8"/>
      <c r="C107" s="58" t="str">
        <f t="shared" si="3"/>
        <v>居宅療養管理指導</v>
      </c>
      <c r="D107" s="165"/>
      <c r="E107" s="18" t="s">
        <v>44</v>
      </c>
      <c r="F107" s="39" t="n">
        <v>0.0</v>
      </c>
      <c r="G107" s="40" t="n">
        <v>0.0</v>
      </c>
      <c r="H107" s="80" t="s">
        <v>94</v>
      </c>
      <c r="I107" s="53" t="str">
        <f t="shared" si="30"/>
        <v>－</v>
      </c>
      <c r="J107" s="21" t="n">
        <f t="shared" si="31"/>
        <v>0.0</v>
      </c>
      <c r="K107" s="21" t="n">
        <f t="shared" si="31"/>
        <v>20285.0</v>
      </c>
      <c r="L107" s="22" t="str">
        <f t="shared" si="27"/>
        <v/>
      </c>
      <c r="M107" s="11"/>
      <c r="N107" s="1" t="str">
        <f t="shared" si="28"/>
        <v/>
      </c>
      <c r="O107" s="1" t="n">
        <f t="shared" si="32"/>
        <v>1.0</v>
      </c>
    </row>
    <row r="108" spans="2:15" ht="15.75" customHeight="1">
      <c r="B108" s="8"/>
      <c r="C108" s="58" t="str">
        <f t="shared" si="3"/>
        <v>居宅療養管理指導</v>
      </c>
      <c r="D108" s="165"/>
      <c r="E108" s="18" t="s">
        <v>45</v>
      </c>
      <c r="F108" s="39" t="n">
        <v>134424.0</v>
      </c>
      <c r="G108" s="40" t="n">
        <v>2.0</v>
      </c>
      <c r="H108" s="80" t="s">
        <v>94</v>
      </c>
      <c r="I108" s="53" t="n">
        <f t="shared" si="30"/>
        <v>5601.0</v>
      </c>
      <c r="J108" s="21" t="n">
        <f t="shared" si="31"/>
        <v>0.0</v>
      </c>
      <c r="K108" s="21" t="n">
        <f t="shared" si="31"/>
        <v>21150.0</v>
      </c>
      <c r="L108" s="22" t="str">
        <f t="shared" si="27"/>
        <v>閾値の範囲内です。</v>
      </c>
      <c r="M108" s="11"/>
      <c r="N108" s="1" t="str">
        <f t="shared" si="28"/>
        <v/>
      </c>
      <c r="O108" s="1" t="n">
        <f t="shared" si="32"/>
        <v>1.0</v>
      </c>
    </row>
    <row r="109" spans="2:15" ht="15.75" customHeight="1">
      <c r="B109" s="8"/>
      <c r="C109" s="58" t="str">
        <f t="shared" si="3"/>
        <v>居宅療養管理指導</v>
      </c>
      <c r="D109" s="165"/>
      <c r="E109" s="18" t="s">
        <v>46</v>
      </c>
      <c r="F109" s="39" t="n">
        <v>81432.0</v>
      </c>
      <c r="G109" s="40" t="n">
        <v>2.0</v>
      </c>
      <c r="H109" s="80" t="s">
        <v>94</v>
      </c>
      <c r="I109" s="53" t="n">
        <f t="shared" si="30"/>
        <v>3393.0</v>
      </c>
      <c r="J109" s="21" t="n">
        <f t="shared" si="31"/>
        <v>0.0</v>
      </c>
      <c r="K109" s="21" t="n">
        <f t="shared" si="31"/>
        <v>22210.0</v>
      </c>
      <c r="L109" s="22" t="str">
        <f t="shared" si="27"/>
        <v>閾値の範囲内です。</v>
      </c>
      <c r="M109" s="11"/>
      <c r="N109" s="1" t="str">
        <f t="shared" si="28"/>
        <v/>
      </c>
      <c r="O109" s="1" t="n">
        <f t="shared" si="32"/>
        <v>1.0</v>
      </c>
    </row>
    <row r="110" spans="2:15" ht="15.75" customHeight="1">
      <c r="B110" s="8"/>
      <c r="C110" s="58" t="str">
        <f t="shared" si="3"/>
        <v>居宅療養管理指導</v>
      </c>
      <c r="D110" s="165"/>
      <c r="E110" s="18" t="s">
        <v>47</v>
      </c>
      <c r="F110" s="39" t="n">
        <v>65736.0</v>
      </c>
      <c r="G110" s="40" t="n">
        <v>2.0</v>
      </c>
      <c r="H110" s="80" t="s">
        <v>94</v>
      </c>
      <c r="I110" s="53" t="n">
        <f t="shared" si="30"/>
        <v>2739.0</v>
      </c>
      <c r="J110" s="21" t="n">
        <f t="shared" si="31"/>
        <v>0.0</v>
      </c>
      <c r="K110" s="21" t="n">
        <f t="shared" si="31"/>
        <v>23085.0</v>
      </c>
      <c r="L110" s="22" t="str">
        <f t="shared" si="27"/>
        <v>閾値の範囲内です。</v>
      </c>
      <c r="M110" s="11"/>
      <c r="N110" s="1" t="str">
        <f t="shared" si="28"/>
        <v/>
      </c>
      <c r="O110" s="1" t="n">
        <f t="shared" si="32"/>
        <v>1.0</v>
      </c>
    </row>
    <row r="111" spans="2:15" ht="15.75" customHeight="1">
      <c r="B111" s="8"/>
      <c r="C111" s="58" t="str">
        <f t="shared" si="3"/>
        <v>居宅療養管理指導</v>
      </c>
      <c r="D111" s="165"/>
      <c r="E111" s="18" t="s">
        <v>48</v>
      </c>
      <c r="F111" s="39" t="n">
        <v>370032.0</v>
      </c>
      <c r="G111" s="40" t="n">
        <v>2.0</v>
      </c>
      <c r="H111" s="80" t="s">
        <v>94</v>
      </c>
      <c r="I111" s="53" t="n">
        <f t="shared" si="30"/>
        <v>15418.0</v>
      </c>
      <c r="J111" s="21" t="n">
        <f t="shared" si="31"/>
        <v>0.0</v>
      </c>
      <c r="K111" s="21" t="n">
        <f t="shared" si="31"/>
        <v>24950.0</v>
      </c>
      <c r="L111" s="22" t="str">
        <f t="shared" si="27"/>
        <v>閾値の範囲内です。</v>
      </c>
      <c r="M111" s="11"/>
      <c r="N111" s="1" t="str">
        <f t="shared" si="28"/>
        <v/>
      </c>
      <c r="O111" s="1" t="n">
        <f t="shared" si="32"/>
        <v>1.0</v>
      </c>
    </row>
    <row r="112" spans="2:15" ht="15.75" customHeight="1">
      <c r="B112" s="8"/>
      <c r="C112" s="58" t="str">
        <f t="shared" si="3"/>
        <v>居宅療養管理指導</v>
      </c>
      <c r="D112" s="166"/>
      <c r="E112" s="23" t="s">
        <v>49</v>
      </c>
      <c r="F112" s="24" t="n">
        <f>SUM(F105:F111)</f>
        <v>773808.0</v>
      </c>
      <c r="G112" s="25" t="n">
        <f>SUM(G105:G111)</f>
        <v>9.0</v>
      </c>
      <c r="H112" s="78" t="s">
        <v>94</v>
      </c>
      <c r="I112" s="54" t="n">
        <f t="shared" si="30"/>
        <v>7164.88888888889</v>
      </c>
      <c r="J112" s="21" t="n">
        <f t="shared" si="31"/>
        <v>0.0</v>
      </c>
      <c r="K112" s="21" t="n">
        <f t="shared" si="31"/>
        <v>20625.0</v>
      </c>
      <c r="L112" s="27" t="str">
        <f t="shared" si="27"/>
        <v>閾値の範囲内です。</v>
      </c>
      <c r="M112" s="11"/>
      <c r="N112" s="1" t="str">
        <f t="shared" si="28"/>
        <v/>
      </c>
    </row>
    <row r="113" spans="2:15" ht="15.75" customHeight="1">
      <c r="B113" s="8"/>
      <c r="C113" s="58" t="str">
        <f t="shared" si="3"/>
        <v>居宅療養管理指導</v>
      </c>
      <c r="D113" s="164" t="s">
        <v>414</v>
      </c>
      <c r="E113" s="15" t="s">
        <v>50</v>
      </c>
      <c r="F113" s="35" t="n">
        <v>0.0</v>
      </c>
      <c r="G113" s="36" t="n">
        <v>0.0</v>
      </c>
      <c r="H113" s="79" t="s">
        <v>94</v>
      </c>
      <c r="I113" s="52" t="str">
        <f>IF(H113="－",IF(ISERROR(F113/G113/12)=TRUE,"－",F113/G113/12),IF(ISERROR(F113/G113/H113/12)=TRUE,"－",F113/G113/H113/12))</f>
        <v>－</v>
      </c>
      <c r="J113" s="16" t="n">
        <f t="shared" si="31"/>
        <v>0.0</v>
      </c>
      <c r="K113" s="16" t="n">
        <f t="shared" si="31"/>
        <v>20195.0</v>
      </c>
      <c r="L113" s="32" t="str">
        <f t="shared" si="27"/>
        <v/>
      </c>
      <c r="M113" s="11"/>
      <c r="N113" s="1" t="str">
        <f t="shared" si="28"/>
        <v/>
      </c>
      <c r="O113" s="1" t="n">
        <f t="shared" ref="O113:O119" si="33">IF(OR(AND(F113="",G113="",H113="－"),AND(F113="",G113="",H113="")),"",1)</f>
        <v>1.0</v>
      </c>
    </row>
    <row r="114" spans="2:15" ht="15.75" customHeight="1">
      <c r="B114" s="8"/>
      <c r="C114" s="58" t="str">
        <f t="shared" si="3"/>
        <v>居宅療養管理指導</v>
      </c>
      <c r="D114" s="165"/>
      <c r="E114" s="30" t="s">
        <v>51</v>
      </c>
      <c r="F114" s="37" t="n">
        <v>122184.0</v>
      </c>
      <c r="G114" s="38" t="n">
        <v>1.0</v>
      </c>
      <c r="H114" s="80" t="s">
        <v>94</v>
      </c>
      <c r="I114" s="55" t="n">
        <f t="shared" si="30"/>
        <v>10182.0</v>
      </c>
      <c r="J114" s="31" t="n">
        <f t="shared" si="31"/>
        <v>0.0</v>
      </c>
      <c r="K114" s="31" t="n">
        <f t="shared" si="31"/>
        <v>18200.0</v>
      </c>
      <c r="L114" s="33" t="str">
        <f t="shared" si="27"/>
        <v>閾値の範囲内です。</v>
      </c>
      <c r="M114" s="11"/>
      <c r="N114" s="1" t="str">
        <f t="shared" si="28"/>
        <v/>
      </c>
      <c r="O114" s="1" t="n">
        <f t="shared" si="33"/>
        <v>1.0</v>
      </c>
    </row>
    <row r="115" spans="2:15" ht="15.75" customHeight="1">
      <c r="B115" s="8"/>
      <c r="C115" s="58" t="str">
        <f t="shared" si="3"/>
        <v>居宅療養管理指導</v>
      </c>
      <c r="D115" s="165"/>
      <c r="E115" s="18" t="s">
        <v>44</v>
      </c>
      <c r="F115" s="39" t="n">
        <v>0.0</v>
      </c>
      <c r="G115" s="40" t="n">
        <v>0.0</v>
      </c>
      <c r="H115" s="80" t="s">
        <v>94</v>
      </c>
      <c r="I115" s="53" t="str">
        <f t="shared" si="30"/>
        <v>－</v>
      </c>
      <c r="J115" s="21" t="n">
        <f t="shared" si="31"/>
        <v>0.0</v>
      </c>
      <c r="K115" s="21" t="n">
        <f t="shared" si="31"/>
        <v>20285.0</v>
      </c>
      <c r="L115" s="22" t="str">
        <f t="shared" si="27"/>
        <v/>
      </c>
      <c r="M115" s="11"/>
      <c r="N115" s="1" t="str">
        <f t="shared" si="28"/>
        <v/>
      </c>
      <c r="O115" s="1" t="n">
        <f t="shared" si="33"/>
        <v>1.0</v>
      </c>
    </row>
    <row r="116" spans="2:15" ht="15.75" customHeight="1">
      <c r="B116" s="8"/>
      <c r="C116" s="58" t="str">
        <f t="shared" si="3"/>
        <v>居宅療養管理指導</v>
      </c>
      <c r="D116" s="165"/>
      <c r="E116" s="18" t="s">
        <v>45</v>
      </c>
      <c r="F116" s="39" t="n">
        <v>134424.0</v>
      </c>
      <c r="G116" s="40" t="n">
        <v>2.0</v>
      </c>
      <c r="H116" s="80" t="s">
        <v>94</v>
      </c>
      <c r="I116" s="53" t="n">
        <f t="shared" si="30"/>
        <v>5601.0</v>
      </c>
      <c r="J116" s="21" t="n">
        <f t="shared" si="31"/>
        <v>0.0</v>
      </c>
      <c r="K116" s="21" t="n">
        <f t="shared" si="31"/>
        <v>21150.0</v>
      </c>
      <c r="L116" s="22" t="str">
        <f t="shared" si="27"/>
        <v>閾値の範囲内です。</v>
      </c>
      <c r="M116" s="11"/>
      <c r="N116" s="1" t="str">
        <f t="shared" si="28"/>
        <v/>
      </c>
      <c r="O116" s="1" t="n">
        <f t="shared" si="33"/>
        <v>1.0</v>
      </c>
    </row>
    <row r="117" spans="2:15" ht="15.75" customHeight="1">
      <c r="B117" s="8"/>
      <c r="C117" s="58" t="str">
        <f t="shared" si="3"/>
        <v>居宅療養管理指導</v>
      </c>
      <c r="D117" s="165"/>
      <c r="E117" s="18" t="s">
        <v>46</v>
      </c>
      <c r="F117" s="39" t="n">
        <v>81432.0</v>
      </c>
      <c r="G117" s="40" t="n">
        <v>2.0</v>
      </c>
      <c r="H117" s="80" t="s">
        <v>94</v>
      </c>
      <c r="I117" s="53" t="n">
        <f t="shared" si="30"/>
        <v>3393.0</v>
      </c>
      <c r="J117" s="21" t="n">
        <f t="shared" si="31"/>
        <v>0.0</v>
      </c>
      <c r="K117" s="21" t="n">
        <f t="shared" si="31"/>
        <v>22210.0</v>
      </c>
      <c r="L117" s="22" t="str">
        <f t="shared" si="27"/>
        <v>閾値の範囲内です。</v>
      </c>
      <c r="M117" s="11"/>
      <c r="N117" s="1" t="str">
        <f t="shared" si="28"/>
        <v/>
      </c>
      <c r="O117" s="1" t="n">
        <f t="shared" si="33"/>
        <v>1.0</v>
      </c>
    </row>
    <row r="118" spans="2:15" ht="15.75" customHeight="1">
      <c r="B118" s="8"/>
      <c r="C118" s="58" t="str">
        <f t="shared" si="3"/>
        <v>居宅療養管理指導</v>
      </c>
      <c r="D118" s="165"/>
      <c r="E118" s="18" t="s">
        <v>47</v>
      </c>
      <c r="F118" s="39" t="n">
        <v>65736.0</v>
      </c>
      <c r="G118" s="40" t="n">
        <v>2.0</v>
      </c>
      <c r="H118" s="80" t="s">
        <v>94</v>
      </c>
      <c r="I118" s="53" t="n">
        <f t="shared" si="30"/>
        <v>2739.0</v>
      </c>
      <c r="J118" s="21" t="n">
        <f t="shared" si="31"/>
        <v>0.0</v>
      </c>
      <c r="K118" s="21" t="n">
        <f t="shared" si="31"/>
        <v>23085.0</v>
      </c>
      <c r="L118" s="22" t="str">
        <f t="shared" si="27"/>
        <v>閾値の範囲内です。</v>
      </c>
      <c r="M118" s="11"/>
      <c r="N118" s="1" t="str">
        <f t="shared" si="28"/>
        <v/>
      </c>
      <c r="O118" s="1" t="n">
        <f t="shared" si="33"/>
        <v>1.0</v>
      </c>
    </row>
    <row r="119" spans="2:15" ht="15.75" customHeight="1">
      <c r="B119" s="8"/>
      <c r="C119" s="58" t="str">
        <f t="shared" si="3"/>
        <v>居宅療養管理指導</v>
      </c>
      <c r="D119" s="165"/>
      <c r="E119" s="18" t="s">
        <v>48</v>
      </c>
      <c r="F119" s="39" t="n">
        <v>370032.0</v>
      </c>
      <c r="G119" s="40" t="n">
        <v>2.0</v>
      </c>
      <c r="H119" s="80" t="s">
        <v>94</v>
      </c>
      <c r="I119" s="53" t="n">
        <f t="shared" si="30"/>
        <v>15418.0</v>
      </c>
      <c r="J119" s="21" t="n">
        <f t="shared" si="31"/>
        <v>0.0</v>
      </c>
      <c r="K119" s="21" t="n">
        <f t="shared" si="31"/>
        <v>24950.0</v>
      </c>
      <c r="L119" s="22" t="str">
        <f t="shared" si="27"/>
        <v>閾値の範囲内です。</v>
      </c>
      <c r="M119" s="11"/>
      <c r="N119" s="1" t="str">
        <f t="shared" si="28"/>
        <v/>
      </c>
      <c r="O119" s="1" t="n">
        <f t="shared" si="33"/>
        <v>1.0</v>
      </c>
    </row>
    <row r="120" spans="2:15" ht="15.75" customHeight="1">
      <c r="B120" s="10"/>
      <c r="C120" s="59" t="str">
        <f t="shared" si="3"/>
        <v>居宅療養管理指導</v>
      </c>
      <c r="D120" s="166"/>
      <c r="E120" s="23" t="s">
        <v>49</v>
      </c>
      <c r="F120" s="24" t="n">
        <f>SUM(F113:F119)</f>
        <v>773808.0</v>
      </c>
      <c r="G120" s="25" t="n">
        <f>SUM(G113:G119)</f>
        <v>9.0</v>
      </c>
      <c r="H120" s="78" t="s">
        <v>94</v>
      </c>
      <c r="I120" s="54" t="n">
        <f t="shared" si="30"/>
        <v>7164.88888888889</v>
      </c>
      <c r="J120" s="26" t="n">
        <f t="shared" si="31"/>
        <v>0.0</v>
      </c>
      <c r="K120" s="26" t="n">
        <f t="shared" si="31"/>
        <v>20625.0</v>
      </c>
      <c r="L120" s="27" t="str">
        <f t="shared" si="27"/>
        <v>閾値の範囲内です。</v>
      </c>
      <c r="M120" s="11"/>
      <c r="N120" s="1" t="str">
        <f t="shared" si="28"/>
        <v/>
      </c>
    </row>
    <row r="121" spans="2:15" ht="15.75" customHeight="1">
      <c r="B121" s="6">
        <v>6</v>
      </c>
      <c r="C121" s="7" t="s">
        <v>9</v>
      </c>
      <c r="D121" s="165" t="s">
        <v>416</v>
      </c>
      <c r="E121" s="15" t="s">
        <v>44</v>
      </c>
      <c r="F121" s="35" t="n">
        <v>3.8255616E7</v>
      </c>
      <c r="G121" s="36" t="n">
        <v>56.0</v>
      </c>
      <c r="H121" s="41" t="n">
        <v>8.0</v>
      </c>
      <c r="I121" s="52" t="n">
        <f t="shared" si="30"/>
        <v>7116.0</v>
      </c>
      <c r="J121" s="16" t="n">
        <f>IF(data!I94&lt;0,0,data!I94)</f>
        <v>5270.0</v>
      </c>
      <c r="K121" s="16" t="n">
        <f>IF(data!J94&lt;0,0,data!J94)</f>
        <v>7940.0</v>
      </c>
      <c r="L121" s="17" t="str">
        <f t="shared" si="27"/>
        <v>閾値の範囲内です。</v>
      </c>
      <c r="M121" s="11"/>
      <c r="N121" s="1" t="str">
        <f t="shared" si="28"/>
        <v/>
      </c>
      <c r="O121" s="1" t="n">
        <f t="shared" ref="O121:O125" si="34">IF(OR(AND(F121="",G121="",H121="－"),AND(F121="",G121="",H121="")),"",1)</f>
        <v>1.0</v>
      </c>
    </row>
    <row r="122" spans="2:15" ht="15.75" customHeight="1">
      <c r="B122" s="8"/>
      <c r="C122" s="58" t="str">
        <f t="shared" si="3"/>
        <v>通所介護</v>
      </c>
      <c r="D122" s="165"/>
      <c r="E122" s="18" t="s">
        <v>45</v>
      </c>
      <c r="F122" s="39" t="n">
        <v>5.10528648E7</v>
      </c>
      <c r="G122" s="40" t="n">
        <v>53.0</v>
      </c>
      <c r="H122" s="42" t="n">
        <v>9.8</v>
      </c>
      <c r="I122" s="53" t="n">
        <f t="shared" si="30"/>
        <v>8190.999999999999</v>
      </c>
      <c r="J122" s="21" t="n">
        <f>IF(data!I95&lt;0,0,data!I95)</f>
        <v>6145.0</v>
      </c>
      <c r="K122" s="21" t="n">
        <f>IF(data!J95&lt;0,0,data!J95)</f>
        <v>9140.0</v>
      </c>
      <c r="L122" s="22" t="str">
        <f t="shared" si="27"/>
        <v>閾値の範囲内です。</v>
      </c>
      <c r="M122" s="11"/>
      <c r="N122" s="1" t="str">
        <f>IF(OR(I122="－",AND(J122="－",K122="－")),"",IF(OR(I122&lt;J122,I122&gt;K122),1,""))</f>
        <v/>
      </c>
      <c r="O122" s="1" t="n">
        <f t="shared" si="34"/>
        <v>1.0</v>
      </c>
    </row>
    <row r="123" spans="2:15" ht="15.75" customHeight="1">
      <c r="B123" s="8"/>
      <c r="C123" s="58" t="str">
        <f t="shared" si="3"/>
        <v>通所介護</v>
      </c>
      <c r="D123" s="165"/>
      <c r="E123" s="18" t="s">
        <v>46</v>
      </c>
      <c r="F123" s="39" t="n">
        <v>4.0358388E7</v>
      </c>
      <c r="G123" s="40" t="n">
        <v>35.0</v>
      </c>
      <c r="H123" s="42" t="n">
        <v>10.1</v>
      </c>
      <c r="I123" s="53" t="n">
        <f t="shared" si="30"/>
        <v>9514.000000000002</v>
      </c>
      <c r="J123" s="21" t="n">
        <f>IF(data!I96&lt;0,0,data!I96)</f>
        <v>6945.0</v>
      </c>
      <c r="K123" s="21" t="n">
        <f>IF(data!J96&lt;0,0,data!J96)</f>
        <v>10580.0</v>
      </c>
      <c r="L123" s="22" t="str">
        <f t="shared" si="27"/>
        <v>閾値の範囲内です。</v>
      </c>
      <c r="M123" s="11"/>
      <c r="N123" s="1" t="str">
        <f t="shared" ref="N123:N186" si="35">IF(OR(I123="－",AND(J123="－",K123="－")),"",IF(OR(I123&lt;J123,I123&gt;K123),1,""))</f>
        <v/>
      </c>
      <c r="O123" s="1" t="n">
        <f t="shared" si="34"/>
        <v>1.0</v>
      </c>
    </row>
    <row r="124" spans="2:15" ht="15.75" customHeight="1">
      <c r="B124" s="8"/>
      <c r="C124" s="58" t="str">
        <f t="shared" si="3"/>
        <v>通所介護</v>
      </c>
      <c r="D124" s="165"/>
      <c r="E124" s="18" t="s">
        <v>47</v>
      </c>
      <c r="F124" s="39" t="n">
        <v>2.6407056E7</v>
      </c>
      <c r="G124" s="40" t="n">
        <v>20.0</v>
      </c>
      <c r="H124" s="42" t="n">
        <v>10.1</v>
      </c>
      <c r="I124" s="53" t="n">
        <f t="shared" si="30"/>
        <v>10894.000000000002</v>
      </c>
      <c r="J124" s="21" t="n">
        <f>IF(data!I97&lt;0,0,data!I97)</f>
        <v>7585.0</v>
      </c>
      <c r="K124" s="21" t="n">
        <f>IF(data!J97&lt;0,0,data!J97)</f>
        <v>11865.0</v>
      </c>
      <c r="L124" s="22" t="str">
        <f t="shared" si="27"/>
        <v>閾値の範囲内です。</v>
      </c>
      <c r="M124" s="11"/>
      <c r="N124" s="1" t="str">
        <f t="shared" si="35"/>
        <v/>
      </c>
      <c r="O124" s="1" t="n">
        <f t="shared" si="34"/>
        <v>1.0</v>
      </c>
    </row>
    <row r="125" spans="2:15" ht="15.75" customHeight="1">
      <c r="B125" s="8"/>
      <c r="C125" s="58" t="str">
        <f t="shared" si="3"/>
        <v>通所介護</v>
      </c>
      <c r="D125" s="165"/>
      <c r="E125" s="18" t="s">
        <v>48</v>
      </c>
      <c r="F125" s="39" t="n">
        <v>7292985.6</v>
      </c>
      <c r="G125" s="40" t="n">
        <v>4.0</v>
      </c>
      <c r="H125" s="42" t="n">
        <v>12.4</v>
      </c>
      <c r="I125" s="53" t="n">
        <f t="shared" si="30"/>
        <v>12253.0</v>
      </c>
      <c r="J125" s="21" t="n">
        <f>IF(data!I98&lt;0,0,data!I98)</f>
        <v>8085.0</v>
      </c>
      <c r="K125" s="21" t="n">
        <f>IF(data!J98&lt;0,0,data!J98)</f>
        <v>13460.0</v>
      </c>
      <c r="L125" s="22" t="str">
        <f t="shared" si="27"/>
        <v>閾値の範囲内です。</v>
      </c>
      <c r="M125" s="11"/>
      <c r="N125" s="1" t="str">
        <f t="shared" si="35"/>
        <v/>
      </c>
      <c r="O125" s="1" t="n">
        <f t="shared" si="34"/>
        <v>1.0</v>
      </c>
    </row>
    <row r="126" spans="2:15" ht="15.75" customHeight="1">
      <c r="B126" s="8"/>
      <c r="C126" s="58" t="str">
        <f t="shared" si="3"/>
        <v>通所介護</v>
      </c>
      <c r="D126" s="166"/>
      <c r="E126" s="23" t="s">
        <v>49</v>
      </c>
      <c r="F126" s="24" t="n">
        <f>SUM(F121:F125)</f>
        <v>1.633669104E8</v>
      </c>
      <c r="G126" s="25" t="n">
        <f>SUM(G121:G125)</f>
        <v>168.0</v>
      </c>
      <c r="H126" s="29" t="n">
        <f>IF(ISERROR((G121*H121+G122*H122+G123*H123+G124*H124+G125*H125)/G126)=TRUE,"－",(G121*H121+G122*H122+G123*H123+G124*H124+G125*H125)/G126)</f>
        <v>9.360119047619047</v>
      </c>
      <c r="I126" s="54" t="n">
        <f t="shared" si="30"/>
        <v>8657.493926868045</v>
      </c>
      <c r="J126" s="26" t="n">
        <f>IF(data!I99&lt;0,0,data!I99)</f>
        <v>6305.0</v>
      </c>
      <c r="K126" s="26" t="n">
        <f>IF(data!J99&lt;0,0,data!J99)</f>
        <v>9470.0</v>
      </c>
      <c r="L126" s="27" t="str">
        <f t="shared" si="27"/>
        <v>閾値の範囲内です。</v>
      </c>
      <c r="M126" s="11"/>
      <c r="N126" s="1" t="str">
        <f t="shared" si="35"/>
        <v/>
      </c>
    </row>
    <row r="127" spans="2:15" ht="15.75" customHeight="1">
      <c r="B127" s="8"/>
      <c r="C127" s="58" t="str">
        <f t="shared" si="3"/>
        <v>通所介護</v>
      </c>
      <c r="D127" s="165" t="s">
        <v>415</v>
      </c>
      <c r="E127" s="15" t="s">
        <v>44</v>
      </c>
      <c r="F127" s="35" t="n">
        <v>3.6889344E7</v>
      </c>
      <c r="G127" s="36" t="n">
        <v>54.0</v>
      </c>
      <c r="H127" s="41" t="n">
        <v>8.0</v>
      </c>
      <c r="I127" s="52" t="n">
        <f t="shared" si="30"/>
        <v>7116.0</v>
      </c>
      <c r="J127" s="16" t="n">
        <f t="shared" ref="J127:K138" si="36">J121</f>
        <v>5270.0</v>
      </c>
      <c r="K127" s="16" t="n">
        <f t="shared" si="36"/>
        <v>7940.0</v>
      </c>
      <c r="L127" s="17" t="str">
        <f t="shared" si="27"/>
        <v>閾値の範囲内です。</v>
      </c>
      <c r="M127" s="11"/>
      <c r="N127" s="1" t="str">
        <f t="shared" si="35"/>
        <v/>
      </c>
      <c r="O127" s="1" t="n">
        <f t="shared" ref="O127:O131" si="37">IF(OR(AND(F127="",G127="",H127="－"),AND(F127="",G127="",H127="")),"",1)</f>
        <v>1.0</v>
      </c>
    </row>
    <row r="128" spans="2:15" ht="15.75" customHeight="1">
      <c r="B128" s="8"/>
      <c r="C128" s="58" t="str">
        <f t="shared" si="3"/>
        <v>通所介護</v>
      </c>
      <c r="D128" s="165"/>
      <c r="E128" s="18" t="s">
        <v>45</v>
      </c>
      <c r="F128" s="39" t="n">
        <v>5.00896032E7</v>
      </c>
      <c r="G128" s="40" t="n">
        <v>52.0</v>
      </c>
      <c r="H128" s="42" t="n">
        <v>9.8</v>
      </c>
      <c r="I128" s="53" t="n">
        <f t="shared" si="30"/>
        <v>8191.0</v>
      </c>
      <c r="J128" s="21" t="n">
        <f t="shared" si="36"/>
        <v>6145.0</v>
      </c>
      <c r="K128" s="21" t="n">
        <f t="shared" si="36"/>
        <v>9140.0</v>
      </c>
      <c r="L128" s="22" t="str">
        <f t="shared" si="27"/>
        <v>閾値の範囲内です。</v>
      </c>
      <c r="M128" s="11"/>
      <c r="N128" s="1" t="str">
        <f t="shared" si="35"/>
        <v/>
      </c>
      <c r="O128" s="1" t="n">
        <f t="shared" si="37"/>
        <v>1.0</v>
      </c>
    </row>
    <row r="129" spans="2:15" ht="15.75" customHeight="1">
      <c r="B129" s="8"/>
      <c r="C129" s="58" t="str">
        <f t="shared" si="3"/>
        <v>通所介護</v>
      </c>
      <c r="D129" s="165"/>
      <c r="E129" s="18" t="s">
        <v>46</v>
      </c>
      <c r="F129" s="39" t="n">
        <v>4.0358388E7</v>
      </c>
      <c r="G129" s="40" t="n">
        <v>35.0</v>
      </c>
      <c r="H129" s="42" t="n">
        <v>10.1</v>
      </c>
      <c r="I129" s="53" t="n">
        <f t="shared" si="30"/>
        <v>9514.000000000002</v>
      </c>
      <c r="J129" s="21" t="n">
        <f t="shared" si="36"/>
        <v>6945.0</v>
      </c>
      <c r="K129" s="21" t="n">
        <f t="shared" si="36"/>
        <v>10580.0</v>
      </c>
      <c r="L129" s="22" t="str">
        <f t="shared" si="27"/>
        <v>閾値の範囲内です。</v>
      </c>
      <c r="M129" s="11"/>
      <c r="N129" s="1" t="str">
        <f t="shared" si="35"/>
        <v/>
      </c>
      <c r="O129" s="1" t="n">
        <f t="shared" si="37"/>
        <v>1.0</v>
      </c>
    </row>
    <row r="130" spans="2:15" ht="15.75" customHeight="1">
      <c r="B130" s="8"/>
      <c r="C130" s="58" t="str">
        <f t="shared" si="3"/>
        <v>通所介護</v>
      </c>
      <c r="D130" s="165"/>
      <c r="E130" s="18" t="s">
        <v>47</v>
      </c>
      <c r="F130" s="39" t="n">
        <v>2.50867032E7</v>
      </c>
      <c r="G130" s="40" t="n">
        <v>19.0</v>
      </c>
      <c r="H130" s="42" t="n">
        <v>10.1</v>
      </c>
      <c r="I130" s="53" t="n">
        <f t="shared" si="30"/>
        <v>10894.000000000002</v>
      </c>
      <c r="J130" s="21" t="n">
        <f t="shared" si="36"/>
        <v>7585.0</v>
      </c>
      <c r="K130" s="21" t="n">
        <f t="shared" si="36"/>
        <v>11865.0</v>
      </c>
      <c r="L130" s="22" t="str">
        <f t="shared" si="27"/>
        <v>閾値の範囲内です。</v>
      </c>
      <c r="M130" s="11"/>
      <c r="N130" s="1" t="str">
        <f t="shared" si="35"/>
        <v/>
      </c>
      <c r="O130" s="1" t="n">
        <f t="shared" si="37"/>
        <v>1.0</v>
      </c>
    </row>
    <row r="131" spans="2:15" ht="15.75" customHeight="1">
      <c r="B131" s="8"/>
      <c r="C131" s="58" t="str">
        <f t="shared" si="3"/>
        <v>通所介護</v>
      </c>
      <c r="D131" s="165"/>
      <c r="E131" s="18" t="s">
        <v>48</v>
      </c>
      <c r="F131" s="39" t="n">
        <v>7292985.6</v>
      </c>
      <c r="G131" s="40" t="n">
        <v>4.0</v>
      </c>
      <c r="H131" s="42" t="n">
        <v>12.4</v>
      </c>
      <c r="I131" s="53" t="n">
        <f t="shared" si="30"/>
        <v>12253.0</v>
      </c>
      <c r="J131" s="21" t="n">
        <f t="shared" si="36"/>
        <v>8085.0</v>
      </c>
      <c r="K131" s="21" t="n">
        <f t="shared" si="36"/>
        <v>13460.0</v>
      </c>
      <c r="L131" s="22" t="str">
        <f t="shared" si="27"/>
        <v>閾値の範囲内です。</v>
      </c>
      <c r="M131" s="11"/>
      <c r="N131" s="1" t="str">
        <f t="shared" si="35"/>
        <v/>
      </c>
      <c r="O131" s="1" t="n">
        <f t="shared" si="37"/>
        <v>1.0</v>
      </c>
    </row>
    <row r="132" spans="2:15" ht="15.75" customHeight="1">
      <c r="B132" s="8"/>
      <c r="C132" s="58" t="str">
        <f t="shared" si="3"/>
        <v>通所介護</v>
      </c>
      <c r="D132" s="166"/>
      <c r="E132" s="23" t="s">
        <v>49</v>
      </c>
      <c r="F132" s="24" t="n">
        <f>SUM(F127:F131)</f>
        <v>1.59717024E8</v>
      </c>
      <c r="G132" s="25" t="n">
        <f>SUM(G127:G131)</f>
        <v>164.0</v>
      </c>
      <c r="H132" s="29" t="n">
        <f>IF(ISERROR((G127*H127+G128*H128+G129*H129+G130*H130+G131*H131)/G132)=TRUE,"－",(G127*H127+G128*H128+G129*H129+G130*H130+G131*H131)/G132)</f>
        <v>9.36951219512195</v>
      </c>
      <c r="I132" s="54" t="n">
        <f t="shared" si="30"/>
        <v>8661.81960171808</v>
      </c>
      <c r="J132" s="21" t="n">
        <f t="shared" si="36"/>
        <v>6305.0</v>
      </c>
      <c r="K132" s="21" t="n">
        <f t="shared" si="36"/>
        <v>9470.0</v>
      </c>
      <c r="L132" s="27" t="str">
        <f t="shared" si="27"/>
        <v>閾値の範囲内です。</v>
      </c>
      <c r="M132" s="11"/>
      <c r="N132" s="1" t="str">
        <f t="shared" si="35"/>
        <v/>
      </c>
    </row>
    <row r="133" spans="2:15" ht="15.75" customHeight="1">
      <c r="B133" s="8"/>
      <c r="C133" s="58" t="str">
        <f t="shared" si="3"/>
        <v>通所介護</v>
      </c>
      <c r="D133" s="164" t="s">
        <v>414</v>
      </c>
      <c r="E133" s="15" t="s">
        <v>44</v>
      </c>
      <c r="F133" s="35" t="n">
        <v>3.6206208E7</v>
      </c>
      <c r="G133" s="36" t="n">
        <v>53.0</v>
      </c>
      <c r="H133" s="41" t="n">
        <v>8.0</v>
      </c>
      <c r="I133" s="52" t="n">
        <f t="shared" si="30"/>
        <v>7116.0</v>
      </c>
      <c r="J133" s="16" t="n">
        <f t="shared" si="36"/>
        <v>5270.0</v>
      </c>
      <c r="K133" s="16" t="n">
        <f t="shared" si="36"/>
        <v>7940.0</v>
      </c>
      <c r="L133" s="17" t="str">
        <f t="shared" si="27"/>
        <v>閾値の範囲内です。</v>
      </c>
      <c r="M133" s="11"/>
      <c r="N133" s="1" t="str">
        <f t="shared" si="35"/>
        <v/>
      </c>
      <c r="O133" s="1" t="n">
        <f t="shared" ref="O133:O137" si="38">IF(OR(AND(F133="",G133="",H133="－"),AND(F133="",G133="",H133="")),"",1)</f>
        <v>1.0</v>
      </c>
    </row>
    <row r="134" spans="2:15" ht="15.75" customHeight="1">
      <c r="B134" s="8"/>
      <c r="C134" s="58" t="str">
        <f t="shared" si="3"/>
        <v>通所介護</v>
      </c>
      <c r="D134" s="165"/>
      <c r="E134" s="18" t="s">
        <v>45</v>
      </c>
      <c r="F134" s="39" t="n">
        <v>5.00896032E7</v>
      </c>
      <c r="G134" s="40" t="n">
        <v>52.0</v>
      </c>
      <c r="H134" s="42" t="n">
        <v>9.8</v>
      </c>
      <c r="I134" s="53" t="n">
        <f t="shared" si="30"/>
        <v>8191.0</v>
      </c>
      <c r="J134" s="21" t="n">
        <f t="shared" si="36"/>
        <v>6145.0</v>
      </c>
      <c r="K134" s="21" t="n">
        <f t="shared" si="36"/>
        <v>9140.0</v>
      </c>
      <c r="L134" s="22" t="str">
        <f t="shared" si="27"/>
        <v>閾値の範囲内です。</v>
      </c>
      <c r="M134" s="11"/>
      <c r="N134" s="1" t="str">
        <f t="shared" si="35"/>
        <v/>
      </c>
      <c r="O134" s="1" t="n">
        <f t="shared" si="38"/>
        <v>1.0</v>
      </c>
    </row>
    <row r="135" spans="2:15" ht="15.75" customHeight="1">
      <c r="B135" s="8"/>
      <c r="C135" s="58" t="str">
        <f t="shared" si="3"/>
        <v>通所介護</v>
      </c>
      <c r="D135" s="165"/>
      <c r="E135" s="18" t="s">
        <v>46</v>
      </c>
      <c r="F135" s="39" t="n">
        <v>3.92052912E7</v>
      </c>
      <c r="G135" s="40" t="n">
        <v>34.0</v>
      </c>
      <c r="H135" s="42" t="n">
        <v>10.1</v>
      </c>
      <c r="I135" s="53" t="n">
        <f t="shared" si="30"/>
        <v>9514.000000000002</v>
      </c>
      <c r="J135" s="21" t="n">
        <f t="shared" si="36"/>
        <v>6945.0</v>
      </c>
      <c r="K135" s="21" t="n">
        <f t="shared" si="36"/>
        <v>10580.0</v>
      </c>
      <c r="L135" s="22" t="str">
        <f t="shared" si="27"/>
        <v>閾値の範囲内です。</v>
      </c>
      <c r="M135" s="11"/>
      <c r="N135" s="1" t="str">
        <f t="shared" si="35"/>
        <v/>
      </c>
      <c r="O135" s="1" t="n">
        <f t="shared" si="38"/>
        <v>1.0</v>
      </c>
    </row>
    <row r="136" spans="2:15" ht="15.75" customHeight="1">
      <c r="B136" s="8"/>
      <c r="C136" s="58" t="str">
        <f t="shared" si="3"/>
        <v>通所介護</v>
      </c>
      <c r="D136" s="165"/>
      <c r="E136" s="18" t="s">
        <v>47</v>
      </c>
      <c r="F136" s="39" t="n">
        <v>2.50867032E7</v>
      </c>
      <c r="G136" s="40" t="n">
        <v>19.0</v>
      </c>
      <c r="H136" s="42" t="n">
        <v>10.1</v>
      </c>
      <c r="I136" s="53" t="n">
        <f t="shared" si="30"/>
        <v>10894.000000000002</v>
      </c>
      <c r="J136" s="21" t="n">
        <f t="shared" si="36"/>
        <v>7585.0</v>
      </c>
      <c r="K136" s="21" t="n">
        <f t="shared" si="36"/>
        <v>11865.0</v>
      </c>
      <c r="L136" s="22" t="str">
        <f t="shared" si="27"/>
        <v>閾値の範囲内です。</v>
      </c>
      <c r="M136" s="11"/>
      <c r="N136" s="1" t="str">
        <f t="shared" si="35"/>
        <v/>
      </c>
      <c r="O136" s="1" t="n">
        <f t="shared" si="38"/>
        <v>1.0</v>
      </c>
    </row>
    <row r="137" spans="2:15" ht="15.75" customHeight="1">
      <c r="B137" s="8"/>
      <c r="C137" s="58" t="str">
        <f t="shared" si="3"/>
        <v>通所介護</v>
      </c>
      <c r="D137" s="165"/>
      <c r="E137" s="18" t="s">
        <v>48</v>
      </c>
      <c r="F137" s="39" t="n">
        <v>7292985.6</v>
      </c>
      <c r="G137" s="40" t="n">
        <v>4.0</v>
      </c>
      <c r="H137" s="42" t="n">
        <v>12.4</v>
      </c>
      <c r="I137" s="53" t="n">
        <f t="shared" si="30"/>
        <v>12253.0</v>
      </c>
      <c r="J137" s="21" t="n">
        <f t="shared" si="36"/>
        <v>8085.0</v>
      </c>
      <c r="K137" s="21" t="n">
        <f t="shared" si="36"/>
        <v>13460.0</v>
      </c>
      <c r="L137" s="22" t="str">
        <f t="shared" si="27"/>
        <v>閾値の範囲内です。</v>
      </c>
      <c r="M137" s="11"/>
      <c r="N137" s="1" t="str">
        <f t="shared" si="35"/>
        <v/>
      </c>
      <c r="O137" s="1" t="n">
        <f t="shared" si="38"/>
        <v>1.0</v>
      </c>
    </row>
    <row r="138" spans="2:15" ht="15.75" customHeight="1">
      <c r="B138" s="10"/>
      <c r="C138" s="58" t="str">
        <f t="shared" si="3"/>
        <v>通所介護</v>
      </c>
      <c r="D138" s="166"/>
      <c r="E138" s="23" t="s">
        <v>49</v>
      </c>
      <c r="F138" s="24" t="n">
        <f>SUM(F133:F137)</f>
        <v>1.578807912E8</v>
      </c>
      <c r="G138" s="28" t="n">
        <f>SUM(G133:G137)</f>
        <v>162.0</v>
      </c>
      <c r="H138" s="29" t="n">
        <f>IF(ISERROR((G133*H133+G134*H134+G135*H135+G136*H136+G137*H137)/G138)=TRUE,"－",(G133*H133+G134*H134+G135*H135+G136*H136+G137*H137)/G138)</f>
        <v>9.373456790123457</v>
      </c>
      <c r="I138" s="54" t="n">
        <f t="shared" si="30"/>
        <v>8664.295423114914</v>
      </c>
      <c r="J138" s="21" t="n">
        <f t="shared" si="36"/>
        <v>6305.0</v>
      </c>
      <c r="K138" s="21" t="n">
        <f t="shared" si="36"/>
        <v>9470.0</v>
      </c>
      <c r="L138" s="27" t="str">
        <f t="shared" si="27"/>
        <v>閾値の範囲内です。</v>
      </c>
      <c r="M138" s="11"/>
      <c r="N138" s="1" t="str">
        <f t="shared" si="35"/>
        <v/>
      </c>
    </row>
    <row r="139" spans="2:15" ht="15.75" customHeight="1">
      <c r="B139" s="6">
        <v>7</v>
      </c>
      <c r="C139" s="7" t="s">
        <v>10</v>
      </c>
      <c r="D139" s="164" t="s">
        <v>416</v>
      </c>
      <c r="E139" s="15" t="s">
        <v>50</v>
      </c>
      <c r="F139" s="35" t="n">
        <v>4273800.0</v>
      </c>
      <c r="G139" s="36" t="n">
        <v>17.0</v>
      </c>
      <c r="H139" s="79" t="s">
        <v>94</v>
      </c>
      <c r="I139" s="52" t="n">
        <f>IF(H139="－",IF(ISERROR(F139/G139/12)=TRUE,"－",F139/G139/12),IF(ISERROR(F139/G139/H139/12)=TRUE,"－",F139/G139/H139/12))</f>
        <v>20950.0</v>
      </c>
      <c r="J139" s="16" t="n">
        <f>IF(data!I100&lt;0,0,data!I100)</f>
        <v>19695.0</v>
      </c>
      <c r="K139" s="16" t="n">
        <f>IF(data!J100&lt;0,0,data!J100)</f>
        <v>25785.0</v>
      </c>
      <c r="L139" s="32" t="str">
        <f t="shared" ref="L139:L186" si="39">IF(I139="－","",IF(I139&lt;J139,"下限値を\"&amp;TEXT(ROUND(J139-I139,0),"#,##0")&amp;"下回っています。",IF(I139&gt;K139,"上限値を\"&amp;TEXT(ROUND(I139-K139,0),"#,##0")&amp;"上回っています。","閾値の範囲内です。")))</f>
        <v>閾値の範囲内です。</v>
      </c>
      <c r="M139" s="11"/>
      <c r="N139" s="1" t="str">
        <f t="shared" si="35"/>
        <v/>
      </c>
      <c r="O139" s="1" t="n">
        <f t="shared" ref="O139:O145" si="40">IF(OR(AND(F139="",G139="",H139="－"),AND(F139="",G139="",H139="")),"",1)</f>
        <v>1.0</v>
      </c>
    </row>
    <row r="140" spans="2:15" ht="15.75" customHeight="1">
      <c r="B140" s="8"/>
      <c r="C140" s="58" t="str">
        <f t="shared" si="3"/>
        <v>通所リハビリテーション</v>
      </c>
      <c r="D140" s="165"/>
      <c r="E140" s="30" t="s">
        <v>51</v>
      </c>
      <c r="F140" s="37" t="n">
        <v>1.0652772E7</v>
      </c>
      <c r="G140" s="38" t="n">
        <v>23.0</v>
      </c>
      <c r="H140" s="81" t="s">
        <v>94</v>
      </c>
      <c r="I140" s="55" t="n">
        <f t="shared" ref="I140:I186" si="41">IF(H140="－",IF(ISERROR(F140/G140/12)=TRUE,"－",F140/G140/12),IF(ISERROR(F140/G140/H140/12)=TRUE,"－",F140/G140/H140/12))</f>
        <v>38597.0</v>
      </c>
      <c r="J140" s="31" t="n">
        <f>IF(data!I101&lt;0,0,data!I101)</f>
        <v>37100.0</v>
      </c>
      <c r="K140" s="31" t="n">
        <f>IF(data!J101&lt;0,0,data!J101)</f>
        <v>47270.0</v>
      </c>
      <c r="L140" s="33" t="str">
        <f t="shared" si="39"/>
        <v>閾値の範囲内です。</v>
      </c>
      <c r="M140" s="11"/>
      <c r="N140" s="1" t="str">
        <f t="shared" si="35"/>
        <v/>
      </c>
      <c r="O140" s="1" t="n">
        <f t="shared" si="40"/>
        <v>1.0</v>
      </c>
    </row>
    <row r="141" spans="2:15" ht="15.75" customHeight="1">
      <c r="B141" s="8"/>
      <c r="C141" s="58" t="str">
        <f t="shared" si="3"/>
        <v>通所リハビリテーション</v>
      </c>
      <c r="D141" s="165"/>
      <c r="E141" s="15" t="s">
        <v>44</v>
      </c>
      <c r="F141" s="35" t="n">
        <v>6286464.0</v>
      </c>
      <c r="G141" s="36" t="n">
        <v>15.0</v>
      </c>
      <c r="H141" s="41" t="n">
        <v>6.4</v>
      </c>
      <c r="I141" s="52" t="n">
        <f t="shared" si="41"/>
        <v>5456.999999999999</v>
      </c>
      <c r="J141" s="16" t="n">
        <f>IF(data!I102&lt;0,0,data!I102)</f>
        <v>4900.0</v>
      </c>
      <c r="K141" s="16" t="n">
        <f>IF(data!J102&lt;0,0,data!J102)</f>
        <v>9485.0</v>
      </c>
      <c r="L141" s="17" t="str">
        <f t="shared" si="39"/>
        <v>閾値の範囲内です。</v>
      </c>
      <c r="M141" s="11"/>
      <c r="N141" s="1" t="str">
        <f t="shared" si="35"/>
        <v/>
      </c>
      <c r="O141" s="1" t="n">
        <f t="shared" si="40"/>
        <v>1.0</v>
      </c>
    </row>
    <row r="142" spans="2:15" ht="15.75" customHeight="1">
      <c r="B142" s="8"/>
      <c r="C142" s="58" t="str">
        <f t="shared" si="3"/>
        <v>通所リハビリテーション</v>
      </c>
      <c r="D142" s="165"/>
      <c r="E142" s="18" t="s">
        <v>45</v>
      </c>
      <c r="F142" s="39" t="n">
        <v>1376726.4</v>
      </c>
      <c r="G142" s="40" t="n">
        <v>3.0</v>
      </c>
      <c r="H142" s="42" t="n">
        <v>5.6</v>
      </c>
      <c r="I142" s="53" t="n">
        <f t="shared" si="41"/>
        <v>6829.0</v>
      </c>
      <c r="J142" s="21" t="n">
        <f>IF(data!I103&lt;0,0,data!I103)</f>
        <v>6125.0</v>
      </c>
      <c r="K142" s="21" t="n">
        <f>IF(data!J103&lt;0,0,data!J103)</f>
        <v>10795.0</v>
      </c>
      <c r="L142" s="22" t="str">
        <f t="shared" si="39"/>
        <v>閾値の範囲内です。</v>
      </c>
      <c r="M142" s="11"/>
      <c r="N142" s="1" t="str">
        <f t="shared" si="35"/>
        <v/>
      </c>
      <c r="O142" s="1" t="n">
        <f t="shared" si="40"/>
        <v>1.0</v>
      </c>
    </row>
    <row r="143" spans="2:15" ht="15.75" customHeight="1">
      <c r="B143" s="8"/>
      <c r="C143" s="58" t="str">
        <f t="shared" si="3"/>
        <v>通所リハビリテーション</v>
      </c>
      <c r="D143" s="165"/>
      <c r="E143" s="18" t="s">
        <v>46</v>
      </c>
      <c r="F143" s="39" t="n">
        <v>5324400.0</v>
      </c>
      <c r="G143" s="40" t="n">
        <v>6.0</v>
      </c>
      <c r="H143" s="42" t="n">
        <v>8.5</v>
      </c>
      <c r="I143" s="53" t="n">
        <f t="shared" si="41"/>
        <v>8700.0</v>
      </c>
      <c r="J143" s="21" t="n">
        <f>IF(data!I104&lt;0,0,data!I104)</f>
        <v>7340.0</v>
      </c>
      <c r="K143" s="21" t="n">
        <f>IF(data!J104&lt;0,0,data!J104)</f>
        <v>12410.0</v>
      </c>
      <c r="L143" s="22" t="str">
        <f t="shared" si="39"/>
        <v>閾値の範囲内です。</v>
      </c>
      <c r="M143" s="11"/>
      <c r="N143" s="1" t="str">
        <f t="shared" si="35"/>
        <v/>
      </c>
      <c r="O143" s="1" t="n">
        <f t="shared" si="40"/>
        <v>1.0</v>
      </c>
    </row>
    <row r="144" spans="2:15" ht="15.75" customHeight="1">
      <c r="B144" s="8"/>
      <c r="C144" s="58" t="str">
        <f t="shared" si="3"/>
        <v>通所リハビリテーション</v>
      </c>
      <c r="D144" s="165"/>
      <c r="E144" s="18" t="s">
        <v>47</v>
      </c>
      <c r="F144" s="39" t="n">
        <v>6137431.2</v>
      </c>
      <c r="G144" s="40" t="n">
        <v>6.0</v>
      </c>
      <c r="H144" s="42" t="n">
        <v>7.3</v>
      </c>
      <c r="I144" s="53" t="n">
        <f t="shared" si="41"/>
        <v>11677.0</v>
      </c>
      <c r="J144" s="21" t="n">
        <f>IF(data!I105&lt;0,0,data!I105)</f>
        <v>8510.0</v>
      </c>
      <c r="K144" s="21" t="n">
        <f>IF(data!J105&lt;0,0,data!J105)</f>
        <v>14315.0</v>
      </c>
      <c r="L144" s="22" t="str">
        <f t="shared" si="39"/>
        <v>閾値の範囲内です。</v>
      </c>
      <c r="M144" s="11"/>
      <c r="N144" s="1" t="str">
        <f t="shared" si="35"/>
        <v/>
      </c>
      <c r="O144" s="1" t="n">
        <f t="shared" si="40"/>
        <v>1.0</v>
      </c>
    </row>
    <row r="145" spans="2:15" ht="15.75" customHeight="1">
      <c r="B145" s="8"/>
      <c r="C145" s="58" t="str">
        <f t="shared" si="3"/>
        <v>通所リハビリテーション</v>
      </c>
      <c r="D145" s="165"/>
      <c r="E145" s="18" t="s">
        <v>48</v>
      </c>
      <c r="F145" s="39" t="n">
        <v>1648233.6</v>
      </c>
      <c r="G145" s="40" t="n">
        <v>1.0</v>
      </c>
      <c r="H145" s="42" t="n">
        <v>10.4</v>
      </c>
      <c r="I145" s="53" t="n">
        <f t="shared" si="41"/>
        <v>13207.0</v>
      </c>
      <c r="J145" s="21" t="n">
        <f>IF(data!I106&lt;0,0,data!I106)</f>
        <v>9275.0</v>
      </c>
      <c r="K145" s="21" t="n">
        <f>IF(data!J106&lt;0,0,data!J106)</f>
        <v>16510.0</v>
      </c>
      <c r="L145" s="22" t="str">
        <f t="shared" si="39"/>
        <v>閾値の範囲内です。</v>
      </c>
      <c r="M145" s="11"/>
      <c r="N145" s="1" t="str">
        <f t="shared" si="35"/>
        <v/>
      </c>
      <c r="O145" s="1" t="n">
        <f t="shared" si="40"/>
        <v>1.0</v>
      </c>
    </row>
    <row r="146" spans="2:15" ht="15.75" customHeight="1">
      <c r="B146" s="8"/>
      <c r="C146" s="58" t="str">
        <f t="shared" si="3"/>
        <v>通所リハビリテーション</v>
      </c>
      <c r="D146" s="166"/>
      <c r="E146" s="23" t="s">
        <v>95</v>
      </c>
      <c r="F146" s="24" t="n">
        <f>SUM(F141:F145)</f>
        <v>2.0773255200000003E7</v>
      </c>
      <c r="G146" s="25" t="n">
        <f>SUM(G141:G145)</f>
        <v>31.0</v>
      </c>
      <c r="H146" s="29" t="n">
        <f>IF(ISERROR((G141*H141+G142*H142+G143*H143+G144*H144+G145*H145)/G146)=TRUE,"－",(G141*H141+G142*H142+G143*H143+G144*H144+G145*H145)/G146)</f>
        <v>7.03225806451613</v>
      </c>
      <c r="I146" s="54" t="n">
        <f t="shared" si="41"/>
        <v>7940.846788990827</v>
      </c>
      <c r="J146" s="26" t="n">
        <f>IF(data!I107&lt;0,0,data!I107)</f>
        <v>7190.0</v>
      </c>
      <c r="K146" s="26" t="n">
        <f>IF(data!J107&lt;0,0,data!J107)</f>
        <v>13850.0</v>
      </c>
      <c r="L146" s="27" t="str">
        <f t="shared" si="39"/>
        <v>閾値の範囲内です。</v>
      </c>
      <c r="M146" s="11"/>
      <c r="N146" s="1" t="str">
        <f t="shared" si="35"/>
        <v/>
      </c>
    </row>
    <row r="147" spans="2:15" ht="15.75" customHeight="1">
      <c r="B147" s="8"/>
      <c r="C147" s="58" t="str">
        <f t="shared" si="3"/>
        <v>通所リハビリテーション</v>
      </c>
      <c r="D147" s="164" t="s">
        <v>415</v>
      </c>
      <c r="E147" s="15" t="s">
        <v>50</v>
      </c>
      <c r="F147" s="35" t="n">
        <v>4273800.0</v>
      </c>
      <c r="G147" s="36" t="n">
        <v>17.0</v>
      </c>
      <c r="H147" s="79" t="s">
        <v>94</v>
      </c>
      <c r="I147" s="52" t="n">
        <f t="shared" si="41"/>
        <v>20950.0</v>
      </c>
      <c r="J147" s="16" t="n">
        <f t="shared" ref="J147:K162" si="42">J139</f>
        <v>19695.0</v>
      </c>
      <c r="K147" s="16" t="n">
        <f t="shared" si="42"/>
        <v>25785.0</v>
      </c>
      <c r="L147" s="32" t="str">
        <f t="shared" si="39"/>
        <v>閾値の範囲内です。</v>
      </c>
      <c r="M147" s="11"/>
      <c r="N147" s="1" t="str">
        <f t="shared" si="35"/>
        <v/>
      </c>
      <c r="O147" s="1" t="n">
        <f t="shared" ref="O147:O153" si="43">IF(OR(AND(F147="",G147="",H147="－"),AND(F147="",G147="",H147="")),"",1)</f>
        <v>1.0</v>
      </c>
    </row>
    <row r="148" spans="2:15" ht="15.75" customHeight="1">
      <c r="B148" s="8"/>
      <c r="C148" s="58" t="str">
        <f t="shared" si="3"/>
        <v>通所リハビリテーション</v>
      </c>
      <c r="D148" s="165"/>
      <c r="E148" s="30" t="s">
        <v>51</v>
      </c>
      <c r="F148" s="37" t="n">
        <v>1.15791E7</v>
      </c>
      <c r="G148" s="38" t="n">
        <v>25.0</v>
      </c>
      <c r="H148" s="81" t="s">
        <v>94</v>
      </c>
      <c r="I148" s="55" t="n">
        <f t="shared" si="41"/>
        <v>38597.0</v>
      </c>
      <c r="J148" s="31" t="n">
        <f t="shared" si="42"/>
        <v>37100.0</v>
      </c>
      <c r="K148" s="31" t="n">
        <f t="shared" si="42"/>
        <v>47270.0</v>
      </c>
      <c r="L148" s="33" t="str">
        <f t="shared" si="39"/>
        <v>閾値の範囲内です。</v>
      </c>
      <c r="M148" s="11"/>
      <c r="N148" s="1" t="str">
        <f t="shared" si="35"/>
        <v/>
      </c>
      <c r="O148" s="1" t="n">
        <f t="shared" si="43"/>
        <v>1.0</v>
      </c>
    </row>
    <row r="149" spans="2:15" ht="15.75" customHeight="1">
      <c r="B149" s="8"/>
      <c r="C149" s="58" t="str">
        <f t="shared" si="3"/>
        <v>通所リハビリテーション</v>
      </c>
      <c r="D149" s="165"/>
      <c r="E149" s="15" t="s">
        <v>44</v>
      </c>
      <c r="F149" s="35" t="n">
        <v>6286464.0</v>
      </c>
      <c r="G149" s="36" t="n">
        <v>15.0</v>
      </c>
      <c r="H149" s="41" t="n">
        <v>6.4</v>
      </c>
      <c r="I149" s="52" t="n">
        <f t="shared" si="41"/>
        <v>5456.999999999999</v>
      </c>
      <c r="J149" s="16" t="n">
        <f t="shared" si="42"/>
        <v>4900.0</v>
      </c>
      <c r="K149" s="16" t="n">
        <f t="shared" si="42"/>
        <v>9485.0</v>
      </c>
      <c r="L149" s="17" t="str">
        <f t="shared" si="39"/>
        <v>閾値の範囲内です。</v>
      </c>
      <c r="M149" s="11"/>
      <c r="N149" s="1" t="str">
        <f t="shared" si="35"/>
        <v/>
      </c>
      <c r="O149" s="1" t="n">
        <f t="shared" si="43"/>
        <v>1.0</v>
      </c>
    </row>
    <row r="150" spans="2:15" ht="15.75" customHeight="1">
      <c r="B150" s="8"/>
      <c r="C150" s="58" t="str">
        <f t="shared" si="3"/>
        <v>通所リハビリテーション</v>
      </c>
      <c r="D150" s="165"/>
      <c r="E150" s="18" t="s">
        <v>45</v>
      </c>
      <c r="F150" s="39" t="n">
        <v>1376726.4</v>
      </c>
      <c r="G150" s="40" t="n">
        <v>3.0</v>
      </c>
      <c r="H150" s="42" t="n">
        <v>5.6</v>
      </c>
      <c r="I150" s="53" t="n">
        <f t="shared" si="41"/>
        <v>6829.0</v>
      </c>
      <c r="J150" s="21" t="n">
        <f t="shared" si="42"/>
        <v>6125.0</v>
      </c>
      <c r="K150" s="21" t="n">
        <f t="shared" si="42"/>
        <v>10795.0</v>
      </c>
      <c r="L150" s="22" t="str">
        <f t="shared" si="39"/>
        <v>閾値の範囲内です。</v>
      </c>
      <c r="M150" s="11"/>
      <c r="N150" s="1" t="str">
        <f t="shared" si="35"/>
        <v/>
      </c>
      <c r="O150" s="1" t="n">
        <f t="shared" si="43"/>
        <v>1.0</v>
      </c>
    </row>
    <row r="151" spans="2:15" ht="15.75" customHeight="1">
      <c r="B151" s="8"/>
      <c r="C151" s="58" t="str">
        <f t="shared" si="3"/>
        <v>通所リハビリテーション</v>
      </c>
      <c r="D151" s="165"/>
      <c r="E151" s="18" t="s">
        <v>46</v>
      </c>
      <c r="F151" s="39" t="n">
        <v>5324400.0</v>
      </c>
      <c r="G151" s="40" t="n">
        <v>6.0</v>
      </c>
      <c r="H151" s="42" t="n">
        <v>8.5</v>
      </c>
      <c r="I151" s="53" t="n">
        <f t="shared" si="41"/>
        <v>8700.0</v>
      </c>
      <c r="J151" s="21" t="n">
        <f t="shared" si="42"/>
        <v>7340.0</v>
      </c>
      <c r="K151" s="21" t="n">
        <f t="shared" si="42"/>
        <v>12410.0</v>
      </c>
      <c r="L151" s="22" t="str">
        <f t="shared" si="39"/>
        <v>閾値の範囲内です。</v>
      </c>
      <c r="M151" s="11"/>
      <c r="N151" s="1" t="str">
        <f t="shared" si="35"/>
        <v/>
      </c>
      <c r="O151" s="1" t="n">
        <f t="shared" si="43"/>
        <v>1.0</v>
      </c>
    </row>
    <row r="152" spans="2:15" ht="15.75" customHeight="1">
      <c r="B152" s="8"/>
      <c r="C152" s="58" t="str">
        <f t="shared" si="3"/>
        <v>通所リハビリテーション</v>
      </c>
      <c r="D152" s="165"/>
      <c r="E152" s="18" t="s">
        <v>47</v>
      </c>
      <c r="F152" s="39" t="n">
        <v>5114526.0</v>
      </c>
      <c r="G152" s="40" t="n">
        <v>5.0</v>
      </c>
      <c r="H152" s="42" t="n">
        <v>7.3</v>
      </c>
      <c r="I152" s="53" t="n">
        <f t="shared" si="41"/>
        <v>11677.0</v>
      </c>
      <c r="J152" s="21" t="n">
        <f t="shared" si="42"/>
        <v>8510.0</v>
      </c>
      <c r="K152" s="21" t="n">
        <f t="shared" si="42"/>
        <v>14315.0</v>
      </c>
      <c r="L152" s="22" t="str">
        <f t="shared" si="39"/>
        <v>閾値の範囲内です。</v>
      </c>
      <c r="M152" s="11"/>
      <c r="N152" s="1" t="str">
        <f t="shared" si="35"/>
        <v/>
      </c>
      <c r="O152" s="1" t="n">
        <f t="shared" si="43"/>
        <v>1.0</v>
      </c>
    </row>
    <row r="153" spans="2:15" ht="15.75" customHeight="1">
      <c r="B153" s="8"/>
      <c r="C153" s="58" t="str">
        <f t="shared" si="3"/>
        <v>通所リハビリテーション</v>
      </c>
      <c r="D153" s="165"/>
      <c r="E153" s="18" t="s">
        <v>48</v>
      </c>
      <c r="F153" s="39" t="n">
        <v>1648233.6</v>
      </c>
      <c r="G153" s="40" t="n">
        <v>1.0</v>
      </c>
      <c r="H153" s="42" t="n">
        <v>10.4</v>
      </c>
      <c r="I153" s="53" t="n">
        <f t="shared" si="41"/>
        <v>13207.0</v>
      </c>
      <c r="J153" s="21" t="n">
        <f t="shared" si="42"/>
        <v>9275.0</v>
      </c>
      <c r="K153" s="21" t="n">
        <f t="shared" si="42"/>
        <v>16510.0</v>
      </c>
      <c r="L153" s="22" t="str">
        <f t="shared" si="39"/>
        <v>閾値の範囲内です。</v>
      </c>
      <c r="M153" s="11"/>
      <c r="N153" s="1" t="str">
        <f t="shared" si="35"/>
        <v/>
      </c>
      <c r="O153" s="1" t="n">
        <f t="shared" si="43"/>
        <v>1.0</v>
      </c>
    </row>
    <row r="154" spans="2:15" ht="15.75" customHeight="1">
      <c r="B154" s="8"/>
      <c r="C154" s="58" t="str">
        <f t="shared" si="3"/>
        <v>通所リハビリテーション</v>
      </c>
      <c r="D154" s="166"/>
      <c r="E154" s="23" t="s">
        <v>95</v>
      </c>
      <c r="F154" s="24" t="n">
        <f>SUM(F149:F153)</f>
        <v>1.975035E7</v>
      </c>
      <c r="G154" s="25" t="n">
        <f>SUM(G149:G153)</f>
        <v>30.0</v>
      </c>
      <c r="H154" s="29" t="n">
        <f>IF(ISERROR((G149*H149+G150*H150+G151*H151+G152*H152+G153*H153)/G154)=TRUE,"－",(G149*H149+G150*H150+G151*H151+G152*H152+G153*H153)/G154)</f>
        <v>7.023333333333334</v>
      </c>
      <c r="I154" s="54" t="n">
        <f t="shared" si="41"/>
        <v>7811.402467963929</v>
      </c>
      <c r="J154" s="21" t="n">
        <f t="shared" si="42"/>
        <v>7190.0</v>
      </c>
      <c r="K154" s="21" t="n">
        <f t="shared" si="42"/>
        <v>13850.0</v>
      </c>
      <c r="L154" s="27" t="str">
        <f t="shared" si="39"/>
        <v>閾値の範囲内です。</v>
      </c>
      <c r="M154" s="11"/>
      <c r="N154" s="1" t="str">
        <f t="shared" si="35"/>
        <v/>
      </c>
    </row>
    <row r="155" spans="2:15" ht="15.75" customHeight="1">
      <c r="B155" s="8"/>
      <c r="C155" s="58" t="str">
        <f t="shared" si="3"/>
        <v>通所リハビリテーション</v>
      </c>
      <c r="D155" s="164" t="s">
        <v>414</v>
      </c>
      <c r="E155" s="15" t="s">
        <v>50</v>
      </c>
      <c r="F155" s="35" t="n">
        <v>4273800.0</v>
      </c>
      <c r="G155" s="36" t="n">
        <v>17.0</v>
      </c>
      <c r="H155" s="79" t="s">
        <v>94</v>
      </c>
      <c r="I155" s="52" t="n">
        <f t="shared" si="41"/>
        <v>20950.0</v>
      </c>
      <c r="J155" s="16" t="n">
        <f t="shared" si="42"/>
        <v>19695.0</v>
      </c>
      <c r="K155" s="16" t="n">
        <f t="shared" si="42"/>
        <v>25785.0</v>
      </c>
      <c r="L155" s="32" t="str">
        <f t="shared" si="39"/>
        <v>閾値の範囲内です。</v>
      </c>
      <c r="M155" s="11"/>
      <c r="N155" s="1" t="str">
        <f t="shared" si="35"/>
        <v/>
      </c>
      <c r="O155" s="1" t="n">
        <f t="shared" ref="O155:O161" si="44">IF(OR(AND(F155="",G155="",H155="－"),AND(F155="",G155="",H155="")),"",1)</f>
        <v>1.0</v>
      </c>
    </row>
    <row r="156" spans="2:15" ht="15.75" customHeight="1">
      <c r="B156" s="8"/>
      <c r="C156" s="58" t="str">
        <f t="shared" si="3"/>
        <v>通所リハビリテーション</v>
      </c>
      <c r="D156" s="165"/>
      <c r="E156" s="30" t="s">
        <v>51</v>
      </c>
      <c r="F156" s="37" t="n">
        <v>1.15791E7</v>
      </c>
      <c r="G156" s="38" t="n">
        <v>25.0</v>
      </c>
      <c r="H156" s="81" t="s">
        <v>94</v>
      </c>
      <c r="I156" s="55" t="n">
        <f t="shared" si="41"/>
        <v>38597.0</v>
      </c>
      <c r="J156" s="31" t="n">
        <f t="shared" si="42"/>
        <v>37100.0</v>
      </c>
      <c r="K156" s="31" t="n">
        <f t="shared" si="42"/>
        <v>47270.0</v>
      </c>
      <c r="L156" s="33" t="str">
        <f t="shared" si="39"/>
        <v>閾値の範囲内です。</v>
      </c>
      <c r="M156" s="11"/>
      <c r="N156" s="1" t="str">
        <f t="shared" si="35"/>
        <v/>
      </c>
      <c r="O156" s="1" t="n">
        <f t="shared" si="44"/>
        <v>1.0</v>
      </c>
    </row>
    <row r="157" spans="2:15" ht="15.75" customHeight="1">
      <c r="B157" s="8"/>
      <c r="C157" s="58" t="str">
        <f t="shared" si="3"/>
        <v>通所リハビリテーション</v>
      </c>
      <c r="D157" s="165"/>
      <c r="E157" s="15" t="s">
        <v>44</v>
      </c>
      <c r="F157" s="35" t="n">
        <v>6286464.0</v>
      </c>
      <c r="G157" s="36" t="n">
        <v>15.0</v>
      </c>
      <c r="H157" s="41" t="n">
        <v>6.4</v>
      </c>
      <c r="I157" s="52" t="n">
        <f t="shared" si="41"/>
        <v>5456.999999999999</v>
      </c>
      <c r="J157" s="16" t="n">
        <f t="shared" si="42"/>
        <v>4900.0</v>
      </c>
      <c r="K157" s="16" t="n">
        <f t="shared" si="42"/>
        <v>9485.0</v>
      </c>
      <c r="L157" s="17" t="str">
        <f t="shared" si="39"/>
        <v>閾値の範囲内です。</v>
      </c>
      <c r="M157" s="11"/>
      <c r="N157" s="1" t="str">
        <f t="shared" si="35"/>
        <v/>
      </c>
      <c r="O157" s="1" t="n">
        <f t="shared" si="44"/>
        <v>1.0</v>
      </c>
    </row>
    <row r="158" spans="2:15" ht="15.75" customHeight="1">
      <c r="B158" s="8"/>
      <c r="C158" s="58" t="str">
        <f t="shared" si="3"/>
        <v>通所リハビリテーション</v>
      </c>
      <c r="D158" s="165"/>
      <c r="E158" s="18" t="s">
        <v>45</v>
      </c>
      <c r="F158" s="39" t="n">
        <v>1376726.4</v>
      </c>
      <c r="G158" s="40" t="n">
        <v>3.0</v>
      </c>
      <c r="H158" s="42" t="n">
        <v>5.6</v>
      </c>
      <c r="I158" s="53" t="n">
        <f t="shared" si="41"/>
        <v>6829.0</v>
      </c>
      <c r="J158" s="21" t="n">
        <f t="shared" si="42"/>
        <v>6125.0</v>
      </c>
      <c r="K158" s="21" t="n">
        <f t="shared" si="42"/>
        <v>10795.0</v>
      </c>
      <c r="L158" s="22" t="str">
        <f t="shared" si="39"/>
        <v>閾値の範囲内です。</v>
      </c>
      <c r="M158" s="11"/>
      <c r="N158" s="1" t="str">
        <f t="shared" si="35"/>
        <v/>
      </c>
      <c r="O158" s="1" t="n">
        <f t="shared" si="44"/>
        <v>1.0</v>
      </c>
    </row>
    <row r="159" spans="2:15" ht="15.75" customHeight="1">
      <c r="B159" s="8"/>
      <c r="C159" s="58" t="str">
        <f t="shared" si="3"/>
        <v>通所リハビリテーション</v>
      </c>
      <c r="D159" s="165"/>
      <c r="E159" s="18" t="s">
        <v>46</v>
      </c>
      <c r="F159" s="39" t="n">
        <v>5324400.0</v>
      </c>
      <c r="G159" s="40" t="n">
        <v>6.0</v>
      </c>
      <c r="H159" s="42" t="n">
        <v>8.5</v>
      </c>
      <c r="I159" s="53" t="n">
        <f t="shared" si="41"/>
        <v>8700.0</v>
      </c>
      <c r="J159" s="21" t="n">
        <f t="shared" si="42"/>
        <v>7340.0</v>
      </c>
      <c r="K159" s="21" t="n">
        <f t="shared" si="42"/>
        <v>12410.0</v>
      </c>
      <c r="L159" s="22" t="str">
        <f t="shared" si="39"/>
        <v>閾値の範囲内です。</v>
      </c>
      <c r="M159" s="11"/>
      <c r="N159" s="1" t="str">
        <f t="shared" si="35"/>
        <v/>
      </c>
      <c r="O159" s="1" t="n">
        <f t="shared" si="44"/>
        <v>1.0</v>
      </c>
    </row>
    <row r="160" spans="2:15" ht="15.75" customHeight="1">
      <c r="B160" s="8"/>
      <c r="C160" s="58" t="str">
        <f t="shared" si="3"/>
        <v>通所リハビリテーション</v>
      </c>
      <c r="D160" s="165"/>
      <c r="E160" s="18" t="s">
        <v>47</v>
      </c>
      <c r="F160" s="39" t="n">
        <v>5114526.0</v>
      </c>
      <c r="G160" s="40" t="n">
        <v>5.0</v>
      </c>
      <c r="H160" s="42" t="n">
        <v>7.3</v>
      </c>
      <c r="I160" s="53" t="n">
        <f t="shared" si="41"/>
        <v>11677.0</v>
      </c>
      <c r="J160" s="21" t="n">
        <f t="shared" si="42"/>
        <v>8510.0</v>
      </c>
      <c r="K160" s="21" t="n">
        <f t="shared" si="42"/>
        <v>14315.0</v>
      </c>
      <c r="L160" s="22" t="str">
        <f t="shared" si="39"/>
        <v>閾値の範囲内です。</v>
      </c>
      <c r="M160" s="11"/>
      <c r="N160" s="1" t="str">
        <f t="shared" si="35"/>
        <v/>
      </c>
      <c r="O160" s="1" t="n">
        <f t="shared" si="44"/>
        <v>1.0</v>
      </c>
    </row>
    <row r="161" spans="2:15" ht="15.75" customHeight="1">
      <c r="B161" s="8"/>
      <c r="C161" s="58" t="str">
        <f t="shared" si="3"/>
        <v>通所リハビリテーション</v>
      </c>
      <c r="D161" s="165"/>
      <c r="E161" s="18" t="s">
        <v>48</v>
      </c>
      <c r="F161" s="39" t="n">
        <v>1648233.6</v>
      </c>
      <c r="G161" s="40" t="n">
        <v>1.0</v>
      </c>
      <c r="H161" s="42" t="n">
        <v>10.4</v>
      </c>
      <c r="I161" s="53" t="n">
        <f t="shared" si="41"/>
        <v>13207.0</v>
      </c>
      <c r="J161" s="21" t="n">
        <f t="shared" si="42"/>
        <v>9275.0</v>
      </c>
      <c r="K161" s="21" t="n">
        <f t="shared" si="42"/>
        <v>16510.0</v>
      </c>
      <c r="L161" s="22" t="str">
        <f t="shared" si="39"/>
        <v>閾値の範囲内です。</v>
      </c>
      <c r="M161" s="11"/>
      <c r="N161" s="1" t="str">
        <f t="shared" si="35"/>
        <v/>
      </c>
      <c r="O161" s="1" t="n">
        <f t="shared" si="44"/>
        <v>1.0</v>
      </c>
    </row>
    <row r="162" spans="2:15" ht="15.75" customHeight="1">
      <c r="B162" s="10"/>
      <c r="C162" s="59" t="str">
        <f t="shared" si="3"/>
        <v>通所リハビリテーション</v>
      </c>
      <c r="D162" s="166"/>
      <c r="E162" s="23" t="s">
        <v>95</v>
      </c>
      <c r="F162" s="24" t="n">
        <f>SUM(F157:F161)</f>
        <v>1.975035E7</v>
      </c>
      <c r="G162" s="25" t="n">
        <f>SUM(G157:G161)</f>
        <v>30.0</v>
      </c>
      <c r="H162" s="29" t="n">
        <f>IF(ISERROR((G157*H157+G158*H158+G159*H159+G160*H160+G161*H161)/G162)=TRUE,"－",(G157*H157+G158*H158+G159*H159+G160*H160+G161*H161)/G162)</f>
        <v>7.023333333333334</v>
      </c>
      <c r="I162" s="54" t="n">
        <f t="shared" si="41"/>
        <v>7811.402467963929</v>
      </c>
      <c r="J162" s="26" t="n">
        <f t="shared" si="42"/>
        <v>7190.0</v>
      </c>
      <c r="K162" s="26" t="n">
        <f t="shared" si="42"/>
        <v>13850.0</v>
      </c>
      <c r="L162" s="27" t="str">
        <f t="shared" si="39"/>
        <v>閾値の範囲内です。</v>
      </c>
      <c r="M162" s="11"/>
      <c r="N162" s="1" t="str">
        <f t="shared" si="35"/>
        <v/>
      </c>
    </row>
    <row r="163" spans="2:15" ht="15.75" customHeight="1">
      <c r="B163" s="6">
        <v>8</v>
      </c>
      <c r="C163" s="7" t="s">
        <v>11</v>
      </c>
      <c r="D163" s="164" t="s">
        <v>416</v>
      </c>
      <c r="E163" s="15" t="s">
        <v>50</v>
      </c>
      <c r="F163" s="35" t="n">
        <v>0.0</v>
      </c>
      <c r="G163" s="36" t="n">
        <v>0.0</v>
      </c>
      <c r="H163" s="82" t="n">
        <v>0.0</v>
      </c>
      <c r="I163" s="52" t="str">
        <f t="shared" si="41"/>
        <v>－</v>
      </c>
      <c r="J163" s="16" t="n">
        <f>IF(data!I108&lt;0,0,data!I108)</f>
        <v>2720.0</v>
      </c>
      <c r="K163" s="16" t="n">
        <f>IF(data!J108&lt;0,0,data!J108)</f>
        <v>8265.0</v>
      </c>
      <c r="L163" s="32" t="str">
        <f t="shared" si="39"/>
        <v/>
      </c>
      <c r="M163" s="11"/>
      <c r="N163" s="1" t="str">
        <f t="shared" si="35"/>
        <v/>
      </c>
      <c r="O163" s="1" t="n">
        <f t="shared" ref="O163:O169" si="45">IF(OR(AND(F163="",G163="",H163="－"),AND(F163="",G163="",H163="")),"",1)</f>
        <v>1.0</v>
      </c>
    </row>
    <row r="164" spans="2:15" ht="15.75" customHeight="1">
      <c r="B164" s="8"/>
      <c r="C164" s="58" t="str">
        <f t="shared" si="3"/>
        <v>短期入所生活介護</v>
      </c>
      <c r="D164" s="165"/>
      <c r="E164" s="30" t="s">
        <v>51</v>
      </c>
      <c r="F164" s="37" t="n">
        <v>0.0</v>
      </c>
      <c r="G164" s="38" t="n">
        <v>0.0</v>
      </c>
      <c r="H164" s="83" t="n">
        <v>4.6</v>
      </c>
      <c r="I164" s="55" t="str">
        <f t="shared" si="41"/>
        <v>－</v>
      </c>
      <c r="J164" s="31" t="n">
        <f>IF(data!I109&lt;0,0,data!I109)</f>
        <v>4545.0</v>
      </c>
      <c r="K164" s="31" t="n">
        <f>IF(data!J109&lt;0,0,data!J109)</f>
        <v>9210.0</v>
      </c>
      <c r="L164" s="33" t="str">
        <f t="shared" si="39"/>
        <v/>
      </c>
      <c r="M164" s="11"/>
      <c r="N164" s="1" t="str">
        <f t="shared" si="35"/>
        <v/>
      </c>
      <c r="O164" s="1" t="n">
        <f t="shared" si="45"/>
        <v>1.0</v>
      </c>
    </row>
    <row r="165" spans="2:15" ht="15.75" customHeight="1">
      <c r="B165" s="8"/>
      <c r="C165" s="58" t="str">
        <f t="shared" si="3"/>
        <v>短期入所生活介護</v>
      </c>
      <c r="D165" s="165"/>
      <c r="E165" s="18" t="s">
        <v>44</v>
      </c>
      <c r="F165" s="39" t="n">
        <v>5290488.0</v>
      </c>
      <c r="G165" s="40" t="n">
        <v>7.0</v>
      </c>
      <c r="H165" s="84" t="n">
        <v>9.0</v>
      </c>
      <c r="I165" s="53" t="n">
        <f t="shared" si="41"/>
        <v>6998.0</v>
      </c>
      <c r="J165" s="21" t="n">
        <f>IF(data!I110&lt;0,0,data!I110)</f>
        <v>5520.0</v>
      </c>
      <c r="K165" s="21" t="n">
        <f>IF(data!J110&lt;0,0,data!J110)</f>
        <v>9130.0</v>
      </c>
      <c r="L165" s="22" t="str">
        <f t="shared" si="39"/>
        <v>閾値の範囲内です。</v>
      </c>
      <c r="M165" s="11"/>
      <c r="N165" s="1" t="str">
        <f t="shared" si="35"/>
        <v/>
      </c>
      <c r="O165" s="1" t="n">
        <f t="shared" si="45"/>
        <v>1.0</v>
      </c>
    </row>
    <row r="166" spans="2:15" ht="15.75" customHeight="1">
      <c r="B166" s="8"/>
      <c r="C166" s="58" t="str">
        <f t="shared" si="3"/>
        <v>短期入所生活介護</v>
      </c>
      <c r="D166" s="165"/>
      <c r="E166" s="18" t="s">
        <v>45</v>
      </c>
      <c r="F166" s="39" t="n">
        <v>7146408.0</v>
      </c>
      <c r="G166" s="40" t="n">
        <v>10.0</v>
      </c>
      <c r="H166" s="84" t="n">
        <v>7.3</v>
      </c>
      <c r="I166" s="53" t="n">
        <f t="shared" si="41"/>
        <v>8158.000000000001</v>
      </c>
      <c r="J166" s="21" t="n">
        <f>IF(data!I111&lt;0,0,data!I111)</f>
        <v>6195.0</v>
      </c>
      <c r="K166" s="21" t="n">
        <f>IF(data!J111&lt;0,0,data!J111)</f>
        <v>9680.0</v>
      </c>
      <c r="L166" s="22" t="str">
        <f t="shared" si="39"/>
        <v>閾値の範囲内です。</v>
      </c>
      <c r="M166" s="11"/>
      <c r="N166" s="1" t="str">
        <f t="shared" si="35"/>
        <v/>
      </c>
      <c r="O166" s="1" t="n">
        <f t="shared" si="45"/>
        <v>1.0</v>
      </c>
    </row>
    <row r="167" spans="2:15" ht="15.75" customHeight="1">
      <c r="B167" s="8"/>
      <c r="C167" s="58" t="str">
        <f t="shared" si="3"/>
        <v>短期入所生活介護</v>
      </c>
      <c r="D167" s="165"/>
      <c r="E167" s="18" t="s">
        <v>46</v>
      </c>
      <c r="F167" s="39" t="n">
        <v>3.1445802E7</v>
      </c>
      <c r="G167" s="40" t="n">
        <v>29.0</v>
      </c>
      <c r="H167" s="84" t="n">
        <v>10.7</v>
      </c>
      <c r="I167" s="53" t="n">
        <f t="shared" si="41"/>
        <v>8445.0</v>
      </c>
      <c r="J167" s="21" t="n">
        <f>IF(data!I112&lt;0,0,data!I112)</f>
        <v>7085.0</v>
      </c>
      <c r="K167" s="21" t="n">
        <f>IF(data!J112&lt;0,0,data!J112)</f>
        <v>10270.0</v>
      </c>
      <c r="L167" s="22" t="str">
        <f t="shared" si="39"/>
        <v>閾値の範囲内です。</v>
      </c>
      <c r="M167" s="11"/>
      <c r="N167" s="1" t="str">
        <f t="shared" si="35"/>
        <v/>
      </c>
      <c r="O167" s="1" t="n">
        <f t="shared" si="45"/>
        <v>1.0</v>
      </c>
    </row>
    <row r="168" spans="2:15" ht="15.75" customHeight="1">
      <c r="B168" s="8"/>
      <c r="C168" s="58" t="str">
        <f t="shared" si="3"/>
        <v>短期入所生活介護</v>
      </c>
      <c r="D168" s="165"/>
      <c r="E168" s="18" t="s">
        <v>47</v>
      </c>
      <c r="F168" s="39" t="n">
        <v>2.16E7</v>
      </c>
      <c r="G168" s="40" t="n">
        <v>15.0</v>
      </c>
      <c r="H168" s="84" t="n">
        <v>12.8</v>
      </c>
      <c r="I168" s="53" t="n">
        <f t="shared" si="41"/>
        <v>9375.0</v>
      </c>
      <c r="J168" s="21" t="n">
        <f>IF(data!I113&lt;0,0,data!I113)</f>
        <v>7775.0</v>
      </c>
      <c r="K168" s="21" t="n">
        <f>IF(data!J113&lt;0,0,data!J113)</f>
        <v>10975.0</v>
      </c>
      <c r="L168" s="22" t="str">
        <f t="shared" si="39"/>
        <v>閾値の範囲内です。</v>
      </c>
      <c r="M168" s="11"/>
      <c r="N168" s="1" t="str">
        <f t="shared" si="35"/>
        <v/>
      </c>
      <c r="O168" s="1" t="n">
        <f t="shared" si="45"/>
        <v>1.0</v>
      </c>
    </row>
    <row r="169" spans="2:15" ht="15.75" customHeight="1">
      <c r="B169" s="8"/>
      <c r="C169" s="58" t="str">
        <f t="shared" si="3"/>
        <v>短期入所生活介護</v>
      </c>
      <c r="D169" s="165"/>
      <c r="E169" s="18" t="s">
        <v>48</v>
      </c>
      <c r="F169" s="39" t="n">
        <v>0.0</v>
      </c>
      <c r="G169" s="40" t="n">
        <v>0.0</v>
      </c>
      <c r="H169" s="84" t="n">
        <v>5.8</v>
      </c>
      <c r="I169" s="53" t="str">
        <f t="shared" si="41"/>
        <v>－</v>
      </c>
      <c r="J169" s="21" t="n">
        <f>IF(data!I114&lt;0,0,data!I114)</f>
        <v>8380.0</v>
      </c>
      <c r="K169" s="21" t="n">
        <f>IF(data!J114&lt;0,0,data!J114)</f>
        <v>12090.0</v>
      </c>
      <c r="L169" s="22" t="str">
        <f t="shared" si="39"/>
        <v/>
      </c>
      <c r="M169" s="11"/>
      <c r="N169" s="1" t="str">
        <f t="shared" si="35"/>
        <v/>
      </c>
      <c r="O169" s="1" t="n">
        <f t="shared" si="45"/>
        <v>1.0</v>
      </c>
    </row>
    <row r="170" spans="2:15" ht="15.75" customHeight="1">
      <c r="B170" s="8"/>
      <c r="C170" s="58" t="str">
        <f t="shared" si="3"/>
        <v>短期入所生活介護</v>
      </c>
      <c r="D170" s="166"/>
      <c r="E170" s="23" t="s">
        <v>49</v>
      </c>
      <c r="F170" s="24" t="n">
        <f>SUM(F163:F169)</f>
        <v>6.5482698E7</v>
      </c>
      <c r="G170" s="25" t="n">
        <f>SUM(G163:G169)</f>
        <v>61.0</v>
      </c>
      <c r="H170" s="85" t="n">
        <f>IF(ISERROR((G163*H163+G164*H164+G165*H165+G166*H166+G167*H167+G168*H168+G169*H169)/G170)=TRUE,"－",(G163*H163+G164*H164+G165*H165+G166*H166+G167*H167+G168*H168+G169*H169)/G170)</f>
        <v>10.463934426229507</v>
      </c>
      <c r="I170" s="54" t="n">
        <f t="shared" si="41"/>
        <v>8549.101519661603</v>
      </c>
      <c r="J170" s="26" t="n">
        <f>IF(data!I115&lt;0,0,data!I115)</f>
        <v>6760.0</v>
      </c>
      <c r="K170" s="26" t="n">
        <f>IF(data!J115&lt;0,0,data!J115)</f>
        <v>10380.0</v>
      </c>
      <c r="L170" s="27" t="str">
        <f t="shared" si="39"/>
        <v>閾値の範囲内です。</v>
      </c>
      <c r="M170" s="11"/>
      <c r="N170" s="1" t="str">
        <f t="shared" si="35"/>
        <v/>
      </c>
    </row>
    <row r="171" spans="2:15" ht="15.75" customHeight="1">
      <c r="B171" s="8"/>
      <c r="C171" s="58" t="str">
        <f t="shared" si="3"/>
        <v>短期入所生活介護</v>
      </c>
      <c r="D171" s="164" t="s">
        <v>415</v>
      </c>
      <c r="E171" s="15" t="s">
        <v>50</v>
      </c>
      <c r="F171" s="35" t="n">
        <v>0.0</v>
      </c>
      <c r="G171" s="36" t="n">
        <v>0.0</v>
      </c>
      <c r="H171" s="82" t="n">
        <v>0.0</v>
      </c>
      <c r="I171" s="52" t="str">
        <f t="shared" si="41"/>
        <v>－</v>
      </c>
      <c r="J171" s="16" t="n">
        <f t="shared" ref="J171:K186" si="46">J163</f>
        <v>2720.0</v>
      </c>
      <c r="K171" s="16" t="n">
        <f t="shared" si="46"/>
        <v>8265.0</v>
      </c>
      <c r="L171" s="32" t="str">
        <f t="shared" si="39"/>
        <v/>
      </c>
      <c r="M171" s="11"/>
      <c r="N171" s="1" t="str">
        <f t="shared" si="35"/>
        <v/>
      </c>
      <c r="O171" s="1" t="n">
        <f t="shared" ref="O171:O177" si="47">IF(OR(AND(F171="",G171="",H171="－"),AND(F171="",G171="",H171="")),"",1)</f>
        <v>1.0</v>
      </c>
    </row>
    <row r="172" spans="2:15" ht="15.75" customHeight="1">
      <c r="B172" s="8"/>
      <c r="C172" s="58" t="str">
        <f t="shared" si="3"/>
        <v>短期入所生活介護</v>
      </c>
      <c r="D172" s="165"/>
      <c r="E172" s="30" t="s">
        <v>51</v>
      </c>
      <c r="F172" s="37" t="n">
        <v>0.0</v>
      </c>
      <c r="G172" s="38" t="n">
        <v>0.0</v>
      </c>
      <c r="H172" s="83" t="n">
        <v>4.6</v>
      </c>
      <c r="I172" s="55" t="str">
        <f t="shared" si="41"/>
        <v>－</v>
      </c>
      <c r="J172" s="31" t="n">
        <f t="shared" si="46"/>
        <v>4545.0</v>
      </c>
      <c r="K172" s="31" t="n">
        <f t="shared" si="46"/>
        <v>9210.0</v>
      </c>
      <c r="L172" s="33" t="str">
        <f t="shared" si="39"/>
        <v/>
      </c>
      <c r="M172" s="11"/>
      <c r="N172" s="1" t="str">
        <f t="shared" si="35"/>
        <v/>
      </c>
      <c r="O172" s="1" t="n">
        <f t="shared" si="47"/>
        <v>1.0</v>
      </c>
    </row>
    <row r="173" spans="2:15" ht="15.75" customHeight="1">
      <c r="B173" s="8"/>
      <c r="C173" s="58" t="str">
        <f t="shared" si="3"/>
        <v>短期入所生活介護</v>
      </c>
      <c r="D173" s="165"/>
      <c r="E173" s="18" t="s">
        <v>44</v>
      </c>
      <c r="F173" s="39" t="n">
        <v>5290488.0</v>
      </c>
      <c r="G173" s="40" t="n">
        <v>7.0</v>
      </c>
      <c r="H173" s="84" t="n">
        <v>9.0</v>
      </c>
      <c r="I173" s="53" t="n">
        <f t="shared" si="41"/>
        <v>6998.0</v>
      </c>
      <c r="J173" s="21" t="n">
        <f t="shared" si="46"/>
        <v>5520.0</v>
      </c>
      <c r="K173" s="21" t="n">
        <f t="shared" si="46"/>
        <v>9130.0</v>
      </c>
      <c r="L173" s="22" t="str">
        <f t="shared" si="39"/>
        <v>閾値の範囲内です。</v>
      </c>
      <c r="M173" s="11"/>
      <c r="N173" s="1" t="str">
        <f t="shared" si="35"/>
        <v/>
      </c>
      <c r="O173" s="1" t="n">
        <f t="shared" si="47"/>
        <v>1.0</v>
      </c>
    </row>
    <row r="174" spans="2:15" ht="15.75" customHeight="1">
      <c r="B174" s="8"/>
      <c r="C174" s="58" t="str">
        <f t="shared" si="3"/>
        <v>短期入所生活介護</v>
      </c>
      <c r="D174" s="165"/>
      <c r="E174" s="18" t="s">
        <v>45</v>
      </c>
      <c r="F174" s="39" t="n">
        <v>7146408.0</v>
      </c>
      <c r="G174" s="40" t="n">
        <v>10.0</v>
      </c>
      <c r="H174" s="84" t="n">
        <v>7.3</v>
      </c>
      <c r="I174" s="53" t="n">
        <f t="shared" si="41"/>
        <v>8158.000000000001</v>
      </c>
      <c r="J174" s="21" t="n">
        <f t="shared" si="46"/>
        <v>6195.0</v>
      </c>
      <c r="K174" s="21" t="n">
        <f t="shared" si="46"/>
        <v>9680.0</v>
      </c>
      <c r="L174" s="22" t="str">
        <f t="shared" si="39"/>
        <v>閾値の範囲内です。</v>
      </c>
      <c r="M174" s="11"/>
      <c r="N174" s="1" t="str">
        <f t="shared" si="35"/>
        <v/>
      </c>
      <c r="O174" s="1" t="n">
        <f t="shared" si="47"/>
        <v>1.0</v>
      </c>
    </row>
    <row r="175" spans="2:15" ht="15.75" customHeight="1">
      <c r="B175" s="8"/>
      <c r="C175" s="58" t="str">
        <f t="shared" si="3"/>
        <v>短期入所生活介護</v>
      </c>
      <c r="D175" s="165"/>
      <c r="E175" s="18" t="s">
        <v>46</v>
      </c>
      <c r="F175" s="39" t="n">
        <v>3.1445802E7</v>
      </c>
      <c r="G175" s="40" t="n">
        <v>29.0</v>
      </c>
      <c r="H175" s="84" t="n">
        <v>10.7</v>
      </c>
      <c r="I175" s="53" t="n">
        <f t="shared" si="41"/>
        <v>8445.0</v>
      </c>
      <c r="J175" s="21" t="n">
        <f t="shared" si="46"/>
        <v>7085.0</v>
      </c>
      <c r="K175" s="21" t="n">
        <f t="shared" si="46"/>
        <v>10270.0</v>
      </c>
      <c r="L175" s="22" t="str">
        <f t="shared" si="39"/>
        <v>閾値の範囲内です。</v>
      </c>
      <c r="M175" s="11"/>
      <c r="N175" s="1" t="str">
        <f t="shared" si="35"/>
        <v/>
      </c>
      <c r="O175" s="1" t="n">
        <f t="shared" si="47"/>
        <v>1.0</v>
      </c>
    </row>
    <row r="176" spans="2:15" ht="15.75" customHeight="1">
      <c r="B176" s="8"/>
      <c r="C176" s="58" t="str">
        <f t="shared" si="3"/>
        <v>短期入所生活介護</v>
      </c>
      <c r="D176" s="165"/>
      <c r="E176" s="18" t="s">
        <v>47</v>
      </c>
      <c r="F176" s="39" t="n">
        <v>2.016E7</v>
      </c>
      <c r="G176" s="40" t="n">
        <v>14.0</v>
      </c>
      <c r="H176" s="84" t="n">
        <v>12.8</v>
      </c>
      <c r="I176" s="53" t="n">
        <f t="shared" si="41"/>
        <v>9375.0</v>
      </c>
      <c r="J176" s="21" t="n">
        <f t="shared" si="46"/>
        <v>7775.0</v>
      </c>
      <c r="K176" s="21" t="n">
        <f t="shared" si="46"/>
        <v>10975.0</v>
      </c>
      <c r="L176" s="22" t="str">
        <f t="shared" si="39"/>
        <v>閾値の範囲内です。</v>
      </c>
      <c r="M176" s="11"/>
      <c r="N176" s="1" t="str">
        <f t="shared" si="35"/>
        <v/>
      </c>
      <c r="O176" s="1" t="n">
        <f t="shared" si="47"/>
        <v>1.0</v>
      </c>
    </row>
    <row r="177" spans="2:15" ht="15.75" customHeight="1">
      <c r="B177" s="8"/>
      <c r="C177" s="58" t="str">
        <f t="shared" si="3"/>
        <v>短期入所生活介護</v>
      </c>
      <c r="D177" s="165"/>
      <c r="E177" s="18" t="s">
        <v>48</v>
      </c>
      <c r="F177" s="39" t="n">
        <v>0.0</v>
      </c>
      <c r="G177" s="40" t="n">
        <v>0.0</v>
      </c>
      <c r="H177" s="84" t="n">
        <v>5.8</v>
      </c>
      <c r="I177" s="53" t="str">
        <f t="shared" si="41"/>
        <v>－</v>
      </c>
      <c r="J177" s="21" t="n">
        <f t="shared" si="46"/>
        <v>8380.0</v>
      </c>
      <c r="K177" s="21" t="n">
        <f t="shared" si="46"/>
        <v>12090.0</v>
      </c>
      <c r="L177" s="22" t="str">
        <f t="shared" si="39"/>
        <v/>
      </c>
      <c r="M177" s="11"/>
      <c r="N177" s="1" t="str">
        <f t="shared" si="35"/>
        <v/>
      </c>
      <c r="O177" s="1" t="n">
        <f t="shared" si="47"/>
        <v>1.0</v>
      </c>
    </row>
    <row r="178" spans="2:15" ht="15.75" customHeight="1">
      <c r="B178" s="8"/>
      <c r="C178" s="58" t="str">
        <f t="shared" si="3"/>
        <v>短期入所生活介護</v>
      </c>
      <c r="D178" s="166"/>
      <c r="E178" s="23" t="s">
        <v>49</v>
      </c>
      <c r="F178" s="24" t="n">
        <f>SUM(F171:F177)</f>
        <v>6.4042698E7</v>
      </c>
      <c r="G178" s="25" t="n">
        <f>SUM(G171:G177)</f>
        <v>60.0</v>
      </c>
      <c r="H178" s="85" t="n">
        <f>IF(ISERROR((G171*H171+G172*H172+G173*H173+G174*H174+G175*H175+G176*H176+G177*H177)/G178)=TRUE,"－",(G171*H171+G172*H172+G173*H173+G174*H174+G175*H175+G176*H176+G177*H177)/G178)</f>
        <v>10.425</v>
      </c>
      <c r="I178" s="54" t="n">
        <f t="shared" si="41"/>
        <v>8532.20063948841</v>
      </c>
      <c r="J178" s="21" t="n">
        <f t="shared" si="46"/>
        <v>6760.0</v>
      </c>
      <c r="K178" s="21" t="n">
        <f t="shared" si="46"/>
        <v>10380.0</v>
      </c>
      <c r="L178" s="27" t="str">
        <f t="shared" si="39"/>
        <v>閾値の範囲内です。</v>
      </c>
      <c r="M178" s="11"/>
      <c r="N178" s="1" t="str">
        <f t="shared" si="35"/>
        <v/>
      </c>
    </row>
    <row r="179" spans="2:15" ht="15.75" customHeight="1">
      <c r="B179" s="8"/>
      <c r="C179" s="58" t="str">
        <f t="shared" si="3"/>
        <v>短期入所生活介護</v>
      </c>
      <c r="D179" s="164" t="s">
        <v>414</v>
      </c>
      <c r="E179" s="15" t="s">
        <v>50</v>
      </c>
      <c r="F179" s="35" t="n">
        <v>0.0</v>
      </c>
      <c r="G179" s="36" t="n">
        <v>0.0</v>
      </c>
      <c r="H179" s="82" t="n">
        <v>0.0</v>
      </c>
      <c r="I179" s="52" t="str">
        <f t="shared" si="41"/>
        <v>－</v>
      </c>
      <c r="J179" s="16" t="n">
        <f t="shared" si="46"/>
        <v>2720.0</v>
      </c>
      <c r="K179" s="16" t="n">
        <f t="shared" si="46"/>
        <v>8265.0</v>
      </c>
      <c r="L179" s="32" t="str">
        <f t="shared" si="39"/>
        <v/>
      </c>
      <c r="M179" s="11"/>
      <c r="N179" s="1" t="str">
        <f t="shared" si="35"/>
        <v/>
      </c>
      <c r="O179" s="1" t="n">
        <f t="shared" ref="O179:O185" si="48">IF(OR(AND(F179="",G179="",H179="－"),AND(F179="",G179="",H179="")),"",1)</f>
        <v>1.0</v>
      </c>
    </row>
    <row r="180" spans="2:15" ht="15.75" customHeight="1">
      <c r="B180" s="8"/>
      <c r="C180" s="58" t="str">
        <f t="shared" si="3"/>
        <v>短期入所生活介護</v>
      </c>
      <c r="D180" s="165"/>
      <c r="E180" s="30" t="s">
        <v>51</v>
      </c>
      <c r="F180" s="37" t="n">
        <v>0.0</v>
      </c>
      <c r="G180" s="38" t="n">
        <v>0.0</v>
      </c>
      <c r="H180" s="83" t="n">
        <v>4.6</v>
      </c>
      <c r="I180" s="55" t="str">
        <f t="shared" si="41"/>
        <v>－</v>
      </c>
      <c r="J180" s="31" t="n">
        <f t="shared" si="46"/>
        <v>4545.0</v>
      </c>
      <c r="K180" s="31" t="n">
        <f t="shared" si="46"/>
        <v>9210.0</v>
      </c>
      <c r="L180" s="33" t="str">
        <f t="shared" si="39"/>
        <v/>
      </c>
      <c r="M180" s="11"/>
      <c r="N180" s="1" t="str">
        <f t="shared" si="35"/>
        <v/>
      </c>
      <c r="O180" s="1" t="n">
        <f t="shared" si="48"/>
        <v>1.0</v>
      </c>
    </row>
    <row r="181" spans="2:15" ht="15.75" customHeight="1">
      <c r="B181" s="8"/>
      <c r="C181" s="58" t="str">
        <f t="shared" si="3"/>
        <v>短期入所生活介護</v>
      </c>
      <c r="D181" s="165"/>
      <c r="E181" s="18" t="s">
        <v>44</v>
      </c>
      <c r="F181" s="39" t="n">
        <v>5290488.0</v>
      </c>
      <c r="G181" s="40" t="n">
        <v>7.0</v>
      </c>
      <c r="H181" s="84" t="n">
        <v>9.0</v>
      </c>
      <c r="I181" s="53" t="n">
        <f t="shared" si="41"/>
        <v>6998.0</v>
      </c>
      <c r="J181" s="21" t="n">
        <f t="shared" si="46"/>
        <v>5520.0</v>
      </c>
      <c r="K181" s="21" t="n">
        <f t="shared" si="46"/>
        <v>9130.0</v>
      </c>
      <c r="L181" s="22" t="str">
        <f t="shared" si="39"/>
        <v>閾値の範囲内です。</v>
      </c>
      <c r="M181" s="11"/>
      <c r="N181" s="1" t="str">
        <f t="shared" si="35"/>
        <v/>
      </c>
      <c r="O181" s="1" t="n">
        <f t="shared" si="48"/>
        <v>1.0</v>
      </c>
    </row>
    <row r="182" spans="2:15" ht="15.75" customHeight="1">
      <c r="B182" s="8"/>
      <c r="C182" s="58" t="str">
        <f t="shared" si="3"/>
        <v>短期入所生活介護</v>
      </c>
      <c r="D182" s="165"/>
      <c r="E182" s="18" t="s">
        <v>45</v>
      </c>
      <c r="F182" s="39" t="n">
        <v>7146408.0</v>
      </c>
      <c r="G182" s="40" t="n">
        <v>10.0</v>
      </c>
      <c r="H182" s="84" t="n">
        <v>7.3</v>
      </c>
      <c r="I182" s="53" t="n">
        <f t="shared" si="41"/>
        <v>8158.000000000001</v>
      </c>
      <c r="J182" s="21" t="n">
        <f t="shared" si="46"/>
        <v>6195.0</v>
      </c>
      <c r="K182" s="21" t="n">
        <f t="shared" si="46"/>
        <v>9680.0</v>
      </c>
      <c r="L182" s="22" t="str">
        <f t="shared" si="39"/>
        <v>閾値の範囲内です。</v>
      </c>
      <c r="M182" s="11"/>
      <c r="N182" s="1" t="str">
        <f t="shared" si="35"/>
        <v/>
      </c>
      <c r="O182" s="1" t="n">
        <f t="shared" si="48"/>
        <v>1.0</v>
      </c>
    </row>
    <row r="183" spans="2:15" ht="15.75" customHeight="1">
      <c r="B183" s="8"/>
      <c r="C183" s="58" t="str">
        <f t="shared" si="3"/>
        <v>短期入所生活介護</v>
      </c>
      <c r="D183" s="165"/>
      <c r="E183" s="18" t="s">
        <v>46</v>
      </c>
      <c r="F183" s="39" t="n">
        <v>3.0361464E7</v>
      </c>
      <c r="G183" s="40" t="n">
        <v>28.0</v>
      </c>
      <c r="H183" s="84" t="n">
        <v>10.7</v>
      </c>
      <c r="I183" s="53" t="n">
        <f t="shared" si="41"/>
        <v>8445.0</v>
      </c>
      <c r="J183" s="21" t="n">
        <f t="shared" si="46"/>
        <v>7085.0</v>
      </c>
      <c r="K183" s="21" t="n">
        <f t="shared" si="46"/>
        <v>10270.0</v>
      </c>
      <c r="L183" s="22" t="str">
        <f t="shared" si="39"/>
        <v>閾値の範囲内です。</v>
      </c>
      <c r="M183" s="11"/>
      <c r="N183" s="1" t="str">
        <f t="shared" si="35"/>
        <v/>
      </c>
      <c r="O183" s="1" t="n">
        <f t="shared" si="48"/>
        <v>1.0</v>
      </c>
    </row>
    <row r="184" spans="2:15" ht="15.75" customHeight="1">
      <c r="B184" s="8"/>
      <c r="C184" s="58" t="str">
        <f t="shared" si="3"/>
        <v>短期入所生活介護</v>
      </c>
      <c r="D184" s="165"/>
      <c r="E184" s="18" t="s">
        <v>47</v>
      </c>
      <c r="F184" s="39" t="n">
        <v>2.16E7</v>
      </c>
      <c r="G184" s="40" t="n">
        <v>15.0</v>
      </c>
      <c r="H184" s="84" t="n">
        <v>12.8</v>
      </c>
      <c r="I184" s="53" t="n">
        <f t="shared" si="41"/>
        <v>9375.0</v>
      </c>
      <c r="J184" s="21" t="n">
        <f t="shared" si="46"/>
        <v>7775.0</v>
      </c>
      <c r="K184" s="21" t="n">
        <f t="shared" si="46"/>
        <v>10975.0</v>
      </c>
      <c r="L184" s="22" t="str">
        <f t="shared" si="39"/>
        <v>閾値の範囲内です。</v>
      </c>
      <c r="M184" s="11"/>
      <c r="N184" s="1" t="str">
        <f t="shared" si="35"/>
        <v/>
      </c>
      <c r="O184" s="1" t="n">
        <f t="shared" si="48"/>
        <v>1.0</v>
      </c>
    </row>
    <row r="185" spans="2:15" ht="15.75" customHeight="1">
      <c r="B185" s="8"/>
      <c r="C185" s="58" t="str">
        <f t="shared" si="3"/>
        <v>短期入所生活介護</v>
      </c>
      <c r="D185" s="165"/>
      <c r="E185" s="18" t="s">
        <v>48</v>
      </c>
      <c r="F185" s="39" t="n">
        <v>0.0</v>
      </c>
      <c r="G185" s="40" t="n">
        <v>0.0</v>
      </c>
      <c r="H185" s="84" t="n">
        <v>5.8</v>
      </c>
      <c r="I185" s="53" t="str">
        <f t="shared" si="41"/>
        <v>－</v>
      </c>
      <c r="J185" s="21" t="n">
        <f t="shared" si="46"/>
        <v>8380.0</v>
      </c>
      <c r="K185" s="21" t="n">
        <f t="shared" si="46"/>
        <v>12090.0</v>
      </c>
      <c r="L185" s="22" t="str">
        <f t="shared" si="39"/>
        <v/>
      </c>
      <c r="M185" s="11"/>
      <c r="N185" s="1" t="str">
        <f t="shared" si="35"/>
        <v/>
      </c>
      <c r="O185" s="1" t="n">
        <f t="shared" si="48"/>
        <v>1.0</v>
      </c>
    </row>
    <row r="186" spans="2:15" ht="15.75" customHeight="1">
      <c r="B186" s="10"/>
      <c r="C186" s="59" t="str">
        <f t="shared" si="3"/>
        <v>短期入所生活介護</v>
      </c>
      <c r="D186" s="166"/>
      <c r="E186" s="23" t="s">
        <v>49</v>
      </c>
      <c r="F186" s="24" t="n">
        <f>SUM(F179:F185)</f>
        <v>6.439836E7</v>
      </c>
      <c r="G186" s="25" t="n">
        <f>SUM(G179:G185)</f>
        <v>60.0</v>
      </c>
      <c r="H186" s="85" t="n">
        <f>IF(ISERROR((G179*H179+G180*H180+G181*H181+G182*H182+G183*H183+G184*H184+G185*H185)/G186)=TRUE,"－",(G179*H179+G180*H180+G181*H181+G182*H182+G183*H183+G184*H184+G185*H185)/G186)</f>
        <v>10.459999999999999</v>
      </c>
      <c r="I186" s="54" t="n">
        <f t="shared" si="41"/>
        <v>8550.876354365839</v>
      </c>
      <c r="J186" s="26" t="n">
        <f t="shared" si="46"/>
        <v>6760.0</v>
      </c>
      <c r="K186" s="26" t="n">
        <f t="shared" si="46"/>
        <v>10380.0</v>
      </c>
      <c r="L186" s="27" t="str">
        <f t="shared" si="39"/>
        <v>閾値の範囲内です。</v>
      </c>
      <c r="M186" s="11"/>
      <c r="N186" s="1" t="str">
        <f t="shared" si="35"/>
        <v/>
      </c>
    </row>
    <row r="187" spans="2:15" ht="15.75" customHeight="1">
      <c r="B187" s="6">
        <v>9</v>
      </c>
      <c r="C187" s="7" t="s">
        <v>96</v>
      </c>
      <c r="D187" s="164" t="s">
        <v>416</v>
      </c>
      <c r="E187" s="15" t="s">
        <v>50</v>
      </c>
      <c r="F187" s="35" t="n">
        <v>0.0</v>
      </c>
      <c r="G187" s="36" t="n">
        <v>0.0</v>
      </c>
      <c r="H187" s="82" t="n">
        <v>0.0</v>
      </c>
      <c r="I187" s="52" t="str">
        <f t="shared" ref="I187:I210" si="49">IF(H187="－",IF(ISERROR(F187/G187/12)=TRUE,"－",F187/G187/12),IF(ISERROR(F187/G187/H187/12)=TRUE,"－",F187/G187/H187/12))</f>
        <v>－</v>
      </c>
      <c r="J187" s="16" t="n">
        <f>IF(data!I116&lt;0,0,data!I116)</f>
        <v>850.0</v>
      </c>
      <c r="K187" s="16" t="n">
        <f>IF(data!J116&lt;0,0,data!J116)</f>
        <v>14075.0</v>
      </c>
      <c r="L187" s="32" t="str">
        <f t="shared" ref="L187:L210" si="50">IF(I187="－","",IF(I187&lt;J187,"下限値を\"&amp;TEXT(ROUND(J187-I187,0),"#,##0")&amp;"下回っています。",IF(I187&gt;K187,"上限値を\"&amp;TEXT(ROUND(I187-K187,0),"#,##0")&amp;"上回っています。","閾値の範囲内です。")))</f>
        <v/>
      </c>
      <c r="M187" s="11"/>
      <c r="N187" s="1" t="str">
        <f t="shared" ref="N187:N210" si="51">IF(OR(I187="－",AND(J187="－",K187="－")),"",IF(OR(I187&lt;J187,I187&gt;K187),1,""))</f>
        <v/>
      </c>
      <c r="O187" s="1" t="n">
        <f t="shared" ref="O187:O193" si="52">IF(OR(AND(F187="",G187="",H187="－"),AND(F187="",G187="",H187="")),"",1)</f>
        <v>1.0</v>
      </c>
    </row>
    <row r="188" spans="2:15" ht="15.75" customHeight="1">
      <c r="B188" s="8"/>
      <c r="C188" s="58" t="str">
        <f t="shared" si="3"/>
        <v>短期入所療養介護（老健）</v>
      </c>
      <c r="D188" s="165"/>
      <c r="E188" s="30" t="s">
        <v>51</v>
      </c>
      <c r="F188" s="37" t="n">
        <v>0.0</v>
      </c>
      <c r="G188" s="38" t="n">
        <v>0.0</v>
      </c>
      <c r="H188" s="83" t="n">
        <v>5.0</v>
      </c>
      <c r="I188" s="55" t="str">
        <f t="shared" si="49"/>
        <v>－</v>
      </c>
      <c r="J188" s="31" t="n">
        <f>IF(data!I117&lt;0,0,data!I117)</f>
        <v>4170.0</v>
      </c>
      <c r="K188" s="31" t="n">
        <f>IF(data!J117&lt;0,0,data!J117)</f>
        <v>15135.0</v>
      </c>
      <c r="L188" s="33" t="str">
        <f t="shared" si="50"/>
        <v/>
      </c>
      <c r="M188" s="11"/>
      <c r="N188" s="1" t="str">
        <f t="shared" si="51"/>
        <v/>
      </c>
      <c r="O188" s="1" t="n">
        <f t="shared" si="52"/>
        <v>1.0</v>
      </c>
    </row>
    <row r="189" spans="2:15" ht="15.75" customHeight="1">
      <c r="B189" s="8"/>
      <c r="C189" s="58" t="str">
        <f t="shared" si="3"/>
        <v>短期入所療養介護（老健）</v>
      </c>
      <c r="D189" s="165"/>
      <c r="E189" s="18" t="s">
        <v>44</v>
      </c>
      <c r="F189" s="39" t="n">
        <v>0.0</v>
      </c>
      <c r="G189" s="40" t="n">
        <v>0.0</v>
      </c>
      <c r="H189" s="84" t="n">
        <v>7.3</v>
      </c>
      <c r="I189" s="53" t="str">
        <f t="shared" si="49"/>
        <v>－</v>
      </c>
      <c r="J189" s="21" t="n">
        <f>IF(data!I118&lt;0,0,data!I118)</f>
        <v>7135.0</v>
      </c>
      <c r="K189" s="21" t="n">
        <f>IF(data!J118&lt;0,0,data!J118)</f>
        <v>13520.0</v>
      </c>
      <c r="L189" s="22" t="str">
        <f t="shared" si="50"/>
        <v/>
      </c>
      <c r="M189" s="11"/>
      <c r="N189" s="1" t="str">
        <f t="shared" si="51"/>
        <v/>
      </c>
      <c r="O189" s="1" t="n">
        <f t="shared" si="52"/>
        <v>1.0</v>
      </c>
    </row>
    <row r="190" spans="2:15" ht="15.75" customHeight="1">
      <c r="B190" s="8"/>
      <c r="C190" s="58" t="str">
        <f t="shared" si="3"/>
        <v>短期入所療養介護（老健）</v>
      </c>
      <c r="D190" s="165"/>
      <c r="E190" s="18" t="s">
        <v>45</v>
      </c>
      <c r="F190" s="39" t="n">
        <v>0.0</v>
      </c>
      <c r="G190" s="40" t="n">
        <v>0.0</v>
      </c>
      <c r="H190" s="84" t="n">
        <v>0.0</v>
      </c>
      <c r="I190" s="53" t="str">
        <f t="shared" si="49"/>
        <v>－</v>
      </c>
      <c r="J190" s="21" t="n">
        <f>IF(data!I119&lt;0,0,data!I119)</f>
        <v>7685.0</v>
      </c>
      <c r="K190" s="21" t="n">
        <f>IF(data!J119&lt;0,0,data!J119)</f>
        <v>14060.0</v>
      </c>
      <c r="L190" s="22" t="str">
        <f t="shared" si="50"/>
        <v/>
      </c>
      <c r="M190" s="11"/>
      <c r="N190" s="1" t="str">
        <f t="shared" si="51"/>
        <v/>
      </c>
      <c r="O190" s="1" t="n">
        <f t="shared" si="52"/>
        <v>1.0</v>
      </c>
    </row>
    <row r="191" spans="2:15" ht="15.75" customHeight="1">
      <c r="B191" s="8"/>
      <c r="C191" s="58" t="str">
        <f t="shared" si="3"/>
        <v>短期入所療養介護（老健）</v>
      </c>
      <c r="D191" s="165"/>
      <c r="E191" s="18" t="s">
        <v>46</v>
      </c>
      <c r="F191" s="39" t="n">
        <v>0.0</v>
      </c>
      <c r="G191" s="40" t="n">
        <v>0.0</v>
      </c>
      <c r="H191" s="84" t="n">
        <v>3.3</v>
      </c>
      <c r="I191" s="53" t="str">
        <f t="shared" si="49"/>
        <v>－</v>
      </c>
      <c r="J191" s="21" t="n">
        <f>IF(data!I120&lt;0,0,data!I120)</f>
        <v>8565.0</v>
      </c>
      <c r="K191" s="21" t="n">
        <f>IF(data!J120&lt;0,0,data!J120)</f>
        <v>14935.0</v>
      </c>
      <c r="L191" s="22" t="str">
        <f t="shared" si="50"/>
        <v/>
      </c>
      <c r="M191" s="11"/>
      <c r="N191" s="1" t="str">
        <f t="shared" si="51"/>
        <v/>
      </c>
      <c r="O191" s="1" t="n">
        <f t="shared" si="52"/>
        <v>1.0</v>
      </c>
    </row>
    <row r="192" spans="2:15" ht="15.75" customHeight="1">
      <c r="B192" s="8"/>
      <c r="C192" s="58" t="str">
        <f t="shared" si="3"/>
        <v>短期入所療養介護（老健）</v>
      </c>
      <c r="D192" s="165"/>
      <c r="E192" s="18" t="s">
        <v>47</v>
      </c>
      <c r="F192" s="39" t="n">
        <v>2424175.2</v>
      </c>
      <c r="G192" s="40" t="n">
        <v>2.0</v>
      </c>
      <c r="H192" s="84" t="n">
        <v>9.3</v>
      </c>
      <c r="I192" s="53" t="n">
        <f t="shared" si="49"/>
        <v>10861.0</v>
      </c>
      <c r="J192" s="21" t="n">
        <f>IF(data!I121&lt;0,0,data!I121)</f>
        <v>8875.0</v>
      </c>
      <c r="K192" s="21" t="n">
        <f>IF(data!J121&lt;0,0,data!J121)</f>
        <v>15830.0</v>
      </c>
      <c r="L192" s="22" t="str">
        <f t="shared" si="50"/>
        <v>閾値の範囲内です。</v>
      </c>
      <c r="M192" s="11"/>
      <c r="N192" s="1" t="str">
        <f t="shared" si="51"/>
        <v/>
      </c>
      <c r="O192" s="1" t="n">
        <f t="shared" si="52"/>
        <v>1.0</v>
      </c>
    </row>
    <row r="193" spans="2:15" ht="15.75" customHeight="1">
      <c r="B193" s="8"/>
      <c r="C193" s="58" t="str">
        <f t="shared" si="3"/>
        <v>短期入所療養介護（老健）</v>
      </c>
      <c r="D193" s="165"/>
      <c r="E193" s="18" t="s">
        <v>48</v>
      </c>
      <c r="F193" s="39" t="n">
        <v>0.0</v>
      </c>
      <c r="G193" s="40" t="n">
        <v>0.0</v>
      </c>
      <c r="H193" s="84" t="n">
        <v>4.0</v>
      </c>
      <c r="I193" s="53" t="str">
        <f t="shared" si="49"/>
        <v>－</v>
      </c>
      <c r="J193" s="21" t="n">
        <f>IF(data!I122&lt;0,0,data!I122)</f>
        <v>9395.0</v>
      </c>
      <c r="K193" s="21" t="n">
        <f>IF(data!J122&lt;0,0,data!J122)</f>
        <v>17050.0</v>
      </c>
      <c r="L193" s="22" t="str">
        <f t="shared" si="50"/>
        <v/>
      </c>
      <c r="M193" s="11"/>
      <c r="N193" s="1" t="str">
        <f t="shared" si="51"/>
        <v/>
      </c>
      <c r="O193" s="1" t="n">
        <f t="shared" si="52"/>
        <v>1.0</v>
      </c>
    </row>
    <row r="194" spans="2:15" ht="15.75" customHeight="1">
      <c r="B194" s="8"/>
      <c r="C194" s="58" t="str">
        <f t="shared" si="3"/>
        <v>短期入所療養介護（老健）</v>
      </c>
      <c r="D194" s="166"/>
      <c r="E194" s="23" t="s">
        <v>49</v>
      </c>
      <c r="F194" s="24" t="n">
        <f>SUM(F187:F193)</f>
        <v>2424175.2</v>
      </c>
      <c r="G194" s="25" t="n">
        <f>SUM(G187:G193)</f>
        <v>2.0</v>
      </c>
      <c r="H194" s="85" t="n">
        <f>IF(ISERROR((G187*H187+G188*H188+G189*H189+G190*H190+G191*H191+G192*H192+G193*H193)/G194)=TRUE,"－",(G187*H187+G188*H188+G189*H189+G190*H190+G191*H191+G192*H192+G193*H193)/G194)</f>
        <v>9.3</v>
      </c>
      <c r="I194" s="54" t="n">
        <f t="shared" si="49"/>
        <v>10861.0</v>
      </c>
      <c r="J194" s="26" t="n">
        <f>IF(data!I123&lt;0,0,data!I123)</f>
        <v>8355.0</v>
      </c>
      <c r="K194" s="26" t="n">
        <f>IF(data!J123&lt;0,0,data!J123)</f>
        <v>14705.0</v>
      </c>
      <c r="L194" s="27" t="str">
        <f t="shared" si="50"/>
        <v>閾値の範囲内です。</v>
      </c>
      <c r="M194" s="11"/>
      <c r="N194" s="1" t="str">
        <f t="shared" si="51"/>
        <v/>
      </c>
    </row>
    <row r="195" spans="2:15" ht="15.75" customHeight="1">
      <c r="B195" s="8"/>
      <c r="C195" s="58" t="str">
        <f t="shared" si="3"/>
        <v>短期入所療養介護（老健）</v>
      </c>
      <c r="D195" s="164" t="s">
        <v>415</v>
      </c>
      <c r="E195" s="15" t="s">
        <v>50</v>
      </c>
      <c r="F195" s="35" t="n">
        <v>0.0</v>
      </c>
      <c r="G195" s="36" t="n">
        <v>0.0</v>
      </c>
      <c r="H195" s="82" t="n">
        <v>0.0</v>
      </c>
      <c r="I195" s="52" t="str">
        <f t="shared" si="49"/>
        <v>－</v>
      </c>
      <c r="J195" s="16" t="n">
        <f t="shared" ref="J195:K210" si="53">J187</f>
        <v>850.0</v>
      </c>
      <c r="K195" s="16" t="n">
        <f t="shared" si="53"/>
        <v>14075.0</v>
      </c>
      <c r="L195" s="32" t="str">
        <f t="shared" si="50"/>
        <v/>
      </c>
      <c r="M195" s="11"/>
      <c r="N195" s="1" t="str">
        <f t="shared" si="51"/>
        <v/>
      </c>
      <c r="O195" s="1" t="n">
        <f t="shared" ref="O195:O201" si="54">IF(OR(AND(F195="",G195="",H195="－"),AND(F195="",G195="",H195="")),"",1)</f>
        <v>1.0</v>
      </c>
    </row>
    <row r="196" spans="2:15" ht="15.75" customHeight="1">
      <c r="B196" s="108"/>
      <c r="C196" s="58" t="str">
        <f t="shared" si="3"/>
        <v>短期入所療養介護（老健）</v>
      </c>
      <c r="D196" s="165"/>
      <c r="E196" s="30" t="s">
        <v>51</v>
      </c>
      <c r="F196" s="37" t="n">
        <v>0.0</v>
      </c>
      <c r="G196" s="38" t="n">
        <v>0.0</v>
      </c>
      <c r="H196" s="83" t="n">
        <v>5.0</v>
      </c>
      <c r="I196" s="55" t="str">
        <f t="shared" si="49"/>
        <v>－</v>
      </c>
      <c r="J196" s="31" t="n">
        <f t="shared" si="53"/>
        <v>4170.0</v>
      </c>
      <c r="K196" s="31" t="n">
        <f t="shared" si="53"/>
        <v>15135.0</v>
      </c>
      <c r="L196" s="33" t="str">
        <f t="shared" si="50"/>
        <v/>
      </c>
      <c r="M196" s="11"/>
      <c r="N196" s="1" t="str">
        <f t="shared" si="51"/>
        <v/>
      </c>
      <c r="O196" s="1" t="n">
        <f t="shared" si="54"/>
        <v>1.0</v>
      </c>
    </row>
    <row r="197" spans="2:15" ht="15.75" customHeight="1">
      <c r="B197" s="108"/>
      <c r="C197" s="58" t="str">
        <f t="shared" si="3"/>
        <v>短期入所療養介護（老健）</v>
      </c>
      <c r="D197" s="165"/>
      <c r="E197" s="18" t="s">
        <v>44</v>
      </c>
      <c r="F197" s="39" t="n">
        <v>0.0</v>
      </c>
      <c r="G197" s="40" t="n">
        <v>0.0</v>
      </c>
      <c r="H197" s="84" t="n">
        <v>7.3</v>
      </c>
      <c r="I197" s="53" t="str">
        <f t="shared" si="49"/>
        <v>－</v>
      </c>
      <c r="J197" s="21" t="n">
        <f t="shared" si="53"/>
        <v>7135.0</v>
      </c>
      <c r="K197" s="21" t="n">
        <f t="shared" si="53"/>
        <v>13520.0</v>
      </c>
      <c r="L197" s="22" t="str">
        <f t="shared" si="50"/>
        <v/>
      </c>
      <c r="M197" s="11"/>
      <c r="N197" s="1" t="str">
        <f t="shared" si="51"/>
        <v/>
      </c>
      <c r="O197" s="1" t="n">
        <f t="shared" si="54"/>
        <v>1.0</v>
      </c>
    </row>
    <row r="198" spans="2:15" ht="15.75" customHeight="1">
      <c r="B198" s="108"/>
      <c r="C198" s="58" t="str">
        <f t="shared" si="3"/>
        <v>短期入所療養介護（老健）</v>
      </c>
      <c r="D198" s="165"/>
      <c r="E198" s="18" t="s">
        <v>45</v>
      </c>
      <c r="F198" s="39" t="n">
        <v>0.0</v>
      </c>
      <c r="G198" s="40" t="n">
        <v>0.0</v>
      </c>
      <c r="H198" s="84" t="n">
        <v>0.0</v>
      </c>
      <c r="I198" s="53" t="str">
        <f t="shared" si="49"/>
        <v>－</v>
      </c>
      <c r="J198" s="21" t="n">
        <f t="shared" si="53"/>
        <v>7685.0</v>
      </c>
      <c r="K198" s="21" t="n">
        <f t="shared" si="53"/>
        <v>14060.0</v>
      </c>
      <c r="L198" s="22" t="str">
        <f t="shared" si="50"/>
        <v/>
      </c>
      <c r="M198" s="11"/>
      <c r="N198" s="1" t="str">
        <f t="shared" si="51"/>
        <v/>
      </c>
      <c r="O198" s="1" t="n">
        <f t="shared" si="54"/>
        <v>1.0</v>
      </c>
    </row>
    <row r="199" spans="2:15" ht="15.75" customHeight="1">
      <c r="B199" s="108"/>
      <c r="C199" s="58" t="str">
        <f t="shared" si="3"/>
        <v>短期入所療養介護（老健）</v>
      </c>
      <c r="D199" s="165"/>
      <c r="E199" s="18" t="s">
        <v>46</v>
      </c>
      <c r="F199" s="39" t="n">
        <v>0.0</v>
      </c>
      <c r="G199" s="40" t="n">
        <v>0.0</v>
      </c>
      <c r="H199" s="84" t="n">
        <v>3.3</v>
      </c>
      <c r="I199" s="53" t="str">
        <f t="shared" si="49"/>
        <v>－</v>
      </c>
      <c r="J199" s="21" t="n">
        <f t="shared" si="53"/>
        <v>8565.0</v>
      </c>
      <c r="K199" s="21" t="n">
        <f t="shared" si="53"/>
        <v>14935.0</v>
      </c>
      <c r="L199" s="22" t="str">
        <f t="shared" si="50"/>
        <v/>
      </c>
      <c r="M199" s="11"/>
      <c r="N199" s="1" t="str">
        <f t="shared" si="51"/>
        <v/>
      </c>
      <c r="O199" s="1" t="n">
        <f t="shared" si="54"/>
        <v>1.0</v>
      </c>
    </row>
    <row r="200" spans="2:15" ht="15.75" customHeight="1">
      <c r="B200" s="108"/>
      <c r="C200" s="58" t="str">
        <f t="shared" si="3"/>
        <v>短期入所療養介護（老健）</v>
      </c>
      <c r="D200" s="165"/>
      <c r="E200" s="18" t="s">
        <v>47</v>
      </c>
      <c r="F200" s="39" t="n">
        <v>2424175.2</v>
      </c>
      <c r="G200" s="40" t="n">
        <v>2.0</v>
      </c>
      <c r="H200" s="84" t="n">
        <v>9.3</v>
      </c>
      <c r="I200" s="53" t="n">
        <f t="shared" si="49"/>
        <v>10861.0</v>
      </c>
      <c r="J200" s="21" t="n">
        <f t="shared" si="53"/>
        <v>8875.0</v>
      </c>
      <c r="K200" s="21" t="n">
        <f t="shared" si="53"/>
        <v>15830.0</v>
      </c>
      <c r="L200" s="22" t="str">
        <f t="shared" si="50"/>
        <v>閾値の範囲内です。</v>
      </c>
      <c r="M200" s="11"/>
      <c r="N200" s="1" t="str">
        <f t="shared" si="51"/>
        <v/>
      </c>
      <c r="O200" s="1" t="n">
        <f t="shared" si="54"/>
        <v>1.0</v>
      </c>
    </row>
    <row r="201" spans="2:15" ht="15.75" customHeight="1">
      <c r="B201" s="108"/>
      <c r="C201" s="58" t="str">
        <f t="shared" si="3"/>
        <v>短期入所療養介護（老健）</v>
      </c>
      <c r="D201" s="165"/>
      <c r="E201" s="18" t="s">
        <v>48</v>
      </c>
      <c r="F201" s="39" t="n">
        <v>0.0</v>
      </c>
      <c r="G201" s="40" t="n">
        <v>0.0</v>
      </c>
      <c r="H201" s="84" t="n">
        <v>4.0</v>
      </c>
      <c r="I201" s="53" t="str">
        <f t="shared" si="49"/>
        <v>－</v>
      </c>
      <c r="J201" s="21" t="n">
        <f t="shared" si="53"/>
        <v>9395.0</v>
      </c>
      <c r="K201" s="21" t="n">
        <f t="shared" si="53"/>
        <v>17050.0</v>
      </c>
      <c r="L201" s="22" t="str">
        <f t="shared" si="50"/>
        <v/>
      </c>
      <c r="M201" s="11"/>
      <c r="N201" s="1" t="str">
        <f t="shared" si="51"/>
        <v/>
      </c>
      <c r="O201" s="1" t="n">
        <f t="shared" si="54"/>
        <v>1.0</v>
      </c>
    </row>
    <row r="202" spans="2:15" ht="15.75" customHeight="1">
      <c r="B202" s="108"/>
      <c r="C202" s="58" t="str">
        <f t="shared" si="3"/>
        <v>短期入所療養介護（老健）</v>
      </c>
      <c r="D202" s="166"/>
      <c r="E202" s="23" t="s">
        <v>49</v>
      </c>
      <c r="F202" s="24" t="n">
        <f>SUM(F195:F201)</f>
        <v>2424175.2</v>
      </c>
      <c r="G202" s="25" t="n">
        <f>SUM(G195:G201)</f>
        <v>2.0</v>
      </c>
      <c r="H202" s="85" t="n">
        <f>IF(ISERROR((G195*H195+G196*H196+G197*H197+G198*H198+G199*H199+G200*H200+G201*H201)/G202)=TRUE,"－",(G195*H195+G196*H196+G197*H197+G198*H198+G199*H199+G200*H200+G201*H201)/G202)</f>
        <v>9.3</v>
      </c>
      <c r="I202" s="54" t="n">
        <f t="shared" si="49"/>
        <v>10861.0</v>
      </c>
      <c r="J202" s="21" t="n">
        <f t="shared" si="53"/>
        <v>8355.0</v>
      </c>
      <c r="K202" s="21" t="n">
        <f t="shared" si="53"/>
        <v>14705.0</v>
      </c>
      <c r="L202" s="27" t="str">
        <f t="shared" si="50"/>
        <v>閾値の範囲内です。</v>
      </c>
      <c r="M202" s="11"/>
      <c r="N202" s="1" t="str">
        <f t="shared" si="51"/>
        <v/>
      </c>
    </row>
    <row r="203" spans="2:15" ht="15.75" customHeight="1">
      <c r="B203" s="108"/>
      <c r="C203" s="58" t="str">
        <f t="shared" si="3"/>
        <v>短期入所療養介護（老健）</v>
      </c>
      <c r="D203" s="164" t="s">
        <v>414</v>
      </c>
      <c r="E203" s="15" t="s">
        <v>50</v>
      </c>
      <c r="F203" s="35" t="n">
        <v>0.0</v>
      </c>
      <c r="G203" s="36" t="n">
        <v>0.0</v>
      </c>
      <c r="H203" s="82" t="n">
        <v>0.0</v>
      </c>
      <c r="I203" s="52" t="str">
        <f t="shared" si="49"/>
        <v>－</v>
      </c>
      <c r="J203" s="16" t="n">
        <f t="shared" si="53"/>
        <v>850.0</v>
      </c>
      <c r="K203" s="16" t="n">
        <f t="shared" si="53"/>
        <v>14075.0</v>
      </c>
      <c r="L203" s="32" t="str">
        <f t="shared" si="50"/>
        <v/>
      </c>
      <c r="M203" s="11"/>
      <c r="N203" s="1" t="str">
        <f t="shared" si="51"/>
        <v/>
      </c>
      <c r="O203" s="1" t="n">
        <f t="shared" ref="O203:O209" si="55">IF(OR(AND(F203="",G203="",H203="－"),AND(F203="",G203="",H203="")),"",1)</f>
        <v>1.0</v>
      </c>
    </row>
    <row r="204" spans="2:15" ht="15.75" customHeight="1">
      <c r="B204" s="108"/>
      <c r="C204" s="58" t="str">
        <f t="shared" si="3"/>
        <v>短期入所療養介護（老健）</v>
      </c>
      <c r="D204" s="165"/>
      <c r="E204" s="30" t="s">
        <v>51</v>
      </c>
      <c r="F204" s="37" t="n">
        <v>0.0</v>
      </c>
      <c r="G204" s="38" t="n">
        <v>0.0</v>
      </c>
      <c r="H204" s="83" t="n">
        <v>5.0</v>
      </c>
      <c r="I204" s="55" t="str">
        <f t="shared" si="49"/>
        <v>－</v>
      </c>
      <c r="J204" s="31" t="n">
        <f t="shared" si="53"/>
        <v>4170.0</v>
      </c>
      <c r="K204" s="31" t="n">
        <f t="shared" si="53"/>
        <v>15135.0</v>
      </c>
      <c r="L204" s="33" t="str">
        <f t="shared" si="50"/>
        <v/>
      </c>
      <c r="M204" s="11"/>
      <c r="N204" s="1" t="str">
        <f t="shared" si="51"/>
        <v/>
      </c>
      <c r="O204" s="1" t="n">
        <f t="shared" si="55"/>
        <v>1.0</v>
      </c>
    </row>
    <row r="205" spans="2:15" ht="15.75" customHeight="1">
      <c r="B205" s="108"/>
      <c r="C205" s="58" t="str">
        <f t="shared" si="3"/>
        <v>短期入所療養介護（老健）</v>
      </c>
      <c r="D205" s="165"/>
      <c r="E205" s="18" t="s">
        <v>44</v>
      </c>
      <c r="F205" s="39" t="n">
        <v>0.0</v>
      </c>
      <c r="G205" s="40" t="n">
        <v>0.0</v>
      </c>
      <c r="H205" s="84" t="n">
        <v>7.3</v>
      </c>
      <c r="I205" s="53" t="str">
        <f t="shared" si="49"/>
        <v>－</v>
      </c>
      <c r="J205" s="21" t="n">
        <f t="shared" si="53"/>
        <v>7135.0</v>
      </c>
      <c r="K205" s="21" t="n">
        <f t="shared" si="53"/>
        <v>13520.0</v>
      </c>
      <c r="L205" s="22" t="str">
        <f t="shared" si="50"/>
        <v/>
      </c>
      <c r="M205" s="11"/>
      <c r="N205" s="1" t="str">
        <f t="shared" si="51"/>
        <v/>
      </c>
      <c r="O205" s="1" t="n">
        <f t="shared" si="55"/>
        <v>1.0</v>
      </c>
    </row>
    <row r="206" spans="2:15" ht="15.75" customHeight="1">
      <c r="B206" s="108"/>
      <c r="C206" s="58" t="str">
        <f t="shared" si="3"/>
        <v>短期入所療養介護（老健）</v>
      </c>
      <c r="D206" s="165"/>
      <c r="E206" s="18" t="s">
        <v>45</v>
      </c>
      <c r="F206" s="39" t="n">
        <v>0.0</v>
      </c>
      <c r="G206" s="40" t="n">
        <v>0.0</v>
      </c>
      <c r="H206" s="84" t="n">
        <v>0.0</v>
      </c>
      <c r="I206" s="53" t="str">
        <f t="shared" si="49"/>
        <v>－</v>
      </c>
      <c r="J206" s="21" t="n">
        <f t="shared" si="53"/>
        <v>7685.0</v>
      </c>
      <c r="K206" s="21" t="n">
        <f t="shared" si="53"/>
        <v>14060.0</v>
      </c>
      <c r="L206" s="22" t="str">
        <f t="shared" si="50"/>
        <v/>
      </c>
      <c r="M206" s="11"/>
      <c r="N206" s="1" t="str">
        <f t="shared" si="51"/>
        <v/>
      </c>
      <c r="O206" s="1" t="n">
        <f t="shared" si="55"/>
        <v>1.0</v>
      </c>
    </row>
    <row r="207" spans="2:15" ht="15.75" customHeight="1">
      <c r="B207" s="108"/>
      <c r="C207" s="58" t="str">
        <f t="shared" si="3"/>
        <v>短期入所療養介護（老健）</v>
      </c>
      <c r="D207" s="165"/>
      <c r="E207" s="18" t="s">
        <v>46</v>
      </c>
      <c r="F207" s="39" t="n">
        <v>0.0</v>
      </c>
      <c r="G207" s="40" t="n">
        <v>0.0</v>
      </c>
      <c r="H207" s="84" t="n">
        <v>3.3</v>
      </c>
      <c r="I207" s="53" t="str">
        <f t="shared" si="49"/>
        <v>－</v>
      </c>
      <c r="J207" s="21" t="n">
        <f t="shared" si="53"/>
        <v>8565.0</v>
      </c>
      <c r="K207" s="21" t="n">
        <f t="shared" si="53"/>
        <v>14935.0</v>
      </c>
      <c r="L207" s="22" t="str">
        <f t="shared" si="50"/>
        <v/>
      </c>
      <c r="M207" s="11"/>
      <c r="N207" s="1" t="str">
        <f t="shared" si="51"/>
        <v/>
      </c>
      <c r="O207" s="1" t="n">
        <f t="shared" si="55"/>
        <v>1.0</v>
      </c>
    </row>
    <row r="208" spans="2:15" ht="15.75" customHeight="1">
      <c r="B208" s="108"/>
      <c r="C208" s="58" t="str">
        <f t="shared" si="3"/>
        <v>短期入所療養介護（老健）</v>
      </c>
      <c r="D208" s="165"/>
      <c r="E208" s="18" t="s">
        <v>47</v>
      </c>
      <c r="F208" s="39" t="n">
        <v>2424175.2</v>
      </c>
      <c r="G208" s="40" t="n">
        <v>2.0</v>
      </c>
      <c r="H208" s="84" t="n">
        <v>9.3</v>
      </c>
      <c r="I208" s="53" t="n">
        <f t="shared" si="49"/>
        <v>10861.0</v>
      </c>
      <c r="J208" s="21" t="n">
        <f t="shared" si="53"/>
        <v>8875.0</v>
      </c>
      <c r="K208" s="21" t="n">
        <f t="shared" si="53"/>
        <v>15830.0</v>
      </c>
      <c r="L208" s="22" t="str">
        <f t="shared" si="50"/>
        <v>閾値の範囲内です。</v>
      </c>
      <c r="M208" s="11"/>
      <c r="N208" s="1" t="str">
        <f t="shared" si="51"/>
        <v/>
      </c>
      <c r="O208" s="1" t="n">
        <f t="shared" si="55"/>
        <v>1.0</v>
      </c>
    </row>
    <row r="209" spans="2:15" ht="15.75" customHeight="1">
      <c r="B209" s="108"/>
      <c r="C209" s="58" t="str">
        <f t="shared" si="3"/>
        <v>短期入所療養介護（老健）</v>
      </c>
      <c r="D209" s="165"/>
      <c r="E209" s="18" t="s">
        <v>48</v>
      </c>
      <c r="F209" s="39" t="n">
        <v>0.0</v>
      </c>
      <c r="G209" s="40" t="n">
        <v>0.0</v>
      </c>
      <c r="H209" s="84" t="n">
        <v>4.0</v>
      </c>
      <c r="I209" s="53" t="str">
        <f t="shared" si="49"/>
        <v>－</v>
      </c>
      <c r="J209" s="21" t="n">
        <f t="shared" si="53"/>
        <v>9395.0</v>
      </c>
      <c r="K209" s="21" t="n">
        <f t="shared" si="53"/>
        <v>17050.0</v>
      </c>
      <c r="L209" s="22" t="str">
        <f t="shared" si="50"/>
        <v/>
      </c>
      <c r="M209" s="11"/>
      <c r="N209" s="1" t="str">
        <f t="shared" si="51"/>
        <v/>
      </c>
      <c r="O209" s="1" t="n">
        <f t="shared" si="55"/>
        <v>1.0</v>
      </c>
    </row>
    <row r="210" spans="2:15" ht="15.75" customHeight="1">
      <c r="B210" s="109"/>
      <c r="C210" s="59" t="str">
        <f t="shared" si="3"/>
        <v>短期入所療養介護（老健）</v>
      </c>
      <c r="D210" s="166"/>
      <c r="E210" s="23" t="s">
        <v>49</v>
      </c>
      <c r="F210" s="24" t="n">
        <f>SUM(F203:F209)</f>
        <v>2424175.2</v>
      </c>
      <c r="G210" s="25" t="n">
        <f>SUM(G203:G209)</f>
        <v>2.0</v>
      </c>
      <c r="H210" s="85" t="n">
        <f>IF(ISERROR((G203*H203+G204*H204+G205*H205+G206*H206+G207*H207+G208*H208+G209*H209)/G210)=TRUE,"－",(G203*H203+G204*H204+G205*H205+G206*H206+G207*H207+G208*H208+G209*H209)/G210)</f>
        <v>9.3</v>
      </c>
      <c r="I210" s="54" t="n">
        <f t="shared" si="49"/>
        <v>10861.0</v>
      </c>
      <c r="J210" s="26" t="n">
        <f t="shared" si="53"/>
        <v>8355.0</v>
      </c>
      <c r="K210" s="26" t="n">
        <f t="shared" si="53"/>
        <v>14705.0</v>
      </c>
      <c r="L210" s="27" t="str">
        <f t="shared" si="50"/>
        <v>閾値の範囲内です。</v>
      </c>
      <c r="M210" s="11"/>
      <c r="N210" s="1" t="str">
        <f t="shared" si="51"/>
        <v/>
      </c>
    </row>
    <row r="211" spans="2:15" ht="15.75" customHeight="1">
      <c r="B211" s="107">
        <v>10</v>
      </c>
      <c r="C211" s="7" t="s">
        <v>97</v>
      </c>
      <c r="D211" s="164" t="s">
        <v>416</v>
      </c>
      <c r="E211" s="15" t="s">
        <v>50</v>
      </c>
      <c r="F211" s="35" t="n">
        <v>0.0</v>
      </c>
      <c r="G211" s="36" t="n">
        <v>0.0</v>
      </c>
      <c r="H211" s="82" t="n">
        <v>0.0</v>
      </c>
      <c r="I211" s="52" t="str">
        <f t="shared" ref="I211:I234" si="56">IF(H211="－",IF(ISERROR(F211/G211/12)=TRUE,"－",F211/G211/12),IF(ISERROR(F211/G211/H211/12)=TRUE,"－",F211/G211/H211/12))</f>
        <v>－</v>
      </c>
      <c r="J211" s="16" t="n">
        <f>IF(data!I124&lt;0,0,data!I124)</f>
        <v>2325.0</v>
      </c>
      <c r="K211" s="16" t="n">
        <f>IF(data!J124&lt;0,0,data!J124)</f>
        <v>9225.0</v>
      </c>
      <c r="L211" s="32" t="str">
        <f t="shared" ref="L211:L234" si="57">IF(I211="－","",IF(I211&lt;J211,"下限値を\"&amp;TEXT(ROUND(J211-I211,0),"#,##0")&amp;"下回っています。",IF(I211&gt;K211,"上限値を\"&amp;TEXT(ROUND(I211-K211,0),"#,##0")&amp;"上回っています。","閾値の範囲内です。")))</f>
        <v/>
      </c>
      <c r="M211" s="11"/>
      <c r="N211" s="1" t="str">
        <f t="shared" ref="N211:N234" si="58">IF(OR(I211="－",AND(J211="－",K211="－")),"",IF(OR(I211&lt;J211,I211&gt;K211),1,""))</f>
        <v/>
      </c>
      <c r="O211" s="1" t="n">
        <f t="shared" ref="O211:O217" si="59">IF(OR(AND(F211="",G211="",H211="－"),AND(F211="",G211="",H211="")),"",1)</f>
        <v>1.0</v>
      </c>
    </row>
    <row r="212" spans="2:15" ht="15.75" customHeight="1">
      <c r="B212" s="108"/>
      <c r="C212" s="58" t="str">
        <f t="shared" si="3"/>
        <v>短期入所療養介護（病院等）</v>
      </c>
      <c r="D212" s="165"/>
      <c r="E212" s="30" t="s">
        <v>51</v>
      </c>
      <c r="F212" s="37" t="n">
        <v>0.0</v>
      </c>
      <c r="G212" s="38" t="n">
        <v>0.0</v>
      </c>
      <c r="H212" s="83" t="n">
        <v>0.0</v>
      </c>
      <c r="I212" s="55" t="str">
        <f t="shared" si="56"/>
        <v>－</v>
      </c>
      <c r="J212" s="31" t="n">
        <f>IF(data!I125&lt;0,0,data!I125)</f>
        <v>4950.0</v>
      </c>
      <c r="K212" s="31" t="n">
        <f>IF(data!J125&lt;0,0,data!J125)</f>
        <v>9225.0</v>
      </c>
      <c r="L212" s="33" t="str">
        <f t="shared" si="57"/>
        <v/>
      </c>
      <c r="M212" s="11"/>
      <c r="N212" s="1" t="str">
        <f t="shared" si="58"/>
        <v/>
      </c>
      <c r="O212" s="1" t="n">
        <f t="shared" si="59"/>
        <v>1.0</v>
      </c>
    </row>
    <row r="213" spans="2:15" ht="15.75" customHeight="1">
      <c r="B213" s="108"/>
      <c r="C213" s="58" t="str">
        <f t="shared" si="3"/>
        <v>短期入所療養介護（病院等）</v>
      </c>
      <c r="D213" s="165"/>
      <c r="E213" s="18" t="s">
        <v>44</v>
      </c>
      <c r="F213" s="39" t="n">
        <v>0.0</v>
      </c>
      <c r="G213" s="40" t="n">
        <v>0.0</v>
      </c>
      <c r="H213" s="84" t="n">
        <v>0.0</v>
      </c>
      <c r="I213" s="53" t="str">
        <f t="shared" si="56"/>
        <v>－</v>
      </c>
      <c r="J213" s="21" t="n">
        <f>IF(data!I126&lt;0,0,data!I126)</f>
        <v>3395.0</v>
      </c>
      <c r="K213" s="21" t="n">
        <f>IF(data!J126&lt;0,0,data!J126)</f>
        <v>13110.0</v>
      </c>
      <c r="L213" s="22" t="str">
        <f t="shared" si="57"/>
        <v/>
      </c>
      <c r="M213" s="11"/>
      <c r="N213" s="1" t="str">
        <f t="shared" si="58"/>
        <v/>
      </c>
      <c r="O213" s="1" t="n">
        <f t="shared" si="59"/>
        <v>1.0</v>
      </c>
    </row>
    <row r="214" spans="2:15" ht="15.75" customHeight="1">
      <c r="B214" s="108"/>
      <c r="C214" s="58" t="str">
        <f t="shared" si="3"/>
        <v>短期入所療養介護（病院等）</v>
      </c>
      <c r="D214" s="165"/>
      <c r="E214" s="18" t="s">
        <v>45</v>
      </c>
      <c r="F214" s="39" t="n">
        <v>0.0</v>
      </c>
      <c r="G214" s="40" t="n">
        <v>0.0</v>
      </c>
      <c r="H214" s="84" t="n">
        <v>0.0</v>
      </c>
      <c r="I214" s="53" t="str">
        <f t="shared" si="56"/>
        <v>－</v>
      </c>
      <c r="J214" s="21" t="n">
        <f>IF(data!I127&lt;0,0,data!I127)</f>
        <v>2565.0</v>
      </c>
      <c r="K214" s="21" t="n">
        <f>IF(data!J127&lt;0,0,data!J127)</f>
        <v>14835.0</v>
      </c>
      <c r="L214" s="22" t="str">
        <f t="shared" si="57"/>
        <v/>
      </c>
      <c r="M214" s="11"/>
      <c r="N214" s="1" t="str">
        <f t="shared" si="58"/>
        <v/>
      </c>
      <c r="O214" s="1" t="n">
        <f t="shared" si="59"/>
        <v>1.0</v>
      </c>
    </row>
    <row r="215" spans="2:15" ht="15.75" customHeight="1">
      <c r="B215" s="108"/>
      <c r="C215" s="58" t="str">
        <f t="shared" si="3"/>
        <v>短期入所療養介護（病院等）</v>
      </c>
      <c r="D215" s="165"/>
      <c r="E215" s="18" t="s">
        <v>46</v>
      </c>
      <c r="F215" s="39" t="n">
        <v>0.0</v>
      </c>
      <c r="G215" s="40" t="n">
        <v>0.0</v>
      </c>
      <c r="H215" s="84" t="n">
        <v>0.0</v>
      </c>
      <c r="I215" s="53" t="str">
        <f t="shared" si="56"/>
        <v>－</v>
      </c>
      <c r="J215" s="21" t="n">
        <f>IF(data!I128&lt;0,0,data!I128)</f>
        <v>3120.0</v>
      </c>
      <c r="K215" s="21" t="n">
        <f>IF(data!J128&lt;0,0,data!J128)</f>
        <v>15510.0</v>
      </c>
      <c r="L215" s="22" t="str">
        <f t="shared" si="57"/>
        <v/>
      </c>
      <c r="M215" s="11"/>
      <c r="N215" s="1" t="str">
        <f t="shared" si="58"/>
        <v/>
      </c>
      <c r="O215" s="1" t="n">
        <f t="shared" si="59"/>
        <v>1.0</v>
      </c>
    </row>
    <row r="216" spans="2:15" ht="15.75" customHeight="1">
      <c r="B216" s="108"/>
      <c r="C216" s="58" t="str">
        <f t="shared" si="3"/>
        <v>短期入所療養介護（病院等）</v>
      </c>
      <c r="D216" s="165"/>
      <c r="E216" s="18" t="s">
        <v>47</v>
      </c>
      <c r="F216" s="39" t="n">
        <v>0.0</v>
      </c>
      <c r="G216" s="40" t="n">
        <v>0.0</v>
      </c>
      <c r="H216" s="84" t="n">
        <v>0.0</v>
      </c>
      <c r="I216" s="53" t="str">
        <f t="shared" si="56"/>
        <v>－</v>
      </c>
      <c r="J216" s="21" t="n">
        <f>IF(data!I129&lt;0,0,data!I129)</f>
        <v>1925.0</v>
      </c>
      <c r="K216" s="21" t="n">
        <f>IF(data!J129&lt;0,0,data!J129)</f>
        <v>17985.0</v>
      </c>
      <c r="L216" s="22" t="str">
        <f t="shared" si="57"/>
        <v/>
      </c>
      <c r="M216" s="11"/>
      <c r="N216" s="1" t="str">
        <f t="shared" si="58"/>
        <v/>
      </c>
      <c r="O216" s="1" t="n">
        <f t="shared" si="59"/>
        <v>1.0</v>
      </c>
    </row>
    <row r="217" spans="2:15" ht="15.75" customHeight="1">
      <c r="B217" s="108"/>
      <c r="C217" s="58" t="str">
        <f t="shared" si="3"/>
        <v>短期入所療養介護（病院等）</v>
      </c>
      <c r="D217" s="165"/>
      <c r="E217" s="18" t="s">
        <v>48</v>
      </c>
      <c r="F217" s="39" t="n">
        <v>0.0</v>
      </c>
      <c r="G217" s="40" t="n">
        <v>0.0</v>
      </c>
      <c r="H217" s="84" t="n">
        <v>0.0</v>
      </c>
      <c r="I217" s="53" t="str">
        <f t="shared" si="56"/>
        <v>－</v>
      </c>
      <c r="J217" s="21" t="n">
        <f>IF(data!I130&lt;0,0,data!I130)</f>
        <v>2045.0</v>
      </c>
      <c r="K217" s="21" t="n">
        <f>IF(data!J130&lt;0,0,data!J130)</f>
        <v>19485.0</v>
      </c>
      <c r="L217" s="22" t="str">
        <f t="shared" si="57"/>
        <v/>
      </c>
      <c r="M217" s="11"/>
      <c r="N217" s="1" t="str">
        <f t="shared" si="58"/>
        <v/>
      </c>
      <c r="O217" s="1" t="n">
        <f t="shared" si="59"/>
        <v>1.0</v>
      </c>
    </row>
    <row r="218" spans="2:15" ht="15.75" customHeight="1">
      <c r="B218" s="108"/>
      <c r="C218" s="58" t="str">
        <f t="shared" si="3"/>
        <v>短期入所療養介護（病院等）</v>
      </c>
      <c r="D218" s="166"/>
      <c r="E218" s="23" t="s">
        <v>49</v>
      </c>
      <c r="F218" s="24" t="n">
        <f>SUM(F211:F217)</f>
        <v>0.0</v>
      </c>
      <c r="G218" s="25" t="n">
        <f>SUM(G211:G217)</f>
        <v>0.0</v>
      </c>
      <c r="H218" s="85" t="str">
        <f>IF(ISERROR((G211*H211+G212*H212+G213*H213+G214*H214+G215*H215+G216*H216+G217*H217)/G218)=TRUE,"－",(G211*H211+G212*H212+G213*H213+G214*H214+G215*H215+G216*H216+G217*H217)/G218)</f>
        <v>－</v>
      </c>
      <c r="I218" s="54" t="str">
        <f t="shared" si="56"/>
        <v>－</v>
      </c>
      <c r="J218" s="26" t="n">
        <f>IF(data!I131&lt;0,0,data!I131)</f>
        <v>2225.0</v>
      </c>
      <c r="K218" s="26" t="n">
        <f>IF(data!J131&lt;0,0,data!J131)</f>
        <v>17610.0</v>
      </c>
      <c r="L218" s="27" t="str">
        <f t="shared" si="57"/>
        <v/>
      </c>
      <c r="M218" s="11"/>
      <c r="N218" s="1" t="str">
        <f t="shared" si="58"/>
        <v/>
      </c>
    </row>
    <row r="219" spans="2:15" ht="15.75" customHeight="1">
      <c r="B219" s="108"/>
      <c r="C219" s="58" t="str">
        <f t="shared" si="3"/>
        <v>短期入所療養介護（病院等）</v>
      </c>
      <c r="D219" s="164" t="s">
        <v>415</v>
      </c>
      <c r="E219" s="15" t="s">
        <v>50</v>
      </c>
      <c r="F219" s="35" t="n">
        <v>0.0</v>
      </c>
      <c r="G219" s="36" t="n">
        <v>0.0</v>
      </c>
      <c r="H219" s="82" t="n">
        <v>0.0</v>
      </c>
      <c r="I219" s="52" t="str">
        <f t="shared" si="56"/>
        <v>－</v>
      </c>
      <c r="J219" s="16" t="n">
        <f t="shared" ref="J219:K234" si="60">J211</f>
        <v>2325.0</v>
      </c>
      <c r="K219" s="16" t="n">
        <f t="shared" si="60"/>
        <v>9225.0</v>
      </c>
      <c r="L219" s="32" t="str">
        <f t="shared" si="57"/>
        <v/>
      </c>
      <c r="M219" s="11"/>
      <c r="N219" s="1" t="str">
        <f t="shared" si="58"/>
        <v/>
      </c>
      <c r="O219" s="1" t="n">
        <f t="shared" ref="O219:O225" si="61">IF(OR(AND(F219="",G219="",H219="－"),AND(F219="",G219="",H219="")),"",1)</f>
        <v>1.0</v>
      </c>
    </row>
    <row r="220" spans="2:15" ht="15.75" customHeight="1">
      <c r="B220" s="108"/>
      <c r="C220" s="58" t="str">
        <f t="shared" si="3"/>
        <v>短期入所療養介護（病院等）</v>
      </c>
      <c r="D220" s="165"/>
      <c r="E220" s="30" t="s">
        <v>51</v>
      </c>
      <c r="F220" s="37" t="n">
        <v>0.0</v>
      </c>
      <c r="G220" s="38" t="n">
        <v>0.0</v>
      </c>
      <c r="H220" s="83" t="n">
        <v>0.0</v>
      </c>
      <c r="I220" s="55" t="str">
        <f t="shared" si="56"/>
        <v>－</v>
      </c>
      <c r="J220" s="31" t="n">
        <f t="shared" si="60"/>
        <v>4950.0</v>
      </c>
      <c r="K220" s="31" t="n">
        <f t="shared" si="60"/>
        <v>9225.0</v>
      </c>
      <c r="L220" s="33" t="str">
        <f t="shared" si="57"/>
        <v/>
      </c>
      <c r="M220" s="11"/>
      <c r="N220" s="1" t="str">
        <f t="shared" si="58"/>
        <v/>
      </c>
      <c r="O220" s="1" t="n">
        <f t="shared" si="61"/>
        <v>1.0</v>
      </c>
    </row>
    <row r="221" spans="2:15" ht="15.75" customHeight="1">
      <c r="B221" s="108"/>
      <c r="C221" s="58" t="str">
        <f t="shared" si="3"/>
        <v>短期入所療養介護（病院等）</v>
      </c>
      <c r="D221" s="165"/>
      <c r="E221" s="18" t="s">
        <v>44</v>
      </c>
      <c r="F221" s="39" t="n">
        <v>0.0</v>
      </c>
      <c r="G221" s="40" t="n">
        <v>0.0</v>
      </c>
      <c r="H221" s="84" t="n">
        <v>0.0</v>
      </c>
      <c r="I221" s="53" t="str">
        <f t="shared" si="56"/>
        <v>－</v>
      </c>
      <c r="J221" s="21" t="n">
        <f t="shared" si="60"/>
        <v>3395.0</v>
      </c>
      <c r="K221" s="21" t="n">
        <f t="shared" si="60"/>
        <v>13110.0</v>
      </c>
      <c r="L221" s="22" t="str">
        <f t="shared" si="57"/>
        <v/>
      </c>
      <c r="M221" s="11"/>
      <c r="N221" s="1" t="str">
        <f t="shared" si="58"/>
        <v/>
      </c>
      <c r="O221" s="1" t="n">
        <f t="shared" si="61"/>
        <v>1.0</v>
      </c>
    </row>
    <row r="222" spans="2:15" ht="15.75" customHeight="1">
      <c r="B222" s="108"/>
      <c r="C222" s="58" t="str">
        <f t="shared" si="3"/>
        <v>短期入所療養介護（病院等）</v>
      </c>
      <c r="D222" s="165"/>
      <c r="E222" s="18" t="s">
        <v>45</v>
      </c>
      <c r="F222" s="39" t="n">
        <v>0.0</v>
      </c>
      <c r="G222" s="40" t="n">
        <v>0.0</v>
      </c>
      <c r="H222" s="84" t="n">
        <v>0.0</v>
      </c>
      <c r="I222" s="53" t="str">
        <f t="shared" si="56"/>
        <v>－</v>
      </c>
      <c r="J222" s="21" t="n">
        <f t="shared" si="60"/>
        <v>2565.0</v>
      </c>
      <c r="K222" s="21" t="n">
        <f t="shared" si="60"/>
        <v>14835.0</v>
      </c>
      <c r="L222" s="22" t="str">
        <f t="shared" si="57"/>
        <v/>
      </c>
      <c r="M222" s="11"/>
      <c r="N222" s="1" t="str">
        <f t="shared" si="58"/>
        <v/>
      </c>
      <c r="O222" s="1" t="n">
        <f t="shared" si="61"/>
        <v>1.0</v>
      </c>
    </row>
    <row r="223" spans="2:15" ht="15.75" customHeight="1">
      <c r="B223" s="108"/>
      <c r="C223" s="58" t="str">
        <f t="shared" si="3"/>
        <v>短期入所療養介護（病院等）</v>
      </c>
      <c r="D223" s="165"/>
      <c r="E223" s="18" t="s">
        <v>46</v>
      </c>
      <c r="F223" s="39" t="n">
        <v>0.0</v>
      </c>
      <c r="G223" s="40" t="n">
        <v>0.0</v>
      </c>
      <c r="H223" s="84" t="n">
        <v>0.0</v>
      </c>
      <c r="I223" s="53" t="str">
        <f t="shared" si="56"/>
        <v>－</v>
      </c>
      <c r="J223" s="21" t="n">
        <f t="shared" si="60"/>
        <v>3120.0</v>
      </c>
      <c r="K223" s="21" t="n">
        <f t="shared" si="60"/>
        <v>15510.0</v>
      </c>
      <c r="L223" s="22" t="str">
        <f t="shared" si="57"/>
        <v/>
      </c>
      <c r="M223" s="11"/>
      <c r="N223" s="1" t="str">
        <f t="shared" si="58"/>
        <v/>
      </c>
      <c r="O223" s="1" t="n">
        <f t="shared" si="61"/>
        <v>1.0</v>
      </c>
    </row>
    <row r="224" spans="2:15" ht="15.75" customHeight="1">
      <c r="B224" s="108"/>
      <c r="C224" s="58" t="str">
        <f t="shared" si="3"/>
        <v>短期入所療養介護（病院等）</v>
      </c>
      <c r="D224" s="165"/>
      <c r="E224" s="18" t="s">
        <v>47</v>
      </c>
      <c r="F224" s="39" t="n">
        <v>0.0</v>
      </c>
      <c r="G224" s="40" t="n">
        <v>0.0</v>
      </c>
      <c r="H224" s="84" t="n">
        <v>0.0</v>
      </c>
      <c r="I224" s="53" t="str">
        <f t="shared" si="56"/>
        <v>－</v>
      </c>
      <c r="J224" s="21" t="n">
        <f t="shared" si="60"/>
        <v>1925.0</v>
      </c>
      <c r="K224" s="21" t="n">
        <f t="shared" si="60"/>
        <v>17985.0</v>
      </c>
      <c r="L224" s="22" t="str">
        <f t="shared" si="57"/>
        <v/>
      </c>
      <c r="M224" s="11"/>
      <c r="N224" s="1" t="str">
        <f t="shared" si="58"/>
        <v/>
      </c>
      <c r="O224" s="1" t="n">
        <f t="shared" si="61"/>
        <v>1.0</v>
      </c>
    </row>
    <row r="225" spans="2:15" ht="15.75" customHeight="1">
      <c r="B225" s="108"/>
      <c r="C225" s="58" t="str">
        <f t="shared" si="3"/>
        <v>短期入所療養介護（病院等）</v>
      </c>
      <c r="D225" s="165"/>
      <c r="E225" s="18" t="s">
        <v>48</v>
      </c>
      <c r="F225" s="39" t="n">
        <v>0.0</v>
      </c>
      <c r="G225" s="40" t="n">
        <v>0.0</v>
      </c>
      <c r="H225" s="84" t="n">
        <v>0.0</v>
      </c>
      <c r="I225" s="53" t="str">
        <f t="shared" si="56"/>
        <v>－</v>
      </c>
      <c r="J225" s="21" t="n">
        <f t="shared" si="60"/>
        <v>2045.0</v>
      </c>
      <c r="K225" s="21" t="n">
        <f t="shared" si="60"/>
        <v>19485.0</v>
      </c>
      <c r="L225" s="22" t="str">
        <f t="shared" si="57"/>
        <v/>
      </c>
      <c r="M225" s="11"/>
      <c r="N225" s="1" t="str">
        <f t="shared" si="58"/>
        <v/>
      </c>
      <c r="O225" s="1" t="n">
        <f t="shared" si="61"/>
        <v>1.0</v>
      </c>
    </row>
    <row r="226" spans="2:15" ht="15.75" customHeight="1">
      <c r="B226" s="108"/>
      <c r="C226" s="58" t="str">
        <f t="shared" si="3"/>
        <v>短期入所療養介護（病院等）</v>
      </c>
      <c r="D226" s="166"/>
      <c r="E226" s="23" t="s">
        <v>49</v>
      </c>
      <c r="F226" s="24" t="n">
        <f>SUM(F219:F225)</f>
        <v>0.0</v>
      </c>
      <c r="G226" s="25" t="n">
        <f>SUM(G219:G225)</f>
        <v>0.0</v>
      </c>
      <c r="H226" s="85" t="str">
        <f>IF(ISERROR((G219*H219+G220*H220+G221*H221+G222*H222+G223*H223+G224*H224+G225*H225)/G226)=TRUE,"－",(G219*H219+G220*H220+G221*H221+G222*H222+G223*H223+G224*H224+G225*H225)/G226)</f>
        <v>－</v>
      </c>
      <c r="I226" s="54" t="str">
        <f t="shared" si="56"/>
        <v>－</v>
      </c>
      <c r="J226" s="21" t="n">
        <f t="shared" si="60"/>
        <v>2225.0</v>
      </c>
      <c r="K226" s="21" t="n">
        <f t="shared" si="60"/>
        <v>17610.0</v>
      </c>
      <c r="L226" s="27" t="str">
        <f t="shared" si="57"/>
        <v/>
      </c>
      <c r="M226" s="11"/>
      <c r="N226" s="1" t="str">
        <f t="shared" si="58"/>
        <v/>
      </c>
    </row>
    <row r="227" spans="2:15" ht="15.75" customHeight="1">
      <c r="B227" s="108"/>
      <c r="C227" s="58" t="str">
        <f t="shared" si="3"/>
        <v>短期入所療養介護（病院等）</v>
      </c>
      <c r="D227" s="164" t="s">
        <v>414</v>
      </c>
      <c r="E227" s="15" t="s">
        <v>50</v>
      </c>
      <c r="F227" s="35" t="n">
        <v>0.0</v>
      </c>
      <c r="G227" s="36" t="n">
        <v>0.0</v>
      </c>
      <c r="H227" s="82" t="n">
        <v>0.0</v>
      </c>
      <c r="I227" s="52" t="str">
        <f t="shared" si="56"/>
        <v>－</v>
      </c>
      <c r="J227" s="16" t="n">
        <f t="shared" si="60"/>
        <v>2325.0</v>
      </c>
      <c r="K227" s="16" t="n">
        <f t="shared" si="60"/>
        <v>9225.0</v>
      </c>
      <c r="L227" s="32" t="str">
        <f t="shared" si="57"/>
        <v/>
      </c>
      <c r="M227" s="11"/>
      <c r="N227" s="1" t="str">
        <f t="shared" si="58"/>
        <v/>
      </c>
      <c r="O227" s="1" t="n">
        <f t="shared" ref="O227:O233" si="62">IF(OR(AND(F227="",G227="",H227="－"),AND(F227="",G227="",H227="")),"",1)</f>
        <v>1.0</v>
      </c>
    </row>
    <row r="228" spans="2:15" ht="15.75" customHeight="1">
      <c r="B228" s="108"/>
      <c r="C228" s="58" t="str">
        <f t="shared" si="3"/>
        <v>短期入所療養介護（病院等）</v>
      </c>
      <c r="D228" s="165"/>
      <c r="E228" s="30" t="s">
        <v>51</v>
      </c>
      <c r="F228" s="37" t="n">
        <v>0.0</v>
      </c>
      <c r="G228" s="38" t="n">
        <v>0.0</v>
      </c>
      <c r="H228" s="83" t="n">
        <v>0.0</v>
      </c>
      <c r="I228" s="55" t="str">
        <f t="shared" si="56"/>
        <v>－</v>
      </c>
      <c r="J228" s="31" t="n">
        <f t="shared" si="60"/>
        <v>4950.0</v>
      </c>
      <c r="K228" s="31" t="n">
        <f t="shared" si="60"/>
        <v>9225.0</v>
      </c>
      <c r="L228" s="33" t="str">
        <f t="shared" si="57"/>
        <v/>
      </c>
      <c r="M228" s="11"/>
      <c r="N228" s="1" t="str">
        <f t="shared" si="58"/>
        <v/>
      </c>
      <c r="O228" s="1" t="n">
        <f t="shared" si="62"/>
        <v>1.0</v>
      </c>
    </row>
    <row r="229" spans="2:15" ht="15.75" customHeight="1">
      <c r="B229" s="108"/>
      <c r="C229" s="58" t="str">
        <f t="shared" si="3"/>
        <v>短期入所療養介護（病院等）</v>
      </c>
      <c r="D229" s="165"/>
      <c r="E229" s="18" t="s">
        <v>44</v>
      </c>
      <c r="F229" s="39" t="n">
        <v>0.0</v>
      </c>
      <c r="G229" s="40" t="n">
        <v>0.0</v>
      </c>
      <c r="H229" s="84" t="n">
        <v>0.0</v>
      </c>
      <c r="I229" s="53" t="str">
        <f t="shared" si="56"/>
        <v>－</v>
      </c>
      <c r="J229" s="21" t="n">
        <f t="shared" si="60"/>
        <v>3395.0</v>
      </c>
      <c r="K229" s="21" t="n">
        <f t="shared" si="60"/>
        <v>13110.0</v>
      </c>
      <c r="L229" s="22" t="str">
        <f t="shared" si="57"/>
        <v/>
      </c>
      <c r="M229" s="11"/>
      <c r="N229" s="1" t="str">
        <f t="shared" si="58"/>
        <v/>
      </c>
      <c r="O229" s="1" t="n">
        <f t="shared" si="62"/>
        <v>1.0</v>
      </c>
    </row>
    <row r="230" spans="2:15" ht="15.75" customHeight="1">
      <c r="B230" s="108"/>
      <c r="C230" s="58" t="str">
        <f t="shared" si="3"/>
        <v>短期入所療養介護（病院等）</v>
      </c>
      <c r="D230" s="165"/>
      <c r="E230" s="18" t="s">
        <v>45</v>
      </c>
      <c r="F230" s="39" t="n">
        <v>0.0</v>
      </c>
      <c r="G230" s="40" t="n">
        <v>0.0</v>
      </c>
      <c r="H230" s="84" t="n">
        <v>0.0</v>
      </c>
      <c r="I230" s="53" t="str">
        <f t="shared" si="56"/>
        <v>－</v>
      </c>
      <c r="J230" s="21" t="n">
        <f t="shared" si="60"/>
        <v>2565.0</v>
      </c>
      <c r="K230" s="21" t="n">
        <f t="shared" si="60"/>
        <v>14835.0</v>
      </c>
      <c r="L230" s="22" t="str">
        <f t="shared" si="57"/>
        <v/>
      </c>
      <c r="M230" s="11"/>
      <c r="N230" s="1" t="str">
        <f t="shared" si="58"/>
        <v/>
      </c>
      <c r="O230" s="1" t="n">
        <f t="shared" si="62"/>
        <v>1.0</v>
      </c>
    </row>
    <row r="231" spans="2:15" ht="15.75" customHeight="1">
      <c r="B231" s="108"/>
      <c r="C231" s="58" t="str">
        <f t="shared" si="3"/>
        <v>短期入所療養介護（病院等）</v>
      </c>
      <c r="D231" s="165"/>
      <c r="E231" s="18" t="s">
        <v>46</v>
      </c>
      <c r="F231" s="39" t="n">
        <v>0.0</v>
      </c>
      <c r="G231" s="40" t="n">
        <v>0.0</v>
      </c>
      <c r="H231" s="84" t="n">
        <v>0.0</v>
      </c>
      <c r="I231" s="53" t="str">
        <f t="shared" si="56"/>
        <v>－</v>
      </c>
      <c r="J231" s="21" t="n">
        <f t="shared" si="60"/>
        <v>3120.0</v>
      </c>
      <c r="K231" s="21" t="n">
        <f t="shared" si="60"/>
        <v>15510.0</v>
      </c>
      <c r="L231" s="22" t="str">
        <f t="shared" si="57"/>
        <v/>
      </c>
      <c r="M231" s="11"/>
      <c r="N231" s="1" t="str">
        <f t="shared" si="58"/>
        <v/>
      </c>
      <c r="O231" s="1" t="n">
        <f t="shared" si="62"/>
        <v>1.0</v>
      </c>
    </row>
    <row r="232" spans="2:15" ht="15.75" customHeight="1">
      <c r="B232" s="108"/>
      <c r="C232" s="58" t="str">
        <f t="shared" si="3"/>
        <v>短期入所療養介護（病院等）</v>
      </c>
      <c r="D232" s="165"/>
      <c r="E232" s="18" t="s">
        <v>47</v>
      </c>
      <c r="F232" s="39" t="n">
        <v>0.0</v>
      </c>
      <c r="G232" s="40" t="n">
        <v>0.0</v>
      </c>
      <c r="H232" s="84" t="n">
        <v>0.0</v>
      </c>
      <c r="I232" s="53" t="str">
        <f t="shared" si="56"/>
        <v>－</v>
      </c>
      <c r="J232" s="21" t="n">
        <f t="shared" si="60"/>
        <v>1925.0</v>
      </c>
      <c r="K232" s="21" t="n">
        <f t="shared" si="60"/>
        <v>17985.0</v>
      </c>
      <c r="L232" s="22" t="str">
        <f t="shared" si="57"/>
        <v/>
      </c>
      <c r="M232" s="11"/>
      <c r="N232" s="1" t="str">
        <f t="shared" si="58"/>
        <v/>
      </c>
      <c r="O232" s="1" t="n">
        <f t="shared" si="62"/>
        <v>1.0</v>
      </c>
    </row>
    <row r="233" spans="2:15" ht="15.75" customHeight="1">
      <c r="B233" s="108"/>
      <c r="C233" s="58" t="str">
        <f t="shared" si="3"/>
        <v>短期入所療養介護（病院等）</v>
      </c>
      <c r="D233" s="165"/>
      <c r="E233" s="18" t="s">
        <v>48</v>
      </c>
      <c r="F233" s="39" t="n">
        <v>0.0</v>
      </c>
      <c r="G233" s="40" t="n">
        <v>0.0</v>
      </c>
      <c r="H233" s="84" t="n">
        <v>0.0</v>
      </c>
      <c r="I233" s="53" t="str">
        <f t="shared" si="56"/>
        <v>－</v>
      </c>
      <c r="J233" s="21" t="n">
        <f t="shared" si="60"/>
        <v>2045.0</v>
      </c>
      <c r="K233" s="21" t="n">
        <f t="shared" si="60"/>
        <v>19485.0</v>
      </c>
      <c r="L233" s="22" t="str">
        <f t="shared" si="57"/>
        <v/>
      </c>
      <c r="M233" s="11"/>
      <c r="N233" s="1" t="str">
        <f t="shared" si="58"/>
        <v/>
      </c>
      <c r="O233" s="1" t="n">
        <f t="shared" si="62"/>
        <v>1.0</v>
      </c>
    </row>
    <row r="234" spans="2:15" ht="15.75" customHeight="1">
      <c r="B234" s="109"/>
      <c r="C234" s="59" t="str">
        <f t="shared" si="3"/>
        <v>短期入所療養介護（病院等）</v>
      </c>
      <c r="D234" s="166"/>
      <c r="E234" s="23" t="s">
        <v>49</v>
      </c>
      <c r="F234" s="24" t="n">
        <f>SUM(F227:F233)</f>
        <v>0.0</v>
      </c>
      <c r="G234" s="25" t="n">
        <f>SUM(G227:G233)</f>
        <v>0.0</v>
      </c>
      <c r="H234" s="85" t="str">
        <f>IF(ISERROR((G227*H227+G228*H228+G229*H229+G230*H230+G231*H231+G232*H232+G233*H233)/G234)=TRUE,"－",(G227*H227+G228*H228+G229*H229+G230*H230+G231*H231+G232*H232+G233*H233)/G234)</f>
        <v>－</v>
      </c>
      <c r="I234" s="54" t="str">
        <f t="shared" si="56"/>
        <v>－</v>
      </c>
      <c r="J234" s="26" t="n">
        <f t="shared" si="60"/>
        <v>2225.0</v>
      </c>
      <c r="K234" s="26" t="n">
        <f t="shared" si="60"/>
        <v>17610.0</v>
      </c>
      <c r="L234" s="27" t="str">
        <f t="shared" si="57"/>
        <v/>
      </c>
      <c r="M234" s="11"/>
      <c r="N234" s="1" t="str">
        <f t="shared" si="58"/>
        <v/>
      </c>
    </row>
    <row r="235" spans="2:15" ht="15.75" customHeight="1">
      <c r="B235" s="107">
        <v>11</v>
      </c>
      <c r="C235" s="7" t="s">
        <v>116</v>
      </c>
      <c r="D235" s="164" t="s">
        <v>416</v>
      </c>
      <c r="E235" s="15" t="s">
        <v>50</v>
      </c>
      <c r="F235" s="35" t="n">
        <v>0.0</v>
      </c>
      <c r="G235" s="36" t="n">
        <v>0.0</v>
      </c>
      <c r="H235" s="82" t="n">
        <v>0.0</v>
      </c>
      <c r="I235" s="52" t="str">
        <f t="shared" ref="I235:I258" si="63">IF(H235="－",IF(ISERROR(F235/G235/12)=TRUE,"－",F235/G235/12),IF(ISERROR(F235/G235/H235/12)=TRUE,"－",F235/G235/H235/12))</f>
        <v>－</v>
      </c>
      <c r="J235" s="16" t="s">
        <v>119</v>
      </c>
      <c r="K235" s="16" t="s">
        <v>119</v>
      </c>
      <c r="L235" s="32" t="s">
        <v>121</v>
      </c>
      <c r="M235" s="11"/>
      <c r="N235" s="1" t="str">
        <f t="shared" ref="N235:N258" si="64">IF(OR(I235="－",AND(J235="－",K235="－")),"",IF(OR(I235&lt;J235,I235&gt;K235),1,""))</f>
        <v/>
      </c>
      <c r="O235" s="1" t="n">
        <f t="shared" ref="O235:O241" si="65">IF(OR(AND(F235="",G235="",H235="－"),AND(F235="",G235="",H235="")),"",1)</f>
        <v>1.0</v>
      </c>
    </row>
    <row r="236" spans="2:15" ht="15.75" customHeight="1">
      <c r="B236" s="108"/>
      <c r="C236" s="58" t="str">
        <f t="shared" si="3"/>
        <v>短期入所療養介護（介護医療院）</v>
      </c>
      <c r="D236" s="165"/>
      <c r="E236" s="30" t="s">
        <v>51</v>
      </c>
      <c r="F236" s="37" t="n">
        <v>0.0</v>
      </c>
      <c r="G236" s="38" t="n">
        <v>0.0</v>
      </c>
      <c r="H236" s="83" t="n">
        <v>0.0</v>
      </c>
      <c r="I236" s="55" t="str">
        <f t="shared" si="63"/>
        <v>－</v>
      </c>
      <c r="J236" s="31" t="n">
        <f>IF(data!I133&lt;0,0,data!I133)</f>
        <v>4530.0</v>
      </c>
      <c r="K236" s="31" t="n">
        <f>IF(data!J133&lt;0,0,data!J133)</f>
        <v>11350.0</v>
      </c>
      <c r="L236" s="33" t="str">
        <f t="shared" ref="L236:L258" si="66">IF(I236="－","",IF(I236&lt;J236,"下限値を\"&amp;TEXT(ROUND(J236-I236,0),"#,##0")&amp;"下回っています。",IF(I236&gt;K236,"上限値を\"&amp;TEXT(ROUND(I236-K236,0),"#,##0")&amp;"上回っています。","閾値の範囲内です。")))</f>
        <v/>
      </c>
      <c r="M236" s="11"/>
      <c r="N236" s="1" t="str">
        <f t="shared" si="64"/>
        <v/>
      </c>
      <c r="O236" s="1" t="n">
        <f t="shared" si="65"/>
        <v>1.0</v>
      </c>
    </row>
    <row r="237" spans="2:15" ht="15.75" customHeight="1">
      <c r="B237" s="108"/>
      <c r="C237" s="58" t="str">
        <f t="shared" ref="C237:C258" si="67">C236</f>
        <v>短期入所療養介護（介護医療院）</v>
      </c>
      <c r="D237" s="165"/>
      <c r="E237" s="18" t="s">
        <v>44</v>
      </c>
      <c r="F237" s="39" t="n">
        <v>0.0</v>
      </c>
      <c r="G237" s="40" t="n">
        <v>0.0</v>
      </c>
      <c r="H237" s="84" t="n">
        <v>0.0</v>
      </c>
      <c r="I237" s="53" t="str">
        <f t="shared" si="63"/>
        <v>－</v>
      </c>
      <c r="J237" s="21" t="n">
        <f>IF(data!I134&lt;0,0,data!I134)</f>
        <v>4040.0</v>
      </c>
      <c r="K237" s="21" t="n">
        <f>IF(data!J134&lt;0,0,data!J134)</f>
        <v>13860.0</v>
      </c>
      <c r="L237" s="22" t="str">
        <f t="shared" si="66"/>
        <v/>
      </c>
      <c r="M237" s="11"/>
      <c r="N237" s="1" t="str">
        <f t="shared" si="64"/>
        <v/>
      </c>
      <c r="O237" s="1" t="n">
        <f t="shared" si="65"/>
        <v>1.0</v>
      </c>
    </row>
    <row r="238" spans="2:15" ht="15.75" customHeight="1">
      <c r="B238" s="108"/>
      <c r="C238" s="58" t="str">
        <f t="shared" si="67"/>
        <v>短期入所療養介護（介護医療院）</v>
      </c>
      <c r="D238" s="165"/>
      <c r="E238" s="18" t="s">
        <v>45</v>
      </c>
      <c r="F238" s="39" t="n">
        <v>0.0</v>
      </c>
      <c r="G238" s="40" t="n">
        <v>0.0</v>
      </c>
      <c r="H238" s="84" t="n">
        <v>0.0</v>
      </c>
      <c r="I238" s="53" t="str">
        <f t="shared" si="63"/>
        <v>－</v>
      </c>
      <c r="J238" s="21" t="n">
        <f>IF(data!I135&lt;0,0,data!I135)</f>
        <v>3650.0</v>
      </c>
      <c r="K238" s="21" t="n">
        <f>IF(data!J135&lt;0,0,data!J135)</f>
        <v>16165.0</v>
      </c>
      <c r="L238" s="22" t="str">
        <f t="shared" si="66"/>
        <v/>
      </c>
      <c r="M238" s="11"/>
      <c r="N238" s="1" t="str">
        <f t="shared" si="64"/>
        <v/>
      </c>
      <c r="O238" s="1" t="n">
        <f t="shared" si="65"/>
        <v>1.0</v>
      </c>
    </row>
    <row r="239" spans="2:15" ht="15.75" customHeight="1">
      <c r="B239" s="108"/>
      <c r="C239" s="58" t="str">
        <f t="shared" si="67"/>
        <v>短期入所療養介護（介護医療院）</v>
      </c>
      <c r="D239" s="165"/>
      <c r="E239" s="18" t="s">
        <v>46</v>
      </c>
      <c r="F239" s="39" t="n">
        <v>0.0</v>
      </c>
      <c r="G239" s="40" t="n">
        <v>0.0</v>
      </c>
      <c r="H239" s="84" t="n">
        <v>0.0</v>
      </c>
      <c r="I239" s="53" t="str">
        <f t="shared" si="63"/>
        <v>－</v>
      </c>
      <c r="J239" s="21" t="n">
        <f>IF(data!I136&lt;0,0,data!I136)</f>
        <v>7215.0</v>
      </c>
      <c r="K239" s="21" t="n">
        <f>IF(data!J136&lt;0,0,data!J136)</f>
        <v>16635.0</v>
      </c>
      <c r="L239" s="22" t="str">
        <f t="shared" si="66"/>
        <v/>
      </c>
      <c r="M239" s="11"/>
      <c r="N239" s="1" t="str">
        <f t="shared" si="64"/>
        <v/>
      </c>
      <c r="O239" s="1" t="n">
        <f t="shared" si="65"/>
        <v>1.0</v>
      </c>
    </row>
    <row r="240" spans="2:15" ht="15.75" customHeight="1">
      <c r="B240" s="108"/>
      <c r="C240" s="58" t="str">
        <f t="shared" si="67"/>
        <v>短期入所療養介護（介護医療院）</v>
      </c>
      <c r="D240" s="165"/>
      <c r="E240" s="18" t="s">
        <v>47</v>
      </c>
      <c r="F240" s="39" t="n">
        <v>0.0</v>
      </c>
      <c r="G240" s="40" t="n">
        <v>0.0</v>
      </c>
      <c r="H240" s="84" t="n">
        <v>0.0</v>
      </c>
      <c r="I240" s="53" t="str">
        <f t="shared" si="63"/>
        <v>－</v>
      </c>
      <c r="J240" s="21" t="n">
        <f>IF(data!I137&lt;0,0,data!I137)</f>
        <v>7530.0</v>
      </c>
      <c r="K240" s="21" t="n">
        <f>IF(data!J137&lt;0,0,data!J137)</f>
        <v>18040.0</v>
      </c>
      <c r="L240" s="22" t="str">
        <f t="shared" si="66"/>
        <v/>
      </c>
      <c r="M240" s="11"/>
      <c r="N240" s="1" t="str">
        <f t="shared" si="64"/>
        <v/>
      </c>
      <c r="O240" s="1" t="n">
        <f t="shared" si="65"/>
        <v>1.0</v>
      </c>
    </row>
    <row r="241" spans="2:15" ht="15.75" customHeight="1">
      <c r="B241" s="108"/>
      <c r="C241" s="58" t="str">
        <f t="shared" si="67"/>
        <v>短期入所療養介護（介護医療院）</v>
      </c>
      <c r="D241" s="165"/>
      <c r="E241" s="18" t="s">
        <v>48</v>
      </c>
      <c r="F241" s="39" t="n">
        <v>0.0</v>
      </c>
      <c r="G241" s="40" t="n">
        <v>0.0</v>
      </c>
      <c r="H241" s="84" t="n">
        <v>0.0</v>
      </c>
      <c r="I241" s="53" t="str">
        <f t="shared" si="63"/>
        <v>－</v>
      </c>
      <c r="J241" s="21" t="n">
        <f>IF(data!I138&lt;0,0,data!I138)</f>
        <v>8175.0</v>
      </c>
      <c r="K241" s="21" t="n">
        <f>IF(data!J138&lt;0,0,data!J138)</f>
        <v>19555.0</v>
      </c>
      <c r="L241" s="22" t="str">
        <f t="shared" si="66"/>
        <v/>
      </c>
      <c r="M241" s="11"/>
      <c r="N241" s="1" t="str">
        <f t="shared" si="64"/>
        <v/>
      </c>
      <c r="O241" s="1" t="n">
        <f t="shared" si="65"/>
        <v>1.0</v>
      </c>
    </row>
    <row r="242" spans="2:15" ht="15.75" customHeight="1">
      <c r="B242" s="108"/>
      <c r="C242" s="58" t="str">
        <f t="shared" si="67"/>
        <v>短期入所療養介護（介護医療院）</v>
      </c>
      <c r="D242" s="166"/>
      <c r="E242" s="23" t="s">
        <v>49</v>
      </c>
      <c r="F242" s="24" t="n">
        <f>SUM(F235:F241)</f>
        <v>0.0</v>
      </c>
      <c r="G242" s="25" t="n">
        <f>SUM(G235:G241)</f>
        <v>0.0</v>
      </c>
      <c r="H242" s="85" t="str">
        <f>IF(ISERROR((G235*H235+G236*H236+G237*H237+G238*H238+G239*H239+G240*H240+G241*H241)/G242)=TRUE,"－",(G235*H235+G236*H236+G237*H237+G238*H238+G239*H239+G240*H240+G241*H241)/G242)</f>
        <v>－</v>
      </c>
      <c r="I242" s="54" t="str">
        <f t="shared" si="63"/>
        <v>－</v>
      </c>
      <c r="J242" s="26" t="n">
        <f>IF(data!I139&lt;0,0,data!I139)</f>
        <v>5210.0</v>
      </c>
      <c r="K242" s="26" t="n">
        <f>IF(data!J139&lt;0,0,data!J139)</f>
        <v>18280.0</v>
      </c>
      <c r="L242" s="27" t="str">
        <f t="shared" si="66"/>
        <v/>
      </c>
      <c r="M242" s="11"/>
      <c r="N242" s="1" t="str">
        <f t="shared" si="64"/>
        <v/>
      </c>
    </row>
    <row r="243" spans="2:15" ht="15.75" customHeight="1">
      <c r="B243" s="108"/>
      <c r="C243" s="58" t="str">
        <f t="shared" si="67"/>
        <v>短期入所療養介護（介護医療院）</v>
      </c>
      <c r="D243" s="164" t="s">
        <v>415</v>
      </c>
      <c r="E243" s="15" t="s">
        <v>50</v>
      </c>
      <c r="F243" s="35" t="n">
        <v>0.0</v>
      </c>
      <c r="G243" s="36" t="n">
        <v>0.0</v>
      </c>
      <c r="H243" s="82" t="n">
        <v>0.0</v>
      </c>
      <c r="I243" s="52" t="str">
        <f t="shared" si="63"/>
        <v>－</v>
      </c>
      <c r="J243" s="16" t="str">
        <f t="shared" ref="J243:K258" si="68">J235</f>
        <v>－</v>
      </c>
      <c r="K243" s="16" t="str">
        <f t="shared" si="68"/>
        <v>－</v>
      </c>
      <c r="L243" s="32" t="s">
        <v>121</v>
      </c>
      <c r="M243" s="11"/>
      <c r="N243" s="1" t="str">
        <f t="shared" si="64"/>
        <v/>
      </c>
      <c r="O243" s="1" t="n">
        <f t="shared" ref="O243:O249" si="69">IF(OR(AND(F243="",G243="",H243="－"),AND(F243="",G243="",H243="")),"",1)</f>
        <v>1.0</v>
      </c>
    </row>
    <row r="244" spans="2:15" ht="15.75" customHeight="1">
      <c r="B244" s="108"/>
      <c r="C244" s="58" t="str">
        <f t="shared" si="67"/>
        <v>短期入所療養介護（介護医療院）</v>
      </c>
      <c r="D244" s="165"/>
      <c r="E244" s="30" t="s">
        <v>51</v>
      </c>
      <c r="F244" s="37" t="n">
        <v>0.0</v>
      </c>
      <c r="G244" s="38" t="n">
        <v>0.0</v>
      </c>
      <c r="H244" s="83" t="n">
        <v>0.0</v>
      </c>
      <c r="I244" s="55" t="str">
        <f t="shared" si="63"/>
        <v>－</v>
      </c>
      <c r="J244" s="31" t="n">
        <f t="shared" si="68"/>
        <v>4530.0</v>
      </c>
      <c r="K244" s="31" t="n">
        <f t="shared" si="68"/>
        <v>11350.0</v>
      </c>
      <c r="L244" s="33" t="str">
        <f t="shared" si="66"/>
        <v/>
      </c>
      <c r="M244" s="11"/>
      <c r="N244" s="1" t="str">
        <f t="shared" si="64"/>
        <v/>
      </c>
      <c r="O244" s="1" t="n">
        <f t="shared" si="69"/>
        <v>1.0</v>
      </c>
    </row>
    <row r="245" spans="2:15" ht="15.75" customHeight="1">
      <c r="B245" s="108"/>
      <c r="C245" s="58" t="str">
        <f t="shared" si="67"/>
        <v>短期入所療養介護（介護医療院）</v>
      </c>
      <c r="D245" s="165"/>
      <c r="E245" s="18" t="s">
        <v>44</v>
      </c>
      <c r="F245" s="39" t="n">
        <v>0.0</v>
      </c>
      <c r="G245" s="40" t="n">
        <v>0.0</v>
      </c>
      <c r="H245" s="84" t="n">
        <v>0.0</v>
      </c>
      <c r="I245" s="53" t="str">
        <f t="shared" si="63"/>
        <v>－</v>
      </c>
      <c r="J245" s="21" t="n">
        <f t="shared" si="68"/>
        <v>4040.0</v>
      </c>
      <c r="K245" s="21" t="n">
        <f t="shared" si="68"/>
        <v>13860.0</v>
      </c>
      <c r="L245" s="22" t="str">
        <f t="shared" si="66"/>
        <v/>
      </c>
      <c r="M245" s="11"/>
      <c r="N245" s="1" t="str">
        <f t="shared" si="64"/>
        <v/>
      </c>
      <c r="O245" s="1" t="n">
        <f t="shared" si="69"/>
        <v>1.0</v>
      </c>
    </row>
    <row r="246" spans="2:15" ht="15.75" customHeight="1">
      <c r="B246" s="108"/>
      <c r="C246" s="58" t="str">
        <f t="shared" si="67"/>
        <v>短期入所療養介護（介護医療院）</v>
      </c>
      <c r="D246" s="165"/>
      <c r="E246" s="18" t="s">
        <v>45</v>
      </c>
      <c r="F246" s="39" t="n">
        <v>0.0</v>
      </c>
      <c r="G246" s="40" t="n">
        <v>0.0</v>
      </c>
      <c r="H246" s="84" t="n">
        <v>0.0</v>
      </c>
      <c r="I246" s="53" t="str">
        <f t="shared" si="63"/>
        <v>－</v>
      </c>
      <c r="J246" s="21" t="n">
        <f t="shared" si="68"/>
        <v>3650.0</v>
      </c>
      <c r="K246" s="21" t="n">
        <f t="shared" si="68"/>
        <v>16165.0</v>
      </c>
      <c r="L246" s="22" t="str">
        <f t="shared" si="66"/>
        <v/>
      </c>
      <c r="M246" s="11"/>
      <c r="N246" s="1" t="str">
        <f t="shared" si="64"/>
        <v/>
      </c>
      <c r="O246" s="1" t="n">
        <f t="shared" si="69"/>
        <v>1.0</v>
      </c>
    </row>
    <row r="247" spans="2:15" ht="15.75" customHeight="1">
      <c r="B247" s="108"/>
      <c r="C247" s="58" t="str">
        <f t="shared" si="67"/>
        <v>短期入所療養介護（介護医療院）</v>
      </c>
      <c r="D247" s="165"/>
      <c r="E247" s="18" t="s">
        <v>46</v>
      </c>
      <c r="F247" s="39" t="n">
        <v>0.0</v>
      </c>
      <c r="G247" s="40" t="n">
        <v>0.0</v>
      </c>
      <c r="H247" s="84" t="n">
        <v>0.0</v>
      </c>
      <c r="I247" s="53" t="str">
        <f t="shared" si="63"/>
        <v>－</v>
      </c>
      <c r="J247" s="21" t="n">
        <f t="shared" si="68"/>
        <v>7215.0</v>
      </c>
      <c r="K247" s="21" t="n">
        <f t="shared" si="68"/>
        <v>16635.0</v>
      </c>
      <c r="L247" s="22" t="str">
        <f t="shared" si="66"/>
        <v/>
      </c>
      <c r="M247" s="11"/>
      <c r="N247" s="1" t="str">
        <f t="shared" si="64"/>
        <v/>
      </c>
      <c r="O247" s="1" t="n">
        <f t="shared" si="69"/>
        <v>1.0</v>
      </c>
    </row>
    <row r="248" spans="2:15" ht="15.75" customHeight="1">
      <c r="B248" s="108"/>
      <c r="C248" s="58" t="str">
        <f t="shared" si="67"/>
        <v>短期入所療養介護（介護医療院）</v>
      </c>
      <c r="D248" s="165"/>
      <c r="E248" s="18" t="s">
        <v>47</v>
      </c>
      <c r="F248" s="39" t="n">
        <v>0.0</v>
      </c>
      <c r="G248" s="40" t="n">
        <v>0.0</v>
      </c>
      <c r="H248" s="84" t="n">
        <v>0.0</v>
      </c>
      <c r="I248" s="53" t="str">
        <f t="shared" si="63"/>
        <v>－</v>
      </c>
      <c r="J248" s="21" t="n">
        <f t="shared" si="68"/>
        <v>7530.0</v>
      </c>
      <c r="K248" s="21" t="n">
        <f t="shared" si="68"/>
        <v>18040.0</v>
      </c>
      <c r="L248" s="22" t="str">
        <f t="shared" si="66"/>
        <v/>
      </c>
      <c r="M248" s="11"/>
      <c r="N248" s="1" t="str">
        <f t="shared" si="64"/>
        <v/>
      </c>
      <c r="O248" s="1" t="n">
        <f t="shared" si="69"/>
        <v>1.0</v>
      </c>
    </row>
    <row r="249" spans="2:15" ht="15.75" customHeight="1">
      <c r="B249" s="108"/>
      <c r="C249" s="58" t="str">
        <f t="shared" si="67"/>
        <v>短期入所療養介護（介護医療院）</v>
      </c>
      <c r="D249" s="165"/>
      <c r="E249" s="18" t="s">
        <v>48</v>
      </c>
      <c r="F249" s="39" t="n">
        <v>0.0</v>
      </c>
      <c r="G249" s="40" t="n">
        <v>0.0</v>
      </c>
      <c r="H249" s="84" t="n">
        <v>0.0</v>
      </c>
      <c r="I249" s="53" t="str">
        <f t="shared" si="63"/>
        <v>－</v>
      </c>
      <c r="J249" s="21" t="n">
        <f t="shared" si="68"/>
        <v>8175.0</v>
      </c>
      <c r="K249" s="21" t="n">
        <f t="shared" si="68"/>
        <v>19555.0</v>
      </c>
      <c r="L249" s="22" t="str">
        <f t="shared" si="66"/>
        <v/>
      </c>
      <c r="M249" s="11"/>
      <c r="N249" s="1" t="str">
        <f t="shared" si="64"/>
        <v/>
      </c>
      <c r="O249" s="1" t="n">
        <f t="shared" si="69"/>
        <v>1.0</v>
      </c>
    </row>
    <row r="250" spans="2:15" ht="15.75" customHeight="1">
      <c r="B250" s="108"/>
      <c r="C250" s="58" t="str">
        <f t="shared" si="67"/>
        <v>短期入所療養介護（介護医療院）</v>
      </c>
      <c r="D250" s="166"/>
      <c r="E250" s="23" t="s">
        <v>49</v>
      </c>
      <c r="F250" s="24" t="n">
        <f>SUM(F243:F249)</f>
        <v>0.0</v>
      </c>
      <c r="G250" s="25" t="n">
        <f>SUM(G243:G249)</f>
        <v>0.0</v>
      </c>
      <c r="H250" s="85" t="str">
        <f>IF(ISERROR((G243*H243+G244*H244+G245*H245+G246*H246+G247*H247+G248*H248+G249*H249)/G250)=TRUE,"－",(G243*H243+G244*H244+G245*H245+G246*H246+G247*H247+G248*H248+G249*H249)/G250)</f>
        <v>－</v>
      </c>
      <c r="I250" s="54" t="str">
        <f t="shared" si="63"/>
        <v>－</v>
      </c>
      <c r="J250" s="21" t="n">
        <f t="shared" si="68"/>
        <v>5210.0</v>
      </c>
      <c r="K250" s="21" t="n">
        <f t="shared" si="68"/>
        <v>18280.0</v>
      </c>
      <c r="L250" s="27" t="str">
        <f t="shared" si="66"/>
        <v/>
      </c>
      <c r="M250" s="11"/>
      <c r="N250" s="1" t="str">
        <f t="shared" si="64"/>
        <v/>
      </c>
    </row>
    <row r="251" spans="2:15" ht="15.75" customHeight="1">
      <c r="B251" s="108"/>
      <c r="C251" s="58" t="str">
        <f t="shared" si="67"/>
        <v>短期入所療養介護（介護医療院）</v>
      </c>
      <c r="D251" s="164" t="s">
        <v>414</v>
      </c>
      <c r="E251" s="15" t="s">
        <v>50</v>
      </c>
      <c r="F251" s="35" t="n">
        <v>0.0</v>
      </c>
      <c r="G251" s="36" t="n">
        <v>0.0</v>
      </c>
      <c r="H251" s="82" t="n">
        <v>0.0</v>
      </c>
      <c r="I251" s="52" t="str">
        <f t="shared" si="63"/>
        <v>－</v>
      </c>
      <c r="J251" s="16" t="str">
        <f t="shared" si="68"/>
        <v>－</v>
      </c>
      <c r="K251" s="16" t="str">
        <f t="shared" si="68"/>
        <v>－</v>
      </c>
      <c r="L251" s="32" t="s">
        <v>121</v>
      </c>
      <c r="M251" s="11"/>
      <c r="N251" s="1" t="str">
        <f t="shared" si="64"/>
        <v/>
      </c>
      <c r="O251" s="1" t="n">
        <f t="shared" ref="O251:O257" si="70">IF(OR(AND(F251="",G251="",H251="－"),AND(F251="",G251="",H251="")),"",1)</f>
        <v>1.0</v>
      </c>
    </row>
    <row r="252" spans="2:15" ht="15.75" customHeight="1">
      <c r="B252" s="108"/>
      <c r="C252" s="58" t="str">
        <f t="shared" si="67"/>
        <v>短期入所療養介護（介護医療院）</v>
      </c>
      <c r="D252" s="165"/>
      <c r="E252" s="30" t="s">
        <v>51</v>
      </c>
      <c r="F252" s="37" t="n">
        <v>0.0</v>
      </c>
      <c r="G252" s="38" t="n">
        <v>0.0</v>
      </c>
      <c r="H252" s="83" t="n">
        <v>0.0</v>
      </c>
      <c r="I252" s="55" t="str">
        <f t="shared" si="63"/>
        <v>－</v>
      </c>
      <c r="J252" s="31" t="n">
        <f t="shared" si="68"/>
        <v>4530.0</v>
      </c>
      <c r="K252" s="31" t="n">
        <f t="shared" si="68"/>
        <v>11350.0</v>
      </c>
      <c r="L252" s="33" t="str">
        <f t="shared" si="66"/>
        <v/>
      </c>
      <c r="M252" s="11"/>
      <c r="N252" s="1" t="str">
        <f t="shared" si="64"/>
        <v/>
      </c>
      <c r="O252" s="1" t="n">
        <f t="shared" si="70"/>
        <v>1.0</v>
      </c>
    </row>
    <row r="253" spans="2:15" ht="15.75" customHeight="1">
      <c r="B253" s="108"/>
      <c r="C253" s="58" t="str">
        <f t="shared" si="67"/>
        <v>短期入所療養介護（介護医療院）</v>
      </c>
      <c r="D253" s="165"/>
      <c r="E253" s="18" t="s">
        <v>44</v>
      </c>
      <c r="F253" s="39" t="n">
        <v>0.0</v>
      </c>
      <c r="G253" s="40" t="n">
        <v>0.0</v>
      </c>
      <c r="H253" s="84" t="n">
        <v>0.0</v>
      </c>
      <c r="I253" s="53" t="str">
        <f t="shared" si="63"/>
        <v>－</v>
      </c>
      <c r="J253" s="21" t="n">
        <f t="shared" si="68"/>
        <v>4040.0</v>
      </c>
      <c r="K253" s="21" t="n">
        <f t="shared" si="68"/>
        <v>13860.0</v>
      </c>
      <c r="L253" s="22" t="str">
        <f t="shared" si="66"/>
        <v/>
      </c>
      <c r="M253" s="11"/>
      <c r="N253" s="1" t="str">
        <f t="shared" si="64"/>
        <v/>
      </c>
      <c r="O253" s="1" t="n">
        <f t="shared" si="70"/>
        <v>1.0</v>
      </c>
    </row>
    <row r="254" spans="2:15" ht="15.75" customHeight="1">
      <c r="B254" s="108"/>
      <c r="C254" s="58" t="str">
        <f t="shared" si="67"/>
        <v>短期入所療養介護（介護医療院）</v>
      </c>
      <c r="D254" s="165"/>
      <c r="E254" s="18" t="s">
        <v>45</v>
      </c>
      <c r="F254" s="39" t="n">
        <v>0.0</v>
      </c>
      <c r="G254" s="40" t="n">
        <v>0.0</v>
      </c>
      <c r="H254" s="84" t="n">
        <v>0.0</v>
      </c>
      <c r="I254" s="53" t="str">
        <f t="shared" si="63"/>
        <v>－</v>
      </c>
      <c r="J254" s="21" t="n">
        <f t="shared" si="68"/>
        <v>3650.0</v>
      </c>
      <c r="K254" s="21" t="n">
        <f t="shared" si="68"/>
        <v>16165.0</v>
      </c>
      <c r="L254" s="22" t="str">
        <f t="shared" si="66"/>
        <v/>
      </c>
      <c r="M254" s="11"/>
      <c r="N254" s="1" t="str">
        <f t="shared" si="64"/>
        <v/>
      </c>
      <c r="O254" s="1" t="n">
        <f t="shared" si="70"/>
        <v>1.0</v>
      </c>
    </row>
    <row r="255" spans="2:15" ht="15.75" customHeight="1">
      <c r="B255" s="108"/>
      <c r="C255" s="58" t="str">
        <f t="shared" si="67"/>
        <v>短期入所療養介護（介護医療院）</v>
      </c>
      <c r="D255" s="165"/>
      <c r="E255" s="18" t="s">
        <v>46</v>
      </c>
      <c r="F255" s="39" t="n">
        <v>0.0</v>
      </c>
      <c r="G255" s="40" t="n">
        <v>0.0</v>
      </c>
      <c r="H255" s="84" t="n">
        <v>0.0</v>
      </c>
      <c r="I255" s="53" t="str">
        <f t="shared" si="63"/>
        <v>－</v>
      </c>
      <c r="J255" s="21" t="n">
        <f t="shared" si="68"/>
        <v>7215.0</v>
      </c>
      <c r="K255" s="21" t="n">
        <f t="shared" si="68"/>
        <v>16635.0</v>
      </c>
      <c r="L255" s="22" t="str">
        <f t="shared" si="66"/>
        <v/>
      </c>
      <c r="M255" s="11"/>
      <c r="N255" s="1" t="str">
        <f t="shared" si="64"/>
        <v/>
      </c>
      <c r="O255" s="1" t="n">
        <f t="shared" si="70"/>
        <v>1.0</v>
      </c>
    </row>
    <row r="256" spans="2:15" ht="15.75" customHeight="1">
      <c r="B256" s="108"/>
      <c r="C256" s="58" t="str">
        <f t="shared" si="67"/>
        <v>短期入所療養介護（介護医療院）</v>
      </c>
      <c r="D256" s="165"/>
      <c r="E256" s="18" t="s">
        <v>47</v>
      </c>
      <c r="F256" s="39" t="n">
        <v>0.0</v>
      </c>
      <c r="G256" s="40" t="n">
        <v>0.0</v>
      </c>
      <c r="H256" s="84" t="n">
        <v>0.0</v>
      </c>
      <c r="I256" s="53" t="str">
        <f t="shared" si="63"/>
        <v>－</v>
      </c>
      <c r="J256" s="21" t="n">
        <f t="shared" si="68"/>
        <v>7530.0</v>
      </c>
      <c r="K256" s="21" t="n">
        <f t="shared" si="68"/>
        <v>18040.0</v>
      </c>
      <c r="L256" s="22" t="str">
        <f t="shared" si="66"/>
        <v/>
      </c>
      <c r="M256" s="11"/>
      <c r="N256" s="1" t="str">
        <f t="shared" si="64"/>
        <v/>
      </c>
      <c r="O256" s="1" t="n">
        <f t="shared" si="70"/>
        <v>1.0</v>
      </c>
    </row>
    <row r="257" spans="2:15" ht="15.75" customHeight="1">
      <c r="B257" s="108"/>
      <c r="C257" s="58" t="str">
        <f t="shared" si="67"/>
        <v>短期入所療養介護（介護医療院）</v>
      </c>
      <c r="D257" s="165"/>
      <c r="E257" s="18" t="s">
        <v>48</v>
      </c>
      <c r="F257" s="39" t="n">
        <v>0.0</v>
      </c>
      <c r="G257" s="40" t="n">
        <v>0.0</v>
      </c>
      <c r="H257" s="84" t="n">
        <v>0.0</v>
      </c>
      <c r="I257" s="53" t="str">
        <f t="shared" si="63"/>
        <v>－</v>
      </c>
      <c r="J257" s="21" t="n">
        <f t="shared" si="68"/>
        <v>8175.0</v>
      </c>
      <c r="K257" s="21" t="n">
        <f t="shared" si="68"/>
        <v>19555.0</v>
      </c>
      <c r="L257" s="22" t="str">
        <f t="shared" si="66"/>
        <v/>
      </c>
      <c r="M257" s="11"/>
      <c r="N257" s="1" t="str">
        <f t="shared" si="64"/>
        <v/>
      </c>
      <c r="O257" s="1" t="n">
        <f t="shared" si="70"/>
        <v>1.0</v>
      </c>
    </row>
    <row r="258" spans="2:15" ht="15.75" customHeight="1">
      <c r="B258" s="109"/>
      <c r="C258" s="59" t="str">
        <f t="shared" si="67"/>
        <v>短期入所療養介護（介護医療院）</v>
      </c>
      <c r="D258" s="166"/>
      <c r="E258" s="23" t="s">
        <v>49</v>
      </c>
      <c r="F258" s="24" t="n">
        <f>SUM(F251:F257)</f>
        <v>0.0</v>
      </c>
      <c r="G258" s="25" t="n">
        <f>SUM(G251:G257)</f>
        <v>0.0</v>
      </c>
      <c r="H258" s="85" t="str">
        <f>IF(ISERROR((G251*H251+G252*H252+G253*H253+G254*H254+G255*H255+G256*H256+G257*H257)/G258)=TRUE,"－",(G251*H251+G252*H252+G253*H253+G254*H254+G255*H255+G256*H256+G257*H257)/G258)</f>
        <v>－</v>
      </c>
      <c r="I258" s="54" t="str">
        <f t="shared" si="63"/>
        <v>－</v>
      </c>
      <c r="J258" s="26" t="n">
        <f t="shared" si="68"/>
        <v>5210.0</v>
      </c>
      <c r="K258" s="26" t="n">
        <f t="shared" si="68"/>
        <v>18280.0</v>
      </c>
      <c r="L258" s="27" t="str">
        <f t="shared" si="66"/>
        <v/>
      </c>
      <c r="M258" s="11"/>
      <c r="N258" s="1" t="str">
        <f t="shared" si="64"/>
        <v/>
      </c>
    </row>
    <row r="259" spans="2:15" ht="15.75" customHeight="1">
      <c r="B259" s="107">
        <v>12</v>
      </c>
      <c r="C259" s="7" t="s">
        <v>12</v>
      </c>
      <c r="D259" s="164" t="s">
        <v>416</v>
      </c>
      <c r="E259" s="15" t="s">
        <v>50</v>
      </c>
      <c r="F259" s="35" t="n">
        <v>2420712.0</v>
      </c>
      <c r="G259" s="36" t="n">
        <v>21.0</v>
      </c>
      <c r="H259" s="79" t="s">
        <v>94</v>
      </c>
      <c r="I259" s="52" t="n">
        <f>IF(H259="－",IF(ISERROR(F259/G259/12)=TRUE,"－",F259/G259/12),IF(ISERROR(F259/G259/H259/12)=TRUE,"－",F259/G259/H259/12))</f>
        <v>9606.0</v>
      </c>
      <c r="J259" s="16" t="n">
        <f>IF(data!I140&lt;0,0,data!I140)</f>
        <v>1845.0</v>
      </c>
      <c r="K259" s="16" t="n">
        <f>IF(data!J140&lt;0,0,data!J140)</f>
        <v>9685.0</v>
      </c>
      <c r="L259" s="32" t="str">
        <f t="shared" ref="L259:L282" si="71">IF(I259="－","",IF(I259&lt;J259,"下限値を\"&amp;TEXT(ROUND(J259-I259,0),"#,##0")&amp;"下回っています。",IF(I259&gt;K259,"上限値を\"&amp;TEXT(ROUND(I259-K259,0),"#,##0")&amp;"上回っています。","閾値の範囲内です。")))</f>
        <v>閾値の範囲内です。</v>
      </c>
      <c r="M259" s="11"/>
      <c r="N259" s="1" t="str">
        <f t="shared" ref="N259:N282" si="72">IF(OR(I259="－",AND(J259="－",K259="－")),"",IF(OR(I259&lt;J259,I259&gt;K259),1,""))</f>
        <v/>
      </c>
      <c r="O259" s="1" t="n">
        <f t="shared" ref="O259:O265" si="73">IF(OR(AND(F259="",G259="",H259="－"),AND(F259="",G259="",H259="")),"",1)</f>
        <v>1.0</v>
      </c>
    </row>
    <row r="260" spans="2:15" ht="15.75" customHeight="1">
      <c r="B260" s="108"/>
      <c r="C260" s="58" t="str">
        <f t="shared" ref="C260:C323" si="74">C259</f>
        <v>福祉用具貸与</v>
      </c>
      <c r="D260" s="165"/>
      <c r="E260" s="30" t="s">
        <v>51</v>
      </c>
      <c r="F260" s="37" t="n">
        <v>5142060.0</v>
      </c>
      <c r="G260" s="38" t="n">
        <v>49.0</v>
      </c>
      <c r="H260" s="80" t="s">
        <v>94</v>
      </c>
      <c r="I260" s="55" t="n">
        <f t="shared" ref="I260:I282" si="75">IF(H260="－",IF(ISERROR(F260/G260/12)=TRUE,"－",F260/G260/12),IF(ISERROR(F260/G260/H260/12)=TRUE,"－",F260/G260/H260/12))</f>
        <v>8745.0</v>
      </c>
      <c r="J260" s="31" t="n">
        <f>IF(data!I141&lt;0,0,data!I141)</f>
        <v>2620.0</v>
      </c>
      <c r="K260" s="31" t="n">
        <f>IF(data!J141&lt;0,0,data!J141)</f>
        <v>11450.0</v>
      </c>
      <c r="L260" s="33" t="str">
        <f t="shared" si="71"/>
        <v>閾値の範囲内です。</v>
      </c>
      <c r="M260" s="11"/>
      <c r="N260" s="1" t="str">
        <f t="shared" si="72"/>
        <v/>
      </c>
      <c r="O260" s="1" t="n">
        <f t="shared" si="73"/>
        <v>1.0</v>
      </c>
    </row>
    <row r="261" spans="2:15" ht="15.75" customHeight="1">
      <c r="B261" s="108"/>
      <c r="C261" s="58" t="str">
        <f t="shared" si="74"/>
        <v>福祉用具貸与</v>
      </c>
      <c r="D261" s="165"/>
      <c r="E261" s="18" t="s">
        <v>44</v>
      </c>
      <c r="F261" s="39" t="n">
        <v>6585804.0</v>
      </c>
      <c r="G261" s="40" t="n">
        <v>61.0</v>
      </c>
      <c r="H261" s="80" t="s">
        <v>94</v>
      </c>
      <c r="I261" s="53" t="n">
        <f t="shared" si="75"/>
        <v>8997.0</v>
      </c>
      <c r="J261" s="21" t="n">
        <f>IF(data!I142&lt;0,0,data!I142)</f>
        <v>3285.0</v>
      </c>
      <c r="K261" s="21" t="n">
        <f>IF(data!J142&lt;0,0,data!J142)</f>
        <v>11895.0</v>
      </c>
      <c r="L261" s="22" t="str">
        <f t="shared" si="71"/>
        <v>閾値の範囲内です。</v>
      </c>
      <c r="M261" s="11"/>
      <c r="N261" s="1" t="str">
        <f t="shared" si="72"/>
        <v/>
      </c>
      <c r="O261" s="1" t="n">
        <f t="shared" si="73"/>
        <v>1.0</v>
      </c>
    </row>
    <row r="262" spans="2:15" ht="15.75" customHeight="1">
      <c r="B262" s="108"/>
      <c r="C262" s="58" t="str">
        <f t="shared" si="74"/>
        <v>福祉用具貸与</v>
      </c>
      <c r="D262" s="165"/>
      <c r="E262" s="18" t="s">
        <v>45</v>
      </c>
      <c r="F262" s="39" t="n">
        <v>8955744.0</v>
      </c>
      <c r="G262" s="40" t="n">
        <v>56.0</v>
      </c>
      <c r="H262" s="80" t="s">
        <v>94</v>
      </c>
      <c r="I262" s="53" t="n">
        <f t="shared" si="75"/>
        <v>13327.0</v>
      </c>
      <c r="J262" s="21" t="n">
        <f>IF(data!I143&lt;0,0,data!I143)</f>
        <v>7325.0</v>
      </c>
      <c r="K262" s="21" t="n">
        <f>IF(data!J143&lt;0,0,data!J143)</f>
        <v>18360.0</v>
      </c>
      <c r="L262" s="22" t="str">
        <f t="shared" si="71"/>
        <v>閾値の範囲内です。</v>
      </c>
      <c r="M262" s="11"/>
      <c r="N262" s="1" t="str">
        <f t="shared" si="72"/>
        <v/>
      </c>
      <c r="O262" s="1" t="n">
        <f t="shared" si="73"/>
        <v>1.0</v>
      </c>
    </row>
    <row r="263" spans="2:15" ht="15.75" customHeight="1">
      <c r="B263" s="108"/>
      <c r="C263" s="58" t="str">
        <f t="shared" si="74"/>
        <v>福祉用具貸与</v>
      </c>
      <c r="D263" s="165"/>
      <c r="E263" s="18" t="s">
        <v>46</v>
      </c>
      <c r="F263" s="39" t="n">
        <v>1.0616832E7</v>
      </c>
      <c r="G263" s="40" t="n">
        <v>54.0</v>
      </c>
      <c r="H263" s="80" t="s">
        <v>94</v>
      </c>
      <c r="I263" s="53" t="n">
        <f t="shared" si="75"/>
        <v>16384.0</v>
      </c>
      <c r="J263" s="21" t="n">
        <f>IF(data!I144&lt;0,0,data!I144)</f>
        <v>9290.0</v>
      </c>
      <c r="K263" s="21" t="n">
        <f>IF(data!J144&lt;0,0,data!J144)</f>
        <v>21815.0</v>
      </c>
      <c r="L263" s="22" t="str">
        <f t="shared" si="71"/>
        <v>閾値の範囲内です。</v>
      </c>
      <c r="M263" s="11"/>
      <c r="N263" s="1" t="str">
        <f t="shared" si="72"/>
        <v/>
      </c>
      <c r="O263" s="1" t="n">
        <f t="shared" si="73"/>
        <v>1.0</v>
      </c>
    </row>
    <row r="264" spans="2:15" ht="15.75" customHeight="1">
      <c r="B264" s="108"/>
      <c r="C264" s="58" t="str">
        <f t="shared" si="74"/>
        <v>福祉用具貸与</v>
      </c>
      <c r="D264" s="165"/>
      <c r="E264" s="18" t="s">
        <v>47</v>
      </c>
      <c r="F264" s="39" t="n">
        <v>7541556.0</v>
      </c>
      <c r="G264" s="40" t="n">
        <v>31.0</v>
      </c>
      <c r="H264" s="80" t="s">
        <v>94</v>
      </c>
      <c r="I264" s="53" t="n">
        <f t="shared" si="75"/>
        <v>20273.0</v>
      </c>
      <c r="J264" s="21" t="n">
        <f>IF(data!I145&lt;0,0,data!I145)</f>
        <v>11925.0</v>
      </c>
      <c r="K264" s="21" t="n">
        <f>IF(data!J145&lt;0,0,data!J145)</f>
        <v>26170.0</v>
      </c>
      <c r="L264" s="22" t="str">
        <f t="shared" si="71"/>
        <v>閾値の範囲内です。</v>
      </c>
      <c r="M264" s="11"/>
      <c r="N264" s="1" t="str">
        <f t="shared" si="72"/>
        <v/>
      </c>
      <c r="O264" s="1" t="n">
        <f t="shared" si="73"/>
        <v>1.0</v>
      </c>
    </row>
    <row r="265" spans="2:15" ht="15.75" customHeight="1">
      <c r="B265" s="108"/>
      <c r="C265" s="58" t="str">
        <f t="shared" si="74"/>
        <v>福祉用具貸与</v>
      </c>
      <c r="D265" s="165"/>
      <c r="E265" s="18" t="s">
        <v>48</v>
      </c>
      <c r="F265" s="39" t="n">
        <v>1686912.0</v>
      </c>
      <c r="G265" s="40" t="n">
        <v>8.0</v>
      </c>
      <c r="H265" s="80" t="s">
        <v>94</v>
      </c>
      <c r="I265" s="53" t="n">
        <f t="shared" si="75"/>
        <v>17572.0</v>
      </c>
      <c r="J265" s="21" t="n">
        <f>IF(data!I146&lt;0,0,data!I146)</f>
        <v>13205.0</v>
      </c>
      <c r="K265" s="21" t="n">
        <f>IF(data!J146&lt;0,0,data!J146)</f>
        <v>31990.0</v>
      </c>
      <c r="L265" s="22" t="str">
        <f t="shared" si="71"/>
        <v>閾値の範囲内です。</v>
      </c>
      <c r="M265" s="11"/>
      <c r="N265" s="1" t="str">
        <f t="shared" si="72"/>
        <v/>
      </c>
      <c r="O265" s="1" t="n">
        <f t="shared" si="73"/>
        <v>1.0</v>
      </c>
    </row>
    <row r="266" spans="2:15" ht="15.75" customHeight="1">
      <c r="B266" s="108"/>
      <c r="C266" s="58" t="str">
        <f t="shared" si="74"/>
        <v>福祉用具貸与</v>
      </c>
      <c r="D266" s="166"/>
      <c r="E266" s="23" t="s">
        <v>49</v>
      </c>
      <c r="F266" s="24" t="n">
        <f>SUM(F259:F265)</f>
        <v>4.294962E7</v>
      </c>
      <c r="G266" s="25" t="n">
        <f>SUM(G259:G265)</f>
        <v>280.0</v>
      </c>
      <c r="H266" s="78" t="s">
        <v>94</v>
      </c>
      <c r="I266" s="54" t="n">
        <f t="shared" si="75"/>
        <v>12782.625</v>
      </c>
      <c r="J266" s="26" t="n">
        <f>IF(data!I147&lt;0,0,data!I147)</f>
        <v>7150.0</v>
      </c>
      <c r="K266" s="26" t="n">
        <f>IF(data!J147&lt;0,0,data!J147)</f>
        <v>16665.0</v>
      </c>
      <c r="L266" s="27" t="str">
        <f t="shared" si="71"/>
        <v>閾値の範囲内です。</v>
      </c>
      <c r="M266" s="11"/>
      <c r="N266" s="1" t="str">
        <f t="shared" si="72"/>
        <v/>
      </c>
    </row>
    <row r="267" spans="2:15" ht="15.75" customHeight="1">
      <c r="B267" s="108"/>
      <c r="C267" s="58" t="str">
        <f t="shared" si="74"/>
        <v>福祉用具貸与</v>
      </c>
      <c r="D267" s="164" t="s">
        <v>415</v>
      </c>
      <c r="E267" s="15" t="s">
        <v>50</v>
      </c>
      <c r="F267" s="35" t="n">
        <v>2420712.0</v>
      </c>
      <c r="G267" s="36" t="n">
        <v>21.0</v>
      </c>
      <c r="H267" s="79" t="s">
        <v>94</v>
      </c>
      <c r="I267" s="52" t="n">
        <f t="shared" si="75"/>
        <v>9606.0</v>
      </c>
      <c r="J267" s="16" t="n">
        <f t="shared" ref="J267:K282" si="76">J259</f>
        <v>1845.0</v>
      </c>
      <c r="K267" s="16" t="n">
        <f t="shared" si="76"/>
        <v>9685.0</v>
      </c>
      <c r="L267" s="32" t="str">
        <f t="shared" si="71"/>
        <v>閾値の範囲内です。</v>
      </c>
      <c r="M267" s="11"/>
      <c r="N267" s="1" t="str">
        <f t="shared" si="72"/>
        <v/>
      </c>
      <c r="O267" s="1" t="n">
        <f t="shared" ref="O267:O273" si="77">IF(OR(AND(F267="",G267="",H267="－"),AND(F267="",G267="",H267="")),"",1)</f>
        <v>1.0</v>
      </c>
    </row>
    <row r="268" spans="2:15" ht="15.75" customHeight="1">
      <c r="B268" s="108"/>
      <c r="C268" s="58" t="str">
        <f t="shared" si="74"/>
        <v>福祉用具貸与</v>
      </c>
      <c r="D268" s="165"/>
      <c r="E268" s="30" t="s">
        <v>51</v>
      </c>
      <c r="F268" s="37" t="n">
        <v>5247000.0</v>
      </c>
      <c r="G268" s="38" t="n">
        <v>50.0</v>
      </c>
      <c r="H268" s="80" t="s">
        <v>94</v>
      </c>
      <c r="I268" s="55" t="n">
        <f t="shared" si="75"/>
        <v>8745.0</v>
      </c>
      <c r="J268" s="31" t="n">
        <f t="shared" si="76"/>
        <v>2620.0</v>
      </c>
      <c r="K268" s="31" t="n">
        <f t="shared" si="76"/>
        <v>11450.0</v>
      </c>
      <c r="L268" s="33" t="str">
        <f t="shared" si="71"/>
        <v>閾値の範囲内です。</v>
      </c>
      <c r="M268" s="11"/>
      <c r="N268" s="1" t="str">
        <f t="shared" si="72"/>
        <v/>
      </c>
      <c r="O268" s="1" t="n">
        <f t="shared" si="77"/>
        <v>1.0</v>
      </c>
    </row>
    <row r="269" spans="2:15" ht="15.75" customHeight="1">
      <c r="B269" s="108"/>
      <c r="C269" s="58" t="str">
        <f t="shared" si="74"/>
        <v>福祉用具貸与</v>
      </c>
      <c r="D269" s="165"/>
      <c r="E269" s="18" t="s">
        <v>44</v>
      </c>
      <c r="F269" s="39" t="n">
        <v>6801732.0</v>
      </c>
      <c r="G269" s="40" t="n">
        <v>63.0</v>
      </c>
      <c r="H269" s="80" t="s">
        <v>94</v>
      </c>
      <c r="I269" s="53" t="n">
        <f t="shared" si="75"/>
        <v>8997.0</v>
      </c>
      <c r="J269" s="21" t="n">
        <f t="shared" si="76"/>
        <v>3285.0</v>
      </c>
      <c r="K269" s="21" t="n">
        <f t="shared" si="76"/>
        <v>11895.0</v>
      </c>
      <c r="L269" s="22" t="str">
        <f t="shared" si="71"/>
        <v>閾値の範囲内です。</v>
      </c>
      <c r="M269" s="11"/>
      <c r="N269" s="1" t="str">
        <f t="shared" si="72"/>
        <v/>
      </c>
      <c r="O269" s="1" t="n">
        <f t="shared" si="77"/>
        <v>1.0</v>
      </c>
    </row>
    <row r="270" spans="2:15" ht="15.75" customHeight="1">
      <c r="B270" s="108"/>
      <c r="C270" s="58" t="str">
        <f t="shared" si="74"/>
        <v>福祉用具貸与</v>
      </c>
      <c r="D270" s="165"/>
      <c r="E270" s="18" t="s">
        <v>45</v>
      </c>
      <c r="F270" s="39" t="n">
        <v>8795820.0</v>
      </c>
      <c r="G270" s="40" t="n">
        <v>55.0</v>
      </c>
      <c r="H270" s="80" t="s">
        <v>94</v>
      </c>
      <c r="I270" s="53" t="n">
        <f t="shared" si="75"/>
        <v>13327.0</v>
      </c>
      <c r="J270" s="21" t="n">
        <f t="shared" si="76"/>
        <v>7325.0</v>
      </c>
      <c r="K270" s="21" t="n">
        <f t="shared" si="76"/>
        <v>18360.0</v>
      </c>
      <c r="L270" s="22" t="str">
        <f t="shared" si="71"/>
        <v>閾値の範囲内です。</v>
      </c>
      <c r="M270" s="11"/>
      <c r="N270" s="1" t="str">
        <f t="shared" si="72"/>
        <v/>
      </c>
      <c r="O270" s="1" t="n">
        <f t="shared" si="77"/>
        <v>1.0</v>
      </c>
    </row>
    <row r="271" spans="2:15" ht="15.75" customHeight="1">
      <c r="B271" s="108"/>
      <c r="C271" s="58" t="str">
        <f t="shared" si="74"/>
        <v>福祉用具貸与</v>
      </c>
      <c r="D271" s="165"/>
      <c r="E271" s="18" t="s">
        <v>46</v>
      </c>
      <c r="F271" s="39" t="n">
        <v>1.0027008E7</v>
      </c>
      <c r="G271" s="40" t="n">
        <v>51.0</v>
      </c>
      <c r="H271" s="80" t="s">
        <v>94</v>
      </c>
      <c r="I271" s="53" t="n">
        <f t="shared" si="75"/>
        <v>16384.0</v>
      </c>
      <c r="J271" s="21" t="n">
        <f t="shared" si="76"/>
        <v>9290.0</v>
      </c>
      <c r="K271" s="21" t="n">
        <f t="shared" si="76"/>
        <v>21815.0</v>
      </c>
      <c r="L271" s="22" t="str">
        <f t="shared" si="71"/>
        <v>閾値の範囲内です。</v>
      </c>
      <c r="M271" s="11"/>
      <c r="N271" s="1" t="str">
        <f t="shared" si="72"/>
        <v/>
      </c>
      <c r="O271" s="1" t="n">
        <f t="shared" si="77"/>
        <v>1.0</v>
      </c>
    </row>
    <row r="272" spans="2:15" ht="15.75" customHeight="1">
      <c r="B272" s="108"/>
      <c r="C272" s="58" t="str">
        <f t="shared" si="74"/>
        <v>福祉用具貸与</v>
      </c>
      <c r="D272" s="165"/>
      <c r="E272" s="18" t="s">
        <v>47</v>
      </c>
      <c r="F272" s="39" t="n">
        <v>7055004.0</v>
      </c>
      <c r="G272" s="40" t="n">
        <v>29.0</v>
      </c>
      <c r="H272" s="80" t="s">
        <v>94</v>
      </c>
      <c r="I272" s="53" t="n">
        <f t="shared" si="75"/>
        <v>20273.0</v>
      </c>
      <c r="J272" s="21" t="n">
        <f t="shared" si="76"/>
        <v>11925.0</v>
      </c>
      <c r="K272" s="21" t="n">
        <f t="shared" si="76"/>
        <v>26170.0</v>
      </c>
      <c r="L272" s="22" t="str">
        <f t="shared" si="71"/>
        <v>閾値の範囲内です。</v>
      </c>
      <c r="M272" s="11"/>
      <c r="N272" s="1" t="str">
        <f t="shared" si="72"/>
        <v/>
      </c>
      <c r="O272" s="1" t="n">
        <f t="shared" si="77"/>
        <v>1.0</v>
      </c>
    </row>
    <row r="273" spans="2:15" ht="15.75" customHeight="1">
      <c r="B273" s="108"/>
      <c r="C273" s="58" t="str">
        <f t="shared" si="74"/>
        <v>福祉用具貸与</v>
      </c>
      <c r="D273" s="165"/>
      <c r="E273" s="18" t="s">
        <v>48</v>
      </c>
      <c r="F273" s="39" t="n">
        <v>1686912.0</v>
      </c>
      <c r="G273" s="40" t="n">
        <v>8.0</v>
      </c>
      <c r="H273" s="80" t="s">
        <v>94</v>
      </c>
      <c r="I273" s="53" t="n">
        <f t="shared" si="75"/>
        <v>17572.0</v>
      </c>
      <c r="J273" s="21" t="n">
        <f t="shared" si="76"/>
        <v>13205.0</v>
      </c>
      <c r="K273" s="21" t="n">
        <f t="shared" si="76"/>
        <v>31990.0</v>
      </c>
      <c r="L273" s="22" t="str">
        <f t="shared" si="71"/>
        <v>閾値の範囲内です。</v>
      </c>
      <c r="M273" s="11"/>
      <c r="N273" s="1" t="str">
        <f t="shared" si="72"/>
        <v/>
      </c>
      <c r="O273" s="1" t="n">
        <f t="shared" si="77"/>
        <v>1.0</v>
      </c>
    </row>
    <row r="274" spans="2:15" ht="15.75" customHeight="1">
      <c r="B274" s="108"/>
      <c r="C274" s="58" t="str">
        <f t="shared" si="74"/>
        <v>福祉用具貸与</v>
      </c>
      <c r="D274" s="166"/>
      <c r="E274" s="23" t="s">
        <v>49</v>
      </c>
      <c r="F274" s="24" t="n">
        <f>SUM(F267:F273)</f>
        <v>4.2034188E7</v>
      </c>
      <c r="G274" s="25" t="n">
        <f>SUM(G267:G273)</f>
        <v>277.0</v>
      </c>
      <c r="H274" s="78" t="s">
        <v>94</v>
      </c>
      <c r="I274" s="54" t="n">
        <f t="shared" si="75"/>
        <v>12645.664259927798</v>
      </c>
      <c r="J274" s="21" t="n">
        <f t="shared" si="76"/>
        <v>7150.0</v>
      </c>
      <c r="K274" s="21" t="n">
        <f t="shared" si="76"/>
        <v>16665.0</v>
      </c>
      <c r="L274" s="27" t="str">
        <f t="shared" si="71"/>
        <v>閾値の範囲内です。</v>
      </c>
      <c r="M274" s="11"/>
      <c r="N274" s="1" t="str">
        <f t="shared" si="72"/>
        <v/>
      </c>
    </row>
    <row r="275" spans="2:15" ht="15.75" customHeight="1">
      <c r="B275" s="108"/>
      <c r="C275" s="58" t="str">
        <f t="shared" si="74"/>
        <v>福祉用具貸与</v>
      </c>
      <c r="D275" s="164" t="s">
        <v>414</v>
      </c>
      <c r="E275" s="15" t="s">
        <v>50</v>
      </c>
      <c r="F275" s="35" t="n">
        <v>2305440.0</v>
      </c>
      <c r="G275" s="36" t="n">
        <v>20.0</v>
      </c>
      <c r="H275" s="79" t="s">
        <v>94</v>
      </c>
      <c r="I275" s="52" t="n">
        <f t="shared" si="75"/>
        <v>9606.0</v>
      </c>
      <c r="J275" s="16" t="n">
        <f t="shared" si="76"/>
        <v>1845.0</v>
      </c>
      <c r="K275" s="16" t="n">
        <f t="shared" si="76"/>
        <v>9685.0</v>
      </c>
      <c r="L275" s="32" t="str">
        <f t="shared" si="71"/>
        <v>閾値の範囲内です。</v>
      </c>
      <c r="M275" s="11"/>
      <c r="N275" s="1" t="str">
        <f t="shared" si="72"/>
        <v/>
      </c>
      <c r="O275" s="1" t="n">
        <f t="shared" ref="O275:O281" si="78">IF(OR(AND(F275="",G275="",H275="－"),AND(F275="",G275="",H275="")),"",1)</f>
        <v>1.0</v>
      </c>
    </row>
    <row r="276" spans="2:15" ht="15.75" customHeight="1">
      <c r="B276" s="108"/>
      <c r="C276" s="58" t="str">
        <f t="shared" si="74"/>
        <v>福祉用具貸与</v>
      </c>
      <c r="D276" s="165"/>
      <c r="E276" s="30" t="s">
        <v>51</v>
      </c>
      <c r="F276" s="37" t="n">
        <v>5247000.0</v>
      </c>
      <c r="G276" s="38" t="n">
        <v>50.0</v>
      </c>
      <c r="H276" s="80" t="s">
        <v>94</v>
      </c>
      <c r="I276" s="55" t="n">
        <f t="shared" si="75"/>
        <v>8745.0</v>
      </c>
      <c r="J276" s="31" t="n">
        <f t="shared" si="76"/>
        <v>2620.0</v>
      </c>
      <c r="K276" s="31" t="n">
        <f t="shared" si="76"/>
        <v>11450.0</v>
      </c>
      <c r="L276" s="33" t="str">
        <f t="shared" si="71"/>
        <v>閾値の範囲内です。</v>
      </c>
      <c r="M276" s="11"/>
      <c r="N276" s="1" t="str">
        <f t="shared" si="72"/>
        <v/>
      </c>
      <c r="O276" s="1" t="n">
        <f t="shared" si="78"/>
        <v>1.0</v>
      </c>
    </row>
    <row r="277" spans="2:15" ht="15.75" customHeight="1">
      <c r="B277" s="108"/>
      <c r="C277" s="58" t="str">
        <f t="shared" si="74"/>
        <v>福祉用具貸与</v>
      </c>
      <c r="D277" s="165"/>
      <c r="E277" s="18" t="s">
        <v>44</v>
      </c>
      <c r="F277" s="39" t="n">
        <v>6801732.0</v>
      </c>
      <c r="G277" s="40" t="n">
        <v>63.0</v>
      </c>
      <c r="H277" s="80" t="s">
        <v>94</v>
      </c>
      <c r="I277" s="53" t="n">
        <f t="shared" si="75"/>
        <v>8997.0</v>
      </c>
      <c r="J277" s="21" t="n">
        <f t="shared" si="76"/>
        <v>3285.0</v>
      </c>
      <c r="K277" s="21" t="n">
        <f t="shared" si="76"/>
        <v>11895.0</v>
      </c>
      <c r="L277" s="22" t="str">
        <f t="shared" si="71"/>
        <v>閾値の範囲内です。</v>
      </c>
      <c r="M277" s="11"/>
      <c r="N277" s="1" t="str">
        <f t="shared" si="72"/>
        <v/>
      </c>
      <c r="O277" s="1" t="n">
        <f t="shared" si="78"/>
        <v>1.0</v>
      </c>
    </row>
    <row r="278" spans="2:15" ht="15.75" customHeight="1">
      <c r="B278" s="108"/>
      <c r="C278" s="58" t="str">
        <f t="shared" si="74"/>
        <v>福祉用具貸与</v>
      </c>
      <c r="D278" s="165"/>
      <c r="E278" s="18" t="s">
        <v>45</v>
      </c>
      <c r="F278" s="39" t="n">
        <v>8955744.0</v>
      </c>
      <c r="G278" s="40" t="n">
        <v>56.0</v>
      </c>
      <c r="H278" s="80" t="s">
        <v>94</v>
      </c>
      <c r="I278" s="53" t="n">
        <f t="shared" si="75"/>
        <v>13327.0</v>
      </c>
      <c r="J278" s="21" t="n">
        <f t="shared" si="76"/>
        <v>7325.0</v>
      </c>
      <c r="K278" s="21" t="n">
        <f t="shared" si="76"/>
        <v>18360.0</v>
      </c>
      <c r="L278" s="22" t="str">
        <f t="shared" si="71"/>
        <v>閾値の範囲内です。</v>
      </c>
      <c r="M278" s="11"/>
      <c r="N278" s="1" t="str">
        <f t="shared" si="72"/>
        <v/>
      </c>
      <c r="O278" s="1" t="n">
        <f t="shared" si="78"/>
        <v>1.0</v>
      </c>
    </row>
    <row r="279" spans="2:15" ht="15.75" customHeight="1">
      <c r="B279" s="108"/>
      <c r="C279" s="58" t="str">
        <f t="shared" si="74"/>
        <v>福祉用具貸与</v>
      </c>
      <c r="D279" s="165"/>
      <c r="E279" s="18" t="s">
        <v>46</v>
      </c>
      <c r="F279" s="39" t="n">
        <v>9830400.0</v>
      </c>
      <c r="G279" s="40" t="n">
        <v>50.0</v>
      </c>
      <c r="H279" s="80" t="s">
        <v>94</v>
      </c>
      <c r="I279" s="53" t="n">
        <f t="shared" si="75"/>
        <v>16384.0</v>
      </c>
      <c r="J279" s="21" t="n">
        <f t="shared" si="76"/>
        <v>9290.0</v>
      </c>
      <c r="K279" s="21" t="n">
        <f t="shared" si="76"/>
        <v>21815.0</v>
      </c>
      <c r="L279" s="22" t="str">
        <f t="shared" si="71"/>
        <v>閾値の範囲内です。</v>
      </c>
      <c r="M279" s="11"/>
      <c r="N279" s="1" t="str">
        <f t="shared" si="72"/>
        <v/>
      </c>
      <c r="O279" s="1" t="n">
        <f t="shared" si="78"/>
        <v>1.0</v>
      </c>
    </row>
    <row r="280" spans="2:15" ht="15.75" customHeight="1">
      <c r="B280" s="108"/>
      <c r="C280" s="58" t="str">
        <f t="shared" si="74"/>
        <v>福祉用具貸与</v>
      </c>
      <c r="D280" s="165"/>
      <c r="E280" s="18" t="s">
        <v>47</v>
      </c>
      <c r="F280" s="39" t="n">
        <v>7298280.0</v>
      </c>
      <c r="G280" s="40" t="n">
        <v>30.0</v>
      </c>
      <c r="H280" s="80" t="s">
        <v>94</v>
      </c>
      <c r="I280" s="53" t="n">
        <f t="shared" si="75"/>
        <v>20273.0</v>
      </c>
      <c r="J280" s="21" t="n">
        <f t="shared" si="76"/>
        <v>11925.0</v>
      </c>
      <c r="K280" s="21" t="n">
        <f t="shared" si="76"/>
        <v>26170.0</v>
      </c>
      <c r="L280" s="22" t="str">
        <f t="shared" si="71"/>
        <v>閾値の範囲内です。</v>
      </c>
      <c r="M280" s="11"/>
      <c r="N280" s="1" t="str">
        <f t="shared" si="72"/>
        <v/>
      </c>
      <c r="O280" s="1" t="n">
        <f t="shared" si="78"/>
        <v>1.0</v>
      </c>
    </row>
    <row r="281" spans="2:15" ht="15.75" customHeight="1">
      <c r="B281" s="108"/>
      <c r="C281" s="58" t="str">
        <f t="shared" si="74"/>
        <v>福祉用具貸与</v>
      </c>
      <c r="D281" s="165"/>
      <c r="E281" s="18" t="s">
        <v>48</v>
      </c>
      <c r="F281" s="39" t="n">
        <v>1686912.0</v>
      </c>
      <c r="G281" s="40" t="n">
        <v>8.0</v>
      </c>
      <c r="H281" s="80" t="s">
        <v>94</v>
      </c>
      <c r="I281" s="53" t="n">
        <f t="shared" si="75"/>
        <v>17572.0</v>
      </c>
      <c r="J281" s="21" t="n">
        <f t="shared" si="76"/>
        <v>13205.0</v>
      </c>
      <c r="K281" s="21" t="n">
        <f t="shared" si="76"/>
        <v>31990.0</v>
      </c>
      <c r="L281" s="22" t="str">
        <f t="shared" si="71"/>
        <v>閾値の範囲内です。</v>
      </c>
      <c r="M281" s="11"/>
      <c r="N281" s="1" t="str">
        <f t="shared" si="72"/>
        <v/>
      </c>
      <c r="O281" s="1" t="n">
        <f t="shared" si="78"/>
        <v>1.0</v>
      </c>
    </row>
    <row r="282" spans="2:15" ht="15.75" customHeight="1">
      <c r="B282" s="109"/>
      <c r="C282" s="59" t="str">
        <f t="shared" si="74"/>
        <v>福祉用具貸与</v>
      </c>
      <c r="D282" s="166"/>
      <c r="E282" s="23" t="s">
        <v>49</v>
      </c>
      <c r="F282" s="24" t="n">
        <f>SUM(F275:F281)</f>
        <v>4.2125508E7</v>
      </c>
      <c r="G282" s="25" t="n">
        <f>SUM(G275:G281)</f>
        <v>277.0</v>
      </c>
      <c r="H282" s="78" t="s">
        <v>94</v>
      </c>
      <c r="I282" s="54" t="n">
        <f t="shared" si="75"/>
        <v>12673.137184115525</v>
      </c>
      <c r="J282" s="26" t="n">
        <f t="shared" si="76"/>
        <v>7150.0</v>
      </c>
      <c r="K282" s="26" t="n">
        <f t="shared" si="76"/>
        <v>16665.0</v>
      </c>
      <c r="L282" s="27" t="str">
        <f t="shared" si="71"/>
        <v>閾値の範囲内です。</v>
      </c>
      <c r="M282" s="11"/>
      <c r="N282" s="1" t="str">
        <f t="shared" si="72"/>
        <v/>
      </c>
    </row>
    <row r="283" spans="2:15" ht="15.75" customHeight="1">
      <c r="B283" s="107">
        <v>13</v>
      </c>
      <c r="C283" s="7" t="s">
        <v>13</v>
      </c>
      <c r="D283" s="164" t="s">
        <v>416</v>
      </c>
      <c r="E283" s="15" t="s">
        <v>50</v>
      </c>
      <c r="F283" s="35" t="n">
        <v>0.0</v>
      </c>
      <c r="G283" s="36" t="n">
        <v>0.0</v>
      </c>
      <c r="H283" s="79" t="s">
        <v>94</v>
      </c>
      <c r="I283" s="52" t="str">
        <f>IF(H283="－",IF(ISERROR(F283/G283/12)=TRUE,"－",F283/G283/12),IF(ISERROR(F283/G283/H283/12)=TRUE,"－",F283/G283/H283/12))</f>
        <v>－</v>
      </c>
      <c r="J283" s="16" t="n">
        <f>IF(data!I148&lt;0,0,data!I148)</f>
        <v>11930.0</v>
      </c>
      <c r="K283" s="16" t="n">
        <f>IF(data!J148&lt;0,0,data!J148)</f>
        <v>43355.0</v>
      </c>
      <c r="L283" s="32" t="str">
        <f t="shared" ref="L283:L306" si="79">IF(I283="－","",IF(I283&lt;J283,"下限値を\"&amp;TEXT(ROUND(J283-I283,0),"#,##0")&amp;"下回っています。",IF(I283&gt;K283,"上限値を\"&amp;TEXT(ROUND(I283-K283,0),"#,##0")&amp;"上回っています。","閾値の範囲内です。")))</f>
        <v/>
      </c>
      <c r="M283" s="11"/>
      <c r="N283" s="1" t="str">
        <f t="shared" ref="N283:N306" si="80">IF(OR(I283="－",AND(J283="－",K283="－")),"",IF(OR(I283&lt;J283,I283&gt;K283),1,""))</f>
        <v/>
      </c>
      <c r="O283" s="1" t="n">
        <f t="shared" ref="O283:O289" si="81">IF(OR(AND(F283="",G283="",H283="－"),AND(F283="",G283="",H283="")),"",1)</f>
        <v>1.0</v>
      </c>
    </row>
    <row r="284" spans="2:15" ht="15.75" customHeight="1">
      <c r="B284" s="108"/>
      <c r="C284" s="58" t="str">
        <f t="shared" si="74"/>
        <v>特定福祉用具購入費</v>
      </c>
      <c r="D284" s="165"/>
      <c r="E284" s="30" t="s">
        <v>51</v>
      </c>
      <c r="F284" s="37" t="n">
        <v>0.0</v>
      </c>
      <c r="G284" s="38" t="n">
        <v>0.0</v>
      </c>
      <c r="H284" s="80" t="s">
        <v>94</v>
      </c>
      <c r="I284" s="55" t="str">
        <f t="shared" ref="I284:I306" si="82">IF(H284="－",IF(ISERROR(F284/G284/12)=TRUE,"－",F284/G284/12),IF(ISERROR(F284/G284/H284/12)=TRUE,"－",F284/G284/H284/12))</f>
        <v>－</v>
      </c>
      <c r="J284" s="31" t="n">
        <f>IF(data!I149&lt;0,0,data!I149)</f>
        <v>12510.0</v>
      </c>
      <c r="K284" s="31" t="n">
        <f>IF(data!J149&lt;0,0,data!J149)</f>
        <v>43010.0</v>
      </c>
      <c r="L284" s="33" t="str">
        <f t="shared" si="79"/>
        <v/>
      </c>
      <c r="M284" s="11"/>
      <c r="N284" s="1" t="str">
        <f t="shared" si="80"/>
        <v/>
      </c>
      <c r="O284" s="1" t="n">
        <f t="shared" si="81"/>
        <v>1.0</v>
      </c>
    </row>
    <row r="285" spans="2:15" ht="15.75" customHeight="1">
      <c r="B285" s="108"/>
      <c r="C285" s="58" t="str">
        <f t="shared" si="74"/>
        <v>特定福祉用具購入費</v>
      </c>
      <c r="D285" s="165"/>
      <c r="E285" s="18" t="s">
        <v>44</v>
      </c>
      <c r="F285" s="39" t="n">
        <v>0.0</v>
      </c>
      <c r="G285" s="40" t="n">
        <v>0.0</v>
      </c>
      <c r="H285" s="80" t="s">
        <v>94</v>
      </c>
      <c r="I285" s="53" t="str">
        <f t="shared" si="82"/>
        <v>－</v>
      </c>
      <c r="J285" s="21" t="n">
        <f>IF(data!I150&lt;0,0,data!I150)</f>
        <v>13720.0</v>
      </c>
      <c r="K285" s="21" t="n">
        <f>IF(data!J150&lt;0,0,data!J150)</f>
        <v>44530.0</v>
      </c>
      <c r="L285" s="22" t="str">
        <f t="shared" si="79"/>
        <v/>
      </c>
      <c r="M285" s="11"/>
      <c r="N285" s="1" t="str">
        <f t="shared" si="80"/>
        <v/>
      </c>
      <c r="O285" s="1" t="n">
        <f t="shared" si="81"/>
        <v>1.0</v>
      </c>
    </row>
    <row r="286" spans="2:15" ht="15.75" customHeight="1">
      <c r="B286" s="108"/>
      <c r="C286" s="58" t="str">
        <f t="shared" si="74"/>
        <v>特定福祉用具購入費</v>
      </c>
      <c r="D286" s="165"/>
      <c r="E286" s="18" t="s">
        <v>45</v>
      </c>
      <c r="F286" s="39" t="n">
        <v>0.0</v>
      </c>
      <c r="G286" s="40" t="n">
        <v>0.0</v>
      </c>
      <c r="H286" s="80" t="s">
        <v>94</v>
      </c>
      <c r="I286" s="53" t="str">
        <f t="shared" si="82"/>
        <v>－</v>
      </c>
      <c r="J286" s="21" t="n">
        <f>IF(data!I151&lt;0,0,data!I151)</f>
        <v>12155.0</v>
      </c>
      <c r="K286" s="21" t="n">
        <f>IF(data!J151&lt;0,0,data!J151)</f>
        <v>47720.0</v>
      </c>
      <c r="L286" s="22" t="str">
        <f t="shared" si="79"/>
        <v/>
      </c>
      <c r="M286" s="11"/>
      <c r="N286" s="1" t="str">
        <f t="shared" si="80"/>
        <v/>
      </c>
      <c r="O286" s="1" t="n">
        <f t="shared" si="81"/>
        <v>1.0</v>
      </c>
    </row>
    <row r="287" spans="2:15" ht="15.75" customHeight="1">
      <c r="B287" s="108"/>
      <c r="C287" s="58" t="str">
        <f t="shared" si="74"/>
        <v>特定福祉用具購入費</v>
      </c>
      <c r="D287" s="165"/>
      <c r="E287" s="18" t="s">
        <v>46</v>
      </c>
      <c r="F287" s="39" t="n">
        <v>0.0</v>
      </c>
      <c r="G287" s="40" t="n">
        <v>0.0</v>
      </c>
      <c r="H287" s="80" t="s">
        <v>94</v>
      </c>
      <c r="I287" s="53" t="str">
        <f t="shared" si="82"/>
        <v>－</v>
      </c>
      <c r="J287" s="21" t="n">
        <f>IF(data!I152&lt;0,0,data!I152)</f>
        <v>10240.0</v>
      </c>
      <c r="K287" s="21" t="n">
        <f>IF(data!J152&lt;0,0,data!J152)</f>
        <v>52450.0</v>
      </c>
      <c r="L287" s="22" t="str">
        <f t="shared" si="79"/>
        <v/>
      </c>
      <c r="M287" s="11"/>
      <c r="N287" s="1" t="str">
        <f t="shared" si="80"/>
        <v/>
      </c>
      <c r="O287" s="1" t="n">
        <f t="shared" si="81"/>
        <v>1.0</v>
      </c>
    </row>
    <row r="288" spans="2:15" ht="15.75" customHeight="1">
      <c r="B288" s="108"/>
      <c r="C288" s="58" t="str">
        <f t="shared" si="74"/>
        <v>特定福祉用具購入費</v>
      </c>
      <c r="D288" s="165"/>
      <c r="E288" s="18" t="s">
        <v>47</v>
      </c>
      <c r="F288" s="39" t="n">
        <v>0.0</v>
      </c>
      <c r="G288" s="40" t="n">
        <v>0.0</v>
      </c>
      <c r="H288" s="80" t="s">
        <v>94</v>
      </c>
      <c r="I288" s="53" t="str">
        <f t="shared" si="82"/>
        <v>－</v>
      </c>
      <c r="J288" s="21" t="n">
        <f>IF(data!I153&lt;0,0,data!I153)</f>
        <v>8010.0</v>
      </c>
      <c r="K288" s="21" t="n">
        <f>IF(data!J153&lt;0,0,data!J153)</f>
        <v>57810.0</v>
      </c>
      <c r="L288" s="22" t="str">
        <f t="shared" si="79"/>
        <v/>
      </c>
      <c r="M288" s="11"/>
      <c r="N288" s="1" t="str">
        <f t="shared" si="80"/>
        <v/>
      </c>
      <c r="O288" s="1" t="n">
        <f t="shared" si="81"/>
        <v>1.0</v>
      </c>
    </row>
    <row r="289" spans="2:15" ht="15.75" customHeight="1">
      <c r="B289" s="108"/>
      <c r="C289" s="58" t="str">
        <f t="shared" si="74"/>
        <v>特定福祉用具購入費</v>
      </c>
      <c r="D289" s="165"/>
      <c r="E289" s="18" t="s">
        <v>48</v>
      </c>
      <c r="F289" s="39" t="n">
        <v>0.0</v>
      </c>
      <c r="G289" s="40" t="n">
        <v>0.0</v>
      </c>
      <c r="H289" s="80" t="s">
        <v>94</v>
      </c>
      <c r="I289" s="53" t="str">
        <f t="shared" si="82"/>
        <v>－</v>
      </c>
      <c r="J289" s="21" t="n">
        <f>IF(data!I154&lt;0,0,data!I154)</f>
        <v>0.0</v>
      </c>
      <c r="K289" s="21" t="n">
        <f>IF(data!J154&lt;0,0,data!J154)</f>
        <v>69825.0</v>
      </c>
      <c r="L289" s="22" t="str">
        <f t="shared" si="79"/>
        <v/>
      </c>
      <c r="M289" s="11"/>
      <c r="N289" s="1" t="str">
        <f t="shared" si="80"/>
        <v/>
      </c>
      <c r="O289" s="1" t="n">
        <f t="shared" si="81"/>
        <v>1.0</v>
      </c>
    </row>
    <row r="290" spans="2:15" ht="15.75" customHeight="1">
      <c r="B290" s="108"/>
      <c r="C290" s="58" t="str">
        <f t="shared" si="74"/>
        <v>特定福祉用具購入費</v>
      </c>
      <c r="D290" s="166"/>
      <c r="E290" s="23" t="s">
        <v>49</v>
      </c>
      <c r="F290" s="24" t="n">
        <f>SUM(F283:F289)</f>
        <v>0.0</v>
      </c>
      <c r="G290" s="25" t="n">
        <f>SUM(G283:G289)</f>
        <v>0.0</v>
      </c>
      <c r="H290" s="78" t="s">
        <v>94</v>
      </c>
      <c r="I290" s="54" t="str">
        <f t="shared" si="82"/>
        <v>－</v>
      </c>
      <c r="J290" s="26" t="n">
        <f>IF(data!I155&lt;0,0,data!I155)</f>
        <v>16590.0</v>
      </c>
      <c r="K290" s="26" t="n">
        <f>IF(data!J155&lt;0,0,data!J155)</f>
        <v>43545.0</v>
      </c>
      <c r="L290" s="27" t="str">
        <f t="shared" si="79"/>
        <v/>
      </c>
      <c r="M290" s="11"/>
      <c r="N290" s="1" t="str">
        <f t="shared" si="80"/>
        <v/>
      </c>
    </row>
    <row r="291" spans="2:15" ht="15.75" customHeight="1">
      <c r="B291" s="108"/>
      <c r="C291" s="58" t="str">
        <f t="shared" si="74"/>
        <v>特定福祉用具購入費</v>
      </c>
      <c r="D291" s="164" t="s">
        <v>415</v>
      </c>
      <c r="E291" s="15" t="s">
        <v>50</v>
      </c>
      <c r="F291" s="35" t="n">
        <v>0.0</v>
      </c>
      <c r="G291" s="36" t="n">
        <v>0.0</v>
      </c>
      <c r="H291" s="79" t="s">
        <v>94</v>
      </c>
      <c r="I291" s="52" t="str">
        <f t="shared" si="82"/>
        <v>－</v>
      </c>
      <c r="J291" s="16" t="n">
        <f t="shared" ref="J291:K306" si="83">J283</f>
        <v>11930.0</v>
      </c>
      <c r="K291" s="16" t="n">
        <f t="shared" si="83"/>
        <v>43355.0</v>
      </c>
      <c r="L291" s="32" t="str">
        <f t="shared" si="79"/>
        <v/>
      </c>
      <c r="M291" s="11"/>
      <c r="N291" s="1" t="str">
        <f t="shared" si="80"/>
        <v/>
      </c>
      <c r="O291" s="1" t="n">
        <f t="shared" ref="O291:O297" si="84">IF(OR(AND(F291="",G291="",H291="－"),AND(F291="",G291="",H291="")),"",1)</f>
        <v>1.0</v>
      </c>
    </row>
    <row r="292" spans="2:15" ht="15.75" customHeight="1">
      <c r="B292" s="108"/>
      <c r="C292" s="58" t="str">
        <f t="shared" si="74"/>
        <v>特定福祉用具購入費</v>
      </c>
      <c r="D292" s="165"/>
      <c r="E292" s="30" t="s">
        <v>51</v>
      </c>
      <c r="F292" s="37" t="n">
        <v>0.0</v>
      </c>
      <c r="G292" s="38" t="n">
        <v>0.0</v>
      </c>
      <c r="H292" s="80" t="s">
        <v>94</v>
      </c>
      <c r="I292" s="55" t="str">
        <f t="shared" si="82"/>
        <v>－</v>
      </c>
      <c r="J292" s="31" t="n">
        <f t="shared" si="83"/>
        <v>12510.0</v>
      </c>
      <c r="K292" s="31" t="n">
        <f t="shared" si="83"/>
        <v>43010.0</v>
      </c>
      <c r="L292" s="33" t="str">
        <f t="shared" si="79"/>
        <v/>
      </c>
      <c r="M292" s="11"/>
      <c r="N292" s="1" t="str">
        <f t="shared" si="80"/>
        <v/>
      </c>
      <c r="O292" s="1" t="n">
        <f t="shared" si="84"/>
        <v>1.0</v>
      </c>
    </row>
    <row r="293" spans="2:15" ht="15.75" customHeight="1">
      <c r="B293" s="108"/>
      <c r="C293" s="58" t="str">
        <f t="shared" si="74"/>
        <v>特定福祉用具購入費</v>
      </c>
      <c r="D293" s="165"/>
      <c r="E293" s="18" t="s">
        <v>44</v>
      </c>
      <c r="F293" s="39" t="n">
        <v>0.0</v>
      </c>
      <c r="G293" s="40" t="n">
        <v>0.0</v>
      </c>
      <c r="H293" s="80" t="s">
        <v>94</v>
      </c>
      <c r="I293" s="53" t="str">
        <f t="shared" si="82"/>
        <v>－</v>
      </c>
      <c r="J293" s="21" t="n">
        <f t="shared" si="83"/>
        <v>13720.0</v>
      </c>
      <c r="K293" s="21" t="n">
        <f t="shared" si="83"/>
        <v>44530.0</v>
      </c>
      <c r="L293" s="22" t="str">
        <f t="shared" si="79"/>
        <v/>
      </c>
      <c r="M293" s="11"/>
      <c r="N293" s="1" t="str">
        <f t="shared" si="80"/>
        <v/>
      </c>
      <c r="O293" s="1" t="n">
        <f t="shared" si="84"/>
        <v>1.0</v>
      </c>
    </row>
    <row r="294" spans="2:15" ht="15.75" customHeight="1">
      <c r="B294" s="108"/>
      <c r="C294" s="58" t="str">
        <f t="shared" si="74"/>
        <v>特定福祉用具購入費</v>
      </c>
      <c r="D294" s="165"/>
      <c r="E294" s="18" t="s">
        <v>45</v>
      </c>
      <c r="F294" s="39" t="n">
        <v>0.0</v>
      </c>
      <c r="G294" s="40" t="n">
        <v>0.0</v>
      </c>
      <c r="H294" s="80" t="s">
        <v>94</v>
      </c>
      <c r="I294" s="53" t="str">
        <f t="shared" si="82"/>
        <v>－</v>
      </c>
      <c r="J294" s="21" t="n">
        <f t="shared" si="83"/>
        <v>12155.0</v>
      </c>
      <c r="K294" s="21" t="n">
        <f t="shared" si="83"/>
        <v>47720.0</v>
      </c>
      <c r="L294" s="22" t="str">
        <f t="shared" si="79"/>
        <v/>
      </c>
      <c r="M294" s="11"/>
      <c r="N294" s="1" t="str">
        <f t="shared" si="80"/>
        <v/>
      </c>
      <c r="O294" s="1" t="n">
        <f t="shared" si="84"/>
        <v>1.0</v>
      </c>
    </row>
    <row r="295" spans="2:15" ht="15.75" customHeight="1">
      <c r="B295" s="108"/>
      <c r="C295" s="58" t="str">
        <f t="shared" si="74"/>
        <v>特定福祉用具購入費</v>
      </c>
      <c r="D295" s="165"/>
      <c r="E295" s="18" t="s">
        <v>46</v>
      </c>
      <c r="F295" s="39" t="n">
        <v>0.0</v>
      </c>
      <c r="G295" s="40" t="n">
        <v>0.0</v>
      </c>
      <c r="H295" s="80" t="s">
        <v>94</v>
      </c>
      <c r="I295" s="53" t="str">
        <f t="shared" si="82"/>
        <v>－</v>
      </c>
      <c r="J295" s="21" t="n">
        <f t="shared" si="83"/>
        <v>10240.0</v>
      </c>
      <c r="K295" s="21" t="n">
        <f t="shared" si="83"/>
        <v>52450.0</v>
      </c>
      <c r="L295" s="22" t="str">
        <f t="shared" si="79"/>
        <v/>
      </c>
      <c r="M295" s="11"/>
      <c r="N295" s="1" t="str">
        <f t="shared" si="80"/>
        <v/>
      </c>
      <c r="O295" s="1" t="n">
        <f t="shared" si="84"/>
        <v>1.0</v>
      </c>
    </row>
    <row r="296" spans="2:15" ht="15.75" customHeight="1">
      <c r="B296" s="108"/>
      <c r="C296" s="58" t="str">
        <f t="shared" si="74"/>
        <v>特定福祉用具購入費</v>
      </c>
      <c r="D296" s="165"/>
      <c r="E296" s="18" t="s">
        <v>47</v>
      </c>
      <c r="F296" s="39" t="n">
        <v>0.0</v>
      </c>
      <c r="G296" s="40" t="n">
        <v>0.0</v>
      </c>
      <c r="H296" s="80" t="s">
        <v>94</v>
      </c>
      <c r="I296" s="53" t="str">
        <f t="shared" si="82"/>
        <v>－</v>
      </c>
      <c r="J296" s="21" t="n">
        <f t="shared" si="83"/>
        <v>8010.0</v>
      </c>
      <c r="K296" s="21" t="n">
        <f t="shared" si="83"/>
        <v>57810.0</v>
      </c>
      <c r="L296" s="22" t="str">
        <f t="shared" si="79"/>
        <v/>
      </c>
      <c r="M296" s="11"/>
      <c r="N296" s="1" t="str">
        <f t="shared" si="80"/>
        <v/>
      </c>
      <c r="O296" s="1" t="n">
        <f t="shared" si="84"/>
        <v>1.0</v>
      </c>
    </row>
    <row r="297" spans="2:15" ht="15.75" customHeight="1">
      <c r="B297" s="108"/>
      <c r="C297" s="58" t="str">
        <f t="shared" si="74"/>
        <v>特定福祉用具購入費</v>
      </c>
      <c r="D297" s="165"/>
      <c r="E297" s="18" t="s">
        <v>48</v>
      </c>
      <c r="F297" s="39" t="n">
        <v>0.0</v>
      </c>
      <c r="G297" s="40" t="n">
        <v>0.0</v>
      </c>
      <c r="H297" s="80" t="s">
        <v>94</v>
      </c>
      <c r="I297" s="53" t="str">
        <f t="shared" si="82"/>
        <v>－</v>
      </c>
      <c r="J297" s="21" t="n">
        <f t="shared" si="83"/>
        <v>0.0</v>
      </c>
      <c r="K297" s="21" t="n">
        <f t="shared" si="83"/>
        <v>69825.0</v>
      </c>
      <c r="L297" s="22" t="str">
        <f t="shared" si="79"/>
        <v/>
      </c>
      <c r="M297" s="11"/>
      <c r="N297" s="1" t="str">
        <f t="shared" si="80"/>
        <v/>
      </c>
      <c r="O297" s="1" t="n">
        <f t="shared" si="84"/>
        <v>1.0</v>
      </c>
    </row>
    <row r="298" spans="2:15" ht="15.75" customHeight="1">
      <c r="B298" s="108"/>
      <c r="C298" s="58" t="str">
        <f t="shared" si="74"/>
        <v>特定福祉用具購入費</v>
      </c>
      <c r="D298" s="166"/>
      <c r="E298" s="23" t="s">
        <v>49</v>
      </c>
      <c r="F298" s="24" t="n">
        <f>SUM(F291:F297)</f>
        <v>0.0</v>
      </c>
      <c r="G298" s="25" t="n">
        <f>SUM(G291:G297)</f>
        <v>0.0</v>
      </c>
      <c r="H298" s="78" t="s">
        <v>94</v>
      </c>
      <c r="I298" s="54" t="str">
        <f t="shared" si="82"/>
        <v>－</v>
      </c>
      <c r="J298" s="21" t="n">
        <f t="shared" si="83"/>
        <v>16590.0</v>
      </c>
      <c r="K298" s="21" t="n">
        <f t="shared" si="83"/>
        <v>43545.0</v>
      </c>
      <c r="L298" s="27" t="str">
        <f t="shared" si="79"/>
        <v/>
      </c>
      <c r="M298" s="11"/>
      <c r="N298" s="1" t="str">
        <f t="shared" si="80"/>
        <v/>
      </c>
    </row>
    <row r="299" spans="2:15" ht="15.75" customHeight="1">
      <c r="B299" s="108"/>
      <c r="C299" s="58" t="str">
        <f t="shared" si="74"/>
        <v>特定福祉用具購入費</v>
      </c>
      <c r="D299" s="164" t="s">
        <v>414</v>
      </c>
      <c r="E299" s="15" t="s">
        <v>50</v>
      </c>
      <c r="F299" s="35" t="n">
        <v>0.0</v>
      </c>
      <c r="G299" s="36" t="n">
        <v>0.0</v>
      </c>
      <c r="H299" s="79" t="s">
        <v>94</v>
      </c>
      <c r="I299" s="52" t="str">
        <f t="shared" si="82"/>
        <v>－</v>
      </c>
      <c r="J299" s="16" t="n">
        <f t="shared" si="83"/>
        <v>11930.0</v>
      </c>
      <c r="K299" s="16" t="n">
        <f t="shared" si="83"/>
        <v>43355.0</v>
      </c>
      <c r="L299" s="32" t="str">
        <f t="shared" si="79"/>
        <v/>
      </c>
      <c r="M299" s="11"/>
      <c r="N299" s="1" t="str">
        <f t="shared" si="80"/>
        <v/>
      </c>
      <c r="O299" s="1" t="n">
        <f t="shared" ref="O299:O305" si="85">IF(OR(AND(F299="",G299="",H299="－"),AND(F299="",G299="",H299="")),"",1)</f>
        <v>1.0</v>
      </c>
    </row>
    <row r="300" spans="2:15" ht="15.75" customHeight="1">
      <c r="B300" s="108"/>
      <c r="C300" s="58" t="str">
        <f t="shared" si="74"/>
        <v>特定福祉用具購入費</v>
      </c>
      <c r="D300" s="165"/>
      <c r="E300" s="30" t="s">
        <v>51</v>
      </c>
      <c r="F300" s="37" t="n">
        <v>0.0</v>
      </c>
      <c r="G300" s="38" t="n">
        <v>0.0</v>
      </c>
      <c r="H300" s="80" t="s">
        <v>94</v>
      </c>
      <c r="I300" s="55" t="str">
        <f t="shared" si="82"/>
        <v>－</v>
      </c>
      <c r="J300" s="31" t="n">
        <f t="shared" si="83"/>
        <v>12510.0</v>
      </c>
      <c r="K300" s="31" t="n">
        <f t="shared" si="83"/>
        <v>43010.0</v>
      </c>
      <c r="L300" s="33" t="str">
        <f t="shared" si="79"/>
        <v/>
      </c>
      <c r="M300" s="11"/>
      <c r="N300" s="1" t="str">
        <f t="shared" si="80"/>
        <v/>
      </c>
      <c r="O300" s="1" t="n">
        <f t="shared" si="85"/>
        <v>1.0</v>
      </c>
    </row>
    <row r="301" spans="2:15" ht="15.75" customHeight="1">
      <c r="B301" s="108"/>
      <c r="C301" s="58" t="str">
        <f t="shared" si="74"/>
        <v>特定福祉用具購入費</v>
      </c>
      <c r="D301" s="165"/>
      <c r="E301" s="18" t="s">
        <v>44</v>
      </c>
      <c r="F301" s="39" t="n">
        <v>0.0</v>
      </c>
      <c r="G301" s="40" t="n">
        <v>0.0</v>
      </c>
      <c r="H301" s="80" t="s">
        <v>94</v>
      </c>
      <c r="I301" s="53" t="str">
        <f t="shared" si="82"/>
        <v>－</v>
      </c>
      <c r="J301" s="21" t="n">
        <f t="shared" si="83"/>
        <v>13720.0</v>
      </c>
      <c r="K301" s="21" t="n">
        <f t="shared" si="83"/>
        <v>44530.0</v>
      </c>
      <c r="L301" s="22" t="str">
        <f t="shared" si="79"/>
        <v/>
      </c>
      <c r="M301" s="11"/>
      <c r="N301" s="1" t="str">
        <f t="shared" si="80"/>
        <v/>
      </c>
      <c r="O301" s="1" t="n">
        <f t="shared" si="85"/>
        <v>1.0</v>
      </c>
    </row>
    <row r="302" spans="2:15" ht="15.75" customHeight="1">
      <c r="B302" s="108"/>
      <c r="C302" s="58" t="str">
        <f t="shared" si="74"/>
        <v>特定福祉用具購入費</v>
      </c>
      <c r="D302" s="165"/>
      <c r="E302" s="18" t="s">
        <v>45</v>
      </c>
      <c r="F302" s="39" t="n">
        <v>0.0</v>
      </c>
      <c r="G302" s="40" t="n">
        <v>0.0</v>
      </c>
      <c r="H302" s="80" t="s">
        <v>94</v>
      </c>
      <c r="I302" s="53" t="str">
        <f t="shared" si="82"/>
        <v>－</v>
      </c>
      <c r="J302" s="21" t="n">
        <f t="shared" si="83"/>
        <v>12155.0</v>
      </c>
      <c r="K302" s="21" t="n">
        <f t="shared" si="83"/>
        <v>47720.0</v>
      </c>
      <c r="L302" s="22" t="str">
        <f t="shared" si="79"/>
        <v/>
      </c>
      <c r="M302" s="11"/>
      <c r="N302" s="1" t="str">
        <f t="shared" si="80"/>
        <v/>
      </c>
      <c r="O302" s="1" t="n">
        <f t="shared" si="85"/>
        <v>1.0</v>
      </c>
    </row>
    <row r="303" spans="2:15" ht="15.75" customHeight="1">
      <c r="B303" s="108"/>
      <c r="C303" s="58" t="str">
        <f t="shared" si="74"/>
        <v>特定福祉用具購入費</v>
      </c>
      <c r="D303" s="165"/>
      <c r="E303" s="18" t="s">
        <v>46</v>
      </c>
      <c r="F303" s="39" t="n">
        <v>0.0</v>
      </c>
      <c r="G303" s="40" t="n">
        <v>0.0</v>
      </c>
      <c r="H303" s="80" t="s">
        <v>94</v>
      </c>
      <c r="I303" s="53" t="str">
        <f t="shared" si="82"/>
        <v>－</v>
      </c>
      <c r="J303" s="21" t="n">
        <f t="shared" si="83"/>
        <v>10240.0</v>
      </c>
      <c r="K303" s="21" t="n">
        <f t="shared" si="83"/>
        <v>52450.0</v>
      </c>
      <c r="L303" s="22" t="str">
        <f t="shared" si="79"/>
        <v/>
      </c>
      <c r="M303" s="11"/>
      <c r="N303" s="1" t="str">
        <f t="shared" si="80"/>
        <v/>
      </c>
      <c r="O303" s="1" t="n">
        <f t="shared" si="85"/>
        <v>1.0</v>
      </c>
    </row>
    <row r="304" spans="2:15" ht="15.75" customHeight="1">
      <c r="B304" s="108"/>
      <c r="C304" s="58" t="str">
        <f t="shared" si="74"/>
        <v>特定福祉用具購入費</v>
      </c>
      <c r="D304" s="165"/>
      <c r="E304" s="18" t="s">
        <v>47</v>
      </c>
      <c r="F304" s="39" t="n">
        <v>0.0</v>
      </c>
      <c r="G304" s="40" t="n">
        <v>0.0</v>
      </c>
      <c r="H304" s="80" t="s">
        <v>94</v>
      </c>
      <c r="I304" s="53" t="str">
        <f t="shared" si="82"/>
        <v>－</v>
      </c>
      <c r="J304" s="21" t="n">
        <f t="shared" si="83"/>
        <v>8010.0</v>
      </c>
      <c r="K304" s="21" t="n">
        <f t="shared" si="83"/>
        <v>57810.0</v>
      </c>
      <c r="L304" s="22" t="str">
        <f t="shared" si="79"/>
        <v/>
      </c>
      <c r="M304" s="11"/>
      <c r="N304" s="1" t="str">
        <f t="shared" si="80"/>
        <v/>
      </c>
      <c r="O304" s="1" t="n">
        <f t="shared" si="85"/>
        <v>1.0</v>
      </c>
    </row>
    <row r="305" spans="2:15" ht="15.75" customHeight="1">
      <c r="B305" s="108"/>
      <c r="C305" s="58" t="str">
        <f t="shared" si="74"/>
        <v>特定福祉用具購入費</v>
      </c>
      <c r="D305" s="165"/>
      <c r="E305" s="18" t="s">
        <v>48</v>
      </c>
      <c r="F305" s="39" t="n">
        <v>0.0</v>
      </c>
      <c r="G305" s="40" t="n">
        <v>0.0</v>
      </c>
      <c r="H305" s="80" t="s">
        <v>94</v>
      </c>
      <c r="I305" s="53" t="str">
        <f t="shared" si="82"/>
        <v>－</v>
      </c>
      <c r="J305" s="21" t="n">
        <f t="shared" si="83"/>
        <v>0.0</v>
      </c>
      <c r="K305" s="21" t="n">
        <f t="shared" si="83"/>
        <v>69825.0</v>
      </c>
      <c r="L305" s="22" t="str">
        <f t="shared" si="79"/>
        <v/>
      </c>
      <c r="M305" s="11"/>
      <c r="N305" s="1" t="str">
        <f t="shared" si="80"/>
        <v/>
      </c>
      <c r="O305" s="1" t="n">
        <f t="shared" si="85"/>
        <v>1.0</v>
      </c>
    </row>
    <row r="306" spans="2:15" ht="15.75" customHeight="1">
      <c r="B306" s="109"/>
      <c r="C306" s="59" t="str">
        <f t="shared" si="74"/>
        <v>特定福祉用具購入費</v>
      </c>
      <c r="D306" s="166"/>
      <c r="E306" s="23" t="s">
        <v>49</v>
      </c>
      <c r="F306" s="24" t="n">
        <f>SUM(F299:F305)</f>
        <v>0.0</v>
      </c>
      <c r="G306" s="25" t="n">
        <f>SUM(G299:G305)</f>
        <v>0.0</v>
      </c>
      <c r="H306" s="78" t="s">
        <v>94</v>
      </c>
      <c r="I306" s="54" t="str">
        <f t="shared" si="82"/>
        <v>－</v>
      </c>
      <c r="J306" s="26" t="n">
        <f t="shared" si="83"/>
        <v>16590.0</v>
      </c>
      <c r="K306" s="26" t="n">
        <f t="shared" si="83"/>
        <v>43545.0</v>
      </c>
      <c r="L306" s="27" t="str">
        <f t="shared" si="79"/>
        <v/>
      </c>
      <c r="M306" s="11"/>
      <c r="N306" s="1" t="str">
        <f t="shared" si="80"/>
        <v/>
      </c>
    </row>
    <row r="307" spans="2:15" ht="15.75" customHeight="1">
      <c r="B307" s="107">
        <v>14</v>
      </c>
      <c r="C307" s="7" t="s">
        <v>14</v>
      </c>
      <c r="D307" s="164" t="s">
        <v>416</v>
      </c>
      <c r="E307" s="15" t="s">
        <v>50</v>
      </c>
      <c r="F307" s="35" t="n">
        <v>0.0</v>
      </c>
      <c r="G307" s="36" t="n">
        <v>0.0</v>
      </c>
      <c r="H307" s="79" t="s">
        <v>94</v>
      </c>
      <c r="I307" s="52" t="str">
        <f>IF(H307="－",IF(ISERROR(F307/G307/12)=TRUE,"－",F307/G307/12),IF(ISERROR(F307/G307/H307/12)=TRUE,"－",F307/G307/H307/12))</f>
        <v>－</v>
      </c>
      <c r="J307" s="16" t="n">
        <f>IF(data!I156&lt;0,0,data!I156)</f>
        <v>17690.0</v>
      </c>
      <c r="K307" s="16" t="n">
        <f>IF(data!J156&lt;0,0,data!J156)</f>
        <v>160160.0</v>
      </c>
      <c r="L307" s="32" t="str">
        <f t="shared" ref="L307:L330" si="86">IF(I307="－","",IF(I307&lt;J307,"下限値を\"&amp;TEXT(ROUND(J307-I307,0),"#,##0")&amp;"下回っています。",IF(I307&gt;K307,"上限値を\"&amp;TEXT(ROUND(I307-K307,0),"#,##0")&amp;"上回っています。","閾値の範囲内です。")))</f>
        <v/>
      </c>
      <c r="M307" s="11"/>
      <c r="N307" s="1" t="str">
        <f t="shared" ref="N307:N330" si="87">IF(OR(I307="－",AND(J307="－",K307="－")),"",IF(OR(I307&lt;J307,I307&gt;K307),1,""))</f>
        <v/>
      </c>
      <c r="O307" s="1" t="n">
        <f t="shared" ref="O307:O313" si="88">IF(OR(AND(F307="",G307="",H307="－"),AND(F307="",G307="",H307="")),"",1)</f>
        <v>1.0</v>
      </c>
    </row>
    <row r="308" spans="2:15" ht="15.75" customHeight="1">
      <c r="B308" s="108"/>
      <c r="C308" s="58" t="str">
        <f t="shared" si="74"/>
        <v>住宅改修費</v>
      </c>
      <c r="D308" s="165"/>
      <c r="E308" s="30" t="s">
        <v>51</v>
      </c>
      <c r="F308" s="37" t="n">
        <v>0.0</v>
      </c>
      <c r="G308" s="38" t="n">
        <v>0.0</v>
      </c>
      <c r="H308" s="80" t="s">
        <v>94</v>
      </c>
      <c r="I308" s="55" t="str">
        <f t="shared" ref="I308:I330" si="89">IF(H308="－",IF(ISERROR(F308/G308/12)=TRUE,"－",F308/G308/12),IF(ISERROR(F308/G308/H308/12)=TRUE,"－",F308/G308/H308/12))</f>
        <v>－</v>
      </c>
      <c r="J308" s="31" t="n">
        <f>IF(data!I157&lt;0,0,data!I157)</f>
        <v>21625.0</v>
      </c>
      <c r="K308" s="31" t="n">
        <f>IF(data!J157&lt;0,0,data!J157)</f>
        <v>149880.0</v>
      </c>
      <c r="L308" s="33" t="str">
        <f t="shared" si="86"/>
        <v/>
      </c>
      <c r="M308" s="11"/>
      <c r="N308" s="1" t="str">
        <f t="shared" si="87"/>
        <v/>
      </c>
      <c r="O308" s="1" t="n">
        <f t="shared" si="88"/>
        <v>1.0</v>
      </c>
    </row>
    <row r="309" spans="2:15" ht="15.75" customHeight="1">
      <c r="B309" s="108"/>
      <c r="C309" s="58" t="str">
        <f t="shared" si="74"/>
        <v>住宅改修費</v>
      </c>
      <c r="D309" s="165"/>
      <c r="E309" s="18" t="s">
        <v>44</v>
      </c>
      <c r="F309" s="39" t="n">
        <v>0.0</v>
      </c>
      <c r="G309" s="40" t="n">
        <v>0.0</v>
      </c>
      <c r="H309" s="80" t="s">
        <v>94</v>
      </c>
      <c r="I309" s="53" t="str">
        <f t="shared" si="89"/>
        <v>－</v>
      </c>
      <c r="J309" s="21" t="n">
        <f>IF(data!I158&lt;0,0,data!I158)</f>
        <v>19025.0</v>
      </c>
      <c r="K309" s="21" t="n">
        <f>IF(data!J158&lt;0,0,data!J158)</f>
        <v>148880.0</v>
      </c>
      <c r="L309" s="22" t="str">
        <f t="shared" si="86"/>
        <v/>
      </c>
      <c r="M309" s="11"/>
      <c r="N309" s="1" t="str">
        <f t="shared" si="87"/>
        <v/>
      </c>
      <c r="O309" s="1" t="n">
        <f t="shared" si="88"/>
        <v>1.0</v>
      </c>
    </row>
    <row r="310" spans="2:15" ht="15.75" customHeight="1">
      <c r="B310" s="108"/>
      <c r="C310" s="58" t="str">
        <f t="shared" si="74"/>
        <v>住宅改修費</v>
      </c>
      <c r="D310" s="165"/>
      <c r="E310" s="18" t="s">
        <v>45</v>
      </c>
      <c r="F310" s="39" t="n">
        <v>0.0</v>
      </c>
      <c r="G310" s="40" t="n">
        <v>0.0</v>
      </c>
      <c r="H310" s="80" t="s">
        <v>94</v>
      </c>
      <c r="I310" s="53" t="str">
        <f t="shared" si="89"/>
        <v>－</v>
      </c>
      <c r="J310" s="21" t="n">
        <f>IF(data!I159&lt;0,0,data!I159)</f>
        <v>11270.0</v>
      </c>
      <c r="K310" s="21" t="n">
        <f>IF(data!J159&lt;0,0,data!J159)</f>
        <v>152070.0</v>
      </c>
      <c r="L310" s="22" t="str">
        <f t="shared" si="86"/>
        <v/>
      </c>
      <c r="M310" s="11"/>
      <c r="N310" s="1" t="str">
        <f t="shared" si="87"/>
        <v/>
      </c>
      <c r="O310" s="1" t="n">
        <f t="shared" si="88"/>
        <v>1.0</v>
      </c>
    </row>
    <row r="311" spans="2:15" ht="15.75" customHeight="1">
      <c r="B311" s="108"/>
      <c r="C311" s="58" t="str">
        <f t="shared" si="74"/>
        <v>住宅改修費</v>
      </c>
      <c r="D311" s="165"/>
      <c r="E311" s="18" t="s">
        <v>46</v>
      </c>
      <c r="F311" s="39" t="n">
        <v>0.0</v>
      </c>
      <c r="G311" s="40" t="n">
        <v>0.0</v>
      </c>
      <c r="H311" s="80" t="s">
        <v>94</v>
      </c>
      <c r="I311" s="53" t="str">
        <f t="shared" si="89"/>
        <v>－</v>
      </c>
      <c r="J311" s="21" t="n">
        <f>IF(data!I160&lt;0,0,data!I160)</f>
        <v>5370.0</v>
      </c>
      <c r="K311" s="21" t="n">
        <f>IF(data!J160&lt;0,0,data!J160)</f>
        <v>158515.0</v>
      </c>
      <c r="L311" s="22" t="str">
        <f t="shared" si="86"/>
        <v/>
      </c>
      <c r="M311" s="11"/>
      <c r="N311" s="1" t="str">
        <f t="shared" si="87"/>
        <v/>
      </c>
      <c r="O311" s="1" t="n">
        <f t="shared" si="88"/>
        <v>1.0</v>
      </c>
    </row>
    <row r="312" spans="2:15" ht="15.75" customHeight="1">
      <c r="B312" s="108"/>
      <c r="C312" s="58" t="str">
        <f t="shared" si="74"/>
        <v>住宅改修費</v>
      </c>
      <c r="D312" s="165"/>
      <c r="E312" s="18" t="s">
        <v>47</v>
      </c>
      <c r="F312" s="39" t="n">
        <v>0.0</v>
      </c>
      <c r="G312" s="40" t="n">
        <v>0.0</v>
      </c>
      <c r="H312" s="80" t="s">
        <v>94</v>
      </c>
      <c r="I312" s="53" t="str">
        <f t="shared" si="89"/>
        <v>－</v>
      </c>
      <c r="J312" s="21" t="n">
        <f>IF(data!I161&lt;0,0,data!I161)</f>
        <v>0.0</v>
      </c>
      <c r="K312" s="21" t="n">
        <f>IF(data!J161&lt;0,0,data!J161)</f>
        <v>172465.0</v>
      </c>
      <c r="L312" s="22" t="str">
        <f t="shared" si="86"/>
        <v/>
      </c>
      <c r="M312" s="11"/>
      <c r="N312" s="1" t="str">
        <f t="shared" si="87"/>
        <v/>
      </c>
      <c r="O312" s="1" t="n">
        <f t="shared" si="88"/>
        <v>1.0</v>
      </c>
    </row>
    <row r="313" spans="2:15" ht="15.75" customHeight="1">
      <c r="B313" s="108"/>
      <c r="C313" s="58" t="str">
        <f t="shared" si="74"/>
        <v>住宅改修費</v>
      </c>
      <c r="D313" s="165"/>
      <c r="E313" s="18" t="s">
        <v>48</v>
      </c>
      <c r="F313" s="39" t="n">
        <v>0.0</v>
      </c>
      <c r="G313" s="40" t="n">
        <v>0.0</v>
      </c>
      <c r="H313" s="80" t="s">
        <v>94</v>
      </c>
      <c r="I313" s="53" t="str">
        <f t="shared" si="89"/>
        <v>－</v>
      </c>
      <c r="J313" s="21" t="n">
        <f>IF(data!I162&lt;0,0,data!I162)</f>
        <v>0.0</v>
      </c>
      <c r="K313" s="21" t="n">
        <f>IF(data!J162&lt;0,0,data!J162)</f>
        <v>217970.0</v>
      </c>
      <c r="L313" s="22" t="str">
        <f t="shared" si="86"/>
        <v/>
      </c>
      <c r="M313" s="11"/>
      <c r="N313" s="1" t="str">
        <f t="shared" si="87"/>
        <v/>
      </c>
      <c r="O313" s="1" t="n">
        <f t="shared" si="88"/>
        <v>1.0</v>
      </c>
    </row>
    <row r="314" spans="2:15" ht="15.75" customHeight="1">
      <c r="B314" s="108"/>
      <c r="C314" s="58" t="str">
        <f t="shared" si="74"/>
        <v>住宅改修費</v>
      </c>
      <c r="D314" s="166"/>
      <c r="E314" s="23" t="s">
        <v>49</v>
      </c>
      <c r="F314" s="24" t="n">
        <f>SUM(F307:F313)</f>
        <v>0.0</v>
      </c>
      <c r="G314" s="25" t="n">
        <f>SUM(G307:G313)</f>
        <v>0.0</v>
      </c>
      <c r="H314" s="78" t="s">
        <v>94</v>
      </c>
      <c r="I314" s="54" t="str">
        <f t="shared" si="89"/>
        <v>－</v>
      </c>
      <c r="J314" s="26" t="n">
        <f>IF(data!I163&lt;0,0,data!I163)</f>
        <v>32510.0</v>
      </c>
      <c r="K314" s="26" t="n">
        <f>IF(data!J163&lt;0,0,data!J163)</f>
        <v>138365.0</v>
      </c>
      <c r="L314" s="27" t="str">
        <f t="shared" si="86"/>
        <v/>
      </c>
      <c r="M314" s="11"/>
      <c r="N314" s="1" t="str">
        <f t="shared" si="87"/>
        <v/>
      </c>
    </row>
    <row r="315" spans="2:15" ht="15.75" customHeight="1">
      <c r="B315" s="108"/>
      <c r="C315" s="58" t="str">
        <f t="shared" si="74"/>
        <v>住宅改修費</v>
      </c>
      <c r="D315" s="164" t="s">
        <v>415</v>
      </c>
      <c r="E315" s="15" t="s">
        <v>50</v>
      </c>
      <c r="F315" s="35" t="n">
        <v>0.0</v>
      </c>
      <c r="G315" s="36" t="n">
        <v>0.0</v>
      </c>
      <c r="H315" s="79" t="s">
        <v>94</v>
      </c>
      <c r="I315" s="52" t="str">
        <f t="shared" si="89"/>
        <v>－</v>
      </c>
      <c r="J315" s="16" t="n">
        <f t="shared" ref="J315:K330" si="90">J307</f>
        <v>17690.0</v>
      </c>
      <c r="K315" s="16" t="n">
        <f t="shared" si="90"/>
        <v>160160.0</v>
      </c>
      <c r="L315" s="32" t="str">
        <f t="shared" si="86"/>
        <v/>
      </c>
      <c r="M315" s="11"/>
      <c r="N315" s="1" t="str">
        <f t="shared" si="87"/>
        <v/>
      </c>
      <c r="O315" s="1" t="n">
        <f t="shared" ref="O315:O321" si="91">IF(OR(AND(F315="",G315="",H315="－"),AND(F315="",G315="",H315="")),"",1)</f>
        <v>1.0</v>
      </c>
    </row>
    <row r="316" spans="2:15" ht="15.75" customHeight="1">
      <c r="B316" s="108"/>
      <c r="C316" s="58" t="str">
        <f t="shared" si="74"/>
        <v>住宅改修費</v>
      </c>
      <c r="D316" s="165"/>
      <c r="E316" s="30" t="s">
        <v>51</v>
      </c>
      <c r="F316" s="37" t="n">
        <v>0.0</v>
      </c>
      <c r="G316" s="38" t="n">
        <v>0.0</v>
      </c>
      <c r="H316" s="80" t="s">
        <v>94</v>
      </c>
      <c r="I316" s="55" t="str">
        <f t="shared" si="89"/>
        <v>－</v>
      </c>
      <c r="J316" s="31" t="n">
        <f t="shared" si="90"/>
        <v>21625.0</v>
      </c>
      <c r="K316" s="31" t="n">
        <f t="shared" si="90"/>
        <v>149880.0</v>
      </c>
      <c r="L316" s="33" t="str">
        <f t="shared" si="86"/>
        <v/>
      </c>
      <c r="M316" s="11"/>
      <c r="N316" s="1" t="str">
        <f t="shared" si="87"/>
        <v/>
      </c>
      <c r="O316" s="1" t="n">
        <f t="shared" si="91"/>
        <v>1.0</v>
      </c>
    </row>
    <row r="317" spans="2:15" ht="15.75" customHeight="1">
      <c r="B317" s="108"/>
      <c r="C317" s="58" t="str">
        <f t="shared" si="74"/>
        <v>住宅改修費</v>
      </c>
      <c r="D317" s="165"/>
      <c r="E317" s="18" t="s">
        <v>44</v>
      </c>
      <c r="F317" s="39" t="n">
        <v>0.0</v>
      </c>
      <c r="G317" s="40" t="n">
        <v>0.0</v>
      </c>
      <c r="H317" s="80" t="s">
        <v>94</v>
      </c>
      <c r="I317" s="53" t="str">
        <f t="shared" si="89"/>
        <v>－</v>
      </c>
      <c r="J317" s="21" t="n">
        <f t="shared" si="90"/>
        <v>19025.0</v>
      </c>
      <c r="K317" s="21" t="n">
        <f t="shared" si="90"/>
        <v>148880.0</v>
      </c>
      <c r="L317" s="22" t="str">
        <f t="shared" si="86"/>
        <v/>
      </c>
      <c r="M317" s="11"/>
      <c r="N317" s="1" t="str">
        <f t="shared" si="87"/>
        <v/>
      </c>
      <c r="O317" s="1" t="n">
        <f t="shared" si="91"/>
        <v>1.0</v>
      </c>
    </row>
    <row r="318" spans="2:15" ht="15.75" customHeight="1">
      <c r="B318" s="108"/>
      <c r="C318" s="58" t="str">
        <f t="shared" si="74"/>
        <v>住宅改修費</v>
      </c>
      <c r="D318" s="165"/>
      <c r="E318" s="18" t="s">
        <v>45</v>
      </c>
      <c r="F318" s="39" t="n">
        <v>0.0</v>
      </c>
      <c r="G318" s="40" t="n">
        <v>0.0</v>
      </c>
      <c r="H318" s="80" t="s">
        <v>94</v>
      </c>
      <c r="I318" s="53" t="str">
        <f t="shared" si="89"/>
        <v>－</v>
      </c>
      <c r="J318" s="21" t="n">
        <f t="shared" si="90"/>
        <v>11270.0</v>
      </c>
      <c r="K318" s="21" t="n">
        <f t="shared" si="90"/>
        <v>152070.0</v>
      </c>
      <c r="L318" s="22" t="str">
        <f t="shared" si="86"/>
        <v/>
      </c>
      <c r="M318" s="11"/>
      <c r="N318" s="1" t="str">
        <f t="shared" si="87"/>
        <v/>
      </c>
      <c r="O318" s="1" t="n">
        <f t="shared" si="91"/>
        <v>1.0</v>
      </c>
    </row>
    <row r="319" spans="2:15" ht="15.75" customHeight="1">
      <c r="B319" s="108"/>
      <c r="C319" s="58" t="str">
        <f t="shared" si="74"/>
        <v>住宅改修費</v>
      </c>
      <c r="D319" s="165"/>
      <c r="E319" s="18" t="s">
        <v>46</v>
      </c>
      <c r="F319" s="39" t="n">
        <v>0.0</v>
      </c>
      <c r="G319" s="40" t="n">
        <v>0.0</v>
      </c>
      <c r="H319" s="80" t="s">
        <v>94</v>
      </c>
      <c r="I319" s="53" t="str">
        <f t="shared" si="89"/>
        <v>－</v>
      </c>
      <c r="J319" s="21" t="n">
        <f t="shared" si="90"/>
        <v>5370.0</v>
      </c>
      <c r="K319" s="21" t="n">
        <f t="shared" si="90"/>
        <v>158515.0</v>
      </c>
      <c r="L319" s="22" t="str">
        <f t="shared" si="86"/>
        <v/>
      </c>
      <c r="M319" s="11"/>
      <c r="N319" s="1" t="str">
        <f t="shared" si="87"/>
        <v/>
      </c>
      <c r="O319" s="1" t="n">
        <f t="shared" si="91"/>
        <v>1.0</v>
      </c>
    </row>
    <row r="320" spans="2:15" ht="15.75" customHeight="1">
      <c r="B320" s="108"/>
      <c r="C320" s="58" t="str">
        <f t="shared" si="74"/>
        <v>住宅改修費</v>
      </c>
      <c r="D320" s="165"/>
      <c r="E320" s="18" t="s">
        <v>47</v>
      </c>
      <c r="F320" s="39" t="n">
        <v>0.0</v>
      </c>
      <c r="G320" s="40" t="n">
        <v>0.0</v>
      </c>
      <c r="H320" s="80" t="s">
        <v>94</v>
      </c>
      <c r="I320" s="53" t="str">
        <f t="shared" si="89"/>
        <v>－</v>
      </c>
      <c r="J320" s="21" t="n">
        <f t="shared" si="90"/>
        <v>0.0</v>
      </c>
      <c r="K320" s="21" t="n">
        <f t="shared" si="90"/>
        <v>172465.0</v>
      </c>
      <c r="L320" s="22" t="str">
        <f t="shared" si="86"/>
        <v/>
      </c>
      <c r="M320" s="11"/>
      <c r="N320" s="1" t="str">
        <f t="shared" si="87"/>
        <v/>
      </c>
      <c r="O320" s="1" t="n">
        <f t="shared" si="91"/>
        <v>1.0</v>
      </c>
    </row>
    <row r="321" spans="2:15" ht="15.75" customHeight="1">
      <c r="B321" s="108"/>
      <c r="C321" s="58" t="str">
        <f t="shared" si="74"/>
        <v>住宅改修費</v>
      </c>
      <c r="D321" s="165"/>
      <c r="E321" s="18" t="s">
        <v>48</v>
      </c>
      <c r="F321" s="39" t="n">
        <v>0.0</v>
      </c>
      <c r="G321" s="40" t="n">
        <v>0.0</v>
      </c>
      <c r="H321" s="80" t="s">
        <v>94</v>
      </c>
      <c r="I321" s="53" t="str">
        <f t="shared" si="89"/>
        <v>－</v>
      </c>
      <c r="J321" s="21" t="n">
        <f t="shared" si="90"/>
        <v>0.0</v>
      </c>
      <c r="K321" s="21" t="n">
        <f t="shared" si="90"/>
        <v>217970.0</v>
      </c>
      <c r="L321" s="22" t="str">
        <f t="shared" si="86"/>
        <v/>
      </c>
      <c r="M321" s="11"/>
      <c r="N321" s="1" t="str">
        <f t="shared" si="87"/>
        <v/>
      </c>
      <c r="O321" s="1" t="n">
        <f t="shared" si="91"/>
        <v>1.0</v>
      </c>
    </row>
    <row r="322" spans="2:15" ht="15.75" customHeight="1">
      <c r="B322" s="108"/>
      <c r="C322" s="58" t="str">
        <f t="shared" si="74"/>
        <v>住宅改修費</v>
      </c>
      <c r="D322" s="166"/>
      <c r="E322" s="23" t="s">
        <v>49</v>
      </c>
      <c r="F322" s="24" t="n">
        <f>SUM(F315:F321)</f>
        <v>0.0</v>
      </c>
      <c r="G322" s="25" t="n">
        <f>SUM(G315:G321)</f>
        <v>0.0</v>
      </c>
      <c r="H322" s="78" t="s">
        <v>94</v>
      </c>
      <c r="I322" s="54" t="str">
        <f t="shared" si="89"/>
        <v>－</v>
      </c>
      <c r="J322" s="21" t="n">
        <f t="shared" si="90"/>
        <v>32510.0</v>
      </c>
      <c r="K322" s="21" t="n">
        <f t="shared" si="90"/>
        <v>138365.0</v>
      </c>
      <c r="L322" s="27" t="str">
        <f t="shared" si="86"/>
        <v/>
      </c>
      <c r="M322" s="11"/>
      <c r="N322" s="1" t="str">
        <f t="shared" si="87"/>
        <v/>
      </c>
    </row>
    <row r="323" spans="2:15" ht="15.75" customHeight="1">
      <c r="B323" s="108"/>
      <c r="C323" s="58" t="str">
        <f t="shared" si="74"/>
        <v>住宅改修費</v>
      </c>
      <c r="D323" s="164" t="s">
        <v>414</v>
      </c>
      <c r="E323" s="15" t="s">
        <v>50</v>
      </c>
      <c r="F323" s="35" t="n">
        <v>0.0</v>
      </c>
      <c r="G323" s="36" t="n">
        <v>0.0</v>
      </c>
      <c r="H323" s="79" t="s">
        <v>94</v>
      </c>
      <c r="I323" s="52" t="str">
        <f t="shared" si="89"/>
        <v>－</v>
      </c>
      <c r="J323" s="16" t="n">
        <f t="shared" si="90"/>
        <v>17690.0</v>
      </c>
      <c r="K323" s="16" t="n">
        <f t="shared" si="90"/>
        <v>160160.0</v>
      </c>
      <c r="L323" s="32" t="str">
        <f t="shared" si="86"/>
        <v/>
      </c>
      <c r="M323" s="11"/>
      <c r="N323" s="1" t="str">
        <f t="shared" si="87"/>
        <v/>
      </c>
      <c r="O323" s="1" t="n">
        <f t="shared" ref="O323:O329" si="92">IF(OR(AND(F323="",G323="",H323="－"),AND(F323="",G323="",H323="")),"",1)</f>
        <v>1.0</v>
      </c>
    </row>
    <row r="324" spans="2:15" ht="15.75" customHeight="1">
      <c r="B324" s="108"/>
      <c r="C324" s="58" t="str">
        <f t="shared" ref="C324:C330" si="93">C323</f>
        <v>住宅改修費</v>
      </c>
      <c r="D324" s="165"/>
      <c r="E324" s="30" t="s">
        <v>51</v>
      </c>
      <c r="F324" s="37" t="n">
        <v>0.0</v>
      </c>
      <c r="G324" s="38" t="n">
        <v>0.0</v>
      </c>
      <c r="H324" s="80" t="s">
        <v>94</v>
      </c>
      <c r="I324" s="55" t="str">
        <f t="shared" si="89"/>
        <v>－</v>
      </c>
      <c r="J324" s="31" t="n">
        <f t="shared" si="90"/>
        <v>21625.0</v>
      </c>
      <c r="K324" s="31" t="n">
        <f t="shared" si="90"/>
        <v>149880.0</v>
      </c>
      <c r="L324" s="33" t="str">
        <f t="shared" si="86"/>
        <v/>
      </c>
      <c r="M324" s="11"/>
      <c r="N324" s="1" t="str">
        <f t="shared" si="87"/>
        <v/>
      </c>
      <c r="O324" s="1" t="n">
        <f t="shared" si="92"/>
        <v>1.0</v>
      </c>
    </row>
    <row r="325" spans="2:15" ht="15.75" customHeight="1">
      <c r="B325" s="108"/>
      <c r="C325" s="58" t="str">
        <f t="shared" si="93"/>
        <v>住宅改修費</v>
      </c>
      <c r="D325" s="165"/>
      <c r="E325" s="18" t="s">
        <v>44</v>
      </c>
      <c r="F325" s="39" t="n">
        <v>0.0</v>
      </c>
      <c r="G325" s="40" t="n">
        <v>0.0</v>
      </c>
      <c r="H325" s="80" t="s">
        <v>94</v>
      </c>
      <c r="I325" s="53" t="str">
        <f t="shared" si="89"/>
        <v>－</v>
      </c>
      <c r="J325" s="21" t="n">
        <f t="shared" si="90"/>
        <v>19025.0</v>
      </c>
      <c r="K325" s="21" t="n">
        <f t="shared" si="90"/>
        <v>148880.0</v>
      </c>
      <c r="L325" s="22" t="str">
        <f t="shared" si="86"/>
        <v/>
      </c>
      <c r="M325" s="11"/>
      <c r="N325" s="1" t="str">
        <f t="shared" si="87"/>
        <v/>
      </c>
      <c r="O325" s="1" t="n">
        <f t="shared" si="92"/>
        <v>1.0</v>
      </c>
    </row>
    <row r="326" spans="2:15" ht="15.75" customHeight="1">
      <c r="B326" s="108"/>
      <c r="C326" s="58" t="str">
        <f t="shared" si="93"/>
        <v>住宅改修費</v>
      </c>
      <c r="D326" s="165"/>
      <c r="E326" s="18" t="s">
        <v>45</v>
      </c>
      <c r="F326" s="39" t="n">
        <v>0.0</v>
      </c>
      <c r="G326" s="40" t="n">
        <v>0.0</v>
      </c>
      <c r="H326" s="80" t="s">
        <v>94</v>
      </c>
      <c r="I326" s="53" t="str">
        <f t="shared" si="89"/>
        <v>－</v>
      </c>
      <c r="J326" s="21" t="n">
        <f t="shared" si="90"/>
        <v>11270.0</v>
      </c>
      <c r="K326" s="21" t="n">
        <f t="shared" si="90"/>
        <v>152070.0</v>
      </c>
      <c r="L326" s="22" t="str">
        <f t="shared" si="86"/>
        <v/>
      </c>
      <c r="M326" s="11"/>
      <c r="N326" s="1" t="str">
        <f t="shared" si="87"/>
        <v/>
      </c>
      <c r="O326" s="1" t="n">
        <f t="shared" si="92"/>
        <v>1.0</v>
      </c>
    </row>
    <row r="327" spans="2:15" ht="15.75" customHeight="1">
      <c r="B327" s="108"/>
      <c r="C327" s="58" t="str">
        <f t="shared" si="93"/>
        <v>住宅改修費</v>
      </c>
      <c r="D327" s="165"/>
      <c r="E327" s="18" t="s">
        <v>46</v>
      </c>
      <c r="F327" s="39" t="n">
        <v>0.0</v>
      </c>
      <c r="G327" s="40" t="n">
        <v>0.0</v>
      </c>
      <c r="H327" s="80" t="s">
        <v>94</v>
      </c>
      <c r="I327" s="53" t="str">
        <f t="shared" si="89"/>
        <v>－</v>
      </c>
      <c r="J327" s="21" t="n">
        <f t="shared" si="90"/>
        <v>5370.0</v>
      </c>
      <c r="K327" s="21" t="n">
        <f t="shared" si="90"/>
        <v>158515.0</v>
      </c>
      <c r="L327" s="22" t="str">
        <f t="shared" si="86"/>
        <v/>
      </c>
      <c r="M327" s="11"/>
      <c r="N327" s="1" t="str">
        <f t="shared" si="87"/>
        <v/>
      </c>
      <c r="O327" s="1" t="n">
        <f t="shared" si="92"/>
        <v>1.0</v>
      </c>
    </row>
    <row r="328" spans="2:15" ht="15.75" customHeight="1">
      <c r="B328" s="108"/>
      <c r="C328" s="58" t="str">
        <f t="shared" si="93"/>
        <v>住宅改修費</v>
      </c>
      <c r="D328" s="165"/>
      <c r="E328" s="18" t="s">
        <v>47</v>
      </c>
      <c r="F328" s="39" t="n">
        <v>0.0</v>
      </c>
      <c r="G328" s="40" t="n">
        <v>0.0</v>
      </c>
      <c r="H328" s="80" t="s">
        <v>94</v>
      </c>
      <c r="I328" s="53" t="str">
        <f t="shared" si="89"/>
        <v>－</v>
      </c>
      <c r="J328" s="21" t="n">
        <f t="shared" si="90"/>
        <v>0.0</v>
      </c>
      <c r="K328" s="21" t="n">
        <f t="shared" si="90"/>
        <v>172465.0</v>
      </c>
      <c r="L328" s="22" t="str">
        <f t="shared" si="86"/>
        <v/>
      </c>
      <c r="M328" s="11"/>
      <c r="N328" s="1" t="str">
        <f t="shared" si="87"/>
        <v/>
      </c>
      <c r="O328" s="1" t="n">
        <f t="shared" si="92"/>
        <v>1.0</v>
      </c>
    </row>
    <row r="329" spans="2:15" ht="15.75" customHeight="1">
      <c r="B329" s="108"/>
      <c r="C329" s="58" t="str">
        <f t="shared" si="93"/>
        <v>住宅改修費</v>
      </c>
      <c r="D329" s="165"/>
      <c r="E329" s="18" t="s">
        <v>48</v>
      </c>
      <c r="F329" s="39" t="n">
        <v>0.0</v>
      </c>
      <c r="G329" s="40" t="n">
        <v>0.0</v>
      </c>
      <c r="H329" s="80" t="s">
        <v>94</v>
      </c>
      <c r="I329" s="53" t="str">
        <f t="shared" si="89"/>
        <v>－</v>
      </c>
      <c r="J329" s="21" t="n">
        <f t="shared" si="90"/>
        <v>0.0</v>
      </c>
      <c r="K329" s="21" t="n">
        <f t="shared" si="90"/>
        <v>217970.0</v>
      </c>
      <c r="L329" s="22" t="str">
        <f t="shared" si="86"/>
        <v/>
      </c>
      <c r="M329" s="11"/>
      <c r="N329" s="1" t="str">
        <f t="shared" si="87"/>
        <v/>
      </c>
      <c r="O329" s="1" t="n">
        <f t="shared" si="92"/>
        <v>1.0</v>
      </c>
    </row>
    <row r="330" spans="2:15" ht="15.75" customHeight="1">
      <c r="B330" s="109"/>
      <c r="C330" s="59" t="str">
        <f t="shared" si="93"/>
        <v>住宅改修費</v>
      </c>
      <c r="D330" s="166"/>
      <c r="E330" s="23" t="s">
        <v>49</v>
      </c>
      <c r="F330" s="24" t="n">
        <f>SUM(F323:F329)</f>
        <v>0.0</v>
      </c>
      <c r="G330" s="25" t="n">
        <f>SUM(G323:G329)</f>
        <v>0.0</v>
      </c>
      <c r="H330" s="78" t="s">
        <v>94</v>
      </c>
      <c r="I330" s="54" t="str">
        <f t="shared" si="89"/>
        <v>－</v>
      </c>
      <c r="J330" s="26" t="n">
        <f t="shared" si="90"/>
        <v>32510.0</v>
      </c>
      <c r="K330" s="26" t="n">
        <f t="shared" si="90"/>
        <v>138365.0</v>
      </c>
      <c r="L330" s="27" t="str">
        <f t="shared" si="86"/>
        <v/>
      </c>
      <c r="M330" s="11"/>
      <c r="N330" s="1" t="str">
        <f t="shared" si="87"/>
        <v/>
      </c>
    </row>
    <row r="331" spans="2:15" ht="15.75" customHeight="1">
      <c r="B331" s="107">
        <v>15</v>
      </c>
      <c r="C331" s="7" t="s">
        <v>98</v>
      </c>
      <c r="D331" s="164" t="s">
        <v>416</v>
      </c>
      <c r="E331" s="15" t="s">
        <v>50</v>
      </c>
      <c r="F331" s="35" t="n">
        <v>2023308.0</v>
      </c>
      <c r="G331" s="36" t="n">
        <v>37.0</v>
      </c>
      <c r="H331" s="79" t="s">
        <v>20</v>
      </c>
      <c r="I331" s="52" t="n">
        <f>IF(H331="－",IF(ISERROR(F331/G331/12)=TRUE,"－",F331/G331/12),IF(ISERROR(F331/G331/H331/12)=TRUE,"－",F331/G331/H331/12))</f>
        <v>4557.0</v>
      </c>
      <c r="J331" s="16" t="n">
        <f>IF(data!I164&lt;0,0,data!I164)</f>
        <v>4125.0</v>
      </c>
      <c r="K331" s="16" t="n">
        <f>IF(data!J164&lt;0,0,data!J164)</f>
        <v>5230.0</v>
      </c>
      <c r="L331" s="32" t="str">
        <f t="shared" ref="L331:L354" si="94">IF(I331="－","",IF(I331&lt;J331,"下限値を\"&amp;TEXT(ROUND(J331-I331,0),"#,##0")&amp;"下回っています。",IF(I331&gt;K331,"上限値を\"&amp;TEXT(ROUND(I331-K331,0),"#,##0")&amp;"上回っています。","閾値の範囲内です。")))</f>
        <v>閾値の範囲内です。</v>
      </c>
      <c r="M331" s="11"/>
      <c r="N331" s="1" t="str">
        <f t="shared" ref="N331:N354" si="95">IF(OR(I331="－",AND(J331="－",K331="－")),"",IF(OR(I331&lt;J331,I331&gt;K331),1,""))</f>
        <v/>
      </c>
      <c r="O331" s="1" t="n">
        <f t="shared" ref="O331:O337" si="96">IF(OR(AND(F331="",G331="",H331="－"),AND(F331="",G331="",H331="")),"",1)</f>
        <v>1.0</v>
      </c>
    </row>
    <row r="332" spans="2:15" ht="15.75" customHeight="1">
      <c r="B332" s="108"/>
      <c r="C332" s="58" t="str">
        <f t="shared" ref="C332:C378" si="97">C331</f>
        <v>介護予防支援・居宅介護支援</v>
      </c>
      <c r="D332" s="165"/>
      <c r="E332" s="30" t="s">
        <v>51</v>
      </c>
      <c r="F332" s="37" t="n">
        <v>3374784.0</v>
      </c>
      <c r="G332" s="38" t="n">
        <v>62.0</v>
      </c>
      <c r="H332" s="80" t="s">
        <v>20</v>
      </c>
      <c r="I332" s="55" t="n">
        <f t="shared" ref="I332:I354" si="98">IF(H332="－",IF(ISERROR(F332/G332/12)=TRUE,"－",F332/G332/12),IF(ISERROR(F332/G332/H332/12)=TRUE,"－",F332/G332/H332/12))</f>
        <v>4536.0</v>
      </c>
      <c r="J332" s="31" t="n">
        <f>IF(data!I165&lt;0,0,data!I165)</f>
        <v>4150.0</v>
      </c>
      <c r="K332" s="31" t="n">
        <f>IF(data!J165&lt;0,0,data!J165)</f>
        <v>5195.0</v>
      </c>
      <c r="L332" s="33" t="str">
        <f t="shared" si="94"/>
        <v>閾値の範囲内です。</v>
      </c>
      <c r="M332" s="11"/>
      <c r="N332" s="1" t="str">
        <f t="shared" si="95"/>
        <v/>
      </c>
      <c r="O332" s="1" t="n">
        <f t="shared" si="96"/>
        <v>1.0</v>
      </c>
    </row>
    <row r="333" spans="2:15" ht="15.75" customHeight="1">
      <c r="B333" s="108"/>
      <c r="C333" s="58" t="str">
        <f t="shared" si="97"/>
        <v>介護予防支援・居宅介護支援</v>
      </c>
      <c r="D333" s="165"/>
      <c r="E333" s="18" t="s">
        <v>44</v>
      </c>
      <c r="F333" s="39" t="n">
        <v>1.6430832E7</v>
      </c>
      <c r="G333" s="40" t="n">
        <v>92.0</v>
      </c>
      <c r="H333" s="80" t="s">
        <v>20</v>
      </c>
      <c r="I333" s="53" t="n">
        <f t="shared" si="98"/>
        <v>14883.0</v>
      </c>
      <c r="J333" s="21" t="n">
        <f>IF(data!I166&lt;0,0,data!I166)</f>
        <v>10810.0</v>
      </c>
      <c r="K333" s="21" t="n">
        <f>IF(data!J166&lt;0,0,data!J166)</f>
        <v>17300.0</v>
      </c>
      <c r="L333" s="22" t="str">
        <f t="shared" si="94"/>
        <v>閾値の範囲内です。</v>
      </c>
      <c r="M333" s="11"/>
      <c r="N333" s="1" t="str">
        <f t="shared" si="95"/>
        <v/>
      </c>
      <c r="O333" s="1" t="n">
        <f t="shared" si="96"/>
        <v>1.0</v>
      </c>
    </row>
    <row r="334" spans="2:15" ht="15.75" customHeight="1">
      <c r="B334" s="108"/>
      <c r="C334" s="58" t="str">
        <f t="shared" si="97"/>
        <v>介護予防支援・居宅介護支援</v>
      </c>
      <c r="D334" s="165"/>
      <c r="E334" s="18" t="s">
        <v>45</v>
      </c>
      <c r="F334" s="39" t="n">
        <v>1.217064E7</v>
      </c>
      <c r="G334" s="40" t="n">
        <v>68.0</v>
      </c>
      <c r="H334" s="80" t="s">
        <v>20</v>
      </c>
      <c r="I334" s="53" t="n">
        <f t="shared" si="98"/>
        <v>14915.0</v>
      </c>
      <c r="J334" s="21" t="n">
        <f>IF(data!I167&lt;0,0,data!I167)</f>
        <v>10935.0</v>
      </c>
      <c r="K334" s="21" t="n">
        <f>IF(data!J167&lt;0,0,data!J167)</f>
        <v>17240.0</v>
      </c>
      <c r="L334" s="22" t="str">
        <f t="shared" si="94"/>
        <v>閾値の範囲内です。</v>
      </c>
      <c r="M334" s="11"/>
      <c r="N334" s="1" t="str">
        <f t="shared" si="95"/>
        <v/>
      </c>
      <c r="O334" s="1" t="n">
        <f t="shared" si="96"/>
        <v>1.0</v>
      </c>
    </row>
    <row r="335" spans="2:15" ht="15.75" customHeight="1">
      <c r="B335" s="108"/>
      <c r="C335" s="58" t="str">
        <f t="shared" si="97"/>
        <v>介護予防支援・居宅介護支援</v>
      </c>
      <c r="D335" s="165"/>
      <c r="E335" s="18" t="s">
        <v>46</v>
      </c>
      <c r="F335" s="39" t="n">
        <v>1.4739912E7</v>
      </c>
      <c r="G335" s="40" t="n">
        <v>66.0</v>
      </c>
      <c r="H335" s="80" t="s">
        <v>20</v>
      </c>
      <c r="I335" s="53" t="n">
        <f t="shared" si="98"/>
        <v>18611.0</v>
      </c>
      <c r="J335" s="21" t="n">
        <f>IF(data!I168&lt;0,0,data!I168)</f>
        <v>14270.0</v>
      </c>
      <c r="K335" s="21" t="n">
        <f>IF(data!J168&lt;0,0,data!J168)</f>
        <v>21050.0</v>
      </c>
      <c r="L335" s="22" t="str">
        <f t="shared" si="94"/>
        <v>閾値の範囲内です。</v>
      </c>
      <c r="M335" s="11"/>
      <c r="N335" s="1" t="str">
        <f t="shared" si="95"/>
        <v/>
      </c>
      <c r="O335" s="1" t="n">
        <f t="shared" si="96"/>
        <v>1.0</v>
      </c>
    </row>
    <row r="336" spans="2:15" ht="15.75" customHeight="1">
      <c r="B336" s="108"/>
      <c r="C336" s="58" t="str">
        <f t="shared" si="97"/>
        <v>介護予防支援・居宅介護支援</v>
      </c>
      <c r="D336" s="165"/>
      <c r="E336" s="18" t="s">
        <v>47</v>
      </c>
      <c r="F336" s="39" t="n">
        <v>7195392.0</v>
      </c>
      <c r="G336" s="40" t="n">
        <v>32.0</v>
      </c>
      <c r="H336" s="80" t="s">
        <v>20</v>
      </c>
      <c r="I336" s="53" t="n">
        <f t="shared" si="98"/>
        <v>18738.0</v>
      </c>
      <c r="J336" s="21" t="n">
        <f>IF(data!I169&lt;0,0,data!I169)</f>
        <v>14295.0</v>
      </c>
      <c r="K336" s="21" t="n">
        <f>IF(data!J169&lt;0,0,data!J169)</f>
        <v>21295.0</v>
      </c>
      <c r="L336" s="22" t="str">
        <f t="shared" si="94"/>
        <v>閾値の範囲内です。</v>
      </c>
      <c r="M336" s="11"/>
      <c r="N336" s="1" t="str">
        <f t="shared" si="95"/>
        <v/>
      </c>
      <c r="O336" s="1" t="n">
        <f t="shared" si="96"/>
        <v>1.0</v>
      </c>
    </row>
    <row r="337" spans="2:15" ht="15.75" customHeight="1">
      <c r="B337" s="108"/>
      <c r="C337" s="58" t="str">
        <f t="shared" si="97"/>
        <v>介護予防支援・居宅介護支援</v>
      </c>
      <c r="D337" s="165"/>
      <c r="E337" s="18" t="s">
        <v>48</v>
      </c>
      <c r="F337" s="39" t="n">
        <v>1854720.0</v>
      </c>
      <c r="G337" s="40" t="n">
        <v>8.0</v>
      </c>
      <c r="H337" s="80" t="s">
        <v>20</v>
      </c>
      <c r="I337" s="53" t="n">
        <f t="shared" si="98"/>
        <v>19320.0</v>
      </c>
      <c r="J337" s="21" t="n">
        <f>IF(data!I170&lt;0,0,data!I170)</f>
        <v>14385.0</v>
      </c>
      <c r="K337" s="21" t="n">
        <f>IF(data!J170&lt;0,0,data!J170)</f>
        <v>21205.0</v>
      </c>
      <c r="L337" s="22" t="str">
        <f t="shared" si="94"/>
        <v>閾値の範囲内です。</v>
      </c>
      <c r="M337" s="11"/>
      <c r="N337" s="1" t="str">
        <f t="shared" si="95"/>
        <v/>
      </c>
      <c r="O337" s="1" t="n">
        <f t="shared" si="96"/>
        <v>1.0</v>
      </c>
    </row>
    <row r="338" spans="2:15" ht="15.75" customHeight="1">
      <c r="B338" s="108"/>
      <c r="C338" s="58" t="str">
        <f t="shared" si="97"/>
        <v>介護予防支援・居宅介護支援</v>
      </c>
      <c r="D338" s="166"/>
      <c r="E338" s="23" t="s">
        <v>49</v>
      </c>
      <c r="F338" s="24" t="n">
        <f>SUM(F331:F337)</f>
        <v>5.7789588E7</v>
      </c>
      <c r="G338" s="25" t="n">
        <f>SUM(G331:G337)</f>
        <v>365.0</v>
      </c>
      <c r="H338" s="78" t="s">
        <v>20</v>
      </c>
      <c r="I338" s="54" t="n">
        <f t="shared" si="98"/>
        <v>13193.969863013699</v>
      </c>
      <c r="J338" s="26" t="n">
        <f>IF(data!I171&lt;0,0,data!I171)</f>
        <v>8860.0</v>
      </c>
      <c r="K338" s="26" t="n">
        <f>IF(data!J171&lt;0,0,data!J171)</f>
        <v>16865.0</v>
      </c>
      <c r="L338" s="27" t="str">
        <f t="shared" si="94"/>
        <v>閾値の範囲内です。</v>
      </c>
      <c r="M338" s="11"/>
      <c r="N338" s="1" t="str">
        <f t="shared" si="95"/>
        <v/>
      </c>
    </row>
    <row r="339" spans="2:15" ht="15.75" customHeight="1">
      <c r="B339" s="108"/>
      <c r="C339" s="58" t="str">
        <f t="shared" si="97"/>
        <v>介護予防支援・居宅介護支援</v>
      </c>
      <c r="D339" s="164" t="s">
        <v>415</v>
      </c>
      <c r="E339" s="15" t="s">
        <v>50</v>
      </c>
      <c r="F339" s="35" t="n">
        <v>2077992.0</v>
      </c>
      <c r="G339" s="36" t="n">
        <v>38.0</v>
      </c>
      <c r="H339" s="79" t="s">
        <v>20</v>
      </c>
      <c r="I339" s="52" t="n">
        <f t="shared" si="98"/>
        <v>4557.0</v>
      </c>
      <c r="J339" s="16" t="n">
        <f t="shared" ref="J339:K354" si="99">J331</f>
        <v>4125.0</v>
      </c>
      <c r="K339" s="16" t="n">
        <f t="shared" si="99"/>
        <v>5230.0</v>
      </c>
      <c r="L339" s="32" t="str">
        <f t="shared" si="94"/>
        <v>閾値の範囲内です。</v>
      </c>
      <c r="M339" s="11"/>
      <c r="N339" s="1" t="str">
        <f t="shared" si="95"/>
        <v/>
      </c>
      <c r="O339" s="1" t="n">
        <f t="shared" ref="O339:O345" si="100">IF(OR(AND(F339="",G339="",H339="－"),AND(F339="",G339="",H339="")),"",1)</f>
        <v>1.0</v>
      </c>
    </row>
    <row r="340" spans="2:15" ht="15.75" customHeight="1">
      <c r="B340" s="108"/>
      <c r="C340" s="58" t="str">
        <f t="shared" si="97"/>
        <v>介護予防支援・居宅介護支援</v>
      </c>
      <c r="D340" s="165"/>
      <c r="E340" s="30" t="s">
        <v>51</v>
      </c>
      <c r="F340" s="37" t="n">
        <v>3483648.0</v>
      </c>
      <c r="G340" s="38" t="n">
        <v>64.0</v>
      </c>
      <c r="H340" s="80" t="s">
        <v>20</v>
      </c>
      <c r="I340" s="55" t="n">
        <f t="shared" si="98"/>
        <v>4536.0</v>
      </c>
      <c r="J340" s="31" t="n">
        <f t="shared" si="99"/>
        <v>4150.0</v>
      </c>
      <c r="K340" s="31" t="n">
        <f t="shared" si="99"/>
        <v>5195.0</v>
      </c>
      <c r="L340" s="33" t="str">
        <f t="shared" si="94"/>
        <v>閾値の範囲内です。</v>
      </c>
      <c r="M340" s="11"/>
      <c r="N340" s="1" t="str">
        <f t="shared" si="95"/>
        <v/>
      </c>
      <c r="O340" s="1" t="n">
        <f t="shared" si="100"/>
        <v>1.0</v>
      </c>
    </row>
    <row r="341" spans="2:15" ht="15.75" customHeight="1">
      <c r="B341" s="108"/>
      <c r="C341" s="58" t="str">
        <f t="shared" si="97"/>
        <v>介護予防支援・居宅介護支援</v>
      </c>
      <c r="D341" s="165"/>
      <c r="E341" s="18" t="s">
        <v>44</v>
      </c>
      <c r="F341" s="39" t="n">
        <v>1.6252236E7</v>
      </c>
      <c r="G341" s="40" t="n">
        <v>91.0</v>
      </c>
      <c r="H341" s="80" t="s">
        <v>20</v>
      </c>
      <c r="I341" s="53" t="n">
        <f t="shared" si="98"/>
        <v>14883.0</v>
      </c>
      <c r="J341" s="21" t="n">
        <f t="shared" si="99"/>
        <v>10810.0</v>
      </c>
      <c r="K341" s="21" t="n">
        <f t="shared" si="99"/>
        <v>17300.0</v>
      </c>
      <c r="L341" s="22" t="str">
        <f t="shared" si="94"/>
        <v>閾値の範囲内です。</v>
      </c>
      <c r="M341" s="11"/>
      <c r="N341" s="1" t="str">
        <f t="shared" si="95"/>
        <v/>
      </c>
      <c r="O341" s="1" t="n">
        <f t="shared" si="100"/>
        <v>1.0</v>
      </c>
    </row>
    <row r="342" spans="2:15" ht="15.75" customHeight="1">
      <c r="B342" s="108"/>
      <c r="C342" s="58" t="str">
        <f t="shared" si="97"/>
        <v>介護予防支援・居宅介護支援</v>
      </c>
      <c r="D342" s="165"/>
      <c r="E342" s="18" t="s">
        <v>45</v>
      </c>
      <c r="F342" s="39" t="n">
        <v>1.199166E7</v>
      </c>
      <c r="G342" s="40" t="n">
        <v>67.0</v>
      </c>
      <c r="H342" s="80" t="s">
        <v>20</v>
      </c>
      <c r="I342" s="53" t="n">
        <f t="shared" si="98"/>
        <v>14915.0</v>
      </c>
      <c r="J342" s="21" t="n">
        <f t="shared" si="99"/>
        <v>10935.0</v>
      </c>
      <c r="K342" s="21" t="n">
        <f t="shared" si="99"/>
        <v>17240.0</v>
      </c>
      <c r="L342" s="22" t="str">
        <f t="shared" si="94"/>
        <v>閾値の範囲内です。</v>
      </c>
      <c r="M342" s="11"/>
      <c r="N342" s="1" t="str">
        <f t="shared" si="95"/>
        <v/>
      </c>
      <c r="O342" s="1" t="n">
        <f t="shared" si="100"/>
        <v>1.0</v>
      </c>
    </row>
    <row r="343" spans="2:15" ht="15.75" customHeight="1">
      <c r="B343" s="108"/>
      <c r="C343" s="58" t="str">
        <f t="shared" si="97"/>
        <v>介護予防支援・居宅介護支援</v>
      </c>
      <c r="D343" s="165"/>
      <c r="E343" s="18" t="s">
        <v>46</v>
      </c>
      <c r="F343" s="39" t="n">
        <v>1.451658E7</v>
      </c>
      <c r="G343" s="40" t="n">
        <v>65.0</v>
      </c>
      <c r="H343" s="80" t="s">
        <v>20</v>
      </c>
      <c r="I343" s="53" t="n">
        <f t="shared" si="98"/>
        <v>18611.0</v>
      </c>
      <c r="J343" s="21" t="n">
        <f t="shared" si="99"/>
        <v>14270.0</v>
      </c>
      <c r="K343" s="21" t="n">
        <f t="shared" si="99"/>
        <v>21050.0</v>
      </c>
      <c r="L343" s="22" t="str">
        <f t="shared" si="94"/>
        <v>閾値の範囲内です。</v>
      </c>
      <c r="M343" s="11"/>
      <c r="N343" s="1" t="str">
        <f t="shared" si="95"/>
        <v/>
      </c>
      <c r="O343" s="1" t="n">
        <f t="shared" si="100"/>
        <v>1.0</v>
      </c>
    </row>
    <row r="344" spans="2:15" ht="15.75" customHeight="1">
      <c r="B344" s="108"/>
      <c r="C344" s="58" t="str">
        <f t="shared" si="97"/>
        <v>介護予防支援・居宅介護支援</v>
      </c>
      <c r="D344" s="165"/>
      <c r="E344" s="18" t="s">
        <v>47</v>
      </c>
      <c r="F344" s="39" t="n">
        <v>6745680.0</v>
      </c>
      <c r="G344" s="40" t="n">
        <v>30.0</v>
      </c>
      <c r="H344" s="80" t="s">
        <v>20</v>
      </c>
      <c r="I344" s="53" t="n">
        <f t="shared" si="98"/>
        <v>18738.0</v>
      </c>
      <c r="J344" s="21" t="n">
        <f t="shared" si="99"/>
        <v>14295.0</v>
      </c>
      <c r="K344" s="21" t="n">
        <f t="shared" si="99"/>
        <v>21295.0</v>
      </c>
      <c r="L344" s="22" t="str">
        <f t="shared" si="94"/>
        <v>閾値の範囲内です。</v>
      </c>
      <c r="M344" s="11"/>
      <c r="N344" s="1" t="str">
        <f t="shared" si="95"/>
        <v/>
      </c>
      <c r="O344" s="1" t="n">
        <f t="shared" si="100"/>
        <v>1.0</v>
      </c>
    </row>
    <row r="345" spans="2:15" ht="15.75" customHeight="1">
      <c r="B345" s="108"/>
      <c r="C345" s="58" t="str">
        <f t="shared" si="97"/>
        <v>介護予防支援・居宅介護支援</v>
      </c>
      <c r="D345" s="165"/>
      <c r="E345" s="18" t="s">
        <v>48</v>
      </c>
      <c r="F345" s="39" t="n">
        <v>1854720.0</v>
      </c>
      <c r="G345" s="40" t="n">
        <v>8.0</v>
      </c>
      <c r="H345" s="80" t="s">
        <v>20</v>
      </c>
      <c r="I345" s="53" t="n">
        <f t="shared" si="98"/>
        <v>19320.0</v>
      </c>
      <c r="J345" s="21" t="n">
        <f t="shared" si="99"/>
        <v>14385.0</v>
      </c>
      <c r="K345" s="21" t="n">
        <f t="shared" si="99"/>
        <v>21205.0</v>
      </c>
      <c r="L345" s="22" t="str">
        <f t="shared" si="94"/>
        <v>閾値の範囲内です。</v>
      </c>
      <c r="M345" s="11"/>
      <c r="N345" s="1" t="str">
        <f t="shared" si="95"/>
        <v/>
      </c>
      <c r="O345" s="1" t="n">
        <f t="shared" si="100"/>
        <v>1.0</v>
      </c>
    </row>
    <row r="346" spans="2:15" ht="15.75" customHeight="1">
      <c r="B346" s="108"/>
      <c r="C346" s="58" t="str">
        <f t="shared" si="97"/>
        <v>介護予防支援・居宅介護支援</v>
      </c>
      <c r="D346" s="166"/>
      <c r="E346" s="23" t="s">
        <v>49</v>
      </c>
      <c r="F346" s="24" t="n">
        <f>SUM(F339:F345)</f>
        <v>5.6922516E7</v>
      </c>
      <c r="G346" s="25" t="n">
        <f>SUM(G339:G345)</f>
        <v>363.0</v>
      </c>
      <c r="H346" s="78" t="s">
        <v>20</v>
      </c>
      <c r="I346" s="54" t="n">
        <f t="shared" si="98"/>
        <v>13067.611570247935</v>
      </c>
      <c r="J346" s="21" t="n">
        <f t="shared" si="99"/>
        <v>8860.0</v>
      </c>
      <c r="K346" s="21" t="n">
        <f t="shared" si="99"/>
        <v>16865.0</v>
      </c>
      <c r="L346" s="27" t="str">
        <f t="shared" si="94"/>
        <v>閾値の範囲内です。</v>
      </c>
      <c r="M346" s="11"/>
      <c r="N346" s="1" t="str">
        <f t="shared" si="95"/>
        <v/>
      </c>
    </row>
    <row r="347" spans="2:15" ht="15.75" customHeight="1">
      <c r="B347" s="108"/>
      <c r="C347" s="58" t="str">
        <f t="shared" si="97"/>
        <v>介護予防支援・居宅介護支援</v>
      </c>
      <c r="D347" s="164" t="s">
        <v>414</v>
      </c>
      <c r="E347" s="15" t="s">
        <v>50</v>
      </c>
      <c r="F347" s="35" t="n">
        <v>2132676.0</v>
      </c>
      <c r="G347" s="36" t="n">
        <v>39.0</v>
      </c>
      <c r="H347" s="79" t="s">
        <v>20</v>
      </c>
      <c r="I347" s="52" t="n">
        <f t="shared" si="98"/>
        <v>4557.0</v>
      </c>
      <c r="J347" s="16" t="n">
        <f t="shared" si="99"/>
        <v>4125.0</v>
      </c>
      <c r="K347" s="16" t="n">
        <f t="shared" si="99"/>
        <v>5230.0</v>
      </c>
      <c r="L347" s="32" t="str">
        <f t="shared" si="94"/>
        <v>閾値の範囲内です。</v>
      </c>
      <c r="M347" s="11"/>
      <c r="N347" s="1" t="str">
        <f t="shared" si="95"/>
        <v/>
      </c>
      <c r="O347" s="1" t="n">
        <f t="shared" ref="O347:O353" si="101">IF(OR(AND(F347="",G347="",H347="－"),AND(F347="",G347="",H347="")),"",1)</f>
        <v>1.0</v>
      </c>
    </row>
    <row r="348" spans="2:15" ht="15.75" customHeight="1">
      <c r="B348" s="108"/>
      <c r="C348" s="58" t="str">
        <f t="shared" si="97"/>
        <v>介護予防支援・居宅介護支援</v>
      </c>
      <c r="D348" s="165"/>
      <c r="E348" s="30" t="s">
        <v>51</v>
      </c>
      <c r="F348" s="37" t="n">
        <v>3483648.0</v>
      </c>
      <c r="G348" s="38" t="n">
        <v>64.0</v>
      </c>
      <c r="H348" s="80" t="s">
        <v>20</v>
      </c>
      <c r="I348" s="55" t="n">
        <f t="shared" si="98"/>
        <v>4536.0</v>
      </c>
      <c r="J348" s="31" t="n">
        <f t="shared" si="99"/>
        <v>4150.0</v>
      </c>
      <c r="K348" s="31" t="n">
        <f t="shared" si="99"/>
        <v>5195.0</v>
      </c>
      <c r="L348" s="33" t="str">
        <f t="shared" si="94"/>
        <v>閾値の範囲内です。</v>
      </c>
      <c r="M348" s="11"/>
      <c r="N348" s="1" t="str">
        <f t="shared" si="95"/>
        <v/>
      </c>
      <c r="O348" s="1" t="n">
        <f t="shared" si="101"/>
        <v>1.0</v>
      </c>
    </row>
    <row r="349" spans="2:15" ht="15.75" customHeight="1">
      <c r="B349" s="108"/>
      <c r="C349" s="58" t="str">
        <f t="shared" si="97"/>
        <v>介護予防支援・居宅介護支援</v>
      </c>
      <c r="D349" s="165"/>
      <c r="E349" s="18" t="s">
        <v>44</v>
      </c>
      <c r="F349" s="39" t="n">
        <v>1.6252236E7</v>
      </c>
      <c r="G349" s="40" t="n">
        <v>91.0</v>
      </c>
      <c r="H349" s="80" t="s">
        <v>20</v>
      </c>
      <c r="I349" s="53" t="n">
        <f t="shared" si="98"/>
        <v>14883.0</v>
      </c>
      <c r="J349" s="21" t="n">
        <f t="shared" si="99"/>
        <v>10810.0</v>
      </c>
      <c r="K349" s="21" t="n">
        <f t="shared" si="99"/>
        <v>17300.0</v>
      </c>
      <c r="L349" s="22" t="str">
        <f t="shared" si="94"/>
        <v>閾値の範囲内です。</v>
      </c>
      <c r="M349" s="11"/>
      <c r="N349" s="1" t="str">
        <f t="shared" si="95"/>
        <v/>
      </c>
      <c r="O349" s="1" t="n">
        <f t="shared" si="101"/>
        <v>1.0</v>
      </c>
    </row>
    <row r="350" spans="2:15" ht="15.75" customHeight="1">
      <c r="B350" s="108"/>
      <c r="C350" s="58" t="str">
        <f t="shared" si="97"/>
        <v>介護予防支援・居宅介護支援</v>
      </c>
      <c r="D350" s="165"/>
      <c r="E350" s="18" t="s">
        <v>45</v>
      </c>
      <c r="F350" s="39" t="n">
        <v>1.199166E7</v>
      </c>
      <c r="G350" s="40" t="n">
        <v>67.0</v>
      </c>
      <c r="H350" s="80" t="s">
        <v>20</v>
      </c>
      <c r="I350" s="53" t="n">
        <f t="shared" si="98"/>
        <v>14915.0</v>
      </c>
      <c r="J350" s="21" t="n">
        <f t="shared" si="99"/>
        <v>10935.0</v>
      </c>
      <c r="K350" s="21" t="n">
        <f t="shared" si="99"/>
        <v>17240.0</v>
      </c>
      <c r="L350" s="22" t="str">
        <f t="shared" si="94"/>
        <v>閾値の範囲内です。</v>
      </c>
      <c r="M350" s="11"/>
      <c r="N350" s="1" t="str">
        <f t="shared" si="95"/>
        <v/>
      </c>
      <c r="O350" s="1" t="n">
        <f t="shared" si="101"/>
        <v>1.0</v>
      </c>
    </row>
    <row r="351" spans="2:15" ht="15.75" customHeight="1">
      <c r="B351" s="108"/>
      <c r="C351" s="58" t="str">
        <f t="shared" si="97"/>
        <v>介護予防支援・居宅介護支援</v>
      </c>
      <c r="D351" s="165"/>
      <c r="E351" s="18" t="s">
        <v>46</v>
      </c>
      <c r="F351" s="39" t="n">
        <v>1.4293248E7</v>
      </c>
      <c r="G351" s="40" t="n">
        <v>64.0</v>
      </c>
      <c r="H351" s="80" t="s">
        <v>20</v>
      </c>
      <c r="I351" s="53" t="n">
        <f t="shared" si="98"/>
        <v>18611.0</v>
      </c>
      <c r="J351" s="21" t="n">
        <f t="shared" si="99"/>
        <v>14270.0</v>
      </c>
      <c r="K351" s="21" t="n">
        <f t="shared" si="99"/>
        <v>21050.0</v>
      </c>
      <c r="L351" s="22" t="str">
        <f t="shared" si="94"/>
        <v>閾値の範囲内です。</v>
      </c>
      <c r="M351" s="11"/>
      <c r="N351" s="1" t="str">
        <f t="shared" si="95"/>
        <v/>
      </c>
      <c r="O351" s="1" t="n">
        <f t="shared" si="101"/>
        <v>1.0</v>
      </c>
    </row>
    <row r="352" spans="2:15" ht="15.75" customHeight="1">
      <c r="B352" s="108"/>
      <c r="C352" s="58" t="str">
        <f t="shared" si="97"/>
        <v>介護予防支援・居宅介護支援</v>
      </c>
      <c r="D352" s="165"/>
      <c r="E352" s="18" t="s">
        <v>47</v>
      </c>
      <c r="F352" s="39" t="n">
        <v>6970536.0</v>
      </c>
      <c r="G352" s="40" t="n">
        <v>31.0</v>
      </c>
      <c r="H352" s="80" t="s">
        <v>20</v>
      </c>
      <c r="I352" s="53" t="n">
        <f t="shared" si="98"/>
        <v>18738.0</v>
      </c>
      <c r="J352" s="21" t="n">
        <f t="shared" si="99"/>
        <v>14295.0</v>
      </c>
      <c r="K352" s="21" t="n">
        <f t="shared" si="99"/>
        <v>21295.0</v>
      </c>
      <c r="L352" s="22" t="str">
        <f t="shared" si="94"/>
        <v>閾値の範囲内です。</v>
      </c>
      <c r="M352" s="11"/>
      <c r="N352" s="1" t="str">
        <f t="shared" si="95"/>
        <v/>
      </c>
      <c r="O352" s="1" t="n">
        <f t="shared" si="101"/>
        <v>1.0</v>
      </c>
    </row>
    <row r="353" spans="1:15" ht="15.75" customHeight="1">
      <c r="B353" s="108"/>
      <c r="C353" s="58" t="str">
        <f t="shared" si="97"/>
        <v>介護予防支援・居宅介護支援</v>
      </c>
      <c r="D353" s="165"/>
      <c r="E353" s="18" t="s">
        <v>48</v>
      </c>
      <c r="F353" s="39" t="n">
        <v>1854720.0</v>
      </c>
      <c r="G353" s="40" t="n">
        <v>8.0</v>
      </c>
      <c r="H353" s="80" t="s">
        <v>20</v>
      </c>
      <c r="I353" s="53" t="n">
        <f t="shared" si="98"/>
        <v>19320.0</v>
      </c>
      <c r="J353" s="21" t="n">
        <f t="shared" si="99"/>
        <v>14385.0</v>
      </c>
      <c r="K353" s="21" t="n">
        <f t="shared" si="99"/>
        <v>21205.0</v>
      </c>
      <c r="L353" s="22" t="str">
        <f t="shared" si="94"/>
        <v>閾値の範囲内です。</v>
      </c>
      <c r="M353" s="11"/>
      <c r="N353" s="1" t="str">
        <f t="shared" si="95"/>
        <v/>
      </c>
      <c r="O353" s="1" t="n">
        <f t="shared" si="101"/>
        <v>1.0</v>
      </c>
    </row>
    <row r="354" spans="1:15" ht="15.75" customHeight="1">
      <c r="B354" s="109"/>
      <c r="C354" s="59" t="str">
        <f t="shared" si="97"/>
        <v>介護予防支援・居宅介護支援</v>
      </c>
      <c r="D354" s="166"/>
      <c r="E354" s="23" t="s">
        <v>49</v>
      </c>
      <c r="F354" s="24" t="n">
        <f>SUM(F347:F353)</f>
        <v>5.6978724E7</v>
      </c>
      <c r="G354" s="25" t="n">
        <f>SUM(G347:G353)</f>
        <v>364.0</v>
      </c>
      <c r="H354" s="78" t="s">
        <v>20</v>
      </c>
      <c r="I354" s="54" t="n">
        <f t="shared" si="98"/>
        <v>13044.579670329671</v>
      </c>
      <c r="J354" s="26" t="n">
        <f t="shared" si="99"/>
        <v>8860.0</v>
      </c>
      <c r="K354" s="26" t="n">
        <f t="shared" si="99"/>
        <v>16865.0</v>
      </c>
      <c r="L354" s="27" t="str">
        <f t="shared" si="94"/>
        <v>閾値の範囲内です。</v>
      </c>
      <c r="M354" s="11"/>
      <c r="N354" s="1" t="str">
        <f t="shared" si="95"/>
        <v/>
      </c>
    </row>
    <row r="355" spans="1:15" ht="15.75" customHeight="1">
      <c r="A355" s="138"/>
      <c r="B355" s="139">
        <v>16</v>
      </c>
      <c r="C355" s="140" t="s">
        <v>123</v>
      </c>
      <c r="D355" s="164" t="s">
        <v>416</v>
      </c>
      <c r="E355" s="15" t="s">
        <v>50</v>
      </c>
      <c r="F355" s="35"/>
      <c r="G355" s="36"/>
      <c r="H355" s="79" t="s">
        <v>20</v>
      </c>
      <c r="I355" s="52" t="str">
        <f>IF(H355="－",IF(ISERROR(F355/G355/12)=TRUE,"－",F355/G355/12),IF(ISERROR(F355/G355/H355/12)=TRUE,"－",F355/G355/H355/12))</f>
        <v>－</v>
      </c>
      <c r="J355" s="34" t="s">
        <v>119</v>
      </c>
      <c r="K355" s="34" t="s">
        <v>119</v>
      </c>
      <c r="L355" s="17" t="s">
        <v>57</v>
      </c>
      <c r="M355" s="11"/>
      <c r="N355" s="1" t="str">
        <f t="shared" ref="N355:N378" si="102">IF(OR(I355="－",AND(J355="－",K355="－")),"",IF(OR(I355&lt;J355,I355&gt;K355),1,""))</f>
        <v/>
      </c>
      <c r="O355" s="1" t="str">
        <f t="shared" ref="O355:O361" si="103">IF(OR(AND(F355="",G355="",H355="－"),AND(F355="",G355="",H355="")),"",1)</f>
        <v/>
      </c>
    </row>
    <row r="356" spans="1:15" ht="15.75" customHeight="1">
      <c r="B356" s="108"/>
      <c r="C356" s="58" t="str">
        <f t="shared" si="97"/>
        <v>登録施設介護支援</v>
      </c>
      <c r="D356" s="165"/>
      <c r="E356" s="30" t="s">
        <v>51</v>
      </c>
      <c r="F356" s="37"/>
      <c r="G356" s="38"/>
      <c r="H356" s="80" t="s">
        <v>20</v>
      </c>
      <c r="I356" s="55" t="str">
        <f t="shared" ref="I356:I378" si="104">IF(H356="－",IF(ISERROR(F356/G356/12)=TRUE,"－",F356/G356/12),IF(ISERROR(F356/G356/H356/12)=TRUE,"－",F356/G356/H356/12))</f>
        <v>－</v>
      </c>
      <c r="J356" s="19" t="s">
        <v>119</v>
      </c>
      <c r="K356" s="20" t="s">
        <v>119</v>
      </c>
      <c r="L356" s="22" t="s">
        <v>57</v>
      </c>
      <c r="M356" s="11"/>
      <c r="N356" s="1" t="str">
        <f t="shared" si="102"/>
        <v/>
      </c>
      <c r="O356" s="1" t="str">
        <f t="shared" si="103"/>
        <v/>
      </c>
    </row>
    <row r="357" spans="1:15" ht="15.75" customHeight="1">
      <c r="B357" s="108"/>
      <c r="C357" s="58" t="str">
        <f t="shared" si="97"/>
        <v>登録施設介護支援</v>
      </c>
      <c r="D357" s="165"/>
      <c r="E357" s="18" t="s">
        <v>44</v>
      </c>
      <c r="F357" s="39"/>
      <c r="G357" s="40"/>
      <c r="H357" s="80" t="s">
        <v>20</v>
      </c>
      <c r="I357" s="53" t="str">
        <f t="shared" si="104"/>
        <v>－</v>
      </c>
      <c r="J357" s="19" t="s">
        <v>119</v>
      </c>
      <c r="K357" s="20" t="s">
        <v>119</v>
      </c>
      <c r="L357" s="22" t="s">
        <v>57</v>
      </c>
      <c r="M357" s="11"/>
      <c r="N357" s="1" t="str">
        <f t="shared" si="102"/>
        <v/>
      </c>
      <c r="O357" s="1" t="str">
        <f t="shared" si="103"/>
        <v/>
      </c>
    </row>
    <row r="358" spans="1:15" ht="15.75" customHeight="1">
      <c r="B358" s="108"/>
      <c r="C358" s="58" t="str">
        <f t="shared" si="97"/>
        <v>登録施設介護支援</v>
      </c>
      <c r="D358" s="165"/>
      <c r="E358" s="18" t="s">
        <v>45</v>
      </c>
      <c r="F358" s="39"/>
      <c r="G358" s="40"/>
      <c r="H358" s="80" t="s">
        <v>20</v>
      </c>
      <c r="I358" s="53" t="str">
        <f t="shared" si="104"/>
        <v>－</v>
      </c>
      <c r="J358" s="19" t="s">
        <v>119</v>
      </c>
      <c r="K358" s="20" t="s">
        <v>119</v>
      </c>
      <c r="L358" s="22" t="s">
        <v>57</v>
      </c>
      <c r="M358" s="11"/>
      <c r="N358" s="1" t="str">
        <f t="shared" si="102"/>
        <v/>
      </c>
      <c r="O358" s="1" t="str">
        <f t="shared" si="103"/>
        <v/>
      </c>
    </row>
    <row r="359" spans="1:15" ht="15.75" customHeight="1">
      <c r="B359" s="108"/>
      <c r="C359" s="58" t="str">
        <f t="shared" si="97"/>
        <v>登録施設介護支援</v>
      </c>
      <c r="D359" s="165"/>
      <c r="E359" s="18" t="s">
        <v>46</v>
      </c>
      <c r="F359" s="39"/>
      <c r="G359" s="40"/>
      <c r="H359" s="80" t="s">
        <v>20</v>
      </c>
      <c r="I359" s="53" t="str">
        <f t="shared" si="104"/>
        <v>－</v>
      </c>
      <c r="J359" s="19" t="s">
        <v>119</v>
      </c>
      <c r="K359" s="20" t="s">
        <v>119</v>
      </c>
      <c r="L359" s="22" t="s">
        <v>57</v>
      </c>
      <c r="M359" s="11"/>
      <c r="N359" s="1" t="str">
        <f t="shared" si="102"/>
        <v/>
      </c>
      <c r="O359" s="1" t="str">
        <f t="shared" si="103"/>
        <v/>
      </c>
    </row>
    <row r="360" spans="1:15" ht="15.75" customHeight="1">
      <c r="B360" s="108"/>
      <c r="C360" s="58" t="str">
        <f t="shared" si="97"/>
        <v>登録施設介護支援</v>
      </c>
      <c r="D360" s="165"/>
      <c r="E360" s="18" t="s">
        <v>47</v>
      </c>
      <c r="F360" s="39"/>
      <c r="G360" s="40"/>
      <c r="H360" s="80" t="s">
        <v>20</v>
      </c>
      <c r="I360" s="53" t="str">
        <f t="shared" si="104"/>
        <v>－</v>
      </c>
      <c r="J360" s="19" t="s">
        <v>119</v>
      </c>
      <c r="K360" s="20" t="s">
        <v>119</v>
      </c>
      <c r="L360" s="22" t="s">
        <v>57</v>
      </c>
      <c r="M360" s="11"/>
      <c r="N360" s="1" t="str">
        <f t="shared" si="102"/>
        <v/>
      </c>
      <c r="O360" s="1" t="str">
        <f t="shared" si="103"/>
        <v/>
      </c>
    </row>
    <row r="361" spans="1:15" ht="15.75" customHeight="1">
      <c r="B361" s="108"/>
      <c r="C361" s="58" t="str">
        <f t="shared" si="97"/>
        <v>登録施設介護支援</v>
      </c>
      <c r="D361" s="165"/>
      <c r="E361" s="18" t="s">
        <v>48</v>
      </c>
      <c r="F361" s="39"/>
      <c r="G361" s="40"/>
      <c r="H361" s="80" t="s">
        <v>20</v>
      </c>
      <c r="I361" s="53" t="str">
        <f t="shared" si="104"/>
        <v>－</v>
      </c>
      <c r="J361" s="19" t="s">
        <v>119</v>
      </c>
      <c r="K361" s="20" t="s">
        <v>119</v>
      </c>
      <c r="L361" s="22" t="s">
        <v>57</v>
      </c>
      <c r="M361" s="11"/>
      <c r="N361" s="1" t="str">
        <f t="shared" si="102"/>
        <v/>
      </c>
      <c r="O361" s="1" t="str">
        <f t="shared" si="103"/>
        <v/>
      </c>
    </row>
    <row r="362" spans="1:15" ht="15.75" customHeight="1">
      <c r="B362" s="108"/>
      <c r="C362" s="58" t="str">
        <f t="shared" si="97"/>
        <v>登録施設介護支援</v>
      </c>
      <c r="D362" s="166"/>
      <c r="E362" s="23" t="s">
        <v>49</v>
      </c>
      <c r="F362" s="24" t="n">
        <f>SUM(F355:F361)</f>
        <v>0.0</v>
      </c>
      <c r="G362" s="25" t="n">
        <f>SUM(G355:G361)</f>
        <v>0.0</v>
      </c>
      <c r="H362" s="78" t="s">
        <v>20</v>
      </c>
      <c r="I362" s="54" t="str">
        <f t="shared" si="104"/>
        <v>－</v>
      </c>
      <c r="J362" s="19" t="s">
        <v>119</v>
      </c>
      <c r="K362" s="20" t="s">
        <v>119</v>
      </c>
      <c r="L362" s="22" t="s">
        <v>57</v>
      </c>
      <c r="M362" s="11"/>
      <c r="N362" s="1" t="str">
        <f t="shared" si="102"/>
        <v/>
      </c>
    </row>
    <row r="363" spans="1:15" ht="15.75" customHeight="1">
      <c r="B363" s="108"/>
      <c r="C363" s="58" t="str">
        <f t="shared" si="97"/>
        <v>登録施設介護支援</v>
      </c>
      <c r="D363" s="164" t="s">
        <v>415</v>
      </c>
      <c r="E363" s="15" t="s">
        <v>50</v>
      </c>
      <c r="F363" s="35" t="n">
        <v>0.0</v>
      </c>
      <c r="G363" s="36" t="n">
        <v>0.0</v>
      </c>
      <c r="H363" s="79" t="s">
        <v>20</v>
      </c>
      <c r="I363" s="52" t="str">
        <f t="shared" si="104"/>
        <v>－</v>
      </c>
      <c r="J363" s="56" t="str">
        <f t="shared" ref="J363:K363" si="105">J355</f>
        <v>－</v>
      </c>
      <c r="K363" s="56" t="str">
        <f t="shared" si="105"/>
        <v>－</v>
      </c>
      <c r="L363" s="17" t="s">
        <v>57</v>
      </c>
      <c r="M363" s="11"/>
      <c r="N363" s="1" t="str">
        <f t="shared" si="102"/>
        <v/>
      </c>
      <c r="O363" s="1" t="n">
        <f t="shared" ref="O363:O369" si="106">IF(OR(AND(F363="",G363="",H363="－"),AND(F363="",G363="",H363="")),"",1)</f>
        <v>1.0</v>
      </c>
    </row>
    <row r="364" spans="1:15" ht="15.75" customHeight="1">
      <c r="B364" s="108"/>
      <c r="C364" s="58" t="str">
        <f t="shared" si="97"/>
        <v>登録施設介護支援</v>
      </c>
      <c r="D364" s="165"/>
      <c r="E364" s="30" t="s">
        <v>51</v>
      </c>
      <c r="F364" s="37" t="n">
        <v>0.0</v>
      </c>
      <c r="G364" s="38" t="n">
        <v>0.0</v>
      </c>
      <c r="H364" s="80" t="s">
        <v>20</v>
      </c>
      <c r="I364" s="55" t="str">
        <f t="shared" si="104"/>
        <v>－</v>
      </c>
      <c r="J364" s="136" t="str">
        <f t="shared" ref="J364:K364" si="107">J356</f>
        <v>－</v>
      </c>
      <c r="K364" s="136" t="str">
        <f t="shared" si="107"/>
        <v>－</v>
      </c>
      <c r="L364" s="22" t="s">
        <v>57</v>
      </c>
      <c r="M364" s="11"/>
      <c r="N364" s="1" t="str">
        <f t="shared" si="102"/>
        <v/>
      </c>
      <c r="O364" s="1" t="n">
        <f t="shared" si="106"/>
        <v>1.0</v>
      </c>
    </row>
    <row r="365" spans="1:15" ht="15.75" customHeight="1">
      <c r="B365" s="108"/>
      <c r="C365" s="58" t="str">
        <f t="shared" si="97"/>
        <v>登録施設介護支援</v>
      </c>
      <c r="D365" s="165"/>
      <c r="E365" s="18" t="s">
        <v>44</v>
      </c>
      <c r="F365" s="39" t="n">
        <v>0.0</v>
      </c>
      <c r="G365" s="40" t="n">
        <v>0.0</v>
      </c>
      <c r="H365" s="80" t="s">
        <v>20</v>
      </c>
      <c r="I365" s="53" t="str">
        <f t="shared" si="104"/>
        <v>－</v>
      </c>
      <c r="J365" s="57" t="str">
        <f t="shared" ref="J365:K365" si="108">J357</f>
        <v>－</v>
      </c>
      <c r="K365" s="57" t="str">
        <f t="shared" si="108"/>
        <v>－</v>
      </c>
      <c r="L365" s="22" t="s">
        <v>57</v>
      </c>
      <c r="M365" s="11"/>
      <c r="N365" s="1" t="str">
        <f t="shared" si="102"/>
        <v/>
      </c>
      <c r="O365" s="1" t="n">
        <f t="shared" si="106"/>
        <v>1.0</v>
      </c>
    </row>
    <row r="366" spans="1:15" ht="15.75" customHeight="1">
      <c r="B366" s="108"/>
      <c r="C366" s="58" t="str">
        <f t="shared" si="97"/>
        <v>登録施設介護支援</v>
      </c>
      <c r="D366" s="165"/>
      <c r="E366" s="18" t="s">
        <v>45</v>
      </c>
      <c r="F366" s="39" t="n">
        <v>0.0</v>
      </c>
      <c r="G366" s="40" t="n">
        <v>0.0</v>
      </c>
      <c r="H366" s="80" t="s">
        <v>20</v>
      </c>
      <c r="I366" s="53" t="str">
        <f t="shared" si="104"/>
        <v>－</v>
      </c>
      <c r="J366" s="57" t="str">
        <f t="shared" ref="J366:K366" si="109">J358</f>
        <v>－</v>
      </c>
      <c r="K366" s="57" t="str">
        <f t="shared" si="109"/>
        <v>－</v>
      </c>
      <c r="L366" s="22" t="s">
        <v>57</v>
      </c>
      <c r="M366" s="11"/>
      <c r="N366" s="1" t="str">
        <f t="shared" si="102"/>
        <v/>
      </c>
      <c r="O366" s="1" t="n">
        <f t="shared" si="106"/>
        <v>1.0</v>
      </c>
    </row>
    <row r="367" spans="1:15" ht="15.75" customHeight="1">
      <c r="B367" s="108"/>
      <c r="C367" s="58" t="str">
        <f t="shared" si="97"/>
        <v>登録施設介護支援</v>
      </c>
      <c r="D367" s="165"/>
      <c r="E367" s="18" t="s">
        <v>46</v>
      </c>
      <c r="F367" s="39" t="n">
        <v>0.0</v>
      </c>
      <c r="G367" s="40" t="n">
        <v>0.0</v>
      </c>
      <c r="H367" s="80" t="s">
        <v>20</v>
      </c>
      <c r="I367" s="53" t="str">
        <f t="shared" si="104"/>
        <v>－</v>
      </c>
      <c r="J367" s="57" t="str">
        <f t="shared" ref="J367:K367" si="110">J359</f>
        <v>－</v>
      </c>
      <c r="K367" s="57" t="str">
        <f t="shared" si="110"/>
        <v>－</v>
      </c>
      <c r="L367" s="22" t="s">
        <v>57</v>
      </c>
      <c r="M367" s="11"/>
      <c r="N367" s="1" t="str">
        <f t="shared" si="102"/>
        <v/>
      </c>
      <c r="O367" s="1" t="n">
        <f t="shared" si="106"/>
        <v>1.0</v>
      </c>
    </row>
    <row r="368" spans="1:15" ht="15.75" customHeight="1">
      <c r="B368" s="108"/>
      <c r="C368" s="58" t="str">
        <f t="shared" si="97"/>
        <v>登録施設介護支援</v>
      </c>
      <c r="D368" s="165"/>
      <c r="E368" s="18" t="s">
        <v>47</v>
      </c>
      <c r="F368" s="39" t="n">
        <v>0.0</v>
      </c>
      <c r="G368" s="40" t="n">
        <v>0.0</v>
      </c>
      <c r="H368" s="80" t="s">
        <v>20</v>
      </c>
      <c r="I368" s="53" t="str">
        <f t="shared" si="104"/>
        <v>－</v>
      </c>
      <c r="J368" s="57" t="str">
        <f t="shared" ref="J368:K368" si="111">J360</f>
        <v>－</v>
      </c>
      <c r="K368" s="57" t="str">
        <f t="shared" si="111"/>
        <v>－</v>
      </c>
      <c r="L368" s="22" t="s">
        <v>57</v>
      </c>
      <c r="M368" s="11"/>
      <c r="N368" s="1" t="str">
        <f t="shared" si="102"/>
        <v/>
      </c>
      <c r="O368" s="1" t="n">
        <f t="shared" si="106"/>
        <v>1.0</v>
      </c>
    </row>
    <row r="369" spans="2:15" ht="15.75" customHeight="1">
      <c r="B369" s="108"/>
      <c r="C369" s="58" t="str">
        <f t="shared" si="97"/>
        <v>登録施設介護支援</v>
      </c>
      <c r="D369" s="165"/>
      <c r="E369" s="18" t="s">
        <v>48</v>
      </c>
      <c r="F369" s="39" t="n">
        <v>0.0</v>
      </c>
      <c r="G369" s="40" t="n">
        <v>0.0</v>
      </c>
      <c r="H369" s="80" t="s">
        <v>20</v>
      </c>
      <c r="I369" s="53" t="str">
        <f t="shared" si="104"/>
        <v>－</v>
      </c>
      <c r="J369" s="57" t="str">
        <f t="shared" ref="J369:K369" si="112">J361</f>
        <v>－</v>
      </c>
      <c r="K369" s="57" t="str">
        <f t="shared" si="112"/>
        <v>－</v>
      </c>
      <c r="L369" s="22" t="s">
        <v>57</v>
      </c>
      <c r="M369" s="11"/>
      <c r="N369" s="1" t="str">
        <f t="shared" si="102"/>
        <v/>
      </c>
      <c r="O369" s="1" t="n">
        <f t="shared" si="106"/>
        <v>1.0</v>
      </c>
    </row>
    <row r="370" spans="2:15" ht="15.75" customHeight="1">
      <c r="B370" s="108"/>
      <c r="C370" s="58" t="str">
        <f t="shared" si="97"/>
        <v>登録施設介護支援</v>
      </c>
      <c r="D370" s="166"/>
      <c r="E370" s="23" t="s">
        <v>49</v>
      </c>
      <c r="F370" s="24" t="n">
        <f>SUM(F363:F369)</f>
        <v>0.0</v>
      </c>
      <c r="G370" s="25" t="n">
        <f>SUM(G363:G369)</f>
        <v>0.0</v>
      </c>
      <c r="H370" s="78" t="s">
        <v>20</v>
      </c>
      <c r="I370" s="54" t="str">
        <f t="shared" si="104"/>
        <v>－</v>
      </c>
      <c r="J370" s="57" t="str">
        <f t="shared" ref="J370:K370" si="113">J362</f>
        <v>－</v>
      </c>
      <c r="K370" s="57" t="str">
        <f t="shared" si="113"/>
        <v>－</v>
      </c>
      <c r="L370" s="22" t="s">
        <v>57</v>
      </c>
      <c r="M370" s="11"/>
      <c r="N370" s="1" t="str">
        <f t="shared" si="102"/>
        <v/>
      </c>
    </row>
    <row r="371" spans="2:15" ht="15.75" customHeight="1">
      <c r="B371" s="108"/>
      <c r="C371" s="58" t="str">
        <f t="shared" si="97"/>
        <v>登録施設介護支援</v>
      </c>
      <c r="D371" s="164" t="s">
        <v>414</v>
      </c>
      <c r="E371" s="15" t="s">
        <v>50</v>
      </c>
      <c r="F371" s="35" t="n">
        <v>0.0</v>
      </c>
      <c r="G371" s="36" t="n">
        <v>0.0</v>
      </c>
      <c r="H371" s="79" t="s">
        <v>20</v>
      </c>
      <c r="I371" s="52" t="str">
        <f t="shared" si="104"/>
        <v>－</v>
      </c>
      <c r="J371" s="56" t="str">
        <f t="shared" ref="J371:K371" si="114">J363</f>
        <v>－</v>
      </c>
      <c r="K371" s="56" t="str">
        <f t="shared" si="114"/>
        <v>－</v>
      </c>
      <c r="L371" s="17" t="s">
        <v>57</v>
      </c>
      <c r="M371" s="11"/>
      <c r="N371" s="1" t="str">
        <f t="shared" si="102"/>
        <v/>
      </c>
      <c r="O371" s="1" t="n">
        <f t="shared" ref="O371:O377" si="115">IF(OR(AND(F371="",G371="",H371="－"),AND(F371="",G371="",H371="")),"",1)</f>
        <v>1.0</v>
      </c>
    </row>
    <row r="372" spans="2:15" ht="15.75" customHeight="1">
      <c r="B372" s="108"/>
      <c r="C372" s="58" t="str">
        <f t="shared" si="97"/>
        <v>登録施設介護支援</v>
      </c>
      <c r="D372" s="165"/>
      <c r="E372" s="30" t="s">
        <v>51</v>
      </c>
      <c r="F372" s="37" t="n">
        <v>0.0</v>
      </c>
      <c r="G372" s="38" t="n">
        <v>0.0</v>
      </c>
      <c r="H372" s="80" t="s">
        <v>20</v>
      </c>
      <c r="I372" s="55" t="str">
        <f t="shared" si="104"/>
        <v>－</v>
      </c>
      <c r="J372" s="136" t="str">
        <f t="shared" ref="J372:K372" si="116">J364</f>
        <v>－</v>
      </c>
      <c r="K372" s="136" t="str">
        <f t="shared" si="116"/>
        <v>－</v>
      </c>
      <c r="L372" s="22" t="s">
        <v>57</v>
      </c>
      <c r="M372" s="11"/>
      <c r="N372" s="1" t="str">
        <f t="shared" si="102"/>
        <v/>
      </c>
      <c r="O372" s="1" t="n">
        <f t="shared" si="115"/>
        <v>1.0</v>
      </c>
    </row>
    <row r="373" spans="2:15" ht="15.75" customHeight="1">
      <c r="B373" s="108"/>
      <c r="C373" s="58" t="str">
        <f t="shared" si="97"/>
        <v>登録施設介護支援</v>
      </c>
      <c r="D373" s="165"/>
      <c r="E373" s="18" t="s">
        <v>44</v>
      </c>
      <c r="F373" s="39" t="n">
        <v>0.0</v>
      </c>
      <c r="G373" s="40" t="n">
        <v>0.0</v>
      </c>
      <c r="H373" s="80" t="s">
        <v>20</v>
      </c>
      <c r="I373" s="53" t="str">
        <f t="shared" si="104"/>
        <v>－</v>
      </c>
      <c r="J373" s="57" t="str">
        <f t="shared" ref="J373:K373" si="117">J365</f>
        <v>－</v>
      </c>
      <c r="K373" s="57" t="str">
        <f t="shared" si="117"/>
        <v>－</v>
      </c>
      <c r="L373" s="22" t="s">
        <v>57</v>
      </c>
      <c r="M373" s="11"/>
      <c r="N373" s="1" t="str">
        <f t="shared" si="102"/>
        <v/>
      </c>
      <c r="O373" s="1" t="n">
        <f t="shared" si="115"/>
        <v>1.0</v>
      </c>
    </row>
    <row r="374" spans="2:15" ht="15.75" customHeight="1">
      <c r="B374" s="108"/>
      <c r="C374" s="58" t="str">
        <f t="shared" si="97"/>
        <v>登録施設介護支援</v>
      </c>
      <c r="D374" s="165"/>
      <c r="E374" s="18" t="s">
        <v>45</v>
      </c>
      <c r="F374" s="39" t="n">
        <v>0.0</v>
      </c>
      <c r="G374" s="40" t="n">
        <v>0.0</v>
      </c>
      <c r="H374" s="80" t="s">
        <v>20</v>
      </c>
      <c r="I374" s="53" t="str">
        <f t="shared" si="104"/>
        <v>－</v>
      </c>
      <c r="J374" s="57" t="str">
        <f t="shared" ref="J374:K374" si="118">J366</f>
        <v>－</v>
      </c>
      <c r="K374" s="57" t="str">
        <f t="shared" si="118"/>
        <v>－</v>
      </c>
      <c r="L374" s="22" t="s">
        <v>57</v>
      </c>
      <c r="M374" s="11"/>
      <c r="N374" s="1" t="str">
        <f t="shared" si="102"/>
        <v/>
      </c>
      <c r="O374" s="1" t="n">
        <f t="shared" si="115"/>
        <v>1.0</v>
      </c>
    </row>
    <row r="375" spans="2:15" ht="15.75" customHeight="1">
      <c r="B375" s="108"/>
      <c r="C375" s="58" t="str">
        <f t="shared" si="97"/>
        <v>登録施設介護支援</v>
      </c>
      <c r="D375" s="165"/>
      <c r="E375" s="18" t="s">
        <v>46</v>
      </c>
      <c r="F375" s="39" t="n">
        <v>0.0</v>
      </c>
      <c r="G375" s="40" t="n">
        <v>0.0</v>
      </c>
      <c r="H375" s="80" t="s">
        <v>20</v>
      </c>
      <c r="I375" s="53" t="str">
        <f t="shared" si="104"/>
        <v>－</v>
      </c>
      <c r="J375" s="57" t="str">
        <f t="shared" ref="J375:K375" si="119">J367</f>
        <v>－</v>
      </c>
      <c r="K375" s="57" t="str">
        <f t="shared" si="119"/>
        <v>－</v>
      </c>
      <c r="L375" s="22" t="s">
        <v>57</v>
      </c>
      <c r="M375" s="11"/>
      <c r="N375" s="1" t="str">
        <f t="shared" si="102"/>
        <v/>
      </c>
      <c r="O375" s="1" t="n">
        <f t="shared" si="115"/>
        <v>1.0</v>
      </c>
    </row>
    <row r="376" spans="2:15" ht="15.75" customHeight="1">
      <c r="B376" s="108"/>
      <c r="C376" s="58" t="str">
        <f t="shared" si="97"/>
        <v>登録施設介護支援</v>
      </c>
      <c r="D376" s="165"/>
      <c r="E376" s="18" t="s">
        <v>47</v>
      </c>
      <c r="F376" s="39" t="n">
        <v>0.0</v>
      </c>
      <c r="G376" s="40" t="n">
        <v>0.0</v>
      </c>
      <c r="H376" s="80" t="s">
        <v>20</v>
      </c>
      <c r="I376" s="53" t="str">
        <f t="shared" si="104"/>
        <v>－</v>
      </c>
      <c r="J376" s="57" t="str">
        <f t="shared" ref="J376:K376" si="120">J368</f>
        <v>－</v>
      </c>
      <c r="K376" s="57" t="str">
        <f t="shared" si="120"/>
        <v>－</v>
      </c>
      <c r="L376" s="22" t="s">
        <v>57</v>
      </c>
      <c r="M376" s="11"/>
      <c r="N376" s="1" t="str">
        <f t="shared" si="102"/>
        <v/>
      </c>
      <c r="O376" s="1" t="n">
        <f t="shared" si="115"/>
        <v>1.0</v>
      </c>
    </row>
    <row r="377" spans="2:15" ht="15.75" customHeight="1">
      <c r="B377" s="108"/>
      <c r="C377" s="58" t="str">
        <f t="shared" si="97"/>
        <v>登録施設介護支援</v>
      </c>
      <c r="D377" s="165"/>
      <c r="E377" s="18" t="s">
        <v>48</v>
      </c>
      <c r="F377" s="39" t="n">
        <v>0.0</v>
      </c>
      <c r="G377" s="40" t="n">
        <v>0.0</v>
      </c>
      <c r="H377" s="80" t="s">
        <v>20</v>
      </c>
      <c r="I377" s="53" t="str">
        <f t="shared" si="104"/>
        <v>－</v>
      </c>
      <c r="J377" s="57" t="str">
        <f t="shared" ref="J377:K377" si="121">J369</f>
        <v>－</v>
      </c>
      <c r="K377" s="57" t="str">
        <f t="shared" si="121"/>
        <v>－</v>
      </c>
      <c r="L377" s="22" t="s">
        <v>57</v>
      </c>
      <c r="M377" s="11"/>
      <c r="N377" s="1" t="str">
        <f t="shared" si="102"/>
        <v/>
      </c>
      <c r="O377" s="1" t="n">
        <f t="shared" si="115"/>
        <v>1.0</v>
      </c>
    </row>
    <row r="378" spans="2:15" ht="15.75" customHeight="1">
      <c r="B378" s="109"/>
      <c r="C378" s="59" t="str">
        <f t="shared" si="97"/>
        <v>登録施設介護支援</v>
      </c>
      <c r="D378" s="166"/>
      <c r="E378" s="23" t="s">
        <v>49</v>
      </c>
      <c r="F378" s="24" t="n">
        <f>SUM(F371:F377)</f>
        <v>0.0</v>
      </c>
      <c r="G378" s="25" t="n">
        <f>SUM(G371:G377)</f>
        <v>0.0</v>
      </c>
      <c r="H378" s="78" t="s">
        <v>20</v>
      </c>
      <c r="I378" s="54" t="str">
        <f t="shared" si="104"/>
        <v>－</v>
      </c>
      <c r="J378" s="99" t="str">
        <f t="shared" ref="J378:K378" si="122">J370</f>
        <v>－</v>
      </c>
      <c r="K378" s="99" t="str">
        <f t="shared" si="122"/>
        <v>－</v>
      </c>
      <c r="L378" s="22" t="s">
        <v>57</v>
      </c>
      <c r="M378" s="11"/>
      <c r="N378" s="1" t="str">
        <f t="shared" si="102"/>
        <v/>
      </c>
    </row>
    <row r="379" spans="2:15" ht="15.75" customHeight="1">
      <c r="B379" s="107">
        <v>17</v>
      </c>
      <c r="C379" s="7" t="s">
        <v>15</v>
      </c>
      <c r="D379" s="165" t="s">
        <v>416</v>
      </c>
      <c r="E379" s="15" t="s">
        <v>44</v>
      </c>
      <c r="F379" s="35" t="n">
        <v>0.0</v>
      </c>
      <c r="G379" s="36" t="n">
        <v>0.0</v>
      </c>
      <c r="H379" s="86" t="s">
        <v>20</v>
      </c>
      <c r="I379" s="52" t="str">
        <f t="shared" ref="I379:I437" si="123">IF(H379="－",IF(ISERROR(F379/G379/12)=TRUE,"－",F379/G379/12),IF(ISERROR(F379/G379/H379/12)=TRUE,"－",F379/G379/H379/12))</f>
        <v>－</v>
      </c>
      <c r="J379" s="16" t="n">
        <f>IF(data!I180&lt;0,0,data!I180)</f>
        <v>39325.0</v>
      </c>
      <c r="K379" s="16" t="n">
        <f>IF(data!J180&lt;0,0,data!J180)</f>
        <v>113295.0</v>
      </c>
      <c r="L379" s="17" t="str">
        <f t="shared" ref="L379:L480" si="124">IF(I379="－","",IF(I379&lt;J379,"下限値を\"&amp;TEXT(ROUND(J379-I379,0),"#,##0")&amp;"下回っています。",IF(I379&gt;K379,"上限値を\"&amp;TEXT(ROUND(I379-K379,0),"#,##0")&amp;"上回っています。","閾値の範囲内です。")))</f>
        <v/>
      </c>
      <c r="M379" s="11"/>
      <c r="N379" s="1" t="str">
        <f t="shared" ref="N379" si="125">IF(OR(I379="－",AND(J379="－",K379="－")),"",IF(OR(I379&lt;J379,I379&gt;K379),1,""))</f>
        <v/>
      </c>
      <c r="O379" s="1" t="n">
        <f t="shared" ref="O379:O383" si="126">IF(OR(AND(F379="",G379="",H379="－"),AND(F379="",G379="",H379="")),"",1)</f>
        <v>1.0</v>
      </c>
    </row>
    <row r="380" spans="2:15" ht="15.75" customHeight="1">
      <c r="B380" s="108"/>
      <c r="C380" s="58" t="str">
        <f t="shared" ref="C380:C414" si="127">C379</f>
        <v>定期巡回・随時対応型訪問介護看護</v>
      </c>
      <c r="D380" s="165"/>
      <c r="E380" s="18" t="s">
        <v>45</v>
      </c>
      <c r="F380" s="39" t="n">
        <v>0.0</v>
      </c>
      <c r="G380" s="40" t="n">
        <v>0.0</v>
      </c>
      <c r="H380" s="87" t="s">
        <v>20</v>
      </c>
      <c r="I380" s="53" t="str">
        <f t="shared" si="123"/>
        <v>－</v>
      </c>
      <c r="J380" s="21" t="n">
        <f>IF(data!I181&lt;0,0,data!I181)</f>
        <v>69385.0</v>
      </c>
      <c r="K380" s="21" t="n">
        <f>IF(data!J181&lt;0,0,data!J181)</f>
        <v>174230.0</v>
      </c>
      <c r="L380" s="22" t="str">
        <f t="shared" si="124"/>
        <v/>
      </c>
      <c r="M380" s="11"/>
      <c r="N380" s="1" t="str">
        <f>IF(OR(I380="－",AND(J380="－",K380="－")),"",IF(OR(I380&lt;J380,I380&gt;K380),1,""))</f>
        <v/>
      </c>
      <c r="O380" s="1" t="n">
        <f t="shared" si="126"/>
        <v>1.0</v>
      </c>
    </row>
    <row r="381" spans="2:15" ht="15.75" customHeight="1">
      <c r="B381" s="108"/>
      <c r="C381" s="58" t="str">
        <f t="shared" si="127"/>
        <v>定期巡回・随時対応型訪問介護看護</v>
      </c>
      <c r="D381" s="165"/>
      <c r="E381" s="18" t="s">
        <v>46</v>
      </c>
      <c r="F381" s="39" t="n">
        <v>0.0</v>
      </c>
      <c r="G381" s="40" t="n">
        <v>0.0</v>
      </c>
      <c r="H381" s="87" t="s">
        <v>20</v>
      </c>
      <c r="I381" s="53" t="str">
        <f t="shared" si="123"/>
        <v>－</v>
      </c>
      <c r="J381" s="21" t="n">
        <f>IF(data!I182&lt;0,0,data!I182)</f>
        <v>115000.0</v>
      </c>
      <c r="K381" s="21" t="n">
        <f>IF(data!J182&lt;0,0,data!J182)</f>
        <v>260690.0</v>
      </c>
      <c r="L381" s="22" t="str">
        <f t="shared" si="124"/>
        <v/>
      </c>
      <c r="M381" s="11"/>
      <c r="N381" s="1" t="str">
        <f t="shared" ref="N381:N397" si="128">IF(OR(I381="－",AND(J381="－",K381="－")),"",IF(OR(I381&lt;J381,I381&gt;K381),1,""))</f>
        <v/>
      </c>
      <c r="O381" s="1" t="n">
        <f t="shared" si="126"/>
        <v>1.0</v>
      </c>
    </row>
    <row r="382" spans="2:15" ht="15.75" customHeight="1">
      <c r="B382" s="108"/>
      <c r="C382" s="58" t="str">
        <f t="shared" si="127"/>
        <v>定期巡回・随時対応型訪問介護看護</v>
      </c>
      <c r="D382" s="165"/>
      <c r="E382" s="18" t="s">
        <v>47</v>
      </c>
      <c r="F382" s="39" t="n">
        <v>0.0</v>
      </c>
      <c r="G382" s="40" t="n">
        <v>0.0</v>
      </c>
      <c r="H382" s="87" t="s">
        <v>20</v>
      </c>
      <c r="I382" s="53" t="str">
        <f t="shared" si="123"/>
        <v>－</v>
      </c>
      <c r="J382" s="21" t="n">
        <f>IF(data!I183&lt;0,0,data!I183)</f>
        <v>143335.0</v>
      </c>
      <c r="K382" s="21" t="n">
        <f>IF(data!J183&lt;0,0,data!J183)</f>
        <v>322960.0</v>
      </c>
      <c r="L382" s="22" t="str">
        <f t="shared" si="124"/>
        <v/>
      </c>
      <c r="M382" s="11"/>
      <c r="N382" s="1" t="str">
        <f t="shared" si="128"/>
        <v/>
      </c>
      <c r="O382" s="1" t="n">
        <f t="shared" si="126"/>
        <v>1.0</v>
      </c>
    </row>
    <row r="383" spans="2:15" ht="15.75" customHeight="1">
      <c r="B383" s="108"/>
      <c r="C383" s="58" t="str">
        <f t="shared" si="127"/>
        <v>定期巡回・随時対応型訪問介護看護</v>
      </c>
      <c r="D383" s="165"/>
      <c r="E383" s="18" t="s">
        <v>48</v>
      </c>
      <c r="F383" s="39" t="n">
        <v>0.0</v>
      </c>
      <c r="G383" s="40" t="n">
        <v>0.0</v>
      </c>
      <c r="H383" s="87" t="s">
        <v>20</v>
      </c>
      <c r="I383" s="53" t="str">
        <f t="shared" si="123"/>
        <v>－</v>
      </c>
      <c r="J383" s="21" t="n">
        <f>IF(data!I184&lt;0,0,data!I184)</f>
        <v>155945.0</v>
      </c>
      <c r="K383" s="21" t="n">
        <f>IF(data!J184&lt;0,0,data!J184)</f>
        <v>407320.0</v>
      </c>
      <c r="L383" s="22" t="str">
        <f t="shared" si="124"/>
        <v/>
      </c>
      <c r="M383" s="11"/>
      <c r="N383" s="1" t="str">
        <f t="shared" si="128"/>
        <v/>
      </c>
      <c r="O383" s="1" t="n">
        <f t="shared" si="126"/>
        <v>1.0</v>
      </c>
    </row>
    <row r="384" spans="2:15" ht="15.75" customHeight="1">
      <c r="B384" s="108"/>
      <c r="C384" s="58" t="str">
        <f t="shared" si="127"/>
        <v>定期巡回・随時対応型訪問介護看護</v>
      </c>
      <c r="D384" s="166"/>
      <c r="E384" s="23" t="s">
        <v>49</v>
      </c>
      <c r="F384" s="24" t="n">
        <f>SUM(F379:F383)</f>
        <v>0.0</v>
      </c>
      <c r="G384" s="25" t="n">
        <f>SUM(G379:G383)</f>
        <v>0.0</v>
      </c>
      <c r="H384" s="29" t="s">
        <v>20</v>
      </c>
      <c r="I384" s="54" t="str">
        <f t="shared" si="123"/>
        <v>－</v>
      </c>
      <c r="J384" s="26" t="n">
        <f>IF(data!I185&lt;0,0,data!I185)</f>
        <v>12980.0</v>
      </c>
      <c r="K384" s="26" t="n">
        <f>IF(data!J185&lt;0,0,data!J185)</f>
        <v>318840.0</v>
      </c>
      <c r="L384" s="27" t="str">
        <f t="shared" si="124"/>
        <v/>
      </c>
      <c r="M384" s="11"/>
      <c r="N384" s="1" t="str">
        <f t="shared" si="128"/>
        <v/>
      </c>
    </row>
    <row r="385" spans="2:15" ht="15.75" customHeight="1">
      <c r="B385" s="108"/>
      <c r="C385" s="58" t="str">
        <f t="shared" si="127"/>
        <v>定期巡回・随時対応型訪問介護看護</v>
      </c>
      <c r="D385" s="165" t="s">
        <v>415</v>
      </c>
      <c r="E385" s="15" t="s">
        <v>44</v>
      </c>
      <c r="F385" s="35" t="n">
        <v>0.0</v>
      </c>
      <c r="G385" s="36" t="n">
        <v>0.0</v>
      </c>
      <c r="H385" s="86" t="s">
        <v>20</v>
      </c>
      <c r="I385" s="52" t="str">
        <f t="shared" si="123"/>
        <v>－</v>
      </c>
      <c r="J385" s="16" t="n">
        <f t="shared" ref="J385:K396" si="129">J379</f>
        <v>39325.0</v>
      </c>
      <c r="K385" s="16" t="n">
        <f t="shared" si="129"/>
        <v>113295.0</v>
      </c>
      <c r="L385" s="17" t="str">
        <f t="shared" si="124"/>
        <v/>
      </c>
      <c r="M385" s="11"/>
      <c r="N385" s="1" t="str">
        <f t="shared" si="128"/>
        <v/>
      </c>
      <c r="O385" s="1" t="n">
        <f t="shared" ref="O385:O389" si="130">IF(OR(AND(F385="",G385="",H385="－"),AND(F385="",G385="",H385="")),"",1)</f>
        <v>1.0</v>
      </c>
    </row>
    <row r="386" spans="2:15" ht="15.75" customHeight="1">
      <c r="B386" s="108"/>
      <c r="C386" s="58" t="str">
        <f t="shared" si="127"/>
        <v>定期巡回・随時対応型訪問介護看護</v>
      </c>
      <c r="D386" s="165"/>
      <c r="E386" s="18" t="s">
        <v>45</v>
      </c>
      <c r="F386" s="39" t="n">
        <v>0.0</v>
      </c>
      <c r="G386" s="40" t="n">
        <v>0.0</v>
      </c>
      <c r="H386" s="87" t="s">
        <v>20</v>
      </c>
      <c r="I386" s="53" t="str">
        <f t="shared" si="123"/>
        <v>－</v>
      </c>
      <c r="J386" s="21" t="n">
        <f t="shared" si="129"/>
        <v>69385.0</v>
      </c>
      <c r="K386" s="21" t="n">
        <f t="shared" si="129"/>
        <v>174230.0</v>
      </c>
      <c r="L386" s="22" t="str">
        <f t="shared" si="124"/>
        <v/>
      </c>
      <c r="M386" s="11"/>
      <c r="N386" s="1" t="str">
        <f t="shared" si="128"/>
        <v/>
      </c>
      <c r="O386" s="1" t="n">
        <f t="shared" si="130"/>
        <v>1.0</v>
      </c>
    </row>
    <row r="387" spans="2:15" ht="15.75" customHeight="1">
      <c r="B387" s="108"/>
      <c r="C387" s="58" t="str">
        <f t="shared" si="127"/>
        <v>定期巡回・随時対応型訪問介護看護</v>
      </c>
      <c r="D387" s="165"/>
      <c r="E387" s="18" t="s">
        <v>46</v>
      </c>
      <c r="F387" s="39" t="n">
        <v>0.0</v>
      </c>
      <c r="G387" s="40" t="n">
        <v>0.0</v>
      </c>
      <c r="H387" s="87" t="s">
        <v>20</v>
      </c>
      <c r="I387" s="53" t="str">
        <f t="shared" si="123"/>
        <v>－</v>
      </c>
      <c r="J387" s="21" t="n">
        <f t="shared" si="129"/>
        <v>115000.0</v>
      </c>
      <c r="K387" s="21" t="n">
        <f t="shared" si="129"/>
        <v>260690.0</v>
      </c>
      <c r="L387" s="22" t="str">
        <f t="shared" si="124"/>
        <v/>
      </c>
      <c r="M387" s="11"/>
      <c r="N387" s="1" t="str">
        <f t="shared" si="128"/>
        <v/>
      </c>
      <c r="O387" s="1" t="n">
        <f t="shared" si="130"/>
        <v>1.0</v>
      </c>
    </row>
    <row r="388" spans="2:15" ht="15.75" customHeight="1">
      <c r="B388" s="108"/>
      <c r="C388" s="58" t="str">
        <f t="shared" si="127"/>
        <v>定期巡回・随時対応型訪問介護看護</v>
      </c>
      <c r="D388" s="165"/>
      <c r="E388" s="18" t="s">
        <v>47</v>
      </c>
      <c r="F388" s="39" t="n">
        <v>0.0</v>
      </c>
      <c r="G388" s="40" t="n">
        <v>0.0</v>
      </c>
      <c r="H388" s="87" t="s">
        <v>20</v>
      </c>
      <c r="I388" s="53" t="str">
        <f t="shared" si="123"/>
        <v>－</v>
      </c>
      <c r="J388" s="21" t="n">
        <f t="shared" si="129"/>
        <v>143335.0</v>
      </c>
      <c r="K388" s="21" t="n">
        <f t="shared" si="129"/>
        <v>322960.0</v>
      </c>
      <c r="L388" s="22" t="str">
        <f t="shared" si="124"/>
        <v/>
      </c>
      <c r="M388" s="11"/>
      <c r="N388" s="1" t="str">
        <f t="shared" si="128"/>
        <v/>
      </c>
      <c r="O388" s="1" t="n">
        <f t="shared" si="130"/>
        <v>1.0</v>
      </c>
    </row>
    <row r="389" spans="2:15" ht="15.75" customHeight="1">
      <c r="B389" s="108"/>
      <c r="C389" s="58" t="str">
        <f t="shared" si="127"/>
        <v>定期巡回・随時対応型訪問介護看護</v>
      </c>
      <c r="D389" s="165"/>
      <c r="E389" s="18" t="s">
        <v>48</v>
      </c>
      <c r="F389" s="39" t="n">
        <v>0.0</v>
      </c>
      <c r="G389" s="40" t="n">
        <v>0.0</v>
      </c>
      <c r="H389" s="87" t="s">
        <v>20</v>
      </c>
      <c r="I389" s="53" t="str">
        <f t="shared" si="123"/>
        <v>－</v>
      </c>
      <c r="J389" s="21" t="n">
        <f t="shared" si="129"/>
        <v>155945.0</v>
      </c>
      <c r="K389" s="21" t="n">
        <f t="shared" si="129"/>
        <v>407320.0</v>
      </c>
      <c r="L389" s="22" t="str">
        <f t="shared" si="124"/>
        <v/>
      </c>
      <c r="M389" s="11"/>
      <c r="N389" s="1" t="str">
        <f t="shared" si="128"/>
        <v/>
      </c>
      <c r="O389" s="1" t="n">
        <f t="shared" si="130"/>
        <v>1.0</v>
      </c>
    </row>
    <row r="390" spans="2:15" ht="15.75" customHeight="1">
      <c r="B390" s="108"/>
      <c r="C390" s="58" t="str">
        <f t="shared" si="127"/>
        <v>定期巡回・随時対応型訪問介護看護</v>
      </c>
      <c r="D390" s="166"/>
      <c r="E390" s="23" t="s">
        <v>49</v>
      </c>
      <c r="F390" s="24" t="n">
        <f>SUM(F385:F389)</f>
        <v>0.0</v>
      </c>
      <c r="G390" s="25" t="n">
        <f>SUM(G385:G389)</f>
        <v>0.0</v>
      </c>
      <c r="H390" s="29" t="s">
        <v>20</v>
      </c>
      <c r="I390" s="54" t="str">
        <f t="shared" si="123"/>
        <v>－</v>
      </c>
      <c r="J390" s="21" t="n">
        <f t="shared" si="129"/>
        <v>12980.0</v>
      </c>
      <c r="K390" s="21" t="n">
        <f t="shared" si="129"/>
        <v>318840.0</v>
      </c>
      <c r="L390" s="27" t="str">
        <f t="shared" si="124"/>
        <v/>
      </c>
      <c r="M390" s="11"/>
      <c r="N390" s="1" t="str">
        <f t="shared" si="128"/>
        <v/>
      </c>
    </row>
    <row r="391" spans="2:15" ht="15.75" customHeight="1">
      <c r="B391" s="108"/>
      <c r="C391" s="58" t="str">
        <f t="shared" si="127"/>
        <v>定期巡回・随時対応型訪問介護看護</v>
      </c>
      <c r="D391" s="165" t="s">
        <v>414</v>
      </c>
      <c r="E391" s="15" t="s">
        <v>44</v>
      </c>
      <c r="F391" s="35" t="n">
        <v>0.0</v>
      </c>
      <c r="G391" s="36" t="n">
        <v>0.0</v>
      </c>
      <c r="H391" s="86" t="s">
        <v>20</v>
      </c>
      <c r="I391" s="52" t="str">
        <f t="shared" si="123"/>
        <v>－</v>
      </c>
      <c r="J391" s="16" t="n">
        <f t="shared" si="129"/>
        <v>39325.0</v>
      </c>
      <c r="K391" s="16" t="n">
        <f t="shared" si="129"/>
        <v>113295.0</v>
      </c>
      <c r="L391" s="17" t="str">
        <f t="shared" si="124"/>
        <v/>
      </c>
      <c r="M391" s="11"/>
      <c r="N391" s="1" t="str">
        <f t="shared" si="128"/>
        <v/>
      </c>
      <c r="O391" s="1" t="n">
        <f t="shared" ref="O391:O395" si="131">IF(OR(AND(F391="",G391="",H391="－"),AND(F391="",G391="",H391="")),"",1)</f>
        <v>1.0</v>
      </c>
    </row>
    <row r="392" spans="2:15" ht="15.75" customHeight="1">
      <c r="B392" s="108"/>
      <c r="C392" s="58" t="str">
        <f t="shared" si="127"/>
        <v>定期巡回・随時対応型訪問介護看護</v>
      </c>
      <c r="D392" s="165"/>
      <c r="E392" s="18" t="s">
        <v>45</v>
      </c>
      <c r="F392" s="39" t="n">
        <v>0.0</v>
      </c>
      <c r="G392" s="40" t="n">
        <v>0.0</v>
      </c>
      <c r="H392" s="87" t="s">
        <v>20</v>
      </c>
      <c r="I392" s="53" t="str">
        <f t="shared" si="123"/>
        <v>－</v>
      </c>
      <c r="J392" s="21" t="n">
        <f t="shared" si="129"/>
        <v>69385.0</v>
      </c>
      <c r="K392" s="21" t="n">
        <f t="shared" si="129"/>
        <v>174230.0</v>
      </c>
      <c r="L392" s="22" t="str">
        <f t="shared" si="124"/>
        <v/>
      </c>
      <c r="M392" s="11"/>
      <c r="N392" s="1" t="str">
        <f t="shared" si="128"/>
        <v/>
      </c>
      <c r="O392" s="1" t="n">
        <f t="shared" si="131"/>
        <v>1.0</v>
      </c>
    </row>
    <row r="393" spans="2:15" ht="15.75" customHeight="1">
      <c r="B393" s="108"/>
      <c r="C393" s="58" t="str">
        <f t="shared" si="127"/>
        <v>定期巡回・随時対応型訪問介護看護</v>
      </c>
      <c r="D393" s="165"/>
      <c r="E393" s="18" t="s">
        <v>46</v>
      </c>
      <c r="F393" s="39" t="n">
        <v>0.0</v>
      </c>
      <c r="G393" s="40" t="n">
        <v>0.0</v>
      </c>
      <c r="H393" s="87" t="s">
        <v>20</v>
      </c>
      <c r="I393" s="53" t="str">
        <f t="shared" si="123"/>
        <v>－</v>
      </c>
      <c r="J393" s="21" t="n">
        <f t="shared" si="129"/>
        <v>115000.0</v>
      </c>
      <c r="K393" s="21" t="n">
        <f t="shared" si="129"/>
        <v>260690.0</v>
      </c>
      <c r="L393" s="22" t="str">
        <f t="shared" si="124"/>
        <v/>
      </c>
      <c r="M393" s="11"/>
      <c r="N393" s="1" t="str">
        <f t="shared" si="128"/>
        <v/>
      </c>
      <c r="O393" s="1" t="n">
        <f t="shared" si="131"/>
        <v>1.0</v>
      </c>
    </row>
    <row r="394" spans="2:15" ht="15.75" customHeight="1">
      <c r="B394" s="108"/>
      <c r="C394" s="58" t="str">
        <f t="shared" si="127"/>
        <v>定期巡回・随時対応型訪問介護看護</v>
      </c>
      <c r="D394" s="165"/>
      <c r="E394" s="18" t="s">
        <v>47</v>
      </c>
      <c r="F394" s="39" t="n">
        <v>0.0</v>
      </c>
      <c r="G394" s="40" t="n">
        <v>0.0</v>
      </c>
      <c r="H394" s="87" t="s">
        <v>20</v>
      </c>
      <c r="I394" s="53" t="str">
        <f t="shared" si="123"/>
        <v>－</v>
      </c>
      <c r="J394" s="21" t="n">
        <f t="shared" si="129"/>
        <v>143335.0</v>
      </c>
      <c r="K394" s="21" t="n">
        <f t="shared" si="129"/>
        <v>322960.0</v>
      </c>
      <c r="L394" s="22" t="str">
        <f t="shared" si="124"/>
        <v/>
      </c>
      <c r="M394" s="11"/>
      <c r="N394" s="1" t="str">
        <f t="shared" si="128"/>
        <v/>
      </c>
      <c r="O394" s="1" t="n">
        <f t="shared" si="131"/>
        <v>1.0</v>
      </c>
    </row>
    <row r="395" spans="2:15" ht="15.75" customHeight="1">
      <c r="B395" s="108"/>
      <c r="C395" s="58" t="str">
        <f t="shared" si="127"/>
        <v>定期巡回・随時対応型訪問介護看護</v>
      </c>
      <c r="D395" s="165"/>
      <c r="E395" s="18" t="s">
        <v>48</v>
      </c>
      <c r="F395" s="39" t="n">
        <v>0.0</v>
      </c>
      <c r="G395" s="40" t="n">
        <v>0.0</v>
      </c>
      <c r="H395" s="87" t="s">
        <v>20</v>
      </c>
      <c r="I395" s="53" t="str">
        <f t="shared" si="123"/>
        <v>－</v>
      </c>
      <c r="J395" s="21" t="n">
        <f t="shared" si="129"/>
        <v>155945.0</v>
      </c>
      <c r="K395" s="21" t="n">
        <f t="shared" si="129"/>
        <v>407320.0</v>
      </c>
      <c r="L395" s="22" t="str">
        <f t="shared" si="124"/>
        <v/>
      </c>
      <c r="M395" s="11"/>
      <c r="N395" s="1" t="str">
        <f t="shared" si="128"/>
        <v/>
      </c>
      <c r="O395" s="1" t="n">
        <f t="shared" si="131"/>
        <v>1.0</v>
      </c>
    </row>
    <row r="396" spans="2:15" ht="15.75" customHeight="1">
      <c r="B396" s="109"/>
      <c r="C396" s="58" t="str">
        <f t="shared" si="127"/>
        <v>定期巡回・随時対応型訪問介護看護</v>
      </c>
      <c r="D396" s="166"/>
      <c r="E396" s="23" t="s">
        <v>49</v>
      </c>
      <c r="F396" s="24" t="n">
        <f>SUM(F391:F395)</f>
        <v>0.0</v>
      </c>
      <c r="G396" s="28" t="n">
        <f>SUM(G391:G395)</f>
        <v>0.0</v>
      </c>
      <c r="H396" s="29" t="s">
        <v>20</v>
      </c>
      <c r="I396" s="54" t="str">
        <f t="shared" si="123"/>
        <v>－</v>
      </c>
      <c r="J396" s="21" t="n">
        <f t="shared" si="129"/>
        <v>12980.0</v>
      </c>
      <c r="K396" s="21" t="n">
        <f t="shared" si="129"/>
        <v>318840.0</v>
      </c>
      <c r="L396" s="27" t="str">
        <f t="shared" si="124"/>
        <v/>
      </c>
      <c r="M396" s="11"/>
      <c r="N396" s="1" t="str">
        <f t="shared" si="128"/>
        <v/>
      </c>
    </row>
    <row r="397" spans="2:15" ht="15.75" customHeight="1">
      <c r="B397" s="107">
        <v>18</v>
      </c>
      <c r="C397" s="7" t="s">
        <v>16</v>
      </c>
      <c r="D397" s="165" t="s">
        <v>416</v>
      </c>
      <c r="E397" s="15" t="s">
        <v>44</v>
      </c>
      <c r="F397" s="35" t="n">
        <v>0.0</v>
      </c>
      <c r="G397" s="36" t="n">
        <v>0.0</v>
      </c>
      <c r="H397" s="86" t="s">
        <v>20</v>
      </c>
      <c r="I397" s="52" t="str">
        <f t="shared" si="123"/>
        <v>－</v>
      </c>
      <c r="J397" s="16" t="n">
        <f>IF(data!I186&lt;0,0,data!I186)</f>
        <v>0.0</v>
      </c>
      <c r="K397" s="16" t="n">
        <f>IF(data!J186&lt;0,0,data!J186)</f>
        <v>51085.0</v>
      </c>
      <c r="L397" s="17" t="str">
        <f t="shared" si="124"/>
        <v/>
      </c>
      <c r="M397" s="11"/>
      <c r="N397" s="1" t="str">
        <f t="shared" si="128"/>
        <v/>
      </c>
      <c r="O397" s="1" t="n">
        <f t="shared" ref="O397:O401" si="132">IF(OR(AND(F397="",G397="",H397="－"),AND(F397="",G397="",H397="")),"",1)</f>
        <v>1.0</v>
      </c>
    </row>
    <row r="398" spans="2:15" ht="15.75" customHeight="1">
      <c r="B398" s="108"/>
      <c r="C398" s="58" t="str">
        <f t="shared" si="127"/>
        <v>夜間対応型訪問介護</v>
      </c>
      <c r="D398" s="165"/>
      <c r="E398" s="18" t="s">
        <v>45</v>
      </c>
      <c r="F398" s="39" t="n">
        <v>0.0</v>
      </c>
      <c r="G398" s="40" t="n">
        <v>0.0</v>
      </c>
      <c r="H398" s="87" t="s">
        <v>20</v>
      </c>
      <c r="I398" s="53" t="str">
        <f t="shared" si="123"/>
        <v>－</v>
      </c>
      <c r="J398" s="21" t="n">
        <f>IF(data!I187&lt;0,0,data!I187)</f>
        <v>0.0</v>
      </c>
      <c r="K398" s="21" t="n">
        <f>IF(data!J187&lt;0,0,data!J187)</f>
        <v>55545.0</v>
      </c>
      <c r="L398" s="22" t="str">
        <f t="shared" si="124"/>
        <v/>
      </c>
      <c r="M398" s="11"/>
      <c r="N398" s="1" t="str">
        <f>IF(OR(I398="－",AND(J398="－",K398="－")),"",IF(OR(I398&lt;J398,I398&gt;K398),1,""))</f>
        <v/>
      </c>
      <c r="O398" s="1" t="n">
        <f t="shared" si="132"/>
        <v>1.0</v>
      </c>
    </row>
    <row r="399" spans="2:15" ht="15.75" customHeight="1">
      <c r="B399" s="108"/>
      <c r="C399" s="58" t="str">
        <f t="shared" si="127"/>
        <v>夜間対応型訪問介護</v>
      </c>
      <c r="D399" s="165"/>
      <c r="E399" s="18" t="s">
        <v>46</v>
      </c>
      <c r="F399" s="39" t="n">
        <v>0.0</v>
      </c>
      <c r="G399" s="40" t="n">
        <v>0.0</v>
      </c>
      <c r="H399" s="87" t="s">
        <v>20</v>
      </c>
      <c r="I399" s="53" t="str">
        <f t="shared" si="123"/>
        <v>－</v>
      </c>
      <c r="J399" s="21" t="n">
        <f>IF(data!I188&lt;0,0,data!I188)</f>
        <v>0.0</v>
      </c>
      <c r="K399" s="21" t="n">
        <f>IF(data!J188&lt;0,0,data!J188)</f>
        <v>82375.0</v>
      </c>
      <c r="L399" s="22" t="str">
        <f t="shared" si="124"/>
        <v/>
      </c>
      <c r="M399" s="11"/>
      <c r="N399" s="1" t="str">
        <f t="shared" ref="N399:N480" si="133">IF(OR(I399="－",AND(J399="－",K399="－")),"",IF(OR(I399&lt;J399,I399&gt;K399),1,""))</f>
        <v/>
      </c>
      <c r="O399" s="1" t="n">
        <f t="shared" si="132"/>
        <v>1.0</v>
      </c>
    </row>
    <row r="400" spans="2:15" ht="15.75" customHeight="1">
      <c r="B400" s="108"/>
      <c r="C400" s="58" t="str">
        <f t="shared" si="127"/>
        <v>夜間対応型訪問介護</v>
      </c>
      <c r="D400" s="165"/>
      <c r="E400" s="18" t="s">
        <v>47</v>
      </c>
      <c r="F400" s="39" t="n">
        <v>0.0</v>
      </c>
      <c r="G400" s="40" t="n">
        <v>0.0</v>
      </c>
      <c r="H400" s="87" t="s">
        <v>20</v>
      </c>
      <c r="I400" s="53" t="str">
        <f t="shared" si="123"/>
        <v>－</v>
      </c>
      <c r="J400" s="21" t="n">
        <f>IF(data!I189&lt;0,0,data!I189)</f>
        <v>0.0</v>
      </c>
      <c r="K400" s="21" t="n">
        <f>IF(data!J189&lt;0,0,data!J189)</f>
        <v>165660.0</v>
      </c>
      <c r="L400" s="22" t="str">
        <f t="shared" si="124"/>
        <v/>
      </c>
      <c r="M400" s="11"/>
      <c r="N400" s="1" t="str">
        <f t="shared" si="133"/>
        <v/>
      </c>
      <c r="O400" s="1" t="n">
        <f t="shared" si="132"/>
        <v>1.0</v>
      </c>
    </row>
    <row r="401" spans="2:15" ht="15.75" customHeight="1">
      <c r="B401" s="108"/>
      <c r="C401" s="58" t="str">
        <f t="shared" si="127"/>
        <v>夜間対応型訪問介護</v>
      </c>
      <c r="D401" s="165"/>
      <c r="E401" s="18" t="s">
        <v>48</v>
      </c>
      <c r="F401" s="39" t="n">
        <v>0.0</v>
      </c>
      <c r="G401" s="40" t="n">
        <v>0.0</v>
      </c>
      <c r="H401" s="87" t="s">
        <v>20</v>
      </c>
      <c r="I401" s="53" t="str">
        <f t="shared" si="123"/>
        <v>－</v>
      </c>
      <c r="J401" s="21" t="n">
        <f>IF(data!I190&lt;0,0,data!I190)</f>
        <v>0.0</v>
      </c>
      <c r="K401" s="21" t="n">
        <f>IF(data!J190&lt;0,0,data!J190)</f>
        <v>182710.0</v>
      </c>
      <c r="L401" s="22" t="str">
        <f t="shared" si="124"/>
        <v/>
      </c>
      <c r="M401" s="11"/>
      <c r="N401" s="1" t="str">
        <f t="shared" si="133"/>
        <v/>
      </c>
      <c r="O401" s="1" t="n">
        <f t="shared" si="132"/>
        <v>1.0</v>
      </c>
    </row>
    <row r="402" spans="2:15" ht="15.75" customHeight="1">
      <c r="B402" s="108"/>
      <c r="C402" s="58" t="str">
        <f t="shared" si="127"/>
        <v>夜間対応型訪問介護</v>
      </c>
      <c r="D402" s="166"/>
      <c r="E402" s="23" t="s">
        <v>49</v>
      </c>
      <c r="F402" s="24" t="n">
        <f>SUM(F397:F401)</f>
        <v>0.0</v>
      </c>
      <c r="G402" s="25" t="n">
        <f>SUM(G397:G401)</f>
        <v>0.0</v>
      </c>
      <c r="H402" s="29" t="s">
        <v>20</v>
      </c>
      <c r="I402" s="54" t="str">
        <f t="shared" si="123"/>
        <v>－</v>
      </c>
      <c r="J402" s="26" t="n">
        <f>IF(data!I191&lt;0,0,data!I191)</f>
        <v>0.0</v>
      </c>
      <c r="K402" s="26" t="n">
        <f>IF(data!J191&lt;0,0,data!J191)</f>
        <v>301900.0</v>
      </c>
      <c r="L402" s="27" t="str">
        <f t="shared" si="124"/>
        <v/>
      </c>
      <c r="M402" s="11"/>
      <c r="N402" s="1" t="str">
        <f t="shared" si="133"/>
        <v/>
      </c>
    </row>
    <row r="403" spans="2:15" ht="15.75" customHeight="1">
      <c r="B403" s="108"/>
      <c r="C403" s="58" t="str">
        <f t="shared" si="127"/>
        <v>夜間対応型訪問介護</v>
      </c>
      <c r="D403" s="165" t="s">
        <v>415</v>
      </c>
      <c r="E403" s="15" t="s">
        <v>44</v>
      </c>
      <c r="F403" s="35" t="n">
        <v>0.0</v>
      </c>
      <c r="G403" s="36" t="n">
        <v>0.0</v>
      </c>
      <c r="H403" s="86" t="s">
        <v>20</v>
      </c>
      <c r="I403" s="52" t="str">
        <f t="shared" si="123"/>
        <v>－</v>
      </c>
      <c r="J403" s="16" t="n">
        <f t="shared" ref="J403:K414" si="134">J397</f>
        <v>0.0</v>
      </c>
      <c r="K403" s="16" t="n">
        <f t="shared" si="134"/>
        <v>51085.0</v>
      </c>
      <c r="L403" s="17" t="str">
        <f t="shared" si="124"/>
        <v/>
      </c>
      <c r="M403" s="11"/>
      <c r="N403" s="1" t="str">
        <f t="shared" si="133"/>
        <v/>
      </c>
      <c r="O403" s="1" t="n">
        <f t="shared" ref="O403:O407" si="135">IF(OR(AND(F403="",G403="",H403="－"),AND(F403="",G403="",H403="")),"",1)</f>
        <v>1.0</v>
      </c>
    </row>
    <row r="404" spans="2:15" ht="15.75" customHeight="1">
      <c r="B404" s="108"/>
      <c r="C404" s="58" t="str">
        <f t="shared" si="127"/>
        <v>夜間対応型訪問介護</v>
      </c>
      <c r="D404" s="165"/>
      <c r="E404" s="18" t="s">
        <v>45</v>
      </c>
      <c r="F404" s="39" t="n">
        <v>0.0</v>
      </c>
      <c r="G404" s="40" t="n">
        <v>0.0</v>
      </c>
      <c r="H404" s="87" t="s">
        <v>20</v>
      </c>
      <c r="I404" s="53" t="str">
        <f t="shared" si="123"/>
        <v>－</v>
      </c>
      <c r="J404" s="21" t="n">
        <f t="shared" si="134"/>
        <v>0.0</v>
      </c>
      <c r="K404" s="21" t="n">
        <f t="shared" si="134"/>
        <v>55545.0</v>
      </c>
      <c r="L404" s="22" t="str">
        <f t="shared" si="124"/>
        <v/>
      </c>
      <c r="M404" s="11"/>
      <c r="N404" s="1" t="str">
        <f t="shared" si="133"/>
        <v/>
      </c>
      <c r="O404" s="1" t="n">
        <f t="shared" si="135"/>
        <v>1.0</v>
      </c>
    </row>
    <row r="405" spans="2:15" ht="15.75" customHeight="1">
      <c r="B405" s="108"/>
      <c r="C405" s="58" t="str">
        <f t="shared" si="127"/>
        <v>夜間対応型訪問介護</v>
      </c>
      <c r="D405" s="165"/>
      <c r="E405" s="18" t="s">
        <v>46</v>
      </c>
      <c r="F405" s="39" t="n">
        <v>0.0</v>
      </c>
      <c r="G405" s="40" t="n">
        <v>0.0</v>
      </c>
      <c r="H405" s="87" t="s">
        <v>20</v>
      </c>
      <c r="I405" s="53" t="str">
        <f t="shared" si="123"/>
        <v>－</v>
      </c>
      <c r="J405" s="21" t="n">
        <f t="shared" si="134"/>
        <v>0.0</v>
      </c>
      <c r="K405" s="21" t="n">
        <f t="shared" si="134"/>
        <v>82375.0</v>
      </c>
      <c r="L405" s="22" t="str">
        <f t="shared" si="124"/>
        <v/>
      </c>
      <c r="M405" s="11"/>
      <c r="N405" s="1" t="str">
        <f t="shared" si="133"/>
        <v/>
      </c>
      <c r="O405" s="1" t="n">
        <f t="shared" si="135"/>
        <v>1.0</v>
      </c>
    </row>
    <row r="406" spans="2:15" ht="15.75" customHeight="1">
      <c r="B406" s="108"/>
      <c r="C406" s="58" t="str">
        <f t="shared" si="127"/>
        <v>夜間対応型訪問介護</v>
      </c>
      <c r="D406" s="165"/>
      <c r="E406" s="18" t="s">
        <v>47</v>
      </c>
      <c r="F406" s="39" t="n">
        <v>0.0</v>
      </c>
      <c r="G406" s="40" t="n">
        <v>0.0</v>
      </c>
      <c r="H406" s="87" t="s">
        <v>20</v>
      </c>
      <c r="I406" s="53" t="str">
        <f t="shared" si="123"/>
        <v>－</v>
      </c>
      <c r="J406" s="21" t="n">
        <f t="shared" si="134"/>
        <v>0.0</v>
      </c>
      <c r="K406" s="21" t="n">
        <f t="shared" si="134"/>
        <v>165660.0</v>
      </c>
      <c r="L406" s="22" t="str">
        <f t="shared" si="124"/>
        <v/>
      </c>
      <c r="M406" s="11"/>
      <c r="N406" s="1" t="str">
        <f t="shared" si="133"/>
        <v/>
      </c>
      <c r="O406" s="1" t="n">
        <f t="shared" si="135"/>
        <v>1.0</v>
      </c>
    </row>
    <row r="407" spans="2:15" ht="15.75" customHeight="1">
      <c r="B407" s="108"/>
      <c r="C407" s="58" t="str">
        <f t="shared" si="127"/>
        <v>夜間対応型訪問介護</v>
      </c>
      <c r="D407" s="165"/>
      <c r="E407" s="18" t="s">
        <v>48</v>
      </c>
      <c r="F407" s="39" t="n">
        <v>0.0</v>
      </c>
      <c r="G407" s="40" t="n">
        <v>0.0</v>
      </c>
      <c r="H407" s="87" t="s">
        <v>20</v>
      </c>
      <c r="I407" s="53" t="str">
        <f t="shared" si="123"/>
        <v>－</v>
      </c>
      <c r="J407" s="21" t="n">
        <f t="shared" si="134"/>
        <v>0.0</v>
      </c>
      <c r="K407" s="21" t="n">
        <f t="shared" si="134"/>
        <v>182710.0</v>
      </c>
      <c r="L407" s="22" t="str">
        <f t="shared" si="124"/>
        <v/>
      </c>
      <c r="M407" s="11"/>
      <c r="N407" s="1" t="str">
        <f t="shared" si="133"/>
        <v/>
      </c>
      <c r="O407" s="1" t="n">
        <f t="shared" si="135"/>
        <v>1.0</v>
      </c>
    </row>
    <row r="408" spans="2:15" ht="15.75" customHeight="1">
      <c r="B408" s="108"/>
      <c r="C408" s="58" t="str">
        <f t="shared" si="127"/>
        <v>夜間対応型訪問介護</v>
      </c>
      <c r="D408" s="166"/>
      <c r="E408" s="23" t="s">
        <v>49</v>
      </c>
      <c r="F408" s="24" t="n">
        <f>SUM(F403:F407)</f>
        <v>0.0</v>
      </c>
      <c r="G408" s="25" t="n">
        <f>SUM(G403:G407)</f>
        <v>0.0</v>
      </c>
      <c r="H408" s="29" t="s">
        <v>20</v>
      </c>
      <c r="I408" s="54" t="str">
        <f t="shared" si="123"/>
        <v>－</v>
      </c>
      <c r="J408" s="21" t="n">
        <f t="shared" si="134"/>
        <v>0.0</v>
      </c>
      <c r="K408" s="21" t="n">
        <f t="shared" si="134"/>
        <v>301900.0</v>
      </c>
      <c r="L408" s="27" t="str">
        <f t="shared" si="124"/>
        <v/>
      </c>
      <c r="M408" s="11"/>
      <c r="N408" s="1" t="str">
        <f t="shared" si="133"/>
        <v/>
      </c>
    </row>
    <row r="409" spans="2:15" ht="15.75" customHeight="1">
      <c r="B409" s="108"/>
      <c r="C409" s="58" t="str">
        <f t="shared" si="127"/>
        <v>夜間対応型訪問介護</v>
      </c>
      <c r="D409" s="165" t="s">
        <v>414</v>
      </c>
      <c r="E409" s="15" t="s">
        <v>44</v>
      </c>
      <c r="F409" s="35" t="n">
        <v>0.0</v>
      </c>
      <c r="G409" s="36" t="n">
        <v>0.0</v>
      </c>
      <c r="H409" s="86" t="s">
        <v>20</v>
      </c>
      <c r="I409" s="52" t="str">
        <f t="shared" si="123"/>
        <v>－</v>
      </c>
      <c r="J409" s="16" t="n">
        <f t="shared" si="134"/>
        <v>0.0</v>
      </c>
      <c r="K409" s="16" t="n">
        <f t="shared" si="134"/>
        <v>51085.0</v>
      </c>
      <c r="L409" s="17" t="str">
        <f t="shared" si="124"/>
        <v/>
      </c>
      <c r="M409" s="11"/>
      <c r="N409" s="1" t="str">
        <f t="shared" si="133"/>
        <v/>
      </c>
      <c r="O409" s="1" t="n">
        <f t="shared" ref="O409:O413" si="136">IF(OR(AND(F409="",G409="",H409="－"),AND(F409="",G409="",H409="")),"",1)</f>
        <v>1.0</v>
      </c>
    </row>
    <row r="410" spans="2:15" ht="15.75" customHeight="1">
      <c r="B410" s="108"/>
      <c r="C410" s="58" t="str">
        <f t="shared" si="127"/>
        <v>夜間対応型訪問介護</v>
      </c>
      <c r="D410" s="165"/>
      <c r="E410" s="18" t="s">
        <v>45</v>
      </c>
      <c r="F410" s="39" t="n">
        <v>0.0</v>
      </c>
      <c r="G410" s="40" t="n">
        <v>0.0</v>
      </c>
      <c r="H410" s="87" t="s">
        <v>20</v>
      </c>
      <c r="I410" s="53" t="str">
        <f t="shared" si="123"/>
        <v>－</v>
      </c>
      <c r="J410" s="21" t="n">
        <f t="shared" si="134"/>
        <v>0.0</v>
      </c>
      <c r="K410" s="21" t="n">
        <f t="shared" si="134"/>
        <v>55545.0</v>
      </c>
      <c r="L410" s="22" t="str">
        <f t="shared" si="124"/>
        <v/>
      </c>
      <c r="M410" s="11"/>
      <c r="N410" s="1" t="str">
        <f t="shared" si="133"/>
        <v/>
      </c>
      <c r="O410" s="1" t="n">
        <f t="shared" si="136"/>
        <v>1.0</v>
      </c>
    </row>
    <row r="411" spans="2:15" ht="15.75" customHeight="1">
      <c r="B411" s="108"/>
      <c r="C411" s="58" t="str">
        <f t="shared" si="127"/>
        <v>夜間対応型訪問介護</v>
      </c>
      <c r="D411" s="165"/>
      <c r="E411" s="18" t="s">
        <v>46</v>
      </c>
      <c r="F411" s="39" t="n">
        <v>0.0</v>
      </c>
      <c r="G411" s="40" t="n">
        <v>0.0</v>
      </c>
      <c r="H411" s="87" t="s">
        <v>20</v>
      </c>
      <c r="I411" s="53" t="str">
        <f t="shared" si="123"/>
        <v>－</v>
      </c>
      <c r="J411" s="21" t="n">
        <f t="shared" si="134"/>
        <v>0.0</v>
      </c>
      <c r="K411" s="21" t="n">
        <f t="shared" si="134"/>
        <v>82375.0</v>
      </c>
      <c r="L411" s="22" t="str">
        <f t="shared" si="124"/>
        <v/>
      </c>
      <c r="M411" s="11"/>
      <c r="N411" s="1" t="str">
        <f t="shared" si="133"/>
        <v/>
      </c>
      <c r="O411" s="1" t="n">
        <f t="shared" si="136"/>
        <v>1.0</v>
      </c>
    </row>
    <row r="412" spans="2:15" ht="15.75" customHeight="1">
      <c r="B412" s="108"/>
      <c r="C412" s="58" t="str">
        <f t="shared" si="127"/>
        <v>夜間対応型訪問介護</v>
      </c>
      <c r="D412" s="165"/>
      <c r="E412" s="18" t="s">
        <v>47</v>
      </c>
      <c r="F412" s="39" t="n">
        <v>0.0</v>
      </c>
      <c r="G412" s="40" t="n">
        <v>0.0</v>
      </c>
      <c r="H412" s="87" t="s">
        <v>20</v>
      </c>
      <c r="I412" s="53" t="str">
        <f t="shared" si="123"/>
        <v>－</v>
      </c>
      <c r="J412" s="21" t="n">
        <f t="shared" si="134"/>
        <v>0.0</v>
      </c>
      <c r="K412" s="21" t="n">
        <f t="shared" si="134"/>
        <v>165660.0</v>
      </c>
      <c r="L412" s="22" t="str">
        <f t="shared" si="124"/>
        <v/>
      </c>
      <c r="M412" s="11"/>
      <c r="N412" s="1" t="str">
        <f t="shared" si="133"/>
        <v/>
      </c>
      <c r="O412" s="1" t="n">
        <f t="shared" si="136"/>
        <v>1.0</v>
      </c>
    </row>
    <row r="413" spans="2:15" ht="15.75" customHeight="1">
      <c r="B413" s="108"/>
      <c r="C413" s="58" t="str">
        <f t="shared" si="127"/>
        <v>夜間対応型訪問介護</v>
      </c>
      <c r="D413" s="165"/>
      <c r="E413" s="18" t="s">
        <v>48</v>
      </c>
      <c r="F413" s="39" t="n">
        <v>0.0</v>
      </c>
      <c r="G413" s="40" t="n">
        <v>0.0</v>
      </c>
      <c r="H413" s="87" t="s">
        <v>20</v>
      </c>
      <c r="I413" s="53" t="str">
        <f t="shared" si="123"/>
        <v>－</v>
      </c>
      <c r="J413" s="21" t="n">
        <f t="shared" si="134"/>
        <v>0.0</v>
      </c>
      <c r="K413" s="21" t="n">
        <f t="shared" si="134"/>
        <v>182710.0</v>
      </c>
      <c r="L413" s="22" t="str">
        <f t="shared" si="124"/>
        <v/>
      </c>
      <c r="M413" s="11"/>
      <c r="N413" s="1" t="str">
        <f t="shared" si="133"/>
        <v/>
      </c>
      <c r="O413" s="1" t="n">
        <f t="shared" si="136"/>
        <v>1.0</v>
      </c>
    </row>
    <row r="414" spans="2:15" ht="15.75" customHeight="1">
      <c r="B414" s="109"/>
      <c r="C414" s="58" t="str">
        <f t="shared" si="127"/>
        <v>夜間対応型訪問介護</v>
      </c>
      <c r="D414" s="166"/>
      <c r="E414" s="23" t="s">
        <v>49</v>
      </c>
      <c r="F414" s="24" t="n">
        <f>SUM(F409:F413)</f>
        <v>0.0</v>
      </c>
      <c r="G414" s="28" t="n">
        <f>SUM(G409:G413)</f>
        <v>0.0</v>
      </c>
      <c r="H414" s="29" t="s">
        <v>20</v>
      </c>
      <c r="I414" s="54" t="str">
        <f t="shared" si="123"/>
        <v>－</v>
      </c>
      <c r="J414" s="21" t="n">
        <f t="shared" si="134"/>
        <v>0.0</v>
      </c>
      <c r="K414" s="21" t="n">
        <f t="shared" si="134"/>
        <v>301900.0</v>
      </c>
      <c r="L414" s="27" t="str">
        <f t="shared" si="124"/>
        <v/>
      </c>
      <c r="M414" s="11"/>
      <c r="N414" s="1" t="str">
        <f t="shared" si="133"/>
        <v/>
      </c>
    </row>
    <row r="415" spans="2:15" ht="15.75" customHeight="1">
      <c r="B415" s="107">
        <v>19</v>
      </c>
      <c r="C415" s="7" t="s">
        <v>102</v>
      </c>
      <c r="D415" s="164" t="s">
        <v>416</v>
      </c>
      <c r="E415" s="15" t="s">
        <v>44</v>
      </c>
      <c r="F415" s="35" t="n">
        <v>0.0</v>
      </c>
      <c r="G415" s="36" t="n">
        <v>0.0</v>
      </c>
      <c r="H415" s="41" t="n">
        <v>0.0</v>
      </c>
      <c r="I415" s="52" t="str">
        <f t="shared" ref="I415:I432" si="137">IF(H415="－",IF(ISERROR(F415/G415/12)=TRUE,"－",F415/G415/12),IF(ISERROR(F415/G415/H415/12)=TRUE,"－",F415/G415/H415/12))</f>
        <v>－</v>
      </c>
      <c r="J415" s="56" t="n">
        <f>IF(data!I192&lt;0,0,data!I192)</f>
        <v>4235.0</v>
      </c>
      <c r="K415" s="56" t="n">
        <f>IF(data!J192&lt;0,0,data!J192)</f>
        <v>9325.0</v>
      </c>
      <c r="L415" s="17" t="str">
        <f t="shared" si="124"/>
        <v/>
      </c>
      <c r="M415" s="11"/>
      <c r="N415" s="1" t="str">
        <f>IF(OR(I415="－",AND(J415="－",K415="－")),"",IF(OR(I415&lt;J415,I415&gt;K415),1,""))</f>
        <v/>
      </c>
      <c r="O415" s="1" t="n">
        <f t="shared" ref="O415:O419" si="138">IF(OR(AND(F415="",G415="",H415="－"),AND(F415="",G415="",H415="")),"",1)</f>
        <v>1.0</v>
      </c>
    </row>
    <row r="416" spans="2:15" ht="15.75" customHeight="1">
      <c r="B416" s="108"/>
      <c r="C416" s="58" t="str">
        <f t="shared" ref="C416:C432" si="139">C415</f>
        <v>地域密着型通所介護</v>
      </c>
      <c r="D416" s="165"/>
      <c r="E416" s="18" t="s">
        <v>45</v>
      </c>
      <c r="F416" s="39" t="n">
        <v>0.0</v>
      </c>
      <c r="G416" s="40" t="n">
        <v>0.0</v>
      </c>
      <c r="H416" s="42" t="n">
        <v>0.0</v>
      </c>
      <c r="I416" s="53" t="str">
        <f t="shared" si="137"/>
        <v>－</v>
      </c>
      <c r="J416" s="57" t="n">
        <f>IF(data!I193&lt;0,0,data!I193)</f>
        <v>5285.0</v>
      </c>
      <c r="K416" s="57" t="n">
        <f>IF(data!J193&lt;0,0,data!J193)</f>
        <v>10645.0</v>
      </c>
      <c r="L416" s="22" t="str">
        <f t="shared" si="124"/>
        <v/>
      </c>
      <c r="M416" s="11"/>
      <c r="N416" s="1" t="str">
        <f>IF(OR(I416="－",AND(J416="－",K416="－")),"",IF(OR(I416&lt;J416,I416&gt;K416),1,""))</f>
        <v/>
      </c>
      <c r="O416" s="1" t="n">
        <f t="shared" si="138"/>
        <v>1.0</v>
      </c>
    </row>
    <row r="417" spans="2:15" ht="15.75" customHeight="1">
      <c r="B417" s="108"/>
      <c r="C417" s="58" t="str">
        <f t="shared" si="139"/>
        <v>地域密着型通所介護</v>
      </c>
      <c r="D417" s="165"/>
      <c r="E417" s="18" t="s">
        <v>46</v>
      </c>
      <c r="F417" s="39" t="n">
        <v>0.0</v>
      </c>
      <c r="G417" s="40" t="n">
        <v>0.0</v>
      </c>
      <c r="H417" s="42" t="n">
        <v>0.0</v>
      </c>
      <c r="I417" s="53" t="str">
        <f t="shared" si="137"/>
        <v>－</v>
      </c>
      <c r="J417" s="57" t="n">
        <f>IF(data!I194&lt;0,0,data!I194)</f>
        <v>7025.0</v>
      </c>
      <c r="K417" s="57" t="n">
        <f>IF(data!J194&lt;0,0,data!J194)</f>
        <v>11830.0</v>
      </c>
      <c r="L417" s="22" t="str">
        <f t="shared" si="124"/>
        <v/>
      </c>
      <c r="M417" s="11"/>
      <c r="N417" s="1" t="str">
        <f t="shared" ref="N417:N432" si="140">IF(OR(I417="－",AND(J417="－",K417="－")),"",IF(OR(I417&lt;J417,I417&gt;K417),1,""))</f>
        <v/>
      </c>
      <c r="O417" s="1" t="n">
        <f t="shared" si="138"/>
        <v>1.0</v>
      </c>
    </row>
    <row r="418" spans="2:15" ht="15.75" customHeight="1">
      <c r="B418" s="108"/>
      <c r="C418" s="58" t="str">
        <f t="shared" si="139"/>
        <v>地域密着型通所介護</v>
      </c>
      <c r="D418" s="165"/>
      <c r="E418" s="18" t="s">
        <v>47</v>
      </c>
      <c r="F418" s="39" t="n">
        <v>0.0</v>
      </c>
      <c r="G418" s="40" t="n">
        <v>0.0</v>
      </c>
      <c r="H418" s="42" t="n">
        <v>0.0</v>
      </c>
      <c r="I418" s="53" t="str">
        <f t="shared" si="137"/>
        <v>－</v>
      </c>
      <c r="J418" s="57" t="n">
        <f>IF(data!I195&lt;0,0,data!I195)</f>
        <v>7570.0</v>
      </c>
      <c r="K418" s="57" t="n">
        <f>IF(data!J195&lt;0,0,data!J195)</f>
        <v>13650.0</v>
      </c>
      <c r="L418" s="22" t="str">
        <f t="shared" si="124"/>
        <v/>
      </c>
      <c r="M418" s="11"/>
      <c r="N418" s="1" t="str">
        <f t="shared" si="140"/>
        <v/>
      </c>
      <c r="O418" s="1" t="n">
        <f t="shared" si="138"/>
        <v>1.0</v>
      </c>
    </row>
    <row r="419" spans="2:15" ht="15.75" customHeight="1">
      <c r="B419" s="108"/>
      <c r="C419" s="58" t="str">
        <f t="shared" si="139"/>
        <v>地域密着型通所介護</v>
      </c>
      <c r="D419" s="165"/>
      <c r="E419" s="18" t="s">
        <v>48</v>
      </c>
      <c r="F419" s="39" t="n">
        <v>0.0</v>
      </c>
      <c r="G419" s="40" t="n">
        <v>0.0</v>
      </c>
      <c r="H419" s="42" t="n">
        <v>0.0</v>
      </c>
      <c r="I419" s="53" t="str">
        <f t="shared" si="137"/>
        <v>－</v>
      </c>
      <c r="J419" s="57" t="n">
        <f>IF(data!I196&lt;0,0,data!I196)</f>
        <v>8110.0</v>
      </c>
      <c r="K419" s="57" t="n">
        <f>IF(data!J196&lt;0,0,data!J196)</f>
        <v>15650.0</v>
      </c>
      <c r="L419" s="22" t="str">
        <f t="shared" si="124"/>
        <v/>
      </c>
      <c r="M419" s="11"/>
      <c r="N419" s="1" t="str">
        <f t="shared" si="140"/>
        <v/>
      </c>
      <c r="O419" s="1" t="n">
        <f t="shared" si="138"/>
        <v>1.0</v>
      </c>
    </row>
    <row r="420" spans="2:15" ht="15.75" customHeight="1">
      <c r="B420" s="108"/>
      <c r="C420" s="58" t="str">
        <f t="shared" si="139"/>
        <v>地域密着型通所介護</v>
      </c>
      <c r="D420" s="166"/>
      <c r="E420" s="23" t="s">
        <v>49</v>
      </c>
      <c r="F420" s="24" t="n">
        <f>SUM(F415:F419)</f>
        <v>0.0</v>
      </c>
      <c r="G420" s="25" t="n">
        <f>SUM(G415:G419)</f>
        <v>0.0</v>
      </c>
      <c r="H420" s="29" t="str">
        <f>IF(ISERROR((G415*H415+G416*H416+G417*H417+G418*H418+G419*H419)/G420)=TRUE,"－",(G415*H415+G416*H416+G417*H417+G418*H418+G419*H419)/G420)</f>
        <v>－</v>
      </c>
      <c r="I420" s="54" t="str">
        <f t="shared" si="137"/>
        <v>－</v>
      </c>
      <c r="J420" s="99" t="n">
        <f>IF(data!I197&lt;0,0,data!I197)</f>
        <v>5540.0</v>
      </c>
      <c r="K420" s="99" t="n">
        <f>IF(data!J197&lt;0,0,data!J197)</f>
        <v>10885.0</v>
      </c>
      <c r="L420" s="27" t="str">
        <f t="shared" si="124"/>
        <v/>
      </c>
      <c r="M420" s="11"/>
      <c r="N420" s="1" t="str">
        <f t="shared" si="140"/>
        <v/>
      </c>
    </row>
    <row r="421" spans="2:15" ht="15.75" customHeight="1">
      <c r="B421" s="108"/>
      <c r="C421" s="58" t="str">
        <f t="shared" si="139"/>
        <v>地域密着型通所介護</v>
      </c>
      <c r="D421" s="165" t="s">
        <v>415</v>
      </c>
      <c r="E421" s="15" t="s">
        <v>44</v>
      </c>
      <c r="F421" s="35" t="n">
        <v>0.0</v>
      </c>
      <c r="G421" s="36" t="n">
        <v>0.0</v>
      </c>
      <c r="H421" s="41" t="n">
        <v>0.0</v>
      </c>
      <c r="I421" s="52" t="str">
        <f t="shared" si="137"/>
        <v>－</v>
      </c>
      <c r="J421" s="56" t="n">
        <f t="shared" ref="J421:K432" si="141">J415</f>
        <v>4235.0</v>
      </c>
      <c r="K421" s="56" t="n">
        <f t="shared" si="141"/>
        <v>9325.0</v>
      </c>
      <c r="L421" s="17" t="str">
        <f t="shared" si="124"/>
        <v/>
      </c>
      <c r="M421" s="11"/>
      <c r="N421" s="1" t="str">
        <f t="shared" si="140"/>
        <v/>
      </c>
      <c r="O421" s="1" t="n">
        <f t="shared" ref="O421:O425" si="142">IF(OR(AND(F421="",G421="",H421="－"),AND(F421="",G421="",H421="")),"",1)</f>
        <v>1.0</v>
      </c>
    </row>
    <row r="422" spans="2:15" ht="15.75" customHeight="1">
      <c r="B422" s="108"/>
      <c r="C422" s="58" t="str">
        <f t="shared" si="139"/>
        <v>地域密着型通所介護</v>
      </c>
      <c r="D422" s="165"/>
      <c r="E422" s="18" t="s">
        <v>45</v>
      </c>
      <c r="F422" s="39" t="n">
        <v>0.0</v>
      </c>
      <c r="G422" s="40" t="n">
        <v>0.0</v>
      </c>
      <c r="H422" s="42" t="n">
        <v>0.0</v>
      </c>
      <c r="I422" s="53" t="str">
        <f t="shared" si="137"/>
        <v>－</v>
      </c>
      <c r="J422" s="57" t="n">
        <f t="shared" si="141"/>
        <v>5285.0</v>
      </c>
      <c r="K422" s="57" t="n">
        <f t="shared" si="141"/>
        <v>10645.0</v>
      </c>
      <c r="L422" s="22" t="str">
        <f t="shared" si="124"/>
        <v/>
      </c>
      <c r="M422" s="11"/>
      <c r="N422" s="1" t="str">
        <f t="shared" si="140"/>
        <v/>
      </c>
      <c r="O422" s="1" t="n">
        <f t="shared" si="142"/>
        <v>1.0</v>
      </c>
    </row>
    <row r="423" spans="2:15" ht="15.75" customHeight="1">
      <c r="B423" s="108"/>
      <c r="C423" s="58" t="str">
        <f t="shared" si="139"/>
        <v>地域密着型通所介護</v>
      </c>
      <c r="D423" s="165"/>
      <c r="E423" s="18" t="s">
        <v>46</v>
      </c>
      <c r="F423" s="39" t="n">
        <v>0.0</v>
      </c>
      <c r="G423" s="40" t="n">
        <v>0.0</v>
      </c>
      <c r="H423" s="42" t="n">
        <v>0.0</v>
      </c>
      <c r="I423" s="53" t="str">
        <f t="shared" si="137"/>
        <v>－</v>
      </c>
      <c r="J423" s="57" t="n">
        <f t="shared" si="141"/>
        <v>7025.0</v>
      </c>
      <c r="K423" s="57" t="n">
        <f t="shared" si="141"/>
        <v>11830.0</v>
      </c>
      <c r="L423" s="22" t="str">
        <f t="shared" si="124"/>
        <v/>
      </c>
      <c r="M423" s="11"/>
      <c r="N423" s="1" t="str">
        <f t="shared" si="140"/>
        <v/>
      </c>
      <c r="O423" s="1" t="n">
        <f t="shared" si="142"/>
        <v>1.0</v>
      </c>
    </row>
    <row r="424" spans="2:15" ht="15.75" customHeight="1">
      <c r="B424" s="108"/>
      <c r="C424" s="58" t="str">
        <f t="shared" si="139"/>
        <v>地域密着型通所介護</v>
      </c>
      <c r="D424" s="165"/>
      <c r="E424" s="18" t="s">
        <v>47</v>
      </c>
      <c r="F424" s="39" t="n">
        <v>0.0</v>
      </c>
      <c r="G424" s="40" t="n">
        <v>0.0</v>
      </c>
      <c r="H424" s="42" t="n">
        <v>0.0</v>
      </c>
      <c r="I424" s="53" t="str">
        <f t="shared" si="137"/>
        <v>－</v>
      </c>
      <c r="J424" s="57" t="n">
        <f t="shared" si="141"/>
        <v>7570.0</v>
      </c>
      <c r="K424" s="57" t="n">
        <f t="shared" si="141"/>
        <v>13650.0</v>
      </c>
      <c r="L424" s="22" t="str">
        <f t="shared" si="124"/>
        <v/>
      </c>
      <c r="M424" s="11"/>
      <c r="N424" s="1" t="str">
        <f t="shared" si="140"/>
        <v/>
      </c>
      <c r="O424" s="1" t="n">
        <f t="shared" si="142"/>
        <v>1.0</v>
      </c>
    </row>
    <row r="425" spans="2:15" ht="15.75" customHeight="1">
      <c r="B425" s="108"/>
      <c r="C425" s="58" t="str">
        <f t="shared" si="139"/>
        <v>地域密着型通所介護</v>
      </c>
      <c r="D425" s="165"/>
      <c r="E425" s="18" t="s">
        <v>48</v>
      </c>
      <c r="F425" s="39" t="n">
        <v>0.0</v>
      </c>
      <c r="G425" s="40" t="n">
        <v>0.0</v>
      </c>
      <c r="H425" s="42" t="n">
        <v>0.0</v>
      </c>
      <c r="I425" s="53" t="str">
        <f t="shared" si="137"/>
        <v>－</v>
      </c>
      <c r="J425" s="57" t="n">
        <f t="shared" si="141"/>
        <v>8110.0</v>
      </c>
      <c r="K425" s="57" t="n">
        <f t="shared" si="141"/>
        <v>15650.0</v>
      </c>
      <c r="L425" s="22" t="str">
        <f t="shared" si="124"/>
        <v/>
      </c>
      <c r="M425" s="11"/>
      <c r="N425" s="1" t="str">
        <f t="shared" si="140"/>
        <v/>
      </c>
      <c r="O425" s="1" t="n">
        <f t="shared" si="142"/>
        <v>1.0</v>
      </c>
    </row>
    <row r="426" spans="2:15" ht="15.75" customHeight="1">
      <c r="B426" s="108"/>
      <c r="C426" s="58" t="str">
        <f t="shared" si="139"/>
        <v>地域密着型通所介護</v>
      </c>
      <c r="D426" s="166"/>
      <c r="E426" s="23" t="s">
        <v>49</v>
      </c>
      <c r="F426" s="24" t="n">
        <f>SUM(F421:F425)</f>
        <v>0.0</v>
      </c>
      <c r="G426" s="25" t="n">
        <f>SUM(G421:G425)</f>
        <v>0.0</v>
      </c>
      <c r="H426" s="29" t="str">
        <f>IF(ISERROR((G421*H421+G422*H422+G423*H423+G424*H424+G425*H425)/G426)=TRUE,"－",(G421*H421+G422*H422+G423*H423+G424*H424+G425*H425)/G426)</f>
        <v>－</v>
      </c>
      <c r="I426" s="54" t="str">
        <f t="shared" si="137"/>
        <v>－</v>
      </c>
      <c r="J426" s="57" t="n">
        <f t="shared" si="141"/>
        <v>5540.0</v>
      </c>
      <c r="K426" s="57" t="n">
        <f t="shared" si="141"/>
        <v>10885.0</v>
      </c>
      <c r="L426" s="27" t="str">
        <f t="shared" si="124"/>
        <v/>
      </c>
      <c r="M426" s="11"/>
      <c r="N426" s="1" t="str">
        <f t="shared" si="140"/>
        <v/>
      </c>
    </row>
    <row r="427" spans="2:15" ht="15.75" customHeight="1">
      <c r="B427" s="108"/>
      <c r="C427" s="58" t="str">
        <f t="shared" si="139"/>
        <v>地域密着型通所介護</v>
      </c>
      <c r="D427" s="165" t="s">
        <v>414</v>
      </c>
      <c r="E427" s="15" t="s">
        <v>44</v>
      </c>
      <c r="F427" s="35" t="n">
        <v>0.0</v>
      </c>
      <c r="G427" s="36" t="n">
        <v>0.0</v>
      </c>
      <c r="H427" s="41" t="n">
        <v>0.0</v>
      </c>
      <c r="I427" s="52" t="str">
        <f t="shared" si="137"/>
        <v>－</v>
      </c>
      <c r="J427" s="56" t="n">
        <f t="shared" si="141"/>
        <v>4235.0</v>
      </c>
      <c r="K427" s="56" t="n">
        <f t="shared" si="141"/>
        <v>9325.0</v>
      </c>
      <c r="L427" s="17" t="str">
        <f t="shared" si="124"/>
        <v/>
      </c>
      <c r="M427" s="11"/>
      <c r="N427" s="1" t="str">
        <f t="shared" si="140"/>
        <v/>
      </c>
      <c r="O427" s="1" t="n">
        <f t="shared" ref="O427:O431" si="143">IF(OR(AND(F427="",G427="",H427="－"),AND(F427="",G427="",H427="")),"",1)</f>
        <v>1.0</v>
      </c>
    </row>
    <row r="428" spans="2:15" ht="15.75" customHeight="1">
      <c r="B428" s="108"/>
      <c r="C428" s="58" t="str">
        <f t="shared" si="139"/>
        <v>地域密着型通所介護</v>
      </c>
      <c r="D428" s="165"/>
      <c r="E428" s="18" t="s">
        <v>45</v>
      </c>
      <c r="F428" s="39" t="n">
        <v>0.0</v>
      </c>
      <c r="G428" s="40" t="n">
        <v>0.0</v>
      </c>
      <c r="H428" s="42" t="n">
        <v>0.0</v>
      </c>
      <c r="I428" s="53" t="str">
        <f t="shared" si="137"/>
        <v>－</v>
      </c>
      <c r="J428" s="57" t="n">
        <f t="shared" si="141"/>
        <v>5285.0</v>
      </c>
      <c r="K428" s="57" t="n">
        <f t="shared" si="141"/>
        <v>10645.0</v>
      </c>
      <c r="L428" s="22" t="str">
        <f t="shared" si="124"/>
        <v/>
      </c>
      <c r="M428" s="11"/>
      <c r="N428" s="1" t="str">
        <f t="shared" si="140"/>
        <v/>
      </c>
      <c r="O428" s="1" t="n">
        <f t="shared" si="143"/>
        <v>1.0</v>
      </c>
    </row>
    <row r="429" spans="2:15" ht="15.75" customHeight="1">
      <c r="B429" s="108"/>
      <c r="C429" s="58" t="str">
        <f t="shared" si="139"/>
        <v>地域密着型通所介護</v>
      </c>
      <c r="D429" s="165"/>
      <c r="E429" s="18" t="s">
        <v>46</v>
      </c>
      <c r="F429" s="39" t="n">
        <v>0.0</v>
      </c>
      <c r="G429" s="40" t="n">
        <v>0.0</v>
      </c>
      <c r="H429" s="42" t="n">
        <v>0.0</v>
      </c>
      <c r="I429" s="53" t="str">
        <f t="shared" si="137"/>
        <v>－</v>
      </c>
      <c r="J429" s="57" t="n">
        <f t="shared" si="141"/>
        <v>7025.0</v>
      </c>
      <c r="K429" s="57" t="n">
        <f t="shared" si="141"/>
        <v>11830.0</v>
      </c>
      <c r="L429" s="22" t="str">
        <f t="shared" si="124"/>
        <v/>
      </c>
      <c r="M429" s="11"/>
      <c r="N429" s="1" t="str">
        <f t="shared" si="140"/>
        <v/>
      </c>
      <c r="O429" s="1" t="n">
        <f t="shared" si="143"/>
        <v>1.0</v>
      </c>
    </row>
    <row r="430" spans="2:15" ht="15.75" customHeight="1">
      <c r="B430" s="108"/>
      <c r="C430" s="58" t="str">
        <f t="shared" si="139"/>
        <v>地域密着型通所介護</v>
      </c>
      <c r="D430" s="165"/>
      <c r="E430" s="18" t="s">
        <v>47</v>
      </c>
      <c r="F430" s="39" t="n">
        <v>0.0</v>
      </c>
      <c r="G430" s="40" t="n">
        <v>0.0</v>
      </c>
      <c r="H430" s="42" t="n">
        <v>0.0</v>
      </c>
      <c r="I430" s="53" t="str">
        <f t="shared" si="137"/>
        <v>－</v>
      </c>
      <c r="J430" s="57" t="n">
        <f t="shared" si="141"/>
        <v>7570.0</v>
      </c>
      <c r="K430" s="57" t="n">
        <f t="shared" si="141"/>
        <v>13650.0</v>
      </c>
      <c r="L430" s="22" t="str">
        <f t="shared" si="124"/>
        <v/>
      </c>
      <c r="M430" s="11"/>
      <c r="N430" s="1" t="str">
        <f t="shared" si="140"/>
        <v/>
      </c>
      <c r="O430" s="1" t="n">
        <f t="shared" si="143"/>
        <v>1.0</v>
      </c>
    </row>
    <row r="431" spans="2:15" ht="15.75" customHeight="1">
      <c r="B431" s="108"/>
      <c r="C431" s="58" t="str">
        <f t="shared" si="139"/>
        <v>地域密着型通所介護</v>
      </c>
      <c r="D431" s="165"/>
      <c r="E431" s="18" t="s">
        <v>48</v>
      </c>
      <c r="F431" s="39" t="n">
        <v>0.0</v>
      </c>
      <c r="G431" s="40" t="n">
        <v>0.0</v>
      </c>
      <c r="H431" s="42" t="n">
        <v>0.0</v>
      </c>
      <c r="I431" s="53" t="str">
        <f t="shared" si="137"/>
        <v>－</v>
      </c>
      <c r="J431" s="57" t="n">
        <f t="shared" si="141"/>
        <v>8110.0</v>
      </c>
      <c r="K431" s="57" t="n">
        <f t="shared" si="141"/>
        <v>15650.0</v>
      </c>
      <c r="L431" s="22" t="str">
        <f t="shared" si="124"/>
        <v/>
      </c>
      <c r="M431" s="11"/>
      <c r="N431" s="1" t="str">
        <f t="shared" si="140"/>
        <v/>
      </c>
      <c r="O431" s="1" t="n">
        <f t="shared" si="143"/>
        <v>1.0</v>
      </c>
    </row>
    <row r="432" spans="2:15" ht="15.75" customHeight="1">
      <c r="B432" s="109"/>
      <c r="C432" s="59" t="str">
        <f t="shared" si="139"/>
        <v>地域密着型通所介護</v>
      </c>
      <c r="D432" s="166"/>
      <c r="E432" s="23" t="s">
        <v>49</v>
      </c>
      <c r="F432" s="24" t="n">
        <f>SUM(F427:F431)</f>
        <v>0.0</v>
      </c>
      <c r="G432" s="25" t="n">
        <f>SUM(G427:G431)</f>
        <v>0.0</v>
      </c>
      <c r="H432" s="29" t="str">
        <f>IF(ISERROR((G427*H427+G428*H428+G429*H429+G430*H430+G431*H431)/G432)=TRUE,"－",(G427*H427+G428*H428+G429*H429+G430*H430+G431*H431)/G432)</f>
        <v>－</v>
      </c>
      <c r="I432" s="54" t="str">
        <f t="shared" si="137"/>
        <v>－</v>
      </c>
      <c r="J432" s="99" t="n">
        <f t="shared" si="141"/>
        <v>5540.0</v>
      </c>
      <c r="K432" s="99" t="n">
        <f t="shared" si="141"/>
        <v>10885.0</v>
      </c>
      <c r="L432" s="27" t="str">
        <f t="shared" si="124"/>
        <v/>
      </c>
      <c r="M432" s="11"/>
      <c r="N432" s="1" t="str">
        <f t="shared" si="140"/>
        <v/>
      </c>
    </row>
    <row r="433" spans="2:15" ht="15.75" customHeight="1">
      <c r="B433" s="107">
        <v>20</v>
      </c>
      <c r="C433" s="7" t="s">
        <v>56</v>
      </c>
      <c r="D433" s="164" t="s">
        <v>416</v>
      </c>
      <c r="E433" s="15" t="s">
        <v>50</v>
      </c>
      <c r="F433" s="35" t="n">
        <v>0.0</v>
      </c>
      <c r="G433" s="36" t="n">
        <v>0.0</v>
      </c>
      <c r="H433" s="41" t="n">
        <v>0.0</v>
      </c>
      <c r="I433" s="52" t="str">
        <f t="shared" si="123"/>
        <v>－</v>
      </c>
      <c r="J433" s="16" t="n">
        <f>IF(data!I198&lt;0,0,data!I198)</f>
        <v>2900.0</v>
      </c>
      <c r="K433" s="16" t="n">
        <f>IF(data!J198&lt;0,0,data!J198)</f>
        <v>13415.0</v>
      </c>
      <c r="L433" s="32" t="str">
        <f t="shared" si="124"/>
        <v/>
      </c>
      <c r="M433" s="11"/>
      <c r="N433" s="1" t="str">
        <f t="shared" si="133"/>
        <v/>
      </c>
      <c r="O433" s="1" t="n">
        <f t="shared" ref="O433:O439" si="144">IF(OR(AND(F433="",G433="",H433="－"),AND(F433="",G433="",H433="")),"",1)</f>
        <v>1.0</v>
      </c>
    </row>
    <row r="434" spans="2:15" ht="15.75" customHeight="1">
      <c r="B434" s="108"/>
      <c r="C434" s="58" t="str">
        <f t="shared" ref="C434:C456" si="145">C433</f>
        <v>認知症対応型通所介護</v>
      </c>
      <c r="D434" s="165"/>
      <c r="E434" s="30" t="s">
        <v>51</v>
      </c>
      <c r="F434" s="37" t="n">
        <v>0.0</v>
      </c>
      <c r="G434" s="38" t="n">
        <v>0.0</v>
      </c>
      <c r="H434" s="43" t="n">
        <v>0.0</v>
      </c>
      <c r="I434" s="55" t="str">
        <f t="shared" si="123"/>
        <v>－</v>
      </c>
      <c r="J434" s="31" t="n">
        <f>IF(data!I199&lt;0,0,data!I199)</f>
        <v>5650.0</v>
      </c>
      <c r="K434" s="31" t="n">
        <f>IF(data!J199&lt;0,0,data!J199)</f>
        <v>12875.0</v>
      </c>
      <c r="L434" s="33" t="str">
        <f t="shared" si="124"/>
        <v/>
      </c>
      <c r="M434" s="11"/>
      <c r="N434" s="1" t="str">
        <f t="shared" si="133"/>
        <v/>
      </c>
      <c r="O434" s="1" t="n">
        <f t="shared" si="144"/>
        <v>1.0</v>
      </c>
    </row>
    <row r="435" spans="2:15" ht="15.75" customHeight="1">
      <c r="B435" s="108"/>
      <c r="C435" s="58" t="str">
        <f t="shared" si="145"/>
        <v>認知症対応型通所介護</v>
      </c>
      <c r="D435" s="165"/>
      <c r="E435" s="18" t="s">
        <v>44</v>
      </c>
      <c r="F435" s="39" t="n">
        <v>0.0</v>
      </c>
      <c r="G435" s="40" t="n">
        <v>0.0</v>
      </c>
      <c r="H435" s="42" t="n">
        <v>0.0</v>
      </c>
      <c r="I435" s="53" t="str">
        <f t="shared" si="123"/>
        <v>－</v>
      </c>
      <c r="J435" s="21" t="n">
        <f>IF(data!I200&lt;0,0,data!I200)</f>
        <v>5765.0</v>
      </c>
      <c r="K435" s="21" t="n">
        <f>IF(data!J200&lt;0,0,data!J200)</f>
        <v>13200.0</v>
      </c>
      <c r="L435" s="22" t="str">
        <f t="shared" si="124"/>
        <v/>
      </c>
      <c r="M435" s="11"/>
      <c r="N435" s="1" t="str">
        <f t="shared" si="133"/>
        <v/>
      </c>
      <c r="O435" s="1" t="n">
        <f t="shared" si="144"/>
        <v>1.0</v>
      </c>
    </row>
    <row r="436" spans="2:15" ht="15.75" customHeight="1">
      <c r="B436" s="108"/>
      <c r="C436" s="58" t="str">
        <f t="shared" si="145"/>
        <v>認知症対応型通所介護</v>
      </c>
      <c r="D436" s="165"/>
      <c r="E436" s="18" t="s">
        <v>45</v>
      </c>
      <c r="F436" s="39" t="n">
        <v>1057161.6</v>
      </c>
      <c r="G436" s="40" t="n">
        <v>1.0</v>
      </c>
      <c r="H436" s="42" t="n">
        <v>8.8</v>
      </c>
      <c r="I436" s="53" t="n">
        <f t="shared" si="123"/>
        <v>10011.0</v>
      </c>
      <c r="J436" s="21" t="n">
        <f>IF(data!I201&lt;0,0,data!I201)</f>
        <v>5935.0</v>
      </c>
      <c r="K436" s="21" t="n">
        <f>IF(data!J201&lt;0,0,data!J201)</f>
        <v>14780.0</v>
      </c>
      <c r="L436" s="22" t="str">
        <f t="shared" si="124"/>
        <v>閾値の範囲内です。</v>
      </c>
      <c r="M436" s="11"/>
      <c r="N436" s="1" t="str">
        <f t="shared" si="133"/>
        <v/>
      </c>
      <c r="O436" s="1" t="n">
        <f t="shared" si="144"/>
        <v>1.0</v>
      </c>
    </row>
    <row r="437" spans="2:15" ht="15.75" customHeight="1">
      <c r="B437" s="108"/>
      <c r="C437" s="58" t="str">
        <f t="shared" si="145"/>
        <v>認知症対応型通所介護</v>
      </c>
      <c r="D437" s="165"/>
      <c r="E437" s="18" t="s">
        <v>46</v>
      </c>
      <c r="F437" s="39" t="n">
        <v>1.6476372E7</v>
      </c>
      <c r="G437" s="40" t="n">
        <v>11.0</v>
      </c>
      <c r="H437" s="42" t="n">
        <v>11.5</v>
      </c>
      <c r="I437" s="53" t="n">
        <f t="shared" si="123"/>
        <v>10854.0</v>
      </c>
      <c r="J437" s="21" t="n">
        <f>IF(data!I202&lt;0,0,data!I202)</f>
        <v>6790.0</v>
      </c>
      <c r="K437" s="21" t="n">
        <f>IF(data!J202&lt;0,0,data!J202)</f>
        <v>16110.0</v>
      </c>
      <c r="L437" s="22" t="str">
        <f t="shared" si="124"/>
        <v>閾値の範囲内です。</v>
      </c>
      <c r="M437" s="11"/>
      <c r="N437" s="1" t="str">
        <f t="shared" si="133"/>
        <v/>
      </c>
      <c r="O437" s="1" t="n">
        <f t="shared" si="144"/>
        <v>1.0</v>
      </c>
    </row>
    <row r="438" spans="2:15" ht="15.75" customHeight="1">
      <c r="B438" s="108"/>
      <c r="C438" s="58" t="str">
        <f t="shared" si="145"/>
        <v>認知症対応型通所介護</v>
      </c>
      <c r="D438" s="165"/>
      <c r="E438" s="18" t="s">
        <v>47</v>
      </c>
      <c r="F438" s="39" t="n">
        <v>3221092.8</v>
      </c>
      <c r="G438" s="40" t="n">
        <v>3.0</v>
      </c>
      <c r="H438" s="42" t="n">
        <v>7.6</v>
      </c>
      <c r="I438" s="53" t="n">
        <f t="shared" ref="I438:I456" si="146">IF(H438="－",IF(ISERROR(F438/G438/12)=TRUE,"－",F438/G438/12),IF(ISERROR(F438/G438/H438/12)=TRUE,"－",F438/G438/H438/12))</f>
        <v>11773.0</v>
      </c>
      <c r="J438" s="21" t="n">
        <f>IF(data!I203&lt;0,0,data!I203)</f>
        <v>7715.0</v>
      </c>
      <c r="K438" s="21" t="n">
        <f>IF(data!J203&lt;0,0,data!J203)</f>
        <v>17350.0</v>
      </c>
      <c r="L438" s="22" t="str">
        <f t="shared" si="124"/>
        <v>閾値の範囲内です。</v>
      </c>
      <c r="M438" s="11"/>
      <c r="N438" s="1" t="str">
        <f t="shared" si="133"/>
        <v/>
      </c>
      <c r="O438" s="1" t="n">
        <f t="shared" si="144"/>
        <v>1.0</v>
      </c>
    </row>
    <row r="439" spans="2:15" ht="15.75" customHeight="1">
      <c r="B439" s="108"/>
      <c r="C439" s="58" t="str">
        <f t="shared" si="145"/>
        <v>認知症対応型通所介護</v>
      </c>
      <c r="D439" s="165"/>
      <c r="E439" s="18" t="s">
        <v>48</v>
      </c>
      <c r="F439" s="39" t="n">
        <v>0.0</v>
      </c>
      <c r="G439" s="40" t="n">
        <v>0.0</v>
      </c>
      <c r="H439" s="42" t="n">
        <v>7.4</v>
      </c>
      <c r="I439" s="53" t="str">
        <f t="shared" si="146"/>
        <v>－</v>
      </c>
      <c r="J439" s="21" t="n">
        <f>IF(data!I204&lt;0,0,data!I204)</f>
        <v>8655.0</v>
      </c>
      <c r="K439" s="21" t="n">
        <f>IF(data!J204&lt;0,0,data!J204)</f>
        <v>18445.0</v>
      </c>
      <c r="L439" s="22" t="str">
        <f t="shared" si="124"/>
        <v/>
      </c>
      <c r="M439" s="11"/>
      <c r="N439" s="1" t="str">
        <f t="shared" si="133"/>
        <v/>
      </c>
      <c r="O439" s="1" t="n">
        <f t="shared" si="144"/>
        <v>1.0</v>
      </c>
    </row>
    <row r="440" spans="2:15" ht="15.75" customHeight="1">
      <c r="B440" s="108"/>
      <c r="C440" s="58" t="str">
        <f t="shared" si="145"/>
        <v>認知症対応型通所介護</v>
      </c>
      <c r="D440" s="166"/>
      <c r="E440" s="23" t="s">
        <v>49</v>
      </c>
      <c r="F440" s="24" t="n">
        <f>SUM(F433:F439)</f>
        <v>2.0754626400000002E7</v>
      </c>
      <c r="G440" s="25" t="n">
        <f>SUM(G433:G439)</f>
        <v>15.0</v>
      </c>
      <c r="H440" s="29" t="n">
        <f>IF(ISERROR((G433*H433+G434*H434+G435*H435+G436*H436+G437*H437+G438*H438+G439*H439)/G440)=TRUE,"－",(G433*H433+G434*H434+G435*H435+G436*H436+G437*H437+G438*H438+G439*H439)/G440)</f>
        <v>10.540000000000001</v>
      </c>
      <c r="I440" s="54" t="n">
        <f t="shared" si="146"/>
        <v>10939.609108159393</v>
      </c>
      <c r="J440" s="26" t="n">
        <f>IF(data!I205&lt;0,0,data!I205)</f>
        <v>5765.0</v>
      </c>
      <c r="K440" s="26" t="n">
        <f>IF(data!J205&lt;0,0,data!J205)</f>
        <v>15945.0</v>
      </c>
      <c r="L440" s="27" t="str">
        <f t="shared" si="124"/>
        <v>閾値の範囲内です。</v>
      </c>
      <c r="M440" s="11"/>
      <c r="N440" s="1" t="str">
        <f t="shared" si="133"/>
        <v/>
      </c>
    </row>
    <row r="441" spans="2:15" ht="15.75" customHeight="1">
      <c r="B441" s="108"/>
      <c r="C441" s="58" t="str">
        <f t="shared" si="145"/>
        <v>認知症対応型通所介護</v>
      </c>
      <c r="D441" s="164" t="s">
        <v>415</v>
      </c>
      <c r="E441" s="15" t="s">
        <v>50</v>
      </c>
      <c r="F441" s="35" t="n">
        <v>0.0</v>
      </c>
      <c r="G441" s="36" t="n">
        <v>0.0</v>
      </c>
      <c r="H441" s="41" t="n">
        <v>0.0</v>
      </c>
      <c r="I441" s="52" t="str">
        <f t="shared" si="146"/>
        <v>－</v>
      </c>
      <c r="J441" s="16" t="n">
        <f t="shared" ref="J441:K456" si="147">J433</f>
        <v>2900.0</v>
      </c>
      <c r="K441" s="16" t="n">
        <f t="shared" si="147"/>
        <v>13415.0</v>
      </c>
      <c r="L441" s="32" t="str">
        <f t="shared" si="124"/>
        <v/>
      </c>
      <c r="M441" s="11"/>
      <c r="N441" s="1" t="str">
        <f t="shared" si="133"/>
        <v/>
      </c>
      <c r="O441" s="1" t="n">
        <f t="shared" ref="O441:O447" si="148">IF(OR(AND(F441="",G441="",H441="－"),AND(F441="",G441="",H441="")),"",1)</f>
        <v>1.0</v>
      </c>
    </row>
    <row r="442" spans="2:15" ht="15.75" customHeight="1">
      <c r="B442" s="108"/>
      <c r="C442" s="58" t="str">
        <f t="shared" si="145"/>
        <v>認知症対応型通所介護</v>
      </c>
      <c r="D442" s="165"/>
      <c r="E442" s="30" t="s">
        <v>51</v>
      </c>
      <c r="F442" s="37" t="n">
        <v>0.0</v>
      </c>
      <c r="G442" s="38" t="n">
        <v>0.0</v>
      </c>
      <c r="H442" s="43" t="n">
        <v>0.0</v>
      </c>
      <c r="I442" s="55" t="str">
        <f t="shared" si="146"/>
        <v>－</v>
      </c>
      <c r="J442" s="31" t="n">
        <f t="shared" si="147"/>
        <v>5650.0</v>
      </c>
      <c r="K442" s="31" t="n">
        <f t="shared" si="147"/>
        <v>12875.0</v>
      </c>
      <c r="L442" s="33" t="str">
        <f t="shared" si="124"/>
        <v/>
      </c>
      <c r="M442" s="11"/>
      <c r="N442" s="1" t="str">
        <f t="shared" si="133"/>
        <v/>
      </c>
      <c r="O442" s="1" t="n">
        <f t="shared" si="148"/>
        <v>1.0</v>
      </c>
    </row>
    <row r="443" spans="2:15" ht="15.75" customHeight="1">
      <c r="B443" s="108"/>
      <c r="C443" s="58" t="str">
        <f t="shared" si="145"/>
        <v>認知症対応型通所介護</v>
      </c>
      <c r="D443" s="165"/>
      <c r="E443" s="18" t="s">
        <v>44</v>
      </c>
      <c r="F443" s="39" t="n">
        <v>0.0</v>
      </c>
      <c r="G443" s="40" t="n">
        <v>0.0</v>
      </c>
      <c r="H443" s="42" t="n">
        <v>0.0</v>
      </c>
      <c r="I443" s="53" t="str">
        <f t="shared" si="146"/>
        <v>－</v>
      </c>
      <c r="J443" s="21" t="n">
        <f t="shared" si="147"/>
        <v>5765.0</v>
      </c>
      <c r="K443" s="21" t="n">
        <f t="shared" si="147"/>
        <v>13200.0</v>
      </c>
      <c r="L443" s="22" t="str">
        <f t="shared" si="124"/>
        <v/>
      </c>
      <c r="M443" s="11"/>
      <c r="N443" s="1" t="str">
        <f t="shared" si="133"/>
        <v/>
      </c>
      <c r="O443" s="1" t="n">
        <f t="shared" si="148"/>
        <v>1.0</v>
      </c>
    </row>
    <row r="444" spans="2:15" ht="15.75" customHeight="1">
      <c r="B444" s="108"/>
      <c r="C444" s="58" t="str">
        <f t="shared" si="145"/>
        <v>認知症対応型通所介護</v>
      </c>
      <c r="D444" s="165"/>
      <c r="E444" s="18" t="s">
        <v>45</v>
      </c>
      <c r="F444" s="39" t="n">
        <v>1057161.6</v>
      </c>
      <c r="G444" s="40" t="n">
        <v>1.0</v>
      </c>
      <c r="H444" s="42" t="n">
        <v>8.8</v>
      </c>
      <c r="I444" s="53" t="n">
        <f t="shared" si="146"/>
        <v>10011.0</v>
      </c>
      <c r="J444" s="21" t="n">
        <f t="shared" si="147"/>
        <v>5935.0</v>
      </c>
      <c r="K444" s="21" t="n">
        <f t="shared" si="147"/>
        <v>14780.0</v>
      </c>
      <c r="L444" s="22" t="str">
        <f t="shared" si="124"/>
        <v>閾値の範囲内です。</v>
      </c>
      <c r="M444" s="11"/>
      <c r="N444" s="1" t="str">
        <f t="shared" si="133"/>
        <v/>
      </c>
      <c r="O444" s="1" t="n">
        <f t="shared" si="148"/>
        <v>1.0</v>
      </c>
    </row>
    <row r="445" spans="2:15" ht="15.75" customHeight="1">
      <c r="B445" s="108"/>
      <c r="C445" s="58" t="str">
        <f t="shared" si="145"/>
        <v>認知症対応型通所介護</v>
      </c>
      <c r="D445" s="165"/>
      <c r="E445" s="18" t="s">
        <v>46</v>
      </c>
      <c r="F445" s="39" t="n">
        <v>1.6476372E7</v>
      </c>
      <c r="G445" s="40" t="n">
        <v>11.0</v>
      </c>
      <c r="H445" s="42" t="n">
        <v>11.5</v>
      </c>
      <c r="I445" s="53" t="n">
        <f t="shared" si="146"/>
        <v>10854.0</v>
      </c>
      <c r="J445" s="21" t="n">
        <f t="shared" si="147"/>
        <v>6790.0</v>
      </c>
      <c r="K445" s="21" t="n">
        <f t="shared" si="147"/>
        <v>16110.0</v>
      </c>
      <c r="L445" s="22" t="str">
        <f t="shared" si="124"/>
        <v>閾値の範囲内です。</v>
      </c>
      <c r="M445" s="11"/>
      <c r="N445" s="1" t="str">
        <f t="shared" si="133"/>
        <v/>
      </c>
      <c r="O445" s="1" t="n">
        <f t="shared" si="148"/>
        <v>1.0</v>
      </c>
    </row>
    <row r="446" spans="2:15" ht="15.75" customHeight="1">
      <c r="B446" s="108"/>
      <c r="C446" s="58" t="str">
        <f t="shared" si="145"/>
        <v>認知症対応型通所介護</v>
      </c>
      <c r="D446" s="165"/>
      <c r="E446" s="18" t="s">
        <v>47</v>
      </c>
      <c r="F446" s="39" t="n">
        <v>3221092.8</v>
      </c>
      <c r="G446" s="40" t="n">
        <v>3.0</v>
      </c>
      <c r="H446" s="42" t="n">
        <v>7.6</v>
      </c>
      <c r="I446" s="53" t="n">
        <f t="shared" si="146"/>
        <v>11773.0</v>
      </c>
      <c r="J446" s="21" t="n">
        <f t="shared" si="147"/>
        <v>7715.0</v>
      </c>
      <c r="K446" s="21" t="n">
        <f t="shared" si="147"/>
        <v>17350.0</v>
      </c>
      <c r="L446" s="22" t="str">
        <f t="shared" si="124"/>
        <v>閾値の範囲内です。</v>
      </c>
      <c r="M446" s="11"/>
      <c r="N446" s="1" t="str">
        <f t="shared" si="133"/>
        <v/>
      </c>
      <c r="O446" s="1" t="n">
        <f t="shared" si="148"/>
        <v>1.0</v>
      </c>
    </row>
    <row r="447" spans="2:15" ht="15.75" customHeight="1">
      <c r="B447" s="108"/>
      <c r="C447" s="58" t="str">
        <f t="shared" si="145"/>
        <v>認知症対応型通所介護</v>
      </c>
      <c r="D447" s="165"/>
      <c r="E447" s="18" t="s">
        <v>48</v>
      </c>
      <c r="F447" s="39" t="n">
        <v>0.0</v>
      </c>
      <c r="G447" s="40" t="n">
        <v>0.0</v>
      </c>
      <c r="H447" s="42" t="n">
        <v>7.4</v>
      </c>
      <c r="I447" s="53" t="str">
        <f t="shared" si="146"/>
        <v>－</v>
      </c>
      <c r="J447" s="21" t="n">
        <f t="shared" si="147"/>
        <v>8655.0</v>
      </c>
      <c r="K447" s="21" t="n">
        <f t="shared" si="147"/>
        <v>18445.0</v>
      </c>
      <c r="L447" s="22" t="str">
        <f t="shared" si="124"/>
        <v/>
      </c>
      <c r="M447" s="11"/>
      <c r="N447" s="1" t="str">
        <f t="shared" si="133"/>
        <v/>
      </c>
      <c r="O447" s="1" t="n">
        <f t="shared" si="148"/>
        <v>1.0</v>
      </c>
    </row>
    <row r="448" spans="2:15" ht="15.75" customHeight="1">
      <c r="B448" s="108"/>
      <c r="C448" s="58" t="str">
        <f t="shared" si="145"/>
        <v>認知症対応型通所介護</v>
      </c>
      <c r="D448" s="166"/>
      <c r="E448" s="23" t="s">
        <v>49</v>
      </c>
      <c r="F448" s="24" t="n">
        <f>SUM(F441:F447)</f>
        <v>2.0754626400000002E7</v>
      </c>
      <c r="G448" s="25" t="n">
        <f>SUM(G441:G447)</f>
        <v>15.0</v>
      </c>
      <c r="H448" s="29" t="n">
        <f>IF(ISERROR((G441*H441+G442*H442+G443*H443+G444*H444+G445*H445+G446*H446+G447*H447)/G448)=TRUE,"－",(G441*H441+G442*H442+G443*H443+G444*H444+G445*H445+G446*H446+G447*H447)/G448)</f>
        <v>10.540000000000001</v>
      </c>
      <c r="I448" s="54" t="n">
        <f t="shared" si="146"/>
        <v>10939.609108159393</v>
      </c>
      <c r="J448" s="21" t="n">
        <f t="shared" si="147"/>
        <v>5765.0</v>
      </c>
      <c r="K448" s="21" t="n">
        <f t="shared" si="147"/>
        <v>15945.0</v>
      </c>
      <c r="L448" s="27" t="str">
        <f t="shared" si="124"/>
        <v>閾値の範囲内です。</v>
      </c>
      <c r="M448" s="11"/>
      <c r="N448" s="1" t="str">
        <f t="shared" si="133"/>
        <v/>
      </c>
    </row>
    <row r="449" spans="2:15" ht="15.75" customHeight="1">
      <c r="B449" s="108"/>
      <c r="C449" s="58" t="str">
        <f t="shared" si="145"/>
        <v>認知症対応型通所介護</v>
      </c>
      <c r="D449" s="164" t="s">
        <v>414</v>
      </c>
      <c r="E449" s="15" t="s">
        <v>50</v>
      </c>
      <c r="F449" s="35" t="n">
        <v>0.0</v>
      </c>
      <c r="G449" s="36" t="n">
        <v>0.0</v>
      </c>
      <c r="H449" s="41" t="n">
        <v>0.0</v>
      </c>
      <c r="I449" s="52" t="str">
        <f t="shared" si="146"/>
        <v>－</v>
      </c>
      <c r="J449" s="16" t="n">
        <f t="shared" si="147"/>
        <v>2900.0</v>
      </c>
      <c r="K449" s="16" t="n">
        <f t="shared" si="147"/>
        <v>13415.0</v>
      </c>
      <c r="L449" s="32" t="str">
        <f t="shared" si="124"/>
        <v/>
      </c>
      <c r="M449" s="11"/>
      <c r="N449" s="1" t="str">
        <f t="shared" si="133"/>
        <v/>
      </c>
      <c r="O449" s="1" t="n">
        <f t="shared" ref="O449:O455" si="149">IF(OR(AND(F449="",G449="",H449="－"),AND(F449="",G449="",H449="")),"",1)</f>
        <v>1.0</v>
      </c>
    </row>
    <row r="450" spans="2:15" ht="15.75" customHeight="1">
      <c r="B450" s="108"/>
      <c r="C450" s="58" t="str">
        <f t="shared" si="145"/>
        <v>認知症対応型通所介護</v>
      </c>
      <c r="D450" s="165"/>
      <c r="E450" s="30" t="s">
        <v>51</v>
      </c>
      <c r="F450" s="37" t="n">
        <v>0.0</v>
      </c>
      <c r="G450" s="38" t="n">
        <v>0.0</v>
      </c>
      <c r="H450" s="43" t="n">
        <v>0.0</v>
      </c>
      <c r="I450" s="55" t="str">
        <f t="shared" si="146"/>
        <v>－</v>
      </c>
      <c r="J450" s="31" t="n">
        <f t="shared" si="147"/>
        <v>5650.0</v>
      </c>
      <c r="K450" s="31" t="n">
        <f t="shared" si="147"/>
        <v>12875.0</v>
      </c>
      <c r="L450" s="33" t="str">
        <f t="shared" si="124"/>
        <v/>
      </c>
      <c r="M450" s="11"/>
      <c r="N450" s="1" t="str">
        <f t="shared" si="133"/>
        <v/>
      </c>
      <c r="O450" s="1" t="n">
        <f t="shared" si="149"/>
        <v>1.0</v>
      </c>
    </row>
    <row r="451" spans="2:15" ht="15.75" customHeight="1">
      <c r="B451" s="108"/>
      <c r="C451" s="58" t="str">
        <f t="shared" si="145"/>
        <v>認知症対応型通所介護</v>
      </c>
      <c r="D451" s="165"/>
      <c r="E451" s="18" t="s">
        <v>44</v>
      </c>
      <c r="F451" s="39" t="n">
        <v>0.0</v>
      </c>
      <c r="G451" s="40" t="n">
        <v>0.0</v>
      </c>
      <c r="H451" s="42" t="n">
        <v>0.0</v>
      </c>
      <c r="I451" s="53" t="str">
        <f t="shared" si="146"/>
        <v>－</v>
      </c>
      <c r="J451" s="21" t="n">
        <f t="shared" si="147"/>
        <v>5765.0</v>
      </c>
      <c r="K451" s="21" t="n">
        <f t="shared" si="147"/>
        <v>13200.0</v>
      </c>
      <c r="L451" s="22" t="str">
        <f t="shared" si="124"/>
        <v/>
      </c>
      <c r="M451" s="11"/>
      <c r="N451" s="1" t="str">
        <f t="shared" si="133"/>
        <v/>
      </c>
      <c r="O451" s="1" t="n">
        <f t="shared" si="149"/>
        <v>1.0</v>
      </c>
    </row>
    <row r="452" spans="2:15" ht="15.75" customHeight="1">
      <c r="B452" s="108"/>
      <c r="C452" s="58" t="str">
        <f t="shared" si="145"/>
        <v>認知症対応型通所介護</v>
      </c>
      <c r="D452" s="165"/>
      <c r="E452" s="18" t="s">
        <v>45</v>
      </c>
      <c r="F452" s="39" t="n">
        <v>1057161.6</v>
      </c>
      <c r="G452" s="40" t="n">
        <v>1.0</v>
      </c>
      <c r="H452" s="42" t="n">
        <v>8.8</v>
      </c>
      <c r="I452" s="53" t="n">
        <f t="shared" si="146"/>
        <v>10011.0</v>
      </c>
      <c r="J452" s="21" t="n">
        <f t="shared" si="147"/>
        <v>5935.0</v>
      </c>
      <c r="K452" s="21" t="n">
        <f t="shared" si="147"/>
        <v>14780.0</v>
      </c>
      <c r="L452" s="22" t="str">
        <f t="shared" si="124"/>
        <v>閾値の範囲内です。</v>
      </c>
      <c r="M452" s="11"/>
      <c r="N452" s="1" t="str">
        <f t="shared" si="133"/>
        <v/>
      </c>
      <c r="O452" s="1" t="n">
        <f t="shared" si="149"/>
        <v>1.0</v>
      </c>
    </row>
    <row r="453" spans="2:15" ht="15.75" customHeight="1">
      <c r="B453" s="108"/>
      <c r="C453" s="58" t="str">
        <f t="shared" si="145"/>
        <v>認知症対応型通所介護</v>
      </c>
      <c r="D453" s="165"/>
      <c r="E453" s="18" t="s">
        <v>46</v>
      </c>
      <c r="F453" s="39" t="n">
        <v>1.6476372E7</v>
      </c>
      <c r="G453" s="40" t="n">
        <v>11.0</v>
      </c>
      <c r="H453" s="42" t="n">
        <v>11.5</v>
      </c>
      <c r="I453" s="53" t="n">
        <f t="shared" si="146"/>
        <v>10854.0</v>
      </c>
      <c r="J453" s="21" t="n">
        <f t="shared" si="147"/>
        <v>6790.0</v>
      </c>
      <c r="K453" s="21" t="n">
        <f t="shared" si="147"/>
        <v>16110.0</v>
      </c>
      <c r="L453" s="22" t="str">
        <f t="shared" si="124"/>
        <v>閾値の範囲内です。</v>
      </c>
      <c r="M453" s="11"/>
      <c r="N453" s="1" t="str">
        <f t="shared" si="133"/>
        <v/>
      </c>
      <c r="O453" s="1" t="n">
        <f t="shared" si="149"/>
        <v>1.0</v>
      </c>
    </row>
    <row r="454" spans="2:15" ht="15.75" customHeight="1">
      <c r="B454" s="108"/>
      <c r="C454" s="58" t="str">
        <f t="shared" si="145"/>
        <v>認知症対応型通所介護</v>
      </c>
      <c r="D454" s="165"/>
      <c r="E454" s="18" t="s">
        <v>47</v>
      </c>
      <c r="F454" s="39" t="n">
        <v>3221092.8</v>
      </c>
      <c r="G454" s="40" t="n">
        <v>3.0</v>
      </c>
      <c r="H454" s="42" t="n">
        <v>7.6</v>
      </c>
      <c r="I454" s="53" t="n">
        <f t="shared" si="146"/>
        <v>11773.0</v>
      </c>
      <c r="J454" s="21" t="n">
        <f t="shared" si="147"/>
        <v>7715.0</v>
      </c>
      <c r="K454" s="21" t="n">
        <f t="shared" si="147"/>
        <v>17350.0</v>
      </c>
      <c r="L454" s="22" t="str">
        <f t="shared" si="124"/>
        <v>閾値の範囲内です。</v>
      </c>
      <c r="M454" s="11"/>
      <c r="N454" s="1" t="str">
        <f t="shared" si="133"/>
        <v/>
      </c>
      <c r="O454" s="1" t="n">
        <f t="shared" si="149"/>
        <v>1.0</v>
      </c>
    </row>
    <row r="455" spans="2:15" ht="15.75" customHeight="1">
      <c r="B455" s="108"/>
      <c r="C455" s="58" t="str">
        <f t="shared" si="145"/>
        <v>認知症対応型通所介護</v>
      </c>
      <c r="D455" s="165"/>
      <c r="E455" s="18" t="s">
        <v>48</v>
      </c>
      <c r="F455" s="39" t="n">
        <v>0.0</v>
      </c>
      <c r="G455" s="40" t="n">
        <v>0.0</v>
      </c>
      <c r="H455" s="42" t="n">
        <v>7.4</v>
      </c>
      <c r="I455" s="53" t="str">
        <f t="shared" si="146"/>
        <v>－</v>
      </c>
      <c r="J455" s="21" t="n">
        <f t="shared" si="147"/>
        <v>8655.0</v>
      </c>
      <c r="K455" s="21" t="n">
        <f t="shared" si="147"/>
        <v>18445.0</v>
      </c>
      <c r="L455" s="22" t="str">
        <f t="shared" si="124"/>
        <v/>
      </c>
      <c r="M455" s="11"/>
      <c r="N455" s="1" t="str">
        <f t="shared" si="133"/>
        <v/>
      </c>
      <c r="O455" s="1" t="n">
        <f t="shared" si="149"/>
        <v>1.0</v>
      </c>
    </row>
    <row r="456" spans="2:15" ht="15.75" customHeight="1">
      <c r="B456" s="109"/>
      <c r="C456" s="59" t="str">
        <f t="shared" si="145"/>
        <v>認知症対応型通所介護</v>
      </c>
      <c r="D456" s="166"/>
      <c r="E456" s="23" t="s">
        <v>49</v>
      </c>
      <c r="F456" s="24" t="n">
        <f>SUM(F449:F455)</f>
        <v>2.0754626400000002E7</v>
      </c>
      <c r="G456" s="25" t="n">
        <f>SUM(G449:G455)</f>
        <v>15.0</v>
      </c>
      <c r="H456" s="29" t="n">
        <f>IF(ISERROR((G449*H449+G450*H450+G451*H451+G452*H452+G453*H453+G454*H454+G455*H455)/G456)=TRUE,"－",(G449*H449+G450*H450+G451*H451+G452*H452+G453*H453+G454*H454+G455*H455)/G456)</f>
        <v>10.540000000000001</v>
      </c>
      <c r="I456" s="54" t="n">
        <f t="shared" si="146"/>
        <v>10939.609108159393</v>
      </c>
      <c r="J456" s="26" t="n">
        <f t="shared" si="147"/>
        <v>5765.0</v>
      </c>
      <c r="K456" s="26" t="n">
        <f t="shared" si="147"/>
        <v>15945.0</v>
      </c>
      <c r="L456" s="27" t="str">
        <f t="shared" si="124"/>
        <v>閾値の範囲内です。</v>
      </c>
      <c r="M456" s="11"/>
      <c r="N456" s="1" t="str">
        <f t="shared" si="133"/>
        <v/>
      </c>
    </row>
    <row r="457" spans="2:15" ht="15.75" customHeight="1">
      <c r="B457" s="107">
        <v>21</v>
      </c>
      <c r="C457" s="7" t="s">
        <v>17</v>
      </c>
      <c r="D457" s="164" t="s">
        <v>416</v>
      </c>
      <c r="E457" s="15" t="s">
        <v>50</v>
      </c>
      <c r="F457" s="35" t="n">
        <v>589728.0</v>
      </c>
      <c r="G457" s="36" t="n">
        <v>1.0</v>
      </c>
      <c r="H457" s="79" t="s">
        <v>20</v>
      </c>
      <c r="I457" s="52" t="n">
        <f>IF(H457="－",IF(ISERROR(F457/G457/12)=TRUE,"－",F457/G457/12),IF(ISERROR(F457/G457/H457/12)=TRUE,"－",F457/G457/H457/12))</f>
        <v>49144.0</v>
      </c>
      <c r="J457" s="16" t="n">
        <f>IF(data!I206&lt;0,0,data!I206)</f>
        <v>32275.0</v>
      </c>
      <c r="K457" s="16" t="n">
        <f>IF(data!J206&lt;0,0,data!J206)</f>
        <v>70945.0</v>
      </c>
      <c r="L457" s="32" t="str">
        <f t="shared" si="124"/>
        <v>閾値の範囲内です。</v>
      </c>
      <c r="M457" s="11"/>
      <c r="N457" s="1" t="str">
        <f t="shared" si="133"/>
        <v/>
      </c>
      <c r="O457" s="1" t="n">
        <f t="shared" ref="O457:O463" si="150">IF(OR(AND(F457="",G457="",H457="－"),AND(F457="",G457="",H457="")),"",1)</f>
        <v>1.0</v>
      </c>
    </row>
    <row r="458" spans="2:15" ht="15.75" customHeight="1">
      <c r="B458" s="108"/>
      <c r="C458" s="58" t="str">
        <f t="shared" ref="C458:C480" si="151">C457</f>
        <v>小規模多機能型居宅介護</v>
      </c>
      <c r="D458" s="165"/>
      <c r="E458" s="30" t="s">
        <v>51</v>
      </c>
      <c r="F458" s="37" t="n">
        <v>7160748.0</v>
      </c>
      <c r="G458" s="38" t="n">
        <v>7.0</v>
      </c>
      <c r="H458" s="80" t="s">
        <v>20</v>
      </c>
      <c r="I458" s="55" t="n">
        <f t="shared" ref="I458:I498" si="152">IF(H458="－",IF(ISERROR(F458/G458/12)=TRUE,"－",F458/G458/12),IF(ISERROR(F458/G458/H458/12)=TRUE,"－",F458/G458/H458/12))</f>
        <v>85247.0</v>
      </c>
      <c r="J458" s="31" t="n">
        <f>IF(data!I207&lt;0,0,data!I207)</f>
        <v>63005.0</v>
      </c>
      <c r="K458" s="31" t="n">
        <f>IF(data!J207&lt;0,0,data!J207)</f>
        <v>114205.0</v>
      </c>
      <c r="L458" s="33" t="str">
        <f t="shared" si="124"/>
        <v>閾値の範囲内です。</v>
      </c>
      <c r="M458" s="11"/>
      <c r="N458" s="1" t="str">
        <f t="shared" si="133"/>
        <v/>
      </c>
      <c r="O458" s="1" t="n">
        <f t="shared" si="150"/>
        <v>1.0</v>
      </c>
    </row>
    <row r="459" spans="2:15" ht="15.75" customHeight="1">
      <c r="B459" s="108"/>
      <c r="C459" s="58" t="str">
        <f t="shared" si="151"/>
        <v>小規模多機能型居宅介護</v>
      </c>
      <c r="D459" s="165"/>
      <c r="E459" s="18" t="s">
        <v>44</v>
      </c>
      <c r="F459" s="39" t="n">
        <v>1.587684E7</v>
      </c>
      <c r="G459" s="40" t="n">
        <v>10.0</v>
      </c>
      <c r="H459" s="80" t="s">
        <v>20</v>
      </c>
      <c r="I459" s="53" t="n">
        <f t="shared" si="152"/>
        <v>132307.0</v>
      </c>
      <c r="J459" s="21" t="n">
        <f>IF(data!I208&lt;0,0,data!I208)</f>
        <v>97340.0</v>
      </c>
      <c r="K459" s="21" t="n">
        <f>IF(data!J208&lt;0,0,data!J208)</f>
        <v>173605.0</v>
      </c>
      <c r="L459" s="22" t="str">
        <f t="shared" si="124"/>
        <v>閾値の範囲内です。</v>
      </c>
      <c r="M459" s="11"/>
      <c r="N459" s="1" t="str">
        <f t="shared" si="133"/>
        <v/>
      </c>
      <c r="O459" s="1" t="n">
        <f t="shared" si="150"/>
        <v>1.0</v>
      </c>
    </row>
    <row r="460" spans="2:15" ht="15.75" customHeight="1">
      <c r="B460" s="108"/>
      <c r="C460" s="58" t="str">
        <f t="shared" si="151"/>
        <v>小規模多機能型居宅介護</v>
      </c>
      <c r="D460" s="165"/>
      <c r="E460" s="18" t="s">
        <v>45</v>
      </c>
      <c r="F460" s="39" t="n">
        <v>1.127172E7</v>
      </c>
      <c r="G460" s="40" t="n">
        <v>5.0</v>
      </c>
      <c r="H460" s="80" t="s">
        <v>20</v>
      </c>
      <c r="I460" s="53" t="n">
        <f t="shared" si="152"/>
        <v>187862.0</v>
      </c>
      <c r="J460" s="21" t="n">
        <f>IF(data!I209&lt;0,0,data!I209)</f>
        <v>139620.0</v>
      </c>
      <c r="K460" s="21" t="n">
        <f>IF(data!J209&lt;0,0,data!J209)</f>
        <v>237295.0</v>
      </c>
      <c r="L460" s="22" t="str">
        <f t="shared" si="124"/>
        <v>閾値の範囲内です。</v>
      </c>
      <c r="M460" s="11"/>
      <c r="N460" s="1" t="str">
        <f t="shared" si="133"/>
        <v/>
      </c>
      <c r="O460" s="1" t="n">
        <f t="shared" si="150"/>
        <v>1.0</v>
      </c>
    </row>
    <row r="461" spans="2:15" ht="15.75" customHeight="1">
      <c r="B461" s="108"/>
      <c r="C461" s="58" t="str">
        <f t="shared" si="151"/>
        <v>小規模多機能型居宅介護</v>
      </c>
      <c r="D461" s="165"/>
      <c r="E461" s="18" t="s">
        <v>46</v>
      </c>
      <c r="F461" s="39" t="n">
        <v>1.574586E7</v>
      </c>
      <c r="G461" s="40" t="n">
        <v>5.0</v>
      </c>
      <c r="H461" s="80" t="s">
        <v>20</v>
      </c>
      <c r="I461" s="53" t="n">
        <f t="shared" si="152"/>
        <v>262431.0</v>
      </c>
      <c r="J461" s="21" t="n">
        <f>IF(data!I210&lt;0,0,data!I210)</f>
        <v>195485.0</v>
      </c>
      <c r="K461" s="21" t="n">
        <f>IF(data!J210&lt;0,0,data!J210)</f>
        <v>325000.0</v>
      </c>
      <c r="L461" s="22" t="str">
        <f t="shared" si="124"/>
        <v>閾値の範囲内です。</v>
      </c>
      <c r="M461" s="11"/>
      <c r="N461" s="1" t="str">
        <f t="shared" si="133"/>
        <v/>
      </c>
      <c r="O461" s="1" t="n">
        <f t="shared" si="150"/>
        <v>1.0</v>
      </c>
    </row>
    <row r="462" spans="2:15" ht="15.75" customHeight="1">
      <c r="B462" s="108"/>
      <c r="C462" s="58" t="str">
        <f t="shared" si="151"/>
        <v>小規模多機能型居宅介護</v>
      </c>
      <c r="D462" s="165"/>
      <c r="E462" s="18" t="s">
        <v>47</v>
      </c>
      <c r="F462" s="39" t="n">
        <v>6288144.0</v>
      </c>
      <c r="G462" s="40" t="n">
        <v>2.0</v>
      </c>
      <c r="H462" s="80" t="s">
        <v>20</v>
      </c>
      <c r="I462" s="53" t="n">
        <f t="shared" si="152"/>
        <v>262006.0</v>
      </c>
      <c r="J462" s="21" t="n">
        <f>IF(data!I211&lt;0,0,data!I211)</f>
        <v>203030.0</v>
      </c>
      <c r="K462" s="21" t="n">
        <f>IF(data!J211&lt;0,0,data!J211)</f>
        <v>360210.0</v>
      </c>
      <c r="L462" s="22" t="str">
        <f t="shared" si="124"/>
        <v>閾値の範囲内です。</v>
      </c>
      <c r="M462" s="11"/>
      <c r="N462" s="1" t="str">
        <f t="shared" si="133"/>
        <v/>
      </c>
      <c r="O462" s="1" t="n">
        <f t="shared" si="150"/>
        <v>1.0</v>
      </c>
    </row>
    <row r="463" spans="2:15" ht="15.75" customHeight="1">
      <c r="B463" s="108"/>
      <c r="C463" s="58" t="str">
        <f t="shared" si="151"/>
        <v>小規模多機能型居宅介護</v>
      </c>
      <c r="D463" s="165"/>
      <c r="E463" s="18" t="s">
        <v>48</v>
      </c>
      <c r="F463" s="39" t="n">
        <v>0.0</v>
      </c>
      <c r="G463" s="40" t="n">
        <v>0.0</v>
      </c>
      <c r="H463" s="80" t="s">
        <v>20</v>
      </c>
      <c r="I463" s="53" t="str">
        <f t="shared" si="152"/>
        <v>－</v>
      </c>
      <c r="J463" s="21" t="n">
        <f>IF(data!I212&lt;0,0,data!I212)</f>
        <v>225035.0</v>
      </c>
      <c r="K463" s="21" t="n">
        <f>IF(data!J212&lt;0,0,data!J212)</f>
        <v>389950.0</v>
      </c>
      <c r="L463" s="22" t="str">
        <f t="shared" si="124"/>
        <v/>
      </c>
      <c r="M463" s="11"/>
      <c r="N463" s="1" t="str">
        <f t="shared" si="133"/>
        <v/>
      </c>
      <c r="O463" s="1" t="n">
        <f t="shared" si="150"/>
        <v>1.0</v>
      </c>
    </row>
    <row r="464" spans="2:15" ht="15.75" customHeight="1">
      <c r="B464" s="108"/>
      <c r="C464" s="58" t="str">
        <f t="shared" si="151"/>
        <v>小規模多機能型居宅介護</v>
      </c>
      <c r="D464" s="166"/>
      <c r="E464" s="23" t="s">
        <v>49</v>
      </c>
      <c r="F464" s="24" t="n">
        <f>SUM(F457:F463)</f>
        <v>5.693304E7</v>
      </c>
      <c r="G464" s="25" t="n">
        <f>SUM(G457:G463)</f>
        <v>30.0</v>
      </c>
      <c r="H464" s="78" t="s">
        <v>20</v>
      </c>
      <c r="I464" s="54" t="n">
        <f t="shared" si="152"/>
        <v>158147.33333333334</v>
      </c>
      <c r="J464" s="26" t="n">
        <f>IF(data!I213&lt;0,0,data!I213)</f>
        <v>97560.0</v>
      </c>
      <c r="K464" s="26" t="n">
        <f>IF(data!J213&lt;0,0,data!J213)</f>
        <v>288770.0</v>
      </c>
      <c r="L464" s="27" t="str">
        <f t="shared" si="124"/>
        <v>閾値の範囲内です。</v>
      </c>
      <c r="M464" s="11"/>
      <c r="N464" s="1" t="str">
        <f t="shared" si="133"/>
        <v/>
      </c>
    </row>
    <row r="465" spans="2:15" ht="15.75" customHeight="1">
      <c r="B465" s="108"/>
      <c r="C465" s="58" t="str">
        <f t="shared" si="151"/>
        <v>小規模多機能型居宅介護</v>
      </c>
      <c r="D465" s="164" t="s">
        <v>415</v>
      </c>
      <c r="E465" s="15" t="s">
        <v>50</v>
      </c>
      <c r="F465" s="35" t="n">
        <v>589728.0</v>
      </c>
      <c r="G465" s="36" t="n">
        <v>1.0</v>
      </c>
      <c r="H465" s="79" t="s">
        <v>20</v>
      </c>
      <c r="I465" s="52" t="n">
        <f t="shared" si="152"/>
        <v>49144.0</v>
      </c>
      <c r="J465" s="16" t="n">
        <f t="shared" ref="J465:K480" si="153">J457</f>
        <v>32275.0</v>
      </c>
      <c r="K465" s="16" t="n">
        <f t="shared" si="153"/>
        <v>70945.0</v>
      </c>
      <c r="L465" s="32" t="str">
        <f t="shared" si="124"/>
        <v>閾値の範囲内です。</v>
      </c>
      <c r="M465" s="11"/>
      <c r="N465" s="1" t="str">
        <f t="shared" si="133"/>
        <v/>
      </c>
      <c r="O465" s="1" t="n">
        <f t="shared" ref="O465:O471" si="154">IF(OR(AND(F465="",G465="",H465="－"),AND(F465="",G465="",H465="")),"",1)</f>
        <v>1.0</v>
      </c>
    </row>
    <row r="466" spans="2:15" ht="15.75" customHeight="1">
      <c r="B466" s="108"/>
      <c r="C466" s="58" t="str">
        <f t="shared" si="151"/>
        <v>小規模多機能型居宅介護</v>
      </c>
      <c r="D466" s="165"/>
      <c r="E466" s="30" t="s">
        <v>51</v>
      </c>
      <c r="F466" s="37" t="n">
        <v>8183712.0</v>
      </c>
      <c r="G466" s="38" t="n">
        <v>8.0</v>
      </c>
      <c r="H466" s="80" t="s">
        <v>20</v>
      </c>
      <c r="I466" s="55" t="n">
        <f t="shared" si="152"/>
        <v>85247.0</v>
      </c>
      <c r="J466" s="31" t="n">
        <f t="shared" si="153"/>
        <v>63005.0</v>
      </c>
      <c r="K466" s="31" t="n">
        <f t="shared" si="153"/>
        <v>114205.0</v>
      </c>
      <c r="L466" s="33" t="str">
        <f t="shared" si="124"/>
        <v>閾値の範囲内です。</v>
      </c>
      <c r="M466" s="11"/>
      <c r="N466" s="1" t="str">
        <f t="shared" si="133"/>
        <v/>
      </c>
      <c r="O466" s="1" t="n">
        <f t="shared" si="154"/>
        <v>1.0</v>
      </c>
    </row>
    <row r="467" spans="2:15" ht="15.75" customHeight="1">
      <c r="B467" s="108"/>
      <c r="C467" s="58" t="str">
        <f t="shared" si="151"/>
        <v>小規模多機能型居宅介護</v>
      </c>
      <c r="D467" s="165"/>
      <c r="E467" s="18" t="s">
        <v>44</v>
      </c>
      <c r="F467" s="39" t="n">
        <v>1.587684E7</v>
      </c>
      <c r="G467" s="40" t="n">
        <v>10.0</v>
      </c>
      <c r="H467" s="80" t="s">
        <v>20</v>
      </c>
      <c r="I467" s="53" t="n">
        <f t="shared" si="152"/>
        <v>132307.0</v>
      </c>
      <c r="J467" s="21" t="n">
        <f t="shared" si="153"/>
        <v>97340.0</v>
      </c>
      <c r="K467" s="21" t="n">
        <f t="shared" si="153"/>
        <v>173605.0</v>
      </c>
      <c r="L467" s="22" t="str">
        <f t="shared" si="124"/>
        <v>閾値の範囲内です。</v>
      </c>
      <c r="M467" s="11"/>
      <c r="N467" s="1" t="str">
        <f t="shared" si="133"/>
        <v/>
      </c>
      <c r="O467" s="1" t="n">
        <f t="shared" si="154"/>
        <v>1.0</v>
      </c>
    </row>
    <row r="468" spans="2:15" ht="15.75" customHeight="1">
      <c r="B468" s="108"/>
      <c r="C468" s="58" t="str">
        <f t="shared" si="151"/>
        <v>小規模多機能型居宅介護</v>
      </c>
      <c r="D468" s="165"/>
      <c r="E468" s="18" t="s">
        <v>45</v>
      </c>
      <c r="F468" s="39" t="n">
        <v>1.127172E7</v>
      </c>
      <c r="G468" s="40" t="n">
        <v>5.0</v>
      </c>
      <c r="H468" s="80" t="s">
        <v>20</v>
      </c>
      <c r="I468" s="53" t="n">
        <f t="shared" si="152"/>
        <v>187862.0</v>
      </c>
      <c r="J468" s="21" t="n">
        <f t="shared" si="153"/>
        <v>139620.0</v>
      </c>
      <c r="K468" s="21" t="n">
        <f t="shared" si="153"/>
        <v>237295.0</v>
      </c>
      <c r="L468" s="22" t="str">
        <f t="shared" si="124"/>
        <v>閾値の範囲内です。</v>
      </c>
      <c r="M468" s="11"/>
      <c r="N468" s="1" t="str">
        <f t="shared" si="133"/>
        <v/>
      </c>
      <c r="O468" s="1" t="n">
        <f t="shared" si="154"/>
        <v>1.0</v>
      </c>
    </row>
    <row r="469" spans="2:15" ht="15.75" customHeight="1">
      <c r="B469" s="108"/>
      <c r="C469" s="58" t="str">
        <f t="shared" si="151"/>
        <v>小規模多機能型居宅介護</v>
      </c>
      <c r="D469" s="165"/>
      <c r="E469" s="18" t="s">
        <v>46</v>
      </c>
      <c r="F469" s="39" t="n">
        <v>1.574586E7</v>
      </c>
      <c r="G469" s="40" t="n">
        <v>5.0</v>
      </c>
      <c r="H469" s="80" t="s">
        <v>20</v>
      </c>
      <c r="I469" s="53" t="n">
        <f t="shared" si="152"/>
        <v>262431.0</v>
      </c>
      <c r="J469" s="21" t="n">
        <f t="shared" si="153"/>
        <v>195485.0</v>
      </c>
      <c r="K469" s="21" t="n">
        <f t="shared" si="153"/>
        <v>325000.0</v>
      </c>
      <c r="L469" s="22" t="str">
        <f t="shared" si="124"/>
        <v>閾値の範囲内です。</v>
      </c>
      <c r="M469" s="11"/>
      <c r="N469" s="1" t="str">
        <f t="shared" si="133"/>
        <v/>
      </c>
      <c r="O469" s="1" t="n">
        <f t="shared" si="154"/>
        <v>1.0</v>
      </c>
    </row>
    <row r="470" spans="2:15" ht="15.75" customHeight="1">
      <c r="B470" s="108"/>
      <c r="C470" s="58" t="str">
        <f t="shared" si="151"/>
        <v>小規模多機能型居宅介護</v>
      </c>
      <c r="D470" s="165"/>
      <c r="E470" s="18" t="s">
        <v>47</v>
      </c>
      <c r="F470" s="39" t="n">
        <v>6288144.0</v>
      </c>
      <c r="G470" s="40" t="n">
        <v>2.0</v>
      </c>
      <c r="H470" s="80" t="s">
        <v>20</v>
      </c>
      <c r="I470" s="53" t="n">
        <f t="shared" si="152"/>
        <v>262006.0</v>
      </c>
      <c r="J470" s="21" t="n">
        <f t="shared" si="153"/>
        <v>203030.0</v>
      </c>
      <c r="K470" s="21" t="n">
        <f t="shared" si="153"/>
        <v>360210.0</v>
      </c>
      <c r="L470" s="22" t="str">
        <f t="shared" si="124"/>
        <v>閾値の範囲内です。</v>
      </c>
      <c r="M470" s="11"/>
      <c r="N470" s="1" t="str">
        <f t="shared" si="133"/>
        <v/>
      </c>
      <c r="O470" s="1" t="n">
        <f t="shared" si="154"/>
        <v>1.0</v>
      </c>
    </row>
    <row r="471" spans="2:15" ht="15.75" customHeight="1">
      <c r="B471" s="108"/>
      <c r="C471" s="58" t="str">
        <f t="shared" si="151"/>
        <v>小規模多機能型居宅介護</v>
      </c>
      <c r="D471" s="165"/>
      <c r="E471" s="18" t="s">
        <v>48</v>
      </c>
      <c r="F471" s="39" t="n">
        <v>0.0</v>
      </c>
      <c r="G471" s="40" t="n">
        <v>0.0</v>
      </c>
      <c r="H471" s="80" t="s">
        <v>20</v>
      </c>
      <c r="I471" s="53" t="str">
        <f t="shared" si="152"/>
        <v>－</v>
      </c>
      <c r="J471" s="21" t="n">
        <f t="shared" si="153"/>
        <v>225035.0</v>
      </c>
      <c r="K471" s="21" t="n">
        <f t="shared" si="153"/>
        <v>389950.0</v>
      </c>
      <c r="L471" s="22" t="str">
        <f t="shared" si="124"/>
        <v/>
      </c>
      <c r="M471" s="11"/>
      <c r="N471" s="1" t="str">
        <f t="shared" si="133"/>
        <v/>
      </c>
      <c r="O471" s="1" t="n">
        <f t="shared" si="154"/>
        <v>1.0</v>
      </c>
    </row>
    <row r="472" spans="2:15" ht="15.75" customHeight="1">
      <c r="B472" s="108"/>
      <c r="C472" s="58" t="str">
        <f t="shared" si="151"/>
        <v>小規模多機能型居宅介護</v>
      </c>
      <c r="D472" s="166"/>
      <c r="E472" s="23" t="s">
        <v>49</v>
      </c>
      <c r="F472" s="24" t="n">
        <f>SUM(F465:F471)</f>
        <v>5.7956004E7</v>
      </c>
      <c r="G472" s="25" t="n">
        <f>SUM(G465:G471)</f>
        <v>31.0</v>
      </c>
      <c r="H472" s="78" t="s">
        <v>20</v>
      </c>
      <c r="I472" s="54" t="n">
        <f t="shared" si="152"/>
        <v>155795.70967741936</v>
      </c>
      <c r="J472" s="21" t="n">
        <f t="shared" si="153"/>
        <v>97560.0</v>
      </c>
      <c r="K472" s="21" t="n">
        <f t="shared" si="153"/>
        <v>288770.0</v>
      </c>
      <c r="L472" s="27" t="str">
        <f t="shared" si="124"/>
        <v>閾値の範囲内です。</v>
      </c>
      <c r="M472" s="11"/>
      <c r="N472" s="1" t="str">
        <f t="shared" si="133"/>
        <v/>
      </c>
    </row>
    <row r="473" spans="2:15" ht="15.75" customHeight="1">
      <c r="B473" s="108"/>
      <c r="C473" s="58" t="str">
        <f t="shared" si="151"/>
        <v>小規模多機能型居宅介護</v>
      </c>
      <c r="D473" s="164" t="s">
        <v>414</v>
      </c>
      <c r="E473" s="15" t="s">
        <v>50</v>
      </c>
      <c r="F473" s="35" t="n">
        <v>589728.0</v>
      </c>
      <c r="G473" s="36" t="n">
        <v>1.0</v>
      </c>
      <c r="H473" s="79" t="s">
        <v>20</v>
      </c>
      <c r="I473" s="52" t="n">
        <f t="shared" si="152"/>
        <v>49144.0</v>
      </c>
      <c r="J473" s="16" t="n">
        <f t="shared" si="153"/>
        <v>32275.0</v>
      </c>
      <c r="K473" s="16" t="n">
        <f t="shared" si="153"/>
        <v>70945.0</v>
      </c>
      <c r="L473" s="32" t="str">
        <f t="shared" si="124"/>
        <v>閾値の範囲内です。</v>
      </c>
      <c r="M473" s="11"/>
      <c r="N473" s="1" t="str">
        <f t="shared" si="133"/>
        <v/>
      </c>
      <c r="O473" s="1" t="n">
        <f t="shared" ref="O473:O479" si="155">IF(OR(AND(F473="",G473="",H473="－"),AND(F473="",G473="",H473="")),"",1)</f>
        <v>1.0</v>
      </c>
    </row>
    <row r="474" spans="2:15" ht="15.75" customHeight="1">
      <c r="B474" s="108"/>
      <c r="C474" s="58" t="str">
        <f t="shared" si="151"/>
        <v>小規模多機能型居宅介護</v>
      </c>
      <c r="D474" s="165"/>
      <c r="E474" s="30" t="s">
        <v>51</v>
      </c>
      <c r="F474" s="37" t="n">
        <v>8183712.0</v>
      </c>
      <c r="G474" s="38" t="n">
        <v>8.0</v>
      </c>
      <c r="H474" s="80" t="s">
        <v>20</v>
      </c>
      <c r="I474" s="55" t="n">
        <f t="shared" si="152"/>
        <v>85247.0</v>
      </c>
      <c r="J474" s="31" t="n">
        <f t="shared" si="153"/>
        <v>63005.0</v>
      </c>
      <c r="K474" s="31" t="n">
        <f t="shared" si="153"/>
        <v>114205.0</v>
      </c>
      <c r="L474" s="33" t="str">
        <f t="shared" si="124"/>
        <v>閾値の範囲内です。</v>
      </c>
      <c r="M474" s="11"/>
      <c r="N474" s="1" t="str">
        <f t="shared" si="133"/>
        <v/>
      </c>
      <c r="O474" s="1" t="n">
        <f t="shared" si="155"/>
        <v>1.0</v>
      </c>
    </row>
    <row r="475" spans="2:15" ht="15.75" customHeight="1">
      <c r="B475" s="108"/>
      <c r="C475" s="58" t="str">
        <f t="shared" si="151"/>
        <v>小規模多機能型居宅介護</v>
      </c>
      <c r="D475" s="165"/>
      <c r="E475" s="18" t="s">
        <v>44</v>
      </c>
      <c r="F475" s="39" t="n">
        <v>1.587684E7</v>
      </c>
      <c r="G475" s="40" t="n">
        <v>10.0</v>
      </c>
      <c r="H475" s="80" t="s">
        <v>20</v>
      </c>
      <c r="I475" s="53" t="n">
        <f t="shared" si="152"/>
        <v>132307.0</v>
      </c>
      <c r="J475" s="21" t="n">
        <f t="shared" si="153"/>
        <v>97340.0</v>
      </c>
      <c r="K475" s="21" t="n">
        <f t="shared" si="153"/>
        <v>173605.0</v>
      </c>
      <c r="L475" s="22" t="str">
        <f t="shared" si="124"/>
        <v>閾値の範囲内です。</v>
      </c>
      <c r="M475" s="11"/>
      <c r="N475" s="1" t="str">
        <f t="shared" si="133"/>
        <v/>
      </c>
      <c r="O475" s="1" t="n">
        <f t="shared" si="155"/>
        <v>1.0</v>
      </c>
    </row>
    <row r="476" spans="2:15" ht="15.75" customHeight="1">
      <c r="B476" s="108"/>
      <c r="C476" s="58" t="str">
        <f t="shared" si="151"/>
        <v>小規模多機能型居宅介護</v>
      </c>
      <c r="D476" s="165"/>
      <c r="E476" s="18" t="s">
        <v>45</v>
      </c>
      <c r="F476" s="39" t="n">
        <v>1.127172E7</v>
      </c>
      <c r="G476" s="40" t="n">
        <v>5.0</v>
      </c>
      <c r="H476" s="80" t="s">
        <v>20</v>
      </c>
      <c r="I476" s="53" t="n">
        <f t="shared" si="152"/>
        <v>187862.0</v>
      </c>
      <c r="J476" s="21" t="n">
        <f t="shared" si="153"/>
        <v>139620.0</v>
      </c>
      <c r="K476" s="21" t="n">
        <f t="shared" si="153"/>
        <v>237295.0</v>
      </c>
      <c r="L476" s="22" t="str">
        <f t="shared" si="124"/>
        <v>閾値の範囲内です。</v>
      </c>
      <c r="M476" s="11"/>
      <c r="N476" s="1" t="str">
        <f t="shared" si="133"/>
        <v/>
      </c>
      <c r="O476" s="1" t="n">
        <f t="shared" si="155"/>
        <v>1.0</v>
      </c>
    </row>
    <row r="477" spans="2:15" ht="15.75" customHeight="1">
      <c r="B477" s="108"/>
      <c r="C477" s="58" t="str">
        <f t="shared" si="151"/>
        <v>小規模多機能型居宅介護</v>
      </c>
      <c r="D477" s="165"/>
      <c r="E477" s="18" t="s">
        <v>46</v>
      </c>
      <c r="F477" s="39" t="n">
        <v>1.574586E7</v>
      </c>
      <c r="G477" s="40" t="n">
        <v>5.0</v>
      </c>
      <c r="H477" s="80" t="s">
        <v>20</v>
      </c>
      <c r="I477" s="53" t="n">
        <f t="shared" si="152"/>
        <v>262431.0</v>
      </c>
      <c r="J477" s="21" t="n">
        <f t="shared" si="153"/>
        <v>195485.0</v>
      </c>
      <c r="K477" s="21" t="n">
        <f t="shared" si="153"/>
        <v>325000.0</v>
      </c>
      <c r="L477" s="22" t="str">
        <f t="shared" si="124"/>
        <v>閾値の範囲内です。</v>
      </c>
      <c r="M477" s="11"/>
      <c r="N477" s="1" t="str">
        <f t="shared" si="133"/>
        <v/>
      </c>
      <c r="O477" s="1" t="n">
        <f t="shared" si="155"/>
        <v>1.0</v>
      </c>
    </row>
    <row r="478" spans="2:15" ht="15.75" customHeight="1">
      <c r="B478" s="108"/>
      <c r="C478" s="58" t="str">
        <f t="shared" si="151"/>
        <v>小規模多機能型居宅介護</v>
      </c>
      <c r="D478" s="165"/>
      <c r="E478" s="18" t="s">
        <v>47</v>
      </c>
      <c r="F478" s="39" t="n">
        <v>6288144.0</v>
      </c>
      <c r="G478" s="40" t="n">
        <v>2.0</v>
      </c>
      <c r="H478" s="80" t="s">
        <v>20</v>
      </c>
      <c r="I478" s="53" t="n">
        <f t="shared" si="152"/>
        <v>262006.0</v>
      </c>
      <c r="J478" s="21" t="n">
        <f t="shared" si="153"/>
        <v>203030.0</v>
      </c>
      <c r="K478" s="21" t="n">
        <f t="shared" si="153"/>
        <v>360210.0</v>
      </c>
      <c r="L478" s="22" t="str">
        <f t="shared" si="124"/>
        <v>閾値の範囲内です。</v>
      </c>
      <c r="M478" s="11"/>
      <c r="N478" s="1" t="str">
        <f t="shared" si="133"/>
        <v/>
      </c>
      <c r="O478" s="1" t="n">
        <f t="shared" si="155"/>
        <v>1.0</v>
      </c>
    </row>
    <row r="479" spans="2:15" ht="15.75" customHeight="1">
      <c r="B479" s="108"/>
      <c r="C479" s="58" t="str">
        <f t="shared" si="151"/>
        <v>小規模多機能型居宅介護</v>
      </c>
      <c r="D479" s="165"/>
      <c r="E479" s="18" t="s">
        <v>48</v>
      </c>
      <c r="F479" s="39" t="n">
        <v>0.0</v>
      </c>
      <c r="G479" s="40" t="n">
        <v>0.0</v>
      </c>
      <c r="H479" s="80" t="s">
        <v>20</v>
      </c>
      <c r="I479" s="53" t="str">
        <f t="shared" si="152"/>
        <v>－</v>
      </c>
      <c r="J479" s="21" t="n">
        <f t="shared" si="153"/>
        <v>225035.0</v>
      </c>
      <c r="K479" s="21" t="n">
        <f t="shared" si="153"/>
        <v>389950.0</v>
      </c>
      <c r="L479" s="22" t="str">
        <f t="shared" si="124"/>
        <v/>
      </c>
      <c r="M479" s="11"/>
      <c r="N479" s="1" t="str">
        <f t="shared" si="133"/>
        <v/>
      </c>
      <c r="O479" s="1" t="n">
        <f t="shared" si="155"/>
        <v>1.0</v>
      </c>
    </row>
    <row r="480" spans="2:15" ht="15.75" customHeight="1">
      <c r="B480" s="109"/>
      <c r="C480" s="59" t="str">
        <f t="shared" si="151"/>
        <v>小規模多機能型居宅介護</v>
      </c>
      <c r="D480" s="166"/>
      <c r="E480" s="23" t="s">
        <v>49</v>
      </c>
      <c r="F480" s="24" t="n">
        <f>SUM(F473:F479)</f>
        <v>5.7956004E7</v>
      </c>
      <c r="G480" s="25" t="n">
        <f>SUM(G473:G479)</f>
        <v>31.0</v>
      </c>
      <c r="H480" s="78" t="s">
        <v>20</v>
      </c>
      <c r="I480" s="54" t="n">
        <f t="shared" si="152"/>
        <v>155795.70967741936</v>
      </c>
      <c r="J480" s="26" t="n">
        <f t="shared" si="153"/>
        <v>97560.0</v>
      </c>
      <c r="K480" s="26" t="n">
        <f t="shared" si="153"/>
        <v>288770.0</v>
      </c>
      <c r="L480" s="27" t="str">
        <f t="shared" si="124"/>
        <v>閾値の範囲内です。</v>
      </c>
      <c r="M480" s="11"/>
      <c r="N480" s="1" t="str">
        <f t="shared" si="133"/>
        <v/>
      </c>
    </row>
    <row r="481" spans="2:15" ht="15.75" customHeight="1">
      <c r="B481" s="107">
        <v>22</v>
      </c>
      <c r="C481" s="7" t="s">
        <v>101</v>
      </c>
      <c r="D481" s="164" t="s">
        <v>416</v>
      </c>
      <c r="E481" s="15" t="s">
        <v>44</v>
      </c>
      <c r="F481" s="35" t="n">
        <v>0.0</v>
      </c>
      <c r="G481" s="36" t="n">
        <v>0.0</v>
      </c>
      <c r="H481" s="86" t="s">
        <v>20</v>
      </c>
      <c r="I481" s="52" t="str">
        <f t="shared" si="152"/>
        <v>－</v>
      </c>
      <c r="J481" s="16" t="n">
        <f>IF(data!I214&lt;0,0,data!I214)</f>
        <v>94585.0</v>
      </c>
      <c r="K481" s="16" t="n">
        <f>IF(data!J214&lt;0,0,data!J214)</f>
        <v>218650.0</v>
      </c>
      <c r="L481" s="17" t="str">
        <f t="shared" ref="L481:L498" si="156">IF(I481="－","",IF(I481&lt;J481,"下限値を\"&amp;TEXT(ROUND(J481-I481,0),"#,##0")&amp;"下回っています。",IF(I481&gt;K481,"上限値を\"&amp;TEXT(ROUND(I481-K481,0),"#,##0")&amp;"上回っています。","閾値の範囲内です。")))</f>
        <v/>
      </c>
      <c r="M481" s="11"/>
      <c r="N481" s="1" t="str">
        <f t="shared" ref="N481" si="157">IF(OR(I481="－",AND(J481="－",K481="－")),"",IF(OR(I481&lt;J481,I481&gt;K481),1,""))</f>
        <v/>
      </c>
      <c r="O481" s="1" t="n">
        <f t="shared" ref="O481:O485" si="158">IF(OR(AND(F481="",G481="",H481="－"),AND(F481="",G481="",H481="")),"",1)</f>
        <v>1.0</v>
      </c>
    </row>
    <row r="482" spans="2:15" ht="15.75" customHeight="1">
      <c r="B482" s="108"/>
      <c r="C482" s="58" t="str">
        <f t="shared" ref="C482:C516" si="159">C481</f>
        <v>看護小規模多機能型居宅介護</v>
      </c>
      <c r="D482" s="165"/>
      <c r="E482" s="18" t="s">
        <v>45</v>
      </c>
      <c r="F482" s="39" t="n">
        <v>0.0</v>
      </c>
      <c r="G482" s="40" t="n">
        <v>0.0</v>
      </c>
      <c r="H482" s="87" t="s">
        <v>20</v>
      </c>
      <c r="I482" s="53" t="str">
        <f t="shared" si="152"/>
        <v>－</v>
      </c>
      <c r="J482" s="21" t="n">
        <f>IF(data!I215&lt;0,0,data!I215)</f>
        <v>123010.0</v>
      </c>
      <c r="K482" s="21" t="n">
        <f>IF(data!J215&lt;0,0,data!J215)</f>
        <v>291665.0</v>
      </c>
      <c r="L482" s="22" t="str">
        <f t="shared" si="156"/>
        <v/>
      </c>
      <c r="M482" s="11"/>
      <c r="N482" s="1" t="str">
        <f>IF(OR(I482="－",AND(J482="－",K482="－")),"",IF(OR(I482&lt;J482,I482&gt;K482),1,""))</f>
        <v/>
      </c>
      <c r="O482" s="1" t="n">
        <f t="shared" si="158"/>
        <v>1.0</v>
      </c>
    </row>
    <row r="483" spans="2:15" ht="15.75" customHeight="1">
      <c r="B483" s="108"/>
      <c r="C483" s="58" t="str">
        <f t="shared" si="159"/>
        <v>看護小規模多機能型居宅介護</v>
      </c>
      <c r="D483" s="165"/>
      <c r="E483" s="18" t="s">
        <v>46</v>
      </c>
      <c r="F483" s="39" t="n">
        <v>0.0</v>
      </c>
      <c r="G483" s="40" t="n">
        <v>0.0</v>
      </c>
      <c r="H483" s="87" t="s">
        <v>20</v>
      </c>
      <c r="I483" s="53" t="str">
        <f t="shared" si="152"/>
        <v>－</v>
      </c>
      <c r="J483" s="21" t="n">
        <f>IF(data!I216&lt;0,0,data!I216)</f>
        <v>181925.0</v>
      </c>
      <c r="K483" s="21" t="n">
        <f>IF(data!J216&lt;0,0,data!J216)</f>
        <v>377905.0</v>
      </c>
      <c r="L483" s="22" t="str">
        <f t="shared" si="156"/>
        <v/>
      </c>
      <c r="M483" s="11"/>
      <c r="N483" s="1" t="str">
        <f t="shared" ref="N483:N499" si="160">IF(OR(I483="－",AND(J483="－",K483="－")),"",IF(OR(I483&lt;J483,I483&gt;K483),1,""))</f>
        <v/>
      </c>
      <c r="O483" s="1" t="n">
        <f t="shared" si="158"/>
        <v>1.0</v>
      </c>
    </row>
    <row r="484" spans="2:15" ht="15.75" customHeight="1">
      <c r="B484" s="108"/>
      <c r="C484" s="58" t="str">
        <f t="shared" si="159"/>
        <v>看護小規模多機能型居宅介護</v>
      </c>
      <c r="D484" s="165"/>
      <c r="E484" s="18" t="s">
        <v>47</v>
      </c>
      <c r="F484" s="39" t="n">
        <v>0.0</v>
      </c>
      <c r="G484" s="40" t="n">
        <v>0.0</v>
      </c>
      <c r="H484" s="87" t="s">
        <v>20</v>
      </c>
      <c r="I484" s="53" t="str">
        <f t="shared" si="152"/>
        <v>－</v>
      </c>
      <c r="J484" s="21" t="n">
        <f>IF(data!I217&lt;0,0,data!I217)</f>
        <v>203495.0</v>
      </c>
      <c r="K484" s="21" t="n">
        <f>IF(data!J217&lt;0,0,data!J217)</f>
        <v>413870.0</v>
      </c>
      <c r="L484" s="22" t="str">
        <f t="shared" si="156"/>
        <v/>
      </c>
      <c r="M484" s="11"/>
      <c r="N484" s="1" t="str">
        <f t="shared" si="160"/>
        <v/>
      </c>
      <c r="O484" s="1" t="n">
        <f t="shared" si="158"/>
        <v>1.0</v>
      </c>
    </row>
    <row r="485" spans="2:15" ht="15.75" customHeight="1">
      <c r="B485" s="108"/>
      <c r="C485" s="58" t="str">
        <f t="shared" si="159"/>
        <v>看護小規模多機能型居宅介護</v>
      </c>
      <c r="D485" s="165"/>
      <c r="E485" s="18" t="s">
        <v>48</v>
      </c>
      <c r="F485" s="39" t="n">
        <v>0.0</v>
      </c>
      <c r="G485" s="40" t="n">
        <v>0.0</v>
      </c>
      <c r="H485" s="87" t="s">
        <v>20</v>
      </c>
      <c r="I485" s="53" t="str">
        <f t="shared" si="152"/>
        <v>－</v>
      </c>
      <c r="J485" s="21" t="n">
        <f>IF(data!I218&lt;0,0,data!I218)</f>
        <v>227390.0</v>
      </c>
      <c r="K485" s="21" t="n">
        <f>IF(data!J218&lt;0,0,data!J218)</f>
        <v>470055.0</v>
      </c>
      <c r="L485" s="22" t="str">
        <f t="shared" si="156"/>
        <v/>
      </c>
      <c r="M485" s="11"/>
      <c r="N485" s="1" t="str">
        <f t="shared" si="160"/>
        <v/>
      </c>
      <c r="O485" s="1" t="n">
        <f t="shared" si="158"/>
        <v>1.0</v>
      </c>
    </row>
    <row r="486" spans="2:15" ht="15.75" customHeight="1">
      <c r="B486" s="108"/>
      <c r="C486" s="58" t="str">
        <f t="shared" si="159"/>
        <v>看護小規模多機能型居宅介護</v>
      </c>
      <c r="D486" s="166"/>
      <c r="E486" s="23" t="s">
        <v>49</v>
      </c>
      <c r="F486" s="24" t="n">
        <f>SUM(F481:F485)</f>
        <v>0.0</v>
      </c>
      <c r="G486" s="25" t="n">
        <f>SUM(G481:G485)</f>
        <v>0.0</v>
      </c>
      <c r="H486" s="29" t="s">
        <v>20</v>
      </c>
      <c r="I486" s="54" t="str">
        <f t="shared" si="152"/>
        <v>－</v>
      </c>
      <c r="J486" s="26" t="n">
        <f>IF(data!I219&lt;0,0,data!I219)</f>
        <v>111920.0</v>
      </c>
      <c r="K486" s="26" t="n">
        <f>IF(data!J219&lt;0,0,data!J219)</f>
        <v>420160.0</v>
      </c>
      <c r="L486" s="27" t="str">
        <f t="shared" si="156"/>
        <v/>
      </c>
      <c r="M486" s="11"/>
      <c r="N486" s="1" t="str">
        <f t="shared" si="160"/>
        <v/>
      </c>
    </row>
    <row r="487" spans="2:15" ht="15.75" customHeight="1">
      <c r="B487" s="108"/>
      <c r="C487" s="58" t="str">
        <f t="shared" si="159"/>
        <v>看護小規模多機能型居宅介護</v>
      </c>
      <c r="D487" s="165" t="s">
        <v>415</v>
      </c>
      <c r="E487" s="15" t="s">
        <v>44</v>
      </c>
      <c r="F487" s="35" t="n">
        <v>0.0</v>
      </c>
      <c r="G487" s="36" t="n">
        <v>0.0</v>
      </c>
      <c r="H487" s="86" t="s">
        <v>20</v>
      </c>
      <c r="I487" s="52" t="str">
        <f t="shared" si="152"/>
        <v>－</v>
      </c>
      <c r="J487" s="16" t="n">
        <f t="shared" ref="J487:K498" si="161">J481</f>
        <v>94585.0</v>
      </c>
      <c r="K487" s="16" t="n">
        <f t="shared" si="161"/>
        <v>218650.0</v>
      </c>
      <c r="L487" s="17" t="str">
        <f t="shared" si="156"/>
        <v/>
      </c>
      <c r="M487" s="11"/>
      <c r="N487" s="1" t="str">
        <f t="shared" si="160"/>
        <v/>
      </c>
      <c r="O487" s="1" t="n">
        <f t="shared" ref="O487:O491" si="162">IF(OR(AND(F487="",G487="",H487="－"),AND(F487="",G487="",H487="")),"",1)</f>
        <v>1.0</v>
      </c>
    </row>
    <row r="488" spans="2:15" ht="15.75" customHeight="1">
      <c r="B488" s="108"/>
      <c r="C488" s="58" t="str">
        <f t="shared" si="159"/>
        <v>看護小規模多機能型居宅介護</v>
      </c>
      <c r="D488" s="165"/>
      <c r="E488" s="18" t="s">
        <v>45</v>
      </c>
      <c r="F488" s="39" t="n">
        <v>0.0</v>
      </c>
      <c r="G488" s="40" t="n">
        <v>0.0</v>
      </c>
      <c r="H488" s="87" t="s">
        <v>20</v>
      </c>
      <c r="I488" s="53" t="str">
        <f t="shared" si="152"/>
        <v>－</v>
      </c>
      <c r="J488" s="21" t="n">
        <f t="shared" si="161"/>
        <v>123010.0</v>
      </c>
      <c r="K488" s="21" t="n">
        <f t="shared" si="161"/>
        <v>291665.0</v>
      </c>
      <c r="L488" s="22" t="str">
        <f t="shared" si="156"/>
        <v/>
      </c>
      <c r="M488" s="11"/>
      <c r="N488" s="1" t="str">
        <f t="shared" si="160"/>
        <v/>
      </c>
      <c r="O488" s="1" t="n">
        <f t="shared" si="162"/>
        <v>1.0</v>
      </c>
    </row>
    <row r="489" spans="2:15" ht="15.75" customHeight="1">
      <c r="B489" s="108"/>
      <c r="C489" s="58" t="str">
        <f t="shared" si="159"/>
        <v>看護小規模多機能型居宅介護</v>
      </c>
      <c r="D489" s="165"/>
      <c r="E489" s="18" t="s">
        <v>46</v>
      </c>
      <c r="F489" s="39" t="n">
        <v>0.0</v>
      </c>
      <c r="G489" s="40" t="n">
        <v>0.0</v>
      </c>
      <c r="H489" s="87" t="s">
        <v>20</v>
      </c>
      <c r="I489" s="53" t="str">
        <f t="shared" si="152"/>
        <v>－</v>
      </c>
      <c r="J489" s="21" t="n">
        <f t="shared" si="161"/>
        <v>181925.0</v>
      </c>
      <c r="K489" s="21" t="n">
        <f t="shared" si="161"/>
        <v>377905.0</v>
      </c>
      <c r="L489" s="22" t="str">
        <f t="shared" si="156"/>
        <v/>
      </c>
      <c r="M489" s="11"/>
      <c r="N489" s="1" t="str">
        <f t="shared" si="160"/>
        <v/>
      </c>
      <c r="O489" s="1" t="n">
        <f t="shared" si="162"/>
        <v>1.0</v>
      </c>
    </row>
    <row r="490" spans="2:15" ht="15.75" customHeight="1">
      <c r="B490" s="108"/>
      <c r="C490" s="58" t="str">
        <f t="shared" si="159"/>
        <v>看護小規模多機能型居宅介護</v>
      </c>
      <c r="D490" s="165"/>
      <c r="E490" s="18" t="s">
        <v>47</v>
      </c>
      <c r="F490" s="39" t="n">
        <v>0.0</v>
      </c>
      <c r="G490" s="40" t="n">
        <v>0.0</v>
      </c>
      <c r="H490" s="87" t="s">
        <v>20</v>
      </c>
      <c r="I490" s="53" t="str">
        <f t="shared" si="152"/>
        <v>－</v>
      </c>
      <c r="J490" s="21" t="n">
        <f t="shared" si="161"/>
        <v>203495.0</v>
      </c>
      <c r="K490" s="21" t="n">
        <f t="shared" si="161"/>
        <v>413870.0</v>
      </c>
      <c r="L490" s="22" t="str">
        <f t="shared" si="156"/>
        <v/>
      </c>
      <c r="M490" s="11"/>
      <c r="N490" s="1" t="str">
        <f t="shared" si="160"/>
        <v/>
      </c>
      <c r="O490" s="1" t="n">
        <f t="shared" si="162"/>
        <v>1.0</v>
      </c>
    </row>
    <row r="491" spans="2:15" ht="15.75" customHeight="1">
      <c r="B491" s="108"/>
      <c r="C491" s="58" t="str">
        <f t="shared" si="159"/>
        <v>看護小規模多機能型居宅介護</v>
      </c>
      <c r="D491" s="165"/>
      <c r="E491" s="18" t="s">
        <v>48</v>
      </c>
      <c r="F491" s="39" t="n">
        <v>0.0</v>
      </c>
      <c r="G491" s="40" t="n">
        <v>0.0</v>
      </c>
      <c r="H491" s="87" t="s">
        <v>20</v>
      </c>
      <c r="I491" s="53" t="str">
        <f t="shared" si="152"/>
        <v>－</v>
      </c>
      <c r="J491" s="21" t="n">
        <f t="shared" si="161"/>
        <v>227390.0</v>
      </c>
      <c r="K491" s="21" t="n">
        <f t="shared" si="161"/>
        <v>470055.0</v>
      </c>
      <c r="L491" s="22" t="str">
        <f t="shared" si="156"/>
        <v/>
      </c>
      <c r="M491" s="11"/>
      <c r="N491" s="1" t="str">
        <f t="shared" si="160"/>
        <v/>
      </c>
      <c r="O491" s="1" t="n">
        <f t="shared" si="162"/>
        <v>1.0</v>
      </c>
    </row>
    <row r="492" spans="2:15" ht="15.75" customHeight="1">
      <c r="B492" s="108"/>
      <c r="C492" s="58" t="str">
        <f t="shared" si="159"/>
        <v>看護小規模多機能型居宅介護</v>
      </c>
      <c r="D492" s="166"/>
      <c r="E492" s="23" t="s">
        <v>49</v>
      </c>
      <c r="F492" s="24" t="n">
        <f>SUM(F487:F491)</f>
        <v>0.0</v>
      </c>
      <c r="G492" s="25" t="n">
        <f>SUM(G487:G491)</f>
        <v>0.0</v>
      </c>
      <c r="H492" s="29" t="s">
        <v>20</v>
      </c>
      <c r="I492" s="54" t="str">
        <f t="shared" si="152"/>
        <v>－</v>
      </c>
      <c r="J492" s="21" t="n">
        <f t="shared" si="161"/>
        <v>111920.0</v>
      </c>
      <c r="K492" s="21" t="n">
        <f t="shared" si="161"/>
        <v>420160.0</v>
      </c>
      <c r="L492" s="27" t="str">
        <f t="shared" si="156"/>
        <v/>
      </c>
      <c r="M492" s="11"/>
      <c r="N492" s="1" t="str">
        <f t="shared" si="160"/>
        <v/>
      </c>
    </row>
    <row r="493" spans="2:15" ht="15.75" customHeight="1">
      <c r="B493" s="108"/>
      <c r="C493" s="58" t="str">
        <f t="shared" si="159"/>
        <v>看護小規模多機能型居宅介護</v>
      </c>
      <c r="D493" s="165" t="s">
        <v>414</v>
      </c>
      <c r="E493" s="15" t="s">
        <v>44</v>
      </c>
      <c r="F493" s="35" t="n">
        <v>0.0</v>
      </c>
      <c r="G493" s="36" t="n">
        <v>0.0</v>
      </c>
      <c r="H493" s="86" t="s">
        <v>20</v>
      </c>
      <c r="I493" s="52" t="str">
        <f t="shared" si="152"/>
        <v>－</v>
      </c>
      <c r="J493" s="16" t="n">
        <f t="shared" si="161"/>
        <v>94585.0</v>
      </c>
      <c r="K493" s="16" t="n">
        <f t="shared" si="161"/>
        <v>218650.0</v>
      </c>
      <c r="L493" s="17" t="str">
        <f t="shared" si="156"/>
        <v/>
      </c>
      <c r="M493" s="11"/>
      <c r="N493" s="1" t="str">
        <f t="shared" si="160"/>
        <v/>
      </c>
      <c r="O493" s="1" t="n">
        <f t="shared" ref="O493:O497" si="163">IF(OR(AND(F493="",G493="",H493="－"),AND(F493="",G493="",H493="")),"",1)</f>
        <v>1.0</v>
      </c>
    </row>
    <row r="494" spans="2:15" ht="15.75" customHeight="1">
      <c r="B494" s="108"/>
      <c r="C494" s="58" t="str">
        <f t="shared" si="159"/>
        <v>看護小規模多機能型居宅介護</v>
      </c>
      <c r="D494" s="165"/>
      <c r="E494" s="18" t="s">
        <v>45</v>
      </c>
      <c r="F494" s="39" t="n">
        <v>0.0</v>
      </c>
      <c r="G494" s="40" t="n">
        <v>0.0</v>
      </c>
      <c r="H494" s="87" t="s">
        <v>20</v>
      </c>
      <c r="I494" s="53" t="str">
        <f t="shared" si="152"/>
        <v>－</v>
      </c>
      <c r="J494" s="21" t="n">
        <f t="shared" si="161"/>
        <v>123010.0</v>
      </c>
      <c r="K494" s="21" t="n">
        <f t="shared" si="161"/>
        <v>291665.0</v>
      </c>
      <c r="L494" s="22" t="str">
        <f t="shared" si="156"/>
        <v/>
      </c>
      <c r="M494" s="11"/>
      <c r="N494" s="1" t="str">
        <f t="shared" si="160"/>
        <v/>
      </c>
      <c r="O494" s="1" t="n">
        <f t="shared" si="163"/>
        <v>1.0</v>
      </c>
    </row>
    <row r="495" spans="2:15" ht="15.75" customHeight="1">
      <c r="B495" s="108"/>
      <c r="C495" s="58" t="str">
        <f t="shared" si="159"/>
        <v>看護小規模多機能型居宅介護</v>
      </c>
      <c r="D495" s="165"/>
      <c r="E495" s="18" t="s">
        <v>46</v>
      </c>
      <c r="F495" s="39" t="n">
        <v>0.0</v>
      </c>
      <c r="G495" s="40" t="n">
        <v>0.0</v>
      </c>
      <c r="H495" s="87" t="s">
        <v>20</v>
      </c>
      <c r="I495" s="53" t="str">
        <f t="shared" si="152"/>
        <v>－</v>
      </c>
      <c r="J495" s="21" t="n">
        <f t="shared" si="161"/>
        <v>181925.0</v>
      </c>
      <c r="K495" s="21" t="n">
        <f t="shared" si="161"/>
        <v>377905.0</v>
      </c>
      <c r="L495" s="22" t="str">
        <f t="shared" si="156"/>
        <v/>
      </c>
      <c r="M495" s="11"/>
      <c r="N495" s="1" t="str">
        <f t="shared" si="160"/>
        <v/>
      </c>
      <c r="O495" s="1" t="n">
        <f t="shared" si="163"/>
        <v>1.0</v>
      </c>
    </row>
    <row r="496" spans="2:15" ht="15.75" customHeight="1">
      <c r="B496" s="108"/>
      <c r="C496" s="58" t="str">
        <f t="shared" si="159"/>
        <v>看護小規模多機能型居宅介護</v>
      </c>
      <c r="D496" s="165"/>
      <c r="E496" s="18" t="s">
        <v>47</v>
      </c>
      <c r="F496" s="39" t="n">
        <v>0.0</v>
      </c>
      <c r="G496" s="40" t="n">
        <v>0.0</v>
      </c>
      <c r="H496" s="87" t="s">
        <v>20</v>
      </c>
      <c r="I496" s="53" t="str">
        <f t="shared" si="152"/>
        <v>－</v>
      </c>
      <c r="J496" s="21" t="n">
        <f t="shared" si="161"/>
        <v>203495.0</v>
      </c>
      <c r="K496" s="21" t="n">
        <f t="shared" si="161"/>
        <v>413870.0</v>
      </c>
      <c r="L496" s="22" t="str">
        <f t="shared" si="156"/>
        <v/>
      </c>
      <c r="M496" s="11"/>
      <c r="N496" s="1" t="str">
        <f t="shared" si="160"/>
        <v/>
      </c>
      <c r="O496" s="1" t="n">
        <f t="shared" si="163"/>
        <v>1.0</v>
      </c>
    </row>
    <row r="497" spans="2:15" ht="15.75" customHeight="1">
      <c r="B497" s="108"/>
      <c r="C497" s="58" t="str">
        <f t="shared" si="159"/>
        <v>看護小規模多機能型居宅介護</v>
      </c>
      <c r="D497" s="165"/>
      <c r="E497" s="18" t="s">
        <v>48</v>
      </c>
      <c r="F497" s="39" t="n">
        <v>0.0</v>
      </c>
      <c r="G497" s="40" t="n">
        <v>0.0</v>
      </c>
      <c r="H497" s="87" t="s">
        <v>20</v>
      </c>
      <c r="I497" s="53" t="str">
        <f t="shared" si="152"/>
        <v>－</v>
      </c>
      <c r="J497" s="21" t="n">
        <f t="shared" si="161"/>
        <v>227390.0</v>
      </c>
      <c r="K497" s="21" t="n">
        <f t="shared" si="161"/>
        <v>470055.0</v>
      </c>
      <c r="L497" s="22" t="str">
        <f t="shared" si="156"/>
        <v/>
      </c>
      <c r="M497" s="11"/>
      <c r="N497" s="1" t="str">
        <f t="shared" si="160"/>
        <v/>
      </c>
      <c r="O497" s="1" t="n">
        <f t="shared" si="163"/>
        <v>1.0</v>
      </c>
    </row>
    <row r="498" spans="2:15" ht="15.75" customHeight="1">
      <c r="B498" s="10"/>
      <c r="C498" s="59" t="str">
        <f t="shared" si="159"/>
        <v>看護小規模多機能型居宅介護</v>
      </c>
      <c r="D498" s="166"/>
      <c r="E498" s="23" t="s">
        <v>49</v>
      </c>
      <c r="F498" s="24" t="n">
        <f>SUM(F493:F497)</f>
        <v>0.0</v>
      </c>
      <c r="G498" s="25" t="n">
        <f>SUM(G493:G497)</f>
        <v>0.0</v>
      </c>
      <c r="H498" s="29" t="s">
        <v>20</v>
      </c>
      <c r="I498" s="54" t="str">
        <f t="shared" si="152"/>
        <v>－</v>
      </c>
      <c r="J498" s="26" t="n">
        <f t="shared" si="161"/>
        <v>111920.0</v>
      </c>
      <c r="K498" s="26" t="n">
        <f t="shared" si="161"/>
        <v>420160.0</v>
      </c>
      <c r="L498" s="27" t="str">
        <f t="shared" si="156"/>
        <v/>
      </c>
      <c r="M498" s="11"/>
      <c r="N498" s="1" t="str">
        <f t="shared" si="160"/>
        <v/>
      </c>
    </row>
    <row r="499" spans="2:15" ht="15.75" hidden="1" customHeight="1">
      <c r="B499" s="107"/>
      <c r="C499" s="7"/>
      <c r="D499" s="164" t="s">
        <v>416</v>
      </c>
      <c r="E499" s="15" t="s">
        <v>44</v>
      </c>
      <c r="F499" s="126"/>
      <c r="G499" s="127"/>
      <c r="H499" s="86" t="s">
        <v>20</v>
      </c>
      <c r="I499" s="52" t="str">
        <f t="shared" ref="I499:I516" si="164">IF(H499="－",IF(ISERROR(F499/G499/12)=TRUE,"－",F499/G499/12),IF(ISERROR(F499/G499/H499/12)=TRUE,"－",F499/G499/H499/12))</f>
        <v>－</v>
      </c>
      <c r="J499" s="117" t="s">
        <v>119</v>
      </c>
      <c r="K499" s="117" t="s">
        <v>119</v>
      </c>
      <c r="L499" s="118" t="s">
        <v>57</v>
      </c>
      <c r="M499" s="11"/>
      <c r="N499" s="1" t="str">
        <f t="shared" si="160"/>
        <v/>
      </c>
      <c r="O499" s="1" t="str">
        <f t="shared" ref="O499:O503" si="165">IF(OR(AND(F499="",G499="",H499="－"),AND(F499="",G499="",H499="")),"",1)</f>
        <v/>
      </c>
    </row>
    <row r="500" spans="2:15" ht="15.75" hidden="1" customHeight="1">
      <c r="B500" s="108"/>
      <c r="C500" s="58" t="n">
        <f t="shared" si="159"/>
        <v>0.0</v>
      </c>
      <c r="D500" s="165"/>
      <c r="E500" s="18" t="s">
        <v>45</v>
      </c>
      <c r="F500" s="128"/>
      <c r="G500" s="129"/>
      <c r="H500" s="87" t="s">
        <v>20</v>
      </c>
      <c r="I500" s="53" t="str">
        <f t="shared" si="164"/>
        <v>－</v>
      </c>
      <c r="J500" s="119" t="s">
        <v>119</v>
      </c>
      <c r="K500" s="119" t="s">
        <v>119</v>
      </c>
      <c r="L500" s="120" t="s">
        <v>57</v>
      </c>
      <c r="M500" s="11"/>
      <c r="N500" s="1" t="str">
        <f>IF(OR(I500="－",AND(J500="－",K500="－")),"",IF(OR(I500&lt;J500,I500&gt;K500),1,""))</f>
        <v/>
      </c>
      <c r="O500" s="1" t="str">
        <f t="shared" si="165"/>
        <v/>
      </c>
    </row>
    <row r="501" spans="2:15" ht="15.75" hidden="1" customHeight="1">
      <c r="B501" s="108"/>
      <c r="C501" s="58" t="n">
        <f t="shared" si="159"/>
        <v>0.0</v>
      </c>
      <c r="D501" s="165"/>
      <c r="E501" s="18" t="s">
        <v>46</v>
      </c>
      <c r="F501" s="128"/>
      <c r="G501" s="129"/>
      <c r="H501" s="87" t="s">
        <v>20</v>
      </c>
      <c r="I501" s="53" t="str">
        <f t="shared" si="164"/>
        <v>－</v>
      </c>
      <c r="J501" s="119" t="s">
        <v>119</v>
      </c>
      <c r="K501" s="119" t="s">
        <v>119</v>
      </c>
      <c r="L501" s="120" t="s">
        <v>57</v>
      </c>
      <c r="M501" s="11"/>
      <c r="N501" s="1" t="str">
        <f t="shared" ref="N501:N516" si="166">IF(OR(I501="－",AND(J501="－",K501="－")),"",IF(OR(I501&lt;J501,I501&gt;K501),1,""))</f>
        <v/>
      </c>
      <c r="O501" s="1" t="str">
        <f t="shared" si="165"/>
        <v/>
      </c>
    </row>
    <row r="502" spans="2:15" ht="15.75" hidden="1" customHeight="1">
      <c r="B502" s="108"/>
      <c r="C502" s="58" t="n">
        <f t="shared" si="159"/>
        <v>0.0</v>
      </c>
      <c r="D502" s="165"/>
      <c r="E502" s="18" t="s">
        <v>47</v>
      </c>
      <c r="F502" s="128"/>
      <c r="G502" s="129"/>
      <c r="H502" s="87" t="s">
        <v>20</v>
      </c>
      <c r="I502" s="53" t="str">
        <f t="shared" si="164"/>
        <v>－</v>
      </c>
      <c r="J502" s="119" t="s">
        <v>119</v>
      </c>
      <c r="K502" s="119" t="s">
        <v>119</v>
      </c>
      <c r="L502" s="120" t="s">
        <v>57</v>
      </c>
      <c r="M502" s="11"/>
      <c r="N502" s="1" t="str">
        <f t="shared" si="166"/>
        <v/>
      </c>
      <c r="O502" s="1" t="str">
        <f t="shared" si="165"/>
        <v/>
      </c>
    </row>
    <row r="503" spans="2:15" ht="15.75" hidden="1" customHeight="1">
      <c r="B503" s="108"/>
      <c r="C503" s="58" t="n">
        <f t="shared" si="159"/>
        <v>0.0</v>
      </c>
      <c r="D503" s="165"/>
      <c r="E503" s="18" t="s">
        <v>48</v>
      </c>
      <c r="F503" s="128"/>
      <c r="G503" s="129"/>
      <c r="H503" s="87" t="s">
        <v>20</v>
      </c>
      <c r="I503" s="53" t="str">
        <f t="shared" si="164"/>
        <v>－</v>
      </c>
      <c r="J503" s="119" t="s">
        <v>119</v>
      </c>
      <c r="K503" s="119" t="s">
        <v>119</v>
      </c>
      <c r="L503" s="120" t="s">
        <v>57</v>
      </c>
      <c r="M503" s="11"/>
      <c r="N503" s="1" t="str">
        <f t="shared" si="166"/>
        <v/>
      </c>
      <c r="O503" s="1" t="str">
        <f t="shared" si="165"/>
        <v/>
      </c>
    </row>
    <row r="504" spans="2:15" ht="15.75" hidden="1" customHeight="1">
      <c r="B504" s="108"/>
      <c r="C504" s="58" t="n">
        <f t="shared" si="159"/>
        <v>0.0</v>
      </c>
      <c r="D504" s="166"/>
      <c r="E504" s="23" t="s">
        <v>49</v>
      </c>
      <c r="F504" s="130"/>
      <c r="G504" s="131"/>
      <c r="H504" s="29" t="s">
        <v>20</v>
      </c>
      <c r="I504" s="54" t="str">
        <f t="shared" si="164"/>
        <v>－</v>
      </c>
      <c r="J504" s="121" t="s">
        <v>119</v>
      </c>
      <c r="K504" s="121" t="s">
        <v>119</v>
      </c>
      <c r="L504" s="122" t="s">
        <v>57</v>
      </c>
      <c r="M504" s="11"/>
      <c r="N504" s="1" t="str">
        <f t="shared" si="166"/>
        <v/>
      </c>
    </row>
    <row r="505" spans="2:15" ht="15.75" hidden="1" customHeight="1">
      <c r="B505" s="108"/>
      <c r="C505" s="58" t="n">
        <f t="shared" si="159"/>
        <v>0.0</v>
      </c>
      <c r="D505" s="165" t="s">
        <v>415</v>
      </c>
      <c r="E505" s="15" t="s">
        <v>44</v>
      </c>
      <c r="F505" s="126"/>
      <c r="G505" s="127"/>
      <c r="H505" s="86" t="s">
        <v>20</v>
      </c>
      <c r="I505" s="52" t="str">
        <f t="shared" si="164"/>
        <v>－</v>
      </c>
      <c r="J505" s="117" t="s">
        <v>119</v>
      </c>
      <c r="K505" s="117" t="s">
        <v>119</v>
      </c>
      <c r="L505" s="118" t="s">
        <v>57</v>
      </c>
      <c r="M505" s="11"/>
      <c r="N505" s="1" t="str">
        <f t="shared" si="166"/>
        <v/>
      </c>
      <c r="O505" s="1" t="str">
        <f t="shared" ref="O505:O509" si="167">IF(OR(AND(F505="",G505="",H505="－"),AND(F505="",G505="",H505="")),"",1)</f>
        <v/>
      </c>
    </row>
    <row r="506" spans="2:15" ht="15.75" hidden="1" customHeight="1">
      <c r="B506" s="108"/>
      <c r="C506" s="58" t="n">
        <f t="shared" si="159"/>
        <v>0.0</v>
      </c>
      <c r="D506" s="165"/>
      <c r="E506" s="18" t="s">
        <v>45</v>
      </c>
      <c r="F506" s="128"/>
      <c r="G506" s="129"/>
      <c r="H506" s="87" t="s">
        <v>20</v>
      </c>
      <c r="I506" s="53" t="str">
        <f t="shared" si="164"/>
        <v>－</v>
      </c>
      <c r="J506" s="119" t="s">
        <v>119</v>
      </c>
      <c r="K506" s="119" t="s">
        <v>119</v>
      </c>
      <c r="L506" s="120" t="s">
        <v>57</v>
      </c>
      <c r="M506" s="11"/>
      <c r="N506" s="1" t="str">
        <f t="shared" si="166"/>
        <v/>
      </c>
      <c r="O506" s="1" t="str">
        <f t="shared" si="167"/>
        <v/>
      </c>
    </row>
    <row r="507" spans="2:15" ht="15.75" hidden="1" customHeight="1">
      <c r="B507" s="108"/>
      <c r="C507" s="58" t="n">
        <f t="shared" si="159"/>
        <v>0.0</v>
      </c>
      <c r="D507" s="165"/>
      <c r="E507" s="18" t="s">
        <v>46</v>
      </c>
      <c r="F507" s="128"/>
      <c r="G507" s="129"/>
      <c r="H507" s="87" t="s">
        <v>20</v>
      </c>
      <c r="I507" s="53" t="str">
        <f t="shared" si="164"/>
        <v>－</v>
      </c>
      <c r="J507" s="119" t="s">
        <v>119</v>
      </c>
      <c r="K507" s="119" t="s">
        <v>119</v>
      </c>
      <c r="L507" s="120" t="s">
        <v>57</v>
      </c>
      <c r="M507" s="11"/>
      <c r="N507" s="1" t="str">
        <f t="shared" si="166"/>
        <v/>
      </c>
      <c r="O507" s="1" t="str">
        <f t="shared" si="167"/>
        <v/>
      </c>
    </row>
    <row r="508" spans="2:15" ht="15.75" hidden="1" customHeight="1">
      <c r="B508" s="108"/>
      <c r="C508" s="58" t="n">
        <f t="shared" si="159"/>
        <v>0.0</v>
      </c>
      <c r="D508" s="165"/>
      <c r="E508" s="18" t="s">
        <v>47</v>
      </c>
      <c r="F508" s="128"/>
      <c r="G508" s="129"/>
      <c r="H508" s="87" t="s">
        <v>20</v>
      </c>
      <c r="I508" s="53" t="str">
        <f t="shared" si="164"/>
        <v>－</v>
      </c>
      <c r="J508" s="119" t="s">
        <v>119</v>
      </c>
      <c r="K508" s="119" t="s">
        <v>119</v>
      </c>
      <c r="L508" s="120" t="s">
        <v>57</v>
      </c>
      <c r="M508" s="11"/>
      <c r="N508" s="1" t="str">
        <f t="shared" si="166"/>
        <v/>
      </c>
      <c r="O508" s="1" t="str">
        <f t="shared" si="167"/>
        <v/>
      </c>
    </row>
    <row r="509" spans="2:15" ht="15.75" hidden="1" customHeight="1">
      <c r="B509" s="108"/>
      <c r="C509" s="58" t="n">
        <f t="shared" si="159"/>
        <v>0.0</v>
      </c>
      <c r="D509" s="165"/>
      <c r="E509" s="18" t="s">
        <v>48</v>
      </c>
      <c r="F509" s="128"/>
      <c r="G509" s="129"/>
      <c r="H509" s="87" t="s">
        <v>20</v>
      </c>
      <c r="I509" s="53" t="str">
        <f t="shared" si="164"/>
        <v>－</v>
      </c>
      <c r="J509" s="119" t="s">
        <v>119</v>
      </c>
      <c r="K509" s="119" t="s">
        <v>119</v>
      </c>
      <c r="L509" s="120" t="s">
        <v>57</v>
      </c>
      <c r="M509" s="11"/>
      <c r="N509" s="1" t="str">
        <f t="shared" si="166"/>
        <v/>
      </c>
      <c r="O509" s="1" t="str">
        <f t="shared" si="167"/>
        <v/>
      </c>
    </row>
    <row r="510" spans="2:15" ht="15.75" hidden="1" customHeight="1">
      <c r="B510" s="108"/>
      <c r="C510" s="58" t="n">
        <f t="shared" si="159"/>
        <v>0.0</v>
      </c>
      <c r="D510" s="166"/>
      <c r="E510" s="23" t="s">
        <v>49</v>
      </c>
      <c r="F510" s="130"/>
      <c r="G510" s="131"/>
      <c r="H510" s="29" t="s">
        <v>20</v>
      </c>
      <c r="I510" s="54" t="str">
        <f t="shared" si="164"/>
        <v>－</v>
      </c>
      <c r="J510" s="119" t="s">
        <v>119</v>
      </c>
      <c r="K510" s="119" t="s">
        <v>119</v>
      </c>
      <c r="L510" s="122" t="s">
        <v>57</v>
      </c>
      <c r="M510" s="11"/>
      <c r="N510" s="1" t="str">
        <f t="shared" si="166"/>
        <v/>
      </c>
    </row>
    <row r="511" spans="2:15" ht="15.75" hidden="1" customHeight="1">
      <c r="B511" s="108"/>
      <c r="C511" s="58" t="n">
        <f t="shared" si="159"/>
        <v>0.0</v>
      </c>
      <c r="D511" s="165" t="s">
        <v>414</v>
      </c>
      <c r="E511" s="15" t="s">
        <v>44</v>
      </c>
      <c r="F511" s="126"/>
      <c r="G511" s="127"/>
      <c r="H511" s="86" t="s">
        <v>20</v>
      </c>
      <c r="I511" s="52" t="str">
        <f t="shared" si="164"/>
        <v>－</v>
      </c>
      <c r="J511" s="117" t="s">
        <v>119</v>
      </c>
      <c r="K511" s="117" t="s">
        <v>119</v>
      </c>
      <c r="L511" s="118" t="s">
        <v>57</v>
      </c>
      <c r="M511" s="11"/>
      <c r="N511" s="1" t="str">
        <f t="shared" si="166"/>
        <v/>
      </c>
      <c r="O511" s="1" t="str">
        <f t="shared" ref="O511:O515" si="168">IF(OR(AND(F511="",G511="",H511="－"),AND(F511="",G511="",H511="")),"",1)</f>
        <v/>
      </c>
    </row>
    <row r="512" spans="2:15" ht="15.75" hidden="1" customHeight="1">
      <c r="B512" s="108"/>
      <c r="C512" s="58" t="n">
        <f t="shared" si="159"/>
        <v>0.0</v>
      </c>
      <c r="D512" s="165"/>
      <c r="E512" s="18" t="s">
        <v>45</v>
      </c>
      <c r="F512" s="128"/>
      <c r="G512" s="129"/>
      <c r="H512" s="87" t="s">
        <v>20</v>
      </c>
      <c r="I512" s="53" t="str">
        <f t="shared" si="164"/>
        <v>－</v>
      </c>
      <c r="J512" s="119" t="s">
        <v>119</v>
      </c>
      <c r="K512" s="119" t="s">
        <v>119</v>
      </c>
      <c r="L512" s="120" t="s">
        <v>57</v>
      </c>
      <c r="M512" s="11"/>
      <c r="N512" s="1" t="str">
        <f t="shared" si="166"/>
        <v/>
      </c>
      <c r="O512" s="1" t="str">
        <f t="shared" si="168"/>
        <v/>
      </c>
    </row>
    <row r="513" spans="2:15" ht="15.75" hidden="1" customHeight="1">
      <c r="B513" s="108"/>
      <c r="C513" s="58" t="n">
        <f t="shared" si="159"/>
        <v>0.0</v>
      </c>
      <c r="D513" s="165"/>
      <c r="E513" s="18" t="s">
        <v>46</v>
      </c>
      <c r="F513" s="128"/>
      <c r="G513" s="129"/>
      <c r="H513" s="87" t="s">
        <v>20</v>
      </c>
      <c r="I513" s="53" t="str">
        <f t="shared" si="164"/>
        <v>－</v>
      </c>
      <c r="J513" s="119" t="s">
        <v>119</v>
      </c>
      <c r="K513" s="119" t="s">
        <v>119</v>
      </c>
      <c r="L513" s="120" t="s">
        <v>57</v>
      </c>
      <c r="M513" s="11"/>
      <c r="N513" s="1" t="str">
        <f t="shared" si="166"/>
        <v/>
      </c>
      <c r="O513" s="1" t="str">
        <f t="shared" si="168"/>
        <v/>
      </c>
    </row>
    <row r="514" spans="2:15" ht="15.75" hidden="1" customHeight="1">
      <c r="B514" s="108"/>
      <c r="C514" s="58" t="n">
        <f t="shared" si="159"/>
        <v>0.0</v>
      </c>
      <c r="D514" s="165"/>
      <c r="E514" s="18" t="s">
        <v>47</v>
      </c>
      <c r="F514" s="128"/>
      <c r="G514" s="129"/>
      <c r="H514" s="87" t="s">
        <v>20</v>
      </c>
      <c r="I514" s="53" t="str">
        <f t="shared" si="164"/>
        <v>－</v>
      </c>
      <c r="J514" s="119" t="s">
        <v>119</v>
      </c>
      <c r="K514" s="119" t="s">
        <v>119</v>
      </c>
      <c r="L514" s="120" t="s">
        <v>57</v>
      </c>
      <c r="M514" s="11"/>
      <c r="N514" s="1" t="str">
        <f t="shared" si="166"/>
        <v/>
      </c>
      <c r="O514" s="1" t="str">
        <f t="shared" si="168"/>
        <v/>
      </c>
    </row>
    <row r="515" spans="2:15" ht="15.75" hidden="1" customHeight="1">
      <c r="B515" s="108"/>
      <c r="C515" s="58" t="n">
        <f t="shared" si="159"/>
        <v>0.0</v>
      </c>
      <c r="D515" s="165"/>
      <c r="E515" s="18" t="s">
        <v>48</v>
      </c>
      <c r="F515" s="128"/>
      <c r="G515" s="129"/>
      <c r="H515" s="87" t="s">
        <v>20</v>
      </c>
      <c r="I515" s="53" t="str">
        <f t="shared" si="164"/>
        <v>－</v>
      </c>
      <c r="J515" s="119" t="s">
        <v>119</v>
      </c>
      <c r="K515" s="119" t="s">
        <v>119</v>
      </c>
      <c r="L515" s="120" t="s">
        <v>57</v>
      </c>
      <c r="M515" s="11"/>
      <c r="N515" s="1" t="str">
        <f t="shared" si="166"/>
        <v/>
      </c>
      <c r="O515" s="1" t="str">
        <f t="shared" si="168"/>
        <v/>
      </c>
    </row>
    <row r="516" spans="2:15" ht="15.75" hidden="1" customHeight="1">
      <c r="B516" s="10"/>
      <c r="C516" s="59" t="n">
        <f t="shared" si="159"/>
        <v>0.0</v>
      </c>
      <c r="D516" s="166"/>
      <c r="E516" s="23" t="s">
        <v>49</v>
      </c>
      <c r="F516" s="130"/>
      <c r="G516" s="131"/>
      <c r="H516" s="29" t="s">
        <v>20</v>
      </c>
      <c r="I516" s="54" t="str">
        <f t="shared" si="164"/>
        <v>－</v>
      </c>
      <c r="J516" s="121" t="s">
        <v>119</v>
      </c>
      <c r="K516" s="121" t="s">
        <v>119</v>
      </c>
      <c r="L516" s="122" t="s">
        <v>57</v>
      </c>
      <c r="M516" s="11"/>
      <c r="N516" s="1" t="str">
        <f t="shared" si="166"/>
        <v/>
      </c>
    </row>
    <row r="517" spans="2:15">
      <c r="O517" s="1" t="n">
        <f>IF(COUNTIF(O7:O498,1)&gt;0,1,"")</f>
        <v>1.0</v>
      </c>
    </row>
  </sheetData>
  <mergeCells count="78">
    <mergeCell ref="D499:D504"/>
    <mergeCell ref="D505:D510"/>
    <mergeCell ref="D511:D516"/>
    <mergeCell ref="D315:D322"/>
    <mergeCell ref="D323:D330"/>
    <mergeCell ref="D331:D338"/>
    <mergeCell ref="D339:D346"/>
    <mergeCell ref="D347:D354"/>
    <mergeCell ref="D481:D486"/>
    <mergeCell ref="D379:D384"/>
    <mergeCell ref="D385:D390"/>
    <mergeCell ref="D391:D396"/>
    <mergeCell ref="D397:D402"/>
    <mergeCell ref="D403:D408"/>
    <mergeCell ref="D409:D414"/>
    <mergeCell ref="D433:D440"/>
    <mergeCell ref="D97:D104"/>
    <mergeCell ref="D65:D72"/>
    <mergeCell ref="D89:D96"/>
    <mergeCell ref="D259:D266"/>
    <mergeCell ref="D299:D306"/>
    <mergeCell ref="D267:D274"/>
    <mergeCell ref="D275:D282"/>
    <mergeCell ref="D283:D290"/>
    <mergeCell ref="D291:D298"/>
    <mergeCell ref="D195:D202"/>
    <mergeCell ref="D203:D210"/>
    <mergeCell ref="D211:D218"/>
    <mergeCell ref="D219:D226"/>
    <mergeCell ref="D227:D234"/>
    <mergeCell ref="D251:D258"/>
    <mergeCell ref="D307:D314"/>
    <mergeCell ref="D187:D194"/>
    <mergeCell ref="D105:D112"/>
    <mergeCell ref="D113:D120"/>
    <mergeCell ref="D121:D126"/>
    <mergeCell ref="D127:D132"/>
    <mergeCell ref="D133:D138"/>
    <mergeCell ref="D139:D146"/>
    <mergeCell ref="D147:D154"/>
    <mergeCell ref="D155:D162"/>
    <mergeCell ref="D163:D170"/>
    <mergeCell ref="D171:D178"/>
    <mergeCell ref="D179:D186"/>
    <mergeCell ref="D235:D242"/>
    <mergeCell ref="D243:D250"/>
    <mergeCell ref="I5:I6"/>
    <mergeCell ref="J5:K5"/>
    <mergeCell ref="L5:L6"/>
    <mergeCell ref="D7:D12"/>
    <mergeCell ref="H5:H6"/>
    <mergeCell ref="G5:G6"/>
    <mergeCell ref="B5:B6"/>
    <mergeCell ref="C5:C6"/>
    <mergeCell ref="D5:E6"/>
    <mergeCell ref="F5:F6"/>
    <mergeCell ref="D13:D18"/>
    <mergeCell ref="D19:D24"/>
    <mergeCell ref="D73:D80"/>
    <mergeCell ref="D81:D88"/>
    <mergeCell ref="D25:D32"/>
    <mergeCell ref="D33:D40"/>
    <mergeCell ref="D41:D48"/>
    <mergeCell ref="D49:D56"/>
    <mergeCell ref="D57:D64"/>
    <mergeCell ref="D355:D362"/>
    <mergeCell ref="D363:D370"/>
    <mergeCell ref="D371:D378"/>
    <mergeCell ref="D493:D498"/>
    <mergeCell ref="D415:D420"/>
    <mergeCell ref="D421:D426"/>
    <mergeCell ref="D427:D432"/>
    <mergeCell ref="D473:D480"/>
    <mergeCell ref="D441:D448"/>
    <mergeCell ref="D449:D456"/>
    <mergeCell ref="D457:D464"/>
    <mergeCell ref="D465:D472"/>
    <mergeCell ref="D487:D492"/>
  </mergeCells>
  <phoneticPr fontId="2"/>
  <conditionalFormatting sqref="L7:L354 L379:L516">
    <cfRule type="expression" dxfId="11" priority="1">
      <formula>J7&gt;I7</formula>
    </cfRule>
    <cfRule type="expression" dxfId="10" priority="2">
      <formula>I7&gt;K7</formula>
    </cfRule>
  </conditionalFormatting>
  <dataValidations count="1">
    <dataValidation imeMode="disabled" allowBlank="1" showInputMessage="1" showErrorMessage="1" sqref="J421:K432 J403:K414 J465:K480 J441:K456 J505:K516 J243:K258 J385:K396 J291:K306 J267:K282 J13:K24 J315:K330 J195:K210 J171:K186 J147:K162 J127:K138 J105:K120 J81:K96 J57:K72 J33:K48 J219:K234 J487:K498 J339:K354 J363:K378" xr:uid="{00000000-0002-0000-05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1"/>
  <sheetViews>
    <sheetView view="pageBreakPreview" zoomScaleNormal="100" zoomScaleSheetLayoutView="100" workbookViewId="0">
      <pane xSplit="5" ySplit="6" topLeftCell="F7" activePane="bottomRight" state="frozen"/>
      <selection pane="topRight"/>
      <selection pane="bottomLeft"/>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1" bestFit="true" customWidth="true" style="4" width="8.7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112</v>
      </c>
    </row>
    <row r="4" spans="1:15" ht="7.5" customHeight="1">
      <c r="I4" s="4"/>
      <c r="K4" s="1"/>
    </row>
    <row r="5" spans="1:15" ht="26.25" customHeight="1">
      <c r="B5" s="150" t="s">
        <v>0</v>
      </c>
      <c r="C5" s="150" t="s">
        <v>2</v>
      </c>
      <c r="D5" s="159" t="s">
        <v>58</v>
      </c>
      <c r="E5" s="160"/>
      <c r="F5" s="150" t="s">
        <v>52</v>
      </c>
      <c r="G5" s="150" t="s">
        <v>54</v>
      </c>
      <c r="H5" s="150" t="s">
        <v>43</v>
      </c>
      <c r="I5" s="151" t="s">
        <v>91</v>
      </c>
      <c r="J5" s="152" t="s">
        <v>21</v>
      </c>
      <c r="K5" s="152"/>
      <c r="L5" s="149" t="s">
        <v>22</v>
      </c>
    </row>
    <row r="6" spans="1:15" s="2" customFormat="1" ht="20.25" customHeight="1">
      <c r="B6" s="150"/>
      <c r="C6" s="150"/>
      <c r="D6" s="161"/>
      <c r="E6" s="162"/>
      <c r="F6" s="150"/>
      <c r="G6" s="150"/>
      <c r="H6" s="150"/>
      <c r="I6" s="151"/>
      <c r="J6" s="5" t="s">
        <v>4</v>
      </c>
      <c r="K6" s="5" t="s">
        <v>3</v>
      </c>
      <c r="L6" s="149"/>
    </row>
    <row r="7" spans="1:15" ht="15.75" customHeight="1">
      <c r="B7" s="107">
        <v>23</v>
      </c>
      <c r="C7" s="7" t="s">
        <v>53</v>
      </c>
      <c r="D7" s="164" t="s">
        <v>416</v>
      </c>
      <c r="E7" s="15" t="s">
        <v>50</v>
      </c>
      <c r="F7" s="35" t="n">
        <v>0.0</v>
      </c>
      <c r="G7" s="36" t="n">
        <v>0.0</v>
      </c>
      <c r="H7" s="79" t="s">
        <v>20</v>
      </c>
      <c r="I7" s="52" t="str">
        <f>IF(H7="－",IF(ISERROR(F7/G7/12)=TRUE,"－",F7/G7/12),IF(ISERROR(F7/G7/H7/12)=TRUE,"－",F7/G7/H7/12))</f>
        <v>－</v>
      </c>
      <c r="J7" s="16" t="n">
        <f>IF(data!I220&lt;0,0,data!I220)</f>
        <v>47870.0</v>
      </c>
      <c r="K7" s="16" t="n">
        <f>IF(data!J220&lt;0,0,data!J220)</f>
        <v>71270.0</v>
      </c>
      <c r="L7" s="32" t="str">
        <f t="shared" ref="L7:L30" si="0">IF(I7="－","",IF(I7&lt;J7,"下限値を\"&amp;TEXT(ROUND(J7-I7,0),"#,##0")&amp;"下回っています。",IF(I7&gt;K7,"上限値を\"&amp;TEXT(ROUND(I7-K7,0),"#,##0")&amp;"上回っています。","閾値の範囲内です。")))</f>
        <v/>
      </c>
      <c r="M7" s="11"/>
      <c r="N7" s="1" t="str">
        <f t="shared" ref="N7:N30" si="1">IF(OR(I7="－",AND(J7="－",K7="－")),"",IF(OR(I7&lt;J7,I7&gt;K7),1,""))</f>
        <v/>
      </c>
      <c r="O7" s="1" t="n">
        <f t="shared" ref="O7:O13" si="2">IF(OR(AND(F7="",G7="",H7="－"),AND(F7="",G7="",H7="")),"",1)</f>
        <v>1.0</v>
      </c>
    </row>
    <row r="8" spans="1:15" ht="15.75" customHeight="1">
      <c r="B8" s="108"/>
      <c r="C8" s="58" t="str">
        <f t="shared" ref="C8:C30" si="3">C7</f>
        <v>特定施設入居者生活介護</v>
      </c>
      <c r="D8" s="165"/>
      <c r="E8" s="30" t="s">
        <v>51</v>
      </c>
      <c r="F8" s="37" t="n">
        <v>0.0</v>
      </c>
      <c r="G8" s="38" t="n">
        <v>0.0</v>
      </c>
      <c r="H8" s="80" t="s">
        <v>20</v>
      </c>
      <c r="I8" s="55" t="str">
        <f t="shared" ref="I8:I30" si="4">IF(H8="－",IF(ISERROR(F8/G8/12)=TRUE,"－",F8/G8/12),IF(ISERROR(F8/G8/H8/12)=TRUE,"－",F8/G8/H8/12))</f>
        <v>－</v>
      </c>
      <c r="J8" s="31" t="n">
        <f>IF(data!I221&lt;0,0,data!I221)</f>
        <v>78790.0</v>
      </c>
      <c r="K8" s="31" t="n">
        <f>IF(data!J221&lt;0,0,data!J221)</f>
        <v>116365.0</v>
      </c>
      <c r="L8" s="33" t="str">
        <f t="shared" si="0"/>
        <v/>
      </c>
      <c r="M8" s="11"/>
      <c r="N8" s="1" t="str">
        <f t="shared" si="1"/>
        <v/>
      </c>
      <c r="O8" s="1" t="n">
        <f t="shared" si="2"/>
        <v>1.0</v>
      </c>
    </row>
    <row r="9" spans="1:15" ht="15.75" customHeight="1">
      <c r="B9" s="108"/>
      <c r="C9" s="58" t="str">
        <f t="shared" si="3"/>
        <v>特定施設入居者生活介護</v>
      </c>
      <c r="D9" s="165"/>
      <c r="E9" s="18" t="s">
        <v>44</v>
      </c>
      <c r="F9" s="39" t="n">
        <v>0.0</v>
      </c>
      <c r="G9" s="40" t="n">
        <v>0.0</v>
      </c>
      <c r="H9" s="80" t="s">
        <v>20</v>
      </c>
      <c r="I9" s="53" t="str">
        <f t="shared" si="4"/>
        <v>－</v>
      </c>
      <c r="J9" s="21" t="n">
        <f>IF(data!I222&lt;0,0,data!I222)</f>
        <v>143605.0</v>
      </c>
      <c r="K9" s="21" t="n">
        <f>IF(data!J222&lt;0,0,data!J222)</f>
        <v>192175.0</v>
      </c>
      <c r="L9" s="22" t="str">
        <f t="shared" si="0"/>
        <v/>
      </c>
      <c r="M9" s="11"/>
      <c r="N9" s="1" t="str">
        <f t="shared" si="1"/>
        <v/>
      </c>
      <c r="O9" s="1" t="n">
        <f t="shared" si="2"/>
        <v>1.0</v>
      </c>
    </row>
    <row r="10" spans="1:15" ht="15.75" customHeight="1">
      <c r="B10" s="108"/>
      <c r="C10" s="58" t="str">
        <f t="shared" si="3"/>
        <v>特定施設入居者生活介護</v>
      </c>
      <c r="D10" s="165"/>
      <c r="E10" s="18" t="s">
        <v>45</v>
      </c>
      <c r="F10" s="39" t="n">
        <v>4722096.0</v>
      </c>
      <c r="G10" s="40" t="n">
        <v>2.0</v>
      </c>
      <c r="H10" s="80" t="s">
        <v>20</v>
      </c>
      <c r="I10" s="53" t="n">
        <f t="shared" si="4"/>
        <v>196754.0</v>
      </c>
      <c r="J10" s="21" t="n">
        <f>IF(data!I223&lt;0,0,data!I223)</f>
        <v>158835.0</v>
      </c>
      <c r="K10" s="21" t="n">
        <f>IF(data!J223&lt;0,0,data!J223)</f>
        <v>214660.0</v>
      </c>
      <c r="L10" s="22" t="str">
        <f t="shared" si="0"/>
        <v>閾値の範囲内です。</v>
      </c>
      <c r="M10" s="11"/>
      <c r="N10" s="1" t="str">
        <f t="shared" si="1"/>
        <v/>
      </c>
      <c r="O10" s="1" t="n">
        <f t="shared" si="2"/>
        <v>1.0</v>
      </c>
    </row>
    <row r="11" spans="1:15" ht="15.75" customHeight="1">
      <c r="B11" s="108"/>
      <c r="C11" s="58" t="str">
        <f t="shared" si="3"/>
        <v>特定施設入居者生活介護</v>
      </c>
      <c r="D11" s="165"/>
      <c r="E11" s="18" t="s">
        <v>46</v>
      </c>
      <c r="F11" s="39" t="n">
        <v>0.0</v>
      </c>
      <c r="G11" s="40" t="n">
        <v>0.0</v>
      </c>
      <c r="H11" s="80" t="s">
        <v>20</v>
      </c>
      <c r="I11" s="53" t="str">
        <f t="shared" si="4"/>
        <v>－</v>
      </c>
      <c r="J11" s="21" t="n">
        <f>IF(data!I224&lt;0,0,data!I224)</f>
        <v>172585.0</v>
      </c>
      <c r="K11" s="21" t="n">
        <f>IF(data!J224&lt;0,0,data!J224)</f>
        <v>242310.0</v>
      </c>
      <c r="L11" s="22" t="str">
        <f t="shared" si="0"/>
        <v/>
      </c>
      <c r="M11" s="11"/>
      <c r="N11" s="1" t="str">
        <f t="shared" si="1"/>
        <v/>
      </c>
      <c r="O11" s="1" t="n">
        <f t="shared" si="2"/>
        <v>1.0</v>
      </c>
    </row>
    <row r="12" spans="1:15" ht="15.75" customHeight="1">
      <c r="B12" s="108"/>
      <c r="C12" s="58" t="str">
        <f t="shared" si="3"/>
        <v>特定施設入居者生活介護</v>
      </c>
      <c r="D12" s="165"/>
      <c r="E12" s="18" t="s">
        <v>47</v>
      </c>
      <c r="F12" s="39" t="n">
        <v>0.0</v>
      </c>
      <c r="G12" s="40" t="n">
        <v>0.0</v>
      </c>
      <c r="H12" s="80" t="s">
        <v>20</v>
      </c>
      <c r="I12" s="53" t="str">
        <f t="shared" si="4"/>
        <v>－</v>
      </c>
      <c r="J12" s="21" t="n">
        <f>IF(data!I225&lt;0,0,data!I225)</f>
        <v>188740.0</v>
      </c>
      <c r="K12" s="21" t="n">
        <f>IF(data!J225&lt;0,0,data!J225)</f>
        <v>265000.0</v>
      </c>
      <c r="L12" s="22" t="str">
        <f t="shared" si="0"/>
        <v/>
      </c>
      <c r="M12" s="11"/>
      <c r="N12" s="1" t="str">
        <f t="shared" si="1"/>
        <v/>
      </c>
      <c r="O12" s="1" t="n">
        <f t="shared" si="2"/>
        <v>1.0</v>
      </c>
    </row>
    <row r="13" spans="1:15" ht="15.75" customHeight="1">
      <c r="B13" s="108"/>
      <c r="C13" s="58" t="str">
        <f t="shared" si="3"/>
        <v>特定施設入居者生活介護</v>
      </c>
      <c r="D13" s="165"/>
      <c r="E13" s="18" t="s">
        <v>48</v>
      </c>
      <c r="F13" s="39" t="n">
        <v>0.0</v>
      </c>
      <c r="G13" s="40" t="n">
        <v>0.0</v>
      </c>
      <c r="H13" s="80" t="s">
        <v>20</v>
      </c>
      <c r="I13" s="53" t="str">
        <f t="shared" si="4"/>
        <v>－</v>
      </c>
      <c r="J13" s="21" t="n">
        <f>IF(data!I226&lt;0,0,data!I226)</f>
        <v>205100.0</v>
      </c>
      <c r="K13" s="21" t="n">
        <f>IF(data!J226&lt;0,0,data!J226)</f>
        <v>293865.0</v>
      </c>
      <c r="L13" s="22" t="str">
        <f t="shared" si="0"/>
        <v/>
      </c>
      <c r="M13" s="11"/>
      <c r="N13" s="1" t="str">
        <f t="shared" si="1"/>
        <v/>
      </c>
      <c r="O13" s="1" t="n">
        <f t="shared" si="2"/>
        <v>1.0</v>
      </c>
    </row>
    <row r="14" spans="1:15" ht="15.75" customHeight="1">
      <c r="B14" s="108"/>
      <c r="C14" s="58" t="str">
        <f t="shared" si="3"/>
        <v>特定施設入居者生活介護</v>
      </c>
      <c r="D14" s="166"/>
      <c r="E14" s="23" t="s">
        <v>49</v>
      </c>
      <c r="F14" s="24" t="n">
        <f>SUM(F7:F13)</f>
        <v>4722096.0</v>
      </c>
      <c r="G14" s="25" t="n">
        <f>SUM(G7:G13)</f>
        <v>2.0</v>
      </c>
      <c r="H14" s="78" t="s">
        <v>20</v>
      </c>
      <c r="I14" s="54" t="n">
        <f t="shared" si="4"/>
        <v>196754.0</v>
      </c>
      <c r="J14" s="26" t="n">
        <f>IF(data!I227&lt;0,0,data!I227)</f>
        <v>134255.0</v>
      </c>
      <c r="K14" s="26" t="n">
        <f>IF(data!J227&lt;0,0,data!J227)</f>
        <v>236890.0</v>
      </c>
      <c r="L14" s="27" t="str">
        <f t="shared" si="0"/>
        <v>閾値の範囲内です。</v>
      </c>
      <c r="M14" s="11"/>
      <c r="N14" s="1" t="str">
        <f t="shared" si="1"/>
        <v/>
      </c>
    </row>
    <row r="15" spans="1:15" ht="15.75" customHeight="1">
      <c r="B15" s="108"/>
      <c r="C15" s="58" t="str">
        <f t="shared" si="3"/>
        <v>特定施設入居者生活介護</v>
      </c>
      <c r="D15" s="164" t="s">
        <v>415</v>
      </c>
      <c r="E15" s="15" t="s">
        <v>50</v>
      </c>
      <c r="F15" s="35" t="n">
        <v>0.0</v>
      </c>
      <c r="G15" s="36" t="n">
        <v>0.0</v>
      </c>
      <c r="H15" s="79" t="s">
        <v>20</v>
      </c>
      <c r="I15" s="52" t="str">
        <f t="shared" si="4"/>
        <v>－</v>
      </c>
      <c r="J15" s="16" t="n">
        <f t="shared" ref="J15:K30" si="5">J7</f>
        <v>47870.0</v>
      </c>
      <c r="K15" s="16" t="n">
        <f t="shared" si="5"/>
        <v>71270.0</v>
      </c>
      <c r="L15" s="32" t="str">
        <f t="shared" si="0"/>
        <v/>
      </c>
      <c r="M15" s="11"/>
      <c r="N15" s="1" t="str">
        <f t="shared" si="1"/>
        <v/>
      </c>
      <c r="O15" s="1" t="n">
        <f t="shared" ref="O15:O21" si="6">IF(OR(AND(F15="",G15="",H15="－"),AND(F15="",G15="",H15="")),"",1)</f>
        <v>1.0</v>
      </c>
    </row>
    <row r="16" spans="1:15" ht="15.75" customHeight="1">
      <c r="B16" s="108"/>
      <c r="C16" s="58" t="str">
        <f t="shared" si="3"/>
        <v>特定施設入居者生活介護</v>
      </c>
      <c r="D16" s="165"/>
      <c r="E16" s="30" t="s">
        <v>51</v>
      </c>
      <c r="F16" s="37" t="n">
        <v>0.0</v>
      </c>
      <c r="G16" s="38" t="n">
        <v>0.0</v>
      </c>
      <c r="H16" s="80" t="s">
        <v>20</v>
      </c>
      <c r="I16" s="55" t="str">
        <f t="shared" si="4"/>
        <v>－</v>
      </c>
      <c r="J16" s="31" t="n">
        <f t="shared" si="5"/>
        <v>78790.0</v>
      </c>
      <c r="K16" s="31" t="n">
        <f t="shared" si="5"/>
        <v>116365.0</v>
      </c>
      <c r="L16" s="33" t="str">
        <f t="shared" si="0"/>
        <v/>
      </c>
      <c r="M16" s="11"/>
      <c r="N16" s="1" t="str">
        <f t="shared" si="1"/>
        <v/>
      </c>
      <c r="O16" s="1" t="n">
        <f t="shared" si="6"/>
        <v>1.0</v>
      </c>
    </row>
    <row r="17" spans="2:15" ht="15.75" customHeight="1">
      <c r="B17" s="108"/>
      <c r="C17" s="58" t="str">
        <f t="shared" si="3"/>
        <v>特定施設入居者生活介護</v>
      </c>
      <c r="D17" s="165"/>
      <c r="E17" s="18" t="s">
        <v>44</v>
      </c>
      <c r="F17" s="39" t="n">
        <v>0.0</v>
      </c>
      <c r="G17" s="40" t="n">
        <v>0.0</v>
      </c>
      <c r="H17" s="80" t="s">
        <v>20</v>
      </c>
      <c r="I17" s="53" t="str">
        <f t="shared" si="4"/>
        <v>－</v>
      </c>
      <c r="J17" s="21" t="n">
        <f t="shared" si="5"/>
        <v>143605.0</v>
      </c>
      <c r="K17" s="21" t="n">
        <f t="shared" si="5"/>
        <v>192175.0</v>
      </c>
      <c r="L17" s="22" t="str">
        <f t="shared" si="0"/>
        <v/>
      </c>
      <c r="M17" s="11"/>
      <c r="N17" s="1" t="str">
        <f t="shared" si="1"/>
        <v/>
      </c>
      <c r="O17" s="1" t="n">
        <f t="shared" si="6"/>
        <v>1.0</v>
      </c>
    </row>
    <row r="18" spans="2:15" ht="15.75" customHeight="1">
      <c r="B18" s="108"/>
      <c r="C18" s="58" t="str">
        <f t="shared" si="3"/>
        <v>特定施設入居者生活介護</v>
      </c>
      <c r="D18" s="165"/>
      <c r="E18" s="18" t="s">
        <v>45</v>
      </c>
      <c r="F18" s="39" t="n">
        <v>4722096.0</v>
      </c>
      <c r="G18" s="40" t="n">
        <v>2.0</v>
      </c>
      <c r="H18" s="80" t="s">
        <v>20</v>
      </c>
      <c r="I18" s="53" t="n">
        <f t="shared" si="4"/>
        <v>196754.0</v>
      </c>
      <c r="J18" s="21" t="n">
        <f t="shared" si="5"/>
        <v>158835.0</v>
      </c>
      <c r="K18" s="21" t="n">
        <f t="shared" si="5"/>
        <v>214660.0</v>
      </c>
      <c r="L18" s="22" t="str">
        <f t="shared" si="0"/>
        <v>閾値の範囲内です。</v>
      </c>
      <c r="M18" s="11"/>
      <c r="N18" s="1" t="str">
        <f t="shared" si="1"/>
        <v/>
      </c>
      <c r="O18" s="1" t="n">
        <f t="shared" si="6"/>
        <v>1.0</v>
      </c>
    </row>
    <row r="19" spans="2:15" ht="15.75" customHeight="1">
      <c r="B19" s="108"/>
      <c r="C19" s="58" t="str">
        <f t="shared" si="3"/>
        <v>特定施設入居者生活介護</v>
      </c>
      <c r="D19" s="165"/>
      <c r="E19" s="18" t="s">
        <v>46</v>
      </c>
      <c r="F19" s="39" t="n">
        <v>0.0</v>
      </c>
      <c r="G19" s="40" t="n">
        <v>0.0</v>
      </c>
      <c r="H19" s="80" t="s">
        <v>20</v>
      </c>
      <c r="I19" s="53" t="str">
        <f t="shared" si="4"/>
        <v>－</v>
      </c>
      <c r="J19" s="21" t="n">
        <f t="shared" si="5"/>
        <v>172585.0</v>
      </c>
      <c r="K19" s="21" t="n">
        <f t="shared" si="5"/>
        <v>242310.0</v>
      </c>
      <c r="L19" s="22" t="str">
        <f t="shared" si="0"/>
        <v/>
      </c>
      <c r="M19" s="11"/>
      <c r="N19" s="1" t="str">
        <f t="shared" si="1"/>
        <v/>
      </c>
      <c r="O19" s="1" t="n">
        <f t="shared" si="6"/>
        <v>1.0</v>
      </c>
    </row>
    <row r="20" spans="2:15" ht="15.75" customHeight="1">
      <c r="B20" s="108"/>
      <c r="C20" s="58" t="str">
        <f t="shared" si="3"/>
        <v>特定施設入居者生活介護</v>
      </c>
      <c r="D20" s="165"/>
      <c r="E20" s="18" t="s">
        <v>47</v>
      </c>
      <c r="F20" s="39" t="n">
        <v>0.0</v>
      </c>
      <c r="G20" s="40" t="n">
        <v>0.0</v>
      </c>
      <c r="H20" s="80" t="s">
        <v>20</v>
      </c>
      <c r="I20" s="53" t="str">
        <f t="shared" si="4"/>
        <v>－</v>
      </c>
      <c r="J20" s="21" t="n">
        <f t="shared" si="5"/>
        <v>188740.0</v>
      </c>
      <c r="K20" s="21" t="n">
        <f t="shared" si="5"/>
        <v>265000.0</v>
      </c>
      <c r="L20" s="22" t="str">
        <f t="shared" si="0"/>
        <v/>
      </c>
      <c r="M20" s="11"/>
      <c r="N20" s="1" t="str">
        <f t="shared" si="1"/>
        <v/>
      </c>
      <c r="O20" s="1" t="n">
        <f t="shared" si="6"/>
        <v>1.0</v>
      </c>
    </row>
    <row r="21" spans="2:15" ht="15.75" customHeight="1">
      <c r="B21" s="108"/>
      <c r="C21" s="58" t="str">
        <f t="shared" si="3"/>
        <v>特定施設入居者生活介護</v>
      </c>
      <c r="D21" s="165"/>
      <c r="E21" s="18" t="s">
        <v>48</v>
      </c>
      <c r="F21" s="39" t="n">
        <v>0.0</v>
      </c>
      <c r="G21" s="40" t="n">
        <v>0.0</v>
      </c>
      <c r="H21" s="80" t="s">
        <v>20</v>
      </c>
      <c r="I21" s="53" t="str">
        <f t="shared" si="4"/>
        <v>－</v>
      </c>
      <c r="J21" s="21" t="n">
        <f t="shared" si="5"/>
        <v>205100.0</v>
      </c>
      <c r="K21" s="21" t="n">
        <f t="shared" si="5"/>
        <v>293865.0</v>
      </c>
      <c r="L21" s="22" t="str">
        <f t="shared" si="0"/>
        <v/>
      </c>
      <c r="M21" s="11"/>
      <c r="N21" s="1" t="str">
        <f t="shared" si="1"/>
        <v/>
      </c>
      <c r="O21" s="1" t="n">
        <f t="shared" si="6"/>
        <v>1.0</v>
      </c>
    </row>
    <row r="22" spans="2:15" ht="15.75" customHeight="1">
      <c r="B22" s="108"/>
      <c r="C22" s="58" t="str">
        <f t="shared" si="3"/>
        <v>特定施設入居者生活介護</v>
      </c>
      <c r="D22" s="166"/>
      <c r="E22" s="23" t="s">
        <v>49</v>
      </c>
      <c r="F22" s="24" t="n">
        <f>SUM(F15:F21)</f>
        <v>4722096.0</v>
      </c>
      <c r="G22" s="25" t="n">
        <f>SUM(G15:G21)</f>
        <v>2.0</v>
      </c>
      <c r="H22" s="78" t="s">
        <v>20</v>
      </c>
      <c r="I22" s="54" t="n">
        <f t="shared" si="4"/>
        <v>196754.0</v>
      </c>
      <c r="J22" s="21" t="n">
        <f t="shared" si="5"/>
        <v>134255.0</v>
      </c>
      <c r="K22" s="21" t="n">
        <f t="shared" si="5"/>
        <v>236890.0</v>
      </c>
      <c r="L22" s="27" t="str">
        <f t="shared" si="0"/>
        <v>閾値の範囲内です。</v>
      </c>
      <c r="M22" s="11"/>
      <c r="N22" s="1" t="str">
        <f t="shared" si="1"/>
        <v/>
      </c>
    </row>
    <row r="23" spans="2:15" ht="15.75" customHeight="1">
      <c r="B23" s="108"/>
      <c r="C23" s="58" t="str">
        <f t="shared" si="3"/>
        <v>特定施設入居者生活介護</v>
      </c>
      <c r="D23" s="164" t="s">
        <v>414</v>
      </c>
      <c r="E23" s="15" t="s">
        <v>50</v>
      </c>
      <c r="F23" s="35" t="n">
        <v>0.0</v>
      </c>
      <c r="G23" s="36" t="n">
        <v>0.0</v>
      </c>
      <c r="H23" s="79" t="s">
        <v>20</v>
      </c>
      <c r="I23" s="52" t="str">
        <f t="shared" si="4"/>
        <v>－</v>
      </c>
      <c r="J23" s="16" t="n">
        <f t="shared" si="5"/>
        <v>47870.0</v>
      </c>
      <c r="K23" s="16" t="n">
        <f t="shared" si="5"/>
        <v>71270.0</v>
      </c>
      <c r="L23" s="32" t="str">
        <f t="shared" si="0"/>
        <v/>
      </c>
      <c r="M23" s="11"/>
      <c r="N23" s="1" t="str">
        <f t="shared" si="1"/>
        <v/>
      </c>
      <c r="O23" s="1" t="n">
        <f t="shared" ref="O23:O29" si="7">IF(OR(AND(F23="",G23="",H23="－"),AND(F23="",G23="",H23="")),"",1)</f>
        <v>1.0</v>
      </c>
    </row>
    <row r="24" spans="2:15" ht="15.75" customHeight="1">
      <c r="B24" s="108"/>
      <c r="C24" s="58" t="str">
        <f t="shared" si="3"/>
        <v>特定施設入居者生活介護</v>
      </c>
      <c r="D24" s="165"/>
      <c r="E24" s="30" t="s">
        <v>51</v>
      </c>
      <c r="F24" s="37" t="n">
        <v>0.0</v>
      </c>
      <c r="G24" s="38" t="n">
        <v>0.0</v>
      </c>
      <c r="H24" s="80" t="s">
        <v>20</v>
      </c>
      <c r="I24" s="55" t="str">
        <f t="shared" si="4"/>
        <v>－</v>
      </c>
      <c r="J24" s="31" t="n">
        <f t="shared" si="5"/>
        <v>78790.0</v>
      </c>
      <c r="K24" s="31" t="n">
        <f t="shared" si="5"/>
        <v>116365.0</v>
      </c>
      <c r="L24" s="33" t="str">
        <f t="shared" si="0"/>
        <v/>
      </c>
      <c r="M24" s="11"/>
      <c r="N24" s="1" t="str">
        <f t="shared" si="1"/>
        <v/>
      </c>
      <c r="O24" s="1" t="n">
        <f t="shared" si="7"/>
        <v>1.0</v>
      </c>
    </row>
    <row r="25" spans="2:15" ht="15.75" customHeight="1">
      <c r="B25" s="108"/>
      <c r="C25" s="58" t="str">
        <f t="shared" si="3"/>
        <v>特定施設入居者生活介護</v>
      </c>
      <c r="D25" s="165"/>
      <c r="E25" s="18" t="s">
        <v>44</v>
      </c>
      <c r="F25" s="39" t="n">
        <v>0.0</v>
      </c>
      <c r="G25" s="40" t="n">
        <v>0.0</v>
      </c>
      <c r="H25" s="80" t="s">
        <v>20</v>
      </c>
      <c r="I25" s="53" t="str">
        <f t="shared" si="4"/>
        <v>－</v>
      </c>
      <c r="J25" s="21" t="n">
        <f t="shared" si="5"/>
        <v>143605.0</v>
      </c>
      <c r="K25" s="21" t="n">
        <f t="shared" si="5"/>
        <v>192175.0</v>
      </c>
      <c r="L25" s="22" t="str">
        <f t="shared" si="0"/>
        <v/>
      </c>
      <c r="M25" s="11"/>
      <c r="N25" s="1" t="str">
        <f t="shared" si="1"/>
        <v/>
      </c>
      <c r="O25" s="1" t="n">
        <f t="shared" si="7"/>
        <v>1.0</v>
      </c>
    </row>
    <row r="26" spans="2:15" ht="15.75" customHeight="1">
      <c r="B26" s="108"/>
      <c r="C26" s="58" t="str">
        <f t="shared" si="3"/>
        <v>特定施設入居者生活介護</v>
      </c>
      <c r="D26" s="165"/>
      <c r="E26" s="18" t="s">
        <v>45</v>
      </c>
      <c r="F26" s="39" t="n">
        <v>4722096.0</v>
      </c>
      <c r="G26" s="40" t="n">
        <v>2.0</v>
      </c>
      <c r="H26" s="80" t="s">
        <v>20</v>
      </c>
      <c r="I26" s="53" t="n">
        <f t="shared" si="4"/>
        <v>196754.0</v>
      </c>
      <c r="J26" s="21" t="n">
        <f t="shared" si="5"/>
        <v>158835.0</v>
      </c>
      <c r="K26" s="21" t="n">
        <f t="shared" si="5"/>
        <v>214660.0</v>
      </c>
      <c r="L26" s="22" t="str">
        <f t="shared" si="0"/>
        <v>閾値の範囲内です。</v>
      </c>
      <c r="M26" s="11"/>
      <c r="N26" s="1" t="str">
        <f t="shared" si="1"/>
        <v/>
      </c>
      <c r="O26" s="1" t="n">
        <f t="shared" si="7"/>
        <v>1.0</v>
      </c>
    </row>
    <row r="27" spans="2:15" ht="15.75" customHeight="1">
      <c r="B27" s="108"/>
      <c r="C27" s="58" t="str">
        <f t="shared" si="3"/>
        <v>特定施設入居者生活介護</v>
      </c>
      <c r="D27" s="165"/>
      <c r="E27" s="18" t="s">
        <v>46</v>
      </c>
      <c r="F27" s="39" t="n">
        <v>0.0</v>
      </c>
      <c r="G27" s="40" t="n">
        <v>0.0</v>
      </c>
      <c r="H27" s="80" t="s">
        <v>20</v>
      </c>
      <c r="I27" s="53" t="str">
        <f t="shared" si="4"/>
        <v>－</v>
      </c>
      <c r="J27" s="21" t="n">
        <f t="shared" si="5"/>
        <v>172585.0</v>
      </c>
      <c r="K27" s="21" t="n">
        <f t="shared" si="5"/>
        <v>242310.0</v>
      </c>
      <c r="L27" s="22" t="str">
        <f t="shared" si="0"/>
        <v/>
      </c>
      <c r="M27" s="11"/>
      <c r="N27" s="1" t="str">
        <f t="shared" si="1"/>
        <v/>
      </c>
      <c r="O27" s="1" t="n">
        <f t="shared" si="7"/>
        <v>1.0</v>
      </c>
    </row>
    <row r="28" spans="2:15" ht="15.75" customHeight="1">
      <c r="B28" s="108"/>
      <c r="C28" s="58" t="str">
        <f t="shared" si="3"/>
        <v>特定施設入居者生活介護</v>
      </c>
      <c r="D28" s="165"/>
      <c r="E28" s="18" t="s">
        <v>47</v>
      </c>
      <c r="F28" s="39" t="n">
        <v>0.0</v>
      </c>
      <c r="G28" s="40" t="n">
        <v>0.0</v>
      </c>
      <c r="H28" s="80" t="s">
        <v>20</v>
      </c>
      <c r="I28" s="53" t="str">
        <f t="shared" si="4"/>
        <v>－</v>
      </c>
      <c r="J28" s="21" t="n">
        <f t="shared" si="5"/>
        <v>188740.0</v>
      </c>
      <c r="K28" s="21" t="n">
        <f t="shared" si="5"/>
        <v>265000.0</v>
      </c>
      <c r="L28" s="22" t="str">
        <f t="shared" si="0"/>
        <v/>
      </c>
      <c r="M28" s="11"/>
      <c r="N28" s="1" t="str">
        <f t="shared" si="1"/>
        <v/>
      </c>
      <c r="O28" s="1" t="n">
        <f t="shared" si="7"/>
        <v>1.0</v>
      </c>
    </row>
    <row r="29" spans="2:15" ht="15.75" customHeight="1">
      <c r="B29" s="108"/>
      <c r="C29" s="58" t="str">
        <f t="shared" si="3"/>
        <v>特定施設入居者生活介護</v>
      </c>
      <c r="D29" s="165"/>
      <c r="E29" s="18" t="s">
        <v>48</v>
      </c>
      <c r="F29" s="39" t="n">
        <v>0.0</v>
      </c>
      <c r="G29" s="40" t="n">
        <v>0.0</v>
      </c>
      <c r="H29" s="80" t="s">
        <v>20</v>
      </c>
      <c r="I29" s="53" t="str">
        <f t="shared" si="4"/>
        <v>－</v>
      </c>
      <c r="J29" s="21" t="n">
        <f t="shared" si="5"/>
        <v>205100.0</v>
      </c>
      <c r="K29" s="21" t="n">
        <f t="shared" si="5"/>
        <v>293865.0</v>
      </c>
      <c r="L29" s="22" t="str">
        <f t="shared" si="0"/>
        <v/>
      </c>
      <c r="M29" s="11"/>
      <c r="N29" s="1" t="str">
        <f t="shared" si="1"/>
        <v/>
      </c>
      <c r="O29" s="1" t="n">
        <f t="shared" si="7"/>
        <v>1.0</v>
      </c>
    </row>
    <row r="30" spans="2:15" ht="15.75" customHeight="1">
      <c r="B30" s="109"/>
      <c r="C30" s="59" t="str">
        <f t="shared" si="3"/>
        <v>特定施設入居者生活介護</v>
      </c>
      <c r="D30" s="166"/>
      <c r="E30" s="23" t="s">
        <v>49</v>
      </c>
      <c r="F30" s="24" t="n">
        <f>SUM(F23:F29)</f>
        <v>4722096.0</v>
      </c>
      <c r="G30" s="25" t="n">
        <f>SUM(G23:G29)</f>
        <v>2.0</v>
      </c>
      <c r="H30" s="78" t="s">
        <v>20</v>
      </c>
      <c r="I30" s="54" t="n">
        <f t="shared" si="4"/>
        <v>196754.0</v>
      </c>
      <c r="J30" s="26" t="n">
        <f t="shared" si="5"/>
        <v>134255.0</v>
      </c>
      <c r="K30" s="26" t="n">
        <f t="shared" si="5"/>
        <v>236890.0</v>
      </c>
      <c r="L30" s="27" t="str">
        <f t="shared" si="0"/>
        <v>閾値の範囲内です。</v>
      </c>
      <c r="M30" s="11"/>
      <c r="N30" s="1" t="str">
        <f t="shared" si="1"/>
        <v/>
      </c>
    </row>
    <row r="31" spans="2:15" ht="15.75" customHeight="1">
      <c r="B31" s="107">
        <v>24</v>
      </c>
      <c r="C31" s="7" t="s">
        <v>18</v>
      </c>
      <c r="D31" s="164" t="s">
        <v>416</v>
      </c>
      <c r="E31" s="15" t="s">
        <v>50</v>
      </c>
      <c r="F31" s="35" t="s">
        <v>94</v>
      </c>
      <c r="G31" s="36" t="s">
        <v>94</v>
      </c>
      <c r="H31" s="79" t="s">
        <v>94</v>
      </c>
      <c r="I31" s="52" t="str">
        <f>IF(H31="－",IF(ISERROR(F31/G31/12)=TRUE,"－",F31/G31/12),IF(ISERROR(F31/G31/H31/12)=TRUE,"－",F31/G31/H31/12))</f>
        <v>－</v>
      </c>
      <c r="J31" s="56" t="s">
        <v>119</v>
      </c>
      <c r="K31" s="56" t="s">
        <v>119</v>
      </c>
      <c r="L31" s="17" t="s">
        <v>57</v>
      </c>
      <c r="M31" s="11"/>
      <c r="N31" s="1" t="str">
        <f t="shared" ref="N31:N55" si="8">IF(OR(I31="－",AND(J31="－",K31="－")),"",IF(OR(I31&lt;J31,I31&gt;K31),1,""))</f>
        <v/>
      </c>
    </row>
    <row r="32" spans="2:15" ht="15.75" customHeight="1">
      <c r="B32" s="108"/>
      <c r="C32" s="58" t="str">
        <f t="shared" ref="C32:C54" si="9">C31</f>
        <v>認知症対応型共同生活介護</v>
      </c>
      <c r="D32" s="165"/>
      <c r="E32" s="30" t="s">
        <v>51</v>
      </c>
      <c r="F32" s="37" t="n">
        <v>2865744.0</v>
      </c>
      <c r="G32" s="38" t="n">
        <v>1.0</v>
      </c>
      <c r="H32" s="80" t="s">
        <v>94</v>
      </c>
      <c r="I32" s="55" t="n">
        <f t="shared" ref="I32:I90" si="10">IF(H32="－",IF(ISERROR(F32/G32/12)=TRUE,"－",F32/G32/12),IF(ISERROR(F32/G32/H32/12)=TRUE,"－",F32/G32/H32/12))</f>
        <v>238812.0</v>
      </c>
      <c r="J32" s="31" t="n">
        <f>IF(data!I229&lt;0,0,data!I229)</f>
        <v>166705.0</v>
      </c>
      <c r="K32" s="31" t="n">
        <f>IF(data!J229&lt;0,0,data!J229)</f>
        <v>301460.0</v>
      </c>
      <c r="L32" s="33" t="str">
        <f t="shared" ref="L32:L37" si="11">IF(I32="－","",IF(I32&lt;J32,"下限値を\"&amp;TEXT(ROUND(J32-I32,0),"#,##0")&amp;"下回っています。",IF(I32&gt;K32,"上限値を\"&amp;TEXT(ROUND(I32-K32,0),"#,##0")&amp;"上回っています。","閾値の範囲内です。")))</f>
        <v>閾値の範囲内です。</v>
      </c>
      <c r="M32" s="11"/>
      <c r="N32" s="1" t="str">
        <f t="shared" si="8"/>
        <v/>
      </c>
      <c r="O32" s="1" t="n">
        <f t="shared" ref="O32:O37" si="12">IF(OR(AND(F32="",G32="",H32="－"),AND(F32="",G32="",H32="")),"",1)</f>
        <v>1.0</v>
      </c>
    </row>
    <row r="33" spans="2:15" ht="15.75" customHeight="1">
      <c r="B33" s="108"/>
      <c r="C33" s="58" t="str">
        <f t="shared" si="9"/>
        <v>認知症対応型共同生活介護</v>
      </c>
      <c r="D33" s="165"/>
      <c r="E33" s="18" t="s">
        <v>44</v>
      </c>
      <c r="F33" s="39" t="n">
        <v>2.2853376E7</v>
      </c>
      <c r="G33" s="40" t="n">
        <v>8.0</v>
      </c>
      <c r="H33" s="80" t="s">
        <v>94</v>
      </c>
      <c r="I33" s="53" t="n">
        <f t="shared" si="10"/>
        <v>238056.0</v>
      </c>
      <c r="J33" s="21" t="n">
        <f>IF(data!I230&lt;0,0,data!I230)</f>
        <v>218285.0</v>
      </c>
      <c r="K33" s="21" t="n">
        <f>IF(data!J230&lt;0,0,data!J230)</f>
        <v>284830.0</v>
      </c>
      <c r="L33" s="22" t="str">
        <f t="shared" si="11"/>
        <v>閾値の範囲内です。</v>
      </c>
      <c r="M33" s="11"/>
      <c r="N33" s="1" t="str">
        <f t="shared" si="8"/>
        <v/>
      </c>
      <c r="O33" s="1" t="n">
        <f t="shared" si="12"/>
        <v>1.0</v>
      </c>
    </row>
    <row r="34" spans="2:15" ht="15.75" customHeight="1">
      <c r="B34" s="108"/>
      <c r="C34" s="58" t="str">
        <f t="shared" si="9"/>
        <v>認知症対応型共同生活介護</v>
      </c>
      <c r="D34" s="165"/>
      <c r="E34" s="18" t="s">
        <v>45</v>
      </c>
      <c r="F34" s="39" t="n">
        <v>5.5514376E7</v>
      </c>
      <c r="G34" s="40" t="n">
        <v>18.0</v>
      </c>
      <c r="H34" s="80" t="s">
        <v>94</v>
      </c>
      <c r="I34" s="53" t="n">
        <f t="shared" si="10"/>
        <v>257011.0</v>
      </c>
      <c r="J34" s="21" t="n">
        <f>IF(data!I231&lt;0,0,data!I231)</f>
        <v>231690.0</v>
      </c>
      <c r="K34" s="21" t="n">
        <f>IF(data!J231&lt;0,0,data!J231)</f>
        <v>294280.0</v>
      </c>
      <c r="L34" s="22" t="str">
        <f t="shared" si="11"/>
        <v>閾値の範囲内です。</v>
      </c>
      <c r="M34" s="11"/>
      <c r="N34" s="1" t="str">
        <f t="shared" si="8"/>
        <v/>
      </c>
      <c r="O34" s="1" t="n">
        <f t="shared" si="12"/>
        <v>1.0</v>
      </c>
    </row>
    <row r="35" spans="2:15" ht="15.75" customHeight="1">
      <c r="B35" s="108"/>
      <c r="C35" s="58" t="str">
        <f t="shared" si="9"/>
        <v>認知症対応型共同生活介護</v>
      </c>
      <c r="D35" s="165"/>
      <c r="E35" s="18" t="s">
        <v>46</v>
      </c>
      <c r="F35" s="39" t="n">
        <v>3.035784E7</v>
      </c>
      <c r="G35" s="40" t="n">
        <v>10.0</v>
      </c>
      <c r="H35" s="80" t="s">
        <v>94</v>
      </c>
      <c r="I35" s="53" t="n">
        <f t="shared" si="10"/>
        <v>252982.0</v>
      </c>
      <c r="J35" s="21" t="n">
        <f>IF(data!I232&lt;0,0,data!I232)</f>
        <v>236740.0</v>
      </c>
      <c r="K35" s="21" t="n">
        <f>IF(data!J232&lt;0,0,data!J232)</f>
        <v>304830.0</v>
      </c>
      <c r="L35" s="22" t="str">
        <f t="shared" si="11"/>
        <v>閾値の範囲内です。</v>
      </c>
      <c r="M35" s="11"/>
      <c r="N35" s="1" t="str">
        <f t="shared" si="8"/>
        <v/>
      </c>
      <c r="O35" s="1" t="n">
        <f t="shared" si="12"/>
        <v>1.0</v>
      </c>
    </row>
    <row r="36" spans="2:15" ht="15.75" customHeight="1">
      <c r="B36" s="108"/>
      <c r="C36" s="58" t="str">
        <f t="shared" si="9"/>
        <v>認知症対応型共同生活介護</v>
      </c>
      <c r="D36" s="165"/>
      <c r="E36" s="18" t="s">
        <v>47</v>
      </c>
      <c r="F36" s="39" t="n">
        <v>1.9063008E7</v>
      </c>
      <c r="G36" s="40" t="n">
        <v>6.0</v>
      </c>
      <c r="H36" s="80" t="s">
        <v>94</v>
      </c>
      <c r="I36" s="53" t="n">
        <f t="shared" si="10"/>
        <v>264764.0</v>
      </c>
      <c r="J36" s="21" t="n">
        <f>IF(data!I233&lt;0,0,data!I233)</f>
        <v>235680.0</v>
      </c>
      <c r="K36" s="21" t="n">
        <f>IF(data!J233&lt;0,0,data!J233)</f>
        <v>317665.0</v>
      </c>
      <c r="L36" s="22" t="str">
        <f t="shared" si="11"/>
        <v>閾値の範囲内です。</v>
      </c>
      <c r="M36" s="11"/>
      <c r="N36" s="1" t="str">
        <f t="shared" si="8"/>
        <v/>
      </c>
      <c r="O36" s="1" t="n">
        <f t="shared" si="12"/>
        <v>1.0</v>
      </c>
    </row>
    <row r="37" spans="2:15" ht="15.75" customHeight="1">
      <c r="B37" s="108"/>
      <c r="C37" s="58" t="str">
        <f t="shared" si="9"/>
        <v>認知症対応型共同生活介護</v>
      </c>
      <c r="D37" s="165"/>
      <c r="E37" s="18" t="s">
        <v>48</v>
      </c>
      <c r="F37" s="39" t="n">
        <v>9352188.0</v>
      </c>
      <c r="G37" s="40" t="n">
        <v>3.0</v>
      </c>
      <c r="H37" s="80" t="s">
        <v>94</v>
      </c>
      <c r="I37" s="53" t="n">
        <f t="shared" si="10"/>
        <v>259783.0</v>
      </c>
      <c r="J37" s="21" t="n">
        <f>IF(data!I234&lt;0,0,data!I234)</f>
        <v>237200.0</v>
      </c>
      <c r="K37" s="21" t="n">
        <f>IF(data!J234&lt;0,0,data!J234)</f>
        <v>328365.0</v>
      </c>
      <c r="L37" s="22" t="str">
        <f t="shared" si="11"/>
        <v>閾値の範囲内です。</v>
      </c>
      <c r="M37" s="11"/>
      <c r="N37" s="1" t="str">
        <f t="shared" si="8"/>
        <v/>
      </c>
      <c r="O37" s="1" t="n">
        <f t="shared" si="12"/>
        <v>1.0</v>
      </c>
    </row>
    <row r="38" spans="2:15" ht="15.75" customHeight="1">
      <c r="B38" s="108"/>
      <c r="C38" s="58" t="str">
        <f t="shared" si="9"/>
        <v>認知症対応型共同生活介護</v>
      </c>
      <c r="D38" s="166"/>
      <c r="E38" s="23" t="s">
        <v>49</v>
      </c>
      <c r="F38" s="24" t="n">
        <f>SUM(F31:F37)</f>
        <v>1.40006532E8</v>
      </c>
      <c r="G38" s="25" t="n">
        <f>SUM(G31:G37)</f>
        <v>46.0</v>
      </c>
      <c r="H38" s="78" t="s">
        <v>94</v>
      </c>
      <c r="I38" s="54" t="n">
        <f t="shared" si="10"/>
        <v>253635.02173913046</v>
      </c>
      <c r="J38" s="26" t="n">
        <f>IF(data!I235&lt;0,0,data!I235)</f>
        <v>233010.0</v>
      </c>
      <c r="K38" s="26" t="n">
        <f>IF(data!J235&lt;0,0,data!J235)</f>
        <v>299735.0</v>
      </c>
      <c r="L38" s="27" t="str">
        <f t="shared" ref="L38:L90" si="13">IF(I38="－","",IF(I38&lt;J38,"下限値を\"&amp;TEXT(ROUND(J38-I38,0),"#,##0")&amp;"下回っています。",IF(I38&gt;K38,"上限値を\"&amp;TEXT(ROUND(I38-K38,0),"#,##0")&amp;"上回っています。","閾値の範囲内です。")))</f>
        <v>閾値の範囲内です。</v>
      </c>
      <c r="M38" s="11"/>
      <c r="N38" s="1" t="str">
        <f t="shared" si="8"/>
        <v/>
      </c>
    </row>
    <row r="39" spans="2:15" ht="15.75" customHeight="1">
      <c r="B39" s="108"/>
      <c r="C39" s="58" t="str">
        <f t="shared" si="9"/>
        <v>認知症対応型共同生活介護</v>
      </c>
      <c r="D39" s="164" t="s">
        <v>415</v>
      </c>
      <c r="E39" s="15" t="s">
        <v>50</v>
      </c>
      <c r="F39" s="35" t="s">
        <v>94</v>
      </c>
      <c r="G39" s="36" t="s">
        <v>94</v>
      </c>
      <c r="H39" s="79" t="s">
        <v>94</v>
      </c>
      <c r="I39" s="52" t="str">
        <f>IF(H39="－",IF(ISERROR(F39/G39/12)=TRUE,"－",F39/G39/12),IF(ISERROR(F39/G39/H39/12)=TRUE,"－",F39/G39/H39/12))</f>
        <v>－</v>
      </c>
      <c r="J39" s="56" t="s">
        <v>119</v>
      </c>
      <c r="K39" s="56" t="s">
        <v>119</v>
      </c>
      <c r="L39" s="17" t="s">
        <v>57</v>
      </c>
      <c r="M39" s="11"/>
      <c r="N39" s="1" t="str">
        <f t="shared" si="8"/>
        <v/>
      </c>
    </row>
    <row r="40" spans="2:15" ht="15.75" customHeight="1">
      <c r="B40" s="108"/>
      <c r="C40" s="58" t="str">
        <f t="shared" si="9"/>
        <v>認知症対応型共同生活介護</v>
      </c>
      <c r="D40" s="165"/>
      <c r="E40" s="30" t="s">
        <v>51</v>
      </c>
      <c r="F40" s="37" t="n">
        <v>2865744.0</v>
      </c>
      <c r="G40" s="38" t="n">
        <v>1.0</v>
      </c>
      <c r="H40" s="80" t="s">
        <v>94</v>
      </c>
      <c r="I40" s="55" t="n">
        <f t="shared" si="10"/>
        <v>238812.0</v>
      </c>
      <c r="J40" s="31" t="n">
        <f t="shared" ref="J40:K46" si="14">J32</f>
        <v>166705.0</v>
      </c>
      <c r="K40" s="31" t="n">
        <f t="shared" si="14"/>
        <v>301460.0</v>
      </c>
      <c r="L40" s="33" t="str">
        <f t="shared" si="13"/>
        <v>閾値の範囲内です。</v>
      </c>
      <c r="M40" s="11"/>
      <c r="N40" s="1" t="str">
        <f t="shared" si="8"/>
        <v/>
      </c>
      <c r="O40" s="1" t="n">
        <f t="shared" ref="O40:O45" si="15">IF(OR(AND(F40="",G40="",H40="－"),AND(F40="",G40="",H40="")),"",1)</f>
        <v>1.0</v>
      </c>
    </row>
    <row r="41" spans="2:15" ht="15.75" customHeight="1">
      <c r="B41" s="108"/>
      <c r="C41" s="58" t="str">
        <f t="shared" si="9"/>
        <v>認知症対応型共同生活介護</v>
      </c>
      <c r="D41" s="165"/>
      <c r="E41" s="18" t="s">
        <v>44</v>
      </c>
      <c r="F41" s="39" t="n">
        <v>2.2853376E7</v>
      </c>
      <c r="G41" s="40" t="n">
        <v>8.0</v>
      </c>
      <c r="H41" s="80" t="s">
        <v>94</v>
      </c>
      <c r="I41" s="53" t="n">
        <f t="shared" si="10"/>
        <v>238056.0</v>
      </c>
      <c r="J41" s="21" t="n">
        <f t="shared" si="14"/>
        <v>218285.0</v>
      </c>
      <c r="K41" s="21" t="n">
        <f t="shared" si="14"/>
        <v>284830.0</v>
      </c>
      <c r="L41" s="22" t="str">
        <f t="shared" si="13"/>
        <v>閾値の範囲内です。</v>
      </c>
      <c r="M41" s="11"/>
      <c r="N41" s="1" t="str">
        <f t="shared" si="8"/>
        <v/>
      </c>
      <c r="O41" s="1" t="n">
        <f t="shared" si="15"/>
        <v>1.0</v>
      </c>
    </row>
    <row r="42" spans="2:15" ht="15.75" customHeight="1">
      <c r="B42" s="108"/>
      <c r="C42" s="58" t="str">
        <f t="shared" si="9"/>
        <v>認知症対応型共同生活介護</v>
      </c>
      <c r="D42" s="165"/>
      <c r="E42" s="18" t="s">
        <v>45</v>
      </c>
      <c r="F42" s="39" t="n">
        <v>5.2430244E7</v>
      </c>
      <c r="G42" s="40" t="n">
        <v>17.0</v>
      </c>
      <c r="H42" s="80" t="s">
        <v>94</v>
      </c>
      <c r="I42" s="53" t="n">
        <f t="shared" si="10"/>
        <v>257011.0</v>
      </c>
      <c r="J42" s="21" t="n">
        <f t="shared" si="14"/>
        <v>231690.0</v>
      </c>
      <c r="K42" s="21" t="n">
        <f t="shared" si="14"/>
        <v>294280.0</v>
      </c>
      <c r="L42" s="22" t="str">
        <f t="shared" si="13"/>
        <v>閾値の範囲内です。</v>
      </c>
      <c r="M42" s="11"/>
      <c r="N42" s="1" t="str">
        <f t="shared" si="8"/>
        <v/>
      </c>
      <c r="O42" s="1" t="n">
        <f t="shared" si="15"/>
        <v>1.0</v>
      </c>
    </row>
    <row r="43" spans="2:15" ht="15.75" customHeight="1">
      <c r="B43" s="108"/>
      <c r="C43" s="58" t="str">
        <f t="shared" si="9"/>
        <v>認知症対応型共同生活介護</v>
      </c>
      <c r="D43" s="165"/>
      <c r="E43" s="18" t="s">
        <v>46</v>
      </c>
      <c r="F43" s="39" t="n">
        <v>3.035784E7</v>
      </c>
      <c r="G43" s="40" t="n">
        <v>10.0</v>
      </c>
      <c r="H43" s="80" t="s">
        <v>94</v>
      </c>
      <c r="I43" s="53" t="n">
        <f t="shared" si="10"/>
        <v>252982.0</v>
      </c>
      <c r="J43" s="21" t="n">
        <f t="shared" si="14"/>
        <v>236740.0</v>
      </c>
      <c r="K43" s="21" t="n">
        <f t="shared" si="14"/>
        <v>304830.0</v>
      </c>
      <c r="L43" s="22" t="str">
        <f t="shared" si="13"/>
        <v>閾値の範囲内です。</v>
      </c>
      <c r="M43" s="11"/>
      <c r="N43" s="1" t="str">
        <f t="shared" si="8"/>
        <v/>
      </c>
      <c r="O43" s="1" t="n">
        <f t="shared" si="15"/>
        <v>1.0</v>
      </c>
    </row>
    <row r="44" spans="2:15" ht="15.75" customHeight="1">
      <c r="B44" s="108"/>
      <c r="C44" s="58" t="str">
        <f t="shared" si="9"/>
        <v>認知症対応型共同生活介護</v>
      </c>
      <c r="D44" s="165"/>
      <c r="E44" s="18" t="s">
        <v>47</v>
      </c>
      <c r="F44" s="39" t="n">
        <v>1.9063008E7</v>
      </c>
      <c r="G44" s="40" t="n">
        <v>6.0</v>
      </c>
      <c r="H44" s="80" t="s">
        <v>94</v>
      </c>
      <c r="I44" s="53" t="n">
        <f t="shared" si="10"/>
        <v>264764.0</v>
      </c>
      <c r="J44" s="21" t="n">
        <f t="shared" si="14"/>
        <v>235680.0</v>
      </c>
      <c r="K44" s="21" t="n">
        <f t="shared" si="14"/>
        <v>317665.0</v>
      </c>
      <c r="L44" s="22" t="str">
        <f t="shared" si="13"/>
        <v>閾値の範囲内です。</v>
      </c>
      <c r="M44" s="11"/>
      <c r="N44" s="1" t="str">
        <f t="shared" si="8"/>
        <v/>
      </c>
      <c r="O44" s="1" t="n">
        <f t="shared" si="15"/>
        <v>1.0</v>
      </c>
    </row>
    <row r="45" spans="2:15" ht="15.75" customHeight="1">
      <c r="B45" s="108"/>
      <c r="C45" s="58" t="str">
        <f t="shared" si="9"/>
        <v>認知症対応型共同生活介護</v>
      </c>
      <c r="D45" s="165"/>
      <c r="E45" s="18" t="s">
        <v>48</v>
      </c>
      <c r="F45" s="39" t="n">
        <v>9352188.0</v>
      </c>
      <c r="G45" s="40" t="n">
        <v>3.0</v>
      </c>
      <c r="H45" s="80" t="s">
        <v>94</v>
      </c>
      <c r="I45" s="53" t="n">
        <f t="shared" si="10"/>
        <v>259783.0</v>
      </c>
      <c r="J45" s="21" t="n">
        <f t="shared" si="14"/>
        <v>237200.0</v>
      </c>
      <c r="K45" s="21" t="n">
        <f t="shared" si="14"/>
        <v>328365.0</v>
      </c>
      <c r="L45" s="22" t="str">
        <f t="shared" si="13"/>
        <v>閾値の範囲内です。</v>
      </c>
      <c r="M45" s="11"/>
      <c r="N45" s="1" t="str">
        <f t="shared" si="8"/>
        <v/>
      </c>
      <c r="O45" s="1" t="n">
        <f t="shared" si="15"/>
        <v>1.0</v>
      </c>
    </row>
    <row r="46" spans="2:15" ht="15.75" customHeight="1">
      <c r="B46" s="108"/>
      <c r="C46" s="58" t="str">
        <f t="shared" si="9"/>
        <v>認知症対応型共同生活介護</v>
      </c>
      <c r="D46" s="166"/>
      <c r="E46" s="23" t="s">
        <v>49</v>
      </c>
      <c r="F46" s="24" t="n">
        <f>SUM(F39:F45)</f>
        <v>1.369224E8</v>
      </c>
      <c r="G46" s="25" t="n">
        <f>SUM(G39:G45)</f>
        <v>45.0</v>
      </c>
      <c r="H46" s="78" t="s">
        <v>94</v>
      </c>
      <c r="I46" s="54" t="n">
        <f t="shared" si="10"/>
        <v>253560.0</v>
      </c>
      <c r="J46" s="21" t="n">
        <f t="shared" si="14"/>
        <v>233010.0</v>
      </c>
      <c r="K46" s="21" t="n">
        <f t="shared" si="14"/>
        <v>299735.0</v>
      </c>
      <c r="L46" s="27" t="str">
        <f t="shared" si="13"/>
        <v>閾値の範囲内です。</v>
      </c>
      <c r="M46" s="11"/>
      <c r="N46" s="1" t="str">
        <f t="shared" si="8"/>
        <v/>
      </c>
    </row>
    <row r="47" spans="2:15" ht="15.75" customHeight="1">
      <c r="B47" s="108"/>
      <c r="C47" s="58" t="str">
        <f t="shared" si="9"/>
        <v>認知症対応型共同生活介護</v>
      </c>
      <c r="D47" s="164" t="s">
        <v>414</v>
      </c>
      <c r="E47" s="15" t="s">
        <v>50</v>
      </c>
      <c r="F47" s="35" t="s">
        <v>94</v>
      </c>
      <c r="G47" s="36" t="s">
        <v>94</v>
      </c>
      <c r="H47" s="79" t="s">
        <v>94</v>
      </c>
      <c r="I47" s="52" t="str">
        <f>IF(H47="－",IF(ISERROR(F47/G47/12)=TRUE,"－",F47/G47/12),IF(ISERROR(F47/G47/H47/12)=TRUE,"－",F47/G47/H47/12))</f>
        <v>－</v>
      </c>
      <c r="J47" s="56" t="s">
        <v>119</v>
      </c>
      <c r="K47" s="56" t="s">
        <v>119</v>
      </c>
      <c r="L47" s="17" t="s">
        <v>57</v>
      </c>
      <c r="M47" s="11"/>
      <c r="N47" s="1" t="str">
        <f t="shared" si="8"/>
        <v/>
      </c>
    </row>
    <row r="48" spans="2:15" ht="15.75" customHeight="1">
      <c r="B48" s="108"/>
      <c r="C48" s="58" t="str">
        <f t="shared" si="9"/>
        <v>認知症対応型共同生活介護</v>
      </c>
      <c r="D48" s="165"/>
      <c r="E48" s="30" t="s">
        <v>51</v>
      </c>
      <c r="F48" s="37" t="n">
        <v>2865744.0</v>
      </c>
      <c r="G48" s="38" t="n">
        <v>1.0</v>
      </c>
      <c r="H48" s="80" t="s">
        <v>94</v>
      </c>
      <c r="I48" s="55" t="n">
        <f t="shared" si="10"/>
        <v>238812.0</v>
      </c>
      <c r="J48" s="31" t="n">
        <f t="shared" ref="J48:K54" si="16">J40</f>
        <v>166705.0</v>
      </c>
      <c r="K48" s="31" t="n">
        <f t="shared" si="16"/>
        <v>301460.0</v>
      </c>
      <c r="L48" s="33" t="str">
        <f t="shared" si="13"/>
        <v>閾値の範囲内です。</v>
      </c>
      <c r="M48" s="11"/>
      <c r="N48" s="1" t="str">
        <f t="shared" si="8"/>
        <v/>
      </c>
      <c r="O48" s="1" t="n">
        <f t="shared" ref="O48:O53" si="17">IF(OR(AND(F48="",G48="",H48="－"),AND(F48="",G48="",H48="")),"",1)</f>
        <v>1.0</v>
      </c>
    </row>
    <row r="49" spans="2:15" ht="15.75" customHeight="1">
      <c r="B49" s="108"/>
      <c r="C49" s="58" t="str">
        <f t="shared" si="9"/>
        <v>認知症対応型共同生活介護</v>
      </c>
      <c r="D49" s="165"/>
      <c r="E49" s="18" t="s">
        <v>44</v>
      </c>
      <c r="F49" s="39" t="n">
        <v>2.2853376E7</v>
      </c>
      <c r="G49" s="40" t="n">
        <v>8.0</v>
      </c>
      <c r="H49" s="80" t="s">
        <v>94</v>
      </c>
      <c r="I49" s="53" t="n">
        <f t="shared" si="10"/>
        <v>238056.0</v>
      </c>
      <c r="J49" s="21" t="n">
        <f t="shared" si="16"/>
        <v>218285.0</v>
      </c>
      <c r="K49" s="21" t="n">
        <f t="shared" si="16"/>
        <v>284830.0</v>
      </c>
      <c r="L49" s="22" t="str">
        <f t="shared" si="13"/>
        <v>閾値の範囲内です。</v>
      </c>
      <c r="M49" s="11"/>
      <c r="N49" s="1" t="str">
        <f t="shared" si="8"/>
        <v/>
      </c>
      <c r="O49" s="1" t="n">
        <f t="shared" si="17"/>
        <v>1.0</v>
      </c>
    </row>
    <row r="50" spans="2:15" ht="15.75" customHeight="1">
      <c r="B50" s="108"/>
      <c r="C50" s="58" t="str">
        <f t="shared" si="9"/>
        <v>認知症対応型共同生活介護</v>
      </c>
      <c r="D50" s="165"/>
      <c r="E50" s="18" t="s">
        <v>45</v>
      </c>
      <c r="F50" s="39" t="n">
        <v>5.2430244E7</v>
      </c>
      <c r="G50" s="40" t="n">
        <v>17.0</v>
      </c>
      <c r="H50" s="80" t="s">
        <v>94</v>
      </c>
      <c r="I50" s="53" t="n">
        <f t="shared" si="10"/>
        <v>257011.0</v>
      </c>
      <c r="J50" s="21" t="n">
        <f t="shared" si="16"/>
        <v>231690.0</v>
      </c>
      <c r="K50" s="21" t="n">
        <f t="shared" si="16"/>
        <v>294280.0</v>
      </c>
      <c r="L50" s="22" t="str">
        <f t="shared" si="13"/>
        <v>閾値の範囲内です。</v>
      </c>
      <c r="M50" s="11"/>
      <c r="N50" s="1" t="str">
        <f t="shared" si="8"/>
        <v/>
      </c>
      <c r="O50" s="1" t="n">
        <f t="shared" si="17"/>
        <v>1.0</v>
      </c>
    </row>
    <row r="51" spans="2:15" ht="15.75" customHeight="1">
      <c r="B51" s="108"/>
      <c r="C51" s="58" t="str">
        <f t="shared" si="9"/>
        <v>認知症対応型共同生活介護</v>
      </c>
      <c r="D51" s="165"/>
      <c r="E51" s="18" t="s">
        <v>46</v>
      </c>
      <c r="F51" s="39" t="n">
        <v>3.035784E7</v>
      </c>
      <c r="G51" s="40" t="n">
        <v>10.0</v>
      </c>
      <c r="H51" s="80" t="s">
        <v>94</v>
      </c>
      <c r="I51" s="53" t="n">
        <f t="shared" si="10"/>
        <v>252982.0</v>
      </c>
      <c r="J51" s="21" t="n">
        <f t="shared" si="16"/>
        <v>236740.0</v>
      </c>
      <c r="K51" s="21" t="n">
        <f t="shared" si="16"/>
        <v>304830.0</v>
      </c>
      <c r="L51" s="22" t="str">
        <f t="shared" si="13"/>
        <v>閾値の範囲内です。</v>
      </c>
      <c r="M51" s="11"/>
      <c r="N51" s="1" t="str">
        <f t="shared" si="8"/>
        <v/>
      </c>
      <c r="O51" s="1" t="n">
        <f t="shared" si="17"/>
        <v>1.0</v>
      </c>
    </row>
    <row r="52" spans="2:15" ht="15.75" customHeight="1">
      <c r="B52" s="108"/>
      <c r="C52" s="58" t="str">
        <f t="shared" si="9"/>
        <v>認知症対応型共同生活介護</v>
      </c>
      <c r="D52" s="165"/>
      <c r="E52" s="18" t="s">
        <v>47</v>
      </c>
      <c r="F52" s="39" t="n">
        <v>1.9063008E7</v>
      </c>
      <c r="G52" s="40" t="n">
        <v>6.0</v>
      </c>
      <c r="H52" s="80" t="s">
        <v>94</v>
      </c>
      <c r="I52" s="53" t="n">
        <f t="shared" si="10"/>
        <v>264764.0</v>
      </c>
      <c r="J52" s="21" t="n">
        <f t="shared" si="16"/>
        <v>235680.0</v>
      </c>
      <c r="K52" s="21" t="n">
        <f t="shared" si="16"/>
        <v>317665.0</v>
      </c>
      <c r="L52" s="22" t="str">
        <f t="shared" si="13"/>
        <v>閾値の範囲内です。</v>
      </c>
      <c r="M52" s="11"/>
      <c r="N52" s="1" t="str">
        <f t="shared" si="8"/>
        <v/>
      </c>
      <c r="O52" s="1" t="n">
        <f t="shared" si="17"/>
        <v>1.0</v>
      </c>
    </row>
    <row r="53" spans="2:15" ht="15.75" customHeight="1">
      <c r="B53" s="108"/>
      <c r="C53" s="58" t="str">
        <f t="shared" si="9"/>
        <v>認知症対応型共同生活介護</v>
      </c>
      <c r="D53" s="165"/>
      <c r="E53" s="18" t="s">
        <v>48</v>
      </c>
      <c r="F53" s="39" t="n">
        <v>9352188.0</v>
      </c>
      <c r="G53" s="40" t="n">
        <v>3.0</v>
      </c>
      <c r="H53" s="80" t="s">
        <v>94</v>
      </c>
      <c r="I53" s="53" t="n">
        <f t="shared" si="10"/>
        <v>259783.0</v>
      </c>
      <c r="J53" s="21" t="n">
        <f t="shared" si="16"/>
        <v>237200.0</v>
      </c>
      <c r="K53" s="21" t="n">
        <f t="shared" si="16"/>
        <v>328365.0</v>
      </c>
      <c r="L53" s="22" t="str">
        <f t="shared" si="13"/>
        <v>閾値の範囲内です。</v>
      </c>
      <c r="M53" s="11"/>
      <c r="N53" s="1" t="str">
        <f t="shared" si="8"/>
        <v/>
      </c>
      <c r="O53" s="1" t="n">
        <f t="shared" si="17"/>
        <v>1.0</v>
      </c>
    </row>
    <row r="54" spans="2:15" ht="15.75" customHeight="1">
      <c r="B54" s="109"/>
      <c r="C54" s="59" t="str">
        <f t="shared" si="9"/>
        <v>認知症対応型共同生活介護</v>
      </c>
      <c r="D54" s="166"/>
      <c r="E54" s="23" t="s">
        <v>49</v>
      </c>
      <c r="F54" s="24" t="n">
        <f>SUM(F47:F53)</f>
        <v>1.369224E8</v>
      </c>
      <c r="G54" s="25" t="n">
        <f>SUM(G47:G53)</f>
        <v>45.0</v>
      </c>
      <c r="H54" s="78" t="s">
        <v>94</v>
      </c>
      <c r="I54" s="54" t="n">
        <f t="shared" si="10"/>
        <v>253560.0</v>
      </c>
      <c r="J54" s="26" t="n">
        <f t="shared" si="16"/>
        <v>233010.0</v>
      </c>
      <c r="K54" s="26" t="n">
        <f t="shared" si="16"/>
        <v>299735.0</v>
      </c>
      <c r="L54" s="27" t="str">
        <f t="shared" si="13"/>
        <v>閾値の範囲内です。</v>
      </c>
      <c r="M54" s="11"/>
      <c r="N54" s="1" t="str">
        <f t="shared" si="8"/>
        <v/>
      </c>
    </row>
    <row r="55" spans="2:15" ht="15.75" customHeight="1">
      <c r="B55" s="107">
        <v>25</v>
      </c>
      <c r="C55" s="7" t="s">
        <v>99</v>
      </c>
      <c r="D55" s="164" t="s">
        <v>416</v>
      </c>
      <c r="E55" s="15" t="s">
        <v>44</v>
      </c>
      <c r="F55" s="35" t="n">
        <v>0.0</v>
      </c>
      <c r="G55" s="36" t="n">
        <v>0.0</v>
      </c>
      <c r="H55" s="86" t="s">
        <v>94</v>
      </c>
      <c r="I55" s="52" t="str">
        <f t="shared" si="10"/>
        <v>－</v>
      </c>
      <c r="J55" s="16" t="n">
        <f>IF(data!I236&lt;0,0,data!I236)</f>
        <v>134805.0</v>
      </c>
      <c r="K55" s="16" t="n">
        <f>IF(data!J236&lt;0,0,data!J236)</f>
        <v>198455.0</v>
      </c>
      <c r="L55" s="17" t="str">
        <f t="shared" si="13"/>
        <v/>
      </c>
      <c r="M55" s="11"/>
      <c r="N55" s="1" t="str">
        <f t="shared" si="8"/>
        <v/>
      </c>
      <c r="O55" s="1" t="n">
        <f t="shared" ref="O55:O59" si="18">IF(OR(AND(F55="",G55="",H55="－"),AND(F55="",G55="",H55="")),"",1)</f>
        <v>1.0</v>
      </c>
    </row>
    <row r="56" spans="2:15" ht="15.75" customHeight="1">
      <c r="B56" s="108"/>
      <c r="C56" s="58" t="str">
        <f t="shared" ref="C56:C90" si="19">C55</f>
        <v>地域密着型特定施設入居者生活介護</v>
      </c>
      <c r="D56" s="165"/>
      <c r="E56" s="18" t="s">
        <v>45</v>
      </c>
      <c r="F56" s="39" t="n">
        <v>0.0</v>
      </c>
      <c r="G56" s="40" t="n">
        <v>0.0</v>
      </c>
      <c r="H56" s="87" t="s">
        <v>94</v>
      </c>
      <c r="I56" s="53" t="str">
        <f t="shared" si="10"/>
        <v>－</v>
      </c>
      <c r="J56" s="21" t="n">
        <f>IF(data!I237&lt;0,0,data!I237)</f>
        <v>159165.0</v>
      </c>
      <c r="K56" s="21" t="n">
        <f>IF(data!J237&lt;0,0,data!J237)</f>
        <v>215560.0</v>
      </c>
      <c r="L56" s="22" t="str">
        <f t="shared" si="13"/>
        <v/>
      </c>
      <c r="M56" s="11"/>
      <c r="N56" s="1" t="str">
        <f>IF(OR(I56="－",AND(J56="－",K56="－")),"",IF(OR(I56&lt;J56,I56&gt;K56),1,""))</f>
        <v/>
      </c>
      <c r="O56" s="1" t="n">
        <f t="shared" si="18"/>
        <v>1.0</v>
      </c>
    </row>
    <row r="57" spans="2:15" ht="15.75" customHeight="1">
      <c r="B57" s="108"/>
      <c r="C57" s="58" t="str">
        <f t="shared" si="19"/>
        <v>地域密着型特定施設入居者生活介護</v>
      </c>
      <c r="D57" s="165"/>
      <c r="E57" s="18" t="s">
        <v>46</v>
      </c>
      <c r="F57" s="39" t="n">
        <v>0.0</v>
      </c>
      <c r="G57" s="40" t="n">
        <v>0.0</v>
      </c>
      <c r="H57" s="87" t="s">
        <v>94</v>
      </c>
      <c r="I57" s="53" t="str">
        <f t="shared" si="10"/>
        <v>－</v>
      </c>
      <c r="J57" s="21" t="n">
        <f>IF(data!I238&lt;0,0,data!I238)</f>
        <v>175755.0</v>
      </c>
      <c r="K57" s="21" t="n">
        <f>IF(data!J238&lt;0,0,data!J238)</f>
        <v>241580.0</v>
      </c>
      <c r="L57" s="22" t="str">
        <f t="shared" si="13"/>
        <v/>
      </c>
      <c r="M57" s="11"/>
      <c r="N57" s="1" t="str">
        <f t="shared" ref="N57:N73" si="20">IF(OR(I57="－",AND(J57="－",K57="－")),"",IF(OR(I57&lt;J57,I57&gt;K57),1,""))</f>
        <v/>
      </c>
      <c r="O57" s="1" t="n">
        <f t="shared" si="18"/>
        <v>1.0</v>
      </c>
    </row>
    <row r="58" spans="2:15" ht="15.75" customHeight="1">
      <c r="B58" s="108"/>
      <c r="C58" s="58" t="str">
        <f t="shared" si="19"/>
        <v>地域密着型特定施設入居者生活介護</v>
      </c>
      <c r="D58" s="165"/>
      <c r="E58" s="18" t="s">
        <v>47</v>
      </c>
      <c r="F58" s="39" t="n">
        <v>0.0</v>
      </c>
      <c r="G58" s="40" t="n">
        <v>0.0</v>
      </c>
      <c r="H58" s="87" t="s">
        <v>94</v>
      </c>
      <c r="I58" s="53" t="str">
        <f t="shared" si="10"/>
        <v>－</v>
      </c>
      <c r="J58" s="21" t="n">
        <f>IF(data!I239&lt;0,0,data!I239)</f>
        <v>183345.0</v>
      </c>
      <c r="K58" s="21" t="n">
        <f>IF(data!J239&lt;0,0,data!J239)</f>
        <v>270365.0</v>
      </c>
      <c r="L58" s="22" t="str">
        <f t="shared" si="13"/>
        <v/>
      </c>
      <c r="M58" s="11"/>
      <c r="N58" s="1" t="str">
        <f t="shared" si="20"/>
        <v/>
      </c>
      <c r="O58" s="1" t="n">
        <f t="shared" si="18"/>
        <v>1.0</v>
      </c>
    </row>
    <row r="59" spans="2:15" ht="15.75" customHeight="1">
      <c r="B59" s="108"/>
      <c r="C59" s="58" t="str">
        <f t="shared" si="19"/>
        <v>地域密着型特定施設入居者生活介護</v>
      </c>
      <c r="D59" s="165"/>
      <c r="E59" s="18" t="s">
        <v>48</v>
      </c>
      <c r="F59" s="39" t="n">
        <v>0.0</v>
      </c>
      <c r="G59" s="40" t="n">
        <v>0.0</v>
      </c>
      <c r="H59" s="87" t="s">
        <v>94</v>
      </c>
      <c r="I59" s="53" t="str">
        <f t="shared" si="10"/>
        <v>－</v>
      </c>
      <c r="J59" s="21" t="n">
        <f>IF(data!I240&lt;0,0,data!I240)</f>
        <v>196745.0</v>
      </c>
      <c r="K59" s="21" t="n">
        <f>IF(data!J240&lt;0,0,data!J240)</f>
        <v>299130.0</v>
      </c>
      <c r="L59" s="22" t="str">
        <f t="shared" si="13"/>
        <v/>
      </c>
      <c r="M59" s="11"/>
      <c r="N59" s="1" t="str">
        <f t="shared" si="20"/>
        <v/>
      </c>
      <c r="O59" s="1" t="n">
        <f t="shared" si="18"/>
        <v>1.0</v>
      </c>
    </row>
    <row r="60" spans="2:15" ht="15.75" customHeight="1">
      <c r="B60" s="108"/>
      <c r="C60" s="58" t="str">
        <f t="shared" si="19"/>
        <v>地域密着型特定施設入居者生活介護</v>
      </c>
      <c r="D60" s="166"/>
      <c r="E60" s="23" t="s">
        <v>49</v>
      </c>
      <c r="F60" s="24" t="n">
        <f>SUM(F55:F59)</f>
        <v>0.0</v>
      </c>
      <c r="G60" s="25" t="n">
        <f>SUM(G55:G59)</f>
        <v>0.0</v>
      </c>
      <c r="H60" s="29" t="s">
        <v>94</v>
      </c>
      <c r="I60" s="54" t="str">
        <f t="shared" si="10"/>
        <v>－</v>
      </c>
      <c r="J60" s="26" t="n">
        <f>IF(data!I241&lt;0,0,data!I241)</f>
        <v>156555.0</v>
      </c>
      <c r="K60" s="26" t="n">
        <f>IF(data!J241&lt;0,0,data!J241)</f>
        <v>251245.0</v>
      </c>
      <c r="L60" s="27" t="str">
        <f t="shared" si="13"/>
        <v/>
      </c>
      <c r="M60" s="11"/>
      <c r="N60" s="1" t="str">
        <f t="shared" si="20"/>
        <v/>
      </c>
    </row>
    <row r="61" spans="2:15" ht="15.75" customHeight="1">
      <c r="B61" s="108"/>
      <c r="C61" s="58" t="str">
        <f t="shared" si="19"/>
        <v>地域密着型特定施設入居者生活介護</v>
      </c>
      <c r="D61" s="165" t="s">
        <v>415</v>
      </c>
      <c r="E61" s="15" t="s">
        <v>44</v>
      </c>
      <c r="F61" s="35" t="n">
        <v>0.0</v>
      </c>
      <c r="G61" s="36" t="n">
        <v>0.0</v>
      </c>
      <c r="H61" s="86" t="s">
        <v>94</v>
      </c>
      <c r="I61" s="52" t="str">
        <f t="shared" si="10"/>
        <v>－</v>
      </c>
      <c r="J61" s="16" t="n">
        <f t="shared" ref="J61:K72" si="21">J55</f>
        <v>134805.0</v>
      </c>
      <c r="K61" s="16" t="n">
        <f t="shared" si="21"/>
        <v>198455.0</v>
      </c>
      <c r="L61" s="17" t="str">
        <f t="shared" si="13"/>
        <v/>
      </c>
      <c r="M61" s="11"/>
      <c r="N61" s="1" t="str">
        <f t="shared" si="20"/>
        <v/>
      </c>
      <c r="O61" s="1" t="n">
        <f t="shared" ref="O61:O65" si="22">IF(OR(AND(F61="",G61="",H61="－"),AND(F61="",G61="",H61="")),"",1)</f>
        <v>1.0</v>
      </c>
    </row>
    <row r="62" spans="2:15" ht="15.75" customHeight="1">
      <c r="B62" s="108"/>
      <c r="C62" s="58" t="str">
        <f t="shared" si="19"/>
        <v>地域密着型特定施設入居者生活介護</v>
      </c>
      <c r="D62" s="165"/>
      <c r="E62" s="18" t="s">
        <v>45</v>
      </c>
      <c r="F62" s="39" t="n">
        <v>0.0</v>
      </c>
      <c r="G62" s="40" t="n">
        <v>0.0</v>
      </c>
      <c r="H62" s="87" t="s">
        <v>94</v>
      </c>
      <c r="I62" s="53" t="str">
        <f t="shared" si="10"/>
        <v>－</v>
      </c>
      <c r="J62" s="21" t="n">
        <f t="shared" si="21"/>
        <v>159165.0</v>
      </c>
      <c r="K62" s="21" t="n">
        <f t="shared" si="21"/>
        <v>215560.0</v>
      </c>
      <c r="L62" s="22" t="str">
        <f t="shared" si="13"/>
        <v/>
      </c>
      <c r="M62" s="11"/>
      <c r="N62" s="1" t="str">
        <f t="shared" si="20"/>
        <v/>
      </c>
      <c r="O62" s="1" t="n">
        <f t="shared" si="22"/>
        <v>1.0</v>
      </c>
    </row>
    <row r="63" spans="2:15" ht="15.75" customHeight="1">
      <c r="B63" s="108"/>
      <c r="C63" s="58" t="str">
        <f t="shared" si="19"/>
        <v>地域密着型特定施設入居者生活介護</v>
      </c>
      <c r="D63" s="165"/>
      <c r="E63" s="18" t="s">
        <v>46</v>
      </c>
      <c r="F63" s="39" t="n">
        <v>0.0</v>
      </c>
      <c r="G63" s="40" t="n">
        <v>0.0</v>
      </c>
      <c r="H63" s="87" t="s">
        <v>94</v>
      </c>
      <c r="I63" s="53" t="str">
        <f t="shared" si="10"/>
        <v>－</v>
      </c>
      <c r="J63" s="21" t="n">
        <f t="shared" si="21"/>
        <v>175755.0</v>
      </c>
      <c r="K63" s="21" t="n">
        <f t="shared" si="21"/>
        <v>241580.0</v>
      </c>
      <c r="L63" s="22" t="str">
        <f t="shared" si="13"/>
        <v/>
      </c>
      <c r="M63" s="11"/>
      <c r="N63" s="1" t="str">
        <f t="shared" si="20"/>
        <v/>
      </c>
      <c r="O63" s="1" t="n">
        <f t="shared" si="22"/>
        <v>1.0</v>
      </c>
    </row>
    <row r="64" spans="2:15" ht="15.75" customHeight="1">
      <c r="B64" s="108"/>
      <c r="C64" s="58" t="str">
        <f t="shared" si="19"/>
        <v>地域密着型特定施設入居者生活介護</v>
      </c>
      <c r="D64" s="165"/>
      <c r="E64" s="18" t="s">
        <v>47</v>
      </c>
      <c r="F64" s="39" t="n">
        <v>0.0</v>
      </c>
      <c r="G64" s="40" t="n">
        <v>0.0</v>
      </c>
      <c r="H64" s="87" t="s">
        <v>94</v>
      </c>
      <c r="I64" s="53" t="str">
        <f t="shared" si="10"/>
        <v>－</v>
      </c>
      <c r="J64" s="21" t="n">
        <f t="shared" si="21"/>
        <v>183345.0</v>
      </c>
      <c r="K64" s="21" t="n">
        <f t="shared" si="21"/>
        <v>270365.0</v>
      </c>
      <c r="L64" s="22" t="str">
        <f t="shared" si="13"/>
        <v/>
      </c>
      <c r="M64" s="11"/>
      <c r="N64" s="1" t="str">
        <f t="shared" si="20"/>
        <v/>
      </c>
      <c r="O64" s="1" t="n">
        <f t="shared" si="22"/>
        <v>1.0</v>
      </c>
    </row>
    <row r="65" spans="2:15" ht="15.75" customHeight="1">
      <c r="B65" s="108"/>
      <c r="C65" s="58" t="str">
        <f t="shared" si="19"/>
        <v>地域密着型特定施設入居者生活介護</v>
      </c>
      <c r="D65" s="165"/>
      <c r="E65" s="18" t="s">
        <v>48</v>
      </c>
      <c r="F65" s="39" t="n">
        <v>0.0</v>
      </c>
      <c r="G65" s="40" t="n">
        <v>0.0</v>
      </c>
      <c r="H65" s="87" t="s">
        <v>94</v>
      </c>
      <c r="I65" s="53" t="str">
        <f t="shared" si="10"/>
        <v>－</v>
      </c>
      <c r="J65" s="21" t="n">
        <f t="shared" si="21"/>
        <v>196745.0</v>
      </c>
      <c r="K65" s="21" t="n">
        <f t="shared" si="21"/>
        <v>299130.0</v>
      </c>
      <c r="L65" s="22" t="str">
        <f t="shared" si="13"/>
        <v/>
      </c>
      <c r="M65" s="11"/>
      <c r="N65" s="1" t="str">
        <f t="shared" si="20"/>
        <v/>
      </c>
      <c r="O65" s="1" t="n">
        <f t="shared" si="22"/>
        <v>1.0</v>
      </c>
    </row>
    <row r="66" spans="2:15" ht="15.75" customHeight="1">
      <c r="B66" s="108"/>
      <c r="C66" s="58" t="str">
        <f t="shared" si="19"/>
        <v>地域密着型特定施設入居者生活介護</v>
      </c>
      <c r="D66" s="166"/>
      <c r="E66" s="23" t="s">
        <v>49</v>
      </c>
      <c r="F66" s="24" t="n">
        <f>SUM(F61:F65)</f>
        <v>0.0</v>
      </c>
      <c r="G66" s="25" t="n">
        <f>SUM(G61:G65)</f>
        <v>0.0</v>
      </c>
      <c r="H66" s="29" t="s">
        <v>94</v>
      </c>
      <c r="I66" s="54" t="str">
        <f t="shared" si="10"/>
        <v>－</v>
      </c>
      <c r="J66" s="21" t="n">
        <f t="shared" si="21"/>
        <v>156555.0</v>
      </c>
      <c r="K66" s="21" t="n">
        <f t="shared" si="21"/>
        <v>251245.0</v>
      </c>
      <c r="L66" s="27" t="str">
        <f t="shared" si="13"/>
        <v/>
      </c>
      <c r="M66" s="11"/>
      <c r="N66" s="1" t="str">
        <f t="shared" si="20"/>
        <v/>
      </c>
    </row>
    <row r="67" spans="2:15" ht="15.75" customHeight="1">
      <c r="B67" s="108"/>
      <c r="C67" s="58" t="str">
        <f t="shared" si="19"/>
        <v>地域密着型特定施設入居者生活介護</v>
      </c>
      <c r="D67" s="165" t="s">
        <v>414</v>
      </c>
      <c r="E67" s="15" t="s">
        <v>44</v>
      </c>
      <c r="F67" s="35" t="n">
        <v>0.0</v>
      </c>
      <c r="G67" s="36" t="n">
        <v>0.0</v>
      </c>
      <c r="H67" s="86" t="s">
        <v>94</v>
      </c>
      <c r="I67" s="52" t="str">
        <f t="shared" si="10"/>
        <v>－</v>
      </c>
      <c r="J67" s="16" t="n">
        <f t="shared" si="21"/>
        <v>134805.0</v>
      </c>
      <c r="K67" s="16" t="n">
        <f t="shared" si="21"/>
        <v>198455.0</v>
      </c>
      <c r="L67" s="17" t="str">
        <f t="shared" si="13"/>
        <v/>
      </c>
      <c r="M67" s="11"/>
      <c r="N67" s="1" t="str">
        <f t="shared" si="20"/>
        <v/>
      </c>
      <c r="O67" s="1" t="n">
        <f t="shared" ref="O67:O71" si="23">IF(OR(AND(F67="",G67="",H67="－"),AND(F67="",G67="",H67="")),"",1)</f>
        <v>1.0</v>
      </c>
    </row>
    <row r="68" spans="2:15" ht="15.75" customHeight="1">
      <c r="B68" s="108"/>
      <c r="C68" s="58" t="str">
        <f t="shared" si="19"/>
        <v>地域密着型特定施設入居者生活介護</v>
      </c>
      <c r="D68" s="165"/>
      <c r="E68" s="18" t="s">
        <v>45</v>
      </c>
      <c r="F68" s="39" t="n">
        <v>0.0</v>
      </c>
      <c r="G68" s="40" t="n">
        <v>0.0</v>
      </c>
      <c r="H68" s="87" t="s">
        <v>94</v>
      </c>
      <c r="I68" s="53" t="str">
        <f t="shared" si="10"/>
        <v>－</v>
      </c>
      <c r="J68" s="21" t="n">
        <f t="shared" si="21"/>
        <v>159165.0</v>
      </c>
      <c r="K68" s="21" t="n">
        <f t="shared" si="21"/>
        <v>215560.0</v>
      </c>
      <c r="L68" s="22" t="str">
        <f t="shared" si="13"/>
        <v/>
      </c>
      <c r="M68" s="11"/>
      <c r="N68" s="1" t="str">
        <f t="shared" si="20"/>
        <v/>
      </c>
      <c r="O68" s="1" t="n">
        <f t="shared" si="23"/>
        <v>1.0</v>
      </c>
    </row>
    <row r="69" spans="2:15" ht="15.75" customHeight="1">
      <c r="B69" s="108"/>
      <c r="C69" s="58" t="str">
        <f t="shared" si="19"/>
        <v>地域密着型特定施設入居者生活介護</v>
      </c>
      <c r="D69" s="165"/>
      <c r="E69" s="18" t="s">
        <v>46</v>
      </c>
      <c r="F69" s="39" t="n">
        <v>0.0</v>
      </c>
      <c r="G69" s="40" t="n">
        <v>0.0</v>
      </c>
      <c r="H69" s="87" t="s">
        <v>94</v>
      </c>
      <c r="I69" s="53" t="str">
        <f t="shared" si="10"/>
        <v>－</v>
      </c>
      <c r="J69" s="21" t="n">
        <f t="shared" si="21"/>
        <v>175755.0</v>
      </c>
      <c r="K69" s="21" t="n">
        <f t="shared" si="21"/>
        <v>241580.0</v>
      </c>
      <c r="L69" s="22" t="str">
        <f t="shared" si="13"/>
        <v/>
      </c>
      <c r="M69" s="11"/>
      <c r="N69" s="1" t="str">
        <f t="shared" si="20"/>
        <v/>
      </c>
      <c r="O69" s="1" t="n">
        <f t="shared" si="23"/>
        <v>1.0</v>
      </c>
    </row>
    <row r="70" spans="2:15" ht="15.75" customHeight="1">
      <c r="B70" s="108"/>
      <c r="C70" s="58" t="str">
        <f t="shared" si="19"/>
        <v>地域密着型特定施設入居者生活介護</v>
      </c>
      <c r="D70" s="165"/>
      <c r="E70" s="18" t="s">
        <v>47</v>
      </c>
      <c r="F70" s="39" t="n">
        <v>0.0</v>
      </c>
      <c r="G70" s="40" t="n">
        <v>0.0</v>
      </c>
      <c r="H70" s="87" t="s">
        <v>94</v>
      </c>
      <c r="I70" s="53" t="str">
        <f t="shared" si="10"/>
        <v>－</v>
      </c>
      <c r="J70" s="21" t="n">
        <f t="shared" si="21"/>
        <v>183345.0</v>
      </c>
      <c r="K70" s="21" t="n">
        <f t="shared" si="21"/>
        <v>270365.0</v>
      </c>
      <c r="L70" s="22" t="str">
        <f t="shared" si="13"/>
        <v/>
      </c>
      <c r="M70" s="11"/>
      <c r="N70" s="1" t="str">
        <f t="shared" si="20"/>
        <v/>
      </c>
      <c r="O70" s="1" t="n">
        <f t="shared" si="23"/>
        <v>1.0</v>
      </c>
    </row>
    <row r="71" spans="2:15" ht="15.75" customHeight="1">
      <c r="B71" s="108"/>
      <c r="C71" s="58" t="str">
        <f t="shared" si="19"/>
        <v>地域密着型特定施設入居者生活介護</v>
      </c>
      <c r="D71" s="165"/>
      <c r="E71" s="18" t="s">
        <v>48</v>
      </c>
      <c r="F71" s="39" t="n">
        <v>0.0</v>
      </c>
      <c r="G71" s="40" t="n">
        <v>0.0</v>
      </c>
      <c r="H71" s="87" t="s">
        <v>94</v>
      </c>
      <c r="I71" s="53" t="str">
        <f t="shared" si="10"/>
        <v>－</v>
      </c>
      <c r="J71" s="21" t="n">
        <f t="shared" si="21"/>
        <v>196745.0</v>
      </c>
      <c r="K71" s="21" t="n">
        <f t="shared" si="21"/>
        <v>299130.0</v>
      </c>
      <c r="L71" s="22" t="str">
        <f t="shared" si="13"/>
        <v/>
      </c>
      <c r="M71" s="11"/>
      <c r="N71" s="1" t="str">
        <f t="shared" si="20"/>
        <v/>
      </c>
      <c r="O71" s="1" t="n">
        <f t="shared" si="23"/>
        <v>1.0</v>
      </c>
    </row>
    <row r="72" spans="2:15" ht="15.75" customHeight="1">
      <c r="B72" s="109"/>
      <c r="C72" s="59" t="str">
        <f t="shared" si="19"/>
        <v>地域密着型特定施設入居者生活介護</v>
      </c>
      <c r="D72" s="166"/>
      <c r="E72" s="23" t="s">
        <v>49</v>
      </c>
      <c r="F72" s="24" t="n">
        <f>SUM(F67:F71)</f>
        <v>0.0</v>
      </c>
      <c r="G72" s="25" t="n">
        <f>SUM(G67:G71)</f>
        <v>0.0</v>
      </c>
      <c r="H72" s="29" t="s">
        <v>94</v>
      </c>
      <c r="I72" s="54" t="str">
        <f t="shared" si="10"/>
        <v>－</v>
      </c>
      <c r="J72" s="26" t="n">
        <f t="shared" si="21"/>
        <v>156555.0</v>
      </c>
      <c r="K72" s="26" t="n">
        <f t="shared" si="21"/>
        <v>251245.0</v>
      </c>
      <c r="L72" s="27" t="str">
        <f t="shared" si="13"/>
        <v/>
      </c>
      <c r="M72" s="11"/>
      <c r="N72" s="1" t="str">
        <f t="shared" si="20"/>
        <v/>
      </c>
    </row>
    <row r="73" spans="2:15" ht="15.75" customHeight="1">
      <c r="B73" s="107">
        <v>26</v>
      </c>
      <c r="C73" s="7" t="s">
        <v>100</v>
      </c>
      <c r="D73" s="164" t="s">
        <v>416</v>
      </c>
      <c r="E73" s="15" t="s">
        <v>44</v>
      </c>
      <c r="F73" s="35" t="n">
        <v>0.0</v>
      </c>
      <c r="G73" s="36" t="n">
        <v>0.0</v>
      </c>
      <c r="H73" s="86" t="s">
        <v>94</v>
      </c>
      <c r="I73" s="52" t="str">
        <f t="shared" si="10"/>
        <v>－</v>
      </c>
      <c r="J73" s="16" t="n">
        <f>IF(data!I242&lt;0,0,data!I242)</f>
        <v>146565.0</v>
      </c>
      <c r="K73" s="16" t="n">
        <f>IF(data!J242&lt;0,0,data!J242)</f>
        <v>312255.0</v>
      </c>
      <c r="L73" s="17" t="str">
        <f t="shared" si="13"/>
        <v/>
      </c>
      <c r="M73" s="11"/>
      <c r="N73" s="1" t="str">
        <f t="shared" si="20"/>
        <v/>
      </c>
      <c r="O73" s="1" t="n">
        <f t="shared" ref="O73:O77" si="24">IF(OR(AND(F73="",G73="",H73="－"),AND(F73="",G73="",H73="")),"",1)</f>
        <v>1.0</v>
      </c>
    </row>
    <row r="74" spans="2:15" ht="15.75" customHeight="1">
      <c r="B74" s="108"/>
      <c r="C74" s="58" t="str">
        <f t="shared" si="19"/>
        <v>地域密着型介護老人福祉施設入所者生活介護</v>
      </c>
      <c r="D74" s="165"/>
      <c r="E74" s="18" t="s">
        <v>45</v>
      </c>
      <c r="F74" s="39" t="n">
        <v>0.0</v>
      </c>
      <c r="G74" s="40" t="n">
        <v>0.0</v>
      </c>
      <c r="H74" s="87" t="s">
        <v>94</v>
      </c>
      <c r="I74" s="53" t="str">
        <f t="shared" si="10"/>
        <v>－</v>
      </c>
      <c r="J74" s="21" t="n">
        <f>IF(data!I243&lt;0,0,data!I243)</f>
        <v>174225.0</v>
      </c>
      <c r="K74" s="21" t="n">
        <f>IF(data!J243&lt;0,0,data!J243)</f>
        <v>336385.0</v>
      </c>
      <c r="L74" s="22" t="str">
        <f t="shared" si="13"/>
        <v/>
      </c>
      <c r="M74" s="11"/>
      <c r="N74" s="1" t="str">
        <f>IF(OR(I74="－",AND(J74="－",K74="－")),"",IF(OR(I74&lt;J74,I74&gt;K74),1,""))</f>
        <v/>
      </c>
      <c r="O74" s="1" t="n">
        <f t="shared" si="24"/>
        <v>1.0</v>
      </c>
    </row>
    <row r="75" spans="2:15" ht="15.75" customHeight="1">
      <c r="B75" s="108"/>
      <c r="C75" s="58" t="str">
        <f t="shared" si="19"/>
        <v>地域密着型介護老人福祉施設入所者生活介護</v>
      </c>
      <c r="D75" s="165"/>
      <c r="E75" s="18" t="s">
        <v>46</v>
      </c>
      <c r="F75" s="39" t="n">
        <v>4.6595328E7</v>
      </c>
      <c r="G75" s="40" t="n">
        <v>16.0</v>
      </c>
      <c r="H75" s="87" t="s">
        <v>94</v>
      </c>
      <c r="I75" s="53" t="n">
        <f t="shared" si="10"/>
        <v>242684.0</v>
      </c>
      <c r="J75" s="21" t="n">
        <f>IF(data!I244&lt;0,0,data!I244)</f>
        <v>215460.0</v>
      </c>
      <c r="K75" s="21" t="n">
        <f>IF(data!J244&lt;0,0,data!J244)</f>
        <v>331800.0</v>
      </c>
      <c r="L75" s="22" t="str">
        <f t="shared" si="13"/>
        <v>閾値の範囲内です。</v>
      </c>
      <c r="M75" s="11"/>
      <c r="N75" s="1" t="str">
        <f t="shared" ref="N75:N90" si="25">IF(OR(I75="－",AND(J75="－",K75="－")),"",IF(OR(I75&lt;J75,I75&gt;K75),1,""))</f>
        <v/>
      </c>
      <c r="O75" s="1" t="n">
        <f t="shared" si="24"/>
        <v>1.0</v>
      </c>
    </row>
    <row r="76" spans="2:15" ht="15.75" customHeight="1">
      <c r="B76" s="108"/>
      <c r="C76" s="58" t="str">
        <f t="shared" si="19"/>
        <v>地域密着型介護老人福祉施設入所者生活介護</v>
      </c>
      <c r="D76" s="165"/>
      <c r="E76" s="18" t="s">
        <v>47</v>
      </c>
      <c r="F76" s="39" t="n">
        <v>5.005056E7</v>
      </c>
      <c r="G76" s="40" t="n">
        <v>16.0</v>
      </c>
      <c r="H76" s="87" t="s">
        <v>94</v>
      </c>
      <c r="I76" s="53" t="n">
        <f t="shared" si="10"/>
        <v>260680.0</v>
      </c>
      <c r="J76" s="21" t="n">
        <f>IF(data!I245&lt;0,0,data!I245)</f>
        <v>235240.0</v>
      </c>
      <c r="K76" s="21" t="n">
        <f>IF(data!J245&lt;0,0,data!J245)</f>
        <v>357105.0</v>
      </c>
      <c r="L76" s="22" t="str">
        <f t="shared" si="13"/>
        <v>閾値の範囲内です。</v>
      </c>
      <c r="M76" s="11"/>
      <c r="N76" s="1" t="str">
        <f t="shared" si="25"/>
        <v/>
      </c>
      <c r="O76" s="1" t="n">
        <f t="shared" si="24"/>
        <v>1.0</v>
      </c>
    </row>
    <row r="77" spans="2:15" ht="15.75" customHeight="1">
      <c r="B77" s="108"/>
      <c r="C77" s="58" t="str">
        <f t="shared" si="19"/>
        <v>地域密着型介護老人福祉施設入所者生活介護</v>
      </c>
      <c r="D77" s="165"/>
      <c r="E77" s="18" t="s">
        <v>48</v>
      </c>
      <c r="F77" s="39" t="n">
        <v>2.6703744E7</v>
      </c>
      <c r="G77" s="40" t="n">
        <v>8.0</v>
      </c>
      <c r="H77" s="87" t="s">
        <v>94</v>
      </c>
      <c r="I77" s="53" t="n">
        <f t="shared" si="10"/>
        <v>278164.0</v>
      </c>
      <c r="J77" s="21" t="n">
        <f>IF(data!I246&lt;0,0,data!I246)</f>
        <v>256230.0</v>
      </c>
      <c r="K77" s="21" t="n">
        <f>IF(data!J246&lt;0,0,data!J246)</f>
        <v>379490.0</v>
      </c>
      <c r="L77" s="22" t="str">
        <f t="shared" si="13"/>
        <v>閾値の範囲内です。</v>
      </c>
      <c r="M77" s="11"/>
      <c r="N77" s="1" t="str">
        <f t="shared" si="25"/>
        <v/>
      </c>
      <c r="O77" s="1" t="n">
        <f t="shared" si="24"/>
        <v>1.0</v>
      </c>
    </row>
    <row r="78" spans="2:15" ht="15.75" customHeight="1">
      <c r="B78" s="8"/>
      <c r="C78" s="58" t="str">
        <f t="shared" si="19"/>
        <v>地域密着型介護老人福祉施設入所者生活介護</v>
      </c>
      <c r="D78" s="166"/>
      <c r="E78" s="23" t="s">
        <v>49</v>
      </c>
      <c r="F78" s="24" t="n">
        <f>SUM(F73:F77)</f>
        <v>1.23349632E8</v>
      </c>
      <c r="G78" s="25" t="n">
        <f>SUM(G73:G77)</f>
        <v>40.0</v>
      </c>
      <c r="H78" s="29" t="s">
        <v>94</v>
      </c>
      <c r="I78" s="54" t="n">
        <f t="shared" si="10"/>
        <v>256978.4</v>
      </c>
      <c r="J78" s="26" t="n">
        <f>IF(data!I247&lt;0,0,data!I247)</f>
        <v>234865.0</v>
      </c>
      <c r="K78" s="26" t="n">
        <f>IF(data!J247&lt;0,0,data!J247)</f>
        <v>355810.0</v>
      </c>
      <c r="L78" s="27" t="str">
        <f t="shared" si="13"/>
        <v>閾値の範囲内です。</v>
      </c>
      <c r="M78" s="11"/>
      <c r="N78" s="1" t="str">
        <f t="shared" si="25"/>
        <v/>
      </c>
    </row>
    <row r="79" spans="2:15" ht="15.75" customHeight="1">
      <c r="B79" s="8"/>
      <c r="C79" s="58" t="str">
        <f t="shared" si="19"/>
        <v>地域密着型介護老人福祉施設入所者生活介護</v>
      </c>
      <c r="D79" s="165" t="s">
        <v>415</v>
      </c>
      <c r="E79" s="15" t="s">
        <v>44</v>
      </c>
      <c r="F79" s="35" t="n">
        <v>0.0</v>
      </c>
      <c r="G79" s="36" t="n">
        <v>0.0</v>
      </c>
      <c r="H79" s="86" t="s">
        <v>94</v>
      </c>
      <c r="I79" s="52" t="str">
        <f t="shared" si="10"/>
        <v>－</v>
      </c>
      <c r="J79" s="16" t="n">
        <f t="shared" ref="J79:K90" si="26">J73</f>
        <v>146565.0</v>
      </c>
      <c r="K79" s="16" t="n">
        <f t="shared" si="26"/>
        <v>312255.0</v>
      </c>
      <c r="L79" s="17" t="str">
        <f t="shared" si="13"/>
        <v/>
      </c>
      <c r="M79" s="11"/>
      <c r="N79" s="1" t="str">
        <f t="shared" si="25"/>
        <v/>
      </c>
      <c r="O79" s="1" t="n">
        <f t="shared" ref="O79:O83" si="27">IF(OR(AND(F79="",G79="",H79="－"),AND(F79="",G79="",H79="")),"",1)</f>
        <v>1.0</v>
      </c>
    </row>
    <row r="80" spans="2:15" ht="15.75" customHeight="1">
      <c r="B80" s="8"/>
      <c r="C80" s="58" t="str">
        <f t="shared" si="19"/>
        <v>地域密着型介護老人福祉施設入所者生活介護</v>
      </c>
      <c r="D80" s="165"/>
      <c r="E80" s="18" t="s">
        <v>45</v>
      </c>
      <c r="F80" s="39" t="n">
        <v>0.0</v>
      </c>
      <c r="G80" s="40" t="n">
        <v>0.0</v>
      </c>
      <c r="H80" s="87" t="s">
        <v>94</v>
      </c>
      <c r="I80" s="53" t="str">
        <f t="shared" si="10"/>
        <v>－</v>
      </c>
      <c r="J80" s="21" t="n">
        <f t="shared" si="26"/>
        <v>174225.0</v>
      </c>
      <c r="K80" s="21" t="n">
        <f t="shared" si="26"/>
        <v>336385.0</v>
      </c>
      <c r="L80" s="22" t="str">
        <f t="shared" si="13"/>
        <v/>
      </c>
      <c r="M80" s="11"/>
      <c r="N80" s="1" t="str">
        <f t="shared" si="25"/>
        <v/>
      </c>
      <c r="O80" s="1" t="n">
        <f t="shared" si="27"/>
        <v>1.0</v>
      </c>
    </row>
    <row r="81" spans="2:15" ht="15.75" customHeight="1">
      <c r="B81" s="8"/>
      <c r="C81" s="58" t="str">
        <f t="shared" si="19"/>
        <v>地域密着型介護老人福祉施設入所者生活介護</v>
      </c>
      <c r="D81" s="165"/>
      <c r="E81" s="18" t="s">
        <v>46</v>
      </c>
      <c r="F81" s="39" t="n">
        <v>4.6595328E7</v>
      </c>
      <c r="G81" s="40" t="n">
        <v>16.0</v>
      </c>
      <c r="H81" s="87" t="s">
        <v>94</v>
      </c>
      <c r="I81" s="53" t="n">
        <f t="shared" si="10"/>
        <v>242684.0</v>
      </c>
      <c r="J81" s="21" t="n">
        <f t="shared" si="26"/>
        <v>215460.0</v>
      </c>
      <c r="K81" s="21" t="n">
        <f t="shared" si="26"/>
        <v>331800.0</v>
      </c>
      <c r="L81" s="22" t="str">
        <f t="shared" si="13"/>
        <v>閾値の範囲内です。</v>
      </c>
      <c r="M81" s="11"/>
      <c r="N81" s="1" t="str">
        <f t="shared" si="25"/>
        <v/>
      </c>
      <c r="O81" s="1" t="n">
        <f t="shared" si="27"/>
        <v>1.0</v>
      </c>
    </row>
    <row r="82" spans="2:15" ht="15.75" customHeight="1">
      <c r="B82" s="8"/>
      <c r="C82" s="58" t="str">
        <f t="shared" si="19"/>
        <v>地域密着型介護老人福祉施設入所者生活介護</v>
      </c>
      <c r="D82" s="165"/>
      <c r="E82" s="18" t="s">
        <v>47</v>
      </c>
      <c r="F82" s="39" t="n">
        <v>5.005056E7</v>
      </c>
      <c r="G82" s="40" t="n">
        <v>16.0</v>
      </c>
      <c r="H82" s="87" t="s">
        <v>94</v>
      </c>
      <c r="I82" s="53" t="n">
        <f t="shared" si="10"/>
        <v>260680.0</v>
      </c>
      <c r="J82" s="21" t="n">
        <f t="shared" si="26"/>
        <v>235240.0</v>
      </c>
      <c r="K82" s="21" t="n">
        <f t="shared" si="26"/>
        <v>357105.0</v>
      </c>
      <c r="L82" s="22" t="str">
        <f t="shared" si="13"/>
        <v>閾値の範囲内です。</v>
      </c>
      <c r="M82" s="11"/>
      <c r="N82" s="1" t="str">
        <f t="shared" si="25"/>
        <v/>
      </c>
      <c r="O82" s="1" t="n">
        <f t="shared" si="27"/>
        <v>1.0</v>
      </c>
    </row>
    <row r="83" spans="2:15" ht="15.75" customHeight="1">
      <c r="B83" s="8"/>
      <c r="C83" s="58" t="str">
        <f t="shared" si="19"/>
        <v>地域密着型介護老人福祉施設入所者生活介護</v>
      </c>
      <c r="D83" s="165"/>
      <c r="E83" s="18" t="s">
        <v>48</v>
      </c>
      <c r="F83" s="39" t="n">
        <v>2.6703744E7</v>
      </c>
      <c r="G83" s="40" t="n">
        <v>8.0</v>
      </c>
      <c r="H83" s="87" t="s">
        <v>94</v>
      </c>
      <c r="I83" s="53" t="n">
        <f t="shared" si="10"/>
        <v>278164.0</v>
      </c>
      <c r="J83" s="21" t="n">
        <f t="shared" si="26"/>
        <v>256230.0</v>
      </c>
      <c r="K83" s="21" t="n">
        <f t="shared" si="26"/>
        <v>379490.0</v>
      </c>
      <c r="L83" s="22" t="str">
        <f t="shared" si="13"/>
        <v>閾値の範囲内です。</v>
      </c>
      <c r="M83" s="11"/>
      <c r="N83" s="1" t="str">
        <f t="shared" si="25"/>
        <v/>
      </c>
      <c r="O83" s="1" t="n">
        <f t="shared" si="27"/>
        <v>1.0</v>
      </c>
    </row>
    <row r="84" spans="2:15" ht="15.75" customHeight="1">
      <c r="B84" s="8"/>
      <c r="C84" s="58" t="str">
        <f t="shared" si="19"/>
        <v>地域密着型介護老人福祉施設入所者生活介護</v>
      </c>
      <c r="D84" s="166"/>
      <c r="E84" s="23" t="s">
        <v>49</v>
      </c>
      <c r="F84" s="24" t="n">
        <f>SUM(F79:F83)</f>
        <v>1.23349632E8</v>
      </c>
      <c r="G84" s="25" t="n">
        <f>SUM(G79:G83)</f>
        <v>40.0</v>
      </c>
      <c r="H84" s="29" t="s">
        <v>94</v>
      </c>
      <c r="I84" s="54" t="n">
        <f t="shared" si="10"/>
        <v>256978.4</v>
      </c>
      <c r="J84" s="21" t="n">
        <f t="shared" si="26"/>
        <v>234865.0</v>
      </c>
      <c r="K84" s="21" t="n">
        <f t="shared" si="26"/>
        <v>355810.0</v>
      </c>
      <c r="L84" s="27" t="str">
        <f t="shared" si="13"/>
        <v>閾値の範囲内です。</v>
      </c>
      <c r="M84" s="11"/>
      <c r="N84" s="1" t="str">
        <f t="shared" si="25"/>
        <v/>
      </c>
    </row>
    <row r="85" spans="2:15" ht="15.75" customHeight="1">
      <c r="B85" s="8"/>
      <c r="C85" s="58" t="str">
        <f t="shared" si="19"/>
        <v>地域密着型介護老人福祉施設入所者生活介護</v>
      </c>
      <c r="D85" s="165" t="s">
        <v>414</v>
      </c>
      <c r="E85" s="15" t="s">
        <v>44</v>
      </c>
      <c r="F85" s="35" t="n">
        <v>0.0</v>
      </c>
      <c r="G85" s="36" t="n">
        <v>0.0</v>
      </c>
      <c r="H85" s="86" t="s">
        <v>94</v>
      </c>
      <c r="I85" s="52" t="str">
        <f t="shared" si="10"/>
        <v>－</v>
      </c>
      <c r="J85" s="16" t="n">
        <f t="shared" si="26"/>
        <v>146565.0</v>
      </c>
      <c r="K85" s="16" t="n">
        <f t="shared" si="26"/>
        <v>312255.0</v>
      </c>
      <c r="L85" s="17" t="str">
        <f t="shared" si="13"/>
        <v/>
      </c>
      <c r="M85" s="11"/>
      <c r="N85" s="1" t="str">
        <f t="shared" si="25"/>
        <v/>
      </c>
      <c r="O85" s="1" t="n">
        <f t="shared" ref="O85:O89" si="28">IF(OR(AND(F85="",G85="",H85="－"),AND(F85="",G85="",H85="")),"",1)</f>
        <v>1.0</v>
      </c>
    </row>
    <row r="86" spans="2:15" ht="15.75" customHeight="1">
      <c r="B86" s="8"/>
      <c r="C86" s="58" t="str">
        <f t="shared" si="19"/>
        <v>地域密着型介護老人福祉施設入所者生活介護</v>
      </c>
      <c r="D86" s="165"/>
      <c r="E86" s="18" t="s">
        <v>45</v>
      </c>
      <c r="F86" s="39" t="n">
        <v>0.0</v>
      </c>
      <c r="G86" s="40" t="n">
        <v>0.0</v>
      </c>
      <c r="H86" s="87" t="s">
        <v>94</v>
      </c>
      <c r="I86" s="53" t="str">
        <f t="shared" si="10"/>
        <v>－</v>
      </c>
      <c r="J86" s="21" t="n">
        <f t="shared" si="26"/>
        <v>174225.0</v>
      </c>
      <c r="K86" s="21" t="n">
        <f t="shared" si="26"/>
        <v>336385.0</v>
      </c>
      <c r="L86" s="22" t="str">
        <f t="shared" si="13"/>
        <v/>
      </c>
      <c r="M86" s="11"/>
      <c r="N86" s="1" t="str">
        <f t="shared" si="25"/>
        <v/>
      </c>
      <c r="O86" s="1" t="n">
        <f t="shared" si="28"/>
        <v>1.0</v>
      </c>
    </row>
    <row r="87" spans="2:15" ht="15.75" customHeight="1">
      <c r="B87" s="8"/>
      <c r="C87" s="58" t="str">
        <f t="shared" si="19"/>
        <v>地域密着型介護老人福祉施設入所者生活介護</v>
      </c>
      <c r="D87" s="165"/>
      <c r="E87" s="18" t="s">
        <v>46</v>
      </c>
      <c r="F87" s="39" t="n">
        <v>4.6595328E7</v>
      </c>
      <c r="G87" s="40" t="n">
        <v>16.0</v>
      </c>
      <c r="H87" s="87" t="s">
        <v>94</v>
      </c>
      <c r="I87" s="53" t="n">
        <f t="shared" si="10"/>
        <v>242684.0</v>
      </c>
      <c r="J87" s="21" t="n">
        <f t="shared" si="26"/>
        <v>215460.0</v>
      </c>
      <c r="K87" s="21" t="n">
        <f t="shared" si="26"/>
        <v>331800.0</v>
      </c>
      <c r="L87" s="22" t="str">
        <f t="shared" si="13"/>
        <v>閾値の範囲内です。</v>
      </c>
      <c r="M87" s="11"/>
      <c r="N87" s="1" t="str">
        <f t="shared" si="25"/>
        <v/>
      </c>
      <c r="O87" s="1" t="n">
        <f t="shared" si="28"/>
        <v>1.0</v>
      </c>
    </row>
    <row r="88" spans="2:15" ht="15.75" customHeight="1">
      <c r="B88" s="8"/>
      <c r="C88" s="58" t="str">
        <f t="shared" si="19"/>
        <v>地域密着型介護老人福祉施設入所者生活介護</v>
      </c>
      <c r="D88" s="165"/>
      <c r="E88" s="18" t="s">
        <v>47</v>
      </c>
      <c r="F88" s="39" t="n">
        <v>5.005056E7</v>
      </c>
      <c r="G88" s="40" t="n">
        <v>16.0</v>
      </c>
      <c r="H88" s="87" t="s">
        <v>94</v>
      </c>
      <c r="I88" s="53" t="n">
        <f t="shared" si="10"/>
        <v>260680.0</v>
      </c>
      <c r="J88" s="21" t="n">
        <f t="shared" si="26"/>
        <v>235240.0</v>
      </c>
      <c r="K88" s="21" t="n">
        <f t="shared" si="26"/>
        <v>357105.0</v>
      </c>
      <c r="L88" s="22" t="str">
        <f t="shared" si="13"/>
        <v>閾値の範囲内です。</v>
      </c>
      <c r="M88" s="11"/>
      <c r="N88" s="1" t="str">
        <f t="shared" si="25"/>
        <v/>
      </c>
      <c r="O88" s="1" t="n">
        <f t="shared" si="28"/>
        <v>1.0</v>
      </c>
    </row>
    <row r="89" spans="2:15" ht="15.75" customHeight="1">
      <c r="B89" s="8"/>
      <c r="C89" s="58" t="str">
        <f t="shared" si="19"/>
        <v>地域密着型介護老人福祉施設入所者生活介護</v>
      </c>
      <c r="D89" s="165"/>
      <c r="E89" s="18" t="s">
        <v>48</v>
      </c>
      <c r="F89" s="39" t="n">
        <v>2.6703744E7</v>
      </c>
      <c r="G89" s="40" t="n">
        <v>8.0</v>
      </c>
      <c r="H89" s="87" t="s">
        <v>94</v>
      </c>
      <c r="I89" s="53" t="n">
        <f t="shared" si="10"/>
        <v>278164.0</v>
      </c>
      <c r="J89" s="21" t="n">
        <f t="shared" si="26"/>
        <v>256230.0</v>
      </c>
      <c r="K89" s="21" t="n">
        <f t="shared" si="26"/>
        <v>379490.0</v>
      </c>
      <c r="L89" s="22" t="str">
        <f t="shared" si="13"/>
        <v>閾値の範囲内です。</v>
      </c>
      <c r="M89" s="11"/>
      <c r="N89" s="1" t="str">
        <f t="shared" si="25"/>
        <v/>
      </c>
      <c r="O89" s="1" t="n">
        <f t="shared" si="28"/>
        <v>1.0</v>
      </c>
    </row>
    <row r="90" spans="2:15" ht="15.75" customHeight="1">
      <c r="B90" s="10"/>
      <c r="C90" s="59" t="str">
        <f t="shared" si="19"/>
        <v>地域密着型介護老人福祉施設入所者生活介護</v>
      </c>
      <c r="D90" s="166"/>
      <c r="E90" s="23" t="s">
        <v>49</v>
      </c>
      <c r="F90" s="24" t="n">
        <f>SUM(F85:F89)</f>
        <v>1.23349632E8</v>
      </c>
      <c r="G90" s="25" t="n">
        <f>SUM(G85:G89)</f>
        <v>40.0</v>
      </c>
      <c r="H90" s="29" t="s">
        <v>94</v>
      </c>
      <c r="I90" s="54" t="n">
        <f t="shared" si="10"/>
        <v>256978.4</v>
      </c>
      <c r="J90" s="26" t="n">
        <f t="shared" si="26"/>
        <v>234865.0</v>
      </c>
      <c r="K90" s="26" t="n">
        <f t="shared" si="26"/>
        <v>355810.0</v>
      </c>
      <c r="L90" s="27" t="str">
        <f t="shared" si="13"/>
        <v>閾値の範囲内です。</v>
      </c>
      <c r="M90" s="11"/>
      <c r="N90" s="1" t="str">
        <f t="shared" si="25"/>
        <v/>
      </c>
    </row>
    <row r="91" spans="2:15">
      <c r="O91" s="1" t="n">
        <f>IF(COUNTIF(O7:O90,1)&gt;0,1,"")</f>
        <v>1.0</v>
      </c>
    </row>
  </sheetData>
  <mergeCells count="21">
    <mergeCell ref="D73:D78"/>
    <mergeCell ref="D79:D84"/>
    <mergeCell ref="D85:D90"/>
    <mergeCell ref="D7:D14"/>
    <mergeCell ref="D15:D22"/>
    <mergeCell ref="D23:D30"/>
    <mergeCell ref="D67:D72"/>
    <mergeCell ref="D31:D38"/>
    <mergeCell ref="D39:D46"/>
    <mergeCell ref="D47:D54"/>
    <mergeCell ref="D55:D60"/>
    <mergeCell ref="D61:D66"/>
    <mergeCell ref="I5:I6"/>
    <mergeCell ref="J5:K5"/>
    <mergeCell ref="L5:L6"/>
    <mergeCell ref="B5:B6"/>
    <mergeCell ref="C5:C6"/>
    <mergeCell ref="D5:E6"/>
    <mergeCell ref="F5:F6"/>
    <mergeCell ref="G5:G6"/>
    <mergeCell ref="H5:H6"/>
  </mergeCells>
  <phoneticPr fontId="2"/>
  <conditionalFormatting sqref="L7:L30 L32:L38 L40:L46 L48:L90">
    <cfRule type="expression" dxfId="9" priority="1">
      <formula>J7&gt;I7</formula>
    </cfRule>
    <cfRule type="expression" dxfId="8" priority="2">
      <formula>I7&gt;K7</formula>
    </cfRule>
  </conditionalFormatting>
  <dataValidations count="1">
    <dataValidation imeMode="disabled" allowBlank="1" showInputMessage="1" showErrorMessage="1" sqref="J61:K72 J15:K30 J79:K90 J40:K46 J48:K54" xr:uid="{00000000-0002-0000-06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61"/>
  <sheetViews>
    <sheetView view="pageBreakPreview" zoomScaleNormal="100" zoomScaleSheetLayoutView="100" workbookViewId="0">
      <pane xSplit="5" ySplit="6" topLeftCell="F7" activePane="bottomRight" state="frozen"/>
      <selection activeCell="I5" sqref="I5:I6"/>
      <selection pane="topRight" activeCell="I5" sqref="I5:I6"/>
      <selection pane="bottomLeft" activeCell="I5" sqref="I5:I6"/>
      <selection pane="bottomRight" activeCell="K57" sqref="K5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0" bestFit="true" customWidth="true" style="4" width="8.75" collapsed="false"/>
    <col min="11" max="11" customWidth="true" style="4" width="9.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104</v>
      </c>
    </row>
    <row r="4" spans="1:15" ht="7.5" customHeight="1">
      <c r="I4" s="4"/>
      <c r="K4" s="1"/>
    </row>
    <row r="5" spans="1:15" ht="26.25" customHeight="1">
      <c r="B5" s="150" t="s">
        <v>0</v>
      </c>
      <c r="C5" s="150" t="s">
        <v>2</v>
      </c>
      <c r="D5" s="159" t="s">
        <v>58</v>
      </c>
      <c r="E5" s="160"/>
      <c r="F5" s="150" t="s">
        <v>52</v>
      </c>
      <c r="G5" s="150" t="s">
        <v>54</v>
      </c>
      <c r="H5" s="150" t="s">
        <v>43</v>
      </c>
      <c r="I5" s="151" t="s">
        <v>91</v>
      </c>
      <c r="J5" s="152" t="s">
        <v>21</v>
      </c>
      <c r="K5" s="152"/>
      <c r="L5" s="149" t="s">
        <v>22</v>
      </c>
    </row>
    <row r="6" spans="1:15" s="2" customFormat="1" ht="20.25" customHeight="1">
      <c r="B6" s="150"/>
      <c r="C6" s="150"/>
      <c r="D6" s="161"/>
      <c r="E6" s="162"/>
      <c r="F6" s="150"/>
      <c r="G6" s="150"/>
      <c r="H6" s="150"/>
      <c r="I6" s="151"/>
      <c r="J6" s="5" t="s">
        <v>4</v>
      </c>
      <c r="K6" s="5" t="s">
        <v>3</v>
      </c>
      <c r="L6" s="149"/>
    </row>
    <row r="7" spans="1:15" ht="15.75" customHeight="1">
      <c r="B7" s="107">
        <v>27</v>
      </c>
      <c r="C7" s="7" t="s">
        <v>19</v>
      </c>
      <c r="D7" s="164" t="s">
        <v>416</v>
      </c>
      <c r="E7" s="15" t="s">
        <v>44</v>
      </c>
      <c r="F7" s="35" t="n">
        <v>2351412.0</v>
      </c>
      <c r="G7" s="36" t="n">
        <v>1.0</v>
      </c>
      <c r="H7" s="86" t="s">
        <v>94</v>
      </c>
      <c r="I7" s="52" t="n">
        <f t="shared" ref="I7:I39" si="0">IF(H7="－",IF(ISERROR(F7/G7/12)=TRUE,"－",F7/G7/12),IF(ISERROR(F7/G7/H7/12)=TRUE,"－",F7/G7/H7/12))</f>
        <v>195951.0</v>
      </c>
      <c r="J7" s="16" t="n">
        <f>IF(data!I248&lt;0,0,data!I248)</f>
        <v>149710.0</v>
      </c>
      <c r="K7" s="16" t="n">
        <f>IF(data!J248&lt;0,0,data!J248)</f>
        <v>274855.0</v>
      </c>
      <c r="L7" s="17" t="str">
        <f t="shared" ref="L7:L42" si="1">IF(I7="－","",IF(I7&lt;J7,"下限値を\"&amp;TEXT(ROUND(J7-I7,0),"#,##0")&amp;"下回っています。",IF(I7&gt;K7,"上限値を\"&amp;TEXT(ROUND(I7-K7,0),"#,##0")&amp;"上回っています。","閾値の範囲内です。")))</f>
        <v>閾値の範囲内です。</v>
      </c>
      <c r="M7" s="11"/>
      <c r="N7" s="1" t="str">
        <f>IF(OR(I7="－",AND(J7="－",K7="－")),"",IF(OR(I7&lt;J7,I7&gt;K7),1,""))</f>
        <v/>
      </c>
      <c r="O7" s="1" t="n">
        <f>IF(OR(AND(F7="",G7="",H7="－"),AND(F7="",G7="",H7="")),"",1)</f>
        <v>1.0</v>
      </c>
    </row>
    <row r="8" spans="1:15" ht="15.75" customHeight="1">
      <c r="B8" s="108"/>
      <c r="C8" s="58" t="str">
        <f t="shared" ref="C8:C35" si="2">C7</f>
        <v>介護老人福祉施設</v>
      </c>
      <c r="D8" s="165"/>
      <c r="E8" s="18" t="s">
        <v>45</v>
      </c>
      <c r="F8" s="39" t="n">
        <v>2713956.0</v>
      </c>
      <c r="G8" s="40" t="n">
        <v>1.0</v>
      </c>
      <c r="H8" s="87" t="s">
        <v>94</v>
      </c>
      <c r="I8" s="53" t="n">
        <f t="shared" si="0"/>
        <v>226163.0</v>
      </c>
      <c r="J8" s="21" t="n">
        <f>IF(data!I249&lt;0,0,data!I249)</f>
        <v>176200.0</v>
      </c>
      <c r="K8" s="21" t="n">
        <f>IF(data!J249&lt;0,0,data!J249)</f>
        <v>292185.0</v>
      </c>
      <c r="L8" s="22" t="str">
        <f t="shared" si="1"/>
        <v>閾値の範囲内です。</v>
      </c>
      <c r="M8" s="11"/>
      <c r="N8" s="1" t="str">
        <f>IF(OR(I8="－",AND(J8="－",K8="－")),"",IF(OR(I8&lt;J8,I8&gt;K8),1,""))</f>
        <v/>
      </c>
      <c r="O8" s="1" t="n">
        <f t="shared" ref="O8:O11" si="3">IF(OR(AND(F8="",G8="",H8="－"),AND(F8="",G8="",H8="")),"",1)</f>
        <v>1.0</v>
      </c>
    </row>
    <row r="9" spans="1:15" ht="15.75" customHeight="1">
      <c r="B9" s="108"/>
      <c r="C9" s="58" t="str">
        <f t="shared" si="2"/>
        <v>介護老人福祉施設</v>
      </c>
      <c r="D9" s="165"/>
      <c r="E9" s="18" t="s">
        <v>46</v>
      </c>
      <c r="F9" s="39" t="n">
        <v>4.6530432E7</v>
      </c>
      <c r="G9" s="40" t="n">
        <v>16.0</v>
      </c>
      <c r="H9" s="87" t="s">
        <v>94</v>
      </c>
      <c r="I9" s="53" t="n">
        <f t="shared" si="0"/>
        <v>242346.0</v>
      </c>
      <c r="J9" s="21" t="n">
        <f>IF(data!I250&lt;0,0,data!I250)</f>
        <v>212905.0</v>
      </c>
      <c r="K9" s="21" t="n">
        <f>IF(data!J250&lt;0,0,data!J250)</f>
        <v>292430.0</v>
      </c>
      <c r="L9" s="22" t="str">
        <f t="shared" si="1"/>
        <v>閾値の範囲内です。</v>
      </c>
      <c r="M9" s="11"/>
      <c r="N9" s="1" t="str">
        <f t="shared" ref="N9:N25" si="4">IF(OR(I9="－",AND(J9="－",K9="－")),"",IF(OR(I9&lt;J9,I9&gt;K9),1,""))</f>
        <v/>
      </c>
      <c r="O9" s="1" t="n">
        <f t="shared" si="3"/>
        <v>1.0</v>
      </c>
    </row>
    <row r="10" spans="1:15" ht="15.75" customHeight="1">
      <c r="B10" s="108"/>
      <c r="C10" s="58" t="str">
        <f t="shared" si="2"/>
        <v>介護老人福祉施設</v>
      </c>
      <c r="D10" s="165"/>
      <c r="E10" s="18" t="s">
        <v>47</v>
      </c>
      <c r="F10" s="39" t="n">
        <v>9.046296E7</v>
      </c>
      <c r="G10" s="40" t="n">
        <v>30.0</v>
      </c>
      <c r="H10" s="87" t="s">
        <v>94</v>
      </c>
      <c r="I10" s="53" t="n">
        <f t="shared" si="0"/>
        <v>251286.0</v>
      </c>
      <c r="J10" s="21" t="n">
        <f>IF(data!I251&lt;0,0,data!I251)</f>
        <v>232815.0</v>
      </c>
      <c r="K10" s="21" t="n">
        <f>IF(data!J251&lt;0,0,data!J251)</f>
        <v>313255.0</v>
      </c>
      <c r="L10" s="22" t="str">
        <f t="shared" si="1"/>
        <v>閾値の範囲内です。</v>
      </c>
      <c r="M10" s="11"/>
      <c r="N10" s="1" t="str">
        <f t="shared" si="4"/>
        <v/>
      </c>
      <c r="O10" s="1" t="n">
        <f t="shared" si="3"/>
        <v>1.0</v>
      </c>
    </row>
    <row r="11" spans="1:15" ht="15.75" customHeight="1">
      <c r="B11" s="108"/>
      <c r="C11" s="58" t="str">
        <f t="shared" si="2"/>
        <v>介護老人福祉施設</v>
      </c>
      <c r="D11" s="165"/>
      <c r="E11" s="18" t="s">
        <v>48</v>
      </c>
      <c r="F11" s="39" t="n">
        <v>3.6245616E7</v>
      </c>
      <c r="G11" s="40" t="n">
        <v>11.0</v>
      </c>
      <c r="H11" s="87" t="s">
        <v>94</v>
      </c>
      <c r="I11" s="53" t="n">
        <f t="shared" si="0"/>
        <v>274588.0</v>
      </c>
      <c r="J11" s="21" t="n">
        <f>IF(data!I252&lt;0,0,data!I252)</f>
        <v>251565.0</v>
      </c>
      <c r="K11" s="21" t="n">
        <f>IF(data!J252&lt;0,0,data!J252)</f>
        <v>335615.0</v>
      </c>
      <c r="L11" s="22" t="str">
        <f t="shared" si="1"/>
        <v>閾値の範囲内です。</v>
      </c>
      <c r="M11" s="11"/>
      <c r="N11" s="1" t="str">
        <f t="shared" si="4"/>
        <v/>
      </c>
      <c r="O11" s="1" t="n">
        <f t="shared" si="3"/>
        <v>1.0</v>
      </c>
    </row>
    <row r="12" spans="1:15" ht="15.75" customHeight="1">
      <c r="B12" s="108"/>
      <c r="C12" s="58" t="str">
        <f t="shared" si="2"/>
        <v>介護老人福祉施設</v>
      </c>
      <c r="D12" s="166"/>
      <c r="E12" s="23" t="s">
        <v>49</v>
      </c>
      <c r="F12" s="24" t="n">
        <f>SUM(F7:F11)</f>
        <v>1.78304376E8</v>
      </c>
      <c r="G12" s="25" t="n">
        <f>SUM(G7:G11)</f>
        <v>59.0</v>
      </c>
      <c r="H12" s="29" t="s">
        <v>94</v>
      </c>
      <c r="I12" s="54" t="n">
        <f t="shared" si="0"/>
        <v>251842.33898305087</v>
      </c>
      <c r="J12" s="26" t="n">
        <f>IF(data!I253&lt;0,0,data!I253)</f>
        <v>233090.0</v>
      </c>
      <c r="K12" s="26" t="n">
        <f>IF(data!J253&lt;0,0,data!J253)</f>
        <v>310715.0</v>
      </c>
      <c r="L12" s="27" t="str">
        <f t="shared" si="1"/>
        <v>閾値の範囲内です。</v>
      </c>
      <c r="M12" s="11"/>
      <c r="N12" s="1" t="str">
        <f t="shared" si="4"/>
        <v/>
      </c>
    </row>
    <row r="13" spans="1:15" ht="15.75" customHeight="1">
      <c r="B13" s="108"/>
      <c r="C13" s="58" t="str">
        <f t="shared" si="2"/>
        <v>介護老人福祉施設</v>
      </c>
      <c r="D13" s="165" t="s">
        <v>415</v>
      </c>
      <c r="E13" s="15" t="s">
        <v>44</v>
      </c>
      <c r="F13" s="35" t="n">
        <v>2351412.0</v>
      </c>
      <c r="G13" s="36" t="n">
        <v>1.0</v>
      </c>
      <c r="H13" s="86" t="s">
        <v>94</v>
      </c>
      <c r="I13" s="52" t="n">
        <f t="shared" si="0"/>
        <v>195951.0</v>
      </c>
      <c r="J13" s="16" t="n">
        <f t="shared" ref="J13:K24" si="5">J7</f>
        <v>149710.0</v>
      </c>
      <c r="K13" s="16" t="n">
        <f t="shared" si="5"/>
        <v>274855.0</v>
      </c>
      <c r="L13" s="17" t="str">
        <f t="shared" si="1"/>
        <v>閾値の範囲内です。</v>
      </c>
      <c r="M13" s="11"/>
      <c r="N13" s="1" t="str">
        <f t="shared" si="4"/>
        <v/>
      </c>
      <c r="O13" s="1" t="n">
        <f>IF(OR(AND(F13="",G13="",H13="－"),AND(F13="",G13="",H13="")),"",1)</f>
        <v>1.0</v>
      </c>
    </row>
    <row r="14" spans="1:15" ht="15.75" customHeight="1">
      <c r="B14" s="108"/>
      <c r="C14" s="58" t="str">
        <f t="shared" si="2"/>
        <v>介護老人福祉施設</v>
      </c>
      <c r="D14" s="165"/>
      <c r="E14" s="18" t="s">
        <v>45</v>
      </c>
      <c r="F14" s="39" t="n">
        <v>2713956.0</v>
      </c>
      <c r="G14" s="40" t="n">
        <v>1.0</v>
      </c>
      <c r="H14" s="87" t="s">
        <v>94</v>
      </c>
      <c r="I14" s="53" t="n">
        <f t="shared" si="0"/>
        <v>226163.0</v>
      </c>
      <c r="J14" s="21" t="n">
        <f t="shared" si="5"/>
        <v>176200.0</v>
      </c>
      <c r="K14" s="21" t="n">
        <f t="shared" si="5"/>
        <v>292185.0</v>
      </c>
      <c r="L14" s="22" t="str">
        <f t="shared" si="1"/>
        <v>閾値の範囲内です。</v>
      </c>
      <c r="M14" s="11"/>
      <c r="N14" s="1" t="str">
        <f t="shared" si="4"/>
        <v/>
      </c>
      <c r="O14" s="1" t="n">
        <f t="shared" ref="O14:O17" si="6">IF(OR(AND(F14="",G14="",H14="－"),AND(F14="",G14="",H14="")),"",1)</f>
        <v>1.0</v>
      </c>
    </row>
    <row r="15" spans="1:15" ht="15.75" customHeight="1">
      <c r="B15" s="108"/>
      <c r="C15" s="58" t="str">
        <f t="shared" si="2"/>
        <v>介護老人福祉施設</v>
      </c>
      <c r="D15" s="165"/>
      <c r="E15" s="18" t="s">
        <v>46</v>
      </c>
      <c r="F15" s="39" t="n">
        <v>4.6530432E7</v>
      </c>
      <c r="G15" s="40" t="n">
        <v>16.0</v>
      </c>
      <c r="H15" s="87" t="s">
        <v>94</v>
      </c>
      <c r="I15" s="53" t="n">
        <f t="shared" si="0"/>
        <v>242346.0</v>
      </c>
      <c r="J15" s="21" t="n">
        <f t="shared" si="5"/>
        <v>212905.0</v>
      </c>
      <c r="K15" s="21" t="n">
        <f t="shared" si="5"/>
        <v>292430.0</v>
      </c>
      <c r="L15" s="22" t="str">
        <f t="shared" si="1"/>
        <v>閾値の範囲内です。</v>
      </c>
      <c r="M15" s="11"/>
      <c r="N15" s="1" t="str">
        <f t="shared" si="4"/>
        <v/>
      </c>
      <c r="O15" s="1" t="n">
        <f t="shared" si="6"/>
        <v>1.0</v>
      </c>
    </row>
    <row r="16" spans="1:15" ht="15.75" customHeight="1">
      <c r="B16" s="108"/>
      <c r="C16" s="58" t="str">
        <f t="shared" si="2"/>
        <v>介護老人福祉施設</v>
      </c>
      <c r="D16" s="165"/>
      <c r="E16" s="18" t="s">
        <v>47</v>
      </c>
      <c r="F16" s="39" t="n">
        <v>9.046296E7</v>
      </c>
      <c r="G16" s="40" t="n">
        <v>30.0</v>
      </c>
      <c r="H16" s="87" t="s">
        <v>94</v>
      </c>
      <c r="I16" s="53" t="n">
        <f t="shared" si="0"/>
        <v>251286.0</v>
      </c>
      <c r="J16" s="21" t="n">
        <f t="shared" si="5"/>
        <v>232815.0</v>
      </c>
      <c r="K16" s="21" t="n">
        <f t="shared" si="5"/>
        <v>313255.0</v>
      </c>
      <c r="L16" s="22" t="str">
        <f t="shared" si="1"/>
        <v>閾値の範囲内です。</v>
      </c>
      <c r="M16" s="11"/>
      <c r="N16" s="1" t="str">
        <f t="shared" si="4"/>
        <v/>
      </c>
      <c r="O16" s="1" t="n">
        <f t="shared" si="6"/>
        <v>1.0</v>
      </c>
    </row>
    <row r="17" spans="2:15" ht="15.75" customHeight="1">
      <c r="B17" s="108"/>
      <c r="C17" s="58" t="str">
        <f t="shared" si="2"/>
        <v>介護老人福祉施設</v>
      </c>
      <c r="D17" s="165"/>
      <c r="E17" s="18" t="s">
        <v>48</v>
      </c>
      <c r="F17" s="39" t="n">
        <v>3.6245616E7</v>
      </c>
      <c r="G17" s="40" t="n">
        <v>11.0</v>
      </c>
      <c r="H17" s="87" t="s">
        <v>94</v>
      </c>
      <c r="I17" s="53" t="n">
        <f t="shared" si="0"/>
        <v>274588.0</v>
      </c>
      <c r="J17" s="21" t="n">
        <f t="shared" si="5"/>
        <v>251565.0</v>
      </c>
      <c r="K17" s="21" t="n">
        <f t="shared" si="5"/>
        <v>335615.0</v>
      </c>
      <c r="L17" s="22" t="str">
        <f t="shared" si="1"/>
        <v>閾値の範囲内です。</v>
      </c>
      <c r="M17" s="11"/>
      <c r="N17" s="1" t="str">
        <f t="shared" si="4"/>
        <v/>
      </c>
      <c r="O17" s="1" t="n">
        <f t="shared" si="6"/>
        <v>1.0</v>
      </c>
    </row>
    <row r="18" spans="2:15" ht="15.75" customHeight="1">
      <c r="B18" s="108"/>
      <c r="C18" s="58" t="str">
        <f t="shared" si="2"/>
        <v>介護老人福祉施設</v>
      </c>
      <c r="D18" s="166"/>
      <c r="E18" s="23" t="s">
        <v>49</v>
      </c>
      <c r="F18" s="24" t="n">
        <f>SUM(F13:F17)</f>
        <v>1.78304376E8</v>
      </c>
      <c r="G18" s="25" t="n">
        <f>SUM(G13:G17)</f>
        <v>59.0</v>
      </c>
      <c r="H18" s="29" t="s">
        <v>94</v>
      </c>
      <c r="I18" s="54" t="n">
        <f t="shared" si="0"/>
        <v>251842.33898305087</v>
      </c>
      <c r="J18" s="21" t="n">
        <f t="shared" si="5"/>
        <v>233090.0</v>
      </c>
      <c r="K18" s="21" t="n">
        <f t="shared" si="5"/>
        <v>310715.0</v>
      </c>
      <c r="L18" s="27" t="str">
        <f t="shared" si="1"/>
        <v>閾値の範囲内です。</v>
      </c>
      <c r="M18" s="11"/>
      <c r="N18" s="1" t="str">
        <f t="shared" si="4"/>
        <v/>
      </c>
    </row>
    <row r="19" spans="2:15" ht="15.75" customHeight="1">
      <c r="B19" s="108"/>
      <c r="C19" s="58" t="str">
        <f t="shared" si="2"/>
        <v>介護老人福祉施設</v>
      </c>
      <c r="D19" s="165" t="s">
        <v>414</v>
      </c>
      <c r="E19" s="15" t="s">
        <v>44</v>
      </c>
      <c r="F19" s="35" t="n">
        <v>2351412.0</v>
      </c>
      <c r="G19" s="36" t="n">
        <v>1.0</v>
      </c>
      <c r="H19" s="86" t="s">
        <v>94</v>
      </c>
      <c r="I19" s="52" t="n">
        <f t="shared" si="0"/>
        <v>195951.0</v>
      </c>
      <c r="J19" s="16" t="n">
        <f t="shared" si="5"/>
        <v>149710.0</v>
      </c>
      <c r="K19" s="16" t="n">
        <f t="shared" si="5"/>
        <v>274855.0</v>
      </c>
      <c r="L19" s="17" t="str">
        <f t="shared" si="1"/>
        <v>閾値の範囲内です。</v>
      </c>
      <c r="M19" s="11"/>
      <c r="N19" s="1" t="str">
        <f t="shared" si="4"/>
        <v/>
      </c>
      <c r="O19" s="1" t="n">
        <f>IF(OR(AND(F19="",G19="",H19="－"),AND(F19="",G19="",H19="")),"",1)</f>
        <v>1.0</v>
      </c>
    </row>
    <row r="20" spans="2:15" ht="15.75" customHeight="1">
      <c r="B20" s="108"/>
      <c r="C20" s="58" t="str">
        <f t="shared" si="2"/>
        <v>介護老人福祉施設</v>
      </c>
      <c r="D20" s="165"/>
      <c r="E20" s="18" t="s">
        <v>45</v>
      </c>
      <c r="F20" s="39" t="n">
        <v>2713956.0</v>
      </c>
      <c r="G20" s="40" t="n">
        <v>1.0</v>
      </c>
      <c r="H20" s="87" t="s">
        <v>94</v>
      </c>
      <c r="I20" s="53" t="n">
        <f t="shared" si="0"/>
        <v>226163.0</v>
      </c>
      <c r="J20" s="21" t="n">
        <f t="shared" si="5"/>
        <v>176200.0</v>
      </c>
      <c r="K20" s="21" t="n">
        <f t="shared" si="5"/>
        <v>292185.0</v>
      </c>
      <c r="L20" s="22" t="str">
        <f t="shared" si="1"/>
        <v>閾値の範囲内です。</v>
      </c>
      <c r="M20" s="11"/>
      <c r="N20" s="1" t="str">
        <f t="shared" si="4"/>
        <v/>
      </c>
      <c r="O20" s="1" t="n">
        <f t="shared" ref="O20:O23" si="7">IF(OR(AND(F20="",G20="",H20="－"),AND(F20="",G20="",H20="")),"",1)</f>
        <v>1.0</v>
      </c>
    </row>
    <row r="21" spans="2:15" ht="15.75" customHeight="1">
      <c r="B21" s="108"/>
      <c r="C21" s="58" t="str">
        <f t="shared" si="2"/>
        <v>介護老人福祉施設</v>
      </c>
      <c r="D21" s="165"/>
      <c r="E21" s="18" t="s">
        <v>46</v>
      </c>
      <c r="F21" s="39" t="n">
        <v>4.6530432E7</v>
      </c>
      <c r="G21" s="40" t="n">
        <v>16.0</v>
      </c>
      <c r="H21" s="87" t="s">
        <v>94</v>
      </c>
      <c r="I21" s="53" t="n">
        <f t="shared" si="0"/>
        <v>242346.0</v>
      </c>
      <c r="J21" s="21" t="n">
        <f t="shared" si="5"/>
        <v>212905.0</v>
      </c>
      <c r="K21" s="21" t="n">
        <f t="shared" si="5"/>
        <v>292430.0</v>
      </c>
      <c r="L21" s="22" t="str">
        <f t="shared" si="1"/>
        <v>閾値の範囲内です。</v>
      </c>
      <c r="M21" s="11"/>
      <c r="N21" s="1" t="str">
        <f t="shared" si="4"/>
        <v/>
      </c>
      <c r="O21" s="1" t="n">
        <f t="shared" si="7"/>
        <v>1.0</v>
      </c>
    </row>
    <row r="22" spans="2:15" ht="15.75" customHeight="1">
      <c r="B22" s="108"/>
      <c r="C22" s="58" t="str">
        <f t="shared" si="2"/>
        <v>介護老人福祉施設</v>
      </c>
      <c r="D22" s="165"/>
      <c r="E22" s="18" t="s">
        <v>47</v>
      </c>
      <c r="F22" s="39" t="n">
        <v>9.046296E7</v>
      </c>
      <c r="G22" s="40" t="n">
        <v>30.0</v>
      </c>
      <c r="H22" s="87" t="s">
        <v>94</v>
      </c>
      <c r="I22" s="53" t="n">
        <f t="shared" si="0"/>
        <v>251286.0</v>
      </c>
      <c r="J22" s="21" t="n">
        <f t="shared" si="5"/>
        <v>232815.0</v>
      </c>
      <c r="K22" s="21" t="n">
        <f t="shared" si="5"/>
        <v>313255.0</v>
      </c>
      <c r="L22" s="22" t="str">
        <f t="shared" si="1"/>
        <v>閾値の範囲内です。</v>
      </c>
      <c r="M22" s="11"/>
      <c r="N22" s="1" t="str">
        <f t="shared" si="4"/>
        <v/>
      </c>
      <c r="O22" s="1" t="n">
        <f t="shared" si="7"/>
        <v>1.0</v>
      </c>
    </row>
    <row r="23" spans="2:15" ht="15.75" customHeight="1">
      <c r="B23" s="108"/>
      <c r="C23" s="58" t="str">
        <f t="shared" si="2"/>
        <v>介護老人福祉施設</v>
      </c>
      <c r="D23" s="165"/>
      <c r="E23" s="18" t="s">
        <v>48</v>
      </c>
      <c r="F23" s="39" t="n">
        <v>3.6245616E7</v>
      </c>
      <c r="G23" s="40" t="n">
        <v>11.0</v>
      </c>
      <c r="H23" s="87" t="s">
        <v>94</v>
      </c>
      <c r="I23" s="53" t="n">
        <f t="shared" si="0"/>
        <v>274588.0</v>
      </c>
      <c r="J23" s="21" t="n">
        <f t="shared" si="5"/>
        <v>251565.0</v>
      </c>
      <c r="K23" s="21" t="n">
        <f t="shared" si="5"/>
        <v>335615.0</v>
      </c>
      <c r="L23" s="22" t="str">
        <f t="shared" si="1"/>
        <v>閾値の範囲内です。</v>
      </c>
      <c r="M23" s="11"/>
      <c r="N23" s="1" t="str">
        <f t="shared" si="4"/>
        <v/>
      </c>
      <c r="O23" s="1" t="n">
        <f t="shared" si="7"/>
        <v>1.0</v>
      </c>
    </row>
    <row r="24" spans="2:15" ht="15.75" customHeight="1">
      <c r="B24" s="109"/>
      <c r="C24" s="59" t="str">
        <f t="shared" si="2"/>
        <v>介護老人福祉施設</v>
      </c>
      <c r="D24" s="166"/>
      <c r="E24" s="23" t="s">
        <v>49</v>
      </c>
      <c r="F24" s="24" t="n">
        <f>SUM(F19:F23)</f>
        <v>1.78304376E8</v>
      </c>
      <c r="G24" s="25" t="n">
        <f>SUM(G19:G23)</f>
        <v>59.0</v>
      </c>
      <c r="H24" s="29" t="s">
        <v>94</v>
      </c>
      <c r="I24" s="54" t="n">
        <f t="shared" si="0"/>
        <v>251842.33898305087</v>
      </c>
      <c r="J24" s="26" t="n">
        <f t="shared" si="5"/>
        <v>233090.0</v>
      </c>
      <c r="K24" s="26" t="n">
        <f t="shared" si="5"/>
        <v>310715.0</v>
      </c>
      <c r="L24" s="27" t="str">
        <f t="shared" si="1"/>
        <v>閾値の範囲内です。</v>
      </c>
      <c r="M24" s="11"/>
      <c r="N24" s="1" t="str">
        <f t="shared" si="4"/>
        <v/>
      </c>
    </row>
    <row r="25" spans="2:15" ht="15.75" customHeight="1">
      <c r="B25" s="107">
        <v>28</v>
      </c>
      <c r="C25" s="7" t="s">
        <v>103</v>
      </c>
      <c r="D25" s="164" t="s">
        <v>416</v>
      </c>
      <c r="E25" s="15" t="s">
        <v>44</v>
      </c>
      <c r="F25" s="35" t="n">
        <v>8899560.0</v>
      </c>
      <c r="G25" s="36" t="n">
        <v>3.0</v>
      </c>
      <c r="H25" s="86" t="s">
        <v>94</v>
      </c>
      <c r="I25" s="52" t="n">
        <f t="shared" si="0"/>
        <v>247210.0</v>
      </c>
      <c r="J25" s="16" t="n">
        <f>IF(data!I254&lt;0,0,data!I254)</f>
        <v>204430.0</v>
      </c>
      <c r="K25" s="16" t="n">
        <f>IF(data!J254&lt;0,0,data!J254)</f>
        <v>306835.0</v>
      </c>
      <c r="L25" s="17" t="str">
        <f t="shared" si="1"/>
        <v>閾値の範囲内です。</v>
      </c>
      <c r="M25" s="11"/>
      <c r="N25" s="1" t="str">
        <f t="shared" si="4"/>
        <v/>
      </c>
      <c r="O25" s="1" t="n">
        <f>IF(OR(AND(F25="",G25="",H25="－"),AND(F25="",G25="",H25="")),"",1)</f>
        <v>1.0</v>
      </c>
    </row>
    <row r="26" spans="2:15" ht="15.75" customHeight="1">
      <c r="B26" s="108"/>
      <c r="C26" s="58" t="str">
        <f t="shared" si="2"/>
        <v>介護老人保健施設</v>
      </c>
      <c r="D26" s="165"/>
      <c r="E26" s="18" t="s">
        <v>45</v>
      </c>
      <c r="F26" s="39" t="n">
        <v>1.310592E7</v>
      </c>
      <c r="G26" s="40" t="n">
        <v>4.0</v>
      </c>
      <c r="H26" s="87" t="s">
        <v>94</v>
      </c>
      <c r="I26" s="53" t="n">
        <f t="shared" si="0"/>
        <v>273040.0</v>
      </c>
      <c r="J26" s="21" t="n">
        <f>IF(data!I255&lt;0,0,data!I255)</f>
        <v>217475.0</v>
      </c>
      <c r="K26" s="21" t="n">
        <f>IF(data!J255&lt;0,0,data!J255)</f>
        <v>330565.0</v>
      </c>
      <c r="L26" s="22" t="str">
        <f t="shared" si="1"/>
        <v>閾値の範囲内です。</v>
      </c>
      <c r="M26" s="11"/>
      <c r="N26" s="1" t="str">
        <f>IF(OR(I26="－",AND(J26="－",K26="－")),"",IF(OR(I26&lt;J26,I26&gt;K26),1,""))</f>
        <v/>
      </c>
      <c r="O26" s="1" t="n">
        <f t="shared" ref="O26:O29" si="8">IF(OR(AND(F26="",G26="",H26="－"),AND(F26="",G26="",H26="")),"",1)</f>
        <v>1.0</v>
      </c>
    </row>
    <row r="27" spans="2:15" ht="15.75" customHeight="1">
      <c r="B27" s="108"/>
      <c r="C27" s="58" t="str">
        <f t="shared" si="2"/>
        <v>介護老人保健施設</v>
      </c>
      <c r="D27" s="165"/>
      <c r="E27" s="18" t="s">
        <v>46</v>
      </c>
      <c r="F27" s="39" t="n">
        <v>3.320952E7</v>
      </c>
      <c r="G27" s="40" t="n">
        <v>10.0</v>
      </c>
      <c r="H27" s="87" t="s">
        <v>94</v>
      </c>
      <c r="I27" s="53" t="n">
        <f t="shared" si="0"/>
        <v>276746.0</v>
      </c>
      <c r="J27" s="21" t="n">
        <f>IF(data!I256&lt;0,0,data!I256)</f>
        <v>238690.0</v>
      </c>
      <c r="K27" s="21" t="n">
        <f>IF(data!J256&lt;0,0,data!J256)</f>
        <v>351640.0</v>
      </c>
      <c r="L27" s="22" t="str">
        <f t="shared" si="1"/>
        <v>閾値の範囲内です。</v>
      </c>
      <c r="M27" s="11"/>
      <c r="N27" s="1" t="str">
        <f t="shared" ref="N27:N42" si="9">IF(OR(I27="－",AND(J27="－",K27="－")),"",IF(OR(I27&lt;J27,I27&gt;K27),1,""))</f>
        <v/>
      </c>
      <c r="O27" s="1" t="n">
        <f t="shared" si="8"/>
        <v>1.0</v>
      </c>
    </row>
    <row r="28" spans="2:15" ht="15.75" customHeight="1">
      <c r="B28" s="108"/>
      <c r="C28" s="58" t="str">
        <f t="shared" si="2"/>
        <v>介護老人保健施設</v>
      </c>
      <c r="D28" s="165"/>
      <c r="E28" s="18" t="s">
        <v>47</v>
      </c>
      <c r="F28" s="39" t="n">
        <v>1.65801E7</v>
      </c>
      <c r="G28" s="40" t="n">
        <v>5.0</v>
      </c>
      <c r="H28" s="87" t="s">
        <v>94</v>
      </c>
      <c r="I28" s="53" t="n">
        <f t="shared" si="0"/>
        <v>276335.0</v>
      </c>
      <c r="J28" s="21" t="n">
        <f>IF(data!I257&lt;0,0,data!I257)</f>
        <v>250195.0</v>
      </c>
      <c r="K28" s="21" t="n">
        <f>IF(data!J257&lt;0,0,data!J257)</f>
        <v>375150.0</v>
      </c>
      <c r="L28" s="22" t="str">
        <f t="shared" si="1"/>
        <v>閾値の範囲内です。</v>
      </c>
      <c r="M28" s="11"/>
      <c r="N28" s="1" t="str">
        <f t="shared" si="9"/>
        <v/>
      </c>
      <c r="O28" s="1" t="n">
        <f t="shared" si="8"/>
        <v>1.0</v>
      </c>
    </row>
    <row r="29" spans="2:15" ht="15.75" customHeight="1">
      <c r="B29" s="108"/>
      <c r="C29" s="58" t="str">
        <f t="shared" si="2"/>
        <v>介護老人保健施設</v>
      </c>
      <c r="D29" s="165"/>
      <c r="E29" s="18" t="s">
        <v>48</v>
      </c>
      <c r="F29" s="39" t="n">
        <v>1.4239248E7</v>
      </c>
      <c r="G29" s="40" t="n">
        <v>4.0</v>
      </c>
      <c r="H29" s="87" t="s">
        <v>94</v>
      </c>
      <c r="I29" s="53" t="n">
        <f t="shared" si="0"/>
        <v>296651.0</v>
      </c>
      <c r="J29" s="21" t="n">
        <f>IF(data!I258&lt;0,0,data!I258)</f>
        <v>261280.0</v>
      </c>
      <c r="K29" s="21" t="n">
        <f>IF(data!J258&lt;0,0,data!J258)</f>
        <v>395515.0</v>
      </c>
      <c r="L29" s="22" t="str">
        <f t="shared" si="1"/>
        <v>閾値の範囲内です。</v>
      </c>
      <c r="M29" s="11"/>
      <c r="N29" s="1" t="str">
        <f t="shared" si="9"/>
        <v/>
      </c>
      <c r="O29" s="1" t="n">
        <f t="shared" si="8"/>
        <v>1.0</v>
      </c>
    </row>
    <row r="30" spans="2:15" ht="15.75" customHeight="1">
      <c r="B30" s="108"/>
      <c r="C30" s="58" t="str">
        <f t="shared" si="2"/>
        <v>介護老人保健施設</v>
      </c>
      <c r="D30" s="166"/>
      <c r="E30" s="23" t="s">
        <v>49</v>
      </c>
      <c r="F30" s="24" t="n">
        <f>SUM(F25:F29)</f>
        <v>8.6034348E7</v>
      </c>
      <c r="G30" s="25" t="n">
        <f>SUM(G25:G29)</f>
        <v>26.0</v>
      </c>
      <c r="H30" s="29" t="s">
        <v>94</v>
      </c>
      <c r="I30" s="54" t="n">
        <f t="shared" si="0"/>
        <v>275751.1153846154</v>
      </c>
      <c r="J30" s="26" t="n">
        <f>IF(data!I259&lt;0,0,data!I259)</f>
        <v>238220.0</v>
      </c>
      <c r="K30" s="26" t="n">
        <f>IF(data!J259&lt;0,0,data!J259)</f>
        <v>353785.0</v>
      </c>
      <c r="L30" s="27" t="str">
        <f t="shared" si="1"/>
        <v>閾値の範囲内です。</v>
      </c>
      <c r="M30" s="11"/>
      <c r="N30" s="1" t="str">
        <f t="shared" si="9"/>
        <v/>
      </c>
    </row>
    <row r="31" spans="2:15" ht="15.75" customHeight="1">
      <c r="B31" s="108"/>
      <c r="C31" s="58" t="str">
        <f t="shared" si="2"/>
        <v>介護老人保健施設</v>
      </c>
      <c r="D31" s="165" t="s">
        <v>415</v>
      </c>
      <c r="E31" s="15" t="s">
        <v>44</v>
      </c>
      <c r="F31" s="35" t="n">
        <v>8899560.0</v>
      </c>
      <c r="G31" s="36" t="n">
        <v>3.0</v>
      </c>
      <c r="H31" s="86" t="s">
        <v>94</v>
      </c>
      <c r="I31" s="52" t="n">
        <f t="shared" si="0"/>
        <v>247210.0</v>
      </c>
      <c r="J31" s="16" t="n">
        <f t="shared" ref="J31:K42" si="10">J25</f>
        <v>204430.0</v>
      </c>
      <c r="K31" s="16" t="n">
        <f t="shared" si="10"/>
        <v>306835.0</v>
      </c>
      <c r="L31" s="17" t="str">
        <f t="shared" si="1"/>
        <v>閾値の範囲内です。</v>
      </c>
      <c r="M31" s="11"/>
      <c r="N31" s="1" t="str">
        <f t="shared" si="9"/>
        <v/>
      </c>
      <c r="O31" s="1" t="n">
        <f>IF(OR(AND(F31="",G31="",H31="－"),AND(F31="",G31="",H31="")),"",1)</f>
        <v>1.0</v>
      </c>
    </row>
    <row r="32" spans="2:15" ht="15.75" customHeight="1">
      <c r="B32" s="108"/>
      <c r="C32" s="58" t="str">
        <f t="shared" si="2"/>
        <v>介護老人保健施設</v>
      </c>
      <c r="D32" s="165"/>
      <c r="E32" s="18" t="s">
        <v>45</v>
      </c>
      <c r="F32" s="39" t="n">
        <v>1.310592E7</v>
      </c>
      <c r="G32" s="40" t="n">
        <v>4.0</v>
      </c>
      <c r="H32" s="87" t="s">
        <v>94</v>
      </c>
      <c r="I32" s="53" t="n">
        <f t="shared" si="0"/>
        <v>273040.0</v>
      </c>
      <c r="J32" s="21" t="n">
        <f t="shared" si="10"/>
        <v>217475.0</v>
      </c>
      <c r="K32" s="21" t="n">
        <f t="shared" si="10"/>
        <v>330565.0</v>
      </c>
      <c r="L32" s="22" t="str">
        <f t="shared" si="1"/>
        <v>閾値の範囲内です。</v>
      </c>
      <c r="M32" s="11"/>
      <c r="N32" s="1" t="str">
        <f t="shared" si="9"/>
        <v/>
      </c>
      <c r="O32" s="1" t="n">
        <f t="shared" ref="O32:O35" si="11">IF(OR(AND(F32="",G32="",H32="－"),AND(F32="",G32="",H32="")),"",1)</f>
        <v>1.0</v>
      </c>
    </row>
    <row r="33" spans="2:15" ht="15.75" customHeight="1">
      <c r="B33" s="108"/>
      <c r="C33" s="58" t="str">
        <f t="shared" si="2"/>
        <v>介護老人保健施設</v>
      </c>
      <c r="D33" s="165"/>
      <c r="E33" s="18" t="s">
        <v>46</v>
      </c>
      <c r="F33" s="39" t="n">
        <v>3.320952E7</v>
      </c>
      <c r="G33" s="40" t="n">
        <v>10.0</v>
      </c>
      <c r="H33" s="87" t="s">
        <v>94</v>
      </c>
      <c r="I33" s="53" t="n">
        <f t="shared" si="0"/>
        <v>276746.0</v>
      </c>
      <c r="J33" s="21" t="n">
        <f t="shared" si="10"/>
        <v>238690.0</v>
      </c>
      <c r="K33" s="21" t="n">
        <f t="shared" si="10"/>
        <v>351640.0</v>
      </c>
      <c r="L33" s="22" t="str">
        <f t="shared" si="1"/>
        <v>閾値の範囲内です。</v>
      </c>
      <c r="M33" s="11"/>
      <c r="N33" s="1" t="str">
        <f t="shared" si="9"/>
        <v/>
      </c>
      <c r="O33" s="1" t="n">
        <f t="shared" si="11"/>
        <v>1.0</v>
      </c>
    </row>
    <row r="34" spans="2:15" ht="15.75" customHeight="1">
      <c r="B34" s="108"/>
      <c r="C34" s="58" t="str">
        <f t="shared" si="2"/>
        <v>介護老人保健施設</v>
      </c>
      <c r="D34" s="165"/>
      <c r="E34" s="18" t="s">
        <v>47</v>
      </c>
      <c r="F34" s="39" t="n">
        <v>1.65801E7</v>
      </c>
      <c r="G34" s="40" t="n">
        <v>5.0</v>
      </c>
      <c r="H34" s="87" t="s">
        <v>94</v>
      </c>
      <c r="I34" s="53" t="n">
        <f t="shared" si="0"/>
        <v>276335.0</v>
      </c>
      <c r="J34" s="21" t="n">
        <f t="shared" si="10"/>
        <v>250195.0</v>
      </c>
      <c r="K34" s="21" t="n">
        <f t="shared" si="10"/>
        <v>375150.0</v>
      </c>
      <c r="L34" s="22" t="str">
        <f t="shared" si="1"/>
        <v>閾値の範囲内です。</v>
      </c>
      <c r="M34" s="11"/>
      <c r="N34" s="1" t="str">
        <f t="shared" si="9"/>
        <v/>
      </c>
      <c r="O34" s="1" t="n">
        <f t="shared" si="11"/>
        <v>1.0</v>
      </c>
    </row>
    <row r="35" spans="2:15" ht="15.75" customHeight="1">
      <c r="B35" s="108"/>
      <c r="C35" s="58" t="str">
        <f t="shared" si="2"/>
        <v>介護老人保健施設</v>
      </c>
      <c r="D35" s="165"/>
      <c r="E35" s="18" t="s">
        <v>48</v>
      </c>
      <c r="F35" s="39" t="n">
        <v>1.4239248E7</v>
      </c>
      <c r="G35" s="40" t="n">
        <v>4.0</v>
      </c>
      <c r="H35" s="87" t="s">
        <v>94</v>
      </c>
      <c r="I35" s="53" t="n">
        <f t="shared" si="0"/>
        <v>296651.0</v>
      </c>
      <c r="J35" s="21" t="n">
        <f t="shared" si="10"/>
        <v>261280.0</v>
      </c>
      <c r="K35" s="21" t="n">
        <f t="shared" si="10"/>
        <v>395515.0</v>
      </c>
      <c r="L35" s="22" t="str">
        <f t="shared" si="1"/>
        <v>閾値の範囲内です。</v>
      </c>
      <c r="M35" s="11"/>
      <c r="N35" s="1" t="str">
        <f t="shared" si="9"/>
        <v/>
      </c>
      <c r="O35" s="1" t="n">
        <f t="shared" si="11"/>
        <v>1.0</v>
      </c>
    </row>
    <row r="36" spans="2:15" ht="15.75" customHeight="1">
      <c r="B36" s="108"/>
      <c r="C36" s="58" t="str">
        <f t="shared" ref="C36:C42" si="12">C35</f>
        <v>介護老人保健施設</v>
      </c>
      <c r="D36" s="166"/>
      <c r="E36" s="23" t="s">
        <v>49</v>
      </c>
      <c r="F36" s="24" t="n">
        <f>SUM(F31:F35)</f>
        <v>8.6034348E7</v>
      </c>
      <c r="G36" s="25" t="n">
        <f>SUM(G31:G35)</f>
        <v>26.0</v>
      </c>
      <c r="H36" s="29" t="s">
        <v>94</v>
      </c>
      <c r="I36" s="54" t="n">
        <f t="shared" si="0"/>
        <v>275751.1153846154</v>
      </c>
      <c r="J36" s="21" t="n">
        <f t="shared" si="10"/>
        <v>238220.0</v>
      </c>
      <c r="K36" s="21" t="n">
        <f t="shared" si="10"/>
        <v>353785.0</v>
      </c>
      <c r="L36" s="27" t="str">
        <f t="shared" si="1"/>
        <v>閾値の範囲内です。</v>
      </c>
      <c r="M36" s="11"/>
      <c r="N36" s="1" t="str">
        <f t="shared" si="9"/>
        <v/>
      </c>
    </row>
    <row r="37" spans="2:15" ht="15.75" customHeight="1">
      <c r="B37" s="108"/>
      <c r="C37" s="58" t="str">
        <f t="shared" si="12"/>
        <v>介護老人保健施設</v>
      </c>
      <c r="D37" s="165" t="s">
        <v>414</v>
      </c>
      <c r="E37" s="15" t="s">
        <v>44</v>
      </c>
      <c r="F37" s="35" t="n">
        <v>8899560.0</v>
      </c>
      <c r="G37" s="36" t="n">
        <v>3.0</v>
      </c>
      <c r="H37" s="86" t="s">
        <v>94</v>
      </c>
      <c r="I37" s="52" t="n">
        <f t="shared" si="0"/>
        <v>247210.0</v>
      </c>
      <c r="J37" s="16" t="n">
        <f t="shared" si="10"/>
        <v>204430.0</v>
      </c>
      <c r="K37" s="16" t="n">
        <f t="shared" si="10"/>
        <v>306835.0</v>
      </c>
      <c r="L37" s="17" t="str">
        <f t="shared" si="1"/>
        <v>閾値の範囲内です。</v>
      </c>
      <c r="M37" s="11"/>
      <c r="N37" s="1" t="str">
        <f t="shared" si="9"/>
        <v/>
      </c>
      <c r="O37" s="1" t="n">
        <f t="shared" ref="O37:O41" si="13">IF(OR(AND(F37="",G37="",H37="－"),AND(F37="",G37="",H37="")),"",1)</f>
        <v>1.0</v>
      </c>
    </row>
    <row r="38" spans="2:15" ht="15.75" customHeight="1">
      <c r="B38" s="108"/>
      <c r="C38" s="58" t="str">
        <f t="shared" si="12"/>
        <v>介護老人保健施設</v>
      </c>
      <c r="D38" s="165"/>
      <c r="E38" s="18" t="s">
        <v>45</v>
      </c>
      <c r="F38" s="39" t="n">
        <v>1.310592E7</v>
      </c>
      <c r="G38" s="40" t="n">
        <v>4.0</v>
      </c>
      <c r="H38" s="87" t="s">
        <v>94</v>
      </c>
      <c r="I38" s="53" t="n">
        <f t="shared" si="0"/>
        <v>273040.0</v>
      </c>
      <c r="J38" s="21" t="n">
        <f t="shared" si="10"/>
        <v>217475.0</v>
      </c>
      <c r="K38" s="21" t="n">
        <f t="shared" si="10"/>
        <v>330565.0</v>
      </c>
      <c r="L38" s="22" t="str">
        <f t="shared" si="1"/>
        <v>閾値の範囲内です。</v>
      </c>
      <c r="M38" s="11"/>
      <c r="N38" s="1" t="str">
        <f t="shared" si="9"/>
        <v/>
      </c>
      <c r="O38" s="1" t="n">
        <f t="shared" si="13"/>
        <v>1.0</v>
      </c>
    </row>
    <row r="39" spans="2:15" ht="15.75" customHeight="1">
      <c r="B39" s="108"/>
      <c r="C39" s="58" t="str">
        <f t="shared" si="12"/>
        <v>介護老人保健施設</v>
      </c>
      <c r="D39" s="165"/>
      <c r="E39" s="18" t="s">
        <v>46</v>
      </c>
      <c r="F39" s="39" t="n">
        <v>3.320952E7</v>
      </c>
      <c r="G39" s="40" t="n">
        <v>10.0</v>
      </c>
      <c r="H39" s="87" t="s">
        <v>94</v>
      </c>
      <c r="I39" s="53" t="n">
        <f t="shared" si="0"/>
        <v>276746.0</v>
      </c>
      <c r="J39" s="21" t="n">
        <f t="shared" si="10"/>
        <v>238690.0</v>
      </c>
      <c r="K39" s="21" t="n">
        <f t="shared" si="10"/>
        <v>351640.0</v>
      </c>
      <c r="L39" s="22" t="str">
        <f t="shared" si="1"/>
        <v>閾値の範囲内です。</v>
      </c>
      <c r="M39" s="11"/>
      <c r="N39" s="1" t="str">
        <f t="shared" si="9"/>
        <v/>
      </c>
      <c r="O39" s="1" t="n">
        <f t="shared" si="13"/>
        <v>1.0</v>
      </c>
    </row>
    <row r="40" spans="2:15" ht="15.75" customHeight="1">
      <c r="B40" s="108"/>
      <c r="C40" s="58" t="str">
        <f t="shared" si="12"/>
        <v>介護老人保健施設</v>
      </c>
      <c r="D40" s="165"/>
      <c r="E40" s="18" t="s">
        <v>47</v>
      </c>
      <c r="F40" s="39" t="n">
        <v>1.65801E7</v>
      </c>
      <c r="G40" s="40" t="n">
        <v>5.0</v>
      </c>
      <c r="H40" s="87" t="s">
        <v>94</v>
      </c>
      <c r="I40" s="53" t="n">
        <f t="shared" ref="I40:I42" si="14">IF(H40="－",IF(ISERROR(F40/G40/12)=TRUE,"－",F40/G40/12),IF(ISERROR(F40/G40/H40/12)=TRUE,"－",F40/G40/H40/12))</f>
        <v>276335.0</v>
      </c>
      <c r="J40" s="21" t="n">
        <f t="shared" si="10"/>
        <v>250195.0</v>
      </c>
      <c r="K40" s="21" t="n">
        <f t="shared" si="10"/>
        <v>375150.0</v>
      </c>
      <c r="L40" s="22" t="str">
        <f t="shared" si="1"/>
        <v>閾値の範囲内です。</v>
      </c>
      <c r="M40" s="11"/>
      <c r="N40" s="1" t="str">
        <f t="shared" si="9"/>
        <v/>
      </c>
      <c r="O40" s="1" t="n">
        <f t="shared" si="13"/>
        <v>1.0</v>
      </c>
    </row>
    <row r="41" spans="2:15" ht="15.75" customHeight="1">
      <c r="B41" s="108"/>
      <c r="C41" s="58" t="str">
        <f t="shared" si="12"/>
        <v>介護老人保健施設</v>
      </c>
      <c r="D41" s="165"/>
      <c r="E41" s="18" t="s">
        <v>48</v>
      </c>
      <c r="F41" s="39" t="n">
        <v>1.4239248E7</v>
      </c>
      <c r="G41" s="40" t="n">
        <v>4.0</v>
      </c>
      <c r="H41" s="87" t="s">
        <v>94</v>
      </c>
      <c r="I41" s="53" t="n">
        <f t="shared" si="14"/>
        <v>296651.0</v>
      </c>
      <c r="J41" s="21" t="n">
        <f t="shared" si="10"/>
        <v>261280.0</v>
      </c>
      <c r="K41" s="21" t="n">
        <f t="shared" si="10"/>
        <v>395515.0</v>
      </c>
      <c r="L41" s="22" t="str">
        <f t="shared" si="1"/>
        <v>閾値の範囲内です。</v>
      </c>
      <c r="M41" s="11"/>
      <c r="N41" s="1" t="str">
        <f t="shared" si="9"/>
        <v/>
      </c>
      <c r="O41" s="1" t="n">
        <f t="shared" si="13"/>
        <v>1.0</v>
      </c>
    </row>
    <row r="42" spans="2:15" ht="15.75" customHeight="1">
      <c r="B42" s="109"/>
      <c r="C42" s="59" t="str">
        <f t="shared" si="12"/>
        <v>介護老人保健施設</v>
      </c>
      <c r="D42" s="166"/>
      <c r="E42" s="23" t="s">
        <v>49</v>
      </c>
      <c r="F42" s="24" t="n">
        <f>SUM(F37:F41)</f>
        <v>8.6034348E7</v>
      </c>
      <c r="G42" s="25" t="n">
        <f>SUM(G37:G41)</f>
        <v>26.0</v>
      </c>
      <c r="H42" s="29" t="s">
        <v>94</v>
      </c>
      <c r="I42" s="54" t="n">
        <f t="shared" si="14"/>
        <v>275751.1153846154</v>
      </c>
      <c r="J42" s="26" t="n">
        <f t="shared" si="10"/>
        <v>238220.0</v>
      </c>
      <c r="K42" s="26" t="n">
        <f t="shared" si="10"/>
        <v>353785.0</v>
      </c>
      <c r="L42" s="27" t="str">
        <f t="shared" si="1"/>
        <v>閾値の範囲内です。</v>
      </c>
      <c r="M42" s="11"/>
      <c r="N42" s="1" t="str">
        <f t="shared" si="9"/>
        <v/>
      </c>
    </row>
    <row r="43" spans="2:15" ht="15.75" customHeight="1">
      <c r="B43" s="107">
        <v>29</v>
      </c>
      <c r="C43" s="7" t="s">
        <v>117</v>
      </c>
      <c r="D43" s="164" t="s">
        <v>416</v>
      </c>
      <c r="E43" s="15" t="s">
        <v>44</v>
      </c>
      <c r="F43" s="35" t="n">
        <v>0.0</v>
      </c>
      <c r="G43" s="36" t="n">
        <v>0.0</v>
      </c>
      <c r="H43" s="86" t="s">
        <v>20</v>
      </c>
      <c r="I43" s="52" t="str">
        <f t="shared" ref="I43:I60" si="15">IF(H43="－",IF(ISERROR(F43/G43/12)=TRUE,"－",F43/G43/12),IF(ISERROR(F43/G43/H43/12)=TRUE,"－",F43/G43/H43/12))</f>
        <v>－</v>
      </c>
      <c r="J43" s="16" t="n">
        <f>IF(data!I260&lt;0,0,data!I260)</f>
        <v>92610.0</v>
      </c>
      <c r="K43" s="16" t="n">
        <f>IF(data!J260&lt;0,0,data!J260)</f>
        <v>364960.0</v>
      </c>
      <c r="L43" s="17" t="str">
        <f t="shared" ref="L43:L45" si="16">IF(I43="－","",IF(I43&lt;J43,"下限値を\"&amp;TEXT(ROUND(J43-I43,0),"#,##0")&amp;"下回っています。",IF(I43&gt;K43,"上限値を\"&amp;TEXT(ROUND(I43-K43,0),"#,##0")&amp;"上回っています。","閾値の範囲内です。")))</f>
        <v/>
      </c>
      <c r="M43" s="11"/>
      <c r="N43" s="1" t="str">
        <f t="shared" ref="N43" si="17">IF(OR(I43="－",AND(J43="－",K43="－")),"",IF(OR(I43&lt;J43,I43&gt;K43),1,""))</f>
        <v/>
      </c>
      <c r="O43" s="1" t="n">
        <f t="shared" ref="O43:O47" si="18">IF(OR(AND(F43="",G43="",H43="－"),AND(F43="",G43="",H43="")),"",1)</f>
        <v>1.0</v>
      </c>
    </row>
    <row r="44" spans="2:15" ht="15.75" customHeight="1">
      <c r="B44" s="108"/>
      <c r="C44" s="58" t="str">
        <f t="shared" ref="C44:C60" si="19">C43</f>
        <v>介護医療院</v>
      </c>
      <c r="D44" s="165"/>
      <c r="E44" s="18" t="s">
        <v>45</v>
      </c>
      <c r="F44" s="39" t="n">
        <v>0.0</v>
      </c>
      <c r="G44" s="40" t="n">
        <v>0.0</v>
      </c>
      <c r="H44" s="87" t="s">
        <v>20</v>
      </c>
      <c r="I44" s="53" t="str">
        <f t="shared" si="15"/>
        <v>－</v>
      </c>
      <c r="J44" s="21" t="n">
        <f>IF(data!I261&lt;0,0,data!I261)</f>
        <v>136355.0</v>
      </c>
      <c r="K44" s="21" t="n">
        <f>IF(data!J261&lt;0,0,data!J261)</f>
        <v>387215.0</v>
      </c>
      <c r="L44" s="22" t="str">
        <f t="shared" si="16"/>
        <v/>
      </c>
      <c r="M44" s="11"/>
      <c r="N44" s="1" t="str">
        <f>IF(OR(I44="－",AND(J44="－",K44="－")),"",IF(OR(I44&lt;J44,I44&gt;K44),1,""))</f>
        <v/>
      </c>
      <c r="O44" s="1" t="n">
        <f t="shared" si="18"/>
        <v>1.0</v>
      </c>
    </row>
    <row r="45" spans="2:15" ht="15.75" customHeight="1">
      <c r="B45" s="108"/>
      <c r="C45" s="58" t="str">
        <f t="shared" si="19"/>
        <v>介護医療院</v>
      </c>
      <c r="D45" s="165"/>
      <c r="E45" s="18" t="s">
        <v>46</v>
      </c>
      <c r="F45" s="39" t="n">
        <v>0.0</v>
      </c>
      <c r="G45" s="40" t="n">
        <v>0.0</v>
      </c>
      <c r="H45" s="87" t="s">
        <v>20</v>
      </c>
      <c r="I45" s="53" t="str">
        <f t="shared" si="15"/>
        <v>－</v>
      </c>
      <c r="J45" s="21" t="n">
        <f>IF(data!I262&lt;0,0,data!I262)</f>
        <v>193005.0</v>
      </c>
      <c r="K45" s="21" t="n">
        <f>IF(data!J262&lt;0,0,data!J262)</f>
        <v>461710.0</v>
      </c>
      <c r="L45" s="22" t="str">
        <f t="shared" si="16"/>
        <v/>
      </c>
      <c r="M45" s="11"/>
      <c r="N45" s="1" t="str">
        <f t="shared" ref="N45:N60" si="20">IF(OR(I45="－",AND(J45="－",K45="－")),"",IF(OR(I45&lt;J45,I45&gt;K45),1,""))</f>
        <v/>
      </c>
      <c r="O45" s="1" t="n">
        <f t="shared" si="18"/>
        <v>1.0</v>
      </c>
    </row>
    <row r="46" spans="2:15" ht="15.75" customHeight="1">
      <c r="B46" s="108"/>
      <c r="C46" s="58" t="str">
        <f t="shared" si="19"/>
        <v>介護医療院</v>
      </c>
      <c r="D46" s="165"/>
      <c r="E46" s="18" t="s">
        <v>47</v>
      </c>
      <c r="F46" s="39" t="n">
        <v>0.0</v>
      </c>
      <c r="G46" s="40" t="n">
        <v>0.0</v>
      </c>
      <c r="H46" s="87" t="s">
        <v>20</v>
      </c>
      <c r="I46" s="53" t="str">
        <f t="shared" si="15"/>
        <v>－</v>
      </c>
      <c r="J46" s="21" t="n">
        <f>IF(data!I263&lt;0,0,data!I263)</f>
        <v>256305.0</v>
      </c>
      <c r="K46" s="21" t="n">
        <f>IF(data!J263&lt;0,0,data!J263)</f>
        <v>468285.0</v>
      </c>
      <c r="L46" s="22" t="str">
        <f t="shared" ref="L46:L60" si="21">IF(I46="－","",IF(I46&lt;J46,"下限値を\"&amp;TEXT(ROUND(J46-I46,0),"#,##0")&amp;"下回っています。",IF(I46&gt;K46,"上限値を\"&amp;TEXT(ROUND(I46-K46,0),"#,##0")&amp;"上回っています。","閾値の範囲内です。")))</f>
        <v/>
      </c>
      <c r="M46" s="11"/>
      <c r="N46" s="1" t="str">
        <f t="shared" si="20"/>
        <v/>
      </c>
      <c r="O46" s="1" t="n">
        <f t="shared" si="18"/>
        <v>1.0</v>
      </c>
    </row>
    <row r="47" spans="2:15" ht="15.75" customHeight="1">
      <c r="B47" s="108"/>
      <c r="C47" s="58" t="str">
        <f t="shared" si="19"/>
        <v>介護医療院</v>
      </c>
      <c r="D47" s="165"/>
      <c r="E47" s="18" t="s">
        <v>48</v>
      </c>
      <c r="F47" s="39" t="n">
        <v>0.0</v>
      </c>
      <c r="G47" s="40" t="n">
        <v>0.0</v>
      </c>
      <c r="H47" s="87" t="s">
        <v>20</v>
      </c>
      <c r="I47" s="53" t="str">
        <f t="shared" si="15"/>
        <v>－</v>
      </c>
      <c r="J47" s="21" t="n">
        <f>IF(data!I264&lt;0,0,data!I264)</f>
        <v>287445.0</v>
      </c>
      <c r="K47" s="21" t="n">
        <f>IF(data!J264&lt;0,0,data!J264)</f>
        <v>489595.0</v>
      </c>
      <c r="L47" s="22" t="str">
        <f t="shared" si="21"/>
        <v/>
      </c>
      <c r="M47" s="11"/>
      <c r="N47" s="1" t="str">
        <f t="shared" si="20"/>
        <v/>
      </c>
      <c r="O47" s="1" t="n">
        <f t="shared" si="18"/>
        <v>1.0</v>
      </c>
    </row>
    <row r="48" spans="2:15" ht="15.75" customHeight="1">
      <c r="B48" s="108"/>
      <c r="C48" s="58" t="str">
        <f t="shared" si="19"/>
        <v>介護医療院</v>
      </c>
      <c r="D48" s="166"/>
      <c r="E48" s="23" t="s">
        <v>49</v>
      </c>
      <c r="F48" s="24" t="n">
        <f>SUM(F43:F47)</f>
        <v>0.0</v>
      </c>
      <c r="G48" s="25" t="n">
        <f>SUM(G43:G47)</f>
        <v>0.0</v>
      </c>
      <c r="H48" s="29" t="s">
        <v>20</v>
      </c>
      <c r="I48" s="54" t="str">
        <f t="shared" si="15"/>
        <v>－</v>
      </c>
      <c r="J48" s="26" t="n">
        <f>IF(data!I265&lt;0,0,data!I265)</f>
        <v>254120.0</v>
      </c>
      <c r="K48" s="26" t="n">
        <f>IF(data!J265&lt;0,0,data!J265)</f>
        <v>478785.0</v>
      </c>
      <c r="L48" s="27" t="str">
        <f t="shared" si="21"/>
        <v/>
      </c>
      <c r="M48" s="11"/>
      <c r="N48" s="1" t="str">
        <f t="shared" si="20"/>
        <v/>
      </c>
    </row>
    <row r="49" spans="2:15" ht="15.75" customHeight="1">
      <c r="B49" s="108"/>
      <c r="C49" s="58" t="str">
        <f t="shared" si="19"/>
        <v>介護医療院</v>
      </c>
      <c r="D49" s="165" t="s">
        <v>415</v>
      </c>
      <c r="E49" s="15" t="s">
        <v>44</v>
      </c>
      <c r="F49" s="35" t="n">
        <v>0.0</v>
      </c>
      <c r="G49" s="36" t="n">
        <v>0.0</v>
      </c>
      <c r="H49" s="86" t="s">
        <v>20</v>
      </c>
      <c r="I49" s="52" t="str">
        <f t="shared" si="15"/>
        <v>－</v>
      </c>
      <c r="J49" s="16" t="n">
        <f t="shared" ref="J49:K60" si="22">J43</f>
        <v>92610.0</v>
      </c>
      <c r="K49" s="16" t="n">
        <f t="shared" si="22"/>
        <v>364960.0</v>
      </c>
      <c r="L49" s="17" t="str">
        <f t="shared" si="21"/>
        <v/>
      </c>
      <c r="M49" s="11"/>
      <c r="N49" s="1" t="str">
        <f t="shared" si="20"/>
        <v/>
      </c>
      <c r="O49" s="1" t="n">
        <f t="shared" ref="O49:O53" si="23">IF(OR(AND(F49="",G49="",H49="－"),AND(F49="",G49="",H49="")),"",1)</f>
        <v>1.0</v>
      </c>
    </row>
    <row r="50" spans="2:15" ht="15.75" customHeight="1">
      <c r="B50" s="108"/>
      <c r="C50" s="58" t="str">
        <f t="shared" si="19"/>
        <v>介護医療院</v>
      </c>
      <c r="D50" s="165"/>
      <c r="E50" s="18" t="s">
        <v>45</v>
      </c>
      <c r="F50" s="39" t="n">
        <v>0.0</v>
      </c>
      <c r="G50" s="40" t="n">
        <v>0.0</v>
      </c>
      <c r="H50" s="87" t="s">
        <v>20</v>
      </c>
      <c r="I50" s="53" t="str">
        <f t="shared" si="15"/>
        <v>－</v>
      </c>
      <c r="J50" s="21" t="n">
        <f t="shared" si="22"/>
        <v>136355.0</v>
      </c>
      <c r="K50" s="21" t="n">
        <f t="shared" si="22"/>
        <v>387215.0</v>
      </c>
      <c r="L50" s="22" t="str">
        <f t="shared" si="21"/>
        <v/>
      </c>
      <c r="M50" s="11"/>
      <c r="N50" s="1" t="str">
        <f t="shared" si="20"/>
        <v/>
      </c>
      <c r="O50" s="1" t="n">
        <f t="shared" si="23"/>
        <v>1.0</v>
      </c>
    </row>
    <row r="51" spans="2:15" ht="15.75" customHeight="1">
      <c r="B51" s="108"/>
      <c r="C51" s="58" t="str">
        <f t="shared" si="19"/>
        <v>介護医療院</v>
      </c>
      <c r="D51" s="165"/>
      <c r="E51" s="18" t="s">
        <v>46</v>
      </c>
      <c r="F51" s="39" t="n">
        <v>0.0</v>
      </c>
      <c r="G51" s="40" t="n">
        <v>0.0</v>
      </c>
      <c r="H51" s="87" t="s">
        <v>20</v>
      </c>
      <c r="I51" s="53" t="str">
        <f t="shared" si="15"/>
        <v>－</v>
      </c>
      <c r="J51" s="21" t="n">
        <f t="shared" si="22"/>
        <v>193005.0</v>
      </c>
      <c r="K51" s="21" t="n">
        <f t="shared" si="22"/>
        <v>461710.0</v>
      </c>
      <c r="L51" s="22" t="str">
        <f t="shared" si="21"/>
        <v/>
      </c>
      <c r="M51" s="11"/>
      <c r="N51" s="1" t="str">
        <f t="shared" si="20"/>
        <v/>
      </c>
      <c r="O51" s="1" t="n">
        <f t="shared" si="23"/>
        <v>1.0</v>
      </c>
    </row>
    <row r="52" spans="2:15" ht="15.75" customHeight="1">
      <c r="B52" s="108"/>
      <c r="C52" s="58" t="str">
        <f t="shared" si="19"/>
        <v>介護医療院</v>
      </c>
      <c r="D52" s="165"/>
      <c r="E52" s="18" t="s">
        <v>47</v>
      </c>
      <c r="F52" s="39" t="n">
        <v>0.0</v>
      </c>
      <c r="G52" s="40" t="n">
        <v>0.0</v>
      </c>
      <c r="H52" s="87" t="s">
        <v>20</v>
      </c>
      <c r="I52" s="53" t="str">
        <f t="shared" si="15"/>
        <v>－</v>
      </c>
      <c r="J52" s="21" t="n">
        <f t="shared" si="22"/>
        <v>256305.0</v>
      </c>
      <c r="K52" s="21" t="n">
        <f t="shared" si="22"/>
        <v>468285.0</v>
      </c>
      <c r="L52" s="22" t="str">
        <f t="shared" si="21"/>
        <v/>
      </c>
      <c r="M52" s="11"/>
      <c r="N52" s="1" t="str">
        <f t="shared" si="20"/>
        <v/>
      </c>
      <c r="O52" s="1" t="n">
        <f t="shared" si="23"/>
        <v>1.0</v>
      </c>
    </row>
    <row r="53" spans="2:15" ht="15.75" customHeight="1">
      <c r="B53" s="108"/>
      <c r="C53" s="58" t="str">
        <f t="shared" si="19"/>
        <v>介護医療院</v>
      </c>
      <c r="D53" s="165"/>
      <c r="E53" s="18" t="s">
        <v>48</v>
      </c>
      <c r="F53" s="39" t="n">
        <v>0.0</v>
      </c>
      <c r="G53" s="40" t="n">
        <v>0.0</v>
      </c>
      <c r="H53" s="87" t="s">
        <v>20</v>
      </c>
      <c r="I53" s="53" t="str">
        <f t="shared" si="15"/>
        <v>－</v>
      </c>
      <c r="J53" s="21" t="n">
        <f t="shared" si="22"/>
        <v>287445.0</v>
      </c>
      <c r="K53" s="21" t="n">
        <f t="shared" si="22"/>
        <v>489595.0</v>
      </c>
      <c r="L53" s="22" t="str">
        <f t="shared" si="21"/>
        <v/>
      </c>
      <c r="M53" s="11"/>
      <c r="N53" s="1" t="str">
        <f t="shared" si="20"/>
        <v/>
      </c>
      <c r="O53" s="1" t="n">
        <f t="shared" si="23"/>
        <v>1.0</v>
      </c>
    </row>
    <row r="54" spans="2:15" ht="15.75" customHeight="1">
      <c r="B54" s="108"/>
      <c r="C54" s="58" t="str">
        <f t="shared" si="19"/>
        <v>介護医療院</v>
      </c>
      <c r="D54" s="166"/>
      <c r="E54" s="23" t="s">
        <v>49</v>
      </c>
      <c r="F54" s="24" t="n">
        <f>SUM(F49:F53)</f>
        <v>0.0</v>
      </c>
      <c r="G54" s="25" t="n">
        <f>SUM(G49:G53)</f>
        <v>0.0</v>
      </c>
      <c r="H54" s="29" t="s">
        <v>20</v>
      </c>
      <c r="I54" s="54" t="str">
        <f t="shared" si="15"/>
        <v>－</v>
      </c>
      <c r="J54" s="21" t="n">
        <f t="shared" si="22"/>
        <v>254120.0</v>
      </c>
      <c r="K54" s="21" t="n">
        <f t="shared" si="22"/>
        <v>478785.0</v>
      </c>
      <c r="L54" s="27" t="str">
        <f t="shared" si="21"/>
        <v/>
      </c>
      <c r="M54" s="11"/>
      <c r="N54" s="1" t="str">
        <f t="shared" si="20"/>
        <v/>
      </c>
    </row>
    <row r="55" spans="2:15" ht="15.75" customHeight="1">
      <c r="B55" s="108"/>
      <c r="C55" s="58" t="str">
        <f t="shared" si="19"/>
        <v>介護医療院</v>
      </c>
      <c r="D55" s="165" t="s">
        <v>414</v>
      </c>
      <c r="E55" s="15" t="s">
        <v>44</v>
      </c>
      <c r="F55" s="35" t="n">
        <v>0.0</v>
      </c>
      <c r="G55" s="36" t="n">
        <v>0.0</v>
      </c>
      <c r="H55" s="86" t="s">
        <v>20</v>
      </c>
      <c r="I55" s="52" t="str">
        <f t="shared" si="15"/>
        <v>－</v>
      </c>
      <c r="J55" s="16" t="n">
        <f t="shared" si="22"/>
        <v>92610.0</v>
      </c>
      <c r="K55" s="16" t="n">
        <f t="shared" si="22"/>
        <v>364960.0</v>
      </c>
      <c r="L55" s="17" t="str">
        <f t="shared" si="21"/>
        <v/>
      </c>
      <c r="M55" s="11"/>
      <c r="N55" s="1" t="str">
        <f t="shared" si="20"/>
        <v/>
      </c>
      <c r="O55" s="1" t="n">
        <f t="shared" ref="O55:O59" si="24">IF(OR(AND(F55="",G55="",H55="－"),AND(F55="",G55="",H55="")),"",1)</f>
        <v>1.0</v>
      </c>
    </row>
    <row r="56" spans="2:15" ht="15.75" customHeight="1">
      <c r="B56" s="108"/>
      <c r="C56" s="58" t="str">
        <f t="shared" si="19"/>
        <v>介護医療院</v>
      </c>
      <c r="D56" s="165"/>
      <c r="E56" s="18" t="s">
        <v>45</v>
      </c>
      <c r="F56" s="39" t="n">
        <v>0.0</v>
      </c>
      <c r="G56" s="40" t="n">
        <v>0.0</v>
      </c>
      <c r="H56" s="87" t="s">
        <v>20</v>
      </c>
      <c r="I56" s="53" t="str">
        <f t="shared" si="15"/>
        <v>－</v>
      </c>
      <c r="J56" s="21" t="n">
        <f t="shared" si="22"/>
        <v>136355.0</v>
      </c>
      <c r="K56" s="21" t="n">
        <f t="shared" si="22"/>
        <v>387215.0</v>
      </c>
      <c r="L56" s="22" t="str">
        <f t="shared" si="21"/>
        <v/>
      </c>
      <c r="M56" s="11"/>
      <c r="N56" s="1" t="str">
        <f t="shared" si="20"/>
        <v/>
      </c>
      <c r="O56" s="1" t="n">
        <f t="shared" si="24"/>
        <v>1.0</v>
      </c>
    </row>
    <row r="57" spans="2:15" ht="15.75" customHeight="1">
      <c r="B57" s="108"/>
      <c r="C57" s="58" t="str">
        <f t="shared" si="19"/>
        <v>介護医療院</v>
      </c>
      <c r="D57" s="165"/>
      <c r="E57" s="18" t="s">
        <v>46</v>
      </c>
      <c r="F57" s="39" t="n">
        <v>0.0</v>
      </c>
      <c r="G57" s="40" t="n">
        <v>0.0</v>
      </c>
      <c r="H57" s="87" t="s">
        <v>20</v>
      </c>
      <c r="I57" s="53" t="str">
        <f t="shared" si="15"/>
        <v>－</v>
      </c>
      <c r="J57" s="21" t="n">
        <f t="shared" si="22"/>
        <v>193005.0</v>
      </c>
      <c r="K57" s="21" t="n">
        <f t="shared" si="22"/>
        <v>461710.0</v>
      </c>
      <c r="L57" s="22" t="str">
        <f t="shared" si="21"/>
        <v/>
      </c>
      <c r="M57" s="11"/>
      <c r="N57" s="1" t="str">
        <f t="shared" si="20"/>
        <v/>
      </c>
      <c r="O57" s="1" t="n">
        <f t="shared" si="24"/>
        <v>1.0</v>
      </c>
    </row>
    <row r="58" spans="2:15" ht="15.75" customHeight="1">
      <c r="B58" s="8"/>
      <c r="C58" s="58" t="str">
        <f t="shared" si="19"/>
        <v>介護医療院</v>
      </c>
      <c r="D58" s="165"/>
      <c r="E58" s="18" t="s">
        <v>47</v>
      </c>
      <c r="F58" s="39" t="n">
        <v>0.0</v>
      </c>
      <c r="G58" s="40" t="n">
        <v>0.0</v>
      </c>
      <c r="H58" s="87" t="s">
        <v>20</v>
      </c>
      <c r="I58" s="53" t="str">
        <f t="shared" si="15"/>
        <v>－</v>
      </c>
      <c r="J58" s="21" t="n">
        <f t="shared" si="22"/>
        <v>256305.0</v>
      </c>
      <c r="K58" s="21" t="n">
        <f t="shared" si="22"/>
        <v>468285.0</v>
      </c>
      <c r="L58" s="22" t="str">
        <f t="shared" si="21"/>
        <v/>
      </c>
      <c r="M58" s="11"/>
      <c r="N58" s="1" t="str">
        <f t="shared" si="20"/>
        <v/>
      </c>
      <c r="O58" s="1" t="n">
        <f t="shared" si="24"/>
        <v>1.0</v>
      </c>
    </row>
    <row r="59" spans="2:15" ht="15.75" customHeight="1">
      <c r="B59" s="8"/>
      <c r="C59" s="58" t="str">
        <f t="shared" si="19"/>
        <v>介護医療院</v>
      </c>
      <c r="D59" s="165"/>
      <c r="E59" s="18" t="s">
        <v>48</v>
      </c>
      <c r="F59" s="39" t="n">
        <v>0.0</v>
      </c>
      <c r="G59" s="40" t="n">
        <v>0.0</v>
      </c>
      <c r="H59" s="87" t="s">
        <v>20</v>
      </c>
      <c r="I59" s="53" t="str">
        <f t="shared" si="15"/>
        <v>－</v>
      </c>
      <c r="J59" s="21" t="n">
        <f t="shared" si="22"/>
        <v>287445.0</v>
      </c>
      <c r="K59" s="21" t="n">
        <f t="shared" si="22"/>
        <v>489595.0</v>
      </c>
      <c r="L59" s="22" t="str">
        <f t="shared" si="21"/>
        <v/>
      </c>
      <c r="M59" s="11"/>
      <c r="N59" s="1" t="str">
        <f t="shared" si="20"/>
        <v/>
      </c>
      <c r="O59" s="1" t="n">
        <f t="shared" si="24"/>
        <v>1.0</v>
      </c>
    </row>
    <row r="60" spans="2:15" ht="15.75" customHeight="1">
      <c r="B60" s="10"/>
      <c r="C60" s="59" t="str">
        <f t="shared" si="19"/>
        <v>介護医療院</v>
      </c>
      <c r="D60" s="166"/>
      <c r="E60" s="23" t="s">
        <v>49</v>
      </c>
      <c r="F60" s="24" t="n">
        <f>SUM(F55:F59)</f>
        <v>0.0</v>
      </c>
      <c r="G60" s="25" t="n">
        <f>SUM(G55:G59)</f>
        <v>0.0</v>
      </c>
      <c r="H60" s="29" t="s">
        <v>20</v>
      </c>
      <c r="I60" s="54" t="str">
        <f t="shared" si="15"/>
        <v>－</v>
      </c>
      <c r="J60" s="26" t="n">
        <f t="shared" si="22"/>
        <v>254120.0</v>
      </c>
      <c r="K60" s="26" t="n">
        <f t="shared" si="22"/>
        <v>478785.0</v>
      </c>
      <c r="L60" s="27" t="str">
        <f t="shared" si="21"/>
        <v/>
      </c>
      <c r="M60" s="11"/>
      <c r="N60" s="1" t="str">
        <f t="shared" si="20"/>
        <v/>
      </c>
    </row>
    <row r="61" spans="2:15">
      <c r="O61" s="1" t="n">
        <f>IF(COUNTIF(O7:O60,1)&gt;0,1,"")</f>
        <v>1.0</v>
      </c>
    </row>
  </sheetData>
  <mergeCells count="18">
    <mergeCell ref="D43:D48"/>
    <mergeCell ref="D49:D54"/>
    <mergeCell ref="D55:D60"/>
    <mergeCell ref="D37:D42"/>
    <mergeCell ref="I5:I6"/>
    <mergeCell ref="D7:D12"/>
    <mergeCell ref="D13:D18"/>
    <mergeCell ref="D19:D24"/>
    <mergeCell ref="D25:D30"/>
    <mergeCell ref="D31:D36"/>
    <mergeCell ref="J5:K5"/>
    <mergeCell ref="L5:L6"/>
    <mergeCell ref="B5:B6"/>
    <mergeCell ref="C5:C6"/>
    <mergeCell ref="D5:E6"/>
    <mergeCell ref="F5:F6"/>
    <mergeCell ref="G5:G6"/>
    <mergeCell ref="H5:H6"/>
  </mergeCells>
  <phoneticPr fontId="2"/>
  <conditionalFormatting sqref="L7:L60">
    <cfRule type="expression" dxfId="7" priority="1">
      <formula>J7&gt;I7</formula>
    </cfRule>
    <cfRule type="expression" dxfId="6" priority="2">
      <formula>I7&gt;K7</formula>
    </cfRule>
  </conditionalFormatting>
  <dataValidations count="1">
    <dataValidation imeMode="disabled" allowBlank="1" showInputMessage="1" showErrorMessage="1" sqref="J13:K24 J31:K42 J49:K60" xr:uid="{00000000-0002-0000-0700-000000000000}"/>
  </dataValidations>
  <pageMargins left="0.51181102362204722" right="0.51181102362204722" top="0.55118110236220474" bottom="0.55118110236220474" header="0.31496062992125984" footer="0.31496062992125984"/>
  <pageSetup paperSize="9" scale="63" orientation="portrait" useFirstPageNumber="1" r:id="rId1"/>
  <headerFooter>
    <oddFooter>&amp;C&amp;A-&amp;P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71"/>
  <sheetViews>
    <sheetView view="pageBreakPreview" zoomScaleNormal="100" zoomScaleSheetLayoutView="100" workbookViewId="0">
      <pane xSplit="5" ySplit="6" topLeftCell="F164" activePane="bottomRight" state="frozen"/>
      <selection activeCell="I5" sqref="I5:I6"/>
      <selection pane="topRight" activeCell="I5" sqref="I5:I6"/>
      <selection pane="bottomLeft" activeCell="I5" sqref="I5:I6"/>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bestFit="true" customWidth="true" style="1" width="10.25" collapsed="false"/>
    <col min="7" max="8" bestFit="true" customWidth="true" style="4" width="9.25" collapsed="false"/>
    <col min="9" max="9" customWidth="true" style="1" width="23.625" collapsed="false"/>
    <col min="10" max="10" style="1" width="9.0" collapsed="false"/>
    <col min="11" max="11" customWidth="true" hidden="true" style="1" width="9.0" collapsed="false"/>
    <col min="12" max="12" customWidth="true" hidden="true" style="1" width="0.0" collapsed="false"/>
    <col min="13" max="15" style="1" width="9.0" collapsed="false"/>
    <col min="16" max="16" customWidth="true" style="1" width="8.875" collapsed="false"/>
    <col min="17" max="16384" style="1" width="9.0" collapsed="false"/>
  </cols>
  <sheetData>
    <row r="1" spans="1:12" ht="19.5" customHeight="1">
      <c r="A1" s="63" t="s">
        <v>60</v>
      </c>
    </row>
    <row r="2" spans="1:12" ht="13.5" customHeight="1">
      <c r="A2" s="63"/>
    </row>
    <row r="3" spans="1:12" ht="16.5" customHeight="1">
      <c r="B3" s="63" t="s">
        <v>105</v>
      </c>
    </row>
    <row r="4" spans="1:12" ht="7.5" customHeight="1">
      <c r="H4" s="1"/>
    </row>
    <row r="5" spans="1:12" ht="26.25" customHeight="1">
      <c r="B5" s="150" t="s">
        <v>0</v>
      </c>
      <c r="C5" s="150" t="s">
        <v>2</v>
      </c>
      <c r="D5" s="159" t="s">
        <v>58</v>
      </c>
      <c r="E5" s="160"/>
      <c r="F5" s="151" t="s">
        <v>106</v>
      </c>
      <c r="G5" s="152" t="s">
        <v>21</v>
      </c>
      <c r="H5" s="152"/>
      <c r="I5" s="149" t="s">
        <v>22</v>
      </c>
    </row>
    <row r="6" spans="1:12" s="2" customFormat="1" ht="20.25" customHeight="1">
      <c r="B6" s="150"/>
      <c r="C6" s="150"/>
      <c r="D6" s="161"/>
      <c r="E6" s="162"/>
      <c r="F6" s="149"/>
      <c r="G6" s="5" t="s">
        <v>4</v>
      </c>
      <c r="H6" s="5" t="s">
        <v>3</v>
      </c>
      <c r="I6" s="149"/>
    </row>
    <row r="7" spans="1:12" ht="15.75" customHeight="1">
      <c r="B7" s="107">
        <v>1</v>
      </c>
      <c r="C7" s="7" t="s">
        <v>1</v>
      </c>
      <c r="D7" s="165" t="s">
        <v>416</v>
      </c>
      <c r="E7" s="15" t="s">
        <v>44</v>
      </c>
      <c r="F7" s="41" t="n">
        <f>IF('(参考)1人(1回(日))1月あたり給付費(在宅)'!H7="","",'(参考)1人(1回(日))1月あたり給付費(在宅)'!H7)</f>
        <v>9.2</v>
      </c>
      <c r="G7" s="88" t="n">
        <f>IF(data!I266&lt;0,0,data!I266)</f>
        <v>1.0</v>
      </c>
      <c r="H7" s="88" t="n">
        <f>IF(data!J266&lt;0,0,data!J266)</f>
        <v>23.0</v>
      </c>
      <c r="I7" s="17" t="str">
        <f t="shared" ref="I7:I11" si="0">IF(OR(F7="",F7="－"),"",IF(F7&lt;G7,"下限値を"&amp;TEXT(ROUND(G7-F7,1),"#,##0.0回")&amp;"下回っています。",IF(F7&gt;H7,"上限値を"&amp;TEXT(ROUND(F7-H7,1),"#,##0.0回")&amp;"上回っています。","閾値の範囲内です。")))</f>
        <v>閾値の範囲内です。</v>
      </c>
      <c r="J7" s="11"/>
      <c r="K7" s="1" t="str">
        <f>IF(OR(F7="－",F7="",AND(G7="－",H7="－")),"",IF(OR(F7&lt;G7,F7&gt;H7),1,""))</f>
        <v/>
      </c>
      <c r="L7" s="1" t="n">
        <f>IF(F7="","",1)</f>
        <v>1.0</v>
      </c>
    </row>
    <row r="8" spans="1:12" ht="15.75" customHeight="1">
      <c r="B8" s="108"/>
      <c r="C8" s="58" t="str">
        <f t="shared" ref="C8:C71" si="1">C7</f>
        <v>訪問介護</v>
      </c>
      <c r="D8" s="165"/>
      <c r="E8" s="18" t="s">
        <v>45</v>
      </c>
      <c r="F8" s="42" t="n">
        <f>IF('(参考)1人(1回(日))1月あたり給付費(在宅)'!H8="","",'(参考)1人(1回(日))1月あたり給付費(在宅)'!H8)</f>
        <v>12.1</v>
      </c>
      <c r="G8" s="89" t="n">
        <f>IF(data!I267&lt;0,0,data!I267)</f>
        <v>0.0</v>
      </c>
      <c r="H8" s="89" t="n">
        <f>IF(data!J267&lt;0,0,data!J267)</f>
        <v>34.0</v>
      </c>
      <c r="I8" s="22" t="str">
        <f t="shared" si="0"/>
        <v>閾値の範囲内です。</v>
      </c>
      <c r="J8" s="11"/>
      <c r="K8" s="1" t="str">
        <f t="shared" ref="K8:K71" si="2">IF(OR(F8="－",F8="",AND(G8="－",H8="－")),"",IF(OR(F8&lt;G8,F8&gt;H8),1,""))</f>
        <v/>
      </c>
      <c r="L8" s="1" t="n">
        <f t="shared" ref="L8:L11" si="3">IF(F8="","",1)</f>
        <v>1.0</v>
      </c>
    </row>
    <row r="9" spans="1:12" ht="15.75" customHeight="1">
      <c r="B9" s="108"/>
      <c r="C9" s="58" t="str">
        <f t="shared" si="1"/>
        <v>訪問介護</v>
      </c>
      <c r="D9" s="165"/>
      <c r="E9" s="18" t="s">
        <v>46</v>
      </c>
      <c r="F9" s="42" t="n">
        <f>IF('(参考)1人(1回(日))1月あたり給付費(在宅)'!H9="","",'(参考)1人(1回(日))1月あたり給付費(在宅)'!H9)</f>
        <v>19.4</v>
      </c>
      <c r="G9" s="89" t="n">
        <f>IF(data!I268&lt;0,0,data!I268)</f>
        <v>0.0</v>
      </c>
      <c r="H9" s="89" t="n">
        <f>IF(data!J268&lt;0,0,data!J268)</f>
        <v>69.0</v>
      </c>
      <c r="I9" s="22" t="str">
        <f t="shared" si="0"/>
        <v>閾値の範囲内です。</v>
      </c>
      <c r="J9" s="11"/>
      <c r="K9" s="1" t="str">
        <f t="shared" si="2"/>
        <v/>
      </c>
      <c r="L9" s="1" t="n">
        <f t="shared" si="3"/>
        <v>1.0</v>
      </c>
    </row>
    <row r="10" spans="1:12" ht="15.75" customHeight="1">
      <c r="B10" s="108"/>
      <c r="C10" s="58" t="str">
        <f t="shared" si="1"/>
        <v>訪問介護</v>
      </c>
      <c r="D10" s="165"/>
      <c r="E10" s="18" t="s">
        <v>47</v>
      </c>
      <c r="F10" s="42" t="n">
        <f>IF('(参考)1人(1回(日))1月あたり給付費(在宅)'!H10="","",'(参考)1人(1回(日))1月あたり給付費(在宅)'!H10)</f>
        <v>23.7</v>
      </c>
      <c r="G10" s="89" t="n">
        <f>IF(data!I269&lt;0,0,data!I269)</f>
        <v>0.0</v>
      </c>
      <c r="H10" s="89" t="n">
        <f>IF(data!J269&lt;0,0,data!J269)</f>
        <v>94.0</v>
      </c>
      <c r="I10" s="22" t="str">
        <f t="shared" si="0"/>
        <v>閾値の範囲内です。</v>
      </c>
      <c r="J10" s="11"/>
      <c r="K10" s="1" t="str">
        <f t="shared" si="2"/>
        <v/>
      </c>
      <c r="L10" s="1" t="n">
        <f t="shared" si="3"/>
        <v>1.0</v>
      </c>
    </row>
    <row r="11" spans="1:12" ht="15.75" customHeight="1">
      <c r="B11" s="108"/>
      <c r="C11" s="58" t="str">
        <f t="shared" si="1"/>
        <v>訪問介護</v>
      </c>
      <c r="D11" s="165"/>
      <c r="E11" s="18" t="s">
        <v>48</v>
      </c>
      <c r="F11" s="42" t="n">
        <f>IF('(参考)1人(1回(日))1月あたり給付費(在宅)'!H11="","",'(参考)1人(1回(日))1月あたり給付費(在宅)'!H11)</f>
        <v>39.1</v>
      </c>
      <c r="G11" s="89" t="n">
        <f>IF(data!I270&lt;0,0,data!I270)</f>
        <v>0.0</v>
      </c>
      <c r="H11" s="89" t="n">
        <f>IF(data!J270&lt;0,0,data!J270)</f>
        <v>116.0</v>
      </c>
      <c r="I11" s="22" t="str">
        <f t="shared" si="0"/>
        <v>閾値の範囲内です。</v>
      </c>
      <c r="J11" s="11"/>
      <c r="K11" s="1" t="str">
        <f t="shared" si="2"/>
        <v/>
      </c>
      <c r="L11" s="1" t="n">
        <f t="shared" si="3"/>
        <v>1.0</v>
      </c>
    </row>
    <row r="12" spans="1:12" ht="15.75" customHeight="1">
      <c r="B12" s="108"/>
      <c r="C12" s="58" t="str">
        <f t="shared" si="1"/>
        <v>訪問介護</v>
      </c>
      <c r="D12" s="166"/>
      <c r="E12" s="23" t="s">
        <v>49</v>
      </c>
      <c r="F12" s="29" t="n">
        <f>IF('(参考)1人(1回(日))1月あたり給付費(在宅)'!H12="","",'(参考)1人(1回(日))1月あたり給付費(在宅)'!H12)</f>
        <v>19.786153846153844</v>
      </c>
      <c r="G12" s="90" t="n">
        <f>IF(data!I271&lt;0,0,data!I271)</f>
        <v>0.0</v>
      </c>
      <c r="H12" s="90" t="n">
        <f>IF(data!J271&lt;0,0,data!J271)</f>
        <v>50.0</v>
      </c>
      <c r="I12" s="27" t="str">
        <f>IF(OR(F12="",F12="－"),"",IF(F12&lt;G12,"下限値を"&amp;TEXT(ROUND(G12-F12,1),"#,##0.0回")&amp;"下回っています。",IF(F12&gt;H12,"上限値を"&amp;TEXT(ROUND(F12-H12,1),"#,##0.0回")&amp;"上回っています。","閾値の範囲内です。")))</f>
        <v>閾値の範囲内です。</v>
      </c>
      <c r="J12" s="11"/>
      <c r="K12" s="1" t="str">
        <f t="shared" si="2"/>
        <v/>
      </c>
    </row>
    <row r="13" spans="1:12" ht="15.75" customHeight="1">
      <c r="B13" s="108"/>
      <c r="C13" s="58" t="str">
        <f t="shared" si="1"/>
        <v>訪問介護</v>
      </c>
      <c r="D13" s="165" t="s">
        <v>415</v>
      </c>
      <c r="E13" s="15" t="s">
        <v>44</v>
      </c>
      <c r="F13" s="41" t="n">
        <f>IF('(参考)1人(1回(日))1月あたり給付費(在宅)'!H13="","",'(参考)1人(1回(日))1月あたり給付費(在宅)'!H13)</f>
        <v>9.2</v>
      </c>
      <c r="G13" s="88" t="n">
        <f t="shared" ref="G13:H24" si="4">G7</f>
        <v>1.0</v>
      </c>
      <c r="H13" s="88" t="n">
        <f t="shared" si="4"/>
        <v>23.0</v>
      </c>
      <c r="I13" s="17" t="str">
        <f t="shared" ref="I13:I76" si="5">IF(OR(F13="",F13="－"),"",IF(F13&lt;G13,"下限値を"&amp;TEXT(ROUND(G13-F13,1),"#,##0.0回")&amp;"下回っています。",IF(F13&gt;H13,"上限値を"&amp;TEXT(ROUND(F13-H13,1),"#,##0.0回")&amp;"上回っています。","閾値の範囲内です。")))</f>
        <v>閾値の範囲内です。</v>
      </c>
      <c r="J13" s="11"/>
      <c r="K13" s="1" t="str">
        <f t="shared" si="2"/>
        <v/>
      </c>
      <c r="L13" s="1" t="n">
        <f>IF(F13="","",1)</f>
        <v>1.0</v>
      </c>
    </row>
    <row r="14" spans="1:12" ht="15.75" customHeight="1">
      <c r="B14" s="108"/>
      <c r="C14" s="58" t="str">
        <f t="shared" si="1"/>
        <v>訪問介護</v>
      </c>
      <c r="D14" s="165"/>
      <c r="E14" s="18" t="s">
        <v>45</v>
      </c>
      <c r="F14" s="42" t="n">
        <f>IF('(参考)1人(1回(日))1月あたり給付費(在宅)'!H14="","",'(参考)1人(1回(日))1月あたり給付費(在宅)'!H14)</f>
        <v>12.1</v>
      </c>
      <c r="G14" s="89" t="n">
        <f t="shared" si="4"/>
        <v>0.0</v>
      </c>
      <c r="H14" s="89" t="n">
        <f t="shared" si="4"/>
        <v>34.0</v>
      </c>
      <c r="I14" s="22" t="str">
        <f t="shared" si="5"/>
        <v>閾値の範囲内です。</v>
      </c>
      <c r="J14" s="11"/>
      <c r="K14" s="1" t="str">
        <f t="shared" si="2"/>
        <v/>
      </c>
      <c r="L14" s="1" t="n">
        <f t="shared" ref="L14:L17" si="6">IF(F14="","",1)</f>
        <v>1.0</v>
      </c>
    </row>
    <row r="15" spans="1:12" ht="15.75" customHeight="1">
      <c r="B15" s="108"/>
      <c r="C15" s="58" t="str">
        <f t="shared" si="1"/>
        <v>訪問介護</v>
      </c>
      <c r="D15" s="165"/>
      <c r="E15" s="18" t="s">
        <v>46</v>
      </c>
      <c r="F15" s="42" t="n">
        <f>IF('(参考)1人(1回(日))1月あたり給付費(在宅)'!H15="","",'(参考)1人(1回(日))1月あたり給付費(在宅)'!H15)</f>
        <v>19.4</v>
      </c>
      <c r="G15" s="89" t="n">
        <f t="shared" si="4"/>
        <v>0.0</v>
      </c>
      <c r="H15" s="89" t="n">
        <f t="shared" si="4"/>
        <v>69.0</v>
      </c>
      <c r="I15" s="22" t="str">
        <f t="shared" si="5"/>
        <v>閾値の範囲内です。</v>
      </c>
      <c r="J15" s="11"/>
      <c r="K15" s="1" t="str">
        <f t="shared" si="2"/>
        <v/>
      </c>
      <c r="L15" s="1" t="n">
        <f t="shared" si="6"/>
        <v>1.0</v>
      </c>
    </row>
    <row r="16" spans="1:12" ht="15.75" customHeight="1">
      <c r="B16" s="108"/>
      <c r="C16" s="58" t="str">
        <f t="shared" si="1"/>
        <v>訪問介護</v>
      </c>
      <c r="D16" s="165"/>
      <c r="E16" s="18" t="s">
        <v>47</v>
      </c>
      <c r="F16" s="42" t="n">
        <f>IF('(参考)1人(1回(日))1月あたり給付費(在宅)'!H16="","",'(参考)1人(1回(日))1月あたり給付費(在宅)'!H16)</f>
        <v>23.7</v>
      </c>
      <c r="G16" s="89" t="n">
        <f t="shared" si="4"/>
        <v>0.0</v>
      </c>
      <c r="H16" s="89" t="n">
        <f t="shared" si="4"/>
        <v>94.0</v>
      </c>
      <c r="I16" s="22" t="str">
        <f t="shared" si="5"/>
        <v>閾値の範囲内です。</v>
      </c>
      <c r="J16" s="11"/>
      <c r="K16" s="1" t="str">
        <f t="shared" si="2"/>
        <v/>
      </c>
      <c r="L16" s="1" t="n">
        <f t="shared" si="6"/>
        <v>1.0</v>
      </c>
    </row>
    <row r="17" spans="2:12" ht="15.75" customHeight="1">
      <c r="B17" s="108"/>
      <c r="C17" s="58" t="str">
        <f t="shared" si="1"/>
        <v>訪問介護</v>
      </c>
      <c r="D17" s="165"/>
      <c r="E17" s="18" t="s">
        <v>48</v>
      </c>
      <c r="F17" s="42" t="n">
        <f>IF('(参考)1人(1回(日))1月あたり給付費(在宅)'!H17="","",'(参考)1人(1回(日))1月あたり給付費(在宅)'!H17)</f>
        <v>39.1</v>
      </c>
      <c r="G17" s="89" t="n">
        <f t="shared" si="4"/>
        <v>0.0</v>
      </c>
      <c r="H17" s="89" t="n">
        <f t="shared" si="4"/>
        <v>116.0</v>
      </c>
      <c r="I17" s="22" t="str">
        <f t="shared" si="5"/>
        <v>閾値の範囲内です。</v>
      </c>
      <c r="J17" s="11"/>
      <c r="K17" s="1" t="str">
        <f t="shared" si="2"/>
        <v/>
      </c>
      <c r="L17" s="1" t="n">
        <f t="shared" si="6"/>
        <v>1.0</v>
      </c>
    </row>
    <row r="18" spans="2:12" ht="15.75" customHeight="1">
      <c r="B18" s="108"/>
      <c r="C18" s="58" t="str">
        <f t="shared" si="1"/>
        <v>訪問介護</v>
      </c>
      <c r="D18" s="166"/>
      <c r="E18" s="23" t="s">
        <v>49</v>
      </c>
      <c r="F18" s="29" t="n">
        <f>IF('(参考)1人(1回(日))1月あたり給付費(在宅)'!H18="","",'(参考)1人(1回(日))1月あたり給付費(在宅)'!H18)</f>
        <v>19.725</v>
      </c>
      <c r="G18" s="89" t="n">
        <f t="shared" si="4"/>
        <v>0.0</v>
      </c>
      <c r="H18" s="89" t="n">
        <f t="shared" si="4"/>
        <v>50.0</v>
      </c>
      <c r="I18" s="27" t="str">
        <f t="shared" si="5"/>
        <v>閾値の範囲内です。</v>
      </c>
      <c r="J18" s="11"/>
      <c r="K18" s="1" t="str">
        <f t="shared" si="2"/>
        <v/>
      </c>
    </row>
    <row r="19" spans="2:12" ht="15.75" customHeight="1">
      <c r="B19" s="108"/>
      <c r="C19" s="58" t="str">
        <f t="shared" si="1"/>
        <v>訪問介護</v>
      </c>
      <c r="D19" s="165" t="s">
        <v>414</v>
      </c>
      <c r="E19" s="15" t="s">
        <v>44</v>
      </c>
      <c r="F19" s="41" t="n">
        <f>IF('(参考)1人(1回(日))1月あたり給付費(在宅)'!H19="","",'(参考)1人(1回(日))1月あたり給付費(在宅)'!H19)</f>
        <v>9.2</v>
      </c>
      <c r="G19" s="88" t="n">
        <f t="shared" si="4"/>
        <v>1.0</v>
      </c>
      <c r="H19" s="88" t="n">
        <f t="shared" si="4"/>
        <v>23.0</v>
      </c>
      <c r="I19" s="17" t="str">
        <f t="shared" si="5"/>
        <v>閾値の範囲内です。</v>
      </c>
      <c r="J19" s="11"/>
      <c r="K19" s="1" t="str">
        <f t="shared" si="2"/>
        <v/>
      </c>
      <c r="L19" s="1" t="n">
        <f>IF(F19="","",1)</f>
        <v>1.0</v>
      </c>
    </row>
    <row r="20" spans="2:12" ht="15.75" customHeight="1">
      <c r="B20" s="108"/>
      <c r="C20" s="58" t="str">
        <f t="shared" si="1"/>
        <v>訪問介護</v>
      </c>
      <c r="D20" s="165"/>
      <c r="E20" s="18" t="s">
        <v>45</v>
      </c>
      <c r="F20" s="42" t="n">
        <f>IF('(参考)1人(1回(日))1月あたり給付費(在宅)'!H20="","",'(参考)1人(1回(日))1月あたり給付費(在宅)'!H20)</f>
        <v>12.1</v>
      </c>
      <c r="G20" s="89" t="n">
        <f t="shared" si="4"/>
        <v>0.0</v>
      </c>
      <c r="H20" s="89" t="n">
        <f t="shared" si="4"/>
        <v>34.0</v>
      </c>
      <c r="I20" s="22" t="str">
        <f t="shared" si="5"/>
        <v>閾値の範囲内です。</v>
      </c>
      <c r="J20" s="11"/>
      <c r="K20" s="1" t="str">
        <f t="shared" si="2"/>
        <v/>
      </c>
      <c r="L20" s="1" t="n">
        <f t="shared" ref="L20:L23" si="7">IF(F20="","",1)</f>
        <v>1.0</v>
      </c>
    </row>
    <row r="21" spans="2:12" ht="15.75" customHeight="1">
      <c r="B21" s="108"/>
      <c r="C21" s="58" t="str">
        <f t="shared" si="1"/>
        <v>訪問介護</v>
      </c>
      <c r="D21" s="165"/>
      <c r="E21" s="18" t="s">
        <v>46</v>
      </c>
      <c r="F21" s="42" t="n">
        <f>IF('(参考)1人(1回(日))1月あたり給付費(在宅)'!H21="","",'(参考)1人(1回(日))1月あたり給付費(在宅)'!H21)</f>
        <v>19.4</v>
      </c>
      <c r="G21" s="89" t="n">
        <f t="shared" si="4"/>
        <v>0.0</v>
      </c>
      <c r="H21" s="89" t="n">
        <f t="shared" si="4"/>
        <v>69.0</v>
      </c>
      <c r="I21" s="22" t="str">
        <f t="shared" si="5"/>
        <v>閾値の範囲内です。</v>
      </c>
      <c r="J21" s="11"/>
      <c r="K21" s="1" t="str">
        <f t="shared" si="2"/>
        <v/>
      </c>
      <c r="L21" s="1" t="n">
        <f t="shared" si="7"/>
        <v>1.0</v>
      </c>
    </row>
    <row r="22" spans="2:12" ht="15.75" customHeight="1">
      <c r="B22" s="108"/>
      <c r="C22" s="58" t="str">
        <f t="shared" si="1"/>
        <v>訪問介護</v>
      </c>
      <c r="D22" s="165"/>
      <c r="E22" s="18" t="s">
        <v>47</v>
      </c>
      <c r="F22" s="42" t="n">
        <f>IF('(参考)1人(1回(日))1月あたり給付費(在宅)'!H22="","",'(参考)1人(1回(日))1月あたり給付費(在宅)'!H22)</f>
        <v>23.7</v>
      </c>
      <c r="G22" s="89" t="n">
        <f t="shared" si="4"/>
        <v>0.0</v>
      </c>
      <c r="H22" s="89" t="n">
        <f t="shared" si="4"/>
        <v>94.0</v>
      </c>
      <c r="I22" s="22" t="str">
        <f t="shared" si="5"/>
        <v>閾値の範囲内です。</v>
      </c>
      <c r="J22" s="11"/>
      <c r="K22" s="1" t="str">
        <f t="shared" si="2"/>
        <v/>
      </c>
      <c r="L22" s="1" t="n">
        <f t="shared" si="7"/>
        <v>1.0</v>
      </c>
    </row>
    <row r="23" spans="2:12" ht="15.75" customHeight="1">
      <c r="B23" s="108"/>
      <c r="C23" s="58" t="str">
        <f t="shared" si="1"/>
        <v>訪問介護</v>
      </c>
      <c r="D23" s="165"/>
      <c r="E23" s="18" t="s">
        <v>48</v>
      </c>
      <c r="F23" s="42" t="n">
        <f>IF('(参考)1人(1回(日))1月あたり給付費(在宅)'!H23="","",'(参考)1人(1回(日))1月あたり給付費(在宅)'!H23)</f>
        <v>39.1</v>
      </c>
      <c r="G23" s="89" t="n">
        <f t="shared" si="4"/>
        <v>0.0</v>
      </c>
      <c r="H23" s="89" t="n">
        <f t="shared" si="4"/>
        <v>116.0</v>
      </c>
      <c r="I23" s="22" t="str">
        <f t="shared" si="5"/>
        <v>閾値の範囲内です。</v>
      </c>
      <c r="J23" s="11"/>
      <c r="K23" s="1" t="str">
        <f t="shared" si="2"/>
        <v/>
      </c>
      <c r="L23" s="1" t="n">
        <f t="shared" si="7"/>
        <v>1.0</v>
      </c>
    </row>
    <row r="24" spans="2:12" ht="15.75" customHeight="1">
      <c r="B24" s="109"/>
      <c r="C24" s="58" t="str">
        <f t="shared" si="1"/>
        <v>訪問介護</v>
      </c>
      <c r="D24" s="166"/>
      <c r="E24" s="23" t="s">
        <v>49</v>
      </c>
      <c r="F24" s="29" t="n">
        <f>IF('(参考)1人(1回(日))1月あたり給付費(在宅)'!H24="","",'(参考)1人(1回(日))1月あたり給付費(在宅)'!H24)</f>
        <v>19.73015873015873</v>
      </c>
      <c r="G24" s="89" t="n">
        <f t="shared" si="4"/>
        <v>0.0</v>
      </c>
      <c r="H24" s="89" t="n">
        <f t="shared" si="4"/>
        <v>50.0</v>
      </c>
      <c r="I24" s="27" t="str">
        <f t="shared" si="5"/>
        <v>閾値の範囲内です。</v>
      </c>
      <c r="J24" s="11"/>
      <c r="K24" s="1" t="str">
        <f t="shared" si="2"/>
        <v/>
      </c>
    </row>
    <row r="25" spans="2:12" ht="15.75" customHeight="1">
      <c r="B25" s="107">
        <v>2</v>
      </c>
      <c r="C25" s="7" t="s">
        <v>5</v>
      </c>
      <c r="D25" s="164" t="s">
        <v>416</v>
      </c>
      <c r="E25" s="15" t="s">
        <v>50</v>
      </c>
      <c r="F25" s="41" t="n">
        <f>IF('(参考)1人(1回(日))1月あたり給付費(在宅)'!H25="","",'(参考)1人(1回(日))1月あたり給付費(在宅)'!H25)</f>
        <v>0.0</v>
      </c>
      <c r="G25" s="88" t="n">
        <f>IF(data!I272&lt;0,0,data!I272)</f>
        <v>0.0</v>
      </c>
      <c r="H25" s="88" t="n">
        <f>IF(data!J272&lt;0,0,data!J272)</f>
        <v>10.0</v>
      </c>
      <c r="I25" s="32" t="str">
        <f t="shared" si="5"/>
        <v>閾値の範囲内です。</v>
      </c>
      <c r="J25" s="11"/>
      <c r="K25" s="1" t="str">
        <f t="shared" si="2"/>
        <v/>
      </c>
      <c r="L25" s="1" t="n">
        <f>IF(F25="","",1)</f>
        <v>1.0</v>
      </c>
    </row>
    <row r="26" spans="2:12" ht="15.75" customHeight="1">
      <c r="B26" s="108"/>
      <c r="C26" s="58" t="str">
        <f t="shared" si="1"/>
        <v>訪問入浴介護</v>
      </c>
      <c r="D26" s="165"/>
      <c r="E26" s="30" t="s">
        <v>51</v>
      </c>
      <c r="F26" s="43" t="n">
        <f>IF('(参考)1人(1回(日))1月あたり給付費(在宅)'!H26="","",'(参考)1人(1回(日))1月あたり給付費(在宅)'!H26)</f>
        <v>0.0</v>
      </c>
      <c r="G26" s="89" t="n">
        <f>IF(data!I273&lt;0,0,data!I273)</f>
        <v>0.0</v>
      </c>
      <c r="H26" s="89" t="n">
        <f>IF(data!J273&lt;0,0,data!J273)</f>
        <v>9.0</v>
      </c>
      <c r="I26" s="33" t="str">
        <f t="shared" si="5"/>
        <v>閾値の範囲内です。</v>
      </c>
      <c r="J26" s="11"/>
      <c r="K26" s="1" t="str">
        <f t="shared" si="2"/>
        <v/>
      </c>
      <c r="L26" s="1" t="n">
        <f t="shared" ref="L26:L31" si="8">IF(F26="","",1)</f>
        <v>1.0</v>
      </c>
    </row>
    <row r="27" spans="2:12" ht="15.75" customHeight="1">
      <c r="B27" s="108"/>
      <c r="C27" s="58" t="str">
        <f t="shared" si="1"/>
        <v>訪問入浴介護</v>
      </c>
      <c r="D27" s="165"/>
      <c r="E27" s="18" t="s">
        <v>44</v>
      </c>
      <c r="F27" s="42" t="n">
        <f>IF('(参考)1人(1回(日))1月あたり給付費(在宅)'!H27="","",'(参考)1人(1回(日))1月あたり給付費(在宅)'!H27)</f>
        <v>4.1</v>
      </c>
      <c r="G27" s="89" t="n">
        <f>IF(data!I274&lt;0,0,data!I274)</f>
        <v>0.0</v>
      </c>
      <c r="H27" s="89" t="n">
        <f>IF(data!J274&lt;0,0,data!J274)</f>
        <v>8.0</v>
      </c>
      <c r="I27" s="22" t="str">
        <f t="shared" si="5"/>
        <v>閾値の範囲内です。</v>
      </c>
      <c r="J27" s="11"/>
      <c r="K27" s="1" t="str">
        <f t="shared" si="2"/>
        <v/>
      </c>
      <c r="L27" s="1" t="n">
        <f t="shared" si="8"/>
        <v>1.0</v>
      </c>
    </row>
    <row r="28" spans="2:12" ht="15.75" customHeight="1">
      <c r="B28" s="108"/>
      <c r="C28" s="58" t="str">
        <f t="shared" si="1"/>
        <v>訪問入浴介護</v>
      </c>
      <c r="D28" s="165"/>
      <c r="E28" s="18" t="s">
        <v>45</v>
      </c>
      <c r="F28" s="42" t="n">
        <f>IF('(参考)1人(1回(日))1月あたり給付費(在宅)'!H28="","",'(参考)1人(1回(日))1月あたり給付費(在宅)'!H28)</f>
        <v>0.0</v>
      </c>
      <c r="G28" s="89" t="n">
        <f>IF(data!I275&lt;0,0,data!I275)</f>
        <v>0.0</v>
      </c>
      <c r="H28" s="89" t="n">
        <f>IF(data!J275&lt;0,0,data!J275)</f>
        <v>8.0</v>
      </c>
      <c r="I28" s="22" t="str">
        <f t="shared" si="5"/>
        <v>閾値の範囲内です。</v>
      </c>
      <c r="J28" s="11"/>
      <c r="K28" s="1" t="str">
        <f t="shared" si="2"/>
        <v/>
      </c>
      <c r="L28" s="1" t="n">
        <f t="shared" si="8"/>
        <v>1.0</v>
      </c>
    </row>
    <row r="29" spans="2:12" ht="15.75" customHeight="1">
      <c r="B29" s="108"/>
      <c r="C29" s="58" t="str">
        <f t="shared" si="1"/>
        <v>訪問入浴介護</v>
      </c>
      <c r="D29" s="165"/>
      <c r="E29" s="18" t="s">
        <v>46</v>
      </c>
      <c r="F29" s="42" t="n">
        <f>IF('(参考)1人(1回(日))1月あたり給付費(在宅)'!H29="","",'(参考)1人(1回(日))1月あたり給付費(在宅)'!H29)</f>
        <v>2.3</v>
      </c>
      <c r="G29" s="89" t="n">
        <f>IF(data!I276&lt;0,0,data!I276)</f>
        <v>0.0</v>
      </c>
      <c r="H29" s="89" t="n">
        <f>IF(data!J276&lt;0,0,data!J276)</f>
        <v>8.0</v>
      </c>
      <c r="I29" s="22" t="str">
        <f t="shared" si="5"/>
        <v>閾値の範囲内です。</v>
      </c>
      <c r="J29" s="11"/>
      <c r="K29" s="1" t="str">
        <f t="shared" si="2"/>
        <v/>
      </c>
      <c r="L29" s="1" t="n">
        <f t="shared" si="8"/>
        <v>1.0</v>
      </c>
    </row>
    <row r="30" spans="2:12" ht="15.75" customHeight="1">
      <c r="B30" s="108"/>
      <c r="C30" s="58" t="str">
        <f t="shared" si="1"/>
        <v>訪問入浴介護</v>
      </c>
      <c r="D30" s="165"/>
      <c r="E30" s="18" t="s">
        <v>47</v>
      </c>
      <c r="F30" s="42" t="n">
        <f>IF('(参考)1人(1回(日))1月あたり給付費(在宅)'!H30="","",'(参考)1人(1回(日))1月あたり給付費(在宅)'!H30)</f>
        <v>3.9</v>
      </c>
      <c r="G30" s="89" t="n">
        <f>IF(data!I277&lt;0,0,data!I277)</f>
        <v>1.0</v>
      </c>
      <c r="H30" s="89" t="n">
        <f>IF(data!J277&lt;0,0,data!J277)</f>
        <v>8.0</v>
      </c>
      <c r="I30" s="22" t="str">
        <f t="shared" si="5"/>
        <v>閾値の範囲内です。</v>
      </c>
      <c r="J30" s="11"/>
      <c r="K30" s="1" t="str">
        <f t="shared" si="2"/>
        <v/>
      </c>
      <c r="L30" s="1" t="n">
        <f t="shared" si="8"/>
        <v>1.0</v>
      </c>
    </row>
    <row r="31" spans="2:12" ht="15.75" customHeight="1">
      <c r="B31" s="108"/>
      <c r="C31" s="58" t="str">
        <f t="shared" si="1"/>
        <v>訪問入浴介護</v>
      </c>
      <c r="D31" s="165"/>
      <c r="E31" s="18" t="s">
        <v>48</v>
      </c>
      <c r="F31" s="42" t="n">
        <f>IF('(参考)1人(1回(日))1月あたり給付費(在宅)'!H31="","",'(参考)1人(1回(日))1月あたり給付費(在宅)'!H31)</f>
        <v>2.9</v>
      </c>
      <c r="G31" s="89" t="n">
        <f>IF(data!I278&lt;0,0,data!I278)</f>
        <v>1.0</v>
      </c>
      <c r="H31" s="89" t="n">
        <f>IF(data!J278&lt;0,0,data!J278)</f>
        <v>9.0</v>
      </c>
      <c r="I31" s="22" t="str">
        <f t="shared" si="5"/>
        <v>閾値の範囲内です。</v>
      </c>
      <c r="J31" s="11"/>
      <c r="K31" s="1" t="str">
        <f t="shared" si="2"/>
        <v/>
      </c>
      <c r="L31" s="1" t="n">
        <f t="shared" si="8"/>
        <v>1.0</v>
      </c>
    </row>
    <row r="32" spans="2:12" ht="15.75" customHeight="1">
      <c r="B32" s="108"/>
      <c r="C32" s="58" t="str">
        <f t="shared" si="1"/>
        <v>訪問入浴介護</v>
      </c>
      <c r="D32" s="166"/>
      <c r="E32" s="23" t="s">
        <v>49</v>
      </c>
      <c r="F32" s="29" t="n">
        <f>IF('(参考)1人(1回(日))1月あたり給付費(在宅)'!H32="","",'(参考)1人(1回(日))1月あたり給付費(在宅)'!H32)</f>
        <v>3.94</v>
      </c>
      <c r="G32" s="90" t="n">
        <f>IF(data!I279&lt;0,0,data!I279)</f>
        <v>2.0</v>
      </c>
      <c r="H32" s="90" t="n">
        <f>IF(data!J279&lt;0,0,data!J279)</f>
        <v>8.0</v>
      </c>
      <c r="I32" s="27" t="str">
        <f t="shared" si="5"/>
        <v>閾値の範囲内です。</v>
      </c>
      <c r="J32" s="11"/>
      <c r="K32" s="1" t="str">
        <f t="shared" si="2"/>
        <v/>
      </c>
    </row>
    <row r="33" spans="2:12" ht="15.75" customHeight="1">
      <c r="B33" s="108"/>
      <c r="C33" s="58" t="str">
        <f t="shared" si="1"/>
        <v>訪問入浴介護</v>
      </c>
      <c r="D33" s="164" t="s">
        <v>415</v>
      </c>
      <c r="E33" s="15" t="s">
        <v>50</v>
      </c>
      <c r="F33" s="41" t="n">
        <f>IF('(参考)1人(1回(日))1月あたり給付費(在宅)'!H33="","",'(参考)1人(1回(日))1月あたり給付費(在宅)'!H33)</f>
        <v>0.0</v>
      </c>
      <c r="G33" s="88" t="n">
        <f t="shared" ref="G33:H48" si="9">G25</f>
        <v>0.0</v>
      </c>
      <c r="H33" s="88" t="n">
        <f t="shared" si="9"/>
        <v>10.0</v>
      </c>
      <c r="I33" s="32" t="str">
        <f t="shared" si="5"/>
        <v>閾値の範囲内です。</v>
      </c>
      <c r="J33" s="11"/>
      <c r="K33" s="1" t="str">
        <f t="shared" si="2"/>
        <v/>
      </c>
      <c r="L33" s="1" t="n">
        <f>IF(F33="","",1)</f>
        <v>1.0</v>
      </c>
    </row>
    <row r="34" spans="2:12" ht="15.75" customHeight="1">
      <c r="B34" s="108"/>
      <c r="C34" s="58" t="str">
        <f t="shared" si="1"/>
        <v>訪問入浴介護</v>
      </c>
      <c r="D34" s="165"/>
      <c r="E34" s="30" t="s">
        <v>51</v>
      </c>
      <c r="F34" s="43" t="n">
        <f>IF('(参考)1人(1回(日))1月あたり給付費(在宅)'!H34="","",'(参考)1人(1回(日))1月あたり給付費(在宅)'!H34)</f>
        <v>0.0</v>
      </c>
      <c r="G34" s="91" t="n">
        <f t="shared" si="9"/>
        <v>0.0</v>
      </c>
      <c r="H34" s="91" t="n">
        <f t="shared" si="9"/>
        <v>9.0</v>
      </c>
      <c r="I34" s="33" t="str">
        <f t="shared" si="5"/>
        <v>閾値の範囲内です。</v>
      </c>
      <c r="J34" s="11"/>
      <c r="K34" s="1" t="str">
        <f t="shared" si="2"/>
        <v/>
      </c>
      <c r="L34" s="1" t="n">
        <f t="shared" ref="L34:L39" si="10">IF(F34="","",1)</f>
        <v>1.0</v>
      </c>
    </row>
    <row r="35" spans="2:12" ht="15.75" customHeight="1">
      <c r="B35" s="108"/>
      <c r="C35" s="58" t="str">
        <f t="shared" si="1"/>
        <v>訪問入浴介護</v>
      </c>
      <c r="D35" s="165"/>
      <c r="E35" s="18" t="s">
        <v>44</v>
      </c>
      <c r="F35" s="42" t="n">
        <f>IF('(参考)1人(1回(日))1月あたり給付費(在宅)'!H35="","",'(参考)1人(1回(日))1月あたり給付費(在宅)'!H35)</f>
        <v>4.1</v>
      </c>
      <c r="G35" s="89" t="n">
        <f t="shared" si="9"/>
        <v>0.0</v>
      </c>
      <c r="H35" s="89" t="n">
        <f t="shared" si="9"/>
        <v>8.0</v>
      </c>
      <c r="I35" s="22" t="str">
        <f t="shared" si="5"/>
        <v>閾値の範囲内です。</v>
      </c>
      <c r="J35" s="11"/>
      <c r="K35" s="1" t="str">
        <f t="shared" si="2"/>
        <v/>
      </c>
      <c r="L35" s="1" t="n">
        <f t="shared" si="10"/>
        <v>1.0</v>
      </c>
    </row>
    <row r="36" spans="2:12" ht="15.75" customHeight="1">
      <c r="B36" s="108"/>
      <c r="C36" s="58" t="str">
        <f t="shared" si="1"/>
        <v>訪問入浴介護</v>
      </c>
      <c r="D36" s="165"/>
      <c r="E36" s="18" t="s">
        <v>45</v>
      </c>
      <c r="F36" s="42" t="n">
        <f>IF('(参考)1人(1回(日))1月あたり給付費(在宅)'!H36="","",'(参考)1人(1回(日))1月あたり給付費(在宅)'!H36)</f>
        <v>0.0</v>
      </c>
      <c r="G36" s="89" t="n">
        <f t="shared" si="9"/>
        <v>0.0</v>
      </c>
      <c r="H36" s="89" t="n">
        <f t="shared" si="9"/>
        <v>8.0</v>
      </c>
      <c r="I36" s="22" t="str">
        <f t="shared" si="5"/>
        <v>閾値の範囲内です。</v>
      </c>
      <c r="J36" s="11"/>
      <c r="K36" s="1" t="str">
        <f t="shared" si="2"/>
        <v/>
      </c>
      <c r="L36" s="1" t="n">
        <f t="shared" si="10"/>
        <v>1.0</v>
      </c>
    </row>
    <row r="37" spans="2:12" ht="15.75" customHeight="1">
      <c r="B37" s="108"/>
      <c r="C37" s="58" t="str">
        <f t="shared" si="1"/>
        <v>訪問入浴介護</v>
      </c>
      <c r="D37" s="165"/>
      <c r="E37" s="18" t="s">
        <v>46</v>
      </c>
      <c r="F37" s="42" t="n">
        <f>IF('(参考)1人(1回(日))1月あたり給付費(在宅)'!H37="","",'(参考)1人(1回(日))1月あたり給付費(在宅)'!H37)</f>
        <v>2.3</v>
      </c>
      <c r="G37" s="89" t="n">
        <f t="shared" si="9"/>
        <v>0.0</v>
      </c>
      <c r="H37" s="89" t="n">
        <f t="shared" si="9"/>
        <v>8.0</v>
      </c>
      <c r="I37" s="22" t="str">
        <f t="shared" si="5"/>
        <v>閾値の範囲内です。</v>
      </c>
      <c r="J37" s="11"/>
      <c r="K37" s="1" t="str">
        <f t="shared" si="2"/>
        <v/>
      </c>
      <c r="L37" s="1" t="n">
        <f t="shared" si="10"/>
        <v>1.0</v>
      </c>
    </row>
    <row r="38" spans="2:12" ht="15.75" customHeight="1">
      <c r="B38" s="108"/>
      <c r="C38" s="58" t="str">
        <f t="shared" si="1"/>
        <v>訪問入浴介護</v>
      </c>
      <c r="D38" s="165"/>
      <c r="E38" s="18" t="s">
        <v>47</v>
      </c>
      <c r="F38" s="42" t="n">
        <f>IF('(参考)1人(1回(日))1月あたり給付費(在宅)'!H38="","",'(参考)1人(1回(日))1月あたり給付費(在宅)'!H38)</f>
        <v>3.9</v>
      </c>
      <c r="G38" s="89" t="n">
        <f t="shared" si="9"/>
        <v>1.0</v>
      </c>
      <c r="H38" s="89" t="n">
        <f t="shared" si="9"/>
        <v>8.0</v>
      </c>
      <c r="I38" s="22" t="str">
        <f t="shared" si="5"/>
        <v>閾値の範囲内です。</v>
      </c>
      <c r="J38" s="11"/>
      <c r="K38" s="1" t="str">
        <f t="shared" si="2"/>
        <v/>
      </c>
      <c r="L38" s="1" t="n">
        <f t="shared" si="10"/>
        <v>1.0</v>
      </c>
    </row>
    <row r="39" spans="2:12" ht="15.75" customHeight="1">
      <c r="B39" s="108"/>
      <c r="C39" s="58" t="str">
        <f t="shared" si="1"/>
        <v>訪問入浴介護</v>
      </c>
      <c r="D39" s="165"/>
      <c r="E39" s="18" t="s">
        <v>48</v>
      </c>
      <c r="F39" s="42" t="n">
        <f>IF('(参考)1人(1回(日))1月あたり給付費(在宅)'!H39="","",'(参考)1人(1回(日))1月あたり給付費(在宅)'!H39)</f>
        <v>2.9</v>
      </c>
      <c r="G39" s="89" t="n">
        <f t="shared" si="9"/>
        <v>1.0</v>
      </c>
      <c r="H39" s="89" t="n">
        <f t="shared" si="9"/>
        <v>9.0</v>
      </c>
      <c r="I39" s="22" t="str">
        <f t="shared" si="5"/>
        <v>閾値の範囲内です。</v>
      </c>
      <c r="J39" s="11"/>
      <c r="K39" s="1" t="str">
        <f t="shared" si="2"/>
        <v/>
      </c>
      <c r="L39" s="1" t="n">
        <f t="shared" si="10"/>
        <v>1.0</v>
      </c>
    </row>
    <row r="40" spans="2:12" ht="15.75" customHeight="1">
      <c r="B40" s="108"/>
      <c r="C40" s="58" t="str">
        <f t="shared" si="1"/>
        <v>訪問入浴介護</v>
      </c>
      <c r="D40" s="166"/>
      <c r="E40" s="23" t="s">
        <v>49</v>
      </c>
      <c r="F40" s="29" t="n">
        <f>IF('(参考)1人(1回(日))1月あたり給付費(在宅)'!H40="","",'(参考)1人(1回(日))1月あたり給付費(在宅)'!H40)</f>
        <v>3.94</v>
      </c>
      <c r="G40" s="89" t="n">
        <f t="shared" si="9"/>
        <v>2.0</v>
      </c>
      <c r="H40" s="89" t="n">
        <f t="shared" si="9"/>
        <v>8.0</v>
      </c>
      <c r="I40" s="27" t="str">
        <f t="shared" si="5"/>
        <v>閾値の範囲内です。</v>
      </c>
      <c r="J40" s="11"/>
      <c r="K40" s="1" t="str">
        <f t="shared" si="2"/>
        <v/>
      </c>
    </row>
    <row r="41" spans="2:12" ht="15.75" customHeight="1">
      <c r="B41" s="108"/>
      <c r="C41" s="58" t="str">
        <f t="shared" si="1"/>
        <v>訪問入浴介護</v>
      </c>
      <c r="D41" s="164" t="s">
        <v>414</v>
      </c>
      <c r="E41" s="15" t="s">
        <v>50</v>
      </c>
      <c r="F41" s="41" t="n">
        <f>IF('(参考)1人(1回(日))1月あたり給付費(在宅)'!H41="","",'(参考)1人(1回(日))1月あたり給付費(在宅)'!H41)</f>
        <v>0.0</v>
      </c>
      <c r="G41" s="88" t="n">
        <f t="shared" si="9"/>
        <v>0.0</v>
      </c>
      <c r="H41" s="88" t="n">
        <f t="shared" si="9"/>
        <v>10.0</v>
      </c>
      <c r="I41" s="32" t="str">
        <f t="shared" si="5"/>
        <v>閾値の範囲内です。</v>
      </c>
      <c r="J41" s="11"/>
      <c r="K41" s="1" t="str">
        <f t="shared" si="2"/>
        <v/>
      </c>
      <c r="L41" s="1" t="n">
        <f>IF(F41="","",1)</f>
        <v>1.0</v>
      </c>
    </row>
    <row r="42" spans="2:12" ht="15.75" customHeight="1">
      <c r="B42" s="108"/>
      <c r="C42" s="58" t="str">
        <f t="shared" si="1"/>
        <v>訪問入浴介護</v>
      </c>
      <c r="D42" s="165"/>
      <c r="E42" s="30" t="s">
        <v>51</v>
      </c>
      <c r="F42" s="43" t="n">
        <f>IF('(参考)1人(1回(日))1月あたり給付費(在宅)'!H42="","",'(参考)1人(1回(日))1月あたり給付費(在宅)'!H42)</f>
        <v>0.0</v>
      </c>
      <c r="G42" s="91" t="n">
        <f t="shared" si="9"/>
        <v>0.0</v>
      </c>
      <c r="H42" s="91" t="n">
        <f t="shared" si="9"/>
        <v>9.0</v>
      </c>
      <c r="I42" s="33" t="str">
        <f t="shared" si="5"/>
        <v>閾値の範囲内です。</v>
      </c>
      <c r="J42" s="11"/>
      <c r="K42" s="1" t="str">
        <f t="shared" si="2"/>
        <v/>
      </c>
      <c r="L42" s="1" t="n">
        <f t="shared" ref="L42:L47" si="11">IF(F42="","",1)</f>
        <v>1.0</v>
      </c>
    </row>
    <row r="43" spans="2:12" ht="15.75" customHeight="1">
      <c r="B43" s="108"/>
      <c r="C43" s="58" t="str">
        <f t="shared" si="1"/>
        <v>訪問入浴介護</v>
      </c>
      <c r="D43" s="165"/>
      <c r="E43" s="18" t="s">
        <v>44</v>
      </c>
      <c r="F43" s="42" t="n">
        <f>IF('(参考)1人(1回(日))1月あたり給付費(在宅)'!H43="","",'(参考)1人(1回(日))1月あたり給付費(在宅)'!H43)</f>
        <v>4.1</v>
      </c>
      <c r="G43" s="89" t="n">
        <f t="shared" si="9"/>
        <v>0.0</v>
      </c>
      <c r="H43" s="89" t="n">
        <f t="shared" si="9"/>
        <v>8.0</v>
      </c>
      <c r="I43" s="22" t="str">
        <f t="shared" si="5"/>
        <v>閾値の範囲内です。</v>
      </c>
      <c r="J43" s="11"/>
      <c r="K43" s="1" t="str">
        <f t="shared" si="2"/>
        <v/>
      </c>
      <c r="L43" s="1" t="n">
        <f t="shared" si="11"/>
        <v>1.0</v>
      </c>
    </row>
    <row r="44" spans="2:12" ht="15.75" customHeight="1">
      <c r="B44" s="108"/>
      <c r="C44" s="58" t="str">
        <f t="shared" si="1"/>
        <v>訪問入浴介護</v>
      </c>
      <c r="D44" s="165"/>
      <c r="E44" s="18" t="s">
        <v>45</v>
      </c>
      <c r="F44" s="42" t="n">
        <f>IF('(参考)1人(1回(日))1月あたり給付費(在宅)'!H44="","",'(参考)1人(1回(日))1月あたり給付費(在宅)'!H44)</f>
        <v>0.0</v>
      </c>
      <c r="G44" s="89" t="n">
        <f t="shared" si="9"/>
        <v>0.0</v>
      </c>
      <c r="H44" s="89" t="n">
        <f t="shared" si="9"/>
        <v>8.0</v>
      </c>
      <c r="I44" s="22" t="str">
        <f t="shared" si="5"/>
        <v>閾値の範囲内です。</v>
      </c>
      <c r="J44" s="11"/>
      <c r="K44" s="1" t="str">
        <f t="shared" si="2"/>
        <v/>
      </c>
      <c r="L44" s="1" t="n">
        <f t="shared" si="11"/>
        <v>1.0</v>
      </c>
    </row>
    <row r="45" spans="2:12" ht="15.75" customHeight="1">
      <c r="B45" s="108"/>
      <c r="C45" s="58" t="str">
        <f t="shared" si="1"/>
        <v>訪問入浴介護</v>
      </c>
      <c r="D45" s="165"/>
      <c r="E45" s="18" t="s">
        <v>46</v>
      </c>
      <c r="F45" s="42" t="n">
        <f>IF('(参考)1人(1回(日))1月あたり給付費(在宅)'!H45="","",'(参考)1人(1回(日))1月あたり給付費(在宅)'!H45)</f>
        <v>2.3</v>
      </c>
      <c r="G45" s="89" t="n">
        <f t="shared" si="9"/>
        <v>0.0</v>
      </c>
      <c r="H45" s="89" t="n">
        <f t="shared" si="9"/>
        <v>8.0</v>
      </c>
      <c r="I45" s="22" t="str">
        <f t="shared" si="5"/>
        <v>閾値の範囲内です。</v>
      </c>
      <c r="J45" s="11"/>
      <c r="K45" s="1" t="str">
        <f t="shared" si="2"/>
        <v/>
      </c>
      <c r="L45" s="1" t="n">
        <f t="shared" si="11"/>
        <v>1.0</v>
      </c>
    </row>
    <row r="46" spans="2:12" ht="15.75" customHeight="1">
      <c r="B46" s="108"/>
      <c r="C46" s="58" t="str">
        <f t="shared" si="1"/>
        <v>訪問入浴介護</v>
      </c>
      <c r="D46" s="165"/>
      <c r="E46" s="18" t="s">
        <v>47</v>
      </c>
      <c r="F46" s="42" t="n">
        <f>IF('(参考)1人(1回(日))1月あたり給付費(在宅)'!H46="","",'(参考)1人(1回(日))1月あたり給付費(在宅)'!H46)</f>
        <v>3.9</v>
      </c>
      <c r="G46" s="89" t="n">
        <f t="shared" si="9"/>
        <v>1.0</v>
      </c>
      <c r="H46" s="89" t="n">
        <f t="shared" si="9"/>
        <v>8.0</v>
      </c>
      <c r="I46" s="22" t="str">
        <f t="shared" si="5"/>
        <v>閾値の範囲内です。</v>
      </c>
      <c r="J46" s="11"/>
      <c r="K46" s="1" t="str">
        <f t="shared" si="2"/>
        <v/>
      </c>
      <c r="L46" s="1" t="n">
        <f t="shared" si="11"/>
        <v>1.0</v>
      </c>
    </row>
    <row r="47" spans="2:12" ht="15.75" customHeight="1">
      <c r="B47" s="108"/>
      <c r="C47" s="58" t="str">
        <f t="shared" si="1"/>
        <v>訪問入浴介護</v>
      </c>
      <c r="D47" s="165"/>
      <c r="E47" s="18" t="s">
        <v>48</v>
      </c>
      <c r="F47" s="42" t="n">
        <f>IF('(参考)1人(1回(日))1月あたり給付費(在宅)'!H47="","",'(参考)1人(1回(日))1月あたり給付費(在宅)'!H47)</f>
        <v>2.9</v>
      </c>
      <c r="G47" s="89" t="n">
        <f t="shared" si="9"/>
        <v>1.0</v>
      </c>
      <c r="H47" s="89" t="n">
        <f t="shared" si="9"/>
        <v>9.0</v>
      </c>
      <c r="I47" s="22" t="str">
        <f t="shared" si="5"/>
        <v>閾値の範囲内です。</v>
      </c>
      <c r="J47" s="11"/>
      <c r="K47" s="1" t="str">
        <f t="shared" si="2"/>
        <v/>
      </c>
      <c r="L47" s="1" t="n">
        <f t="shared" si="11"/>
        <v>1.0</v>
      </c>
    </row>
    <row r="48" spans="2:12" ht="15.75" customHeight="1">
      <c r="B48" s="109"/>
      <c r="C48" s="59" t="str">
        <f t="shared" si="1"/>
        <v>訪問入浴介護</v>
      </c>
      <c r="D48" s="166"/>
      <c r="E48" s="23" t="s">
        <v>49</v>
      </c>
      <c r="F48" s="29" t="n">
        <f>IF('(参考)1人(1回(日))1月あたり給付費(在宅)'!H48="","",'(参考)1人(1回(日))1月あたり給付費(在宅)'!H48)</f>
        <v>3.94</v>
      </c>
      <c r="G48" s="90" t="n">
        <f t="shared" si="9"/>
        <v>2.0</v>
      </c>
      <c r="H48" s="90" t="n">
        <f t="shared" si="9"/>
        <v>8.0</v>
      </c>
      <c r="I48" s="27" t="str">
        <f t="shared" si="5"/>
        <v>閾値の範囲内です。</v>
      </c>
      <c r="J48" s="11"/>
      <c r="K48" s="1" t="str">
        <f t="shared" si="2"/>
        <v/>
      </c>
    </row>
    <row r="49" spans="2:12" ht="15.75" customHeight="1">
      <c r="B49" s="107">
        <v>3</v>
      </c>
      <c r="C49" s="7" t="s">
        <v>6</v>
      </c>
      <c r="D49" s="164" t="s">
        <v>416</v>
      </c>
      <c r="E49" s="15" t="s">
        <v>50</v>
      </c>
      <c r="F49" s="41" t="n">
        <f>IF('(参考)1人(1回(日))1月あたり給付費(在宅)'!H49="","",'(参考)1人(1回(日))1月あたり給付費(在宅)'!H49)</f>
        <v>2.2</v>
      </c>
      <c r="G49" s="88" t="n">
        <f>IF(data!I280&lt;0,0,data!I280)</f>
        <v>0.0</v>
      </c>
      <c r="H49" s="88" t="n">
        <f>IF(data!J280&lt;0,0,data!J280)</f>
        <v>11.0</v>
      </c>
      <c r="I49" s="32" t="str">
        <f t="shared" si="5"/>
        <v>閾値の範囲内です。</v>
      </c>
      <c r="J49" s="11"/>
      <c r="K49" s="1" t="str">
        <f t="shared" si="2"/>
        <v/>
      </c>
      <c r="L49" s="1" t="n">
        <f>IF(F49="","",1)</f>
        <v>1.0</v>
      </c>
    </row>
    <row r="50" spans="2:12" ht="15.75" customHeight="1">
      <c r="B50" s="108"/>
      <c r="C50" s="58" t="str">
        <f t="shared" si="1"/>
        <v>訪問看護</v>
      </c>
      <c r="D50" s="165"/>
      <c r="E50" s="30" t="s">
        <v>51</v>
      </c>
      <c r="F50" s="43" t="n">
        <f>IF('(参考)1人(1回(日))1月あたり給付費(在宅)'!H50="","",'(参考)1人(1回(日))1月あたり給付費(在宅)'!H50)</f>
        <v>5.1</v>
      </c>
      <c r="G50" s="91" t="n">
        <f>IF(data!I281&lt;0,0,data!I281)</f>
        <v>0.0</v>
      </c>
      <c r="H50" s="91" t="n">
        <f>IF(data!J281&lt;0,0,data!J281)</f>
        <v>15.0</v>
      </c>
      <c r="I50" s="33" t="str">
        <f t="shared" si="5"/>
        <v>閾値の範囲内です。</v>
      </c>
      <c r="J50" s="11"/>
      <c r="K50" s="1" t="str">
        <f t="shared" si="2"/>
        <v/>
      </c>
      <c r="L50" s="1" t="n">
        <f t="shared" ref="L50:L55" si="12">IF(F50="","",1)</f>
        <v>1.0</v>
      </c>
    </row>
    <row r="51" spans="2:12" ht="15.75" customHeight="1">
      <c r="B51" s="108"/>
      <c r="C51" s="58" t="str">
        <f t="shared" si="1"/>
        <v>訪問看護</v>
      </c>
      <c r="D51" s="165"/>
      <c r="E51" s="18" t="s">
        <v>44</v>
      </c>
      <c r="F51" s="42" t="n">
        <f>IF('(参考)1人(1回(日))1月あたり給付費(在宅)'!H51="","",'(参考)1人(1回(日))1月あたり給付費(在宅)'!H51)</f>
        <v>5.5</v>
      </c>
      <c r="G51" s="89" t="n">
        <f>IF(data!I282&lt;0,0,data!I282)</f>
        <v>0.0</v>
      </c>
      <c r="H51" s="89" t="n">
        <f>IF(data!J282&lt;0,0,data!J282)</f>
        <v>15.0</v>
      </c>
      <c r="I51" s="22" t="str">
        <f t="shared" si="5"/>
        <v>閾値の範囲内です。</v>
      </c>
      <c r="J51" s="11"/>
      <c r="K51" s="1" t="str">
        <f t="shared" si="2"/>
        <v/>
      </c>
      <c r="L51" s="1" t="n">
        <f t="shared" si="12"/>
        <v>1.0</v>
      </c>
    </row>
    <row r="52" spans="2:12" ht="15.75" customHeight="1">
      <c r="B52" s="108"/>
      <c r="C52" s="58" t="str">
        <f t="shared" si="1"/>
        <v>訪問看護</v>
      </c>
      <c r="D52" s="165"/>
      <c r="E52" s="18" t="s">
        <v>45</v>
      </c>
      <c r="F52" s="42" t="n">
        <f>IF('(参考)1人(1回(日))1月あたり給付費(在宅)'!H52="","",'(参考)1人(1回(日))1月あたり給付費(在宅)'!H52)</f>
        <v>5.4</v>
      </c>
      <c r="G52" s="89" t="n">
        <f>IF(data!I283&lt;0,0,data!I283)</f>
        <v>0.0</v>
      </c>
      <c r="H52" s="89" t="n">
        <f>IF(data!J283&lt;0,0,data!J283)</f>
        <v>17.0</v>
      </c>
      <c r="I52" s="22" t="str">
        <f t="shared" si="5"/>
        <v>閾値の範囲内です。</v>
      </c>
      <c r="J52" s="11"/>
      <c r="K52" s="1" t="str">
        <f t="shared" si="2"/>
        <v/>
      </c>
      <c r="L52" s="1" t="n">
        <f t="shared" si="12"/>
        <v>1.0</v>
      </c>
    </row>
    <row r="53" spans="2:12" ht="15.75" customHeight="1">
      <c r="B53" s="108"/>
      <c r="C53" s="58" t="str">
        <f t="shared" si="1"/>
        <v>訪問看護</v>
      </c>
      <c r="D53" s="165"/>
      <c r="E53" s="18" t="s">
        <v>46</v>
      </c>
      <c r="F53" s="42" t="n">
        <f>IF('(参考)1人(1回(日))1月あたり給付費(在宅)'!H53="","",'(参考)1人(1回(日))1月あたり給付費(在宅)'!H53)</f>
        <v>9.4</v>
      </c>
      <c r="G53" s="89" t="n">
        <f>IF(data!I284&lt;0,0,data!I284)</f>
        <v>0.0</v>
      </c>
      <c r="H53" s="89" t="n">
        <f>IF(data!J284&lt;0,0,data!J284)</f>
        <v>17.0</v>
      </c>
      <c r="I53" s="22" t="str">
        <f t="shared" si="5"/>
        <v>閾値の範囲内です。</v>
      </c>
      <c r="J53" s="11"/>
      <c r="K53" s="1" t="str">
        <f t="shared" si="2"/>
        <v/>
      </c>
      <c r="L53" s="1" t="n">
        <f t="shared" si="12"/>
        <v>1.0</v>
      </c>
    </row>
    <row r="54" spans="2:12" ht="15.75" customHeight="1">
      <c r="B54" s="108"/>
      <c r="C54" s="58" t="str">
        <f t="shared" si="1"/>
        <v>訪問看護</v>
      </c>
      <c r="D54" s="165"/>
      <c r="E54" s="18" t="s">
        <v>47</v>
      </c>
      <c r="F54" s="42" t="n">
        <f>IF('(参考)1人(1回(日))1月あたり給付費(在宅)'!H54="","",'(参考)1人(1回(日))1月あたり給付費(在宅)'!H54)</f>
        <v>6.7</v>
      </c>
      <c r="G54" s="89" t="n">
        <f>IF(data!I285&lt;0,0,data!I285)</f>
        <v>0.0</v>
      </c>
      <c r="H54" s="89" t="n">
        <f>IF(data!J285&lt;0,0,data!J285)</f>
        <v>19.0</v>
      </c>
      <c r="I54" s="22" t="str">
        <f t="shared" si="5"/>
        <v>閾値の範囲内です。</v>
      </c>
      <c r="J54" s="11"/>
      <c r="K54" s="1" t="str">
        <f t="shared" si="2"/>
        <v/>
      </c>
      <c r="L54" s="1" t="n">
        <f t="shared" si="12"/>
        <v>1.0</v>
      </c>
    </row>
    <row r="55" spans="2:12" ht="15.75" customHeight="1">
      <c r="B55" s="108"/>
      <c r="C55" s="58" t="str">
        <f t="shared" si="1"/>
        <v>訪問看護</v>
      </c>
      <c r="D55" s="165"/>
      <c r="E55" s="18" t="s">
        <v>48</v>
      </c>
      <c r="F55" s="42" t="n">
        <f>IF('(参考)1人(1回(日))1月あたり給付費(在宅)'!H55="","",'(参考)1人(1回(日))1月あたり給付費(在宅)'!H55)</f>
        <v>12.4</v>
      </c>
      <c r="G55" s="89" t="n">
        <f>IF(data!I286&lt;0,0,data!I286)</f>
        <v>0.0</v>
      </c>
      <c r="H55" s="89" t="n">
        <f>IF(data!J286&lt;0,0,data!J286)</f>
        <v>23.0</v>
      </c>
      <c r="I55" s="22" t="str">
        <f t="shared" si="5"/>
        <v>閾値の範囲内です。</v>
      </c>
      <c r="J55" s="11"/>
      <c r="K55" s="1" t="str">
        <f t="shared" si="2"/>
        <v/>
      </c>
      <c r="L55" s="1" t="n">
        <f t="shared" si="12"/>
        <v>1.0</v>
      </c>
    </row>
    <row r="56" spans="2:12" ht="15.75" customHeight="1">
      <c r="B56" s="108"/>
      <c r="C56" s="58" t="str">
        <f t="shared" si="1"/>
        <v>訪問看護</v>
      </c>
      <c r="D56" s="166"/>
      <c r="E56" s="23" t="s">
        <v>49</v>
      </c>
      <c r="F56" s="29" t="n">
        <f>IF('(参考)1人(1回(日))1月あたり給付費(在宅)'!H56="","",'(参考)1人(1回(日))1月あたり給付費(在宅)'!H56)</f>
        <v>7.15</v>
      </c>
      <c r="G56" s="90" t="n">
        <f>IF(data!I287&lt;0,0,data!I287)</f>
        <v>0.0</v>
      </c>
      <c r="H56" s="90" t="n">
        <f>IF(data!J287&lt;0,0,data!J287)</f>
        <v>16.0</v>
      </c>
      <c r="I56" s="27" t="str">
        <f t="shared" si="5"/>
        <v>閾値の範囲内です。</v>
      </c>
      <c r="J56" s="11"/>
      <c r="K56" s="1" t="str">
        <f t="shared" si="2"/>
        <v/>
      </c>
    </row>
    <row r="57" spans="2:12" ht="15.75" customHeight="1">
      <c r="B57" s="108"/>
      <c r="C57" s="58" t="str">
        <f t="shared" si="1"/>
        <v>訪問看護</v>
      </c>
      <c r="D57" s="164" t="s">
        <v>415</v>
      </c>
      <c r="E57" s="15" t="s">
        <v>50</v>
      </c>
      <c r="F57" s="41" t="n">
        <f>IF('(参考)1人(1回(日))1月あたり給付費(在宅)'!H57="","",'(参考)1人(1回(日))1月あたり給付費(在宅)'!H57)</f>
        <v>2.2</v>
      </c>
      <c r="G57" s="88" t="n">
        <f t="shared" ref="G57:H72" si="13">G49</f>
        <v>0.0</v>
      </c>
      <c r="H57" s="88" t="n">
        <f t="shared" si="13"/>
        <v>11.0</v>
      </c>
      <c r="I57" s="32" t="str">
        <f t="shared" si="5"/>
        <v>閾値の範囲内です。</v>
      </c>
      <c r="J57" s="11"/>
      <c r="K57" s="1" t="str">
        <f t="shared" si="2"/>
        <v/>
      </c>
      <c r="L57" s="1" t="n">
        <f>IF(F57="","",1)</f>
        <v>1.0</v>
      </c>
    </row>
    <row r="58" spans="2:12" ht="15.75" customHeight="1">
      <c r="B58" s="108"/>
      <c r="C58" s="58" t="str">
        <f t="shared" si="1"/>
        <v>訪問看護</v>
      </c>
      <c r="D58" s="165"/>
      <c r="E58" s="30" t="s">
        <v>51</v>
      </c>
      <c r="F58" s="43" t="n">
        <f>IF('(参考)1人(1回(日))1月あたり給付費(在宅)'!H58="","",'(参考)1人(1回(日))1月あたり給付費(在宅)'!H58)</f>
        <v>5.1</v>
      </c>
      <c r="G58" s="91" t="n">
        <f t="shared" si="13"/>
        <v>0.0</v>
      </c>
      <c r="H58" s="91" t="n">
        <f t="shared" si="13"/>
        <v>15.0</v>
      </c>
      <c r="I58" s="33" t="str">
        <f t="shared" si="5"/>
        <v>閾値の範囲内です。</v>
      </c>
      <c r="J58" s="11"/>
      <c r="K58" s="1" t="str">
        <f t="shared" si="2"/>
        <v/>
      </c>
      <c r="L58" s="1" t="n">
        <f t="shared" ref="L58:L63" si="14">IF(F58="","",1)</f>
        <v>1.0</v>
      </c>
    </row>
    <row r="59" spans="2:12" ht="15.75" customHeight="1">
      <c r="B59" s="108"/>
      <c r="C59" s="58" t="str">
        <f t="shared" si="1"/>
        <v>訪問看護</v>
      </c>
      <c r="D59" s="165"/>
      <c r="E59" s="18" t="s">
        <v>44</v>
      </c>
      <c r="F59" s="42" t="n">
        <f>IF('(参考)1人(1回(日))1月あたり給付費(在宅)'!H59="","",'(参考)1人(1回(日))1月あたり給付費(在宅)'!H59)</f>
        <v>5.5</v>
      </c>
      <c r="G59" s="89" t="n">
        <f t="shared" si="13"/>
        <v>0.0</v>
      </c>
      <c r="H59" s="89" t="n">
        <f t="shared" si="13"/>
        <v>15.0</v>
      </c>
      <c r="I59" s="22" t="str">
        <f t="shared" si="5"/>
        <v>閾値の範囲内です。</v>
      </c>
      <c r="J59" s="11"/>
      <c r="K59" s="1" t="str">
        <f t="shared" si="2"/>
        <v/>
      </c>
      <c r="L59" s="1" t="n">
        <f t="shared" si="14"/>
        <v>1.0</v>
      </c>
    </row>
    <row r="60" spans="2:12" ht="15.75" customHeight="1">
      <c r="B60" s="108"/>
      <c r="C60" s="58" t="str">
        <f t="shared" si="1"/>
        <v>訪問看護</v>
      </c>
      <c r="D60" s="165"/>
      <c r="E60" s="18" t="s">
        <v>45</v>
      </c>
      <c r="F60" s="42" t="n">
        <f>IF('(参考)1人(1回(日))1月あたり給付費(在宅)'!H60="","",'(参考)1人(1回(日))1月あたり給付費(在宅)'!H60)</f>
        <v>5.4</v>
      </c>
      <c r="G60" s="89" t="n">
        <f t="shared" si="13"/>
        <v>0.0</v>
      </c>
      <c r="H60" s="89" t="n">
        <f t="shared" si="13"/>
        <v>17.0</v>
      </c>
      <c r="I60" s="22" t="str">
        <f t="shared" si="5"/>
        <v>閾値の範囲内です。</v>
      </c>
      <c r="J60" s="11"/>
      <c r="K60" s="1" t="str">
        <f t="shared" si="2"/>
        <v/>
      </c>
      <c r="L60" s="1" t="n">
        <f t="shared" si="14"/>
        <v>1.0</v>
      </c>
    </row>
    <row r="61" spans="2:12" ht="15.75" customHeight="1">
      <c r="B61" s="108"/>
      <c r="C61" s="58" t="str">
        <f t="shared" si="1"/>
        <v>訪問看護</v>
      </c>
      <c r="D61" s="165"/>
      <c r="E61" s="18" t="s">
        <v>46</v>
      </c>
      <c r="F61" s="42" t="n">
        <f>IF('(参考)1人(1回(日))1月あたり給付費(在宅)'!H61="","",'(参考)1人(1回(日))1月あたり給付費(在宅)'!H61)</f>
        <v>9.4</v>
      </c>
      <c r="G61" s="89" t="n">
        <f t="shared" si="13"/>
        <v>0.0</v>
      </c>
      <c r="H61" s="89" t="n">
        <f t="shared" si="13"/>
        <v>17.0</v>
      </c>
      <c r="I61" s="22" t="str">
        <f t="shared" si="5"/>
        <v>閾値の範囲内です。</v>
      </c>
      <c r="J61" s="11"/>
      <c r="K61" s="1" t="str">
        <f t="shared" si="2"/>
        <v/>
      </c>
      <c r="L61" s="1" t="n">
        <f t="shared" si="14"/>
        <v>1.0</v>
      </c>
    </row>
    <row r="62" spans="2:12" ht="15.75" customHeight="1">
      <c r="B62" s="108"/>
      <c r="C62" s="58" t="str">
        <f t="shared" si="1"/>
        <v>訪問看護</v>
      </c>
      <c r="D62" s="165"/>
      <c r="E62" s="18" t="s">
        <v>47</v>
      </c>
      <c r="F62" s="42" t="n">
        <f>IF('(参考)1人(1回(日))1月あたり給付費(在宅)'!H62="","",'(参考)1人(1回(日))1月あたり給付費(在宅)'!H62)</f>
        <v>6.7</v>
      </c>
      <c r="G62" s="89" t="n">
        <f t="shared" si="13"/>
        <v>0.0</v>
      </c>
      <c r="H62" s="89" t="n">
        <f t="shared" si="13"/>
        <v>19.0</v>
      </c>
      <c r="I62" s="22" t="str">
        <f t="shared" si="5"/>
        <v>閾値の範囲内です。</v>
      </c>
      <c r="J62" s="11"/>
      <c r="K62" s="1" t="str">
        <f t="shared" si="2"/>
        <v/>
      </c>
      <c r="L62" s="1" t="n">
        <f t="shared" si="14"/>
        <v>1.0</v>
      </c>
    </row>
    <row r="63" spans="2:12" ht="15.75" customHeight="1">
      <c r="B63" s="108"/>
      <c r="C63" s="58" t="str">
        <f t="shared" si="1"/>
        <v>訪問看護</v>
      </c>
      <c r="D63" s="165"/>
      <c r="E63" s="18" t="s">
        <v>48</v>
      </c>
      <c r="F63" s="42" t="n">
        <f>IF('(参考)1人(1回(日))1月あたり給付費(在宅)'!H63="","",'(参考)1人(1回(日))1月あたり給付費(在宅)'!H63)</f>
        <v>12.4</v>
      </c>
      <c r="G63" s="89" t="n">
        <f t="shared" si="13"/>
        <v>0.0</v>
      </c>
      <c r="H63" s="89" t="n">
        <f t="shared" si="13"/>
        <v>23.0</v>
      </c>
      <c r="I63" s="22" t="str">
        <f t="shared" si="5"/>
        <v>閾値の範囲内です。</v>
      </c>
      <c r="J63" s="11"/>
      <c r="K63" s="1" t="str">
        <f t="shared" si="2"/>
        <v/>
      </c>
      <c r="L63" s="1" t="n">
        <f t="shared" si="14"/>
        <v>1.0</v>
      </c>
    </row>
    <row r="64" spans="2:12" ht="15.75" customHeight="1">
      <c r="B64" s="108"/>
      <c r="C64" s="58" t="str">
        <f t="shared" si="1"/>
        <v>訪問看護</v>
      </c>
      <c r="D64" s="166"/>
      <c r="E64" s="23" t="s">
        <v>49</v>
      </c>
      <c r="F64" s="29" t="n">
        <f>IF('(参考)1人(1回(日))1月あたり給付費(在宅)'!H64="","",'(参考)1人(1回(日))1月あたり給付費(在宅)'!H64)</f>
        <v>7.0924528301886784</v>
      </c>
      <c r="G64" s="89" t="n">
        <f t="shared" si="13"/>
        <v>0.0</v>
      </c>
      <c r="H64" s="89" t="n">
        <f t="shared" si="13"/>
        <v>16.0</v>
      </c>
      <c r="I64" s="27" t="str">
        <f t="shared" si="5"/>
        <v>閾値の範囲内です。</v>
      </c>
      <c r="J64" s="11"/>
      <c r="K64" s="1" t="str">
        <f t="shared" si="2"/>
        <v/>
      </c>
    </row>
    <row r="65" spans="2:12" ht="15.75" customHeight="1">
      <c r="B65" s="108"/>
      <c r="C65" s="58" t="str">
        <f t="shared" si="1"/>
        <v>訪問看護</v>
      </c>
      <c r="D65" s="164" t="s">
        <v>414</v>
      </c>
      <c r="E65" s="15" t="s">
        <v>50</v>
      </c>
      <c r="F65" s="41" t="n">
        <f>IF('(参考)1人(1回(日))1月あたり給付費(在宅)'!H65="","",'(参考)1人(1回(日))1月あたり給付費(在宅)'!H65)</f>
        <v>2.2</v>
      </c>
      <c r="G65" s="88" t="n">
        <f t="shared" si="13"/>
        <v>0.0</v>
      </c>
      <c r="H65" s="88" t="n">
        <f t="shared" si="13"/>
        <v>11.0</v>
      </c>
      <c r="I65" s="32" t="str">
        <f t="shared" si="5"/>
        <v>閾値の範囲内です。</v>
      </c>
      <c r="J65" s="11"/>
      <c r="K65" s="1" t="str">
        <f t="shared" si="2"/>
        <v/>
      </c>
      <c r="L65" s="1" t="n">
        <f>IF(F65="","",1)</f>
        <v>1.0</v>
      </c>
    </row>
    <row r="66" spans="2:12" ht="15.75" customHeight="1">
      <c r="B66" s="108"/>
      <c r="C66" s="58" t="str">
        <f t="shared" si="1"/>
        <v>訪問看護</v>
      </c>
      <c r="D66" s="165"/>
      <c r="E66" s="30" t="s">
        <v>51</v>
      </c>
      <c r="F66" s="43" t="n">
        <f>IF('(参考)1人(1回(日))1月あたり給付費(在宅)'!H66="","",'(参考)1人(1回(日))1月あたり給付費(在宅)'!H66)</f>
        <v>5.1</v>
      </c>
      <c r="G66" s="91" t="n">
        <f t="shared" si="13"/>
        <v>0.0</v>
      </c>
      <c r="H66" s="91" t="n">
        <f t="shared" si="13"/>
        <v>15.0</v>
      </c>
      <c r="I66" s="33" t="str">
        <f t="shared" si="5"/>
        <v>閾値の範囲内です。</v>
      </c>
      <c r="J66" s="11"/>
      <c r="K66" s="1" t="str">
        <f t="shared" si="2"/>
        <v/>
      </c>
      <c r="L66" s="1" t="n">
        <f t="shared" ref="L66:L71" si="15">IF(F66="","",1)</f>
        <v>1.0</v>
      </c>
    </row>
    <row r="67" spans="2:12" ht="15.75" customHeight="1">
      <c r="B67" s="108"/>
      <c r="C67" s="58" t="str">
        <f t="shared" si="1"/>
        <v>訪問看護</v>
      </c>
      <c r="D67" s="165"/>
      <c r="E67" s="18" t="s">
        <v>44</v>
      </c>
      <c r="F67" s="42" t="n">
        <f>IF('(参考)1人(1回(日))1月あたり給付費(在宅)'!H67="","",'(参考)1人(1回(日))1月あたり給付費(在宅)'!H67)</f>
        <v>5.5</v>
      </c>
      <c r="G67" s="89" t="n">
        <f t="shared" si="13"/>
        <v>0.0</v>
      </c>
      <c r="H67" s="89" t="n">
        <f t="shared" si="13"/>
        <v>15.0</v>
      </c>
      <c r="I67" s="22" t="str">
        <f t="shared" si="5"/>
        <v>閾値の範囲内です。</v>
      </c>
      <c r="J67" s="11"/>
      <c r="K67" s="1" t="str">
        <f t="shared" si="2"/>
        <v/>
      </c>
      <c r="L67" s="1" t="n">
        <f t="shared" si="15"/>
        <v>1.0</v>
      </c>
    </row>
    <row r="68" spans="2:12" ht="15.75" customHeight="1">
      <c r="B68" s="108"/>
      <c r="C68" s="58" t="str">
        <f t="shared" si="1"/>
        <v>訪問看護</v>
      </c>
      <c r="D68" s="165"/>
      <c r="E68" s="18" t="s">
        <v>45</v>
      </c>
      <c r="F68" s="42" t="n">
        <f>IF('(参考)1人(1回(日))1月あたり給付費(在宅)'!H68="","",'(参考)1人(1回(日))1月あたり給付費(在宅)'!H68)</f>
        <v>5.4</v>
      </c>
      <c r="G68" s="89" t="n">
        <f t="shared" si="13"/>
        <v>0.0</v>
      </c>
      <c r="H68" s="89" t="n">
        <f t="shared" si="13"/>
        <v>17.0</v>
      </c>
      <c r="I68" s="22" t="str">
        <f t="shared" si="5"/>
        <v>閾値の範囲内です。</v>
      </c>
      <c r="J68" s="11"/>
      <c r="K68" s="1" t="str">
        <f t="shared" si="2"/>
        <v/>
      </c>
      <c r="L68" s="1" t="n">
        <f t="shared" si="15"/>
        <v>1.0</v>
      </c>
    </row>
    <row r="69" spans="2:12" ht="15.75" customHeight="1">
      <c r="B69" s="108"/>
      <c r="C69" s="58" t="str">
        <f t="shared" si="1"/>
        <v>訪問看護</v>
      </c>
      <c r="D69" s="165"/>
      <c r="E69" s="18" t="s">
        <v>46</v>
      </c>
      <c r="F69" s="42" t="n">
        <f>IF('(参考)1人(1回(日))1月あたり給付費(在宅)'!H69="","",'(参考)1人(1回(日))1月あたり給付費(在宅)'!H69)</f>
        <v>9.4</v>
      </c>
      <c r="G69" s="89" t="n">
        <f t="shared" si="13"/>
        <v>0.0</v>
      </c>
      <c r="H69" s="89" t="n">
        <f t="shared" si="13"/>
        <v>17.0</v>
      </c>
      <c r="I69" s="22" t="str">
        <f t="shared" si="5"/>
        <v>閾値の範囲内です。</v>
      </c>
      <c r="J69" s="11"/>
      <c r="K69" s="1" t="str">
        <f t="shared" si="2"/>
        <v/>
      </c>
      <c r="L69" s="1" t="n">
        <f t="shared" si="15"/>
        <v>1.0</v>
      </c>
    </row>
    <row r="70" spans="2:12" ht="15.75" customHeight="1">
      <c r="B70" s="108"/>
      <c r="C70" s="58" t="str">
        <f t="shared" si="1"/>
        <v>訪問看護</v>
      </c>
      <c r="D70" s="165"/>
      <c r="E70" s="18" t="s">
        <v>47</v>
      </c>
      <c r="F70" s="42" t="n">
        <f>IF('(参考)1人(1回(日))1月あたり給付費(在宅)'!H70="","",'(参考)1人(1回(日))1月あたり給付費(在宅)'!H70)</f>
        <v>6.7</v>
      </c>
      <c r="G70" s="89" t="n">
        <f t="shared" si="13"/>
        <v>0.0</v>
      </c>
      <c r="H70" s="89" t="n">
        <f t="shared" si="13"/>
        <v>19.0</v>
      </c>
      <c r="I70" s="22" t="str">
        <f t="shared" si="5"/>
        <v>閾値の範囲内です。</v>
      </c>
      <c r="J70" s="11"/>
      <c r="K70" s="1" t="str">
        <f t="shared" si="2"/>
        <v/>
      </c>
      <c r="L70" s="1" t="n">
        <f t="shared" si="15"/>
        <v>1.0</v>
      </c>
    </row>
    <row r="71" spans="2:12" ht="15.75" customHeight="1">
      <c r="B71" s="108"/>
      <c r="C71" s="58" t="str">
        <f t="shared" si="1"/>
        <v>訪問看護</v>
      </c>
      <c r="D71" s="165"/>
      <c r="E71" s="18" t="s">
        <v>48</v>
      </c>
      <c r="F71" s="42" t="n">
        <f>IF('(参考)1人(1回(日))1月あたり給付費(在宅)'!H71="","",'(参考)1人(1回(日))1月あたり給付費(在宅)'!H71)</f>
        <v>12.4</v>
      </c>
      <c r="G71" s="89" t="n">
        <f t="shared" si="13"/>
        <v>0.0</v>
      </c>
      <c r="H71" s="89" t="n">
        <f t="shared" si="13"/>
        <v>23.0</v>
      </c>
      <c r="I71" s="22" t="str">
        <f t="shared" si="5"/>
        <v>閾値の範囲内です。</v>
      </c>
      <c r="J71" s="11"/>
      <c r="K71" s="1" t="str">
        <f t="shared" si="2"/>
        <v/>
      </c>
      <c r="L71" s="1" t="n">
        <f t="shared" si="15"/>
        <v>1.0</v>
      </c>
    </row>
    <row r="72" spans="2:12" ht="15.75" customHeight="1">
      <c r="B72" s="109"/>
      <c r="C72" s="59" t="str">
        <f t="shared" ref="C72:C111" si="16">C71</f>
        <v>訪問看護</v>
      </c>
      <c r="D72" s="166"/>
      <c r="E72" s="23" t="s">
        <v>49</v>
      </c>
      <c r="F72" s="29" t="n">
        <f>IF('(参考)1人(1回(日))1月あたり給付費(在宅)'!H72="","",'(参考)1人(1回(日))1月あたり給付費(在宅)'!H72)</f>
        <v>7.085185185185185</v>
      </c>
      <c r="G72" s="90" t="n">
        <f t="shared" si="13"/>
        <v>0.0</v>
      </c>
      <c r="H72" s="90" t="n">
        <f t="shared" si="13"/>
        <v>16.0</v>
      </c>
      <c r="I72" s="27" t="str">
        <f t="shared" si="5"/>
        <v>閾値の範囲内です。</v>
      </c>
      <c r="J72" s="11"/>
      <c r="K72" s="1" t="str">
        <f t="shared" ref="K72:K135" si="17">IF(OR(F72="－",F72="",AND(G72="－",H72="－")),"",IF(OR(F72&lt;G72,F72&gt;H72),1,""))</f>
        <v/>
      </c>
    </row>
    <row r="73" spans="2:12" ht="15.75" customHeight="1">
      <c r="B73" s="107">
        <v>4</v>
      </c>
      <c r="C73" s="7" t="s">
        <v>7</v>
      </c>
      <c r="D73" s="164" t="s">
        <v>416</v>
      </c>
      <c r="E73" s="15" t="s">
        <v>50</v>
      </c>
      <c r="F73" s="41" t="n">
        <f>IF('(参考)1人(1回(日))1月あたり給付費(在宅)'!H73="","",'(参考)1人(1回(日))1月あたり給付費(在宅)'!H73)</f>
        <v>0.0</v>
      </c>
      <c r="G73" s="88" t="n">
        <f>IF(data!I288&lt;0,0,data!I288)</f>
        <v>3.0</v>
      </c>
      <c r="H73" s="88" t="n">
        <f>IF(data!J288&lt;0,0,data!J288)</f>
        <v>13.0</v>
      </c>
      <c r="I73" s="32" t="str">
        <f t="shared" si="5"/>
        <v>下限値を3.0回下回っています。</v>
      </c>
      <c r="J73" s="11"/>
      <c r="K73" s="1" t="n">
        <f t="shared" si="17"/>
        <v>1.0</v>
      </c>
      <c r="L73" s="1" t="n">
        <f>IF(F73="","",1)</f>
        <v>1.0</v>
      </c>
    </row>
    <row r="74" spans="2:12" ht="15.75" customHeight="1">
      <c r="B74" s="108"/>
      <c r="C74" s="58" t="str">
        <f t="shared" si="16"/>
        <v>訪問リハビリテーション</v>
      </c>
      <c r="D74" s="165"/>
      <c r="E74" s="30" t="s">
        <v>51</v>
      </c>
      <c r="F74" s="43" t="n">
        <f>IF('(参考)1人(1回(日))1月あたり給付費(在宅)'!H74="","",'(参考)1人(1回(日))1月あたり給付費(在宅)'!H74)</f>
        <v>0.0</v>
      </c>
      <c r="G74" s="91" t="n">
        <f>IF(data!I289&lt;0,0,data!I289)</f>
        <v>2.0</v>
      </c>
      <c r="H74" s="91" t="n">
        <f>IF(data!J289&lt;0,0,data!J289)</f>
        <v>19.0</v>
      </c>
      <c r="I74" s="33" t="str">
        <f t="shared" si="5"/>
        <v>下限値を2.0回下回っています。</v>
      </c>
      <c r="J74" s="11"/>
      <c r="K74" s="1" t="n">
        <f t="shared" si="17"/>
        <v>1.0</v>
      </c>
      <c r="L74" s="1" t="n">
        <f t="shared" ref="L74:L79" si="18">IF(F74="","",1)</f>
        <v>1.0</v>
      </c>
    </row>
    <row r="75" spans="2:12" ht="15.75" customHeight="1">
      <c r="B75" s="108"/>
      <c r="C75" s="58" t="str">
        <f t="shared" si="16"/>
        <v>訪問リハビリテーション</v>
      </c>
      <c r="D75" s="165"/>
      <c r="E75" s="18" t="s">
        <v>44</v>
      </c>
      <c r="F75" s="42" t="n">
        <f>IF('(参考)1人(1回(日))1月あたり給付費(在宅)'!H75="","",'(参考)1人(1回(日))1月あたり給付費(在宅)'!H75)</f>
        <v>0.0</v>
      </c>
      <c r="G75" s="89" t="n">
        <f>IF(data!I290&lt;0,0,data!I290)</f>
        <v>1.0</v>
      </c>
      <c r="H75" s="89" t="n">
        <f>IF(data!J290&lt;0,0,data!J290)</f>
        <v>20.0</v>
      </c>
      <c r="I75" s="22" t="str">
        <f t="shared" si="5"/>
        <v>下限値を1.0回下回っています。</v>
      </c>
      <c r="J75" s="11"/>
      <c r="K75" s="1" t="n">
        <f t="shared" si="17"/>
        <v>1.0</v>
      </c>
      <c r="L75" s="1" t="n">
        <f t="shared" si="18"/>
        <v>1.0</v>
      </c>
    </row>
    <row r="76" spans="2:12" ht="15.75" customHeight="1">
      <c r="B76" s="108"/>
      <c r="C76" s="58" t="str">
        <f t="shared" si="16"/>
        <v>訪問リハビリテーション</v>
      </c>
      <c r="D76" s="165"/>
      <c r="E76" s="18" t="s">
        <v>45</v>
      </c>
      <c r="F76" s="42" t="n">
        <f>IF('(参考)1人(1回(日))1月あたり給付費(在宅)'!H76="","",'(参考)1人(1回(日))1月あたり給付費(在宅)'!H76)</f>
        <v>0.0</v>
      </c>
      <c r="G76" s="89" t="n">
        <f>IF(data!I291&lt;0,0,data!I291)</f>
        <v>2.0</v>
      </c>
      <c r="H76" s="89" t="n">
        <f>IF(data!J291&lt;0,0,data!J291)</f>
        <v>20.0</v>
      </c>
      <c r="I76" s="22" t="str">
        <f t="shared" si="5"/>
        <v>下限値を2.0回下回っています。</v>
      </c>
      <c r="J76" s="11"/>
      <c r="K76" s="1" t="n">
        <f t="shared" si="17"/>
        <v>1.0</v>
      </c>
      <c r="L76" s="1" t="n">
        <f t="shared" si="18"/>
        <v>1.0</v>
      </c>
    </row>
    <row r="77" spans="2:12" ht="15.75" customHeight="1">
      <c r="B77" s="108"/>
      <c r="C77" s="58" t="str">
        <f t="shared" si="16"/>
        <v>訪問リハビリテーション</v>
      </c>
      <c r="D77" s="165"/>
      <c r="E77" s="18" t="s">
        <v>46</v>
      </c>
      <c r="F77" s="42" t="n">
        <f>IF('(参考)1人(1回(日))1月あたり給付費(在宅)'!H77="","",'(参考)1人(1回(日))1月あたり給付費(在宅)'!H77)</f>
        <v>0.0</v>
      </c>
      <c r="G77" s="89" t="n">
        <f>IF(data!I292&lt;0,0,data!I292)</f>
        <v>1.0</v>
      </c>
      <c r="H77" s="89" t="n">
        <f>IF(data!J292&lt;0,0,data!J292)</f>
        <v>21.0</v>
      </c>
      <c r="I77" s="22" t="str">
        <f t="shared" ref="I77:I132" si="19">IF(OR(F77="",F77="－"),"",IF(F77&lt;G77,"下限値を"&amp;TEXT(ROUND(G77-F77,1),"#,##0.0回")&amp;"下回っています。",IF(F77&gt;H77,"上限値を"&amp;TEXT(ROUND(F77-H77,1),"#,##0.0回")&amp;"上回っています。","閾値の範囲内です。")))</f>
        <v>下限値を1.0回下回っています。</v>
      </c>
      <c r="J77" s="11"/>
      <c r="K77" s="1" t="n">
        <f t="shared" si="17"/>
        <v>1.0</v>
      </c>
      <c r="L77" s="1" t="n">
        <f t="shared" si="18"/>
        <v>1.0</v>
      </c>
    </row>
    <row r="78" spans="2:12" ht="15.75" customHeight="1">
      <c r="B78" s="108"/>
      <c r="C78" s="58" t="str">
        <f t="shared" si="16"/>
        <v>訪問リハビリテーション</v>
      </c>
      <c r="D78" s="165"/>
      <c r="E78" s="18" t="s">
        <v>47</v>
      </c>
      <c r="F78" s="42" t="n">
        <f>IF('(参考)1人(1回(日))1月あたり給付費(在宅)'!H78="","",'(参考)1人(1回(日))1月あたり給付費(在宅)'!H78)</f>
        <v>0.0</v>
      </c>
      <c r="G78" s="89" t="n">
        <f>IF(data!I293&lt;0,0,data!I293)</f>
        <v>1.0</v>
      </c>
      <c r="H78" s="89" t="n">
        <f>IF(data!J293&lt;0,0,data!J293)</f>
        <v>22.0</v>
      </c>
      <c r="I78" s="22" t="str">
        <f t="shared" si="19"/>
        <v>下限値を1.0回下回っています。</v>
      </c>
      <c r="J78" s="11"/>
      <c r="K78" s="1" t="n">
        <f t="shared" si="17"/>
        <v>1.0</v>
      </c>
      <c r="L78" s="1" t="n">
        <f t="shared" si="18"/>
        <v>1.0</v>
      </c>
    </row>
    <row r="79" spans="2:12" ht="15.75" customHeight="1">
      <c r="B79" s="108"/>
      <c r="C79" s="58" t="str">
        <f t="shared" si="16"/>
        <v>訪問リハビリテーション</v>
      </c>
      <c r="D79" s="165"/>
      <c r="E79" s="18" t="s">
        <v>48</v>
      </c>
      <c r="F79" s="42" t="n">
        <f>IF('(参考)1人(1回(日))1月あたり給付費(在宅)'!H79="","",'(参考)1人(1回(日))1月あたり給付費(在宅)'!H79)</f>
        <v>0.0</v>
      </c>
      <c r="G79" s="89" t="n">
        <f>IF(data!I294&lt;0,0,data!I294)</f>
        <v>0.0</v>
      </c>
      <c r="H79" s="89" t="n">
        <f>IF(data!J294&lt;0,0,data!J294)</f>
        <v>23.0</v>
      </c>
      <c r="I79" s="22" t="str">
        <f t="shared" si="19"/>
        <v>閾値の範囲内です。</v>
      </c>
      <c r="J79" s="11"/>
      <c r="K79" s="1" t="str">
        <f t="shared" si="17"/>
        <v/>
      </c>
      <c r="L79" s="1" t="n">
        <f t="shared" si="18"/>
        <v>1.0</v>
      </c>
    </row>
    <row r="80" spans="2:12" ht="15.75" customHeight="1">
      <c r="B80" s="108"/>
      <c r="C80" s="58" t="str">
        <f t="shared" si="16"/>
        <v>訪問リハビリテーション</v>
      </c>
      <c r="D80" s="166"/>
      <c r="E80" s="23" t="s">
        <v>49</v>
      </c>
      <c r="F80" s="29" t="str">
        <f>IF('(参考)1人(1回(日))1月あたり給付費(在宅)'!H80="","",'(参考)1人(1回(日))1月あたり給付費(在宅)'!H80)</f>
        <v>－</v>
      </c>
      <c r="G80" s="89" t="n">
        <f>IF(data!I295&lt;0,0,data!I295)</f>
        <v>4.0</v>
      </c>
      <c r="H80" s="89" t="n">
        <f>IF(data!J295&lt;0,0,data!J295)</f>
        <v>18.0</v>
      </c>
      <c r="I80" s="27" t="str">
        <f t="shared" si="19"/>
        <v/>
      </c>
      <c r="J80" s="11"/>
      <c r="K80" s="1" t="str">
        <f t="shared" si="17"/>
        <v/>
      </c>
    </row>
    <row r="81" spans="2:12" ht="15.75" customHeight="1">
      <c r="B81" s="108"/>
      <c r="C81" s="58" t="str">
        <f t="shared" si="16"/>
        <v>訪問リハビリテーション</v>
      </c>
      <c r="D81" s="164" t="s">
        <v>415</v>
      </c>
      <c r="E81" s="15" t="s">
        <v>50</v>
      </c>
      <c r="F81" s="41" t="n">
        <f>IF('(参考)1人(1回(日))1月あたり給付費(在宅)'!H81="","",'(参考)1人(1回(日))1月あたり給付費(在宅)'!H81)</f>
        <v>0.0</v>
      </c>
      <c r="G81" s="88" t="n">
        <f t="shared" ref="G81:H96" si="20">G73</f>
        <v>3.0</v>
      </c>
      <c r="H81" s="88" t="n">
        <f t="shared" si="20"/>
        <v>13.0</v>
      </c>
      <c r="I81" s="32" t="str">
        <f t="shared" si="19"/>
        <v>下限値を3.0回下回っています。</v>
      </c>
      <c r="J81" s="11"/>
      <c r="K81" s="1" t="n">
        <f t="shared" si="17"/>
        <v>1.0</v>
      </c>
      <c r="L81" s="1" t="n">
        <f>IF(F81="","",1)</f>
        <v>1.0</v>
      </c>
    </row>
    <row r="82" spans="2:12" ht="15.75" customHeight="1">
      <c r="B82" s="108"/>
      <c r="C82" s="58" t="str">
        <f t="shared" si="16"/>
        <v>訪問リハビリテーション</v>
      </c>
      <c r="D82" s="165"/>
      <c r="E82" s="30" t="s">
        <v>51</v>
      </c>
      <c r="F82" s="43" t="n">
        <f>IF('(参考)1人(1回(日))1月あたり給付費(在宅)'!H82="","",'(参考)1人(1回(日))1月あたり給付費(在宅)'!H82)</f>
        <v>0.0</v>
      </c>
      <c r="G82" s="91" t="n">
        <f t="shared" si="20"/>
        <v>2.0</v>
      </c>
      <c r="H82" s="91" t="n">
        <f t="shared" si="20"/>
        <v>19.0</v>
      </c>
      <c r="I82" s="33" t="str">
        <f t="shared" si="19"/>
        <v>下限値を2.0回下回っています。</v>
      </c>
      <c r="J82" s="11"/>
      <c r="K82" s="1" t="n">
        <f t="shared" si="17"/>
        <v>1.0</v>
      </c>
      <c r="L82" s="1" t="n">
        <f t="shared" ref="L82:L87" si="21">IF(F82="","",1)</f>
        <v>1.0</v>
      </c>
    </row>
    <row r="83" spans="2:12" ht="15.75" customHeight="1">
      <c r="B83" s="108"/>
      <c r="C83" s="58" t="str">
        <f t="shared" si="16"/>
        <v>訪問リハビリテーション</v>
      </c>
      <c r="D83" s="165"/>
      <c r="E83" s="18" t="s">
        <v>44</v>
      </c>
      <c r="F83" s="42" t="n">
        <f>IF('(参考)1人(1回(日))1月あたり給付費(在宅)'!H83="","",'(参考)1人(1回(日))1月あたり給付費(在宅)'!H83)</f>
        <v>0.0</v>
      </c>
      <c r="G83" s="89" t="n">
        <f t="shared" si="20"/>
        <v>1.0</v>
      </c>
      <c r="H83" s="89" t="n">
        <f t="shared" si="20"/>
        <v>20.0</v>
      </c>
      <c r="I83" s="22" t="str">
        <f t="shared" si="19"/>
        <v>下限値を1.0回下回っています。</v>
      </c>
      <c r="J83" s="11"/>
      <c r="K83" s="1" t="n">
        <f t="shared" si="17"/>
        <v>1.0</v>
      </c>
      <c r="L83" s="1" t="n">
        <f t="shared" si="21"/>
        <v>1.0</v>
      </c>
    </row>
    <row r="84" spans="2:12" ht="15.75" customHeight="1">
      <c r="B84" s="108"/>
      <c r="C84" s="58" t="str">
        <f t="shared" si="16"/>
        <v>訪問リハビリテーション</v>
      </c>
      <c r="D84" s="165"/>
      <c r="E84" s="18" t="s">
        <v>45</v>
      </c>
      <c r="F84" s="42" t="n">
        <f>IF('(参考)1人(1回(日))1月あたり給付費(在宅)'!H84="","",'(参考)1人(1回(日))1月あたり給付費(在宅)'!H84)</f>
        <v>0.0</v>
      </c>
      <c r="G84" s="89" t="n">
        <f t="shared" si="20"/>
        <v>2.0</v>
      </c>
      <c r="H84" s="89" t="n">
        <f t="shared" si="20"/>
        <v>20.0</v>
      </c>
      <c r="I84" s="22" t="str">
        <f t="shared" si="19"/>
        <v>下限値を2.0回下回っています。</v>
      </c>
      <c r="J84" s="11"/>
      <c r="K84" s="1" t="n">
        <f t="shared" si="17"/>
        <v>1.0</v>
      </c>
      <c r="L84" s="1" t="n">
        <f t="shared" si="21"/>
        <v>1.0</v>
      </c>
    </row>
    <row r="85" spans="2:12" ht="15.75" customHeight="1">
      <c r="B85" s="108"/>
      <c r="C85" s="58" t="str">
        <f t="shared" si="16"/>
        <v>訪問リハビリテーション</v>
      </c>
      <c r="D85" s="165"/>
      <c r="E85" s="18" t="s">
        <v>46</v>
      </c>
      <c r="F85" s="42" t="n">
        <f>IF('(参考)1人(1回(日))1月あたり給付費(在宅)'!H85="","",'(参考)1人(1回(日))1月あたり給付費(在宅)'!H85)</f>
        <v>0.0</v>
      </c>
      <c r="G85" s="89" t="n">
        <f t="shared" si="20"/>
        <v>1.0</v>
      </c>
      <c r="H85" s="89" t="n">
        <f t="shared" si="20"/>
        <v>21.0</v>
      </c>
      <c r="I85" s="22" t="str">
        <f t="shared" si="19"/>
        <v>下限値を1.0回下回っています。</v>
      </c>
      <c r="J85" s="11"/>
      <c r="K85" s="1" t="n">
        <f t="shared" si="17"/>
        <v>1.0</v>
      </c>
      <c r="L85" s="1" t="n">
        <f t="shared" si="21"/>
        <v>1.0</v>
      </c>
    </row>
    <row r="86" spans="2:12" ht="15.75" customHeight="1">
      <c r="B86" s="108"/>
      <c r="C86" s="58" t="str">
        <f t="shared" si="16"/>
        <v>訪問リハビリテーション</v>
      </c>
      <c r="D86" s="165"/>
      <c r="E86" s="18" t="s">
        <v>47</v>
      </c>
      <c r="F86" s="42" t="n">
        <f>IF('(参考)1人(1回(日))1月あたり給付費(在宅)'!H86="","",'(参考)1人(1回(日))1月あたり給付費(在宅)'!H86)</f>
        <v>0.0</v>
      </c>
      <c r="G86" s="89" t="n">
        <f t="shared" si="20"/>
        <v>1.0</v>
      </c>
      <c r="H86" s="89" t="n">
        <f t="shared" si="20"/>
        <v>22.0</v>
      </c>
      <c r="I86" s="22" t="str">
        <f t="shared" si="19"/>
        <v>下限値を1.0回下回っています。</v>
      </c>
      <c r="J86" s="11"/>
      <c r="K86" s="1" t="n">
        <f t="shared" si="17"/>
        <v>1.0</v>
      </c>
      <c r="L86" s="1" t="n">
        <f t="shared" si="21"/>
        <v>1.0</v>
      </c>
    </row>
    <row r="87" spans="2:12" ht="15.75" customHeight="1">
      <c r="B87" s="108"/>
      <c r="C87" s="58" t="str">
        <f t="shared" si="16"/>
        <v>訪問リハビリテーション</v>
      </c>
      <c r="D87" s="165"/>
      <c r="E87" s="18" t="s">
        <v>48</v>
      </c>
      <c r="F87" s="42" t="n">
        <f>IF('(参考)1人(1回(日))1月あたり給付費(在宅)'!H87="","",'(参考)1人(1回(日))1月あたり給付費(在宅)'!H87)</f>
        <v>0.0</v>
      </c>
      <c r="G87" s="89" t="n">
        <f t="shared" si="20"/>
        <v>0.0</v>
      </c>
      <c r="H87" s="89" t="n">
        <f t="shared" si="20"/>
        <v>23.0</v>
      </c>
      <c r="I87" s="22" t="str">
        <f t="shared" si="19"/>
        <v>閾値の範囲内です。</v>
      </c>
      <c r="J87" s="11"/>
      <c r="K87" s="1" t="str">
        <f t="shared" si="17"/>
        <v/>
      </c>
      <c r="L87" s="1" t="n">
        <f t="shared" si="21"/>
        <v>1.0</v>
      </c>
    </row>
    <row r="88" spans="2:12" ht="15.75" customHeight="1">
      <c r="B88" s="108"/>
      <c r="C88" s="58" t="str">
        <f t="shared" si="16"/>
        <v>訪問リハビリテーション</v>
      </c>
      <c r="D88" s="166"/>
      <c r="E88" s="23" t="s">
        <v>49</v>
      </c>
      <c r="F88" s="29" t="str">
        <f>IF('(参考)1人(1回(日))1月あたり給付費(在宅)'!H88="","",'(参考)1人(1回(日))1月あたり給付費(在宅)'!H88)</f>
        <v>－</v>
      </c>
      <c r="G88" s="89" t="n">
        <f t="shared" si="20"/>
        <v>4.0</v>
      </c>
      <c r="H88" s="89" t="n">
        <f t="shared" si="20"/>
        <v>18.0</v>
      </c>
      <c r="I88" s="27" t="str">
        <f t="shared" si="19"/>
        <v/>
      </c>
      <c r="J88" s="11"/>
      <c r="K88" s="1" t="str">
        <f t="shared" si="17"/>
        <v/>
      </c>
    </row>
    <row r="89" spans="2:12" ht="15.75" customHeight="1">
      <c r="B89" s="108"/>
      <c r="C89" s="58" t="str">
        <f t="shared" si="16"/>
        <v>訪問リハビリテーション</v>
      </c>
      <c r="D89" s="164" t="s">
        <v>414</v>
      </c>
      <c r="E89" s="15" t="s">
        <v>50</v>
      </c>
      <c r="F89" s="41" t="n">
        <f>IF('(参考)1人(1回(日))1月あたり給付費(在宅)'!H89="","",'(参考)1人(1回(日))1月あたり給付費(在宅)'!H89)</f>
        <v>0.0</v>
      </c>
      <c r="G89" s="88" t="n">
        <f t="shared" si="20"/>
        <v>3.0</v>
      </c>
      <c r="H89" s="88" t="n">
        <f t="shared" si="20"/>
        <v>13.0</v>
      </c>
      <c r="I89" s="32" t="str">
        <f t="shared" si="19"/>
        <v>下限値を3.0回下回っています。</v>
      </c>
      <c r="J89" s="11"/>
      <c r="K89" s="1" t="n">
        <f t="shared" si="17"/>
        <v>1.0</v>
      </c>
      <c r="L89" s="1" t="n">
        <f>IF(F89="","",1)</f>
        <v>1.0</v>
      </c>
    </row>
    <row r="90" spans="2:12" ht="15.75" customHeight="1">
      <c r="B90" s="108"/>
      <c r="C90" s="58" t="str">
        <f t="shared" si="16"/>
        <v>訪問リハビリテーション</v>
      </c>
      <c r="D90" s="165"/>
      <c r="E90" s="30" t="s">
        <v>51</v>
      </c>
      <c r="F90" s="43" t="n">
        <f>IF('(参考)1人(1回(日))1月あたり給付費(在宅)'!H90="","",'(参考)1人(1回(日))1月あたり給付費(在宅)'!H90)</f>
        <v>0.0</v>
      </c>
      <c r="G90" s="91" t="n">
        <f t="shared" si="20"/>
        <v>2.0</v>
      </c>
      <c r="H90" s="91" t="n">
        <f t="shared" si="20"/>
        <v>19.0</v>
      </c>
      <c r="I90" s="33" t="str">
        <f t="shared" si="19"/>
        <v>下限値を2.0回下回っています。</v>
      </c>
      <c r="J90" s="11"/>
      <c r="K90" s="1" t="n">
        <f t="shared" si="17"/>
        <v>1.0</v>
      </c>
      <c r="L90" s="1" t="n">
        <f t="shared" ref="L90:L153" si="22">IF(F90="","",1)</f>
        <v>1.0</v>
      </c>
    </row>
    <row r="91" spans="2:12" ht="15.75" customHeight="1">
      <c r="B91" s="108"/>
      <c r="C91" s="58" t="str">
        <f t="shared" si="16"/>
        <v>訪問リハビリテーション</v>
      </c>
      <c r="D91" s="165"/>
      <c r="E91" s="18" t="s">
        <v>44</v>
      </c>
      <c r="F91" s="42" t="n">
        <f>IF('(参考)1人(1回(日))1月あたり給付費(在宅)'!H91="","",'(参考)1人(1回(日))1月あたり給付費(在宅)'!H91)</f>
        <v>0.0</v>
      </c>
      <c r="G91" s="89" t="n">
        <f t="shared" si="20"/>
        <v>1.0</v>
      </c>
      <c r="H91" s="89" t="n">
        <f t="shared" si="20"/>
        <v>20.0</v>
      </c>
      <c r="I91" s="22" t="str">
        <f t="shared" si="19"/>
        <v>下限値を1.0回下回っています。</v>
      </c>
      <c r="J91" s="11"/>
      <c r="K91" s="1" t="n">
        <f t="shared" si="17"/>
        <v>1.0</v>
      </c>
      <c r="L91" s="1" t="n">
        <f t="shared" si="22"/>
        <v>1.0</v>
      </c>
    </row>
    <row r="92" spans="2:12" ht="15.75" customHeight="1">
      <c r="B92" s="108"/>
      <c r="C92" s="58" t="str">
        <f t="shared" si="16"/>
        <v>訪問リハビリテーション</v>
      </c>
      <c r="D92" s="165"/>
      <c r="E92" s="18" t="s">
        <v>45</v>
      </c>
      <c r="F92" s="42" t="n">
        <f>IF('(参考)1人(1回(日))1月あたり給付費(在宅)'!H92="","",'(参考)1人(1回(日))1月あたり給付費(在宅)'!H92)</f>
        <v>0.0</v>
      </c>
      <c r="G92" s="89" t="n">
        <f t="shared" si="20"/>
        <v>2.0</v>
      </c>
      <c r="H92" s="89" t="n">
        <f t="shared" si="20"/>
        <v>20.0</v>
      </c>
      <c r="I92" s="22" t="str">
        <f t="shared" si="19"/>
        <v>下限値を2.0回下回っています。</v>
      </c>
      <c r="J92" s="11"/>
      <c r="K92" s="1" t="n">
        <f t="shared" si="17"/>
        <v>1.0</v>
      </c>
      <c r="L92" s="1" t="n">
        <f t="shared" si="22"/>
        <v>1.0</v>
      </c>
    </row>
    <row r="93" spans="2:12" ht="15.75" customHeight="1">
      <c r="B93" s="108"/>
      <c r="C93" s="58" t="str">
        <f t="shared" si="16"/>
        <v>訪問リハビリテーション</v>
      </c>
      <c r="D93" s="165"/>
      <c r="E93" s="18" t="s">
        <v>46</v>
      </c>
      <c r="F93" s="42" t="n">
        <f>IF('(参考)1人(1回(日))1月あたり給付費(在宅)'!H93="","",'(参考)1人(1回(日))1月あたり給付費(在宅)'!H93)</f>
        <v>0.0</v>
      </c>
      <c r="G93" s="89" t="n">
        <f t="shared" si="20"/>
        <v>1.0</v>
      </c>
      <c r="H93" s="89" t="n">
        <f t="shared" si="20"/>
        <v>21.0</v>
      </c>
      <c r="I93" s="22" t="str">
        <f t="shared" si="19"/>
        <v>下限値を1.0回下回っています。</v>
      </c>
      <c r="J93" s="11"/>
      <c r="K93" s="1" t="n">
        <f t="shared" si="17"/>
        <v>1.0</v>
      </c>
      <c r="L93" s="1" t="n">
        <f t="shared" si="22"/>
        <v>1.0</v>
      </c>
    </row>
    <row r="94" spans="2:12" ht="15.75" customHeight="1">
      <c r="B94" s="108"/>
      <c r="C94" s="58" t="str">
        <f t="shared" si="16"/>
        <v>訪問リハビリテーション</v>
      </c>
      <c r="D94" s="165"/>
      <c r="E94" s="18" t="s">
        <v>47</v>
      </c>
      <c r="F94" s="42" t="n">
        <f>IF('(参考)1人(1回(日))1月あたり給付費(在宅)'!H94="","",'(参考)1人(1回(日))1月あたり給付費(在宅)'!H94)</f>
        <v>0.0</v>
      </c>
      <c r="G94" s="89" t="n">
        <f t="shared" si="20"/>
        <v>1.0</v>
      </c>
      <c r="H94" s="89" t="n">
        <f t="shared" si="20"/>
        <v>22.0</v>
      </c>
      <c r="I94" s="22" t="str">
        <f t="shared" si="19"/>
        <v>下限値を1.0回下回っています。</v>
      </c>
      <c r="J94" s="11"/>
      <c r="K94" s="1" t="n">
        <f t="shared" si="17"/>
        <v>1.0</v>
      </c>
      <c r="L94" s="1" t="n">
        <f t="shared" si="22"/>
        <v>1.0</v>
      </c>
    </row>
    <row r="95" spans="2:12" ht="15.75" customHeight="1">
      <c r="B95" s="108"/>
      <c r="C95" s="58" t="str">
        <f t="shared" si="16"/>
        <v>訪問リハビリテーション</v>
      </c>
      <c r="D95" s="165"/>
      <c r="E95" s="18" t="s">
        <v>48</v>
      </c>
      <c r="F95" s="42" t="n">
        <f>IF('(参考)1人(1回(日))1月あたり給付費(在宅)'!H95="","",'(参考)1人(1回(日))1月あたり給付費(在宅)'!H95)</f>
        <v>0.0</v>
      </c>
      <c r="G95" s="89" t="n">
        <f t="shared" si="20"/>
        <v>0.0</v>
      </c>
      <c r="H95" s="89" t="n">
        <f t="shared" si="20"/>
        <v>23.0</v>
      </c>
      <c r="I95" s="22" t="str">
        <f t="shared" si="19"/>
        <v>閾値の範囲内です。</v>
      </c>
      <c r="J95" s="11"/>
      <c r="K95" s="1" t="str">
        <f t="shared" si="17"/>
        <v/>
      </c>
      <c r="L95" s="1" t="n">
        <f t="shared" si="22"/>
        <v>1.0</v>
      </c>
    </row>
    <row r="96" spans="2:12" ht="15.75" customHeight="1">
      <c r="B96" s="109"/>
      <c r="C96" s="59" t="str">
        <f t="shared" si="16"/>
        <v>訪問リハビリテーション</v>
      </c>
      <c r="D96" s="166"/>
      <c r="E96" s="23" t="s">
        <v>49</v>
      </c>
      <c r="F96" s="29" t="str">
        <f>IF('(参考)1人(1回(日))1月あたり給付費(在宅)'!H96="","",'(参考)1人(1回(日))1月あたり給付費(在宅)'!H96)</f>
        <v>－</v>
      </c>
      <c r="G96" s="90" t="n">
        <f t="shared" si="20"/>
        <v>4.0</v>
      </c>
      <c r="H96" s="90" t="n">
        <f t="shared" si="20"/>
        <v>18.0</v>
      </c>
      <c r="I96" s="27" t="str">
        <f t="shared" si="19"/>
        <v/>
      </c>
      <c r="J96" s="11"/>
      <c r="K96" s="1" t="str">
        <f t="shared" si="17"/>
        <v/>
      </c>
    </row>
    <row r="97" spans="2:12" ht="15.75" customHeight="1">
      <c r="B97" s="107">
        <v>6</v>
      </c>
      <c r="C97" s="7" t="s">
        <v>9</v>
      </c>
      <c r="D97" s="165" t="s">
        <v>416</v>
      </c>
      <c r="E97" s="15" t="s">
        <v>44</v>
      </c>
      <c r="F97" s="41" t="n">
        <f>IF('(参考)1人(1回(日))1月あたり給付費(在宅)'!H121="","",'(参考)1人(1回(日))1月あたり給付費(在宅)'!H121)</f>
        <v>8.0</v>
      </c>
      <c r="G97" s="88" t="n">
        <f>IF(data!I296&lt;0,0,data!I296)</f>
        <v>4.0</v>
      </c>
      <c r="H97" s="88" t="n">
        <f>IF(data!J296&lt;0,0,data!J296)</f>
        <v>15.0</v>
      </c>
      <c r="I97" s="17" t="str">
        <f t="shared" si="19"/>
        <v>閾値の範囲内です。</v>
      </c>
      <c r="J97" s="11"/>
      <c r="K97" s="1" t="str">
        <f t="shared" si="17"/>
        <v/>
      </c>
      <c r="L97" s="1" t="n">
        <f t="shared" si="22"/>
        <v>1.0</v>
      </c>
    </row>
    <row r="98" spans="2:12" ht="15.75" customHeight="1">
      <c r="B98" s="108"/>
      <c r="C98" s="58" t="str">
        <f t="shared" si="16"/>
        <v>通所介護</v>
      </c>
      <c r="D98" s="165"/>
      <c r="E98" s="18" t="s">
        <v>45</v>
      </c>
      <c r="F98" s="42" t="n">
        <f>IF('(参考)1人(1回(日))1月あたり給付費(在宅)'!H122="","",'(参考)1人(1回(日))1月あたり給付費(在宅)'!H122)</f>
        <v>9.8</v>
      </c>
      <c r="G98" s="89" t="n">
        <f>IF(data!I297&lt;0,0,data!I297)</f>
        <v>4.0</v>
      </c>
      <c r="H98" s="89" t="n">
        <f>IF(data!J297&lt;0,0,data!J297)</f>
        <v>16.0</v>
      </c>
      <c r="I98" s="22" t="str">
        <f t="shared" si="19"/>
        <v>閾値の範囲内です。</v>
      </c>
      <c r="J98" s="11"/>
      <c r="K98" s="1" t="str">
        <f t="shared" si="17"/>
        <v/>
      </c>
      <c r="L98" s="1" t="n">
        <f t="shared" si="22"/>
        <v>1.0</v>
      </c>
    </row>
    <row r="99" spans="2:12" ht="15.75" customHeight="1">
      <c r="B99" s="108"/>
      <c r="C99" s="58" t="str">
        <f t="shared" si="16"/>
        <v>通所介護</v>
      </c>
      <c r="D99" s="165"/>
      <c r="E99" s="18" t="s">
        <v>46</v>
      </c>
      <c r="F99" s="42" t="n">
        <f>IF('(参考)1人(1回(日))1月あたり給付費(在宅)'!H123="","",'(参考)1人(1回(日))1月あたり給付費(在宅)'!H123)</f>
        <v>10.1</v>
      </c>
      <c r="G99" s="89" t="n">
        <f>IF(data!I298&lt;0,0,data!I298)</f>
        <v>3.0</v>
      </c>
      <c r="H99" s="89" t="n">
        <f>IF(data!J298&lt;0,0,data!J298)</f>
        <v>19.0</v>
      </c>
      <c r="I99" s="22" t="str">
        <f t="shared" si="19"/>
        <v>閾値の範囲内です。</v>
      </c>
      <c r="J99" s="11"/>
      <c r="K99" s="1" t="str">
        <f t="shared" si="17"/>
        <v/>
      </c>
      <c r="L99" s="1" t="n">
        <f t="shared" si="22"/>
        <v>1.0</v>
      </c>
    </row>
    <row r="100" spans="2:12" ht="15.75" customHeight="1">
      <c r="B100" s="108"/>
      <c r="C100" s="58" t="str">
        <f t="shared" si="16"/>
        <v>通所介護</v>
      </c>
      <c r="D100" s="165"/>
      <c r="E100" s="18" t="s">
        <v>47</v>
      </c>
      <c r="F100" s="42" t="n">
        <f>IF('(参考)1人(1回(日))1月あたり給付費(在宅)'!H124="","",'(参考)1人(1回(日))1月あたり給付費(在宅)'!H124)</f>
        <v>10.1</v>
      </c>
      <c r="G100" s="89" t="n">
        <f>IF(data!I299&lt;0,0,data!I299)</f>
        <v>1.0</v>
      </c>
      <c r="H100" s="89" t="n">
        <f>IF(data!J299&lt;0,0,data!J299)</f>
        <v>21.0</v>
      </c>
      <c r="I100" s="22" t="str">
        <f t="shared" si="19"/>
        <v>閾値の範囲内です。</v>
      </c>
      <c r="J100" s="11"/>
      <c r="K100" s="1" t="str">
        <f t="shared" si="17"/>
        <v/>
      </c>
      <c r="L100" s="1" t="n">
        <f t="shared" si="22"/>
        <v>1.0</v>
      </c>
    </row>
    <row r="101" spans="2:12" ht="15.75" customHeight="1">
      <c r="B101" s="108"/>
      <c r="C101" s="58" t="str">
        <f t="shared" si="16"/>
        <v>通所介護</v>
      </c>
      <c r="D101" s="165"/>
      <c r="E101" s="18" t="s">
        <v>48</v>
      </c>
      <c r="F101" s="42" t="n">
        <f>IF('(参考)1人(1回(日))1月あたり給付費(在宅)'!H125="","",'(参考)1人(1回(日))1月あたり給付費(在宅)'!H125)</f>
        <v>12.4</v>
      </c>
      <c r="G101" s="89" t="n">
        <f>IF(data!I300&lt;0,0,data!I300)</f>
        <v>0.0</v>
      </c>
      <c r="H101" s="89" t="n">
        <f>IF(data!J300&lt;0,0,data!J300)</f>
        <v>24.0</v>
      </c>
      <c r="I101" s="22" t="str">
        <f t="shared" si="19"/>
        <v>閾値の範囲内です。</v>
      </c>
      <c r="J101" s="11"/>
      <c r="K101" s="1" t="str">
        <f t="shared" si="17"/>
        <v/>
      </c>
      <c r="L101" s="1" t="n">
        <f t="shared" si="22"/>
        <v>1.0</v>
      </c>
    </row>
    <row r="102" spans="2:12" ht="15.75" customHeight="1">
      <c r="B102" s="108"/>
      <c r="C102" s="58" t="str">
        <f t="shared" si="16"/>
        <v>通所介護</v>
      </c>
      <c r="D102" s="166"/>
      <c r="E102" s="23" t="s">
        <v>49</v>
      </c>
      <c r="F102" s="29" t="n">
        <f>IF('(参考)1人(1回(日))1月あたり給付費(在宅)'!H126="","",'(参考)1人(1回(日))1月あたり給付費(在宅)'!H126)</f>
        <v>9.360119047619047</v>
      </c>
      <c r="G102" s="90" t="n">
        <f>IF(data!I301&lt;0,0,data!I301)</f>
        <v>4.0</v>
      </c>
      <c r="H102" s="90" t="n">
        <f>IF(data!J301&lt;0,0,data!J301)</f>
        <v>16.0</v>
      </c>
      <c r="I102" s="27" t="str">
        <f t="shared" si="19"/>
        <v>閾値の範囲内です。</v>
      </c>
      <c r="J102" s="11"/>
      <c r="K102" s="1" t="str">
        <f t="shared" si="17"/>
        <v/>
      </c>
    </row>
    <row r="103" spans="2:12" ht="15.75" customHeight="1">
      <c r="B103" s="108"/>
      <c r="C103" s="58" t="str">
        <f t="shared" si="16"/>
        <v>通所介護</v>
      </c>
      <c r="D103" s="165" t="s">
        <v>415</v>
      </c>
      <c r="E103" s="15" t="s">
        <v>44</v>
      </c>
      <c r="F103" s="41" t="n">
        <f>IF('(参考)1人(1回(日))1月あたり給付費(在宅)'!H127="","",'(参考)1人(1回(日))1月あたり給付費(在宅)'!H127)</f>
        <v>8.0</v>
      </c>
      <c r="G103" s="88" t="n">
        <f t="shared" ref="G103:H114" si="23">G97</f>
        <v>4.0</v>
      </c>
      <c r="H103" s="88" t="n">
        <f t="shared" si="23"/>
        <v>15.0</v>
      </c>
      <c r="I103" s="17" t="str">
        <f t="shared" si="19"/>
        <v>閾値の範囲内です。</v>
      </c>
      <c r="J103" s="11"/>
      <c r="K103" s="1" t="str">
        <f t="shared" si="17"/>
        <v/>
      </c>
      <c r="L103" s="1" t="n">
        <f t="shared" si="22"/>
        <v>1.0</v>
      </c>
    </row>
    <row r="104" spans="2:12" ht="15.75" customHeight="1">
      <c r="B104" s="108"/>
      <c r="C104" s="58" t="str">
        <f t="shared" si="16"/>
        <v>通所介護</v>
      </c>
      <c r="D104" s="165"/>
      <c r="E104" s="18" t="s">
        <v>45</v>
      </c>
      <c r="F104" s="42" t="n">
        <f>IF('(参考)1人(1回(日))1月あたり給付費(在宅)'!H128="","",'(参考)1人(1回(日))1月あたり給付費(在宅)'!H128)</f>
        <v>9.8</v>
      </c>
      <c r="G104" s="89" t="n">
        <f t="shared" si="23"/>
        <v>4.0</v>
      </c>
      <c r="H104" s="89" t="n">
        <f t="shared" si="23"/>
        <v>16.0</v>
      </c>
      <c r="I104" s="22" t="str">
        <f t="shared" si="19"/>
        <v>閾値の範囲内です。</v>
      </c>
      <c r="J104" s="11"/>
      <c r="K104" s="1" t="str">
        <f t="shared" si="17"/>
        <v/>
      </c>
      <c r="L104" s="1" t="n">
        <f t="shared" si="22"/>
        <v>1.0</v>
      </c>
    </row>
    <row r="105" spans="2:12" ht="15.75" customHeight="1">
      <c r="B105" s="108"/>
      <c r="C105" s="58" t="str">
        <f t="shared" si="16"/>
        <v>通所介護</v>
      </c>
      <c r="D105" s="165"/>
      <c r="E105" s="18" t="s">
        <v>46</v>
      </c>
      <c r="F105" s="42" t="n">
        <f>IF('(参考)1人(1回(日))1月あたり給付費(在宅)'!H129="","",'(参考)1人(1回(日))1月あたり給付費(在宅)'!H129)</f>
        <v>10.1</v>
      </c>
      <c r="G105" s="89" t="n">
        <f t="shared" si="23"/>
        <v>3.0</v>
      </c>
      <c r="H105" s="89" t="n">
        <f t="shared" si="23"/>
        <v>19.0</v>
      </c>
      <c r="I105" s="22" t="str">
        <f t="shared" si="19"/>
        <v>閾値の範囲内です。</v>
      </c>
      <c r="J105" s="11"/>
      <c r="K105" s="1" t="str">
        <f t="shared" si="17"/>
        <v/>
      </c>
      <c r="L105" s="1" t="n">
        <f t="shared" si="22"/>
        <v>1.0</v>
      </c>
    </row>
    <row r="106" spans="2:12" ht="15.75" customHeight="1">
      <c r="B106" s="108"/>
      <c r="C106" s="58" t="str">
        <f t="shared" si="16"/>
        <v>通所介護</v>
      </c>
      <c r="D106" s="165"/>
      <c r="E106" s="18" t="s">
        <v>47</v>
      </c>
      <c r="F106" s="42" t="n">
        <f>IF('(参考)1人(1回(日))1月あたり給付費(在宅)'!H130="","",'(参考)1人(1回(日))1月あたり給付費(在宅)'!H130)</f>
        <v>10.1</v>
      </c>
      <c r="G106" s="89" t="n">
        <f t="shared" si="23"/>
        <v>1.0</v>
      </c>
      <c r="H106" s="89" t="n">
        <f t="shared" si="23"/>
        <v>21.0</v>
      </c>
      <c r="I106" s="22" t="str">
        <f t="shared" si="19"/>
        <v>閾値の範囲内です。</v>
      </c>
      <c r="J106" s="11"/>
      <c r="K106" s="1" t="str">
        <f t="shared" si="17"/>
        <v/>
      </c>
      <c r="L106" s="1" t="n">
        <f t="shared" si="22"/>
        <v>1.0</v>
      </c>
    </row>
    <row r="107" spans="2:12" ht="15.75" customHeight="1">
      <c r="B107" s="108"/>
      <c r="C107" s="58" t="str">
        <f t="shared" si="16"/>
        <v>通所介護</v>
      </c>
      <c r="D107" s="165"/>
      <c r="E107" s="18" t="s">
        <v>48</v>
      </c>
      <c r="F107" s="42" t="n">
        <f>IF('(参考)1人(1回(日))1月あたり給付費(在宅)'!H131="","",'(参考)1人(1回(日))1月あたり給付費(在宅)'!H131)</f>
        <v>12.4</v>
      </c>
      <c r="G107" s="89" t="n">
        <f t="shared" si="23"/>
        <v>0.0</v>
      </c>
      <c r="H107" s="89" t="n">
        <f t="shared" si="23"/>
        <v>24.0</v>
      </c>
      <c r="I107" s="22" t="str">
        <f t="shared" si="19"/>
        <v>閾値の範囲内です。</v>
      </c>
      <c r="J107" s="11"/>
      <c r="K107" s="1" t="str">
        <f t="shared" si="17"/>
        <v/>
      </c>
      <c r="L107" s="1" t="n">
        <f t="shared" si="22"/>
        <v>1.0</v>
      </c>
    </row>
    <row r="108" spans="2:12" ht="15.75" customHeight="1">
      <c r="B108" s="108"/>
      <c r="C108" s="58" t="str">
        <f t="shared" si="16"/>
        <v>通所介護</v>
      </c>
      <c r="D108" s="166"/>
      <c r="E108" s="23" t="s">
        <v>49</v>
      </c>
      <c r="F108" s="29" t="n">
        <f>IF('(参考)1人(1回(日))1月あたり給付費(在宅)'!H132="","",'(参考)1人(1回(日))1月あたり給付費(在宅)'!H132)</f>
        <v>9.36951219512195</v>
      </c>
      <c r="G108" s="89" t="n">
        <f t="shared" si="23"/>
        <v>4.0</v>
      </c>
      <c r="H108" s="89" t="n">
        <f t="shared" si="23"/>
        <v>16.0</v>
      </c>
      <c r="I108" s="27" t="str">
        <f t="shared" si="19"/>
        <v>閾値の範囲内です。</v>
      </c>
      <c r="J108" s="11"/>
      <c r="K108" s="1" t="str">
        <f t="shared" si="17"/>
        <v/>
      </c>
    </row>
    <row r="109" spans="2:12" ht="15.75" customHeight="1">
      <c r="B109" s="108"/>
      <c r="C109" s="58" t="str">
        <f t="shared" si="16"/>
        <v>通所介護</v>
      </c>
      <c r="D109" s="165" t="s">
        <v>414</v>
      </c>
      <c r="E109" s="15" t="s">
        <v>44</v>
      </c>
      <c r="F109" s="41" t="n">
        <f>IF('(参考)1人(1回(日))1月あたり給付費(在宅)'!H133="","",'(参考)1人(1回(日))1月あたり給付費(在宅)'!H133)</f>
        <v>8.0</v>
      </c>
      <c r="G109" s="88" t="n">
        <f t="shared" si="23"/>
        <v>4.0</v>
      </c>
      <c r="H109" s="88" t="n">
        <f t="shared" si="23"/>
        <v>15.0</v>
      </c>
      <c r="I109" s="17" t="str">
        <f t="shared" si="19"/>
        <v>閾値の範囲内です。</v>
      </c>
      <c r="J109" s="11"/>
      <c r="K109" s="1" t="str">
        <f t="shared" si="17"/>
        <v/>
      </c>
      <c r="L109" s="1" t="n">
        <f t="shared" si="22"/>
        <v>1.0</v>
      </c>
    </row>
    <row r="110" spans="2:12" ht="15.75" customHeight="1">
      <c r="B110" s="108"/>
      <c r="C110" s="58" t="str">
        <f t="shared" si="16"/>
        <v>通所介護</v>
      </c>
      <c r="D110" s="165"/>
      <c r="E110" s="18" t="s">
        <v>45</v>
      </c>
      <c r="F110" s="42" t="n">
        <f>IF('(参考)1人(1回(日))1月あたり給付費(在宅)'!H134="","",'(参考)1人(1回(日))1月あたり給付費(在宅)'!H134)</f>
        <v>9.8</v>
      </c>
      <c r="G110" s="89" t="n">
        <f t="shared" si="23"/>
        <v>4.0</v>
      </c>
      <c r="H110" s="89" t="n">
        <f t="shared" si="23"/>
        <v>16.0</v>
      </c>
      <c r="I110" s="22" t="str">
        <f t="shared" si="19"/>
        <v>閾値の範囲内です。</v>
      </c>
      <c r="J110" s="11"/>
      <c r="K110" s="1" t="str">
        <f t="shared" si="17"/>
        <v/>
      </c>
      <c r="L110" s="1" t="n">
        <f t="shared" si="22"/>
        <v>1.0</v>
      </c>
    </row>
    <row r="111" spans="2:12" ht="15.75" customHeight="1">
      <c r="B111" s="108"/>
      <c r="C111" s="58" t="str">
        <f t="shared" si="16"/>
        <v>通所介護</v>
      </c>
      <c r="D111" s="165"/>
      <c r="E111" s="18" t="s">
        <v>46</v>
      </c>
      <c r="F111" s="42" t="n">
        <f>IF('(参考)1人(1回(日))1月あたり給付費(在宅)'!H135="","",'(参考)1人(1回(日))1月あたり給付費(在宅)'!H135)</f>
        <v>10.1</v>
      </c>
      <c r="G111" s="89" t="n">
        <f t="shared" si="23"/>
        <v>3.0</v>
      </c>
      <c r="H111" s="89" t="n">
        <f t="shared" si="23"/>
        <v>19.0</v>
      </c>
      <c r="I111" s="22" t="str">
        <f t="shared" si="19"/>
        <v>閾値の範囲内です。</v>
      </c>
      <c r="J111" s="11"/>
      <c r="K111" s="1" t="str">
        <f t="shared" si="17"/>
        <v/>
      </c>
      <c r="L111" s="1" t="n">
        <f t="shared" si="22"/>
        <v>1.0</v>
      </c>
    </row>
    <row r="112" spans="2:12" ht="15.75" customHeight="1">
      <c r="B112" s="108"/>
      <c r="C112" s="58" t="str">
        <f t="shared" ref="C112:C169" si="24">C111</f>
        <v>通所介護</v>
      </c>
      <c r="D112" s="165"/>
      <c r="E112" s="18" t="s">
        <v>47</v>
      </c>
      <c r="F112" s="42" t="n">
        <f>IF('(参考)1人(1回(日))1月あたり給付費(在宅)'!H136="","",'(参考)1人(1回(日))1月あたり給付費(在宅)'!H136)</f>
        <v>10.1</v>
      </c>
      <c r="G112" s="89" t="n">
        <f t="shared" si="23"/>
        <v>1.0</v>
      </c>
      <c r="H112" s="89" t="n">
        <f t="shared" si="23"/>
        <v>21.0</v>
      </c>
      <c r="I112" s="22" t="str">
        <f t="shared" si="19"/>
        <v>閾値の範囲内です。</v>
      </c>
      <c r="J112" s="11"/>
      <c r="K112" s="1" t="str">
        <f t="shared" si="17"/>
        <v/>
      </c>
      <c r="L112" s="1" t="n">
        <f t="shared" si="22"/>
        <v>1.0</v>
      </c>
    </row>
    <row r="113" spans="2:12" ht="15.75" customHeight="1">
      <c r="B113" s="108"/>
      <c r="C113" s="58" t="str">
        <f t="shared" si="24"/>
        <v>通所介護</v>
      </c>
      <c r="D113" s="165"/>
      <c r="E113" s="18" t="s">
        <v>48</v>
      </c>
      <c r="F113" s="42" t="n">
        <f>IF('(参考)1人(1回(日))1月あたり給付費(在宅)'!H137="","",'(参考)1人(1回(日))1月あたり給付費(在宅)'!H137)</f>
        <v>12.4</v>
      </c>
      <c r="G113" s="89" t="n">
        <f t="shared" si="23"/>
        <v>0.0</v>
      </c>
      <c r="H113" s="89" t="n">
        <f t="shared" si="23"/>
        <v>24.0</v>
      </c>
      <c r="I113" s="22" t="str">
        <f t="shared" si="19"/>
        <v>閾値の範囲内です。</v>
      </c>
      <c r="J113" s="11"/>
      <c r="K113" s="1" t="str">
        <f t="shared" si="17"/>
        <v/>
      </c>
      <c r="L113" s="1" t="n">
        <f t="shared" si="22"/>
        <v>1.0</v>
      </c>
    </row>
    <row r="114" spans="2:12" ht="15.75" customHeight="1">
      <c r="B114" s="109"/>
      <c r="C114" s="58" t="str">
        <f t="shared" si="24"/>
        <v>通所介護</v>
      </c>
      <c r="D114" s="166"/>
      <c r="E114" s="23" t="s">
        <v>49</v>
      </c>
      <c r="F114" s="29" t="n">
        <f>IF('(参考)1人(1回(日))1月あたり給付費(在宅)'!H138="","",'(参考)1人(1回(日))1月あたり給付費(在宅)'!H138)</f>
        <v>9.373456790123457</v>
      </c>
      <c r="G114" s="89" t="n">
        <f t="shared" si="23"/>
        <v>4.0</v>
      </c>
      <c r="H114" s="89" t="n">
        <f t="shared" si="23"/>
        <v>16.0</v>
      </c>
      <c r="I114" s="27" t="str">
        <f t="shared" si="19"/>
        <v>閾値の範囲内です。</v>
      </c>
      <c r="J114" s="11"/>
      <c r="K114" s="1" t="str">
        <f t="shared" si="17"/>
        <v/>
      </c>
    </row>
    <row r="115" spans="2:12" ht="15.75" customHeight="1">
      <c r="B115" s="107">
        <v>7</v>
      </c>
      <c r="C115" s="7" t="s">
        <v>10</v>
      </c>
      <c r="D115" s="165" t="s">
        <v>416</v>
      </c>
      <c r="E115" s="15" t="s">
        <v>44</v>
      </c>
      <c r="F115" s="41" t="n">
        <f>IF('(参考)1人(1回(日))1月あたり給付費(在宅)'!H141="","",'(参考)1人(1回(日))1月あたり給付費(在宅)'!H141)</f>
        <v>6.4</v>
      </c>
      <c r="G115" s="88" t="n">
        <f>IF(data!I302&lt;0,0,data!I302)</f>
        <v>3.0</v>
      </c>
      <c r="H115" s="88" t="n">
        <f>IF(data!J302&lt;0,0,data!J302)</f>
        <v>12.0</v>
      </c>
      <c r="I115" s="17" t="str">
        <f t="shared" si="19"/>
        <v>閾値の範囲内です。</v>
      </c>
      <c r="J115" s="11"/>
      <c r="K115" s="1" t="str">
        <f t="shared" si="17"/>
        <v/>
      </c>
      <c r="L115" s="1" t="n">
        <f t="shared" si="22"/>
        <v>1.0</v>
      </c>
    </row>
    <row r="116" spans="2:12" ht="15.75" customHeight="1">
      <c r="B116" s="108"/>
      <c r="C116" s="58" t="str">
        <f t="shared" si="24"/>
        <v>通所リハビリテーション</v>
      </c>
      <c r="D116" s="165"/>
      <c r="E116" s="18" t="s">
        <v>45</v>
      </c>
      <c r="F116" s="42" t="n">
        <f>IF('(参考)1人(1回(日))1月あたり給付費(在宅)'!H142="","",'(参考)1人(1回(日))1月あたり給付費(在宅)'!H142)</f>
        <v>5.6</v>
      </c>
      <c r="G116" s="89" t="n">
        <f>IF(data!I303&lt;0,0,data!I303)</f>
        <v>3.0</v>
      </c>
      <c r="H116" s="89" t="n">
        <f>IF(data!J303&lt;0,0,data!J303)</f>
        <v>13.0</v>
      </c>
      <c r="I116" s="22" t="str">
        <f t="shared" si="19"/>
        <v>閾値の範囲内です。</v>
      </c>
      <c r="J116" s="11"/>
      <c r="K116" s="1" t="str">
        <f t="shared" si="17"/>
        <v/>
      </c>
      <c r="L116" s="1" t="n">
        <f t="shared" si="22"/>
        <v>1.0</v>
      </c>
    </row>
    <row r="117" spans="2:12" ht="15.75" customHeight="1">
      <c r="B117" s="108"/>
      <c r="C117" s="58" t="str">
        <f t="shared" si="24"/>
        <v>通所リハビリテーション</v>
      </c>
      <c r="D117" s="165"/>
      <c r="E117" s="18" t="s">
        <v>46</v>
      </c>
      <c r="F117" s="42" t="n">
        <f>IF('(参考)1人(1回(日))1月あたり給付費(在宅)'!H143="","",'(参考)1人(1回(日))1月あたり給付費(在宅)'!H143)</f>
        <v>8.5</v>
      </c>
      <c r="G117" s="89" t="n">
        <f>IF(data!I304&lt;0,0,data!I304)</f>
        <v>3.0</v>
      </c>
      <c r="H117" s="89" t="n">
        <f>IF(data!J304&lt;0,0,data!J304)</f>
        <v>14.0</v>
      </c>
      <c r="I117" s="22" t="str">
        <f t="shared" si="19"/>
        <v>閾値の範囲内です。</v>
      </c>
      <c r="J117" s="11"/>
      <c r="K117" s="1" t="str">
        <f t="shared" si="17"/>
        <v/>
      </c>
      <c r="L117" s="1" t="n">
        <f t="shared" si="22"/>
        <v>1.0</v>
      </c>
    </row>
    <row r="118" spans="2:12" ht="15.75" customHeight="1">
      <c r="B118" s="108"/>
      <c r="C118" s="58" t="str">
        <f t="shared" si="24"/>
        <v>通所リハビリテーション</v>
      </c>
      <c r="D118" s="165"/>
      <c r="E118" s="18" t="s">
        <v>47</v>
      </c>
      <c r="F118" s="42" t="n">
        <f>IF('(参考)1人(1回(日))1月あたり給付費(在宅)'!H144="","",'(参考)1人(1回(日))1月あたり給付費(在宅)'!H144)</f>
        <v>7.3</v>
      </c>
      <c r="G118" s="89" t="n">
        <f>IF(data!I305&lt;0,0,data!I305)</f>
        <v>2.0</v>
      </c>
      <c r="H118" s="89" t="n">
        <f>IF(data!J305&lt;0,0,data!J305)</f>
        <v>14.0</v>
      </c>
      <c r="I118" s="22" t="str">
        <f t="shared" si="19"/>
        <v>閾値の範囲内です。</v>
      </c>
      <c r="J118" s="11"/>
      <c r="K118" s="1" t="str">
        <f t="shared" si="17"/>
        <v/>
      </c>
      <c r="L118" s="1" t="n">
        <f t="shared" si="22"/>
        <v>1.0</v>
      </c>
    </row>
    <row r="119" spans="2:12" ht="15.75" customHeight="1">
      <c r="B119" s="108"/>
      <c r="C119" s="58" t="str">
        <f t="shared" si="24"/>
        <v>通所リハビリテーション</v>
      </c>
      <c r="D119" s="165"/>
      <c r="E119" s="18" t="s">
        <v>48</v>
      </c>
      <c r="F119" s="42" t="n">
        <f>IF('(参考)1人(1回(日))1月あたり給付費(在宅)'!H145="","",'(参考)1人(1回(日))1月あたり給付費(在宅)'!H145)</f>
        <v>10.4</v>
      </c>
      <c r="G119" s="89" t="n">
        <f>IF(data!I306&lt;0,0,data!I306)</f>
        <v>0.0</v>
      </c>
      <c r="H119" s="89" t="n">
        <f>IF(data!J306&lt;0,0,data!J306)</f>
        <v>15.0</v>
      </c>
      <c r="I119" s="22" t="str">
        <f t="shared" si="19"/>
        <v>閾値の範囲内です。</v>
      </c>
      <c r="J119" s="11"/>
      <c r="K119" s="1" t="str">
        <f t="shared" si="17"/>
        <v/>
      </c>
      <c r="L119" s="1" t="n">
        <f t="shared" si="22"/>
        <v>1.0</v>
      </c>
    </row>
    <row r="120" spans="2:12" ht="15.75" customHeight="1">
      <c r="B120" s="108"/>
      <c r="C120" s="58" t="str">
        <f t="shared" si="24"/>
        <v>通所リハビリテーション</v>
      </c>
      <c r="D120" s="166"/>
      <c r="E120" s="23" t="s">
        <v>95</v>
      </c>
      <c r="F120" s="29" t="n">
        <f>IF('(参考)1人(1回(日))1月あたり給付費(在宅)'!H146="","",'(参考)1人(1回(日))1月あたり給付費(在宅)'!H146)</f>
        <v>7.03225806451613</v>
      </c>
      <c r="G120" s="90" t="n">
        <f>IF(data!I307&lt;0,0,data!I307)</f>
        <v>3.0</v>
      </c>
      <c r="H120" s="90" t="n">
        <f>IF(data!J307&lt;0,0,data!J307)</f>
        <v>12.0</v>
      </c>
      <c r="I120" s="27" t="str">
        <f t="shared" si="19"/>
        <v>閾値の範囲内です。</v>
      </c>
      <c r="J120" s="11"/>
      <c r="K120" s="1" t="str">
        <f t="shared" si="17"/>
        <v/>
      </c>
    </row>
    <row r="121" spans="2:12" ht="15.75" customHeight="1">
      <c r="B121" s="108"/>
      <c r="C121" s="58" t="str">
        <f t="shared" si="24"/>
        <v>通所リハビリテーション</v>
      </c>
      <c r="D121" s="165" t="s">
        <v>415</v>
      </c>
      <c r="E121" s="15" t="s">
        <v>44</v>
      </c>
      <c r="F121" s="41" t="n">
        <f>IF('(参考)1人(1回(日))1月あたり給付費(在宅)'!H149="","",'(参考)1人(1回(日))1月あたり給付費(在宅)'!H149)</f>
        <v>6.4</v>
      </c>
      <c r="G121" s="88" t="n">
        <f t="shared" ref="G121:H132" si="25">G115</f>
        <v>3.0</v>
      </c>
      <c r="H121" s="88" t="n">
        <f t="shared" si="25"/>
        <v>12.0</v>
      </c>
      <c r="I121" s="17" t="str">
        <f t="shared" si="19"/>
        <v>閾値の範囲内です。</v>
      </c>
      <c r="J121" s="11"/>
      <c r="K121" s="1" t="str">
        <f t="shared" si="17"/>
        <v/>
      </c>
      <c r="L121" s="1" t="n">
        <f t="shared" si="22"/>
        <v>1.0</v>
      </c>
    </row>
    <row r="122" spans="2:12" ht="15.75" customHeight="1">
      <c r="B122" s="108"/>
      <c r="C122" s="58" t="str">
        <f t="shared" si="24"/>
        <v>通所リハビリテーション</v>
      </c>
      <c r="D122" s="165"/>
      <c r="E122" s="18" t="s">
        <v>45</v>
      </c>
      <c r="F122" s="42" t="n">
        <f>IF('(参考)1人(1回(日))1月あたり給付費(在宅)'!H150="","",'(参考)1人(1回(日))1月あたり給付費(在宅)'!H150)</f>
        <v>5.6</v>
      </c>
      <c r="G122" s="89" t="n">
        <f t="shared" si="25"/>
        <v>3.0</v>
      </c>
      <c r="H122" s="89" t="n">
        <f t="shared" si="25"/>
        <v>13.0</v>
      </c>
      <c r="I122" s="22" t="str">
        <f t="shared" si="19"/>
        <v>閾値の範囲内です。</v>
      </c>
      <c r="J122" s="11"/>
      <c r="K122" s="1" t="str">
        <f t="shared" si="17"/>
        <v/>
      </c>
      <c r="L122" s="1" t="n">
        <f t="shared" si="22"/>
        <v>1.0</v>
      </c>
    </row>
    <row r="123" spans="2:12" ht="15.75" customHeight="1">
      <c r="B123" s="108"/>
      <c r="C123" s="58" t="str">
        <f t="shared" si="24"/>
        <v>通所リハビリテーション</v>
      </c>
      <c r="D123" s="165"/>
      <c r="E123" s="18" t="s">
        <v>46</v>
      </c>
      <c r="F123" s="42" t="n">
        <f>IF('(参考)1人(1回(日))1月あたり給付費(在宅)'!H151="","",'(参考)1人(1回(日))1月あたり給付費(在宅)'!H151)</f>
        <v>8.5</v>
      </c>
      <c r="G123" s="89" t="n">
        <f t="shared" si="25"/>
        <v>3.0</v>
      </c>
      <c r="H123" s="89" t="n">
        <f t="shared" si="25"/>
        <v>14.0</v>
      </c>
      <c r="I123" s="22" t="str">
        <f t="shared" si="19"/>
        <v>閾値の範囲内です。</v>
      </c>
      <c r="J123" s="11"/>
      <c r="K123" s="1" t="str">
        <f t="shared" si="17"/>
        <v/>
      </c>
      <c r="L123" s="1" t="n">
        <f t="shared" si="22"/>
        <v>1.0</v>
      </c>
    </row>
    <row r="124" spans="2:12" ht="15.75" customHeight="1">
      <c r="B124" s="108"/>
      <c r="C124" s="58" t="str">
        <f t="shared" si="24"/>
        <v>通所リハビリテーション</v>
      </c>
      <c r="D124" s="165"/>
      <c r="E124" s="18" t="s">
        <v>47</v>
      </c>
      <c r="F124" s="42" t="n">
        <f>IF('(参考)1人(1回(日))1月あたり給付費(在宅)'!H152="","",'(参考)1人(1回(日))1月あたり給付費(在宅)'!H152)</f>
        <v>7.3</v>
      </c>
      <c r="G124" s="89" t="n">
        <f t="shared" si="25"/>
        <v>2.0</v>
      </c>
      <c r="H124" s="89" t="n">
        <f t="shared" si="25"/>
        <v>14.0</v>
      </c>
      <c r="I124" s="22" t="str">
        <f t="shared" si="19"/>
        <v>閾値の範囲内です。</v>
      </c>
      <c r="J124" s="11"/>
      <c r="K124" s="1" t="str">
        <f t="shared" si="17"/>
        <v/>
      </c>
      <c r="L124" s="1" t="n">
        <f t="shared" si="22"/>
        <v>1.0</v>
      </c>
    </row>
    <row r="125" spans="2:12" ht="15.75" customHeight="1">
      <c r="B125" s="108"/>
      <c r="C125" s="58" t="str">
        <f t="shared" si="24"/>
        <v>通所リハビリテーション</v>
      </c>
      <c r="D125" s="165"/>
      <c r="E125" s="18" t="s">
        <v>48</v>
      </c>
      <c r="F125" s="42" t="n">
        <f>IF('(参考)1人(1回(日))1月あたり給付費(在宅)'!H153="","",'(参考)1人(1回(日))1月あたり給付費(在宅)'!H153)</f>
        <v>10.4</v>
      </c>
      <c r="G125" s="89" t="n">
        <f t="shared" si="25"/>
        <v>0.0</v>
      </c>
      <c r="H125" s="89" t="n">
        <f t="shared" si="25"/>
        <v>15.0</v>
      </c>
      <c r="I125" s="22" t="str">
        <f t="shared" si="19"/>
        <v>閾値の範囲内です。</v>
      </c>
      <c r="J125" s="11"/>
      <c r="K125" s="1" t="str">
        <f t="shared" si="17"/>
        <v/>
      </c>
      <c r="L125" s="1" t="n">
        <f t="shared" si="22"/>
        <v>1.0</v>
      </c>
    </row>
    <row r="126" spans="2:12" ht="15.75" customHeight="1">
      <c r="B126" s="108"/>
      <c r="C126" s="58" t="str">
        <f t="shared" si="24"/>
        <v>通所リハビリテーション</v>
      </c>
      <c r="D126" s="166"/>
      <c r="E126" s="23" t="s">
        <v>95</v>
      </c>
      <c r="F126" s="29" t="n">
        <f>IF('(参考)1人(1回(日))1月あたり給付費(在宅)'!H154="","",'(参考)1人(1回(日))1月あたり給付費(在宅)'!H154)</f>
        <v>7.023333333333334</v>
      </c>
      <c r="G126" s="89" t="n">
        <f t="shared" si="25"/>
        <v>3.0</v>
      </c>
      <c r="H126" s="89" t="n">
        <f t="shared" si="25"/>
        <v>12.0</v>
      </c>
      <c r="I126" s="27" t="str">
        <f t="shared" si="19"/>
        <v>閾値の範囲内です。</v>
      </c>
      <c r="J126" s="11"/>
      <c r="K126" s="1" t="str">
        <f t="shared" si="17"/>
        <v/>
      </c>
    </row>
    <row r="127" spans="2:12" ht="15.75" customHeight="1">
      <c r="B127" s="108"/>
      <c r="C127" s="58" t="str">
        <f t="shared" si="24"/>
        <v>通所リハビリテーション</v>
      </c>
      <c r="D127" s="165" t="s">
        <v>414</v>
      </c>
      <c r="E127" s="15" t="s">
        <v>44</v>
      </c>
      <c r="F127" s="41" t="n">
        <f>IF('(参考)1人(1回(日))1月あたり給付費(在宅)'!H157="","",'(参考)1人(1回(日))1月あたり給付費(在宅)'!H157)</f>
        <v>6.4</v>
      </c>
      <c r="G127" s="88" t="n">
        <f t="shared" si="25"/>
        <v>3.0</v>
      </c>
      <c r="H127" s="88" t="n">
        <f t="shared" si="25"/>
        <v>12.0</v>
      </c>
      <c r="I127" s="17" t="str">
        <f t="shared" si="19"/>
        <v>閾値の範囲内です。</v>
      </c>
      <c r="J127" s="11"/>
      <c r="K127" s="1" t="str">
        <f t="shared" si="17"/>
        <v/>
      </c>
      <c r="L127" s="1" t="n">
        <f t="shared" si="22"/>
        <v>1.0</v>
      </c>
    </row>
    <row r="128" spans="2:12" ht="15.75" customHeight="1">
      <c r="B128" s="108"/>
      <c r="C128" s="58" t="str">
        <f t="shared" si="24"/>
        <v>通所リハビリテーション</v>
      </c>
      <c r="D128" s="165"/>
      <c r="E128" s="18" t="s">
        <v>45</v>
      </c>
      <c r="F128" s="42" t="n">
        <f>IF('(参考)1人(1回(日))1月あたり給付費(在宅)'!H158="","",'(参考)1人(1回(日))1月あたり給付費(在宅)'!H158)</f>
        <v>5.6</v>
      </c>
      <c r="G128" s="89" t="n">
        <f t="shared" si="25"/>
        <v>3.0</v>
      </c>
      <c r="H128" s="89" t="n">
        <f t="shared" si="25"/>
        <v>13.0</v>
      </c>
      <c r="I128" s="22" t="str">
        <f t="shared" si="19"/>
        <v>閾値の範囲内です。</v>
      </c>
      <c r="J128" s="11"/>
      <c r="K128" s="1" t="str">
        <f t="shared" si="17"/>
        <v/>
      </c>
      <c r="L128" s="1" t="n">
        <f t="shared" si="22"/>
        <v>1.0</v>
      </c>
    </row>
    <row r="129" spans="2:12" ht="15.75" customHeight="1">
      <c r="B129" s="108"/>
      <c r="C129" s="58" t="str">
        <f t="shared" si="24"/>
        <v>通所リハビリテーション</v>
      </c>
      <c r="D129" s="165"/>
      <c r="E129" s="18" t="s">
        <v>46</v>
      </c>
      <c r="F129" s="42" t="n">
        <f>IF('(参考)1人(1回(日))1月あたり給付費(在宅)'!H159="","",'(参考)1人(1回(日))1月あたり給付費(在宅)'!H159)</f>
        <v>8.5</v>
      </c>
      <c r="G129" s="89" t="n">
        <f t="shared" si="25"/>
        <v>3.0</v>
      </c>
      <c r="H129" s="89" t="n">
        <f t="shared" si="25"/>
        <v>14.0</v>
      </c>
      <c r="I129" s="22" t="str">
        <f t="shared" si="19"/>
        <v>閾値の範囲内です。</v>
      </c>
      <c r="J129" s="11"/>
      <c r="K129" s="1" t="str">
        <f t="shared" si="17"/>
        <v/>
      </c>
      <c r="L129" s="1" t="n">
        <f t="shared" si="22"/>
        <v>1.0</v>
      </c>
    </row>
    <row r="130" spans="2:12" ht="15.75" customHeight="1">
      <c r="B130" s="108"/>
      <c r="C130" s="58" t="str">
        <f t="shared" si="24"/>
        <v>通所リハビリテーション</v>
      </c>
      <c r="D130" s="165"/>
      <c r="E130" s="18" t="s">
        <v>47</v>
      </c>
      <c r="F130" s="42" t="n">
        <f>IF('(参考)1人(1回(日))1月あたり給付費(在宅)'!H160="","",'(参考)1人(1回(日))1月あたり給付費(在宅)'!H160)</f>
        <v>7.3</v>
      </c>
      <c r="G130" s="89" t="n">
        <f t="shared" si="25"/>
        <v>2.0</v>
      </c>
      <c r="H130" s="89" t="n">
        <f t="shared" si="25"/>
        <v>14.0</v>
      </c>
      <c r="I130" s="22" t="str">
        <f t="shared" si="19"/>
        <v>閾値の範囲内です。</v>
      </c>
      <c r="J130" s="11"/>
      <c r="K130" s="1" t="str">
        <f t="shared" si="17"/>
        <v/>
      </c>
      <c r="L130" s="1" t="n">
        <f t="shared" si="22"/>
        <v>1.0</v>
      </c>
    </row>
    <row r="131" spans="2:12" ht="15.75" customHeight="1">
      <c r="B131" s="108"/>
      <c r="C131" s="58" t="str">
        <f t="shared" si="24"/>
        <v>通所リハビリテーション</v>
      </c>
      <c r="D131" s="165"/>
      <c r="E131" s="18" t="s">
        <v>48</v>
      </c>
      <c r="F131" s="42" t="n">
        <f>IF('(参考)1人(1回(日))1月あたり給付費(在宅)'!H161="","",'(参考)1人(1回(日))1月あたり給付費(在宅)'!H161)</f>
        <v>10.4</v>
      </c>
      <c r="G131" s="89" t="n">
        <f t="shared" si="25"/>
        <v>0.0</v>
      </c>
      <c r="H131" s="89" t="n">
        <f t="shared" si="25"/>
        <v>15.0</v>
      </c>
      <c r="I131" s="22" t="str">
        <f t="shared" si="19"/>
        <v>閾値の範囲内です。</v>
      </c>
      <c r="J131" s="11"/>
      <c r="K131" s="1" t="str">
        <f t="shared" si="17"/>
        <v/>
      </c>
      <c r="L131" s="1" t="n">
        <f t="shared" si="22"/>
        <v>1.0</v>
      </c>
    </row>
    <row r="132" spans="2:12" ht="15.75" customHeight="1">
      <c r="B132" s="109"/>
      <c r="C132" s="59" t="str">
        <f t="shared" si="24"/>
        <v>通所リハビリテーション</v>
      </c>
      <c r="D132" s="166"/>
      <c r="E132" s="23" t="s">
        <v>95</v>
      </c>
      <c r="F132" s="29" t="n">
        <f>IF('(参考)1人(1回(日))1月あたり給付費(在宅)'!H162="","",'(参考)1人(1回(日))1月あたり給付費(在宅)'!H162)</f>
        <v>7.023333333333334</v>
      </c>
      <c r="G132" s="90" t="n">
        <f t="shared" si="25"/>
        <v>3.0</v>
      </c>
      <c r="H132" s="90" t="n">
        <f t="shared" si="25"/>
        <v>12.0</v>
      </c>
      <c r="I132" s="27" t="str">
        <f t="shared" si="19"/>
        <v>閾値の範囲内です。</v>
      </c>
      <c r="J132" s="11"/>
      <c r="K132" s="1" t="str">
        <f t="shared" si="17"/>
        <v/>
      </c>
    </row>
    <row r="133" spans="2:12" ht="15.75" customHeight="1">
      <c r="B133" s="107">
        <v>8</v>
      </c>
      <c r="C133" s="7" t="s">
        <v>11</v>
      </c>
      <c r="D133" s="164" t="s">
        <v>416</v>
      </c>
      <c r="E133" s="15" t="s">
        <v>50</v>
      </c>
      <c r="F133" s="82" t="n">
        <f>IF('(参考)1人(1回(日))1月あたり給付費(在宅)'!H163="","",'(参考)1人(1回(日))1月あたり給付費(在宅)'!H163)</f>
        <v>0.0</v>
      </c>
      <c r="G133" s="92" t="n">
        <f>IF(data!I308&lt;0,0,data!I308)</f>
        <v>0.0</v>
      </c>
      <c r="H133" s="92" t="n">
        <f>IF(data!J308&lt;0,0,data!J308)</f>
        <v>10.0</v>
      </c>
      <c r="I133" s="32" t="str">
        <f t="shared" ref="I133:I164" si="26">IF(OR(F133="",F133="－"),"",IF(F133&lt;G133,"下限値を"&amp;TEXT(ROUND(G133-F133,1),"#,##0.0日")&amp;"下回っています。",IF(F133&gt;H133,"上限値を"&amp;TEXT(ROUND(F133-H133,1),"#,##0.0日")&amp;"上回っています。","閾値の範囲内です。")))</f>
        <v>閾値の範囲内です。</v>
      </c>
      <c r="J133" s="11"/>
      <c r="K133" s="1" t="str">
        <f t="shared" si="17"/>
        <v/>
      </c>
      <c r="L133" s="1" t="n">
        <f t="shared" si="22"/>
        <v>1.0</v>
      </c>
    </row>
    <row r="134" spans="2:12" ht="15.75" customHeight="1">
      <c r="B134" s="108"/>
      <c r="C134" s="58" t="str">
        <f t="shared" si="24"/>
        <v>短期入所生活介護</v>
      </c>
      <c r="D134" s="165"/>
      <c r="E134" s="30" t="s">
        <v>51</v>
      </c>
      <c r="F134" s="83" t="n">
        <f>IF('(参考)1人(1回(日))1月あたり給付費(在宅)'!H164="","",'(参考)1人(1回(日))1月あたり給付費(在宅)'!H164)</f>
        <v>4.6</v>
      </c>
      <c r="G134" s="93" t="n">
        <f>IF(data!I309&lt;0,0,data!I309)</f>
        <v>0.0</v>
      </c>
      <c r="H134" s="93" t="n">
        <f>IF(data!J309&lt;0,0,data!J309)</f>
        <v>12.0</v>
      </c>
      <c r="I134" s="33" t="str">
        <f t="shared" si="26"/>
        <v>閾値の範囲内です。</v>
      </c>
      <c r="J134" s="11"/>
      <c r="K134" s="1" t="str">
        <f t="shared" si="17"/>
        <v/>
      </c>
      <c r="L134" s="1" t="n">
        <f t="shared" si="22"/>
        <v>1.0</v>
      </c>
    </row>
    <row r="135" spans="2:12" ht="15.75" customHeight="1">
      <c r="B135" s="108"/>
      <c r="C135" s="58" t="str">
        <f t="shared" si="24"/>
        <v>短期入所生活介護</v>
      </c>
      <c r="D135" s="165"/>
      <c r="E135" s="18" t="s">
        <v>44</v>
      </c>
      <c r="F135" s="84" t="n">
        <f>IF('(参考)1人(1回(日))1月あたり給付費(在宅)'!H165="","",'(参考)1人(1回(日))1月あたり給付費(在宅)'!H165)</f>
        <v>9.0</v>
      </c>
      <c r="G135" s="94" t="n">
        <f>IF(data!I310&lt;0,0,data!I310)</f>
        <v>0.0</v>
      </c>
      <c r="H135" s="94" t="n">
        <f>IF(data!J310&lt;0,0,data!J310)</f>
        <v>16.0</v>
      </c>
      <c r="I135" s="22" t="str">
        <f t="shared" si="26"/>
        <v>閾値の範囲内です。</v>
      </c>
      <c r="J135" s="11"/>
      <c r="K135" s="1" t="str">
        <f t="shared" si="17"/>
        <v/>
      </c>
      <c r="L135" s="1" t="n">
        <f t="shared" si="22"/>
        <v>1.0</v>
      </c>
    </row>
    <row r="136" spans="2:12" ht="15.75" customHeight="1">
      <c r="B136" s="108"/>
      <c r="C136" s="58" t="str">
        <f t="shared" si="24"/>
        <v>短期入所生活介護</v>
      </c>
      <c r="D136" s="165"/>
      <c r="E136" s="18" t="s">
        <v>45</v>
      </c>
      <c r="F136" s="84" t="n">
        <f>IF('(参考)1人(1回(日))1月あたり給付費(在宅)'!H166="","",'(参考)1人(1回(日))1月あたり給付費(在宅)'!H166)</f>
        <v>7.3</v>
      </c>
      <c r="G136" s="94" t="n">
        <f>IF(data!I311&lt;0,0,data!I311)</f>
        <v>0.0</v>
      </c>
      <c r="H136" s="94" t="n">
        <f>IF(data!J311&lt;0,0,data!J311)</f>
        <v>20.0</v>
      </c>
      <c r="I136" s="22" t="str">
        <f t="shared" si="26"/>
        <v>閾値の範囲内です。</v>
      </c>
      <c r="J136" s="11"/>
      <c r="K136" s="1" t="str">
        <f t="shared" ref="K136:K199" si="27">IF(OR(F136="－",F136="",AND(G136="－",H136="－")),"",IF(OR(F136&lt;G136,F136&gt;H136),1,""))</f>
        <v/>
      </c>
      <c r="L136" s="1" t="n">
        <f t="shared" si="22"/>
        <v>1.0</v>
      </c>
    </row>
    <row r="137" spans="2:12" ht="15.75" customHeight="1">
      <c r="B137" s="108"/>
      <c r="C137" s="58" t="str">
        <f t="shared" si="24"/>
        <v>短期入所生活介護</v>
      </c>
      <c r="D137" s="165"/>
      <c r="E137" s="18" t="s">
        <v>46</v>
      </c>
      <c r="F137" s="84" t="n">
        <f>IF('(参考)1人(1回(日))1月あたり給付費(在宅)'!H167="","",'(参考)1人(1回(日))1月あたり給付費(在宅)'!H167)</f>
        <v>10.7</v>
      </c>
      <c r="G137" s="94" t="n">
        <f>IF(data!I312&lt;0,0,data!I312)</f>
        <v>0.0</v>
      </c>
      <c r="H137" s="94" t="n">
        <f>IF(data!J312&lt;0,0,data!J312)</f>
        <v>29.0</v>
      </c>
      <c r="I137" s="22" t="str">
        <f t="shared" si="26"/>
        <v>閾値の範囲内です。</v>
      </c>
      <c r="J137" s="11"/>
      <c r="K137" s="1" t="str">
        <f t="shared" si="27"/>
        <v/>
      </c>
      <c r="L137" s="1" t="n">
        <f t="shared" si="22"/>
        <v>1.0</v>
      </c>
    </row>
    <row r="138" spans="2:12" ht="15.75" customHeight="1">
      <c r="B138" s="108"/>
      <c r="C138" s="58" t="str">
        <f t="shared" si="24"/>
        <v>短期入所生活介護</v>
      </c>
      <c r="D138" s="165"/>
      <c r="E138" s="18" t="s">
        <v>47</v>
      </c>
      <c r="F138" s="84" t="n">
        <f>IF('(参考)1人(1回(日))1月あたり給付費(在宅)'!H168="","",'(参考)1人(1回(日))1月あたり給付費(在宅)'!H168)</f>
        <v>12.8</v>
      </c>
      <c r="G138" s="94" t="n">
        <f>IF(data!I313&lt;0,0,data!I313)</f>
        <v>0.0</v>
      </c>
      <c r="H138" s="94" t="n">
        <f>IF(data!J313&lt;0,0,data!J313)</f>
        <v>31.0</v>
      </c>
      <c r="I138" s="22" t="str">
        <f t="shared" si="26"/>
        <v>閾値の範囲内です。</v>
      </c>
      <c r="J138" s="11"/>
      <c r="K138" s="1" t="str">
        <f t="shared" si="27"/>
        <v/>
      </c>
      <c r="L138" s="1" t="n">
        <f t="shared" si="22"/>
        <v>1.0</v>
      </c>
    </row>
    <row r="139" spans="2:12" ht="15.75" customHeight="1">
      <c r="B139" s="108"/>
      <c r="C139" s="58" t="str">
        <f t="shared" si="24"/>
        <v>短期入所生活介護</v>
      </c>
      <c r="D139" s="165"/>
      <c r="E139" s="18" t="s">
        <v>48</v>
      </c>
      <c r="F139" s="84" t="n">
        <f>IF('(参考)1人(1回(日))1月あたり給付費(在宅)'!H169="","",'(参考)1人(1回(日))1月あたり給付費(在宅)'!H169)</f>
        <v>5.8</v>
      </c>
      <c r="G139" s="94" t="n">
        <f>IF(data!I314&lt;0,0,data!I314)</f>
        <v>0.0</v>
      </c>
      <c r="H139" s="94" t="n">
        <f>IF(data!J314&lt;0,0,data!J314)</f>
        <v>29.0</v>
      </c>
      <c r="I139" s="22" t="str">
        <f t="shared" si="26"/>
        <v>閾値の範囲内です。</v>
      </c>
      <c r="J139" s="11"/>
      <c r="K139" s="1" t="str">
        <f t="shared" si="27"/>
        <v/>
      </c>
      <c r="L139" s="1" t="n">
        <f t="shared" si="22"/>
        <v>1.0</v>
      </c>
    </row>
    <row r="140" spans="2:12" ht="15.75" customHeight="1">
      <c r="B140" s="108"/>
      <c r="C140" s="58" t="str">
        <f t="shared" si="24"/>
        <v>短期入所生活介護</v>
      </c>
      <c r="D140" s="166"/>
      <c r="E140" s="23" t="s">
        <v>49</v>
      </c>
      <c r="F140" s="85" t="n">
        <f>IF('(参考)1人(1回(日))1月あたり給付費(在宅)'!H170="","",'(参考)1人(1回(日))1月あたり給付費(在宅)'!H170)</f>
        <v>10.463934426229507</v>
      </c>
      <c r="G140" s="95" t="n">
        <f>IF(data!I315&lt;0,0,data!I315)</f>
        <v>0.0</v>
      </c>
      <c r="H140" s="95" t="n">
        <f>IF(data!J315&lt;0,0,data!J315)</f>
        <v>23.0</v>
      </c>
      <c r="I140" s="27" t="str">
        <f t="shared" si="26"/>
        <v>閾値の範囲内です。</v>
      </c>
      <c r="J140" s="11"/>
      <c r="K140" s="1" t="str">
        <f t="shared" si="27"/>
        <v/>
      </c>
    </row>
    <row r="141" spans="2:12" ht="15.75" customHeight="1">
      <c r="B141" s="108"/>
      <c r="C141" s="58" t="str">
        <f t="shared" si="24"/>
        <v>短期入所生活介護</v>
      </c>
      <c r="D141" s="164" t="s">
        <v>415</v>
      </c>
      <c r="E141" s="15" t="s">
        <v>50</v>
      </c>
      <c r="F141" s="82" t="n">
        <f>IF('(参考)1人(1回(日))1月あたり給付費(在宅)'!H171="","",'(参考)1人(1回(日))1月あたり給付費(在宅)'!H171)</f>
        <v>0.0</v>
      </c>
      <c r="G141" s="92" t="n">
        <f t="shared" ref="G141:H156" si="28">G133</f>
        <v>0.0</v>
      </c>
      <c r="H141" s="92" t="n">
        <f t="shared" si="28"/>
        <v>10.0</v>
      </c>
      <c r="I141" s="32" t="str">
        <f t="shared" si="26"/>
        <v>閾値の範囲内です。</v>
      </c>
      <c r="J141" s="11"/>
      <c r="K141" s="1" t="str">
        <f t="shared" si="27"/>
        <v/>
      </c>
      <c r="L141" s="1" t="n">
        <f t="shared" si="22"/>
        <v>1.0</v>
      </c>
    </row>
    <row r="142" spans="2:12" ht="15.75" customHeight="1">
      <c r="B142" s="108"/>
      <c r="C142" s="58" t="str">
        <f t="shared" si="24"/>
        <v>短期入所生活介護</v>
      </c>
      <c r="D142" s="165"/>
      <c r="E142" s="30" t="s">
        <v>51</v>
      </c>
      <c r="F142" s="83" t="n">
        <f>IF('(参考)1人(1回(日))1月あたり給付費(在宅)'!H172="","",'(参考)1人(1回(日))1月あたり給付費(在宅)'!H172)</f>
        <v>4.6</v>
      </c>
      <c r="G142" s="93" t="n">
        <f t="shared" si="28"/>
        <v>0.0</v>
      </c>
      <c r="H142" s="93" t="n">
        <f t="shared" si="28"/>
        <v>12.0</v>
      </c>
      <c r="I142" s="33" t="str">
        <f t="shared" si="26"/>
        <v>閾値の範囲内です。</v>
      </c>
      <c r="J142" s="11"/>
      <c r="K142" s="1" t="str">
        <f t="shared" si="27"/>
        <v/>
      </c>
      <c r="L142" s="1" t="n">
        <f t="shared" si="22"/>
        <v>1.0</v>
      </c>
    </row>
    <row r="143" spans="2:12" ht="15.75" customHeight="1">
      <c r="B143" s="108"/>
      <c r="C143" s="58" t="str">
        <f t="shared" si="24"/>
        <v>短期入所生活介護</v>
      </c>
      <c r="D143" s="165"/>
      <c r="E143" s="18" t="s">
        <v>44</v>
      </c>
      <c r="F143" s="84" t="n">
        <f>IF('(参考)1人(1回(日))1月あたり給付費(在宅)'!H173="","",'(参考)1人(1回(日))1月あたり給付費(在宅)'!H173)</f>
        <v>9.0</v>
      </c>
      <c r="G143" s="94" t="n">
        <f t="shared" si="28"/>
        <v>0.0</v>
      </c>
      <c r="H143" s="94" t="n">
        <f t="shared" si="28"/>
        <v>16.0</v>
      </c>
      <c r="I143" s="22" t="str">
        <f t="shared" si="26"/>
        <v>閾値の範囲内です。</v>
      </c>
      <c r="J143" s="11"/>
      <c r="K143" s="1" t="str">
        <f t="shared" si="27"/>
        <v/>
      </c>
      <c r="L143" s="1" t="n">
        <f t="shared" si="22"/>
        <v>1.0</v>
      </c>
    </row>
    <row r="144" spans="2:12" ht="15.75" customHeight="1">
      <c r="B144" s="108"/>
      <c r="C144" s="58" t="str">
        <f t="shared" si="24"/>
        <v>短期入所生活介護</v>
      </c>
      <c r="D144" s="165"/>
      <c r="E144" s="18" t="s">
        <v>45</v>
      </c>
      <c r="F144" s="84" t="n">
        <f>IF('(参考)1人(1回(日))1月あたり給付費(在宅)'!H174="","",'(参考)1人(1回(日))1月あたり給付費(在宅)'!H174)</f>
        <v>7.3</v>
      </c>
      <c r="G144" s="94" t="n">
        <f t="shared" si="28"/>
        <v>0.0</v>
      </c>
      <c r="H144" s="94" t="n">
        <f t="shared" si="28"/>
        <v>20.0</v>
      </c>
      <c r="I144" s="22" t="str">
        <f t="shared" si="26"/>
        <v>閾値の範囲内です。</v>
      </c>
      <c r="J144" s="11"/>
      <c r="K144" s="1" t="str">
        <f t="shared" si="27"/>
        <v/>
      </c>
      <c r="L144" s="1" t="n">
        <f t="shared" si="22"/>
        <v>1.0</v>
      </c>
    </row>
    <row r="145" spans="2:12" ht="15.75" customHeight="1">
      <c r="B145" s="108"/>
      <c r="C145" s="58" t="str">
        <f t="shared" si="24"/>
        <v>短期入所生活介護</v>
      </c>
      <c r="D145" s="165"/>
      <c r="E145" s="18" t="s">
        <v>46</v>
      </c>
      <c r="F145" s="84" t="n">
        <f>IF('(参考)1人(1回(日))1月あたり給付費(在宅)'!H175="","",'(参考)1人(1回(日))1月あたり給付費(在宅)'!H175)</f>
        <v>10.7</v>
      </c>
      <c r="G145" s="94" t="n">
        <f t="shared" si="28"/>
        <v>0.0</v>
      </c>
      <c r="H145" s="94" t="n">
        <f t="shared" si="28"/>
        <v>29.0</v>
      </c>
      <c r="I145" s="22" t="str">
        <f t="shared" si="26"/>
        <v>閾値の範囲内です。</v>
      </c>
      <c r="J145" s="11"/>
      <c r="K145" s="1" t="str">
        <f t="shared" si="27"/>
        <v/>
      </c>
      <c r="L145" s="1" t="n">
        <f t="shared" si="22"/>
        <v>1.0</v>
      </c>
    </row>
    <row r="146" spans="2:12" ht="15.75" customHeight="1">
      <c r="B146" s="108"/>
      <c r="C146" s="58" t="str">
        <f t="shared" si="24"/>
        <v>短期入所生活介護</v>
      </c>
      <c r="D146" s="165"/>
      <c r="E146" s="18" t="s">
        <v>47</v>
      </c>
      <c r="F146" s="84" t="n">
        <f>IF('(参考)1人(1回(日))1月あたり給付費(在宅)'!H176="","",'(参考)1人(1回(日))1月あたり給付費(在宅)'!H176)</f>
        <v>12.8</v>
      </c>
      <c r="G146" s="94" t="n">
        <f t="shared" si="28"/>
        <v>0.0</v>
      </c>
      <c r="H146" s="94" t="n">
        <f t="shared" si="28"/>
        <v>31.0</v>
      </c>
      <c r="I146" s="22" t="str">
        <f t="shared" si="26"/>
        <v>閾値の範囲内です。</v>
      </c>
      <c r="J146" s="11"/>
      <c r="K146" s="1" t="str">
        <f t="shared" si="27"/>
        <v/>
      </c>
      <c r="L146" s="1" t="n">
        <f t="shared" si="22"/>
        <v>1.0</v>
      </c>
    </row>
    <row r="147" spans="2:12" ht="15.75" customHeight="1">
      <c r="B147" s="108"/>
      <c r="C147" s="58" t="str">
        <f t="shared" si="24"/>
        <v>短期入所生活介護</v>
      </c>
      <c r="D147" s="165"/>
      <c r="E147" s="18" t="s">
        <v>48</v>
      </c>
      <c r="F147" s="84" t="n">
        <f>IF('(参考)1人(1回(日))1月あたり給付費(在宅)'!H177="","",'(参考)1人(1回(日))1月あたり給付費(在宅)'!H177)</f>
        <v>5.8</v>
      </c>
      <c r="G147" s="94" t="n">
        <f t="shared" si="28"/>
        <v>0.0</v>
      </c>
      <c r="H147" s="94" t="n">
        <f t="shared" si="28"/>
        <v>29.0</v>
      </c>
      <c r="I147" s="22" t="str">
        <f t="shared" si="26"/>
        <v>閾値の範囲内です。</v>
      </c>
      <c r="J147" s="11"/>
      <c r="K147" s="1" t="str">
        <f t="shared" si="27"/>
        <v/>
      </c>
      <c r="L147" s="1" t="n">
        <f t="shared" si="22"/>
        <v>1.0</v>
      </c>
    </row>
    <row r="148" spans="2:12" ht="15.75" customHeight="1">
      <c r="B148" s="108"/>
      <c r="C148" s="58" t="str">
        <f t="shared" si="24"/>
        <v>短期入所生活介護</v>
      </c>
      <c r="D148" s="166"/>
      <c r="E148" s="23" t="s">
        <v>49</v>
      </c>
      <c r="F148" s="85" t="n">
        <f>IF('(参考)1人(1回(日))1月あたり給付費(在宅)'!H178="","",'(参考)1人(1回(日))1月あたり給付費(在宅)'!H178)</f>
        <v>10.425</v>
      </c>
      <c r="G148" s="94" t="n">
        <f t="shared" si="28"/>
        <v>0.0</v>
      </c>
      <c r="H148" s="94" t="n">
        <f t="shared" si="28"/>
        <v>23.0</v>
      </c>
      <c r="I148" s="27" t="str">
        <f t="shared" si="26"/>
        <v>閾値の範囲内です。</v>
      </c>
      <c r="J148" s="11"/>
      <c r="K148" s="1" t="str">
        <f t="shared" si="27"/>
        <v/>
      </c>
    </row>
    <row r="149" spans="2:12" ht="15.75" customHeight="1">
      <c r="B149" s="108"/>
      <c r="C149" s="58" t="str">
        <f t="shared" si="24"/>
        <v>短期入所生活介護</v>
      </c>
      <c r="D149" s="164" t="s">
        <v>414</v>
      </c>
      <c r="E149" s="15" t="s">
        <v>50</v>
      </c>
      <c r="F149" s="82" t="n">
        <f>IF('(参考)1人(1回(日))1月あたり給付費(在宅)'!H179="","",'(参考)1人(1回(日))1月あたり給付費(在宅)'!H179)</f>
        <v>0.0</v>
      </c>
      <c r="G149" s="92" t="n">
        <f t="shared" si="28"/>
        <v>0.0</v>
      </c>
      <c r="H149" s="92" t="n">
        <f t="shared" si="28"/>
        <v>10.0</v>
      </c>
      <c r="I149" s="32" t="str">
        <f t="shared" si="26"/>
        <v>閾値の範囲内です。</v>
      </c>
      <c r="J149" s="11"/>
      <c r="K149" s="1" t="str">
        <f t="shared" si="27"/>
        <v/>
      </c>
      <c r="L149" s="1" t="n">
        <f t="shared" si="22"/>
        <v>1.0</v>
      </c>
    </row>
    <row r="150" spans="2:12" ht="15.75" customHeight="1">
      <c r="B150" s="108"/>
      <c r="C150" s="58" t="str">
        <f t="shared" si="24"/>
        <v>短期入所生活介護</v>
      </c>
      <c r="D150" s="165"/>
      <c r="E150" s="30" t="s">
        <v>51</v>
      </c>
      <c r="F150" s="83" t="n">
        <f>IF('(参考)1人(1回(日))1月あたり給付費(在宅)'!H180="","",'(参考)1人(1回(日))1月あたり給付費(在宅)'!H180)</f>
        <v>4.6</v>
      </c>
      <c r="G150" s="93" t="n">
        <f t="shared" si="28"/>
        <v>0.0</v>
      </c>
      <c r="H150" s="93" t="n">
        <f t="shared" si="28"/>
        <v>12.0</v>
      </c>
      <c r="I150" s="33" t="str">
        <f t="shared" si="26"/>
        <v>閾値の範囲内です。</v>
      </c>
      <c r="J150" s="11"/>
      <c r="K150" s="1" t="str">
        <f t="shared" si="27"/>
        <v/>
      </c>
      <c r="L150" s="1" t="n">
        <f t="shared" si="22"/>
        <v>1.0</v>
      </c>
    </row>
    <row r="151" spans="2:12" ht="15.75" customHeight="1">
      <c r="B151" s="108"/>
      <c r="C151" s="58" t="str">
        <f t="shared" si="24"/>
        <v>短期入所生活介護</v>
      </c>
      <c r="D151" s="165"/>
      <c r="E151" s="18" t="s">
        <v>44</v>
      </c>
      <c r="F151" s="84" t="n">
        <f>IF('(参考)1人(1回(日))1月あたり給付費(在宅)'!H181="","",'(参考)1人(1回(日))1月あたり給付費(在宅)'!H181)</f>
        <v>9.0</v>
      </c>
      <c r="G151" s="94" t="n">
        <f t="shared" si="28"/>
        <v>0.0</v>
      </c>
      <c r="H151" s="94" t="n">
        <f t="shared" si="28"/>
        <v>16.0</v>
      </c>
      <c r="I151" s="22" t="str">
        <f t="shared" si="26"/>
        <v>閾値の範囲内です。</v>
      </c>
      <c r="J151" s="11"/>
      <c r="K151" s="1" t="str">
        <f t="shared" si="27"/>
        <v/>
      </c>
      <c r="L151" s="1" t="n">
        <f t="shared" si="22"/>
        <v>1.0</v>
      </c>
    </row>
    <row r="152" spans="2:12" ht="15.75" customHeight="1">
      <c r="B152" s="108"/>
      <c r="C152" s="58" t="str">
        <f t="shared" si="24"/>
        <v>短期入所生活介護</v>
      </c>
      <c r="D152" s="165"/>
      <c r="E152" s="18" t="s">
        <v>45</v>
      </c>
      <c r="F152" s="84" t="n">
        <f>IF('(参考)1人(1回(日))1月あたり給付費(在宅)'!H182="","",'(参考)1人(1回(日))1月あたり給付費(在宅)'!H182)</f>
        <v>7.3</v>
      </c>
      <c r="G152" s="94" t="n">
        <f t="shared" si="28"/>
        <v>0.0</v>
      </c>
      <c r="H152" s="94" t="n">
        <f t="shared" si="28"/>
        <v>20.0</v>
      </c>
      <c r="I152" s="22" t="str">
        <f t="shared" si="26"/>
        <v>閾値の範囲内です。</v>
      </c>
      <c r="J152" s="11"/>
      <c r="K152" s="1" t="str">
        <f t="shared" si="27"/>
        <v/>
      </c>
      <c r="L152" s="1" t="n">
        <f t="shared" si="22"/>
        <v>1.0</v>
      </c>
    </row>
    <row r="153" spans="2:12" ht="15.75" customHeight="1">
      <c r="B153" s="108"/>
      <c r="C153" s="58" t="str">
        <f t="shared" si="24"/>
        <v>短期入所生活介護</v>
      </c>
      <c r="D153" s="165"/>
      <c r="E153" s="18" t="s">
        <v>46</v>
      </c>
      <c r="F153" s="84" t="n">
        <f>IF('(参考)1人(1回(日))1月あたり給付費(在宅)'!H183="","",'(参考)1人(1回(日))1月あたり給付費(在宅)'!H183)</f>
        <v>10.7</v>
      </c>
      <c r="G153" s="94" t="n">
        <f t="shared" si="28"/>
        <v>0.0</v>
      </c>
      <c r="H153" s="94" t="n">
        <f t="shared" si="28"/>
        <v>29.0</v>
      </c>
      <c r="I153" s="22" t="str">
        <f t="shared" si="26"/>
        <v>閾値の範囲内です。</v>
      </c>
      <c r="J153" s="11"/>
      <c r="K153" s="1" t="str">
        <f t="shared" si="27"/>
        <v/>
      </c>
      <c r="L153" s="1" t="n">
        <f t="shared" si="22"/>
        <v>1.0</v>
      </c>
    </row>
    <row r="154" spans="2:12" ht="15.75" customHeight="1">
      <c r="B154" s="108"/>
      <c r="C154" s="58" t="str">
        <f t="shared" si="24"/>
        <v>短期入所生活介護</v>
      </c>
      <c r="D154" s="165"/>
      <c r="E154" s="18" t="s">
        <v>47</v>
      </c>
      <c r="F154" s="84" t="n">
        <f>IF('(参考)1人(1回(日))1月あたり給付費(在宅)'!H184="","",'(参考)1人(1回(日))1月あたり給付費(在宅)'!H184)</f>
        <v>12.8</v>
      </c>
      <c r="G154" s="94" t="n">
        <f t="shared" si="28"/>
        <v>0.0</v>
      </c>
      <c r="H154" s="94" t="n">
        <f t="shared" si="28"/>
        <v>31.0</v>
      </c>
      <c r="I154" s="22" t="str">
        <f t="shared" si="26"/>
        <v>閾値の範囲内です。</v>
      </c>
      <c r="J154" s="11"/>
      <c r="K154" s="1" t="str">
        <f t="shared" si="27"/>
        <v/>
      </c>
      <c r="L154" s="1" t="n">
        <f t="shared" ref="L154:L155" si="29">IF(F154="","",1)</f>
        <v>1.0</v>
      </c>
    </row>
    <row r="155" spans="2:12" ht="15.75" customHeight="1">
      <c r="B155" s="108"/>
      <c r="C155" s="58" t="str">
        <f t="shared" si="24"/>
        <v>短期入所生活介護</v>
      </c>
      <c r="D155" s="165"/>
      <c r="E155" s="18" t="s">
        <v>48</v>
      </c>
      <c r="F155" s="84" t="n">
        <f>IF('(参考)1人(1回(日))1月あたり給付費(在宅)'!H185="","",'(参考)1人(1回(日))1月あたり給付費(在宅)'!H185)</f>
        <v>5.8</v>
      </c>
      <c r="G155" s="94" t="n">
        <f t="shared" si="28"/>
        <v>0.0</v>
      </c>
      <c r="H155" s="94" t="n">
        <f t="shared" si="28"/>
        <v>29.0</v>
      </c>
      <c r="I155" s="22" t="str">
        <f t="shared" si="26"/>
        <v>閾値の範囲内です。</v>
      </c>
      <c r="J155" s="11"/>
      <c r="K155" s="1" t="str">
        <f t="shared" si="27"/>
        <v/>
      </c>
      <c r="L155" s="1" t="n">
        <f t="shared" si="29"/>
        <v>1.0</v>
      </c>
    </row>
    <row r="156" spans="2:12" ht="15.75" customHeight="1">
      <c r="B156" s="109"/>
      <c r="C156" s="59" t="str">
        <f t="shared" si="24"/>
        <v>短期入所生活介護</v>
      </c>
      <c r="D156" s="166"/>
      <c r="E156" s="23" t="s">
        <v>49</v>
      </c>
      <c r="F156" s="85" t="n">
        <f>IF('(参考)1人(1回(日))1月あたり給付費(在宅)'!H186="","",'(参考)1人(1回(日))1月あたり給付費(在宅)'!H186)</f>
        <v>10.459999999999999</v>
      </c>
      <c r="G156" s="95" t="n">
        <f t="shared" si="28"/>
        <v>0.0</v>
      </c>
      <c r="H156" s="95" t="n">
        <f t="shared" si="28"/>
        <v>23.0</v>
      </c>
      <c r="I156" s="27" t="str">
        <f t="shared" si="26"/>
        <v>閾値の範囲内です。</v>
      </c>
      <c r="J156" s="11"/>
      <c r="K156" s="1" t="str">
        <f t="shared" si="27"/>
        <v/>
      </c>
    </row>
    <row r="157" spans="2:12" ht="15.75" customHeight="1">
      <c r="B157" s="107">
        <v>9</v>
      </c>
      <c r="C157" s="7" t="s">
        <v>96</v>
      </c>
      <c r="D157" s="164" t="s">
        <v>416</v>
      </c>
      <c r="E157" s="15" t="s">
        <v>50</v>
      </c>
      <c r="F157" s="82" t="n">
        <f>IF('(参考)1人(1回(日))1月あたり給付費(在宅)'!H187="","",'(参考)1人(1回(日))1月あたり給付費(在宅)'!H187)</f>
        <v>0.0</v>
      </c>
      <c r="G157" s="92" t="n">
        <f>IF(data!I316&lt;0,0,data!I316)</f>
        <v>0.0</v>
      </c>
      <c r="H157" s="92" t="n">
        <f>IF(data!J316&lt;0,0,data!J316)</f>
        <v>10.0</v>
      </c>
      <c r="I157" s="32" t="str">
        <f t="shared" si="26"/>
        <v>閾値の範囲内です。</v>
      </c>
      <c r="J157" s="11"/>
      <c r="K157" s="1" t="str">
        <f t="shared" si="27"/>
        <v/>
      </c>
      <c r="L157" s="1" t="n">
        <f t="shared" ref="L157:L261" si="30">IF(F157="","",1)</f>
        <v>1.0</v>
      </c>
    </row>
    <row r="158" spans="2:12" ht="15.75" customHeight="1">
      <c r="B158" s="108"/>
      <c r="C158" s="58" t="str">
        <f t="shared" si="24"/>
        <v>短期入所療養介護（老健）</v>
      </c>
      <c r="D158" s="165"/>
      <c r="E158" s="30" t="s">
        <v>51</v>
      </c>
      <c r="F158" s="83" t="n">
        <f>IF('(参考)1人(1回(日))1月あたり給付費(在宅)'!H188="","",'(参考)1人(1回(日))1月あたり給付費(在宅)'!H188)</f>
        <v>5.0</v>
      </c>
      <c r="G158" s="93" t="n">
        <f>IF(data!I317&lt;0,0,data!I317)</f>
        <v>0.0</v>
      </c>
      <c r="H158" s="93" t="n">
        <f>IF(data!J317&lt;0,0,data!J317)</f>
        <v>12.0</v>
      </c>
      <c r="I158" s="33" t="str">
        <f t="shared" si="26"/>
        <v>閾値の範囲内です。</v>
      </c>
      <c r="J158" s="11"/>
      <c r="K158" s="1" t="str">
        <f t="shared" si="27"/>
        <v/>
      </c>
      <c r="L158" s="1" t="n">
        <f t="shared" si="30"/>
        <v>1.0</v>
      </c>
    </row>
    <row r="159" spans="2:12" ht="15.75" customHeight="1">
      <c r="B159" s="108"/>
      <c r="C159" s="58" t="str">
        <f t="shared" si="24"/>
        <v>短期入所療養介護（老健）</v>
      </c>
      <c r="D159" s="165"/>
      <c r="E159" s="18" t="s">
        <v>44</v>
      </c>
      <c r="F159" s="84" t="n">
        <f>IF('(参考)1人(1回(日))1月あたり給付費(在宅)'!H189="","",'(参考)1人(1回(日))1月あたり給付費(在宅)'!H189)</f>
        <v>7.3</v>
      </c>
      <c r="G159" s="94" t="n">
        <f>IF(data!I318&lt;0,0,data!I318)</f>
        <v>0.0</v>
      </c>
      <c r="H159" s="94" t="n">
        <f>IF(data!J318&lt;0,0,data!J318)</f>
        <v>12.0</v>
      </c>
      <c r="I159" s="22" t="str">
        <f t="shared" si="26"/>
        <v>閾値の範囲内です。</v>
      </c>
      <c r="J159" s="11"/>
      <c r="K159" s="1" t="str">
        <f t="shared" si="27"/>
        <v/>
      </c>
      <c r="L159" s="1" t="n">
        <f t="shared" si="30"/>
        <v>1.0</v>
      </c>
    </row>
    <row r="160" spans="2:12" ht="15.75" customHeight="1">
      <c r="B160" s="108"/>
      <c r="C160" s="58" t="str">
        <f t="shared" si="24"/>
        <v>短期入所療養介護（老健）</v>
      </c>
      <c r="D160" s="165"/>
      <c r="E160" s="18" t="s">
        <v>45</v>
      </c>
      <c r="F160" s="84" t="n">
        <f>IF('(参考)1人(1回(日))1月あたり給付費(在宅)'!H190="","",'(参考)1人(1回(日))1月あたり給付費(在宅)'!H190)</f>
        <v>0.0</v>
      </c>
      <c r="G160" s="94" t="n">
        <f>IF(data!I319&lt;0,0,data!I319)</f>
        <v>0.0</v>
      </c>
      <c r="H160" s="94" t="n">
        <f>IF(data!J319&lt;0,0,data!J319)</f>
        <v>14.0</v>
      </c>
      <c r="I160" s="22" t="str">
        <f t="shared" si="26"/>
        <v>閾値の範囲内です。</v>
      </c>
      <c r="J160" s="11"/>
      <c r="K160" s="1" t="str">
        <f t="shared" si="27"/>
        <v/>
      </c>
      <c r="L160" s="1" t="n">
        <f t="shared" si="30"/>
        <v>1.0</v>
      </c>
    </row>
    <row r="161" spans="2:12" ht="15.75" customHeight="1">
      <c r="B161" s="108"/>
      <c r="C161" s="58" t="str">
        <f t="shared" si="24"/>
        <v>短期入所療養介護（老健）</v>
      </c>
      <c r="D161" s="165"/>
      <c r="E161" s="18" t="s">
        <v>46</v>
      </c>
      <c r="F161" s="84" t="n">
        <f>IF('(参考)1人(1回(日))1月あたり給付費(在宅)'!H191="","",'(参考)1人(1回(日))1月あたり給付費(在宅)'!H191)</f>
        <v>3.3</v>
      </c>
      <c r="G161" s="94" t="n">
        <f>IF(data!I320&lt;0,0,data!I320)</f>
        <v>0.0</v>
      </c>
      <c r="H161" s="94" t="n">
        <f>IF(data!J320&lt;0,0,data!J320)</f>
        <v>17.0</v>
      </c>
      <c r="I161" s="22" t="str">
        <f t="shared" si="26"/>
        <v>閾値の範囲内です。</v>
      </c>
      <c r="J161" s="11"/>
      <c r="K161" s="1" t="str">
        <f t="shared" si="27"/>
        <v/>
      </c>
      <c r="L161" s="1" t="n">
        <f t="shared" si="30"/>
        <v>1.0</v>
      </c>
    </row>
    <row r="162" spans="2:12" ht="15.75" customHeight="1">
      <c r="B162" s="108"/>
      <c r="C162" s="58" t="str">
        <f t="shared" si="24"/>
        <v>短期入所療養介護（老健）</v>
      </c>
      <c r="D162" s="165"/>
      <c r="E162" s="18" t="s">
        <v>47</v>
      </c>
      <c r="F162" s="84" t="n">
        <f>IF('(参考)1人(1回(日))1月あたり給付費(在宅)'!H192="","",'(参考)1人(1回(日))1月あたり給付費(在宅)'!H192)</f>
        <v>9.3</v>
      </c>
      <c r="G162" s="94" t="n">
        <f>IF(data!I321&lt;0,0,data!I321)</f>
        <v>0.0</v>
      </c>
      <c r="H162" s="94" t="n">
        <f>IF(data!J321&lt;0,0,data!J321)</f>
        <v>19.0</v>
      </c>
      <c r="I162" s="22" t="str">
        <f t="shared" si="26"/>
        <v>閾値の範囲内です。</v>
      </c>
      <c r="J162" s="11"/>
      <c r="K162" s="1" t="str">
        <f t="shared" si="27"/>
        <v/>
      </c>
      <c r="L162" s="1" t="n">
        <f t="shared" si="30"/>
        <v>1.0</v>
      </c>
    </row>
    <row r="163" spans="2:12" ht="15.75" customHeight="1">
      <c r="B163" s="108"/>
      <c r="C163" s="58" t="str">
        <f t="shared" si="24"/>
        <v>短期入所療養介護（老健）</v>
      </c>
      <c r="D163" s="165"/>
      <c r="E163" s="18" t="s">
        <v>48</v>
      </c>
      <c r="F163" s="84" t="n">
        <f>IF('(参考)1人(1回(日))1月あたり給付費(在宅)'!H193="","",'(参考)1人(1回(日))1月あたり給付費(在宅)'!H193)</f>
        <v>4.0</v>
      </c>
      <c r="G163" s="94" t="n">
        <f>IF(data!I322&lt;0,0,data!I322)</f>
        <v>0.0</v>
      </c>
      <c r="H163" s="94" t="n">
        <f>IF(data!J322&lt;0,0,data!J322)</f>
        <v>20.0</v>
      </c>
      <c r="I163" s="22" t="str">
        <f t="shared" si="26"/>
        <v>閾値の範囲内です。</v>
      </c>
      <c r="J163" s="11"/>
      <c r="K163" s="1" t="str">
        <f t="shared" si="27"/>
        <v/>
      </c>
      <c r="L163" s="1" t="n">
        <f t="shared" si="30"/>
        <v>1.0</v>
      </c>
    </row>
    <row r="164" spans="2:12" ht="15.75" customHeight="1">
      <c r="B164" s="108"/>
      <c r="C164" s="58" t="str">
        <f t="shared" si="24"/>
        <v>短期入所療養介護（老健）</v>
      </c>
      <c r="D164" s="166"/>
      <c r="E164" s="23" t="s">
        <v>49</v>
      </c>
      <c r="F164" s="85" t="n">
        <f>IF('(参考)1人(1回(日))1月あたり給付費(在宅)'!H194="","",'(参考)1人(1回(日))1月あたり給付費(在宅)'!H194)</f>
        <v>9.3</v>
      </c>
      <c r="G164" s="95" t="n">
        <f>IF(data!I323&lt;0,0,data!I323)</f>
        <v>1.0</v>
      </c>
      <c r="H164" s="95" t="n">
        <f>IF(data!J323&lt;0,0,data!J323)</f>
        <v>14.0</v>
      </c>
      <c r="I164" s="27" t="str">
        <f t="shared" si="26"/>
        <v>閾値の範囲内です。</v>
      </c>
      <c r="J164" s="11"/>
      <c r="K164" s="1" t="str">
        <f t="shared" si="27"/>
        <v/>
      </c>
    </row>
    <row r="165" spans="2:12" ht="15.75" customHeight="1">
      <c r="B165" s="108"/>
      <c r="C165" s="58" t="str">
        <f t="shared" si="24"/>
        <v>短期入所療養介護（老健）</v>
      </c>
      <c r="D165" s="164" t="s">
        <v>415</v>
      </c>
      <c r="E165" s="15" t="s">
        <v>50</v>
      </c>
      <c r="F165" s="82" t="n">
        <f>IF('(参考)1人(1回(日))1月あたり給付費(在宅)'!H195="","",'(参考)1人(1回(日))1月あたり給付費(在宅)'!H195)</f>
        <v>0.0</v>
      </c>
      <c r="G165" s="92" t="n">
        <f t="shared" ref="G165:H180" si="31">G157</f>
        <v>0.0</v>
      </c>
      <c r="H165" s="92" t="n">
        <f t="shared" si="31"/>
        <v>10.0</v>
      </c>
      <c r="I165" s="32" t="str">
        <f t="shared" ref="I165:I196" si="32">IF(OR(F165="",F165="－"),"",IF(F165&lt;G165,"下限値を"&amp;TEXT(ROUND(G165-F165,1),"#,##0.0日")&amp;"下回っています。",IF(F165&gt;H165,"上限値を"&amp;TEXT(ROUND(F165-H165,1),"#,##0.0日")&amp;"上回っています。","閾値の範囲内です。")))</f>
        <v>閾値の範囲内です。</v>
      </c>
      <c r="J165" s="11"/>
      <c r="K165" s="1" t="str">
        <f t="shared" si="27"/>
        <v/>
      </c>
      <c r="L165" s="1" t="n">
        <f t="shared" si="30"/>
        <v>1.0</v>
      </c>
    </row>
    <row r="166" spans="2:12" ht="15.75" customHeight="1">
      <c r="B166" s="108"/>
      <c r="C166" s="58" t="str">
        <f t="shared" si="24"/>
        <v>短期入所療養介護（老健）</v>
      </c>
      <c r="D166" s="165"/>
      <c r="E166" s="30" t="s">
        <v>51</v>
      </c>
      <c r="F166" s="83" t="n">
        <f>IF('(参考)1人(1回(日))1月あたり給付費(在宅)'!H196="","",'(参考)1人(1回(日))1月あたり給付費(在宅)'!H196)</f>
        <v>5.0</v>
      </c>
      <c r="G166" s="93" t="n">
        <f t="shared" si="31"/>
        <v>0.0</v>
      </c>
      <c r="H166" s="93" t="n">
        <f t="shared" si="31"/>
        <v>12.0</v>
      </c>
      <c r="I166" s="33" t="str">
        <f t="shared" si="32"/>
        <v>閾値の範囲内です。</v>
      </c>
      <c r="J166" s="11"/>
      <c r="K166" s="1" t="str">
        <f t="shared" si="27"/>
        <v/>
      </c>
      <c r="L166" s="1" t="n">
        <f t="shared" si="30"/>
        <v>1.0</v>
      </c>
    </row>
    <row r="167" spans="2:12" ht="15.75" customHeight="1">
      <c r="B167" s="108"/>
      <c r="C167" s="58" t="str">
        <f t="shared" si="24"/>
        <v>短期入所療養介護（老健）</v>
      </c>
      <c r="D167" s="165"/>
      <c r="E167" s="18" t="s">
        <v>44</v>
      </c>
      <c r="F167" s="84" t="n">
        <f>IF('(参考)1人(1回(日))1月あたり給付費(在宅)'!H197="","",'(参考)1人(1回(日))1月あたり給付費(在宅)'!H197)</f>
        <v>7.3</v>
      </c>
      <c r="G167" s="94" t="n">
        <f t="shared" si="31"/>
        <v>0.0</v>
      </c>
      <c r="H167" s="94" t="n">
        <f t="shared" si="31"/>
        <v>12.0</v>
      </c>
      <c r="I167" s="22" t="str">
        <f t="shared" si="32"/>
        <v>閾値の範囲内です。</v>
      </c>
      <c r="J167" s="11"/>
      <c r="K167" s="1" t="str">
        <f t="shared" si="27"/>
        <v/>
      </c>
      <c r="L167" s="1" t="n">
        <f t="shared" si="30"/>
        <v>1.0</v>
      </c>
    </row>
    <row r="168" spans="2:12" ht="15.75" customHeight="1">
      <c r="B168" s="108"/>
      <c r="C168" s="58" t="str">
        <f t="shared" si="24"/>
        <v>短期入所療養介護（老健）</v>
      </c>
      <c r="D168" s="165"/>
      <c r="E168" s="18" t="s">
        <v>45</v>
      </c>
      <c r="F168" s="84" t="n">
        <f>IF('(参考)1人(1回(日))1月あたり給付費(在宅)'!H198="","",'(参考)1人(1回(日))1月あたり給付費(在宅)'!H198)</f>
        <v>0.0</v>
      </c>
      <c r="G168" s="94" t="n">
        <f t="shared" si="31"/>
        <v>0.0</v>
      </c>
      <c r="H168" s="94" t="n">
        <f t="shared" si="31"/>
        <v>14.0</v>
      </c>
      <c r="I168" s="22" t="str">
        <f t="shared" si="32"/>
        <v>閾値の範囲内です。</v>
      </c>
      <c r="J168" s="11"/>
      <c r="K168" s="1" t="str">
        <f t="shared" si="27"/>
        <v/>
      </c>
      <c r="L168" s="1" t="n">
        <f t="shared" si="30"/>
        <v>1.0</v>
      </c>
    </row>
    <row r="169" spans="2:12" ht="15.75" customHeight="1">
      <c r="B169" s="108"/>
      <c r="C169" s="58" t="str">
        <f t="shared" si="24"/>
        <v>短期入所療養介護（老健）</v>
      </c>
      <c r="D169" s="165"/>
      <c r="E169" s="18" t="s">
        <v>46</v>
      </c>
      <c r="F169" s="84" t="n">
        <f>IF('(参考)1人(1回(日))1月あたり給付費(在宅)'!H199="","",'(参考)1人(1回(日))1月あたり給付費(在宅)'!H199)</f>
        <v>3.3</v>
      </c>
      <c r="G169" s="94" t="n">
        <f t="shared" si="31"/>
        <v>0.0</v>
      </c>
      <c r="H169" s="94" t="n">
        <f t="shared" si="31"/>
        <v>17.0</v>
      </c>
      <c r="I169" s="22" t="str">
        <f t="shared" si="32"/>
        <v>閾値の範囲内です。</v>
      </c>
      <c r="J169" s="11"/>
      <c r="K169" s="1" t="str">
        <f t="shared" si="27"/>
        <v/>
      </c>
      <c r="L169" s="1" t="n">
        <f t="shared" si="30"/>
        <v>1.0</v>
      </c>
    </row>
    <row r="170" spans="2:12" ht="15.75" customHeight="1">
      <c r="B170" s="108"/>
      <c r="C170" s="58" t="str">
        <f t="shared" ref="C170:C228" si="33">C169</f>
        <v>短期入所療養介護（老健）</v>
      </c>
      <c r="D170" s="165"/>
      <c r="E170" s="18" t="s">
        <v>47</v>
      </c>
      <c r="F170" s="84" t="n">
        <f>IF('(参考)1人(1回(日))1月あたり給付費(在宅)'!H200="","",'(参考)1人(1回(日))1月あたり給付費(在宅)'!H200)</f>
        <v>9.3</v>
      </c>
      <c r="G170" s="94" t="n">
        <f t="shared" si="31"/>
        <v>0.0</v>
      </c>
      <c r="H170" s="94" t="n">
        <f t="shared" si="31"/>
        <v>19.0</v>
      </c>
      <c r="I170" s="22" t="str">
        <f t="shared" si="32"/>
        <v>閾値の範囲内です。</v>
      </c>
      <c r="J170" s="11"/>
      <c r="K170" s="1" t="str">
        <f t="shared" si="27"/>
        <v/>
      </c>
      <c r="L170" s="1" t="n">
        <f t="shared" si="30"/>
        <v>1.0</v>
      </c>
    </row>
    <row r="171" spans="2:12" ht="15.75" customHeight="1">
      <c r="B171" s="108"/>
      <c r="C171" s="58" t="str">
        <f t="shared" si="33"/>
        <v>短期入所療養介護（老健）</v>
      </c>
      <c r="D171" s="165"/>
      <c r="E171" s="18" t="s">
        <v>48</v>
      </c>
      <c r="F171" s="84" t="n">
        <f>IF('(参考)1人(1回(日))1月あたり給付費(在宅)'!H201="","",'(参考)1人(1回(日))1月あたり給付費(在宅)'!H201)</f>
        <v>4.0</v>
      </c>
      <c r="G171" s="94" t="n">
        <f t="shared" si="31"/>
        <v>0.0</v>
      </c>
      <c r="H171" s="94" t="n">
        <f t="shared" si="31"/>
        <v>20.0</v>
      </c>
      <c r="I171" s="22" t="str">
        <f t="shared" si="32"/>
        <v>閾値の範囲内です。</v>
      </c>
      <c r="J171" s="11"/>
      <c r="K171" s="1" t="str">
        <f t="shared" si="27"/>
        <v/>
      </c>
      <c r="L171" s="1" t="n">
        <f t="shared" si="30"/>
        <v>1.0</v>
      </c>
    </row>
    <row r="172" spans="2:12" ht="15.75" customHeight="1">
      <c r="B172" s="108"/>
      <c r="C172" s="58" t="str">
        <f t="shared" si="33"/>
        <v>短期入所療養介護（老健）</v>
      </c>
      <c r="D172" s="166"/>
      <c r="E172" s="23" t="s">
        <v>49</v>
      </c>
      <c r="F172" s="85" t="n">
        <f>IF('(参考)1人(1回(日))1月あたり給付費(在宅)'!H202="","",'(参考)1人(1回(日))1月あたり給付費(在宅)'!H202)</f>
        <v>9.3</v>
      </c>
      <c r="G172" s="94" t="n">
        <f t="shared" si="31"/>
        <v>1.0</v>
      </c>
      <c r="H172" s="94" t="n">
        <f t="shared" si="31"/>
        <v>14.0</v>
      </c>
      <c r="I172" s="27" t="str">
        <f t="shared" si="32"/>
        <v>閾値の範囲内です。</v>
      </c>
      <c r="J172" s="11"/>
      <c r="K172" s="1" t="str">
        <f t="shared" si="27"/>
        <v/>
      </c>
    </row>
    <row r="173" spans="2:12" ht="15.75" customHeight="1">
      <c r="B173" s="108"/>
      <c r="C173" s="58" t="str">
        <f t="shared" si="33"/>
        <v>短期入所療養介護（老健）</v>
      </c>
      <c r="D173" s="164" t="s">
        <v>414</v>
      </c>
      <c r="E173" s="15" t="s">
        <v>50</v>
      </c>
      <c r="F173" s="82" t="n">
        <f>IF('(参考)1人(1回(日))1月あたり給付費(在宅)'!H203="","",'(参考)1人(1回(日))1月あたり給付費(在宅)'!H203)</f>
        <v>0.0</v>
      </c>
      <c r="G173" s="92" t="n">
        <f t="shared" si="31"/>
        <v>0.0</v>
      </c>
      <c r="H173" s="92" t="n">
        <f t="shared" si="31"/>
        <v>10.0</v>
      </c>
      <c r="I173" s="32" t="str">
        <f t="shared" si="32"/>
        <v>閾値の範囲内です。</v>
      </c>
      <c r="J173" s="11"/>
      <c r="K173" s="1" t="str">
        <f t="shared" si="27"/>
        <v/>
      </c>
      <c r="L173" s="1" t="n">
        <f t="shared" si="30"/>
        <v>1.0</v>
      </c>
    </row>
    <row r="174" spans="2:12" ht="15.75" customHeight="1">
      <c r="B174" s="108"/>
      <c r="C174" s="58" t="str">
        <f t="shared" si="33"/>
        <v>短期入所療養介護（老健）</v>
      </c>
      <c r="D174" s="165"/>
      <c r="E174" s="30" t="s">
        <v>51</v>
      </c>
      <c r="F174" s="83" t="n">
        <f>IF('(参考)1人(1回(日))1月あたり給付費(在宅)'!H204="","",'(参考)1人(1回(日))1月あたり給付費(在宅)'!H204)</f>
        <v>5.0</v>
      </c>
      <c r="G174" s="93" t="n">
        <f t="shared" si="31"/>
        <v>0.0</v>
      </c>
      <c r="H174" s="93" t="n">
        <f t="shared" si="31"/>
        <v>12.0</v>
      </c>
      <c r="I174" s="33" t="str">
        <f t="shared" si="32"/>
        <v>閾値の範囲内です。</v>
      </c>
      <c r="J174" s="11"/>
      <c r="K174" s="1" t="str">
        <f t="shared" si="27"/>
        <v/>
      </c>
      <c r="L174" s="1" t="n">
        <f t="shared" si="30"/>
        <v>1.0</v>
      </c>
    </row>
    <row r="175" spans="2:12" ht="15.75" customHeight="1">
      <c r="B175" s="108"/>
      <c r="C175" s="58" t="str">
        <f t="shared" si="33"/>
        <v>短期入所療養介護（老健）</v>
      </c>
      <c r="D175" s="165"/>
      <c r="E175" s="18" t="s">
        <v>44</v>
      </c>
      <c r="F175" s="84" t="n">
        <f>IF('(参考)1人(1回(日))1月あたり給付費(在宅)'!H205="","",'(参考)1人(1回(日))1月あたり給付費(在宅)'!H205)</f>
        <v>7.3</v>
      </c>
      <c r="G175" s="94" t="n">
        <f t="shared" si="31"/>
        <v>0.0</v>
      </c>
      <c r="H175" s="94" t="n">
        <f t="shared" si="31"/>
        <v>12.0</v>
      </c>
      <c r="I175" s="22" t="str">
        <f t="shared" si="32"/>
        <v>閾値の範囲内です。</v>
      </c>
      <c r="J175" s="11"/>
      <c r="K175" s="1" t="str">
        <f t="shared" si="27"/>
        <v/>
      </c>
      <c r="L175" s="1" t="n">
        <f t="shared" si="30"/>
        <v>1.0</v>
      </c>
    </row>
    <row r="176" spans="2:12" ht="15.75" customHeight="1">
      <c r="B176" s="108"/>
      <c r="C176" s="58" t="str">
        <f t="shared" si="33"/>
        <v>短期入所療養介護（老健）</v>
      </c>
      <c r="D176" s="165"/>
      <c r="E176" s="18" t="s">
        <v>45</v>
      </c>
      <c r="F176" s="84" t="n">
        <f>IF('(参考)1人(1回(日))1月あたり給付費(在宅)'!H206="","",'(参考)1人(1回(日))1月あたり給付費(在宅)'!H206)</f>
        <v>0.0</v>
      </c>
      <c r="G176" s="94" t="n">
        <f t="shared" si="31"/>
        <v>0.0</v>
      </c>
      <c r="H176" s="94" t="n">
        <f t="shared" si="31"/>
        <v>14.0</v>
      </c>
      <c r="I176" s="22" t="str">
        <f t="shared" si="32"/>
        <v>閾値の範囲内です。</v>
      </c>
      <c r="J176" s="11"/>
      <c r="K176" s="1" t="str">
        <f t="shared" si="27"/>
        <v/>
      </c>
      <c r="L176" s="1" t="n">
        <f t="shared" si="30"/>
        <v>1.0</v>
      </c>
    </row>
    <row r="177" spans="2:12" ht="15.75" customHeight="1">
      <c r="B177" s="108"/>
      <c r="C177" s="58" t="str">
        <f t="shared" si="33"/>
        <v>短期入所療養介護（老健）</v>
      </c>
      <c r="D177" s="165"/>
      <c r="E177" s="18" t="s">
        <v>46</v>
      </c>
      <c r="F177" s="84" t="n">
        <f>IF('(参考)1人(1回(日))1月あたり給付費(在宅)'!H207="","",'(参考)1人(1回(日))1月あたり給付費(在宅)'!H207)</f>
        <v>3.3</v>
      </c>
      <c r="G177" s="94" t="n">
        <f t="shared" si="31"/>
        <v>0.0</v>
      </c>
      <c r="H177" s="94" t="n">
        <f t="shared" si="31"/>
        <v>17.0</v>
      </c>
      <c r="I177" s="22" t="str">
        <f t="shared" si="32"/>
        <v>閾値の範囲内です。</v>
      </c>
      <c r="J177" s="11"/>
      <c r="K177" s="1" t="str">
        <f t="shared" si="27"/>
        <v/>
      </c>
      <c r="L177" s="1" t="n">
        <f t="shared" si="30"/>
        <v>1.0</v>
      </c>
    </row>
    <row r="178" spans="2:12" ht="15.75" customHeight="1">
      <c r="B178" s="108"/>
      <c r="C178" s="58" t="str">
        <f t="shared" si="33"/>
        <v>短期入所療養介護（老健）</v>
      </c>
      <c r="D178" s="165"/>
      <c r="E178" s="18" t="s">
        <v>47</v>
      </c>
      <c r="F178" s="84" t="n">
        <f>IF('(参考)1人(1回(日))1月あたり給付費(在宅)'!H208="","",'(参考)1人(1回(日))1月あたり給付費(在宅)'!H208)</f>
        <v>9.3</v>
      </c>
      <c r="G178" s="94" t="n">
        <f t="shared" si="31"/>
        <v>0.0</v>
      </c>
      <c r="H178" s="94" t="n">
        <f t="shared" si="31"/>
        <v>19.0</v>
      </c>
      <c r="I178" s="22" t="str">
        <f t="shared" si="32"/>
        <v>閾値の範囲内です。</v>
      </c>
      <c r="J178" s="11"/>
      <c r="K178" s="1" t="str">
        <f t="shared" si="27"/>
        <v/>
      </c>
      <c r="L178" s="1" t="n">
        <f t="shared" si="30"/>
        <v>1.0</v>
      </c>
    </row>
    <row r="179" spans="2:12" ht="15.75" customHeight="1">
      <c r="B179" s="108"/>
      <c r="C179" s="58" t="str">
        <f t="shared" si="33"/>
        <v>短期入所療養介護（老健）</v>
      </c>
      <c r="D179" s="165"/>
      <c r="E179" s="18" t="s">
        <v>48</v>
      </c>
      <c r="F179" s="84" t="n">
        <f>IF('(参考)1人(1回(日))1月あたり給付費(在宅)'!H209="","",'(参考)1人(1回(日))1月あたり給付費(在宅)'!H209)</f>
        <v>4.0</v>
      </c>
      <c r="G179" s="94" t="n">
        <f t="shared" si="31"/>
        <v>0.0</v>
      </c>
      <c r="H179" s="94" t="n">
        <f t="shared" si="31"/>
        <v>20.0</v>
      </c>
      <c r="I179" s="22" t="str">
        <f t="shared" si="32"/>
        <v>閾値の範囲内です。</v>
      </c>
      <c r="J179" s="11"/>
      <c r="K179" s="1" t="str">
        <f t="shared" si="27"/>
        <v/>
      </c>
      <c r="L179" s="1" t="n">
        <f t="shared" si="30"/>
        <v>1.0</v>
      </c>
    </row>
    <row r="180" spans="2:12" ht="15.75" customHeight="1">
      <c r="B180" s="109"/>
      <c r="C180" s="59" t="str">
        <f t="shared" si="33"/>
        <v>短期入所療養介護（老健）</v>
      </c>
      <c r="D180" s="166"/>
      <c r="E180" s="23" t="s">
        <v>49</v>
      </c>
      <c r="F180" s="85" t="n">
        <f>IF('(参考)1人(1回(日))1月あたり給付費(在宅)'!H210="","",'(参考)1人(1回(日))1月あたり給付費(在宅)'!H210)</f>
        <v>9.3</v>
      </c>
      <c r="G180" s="95" t="n">
        <f t="shared" si="31"/>
        <v>1.0</v>
      </c>
      <c r="H180" s="95" t="n">
        <f t="shared" si="31"/>
        <v>14.0</v>
      </c>
      <c r="I180" s="27" t="str">
        <f t="shared" si="32"/>
        <v>閾値の範囲内です。</v>
      </c>
      <c r="J180" s="11"/>
      <c r="K180" s="1" t="str">
        <f t="shared" si="27"/>
        <v/>
      </c>
    </row>
    <row r="181" spans="2:12" ht="15.75" customHeight="1">
      <c r="B181" s="107">
        <v>10</v>
      </c>
      <c r="C181" s="7" t="s">
        <v>97</v>
      </c>
      <c r="D181" s="164" t="s">
        <v>416</v>
      </c>
      <c r="E181" s="15" t="s">
        <v>50</v>
      </c>
      <c r="F181" s="82" t="n">
        <f>IF('(参考)1人(1回(日))1月あたり給付費(在宅)'!H211="","",'(参考)1人(1回(日))1月あたり給付費(在宅)'!H211)</f>
        <v>0.0</v>
      </c>
      <c r="G181" s="92" t="n">
        <f>IF(data!I324&lt;0,0,data!I324)</f>
        <v>0.0</v>
      </c>
      <c r="H181" s="92" t="n">
        <f>IF(data!J324&lt;0,0,data!J324)</f>
        <v>14.0</v>
      </c>
      <c r="I181" s="32" t="str">
        <f t="shared" si="32"/>
        <v>閾値の範囲内です。</v>
      </c>
      <c r="J181" s="11"/>
      <c r="K181" s="1" t="str">
        <f t="shared" si="27"/>
        <v/>
      </c>
      <c r="L181" s="1" t="n">
        <f t="shared" si="30"/>
        <v>1.0</v>
      </c>
    </row>
    <row r="182" spans="2:12" ht="15.75" customHeight="1">
      <c r="B182" s="108"/>
      <c r="C182" s="58" t="str">
        <f t="shared" si="33"/>
        <v>短期入所療養介護（病院等）</v>
      </c>
      <c r="D182" s="165"/>
      <c r="E182" s="30" t="s">
        <v>51</v>
      </c>
      <c r="F182" s="83" t="n">
        <f>IF('(参考)1人(1回(日))1月あたり給付費(在宅)'!H212="","",'(参考)1人(1回(日))1月あたり給付費(在宅)'!H212)</f>
        <v>0.0</v>
      </c>
      <c r="G182" s="93" t="n">
        <f>IF(data!I325&lt;0,0,data!I325)</f>
        <v>0.0</v>
      </c>
      <c r="H182" s="93" t="n">
        <f>IF(data!J325&lt;0,0,data!J325)</f>
        <v>22.0</v>
      </c>
      <c r="I182" s="33" t="str">
        <f t="shared" si="32"/>
        <v>閾値の範囲内です。</v>
      </c>
      <c r="J182" s="11"/>
      <c r="K182" s="1" t="str">
        <f t="shared" si="27"/>
        <v/>
      </c>
      <c r="L182" s="1" t="n">
        <f t="shared" si="30"/>
        <v>1.0</v>
      </c>
    </row>
    <row r="183" spans="2:12" ht="15.75" customHeight="1">
      <c r="B183" s="108"/>
      <c r="C183" s="58" t="str">
        <f t="shared" si="33"/>
        <v>短期入所療養介護（病院等）</v>
      </c>
      <c r="D183" s="165"/>
      <c r="E183" s="18" t="s">
        <v>44</v>
      </c>
      <c r="F183" s="84" t="n">
        <f>IF('(参考)1人(1回(日))1月あたり給付費(在宅)'!H213="","",'(参考)1人(1回(日))1月あたり給付費(在宅)'!H213)</f>
        <v>0.0</v>
      </c>
      <c r="G183" s="94" t="n">
        <f>IF(data!I326&lt;0,0,data!I326)</f>
        <v>0.0</v>
      </c>
      <c r="H183" s="94" t="n">
        <f>IF(data!J326&lt;0,0,data!J326)</f>
        <v>21.0</v>
      </c>
      <c r="I183" s="22" t="str">
        <f t="shared" si="32"/>
        <v>閾値の範囲内です。</v>
      </c>
      <c r="J183" s="11"/>
      <c r="K183" s="1" t="str">
        <f t="shared" si="27"/>
        <v/>
      </c>
      <c r="L183" s="1" t="n">
        <f t="shared" si="30"/>
        <v>1.0</v>
      </c>
    </row>
    <row r="184" spans="2:12" ht="15.75" customHeight="1">
      <c r="B184" s="108"/>
      <c r="C184" s="58" t="str">
        <f t="shared" si="33"/>
        <v>短期入所療養介護（病院等）</v>
      </c>
      <c r="D184" s="165"/>
      <c r="E184" s="18" t="s">
        <v>45</v>
      </c>
      <c r="F184" s="84" t="n">
        <f>IF('(参考)1人(1回(日))1月あたり給付費(在宅)'!H214="","",'(参考)1人(1回(日))1月あたり給付費(在宅)'!H214)</f>
        <v>0.0</v>
      </c>
      <c r="G184" s="94" t="n">
        <f>IF(data!I327&lt;0,0,data!I327)</f>
        <v>0.0</v>
      </c>
      <c r="H184" s="94" t="n">
        <f>IF(data!J327&lt;0,0,data!J327)</f>
        <v>26.0</v>
      </c>
      <c r="I184" s="22" t="str">
        <f t="shared" si="32"/>
        <v>閾値の範囲内です。</v>
      </c>
      <c r="J184" s="11"/>
      <c r="K184" s="1" t="str">
        <f t="shared" si="27"/>
        <v/>
      </c>
      <c r="L184" s="1" t="n">
        <f t="shared" si="30"/>
        <v>1.0</v>
      </c>
    </row>
    <row r="185" spans="2:12" ht="15.75" customHeight="1">
      <c r="B185" s="108"/>
      <c r="C185" s="58" t="str">
        <f t="shared" si="33"/>
        <v>短期入所療養介護（病院等）</v>
      </c>
      <c r="D185" s="165"/>
      <c r="E185" s="18" t="s">
        <v>46</v>
      </c>
      <c r="F185" s="84" t="n">
        <f>IF('(参考)1人(1回(日))1月あたり給付費(在宅)'!H215="","",'(参考)1人(1回(日))1月あたり給付費(在宅)'!H215)</f>
        <v>0.0</v>
      </c>
      <c r="G185" s="94" t="n">
        <f>IF(data!I328&lt;0,0,data!I328)</f>
        <v>0.0</v>
      </c>
      <c r="H185" s="94" t="n">
        <f>IF(data!J328&lt;0,0,data!J328)</f>
        <v>55.0</v>
      </c>
      <c r="I185" s="22" t="str">
        <f t="shared" si="32"/>
        <v>閾値の範囲内です。</v>
      </c>
      <c r="J185" s="11"/>
      <c r="K185" s="1" t="str">
        <f t="shared" si="27"/>
        <v/>
      </c>
      <c r="L185" s="1" t="n">
        <f t="shared" si="30"/>
        <v>1.0</v>
      </c>
    </row>
    <row r="186" spans="2:12" ht="15.75" customHeight="1">
      <c r="B186" s="108"/>
      <c r="C186" s="58" t="str">
        <f t="shared" si="33"/>
        <v>短期入所療養介護（病院等）</v>
      </c>
      <c r="D186" s="165"/>
      <c r="E186" s="18" t="s">
        <v>47</v>
      </c>
      <c r="F186" s="84" t="n">
        <f>IF('(参考)1人(1回(日))1月あたり給付費(在宅)'!H216="","",'(参考)1人(1回(日))1月あたり給付費(在宅)'!H216)</f>
        <v>0.0</v>
      </c>
      <c r="G186" s="94" t="n">
        <f>IF(data!I329&lt;0,0,data!I329)</f>
        <v>0.0</v>
      </c>
      <c r="H186" s="94" t="n">
        <f>IF(data!J329&lt;0,0,data!J329)</f>
        <v>53.0</v>
      </c>
      <c r="I186" s="22" t="str">
        <f t="shared" si="32"/>
        <v>閾値の範囲内です。</v>
      </c>
      <c r="J186" s="11"/>
      <c r="K186" s="1" t="str">
        <f t="shared" si="27"/>
        <v/>
      </c>
      <c r="L186" s="1" t="n">
        <f t="shared" si="30"/>
        <v>1.0</v>
      </c>
    </row>
    <row r="187" spans="2:12" ht="15.75" customHeight="1">
      <c r="B187" s="108"/>
      <c r="C187" s="58" t="str">
        <f t="shared" si="33"/>
        <v>短期入所療養介護（病院等）</v>
      </c>
      <c r="D187" s="165"/>
      <c r="E187" s="18" t="s">
        <v>48</v>
      </c>
      <c r="F187" s="84" t="n">
        <f>IF('(参考)1人(1回(日))1月あたり給付費(在宅)'!H217="","",'(参考)1人(1回(日))1月あたり給付費(在宅)'!H217)</f>
        <v>0.0</v>
      </c>
      <c r="G187" s="94" t="n">
        <f>IF(data!I330&lt;0,0,data!I330)</f>
        <v>0.0</v>
      </c>
      <c r="H187" s="94" t="n">
        <f>IF(data!J330&lt;0,0,data!J330)</f>
        <v>51.0</v>
      </c>
      <c r="I187" s="22" t="str">
        <f t="shared" si="32"/>
        <v>閾値の範囲内です。</v>
      </c>
      <c r="J187" s="11"/>
      <c r="K187" s="1" t="str">
        <f t="shared" si="27"/>
        <v/>
      </c>
      <c r="L187" s="1" t="n">
        <f t="shared" si="30"/>
        <v>1.0</v>
      </c>
    </row>
    <row r="188" spans="2:12" ht="15.75" customHeight="1">
      <c r="B188" s="108"/>
      <c r="C188" s="58" t="str">
        <f t="shared" si="33"/>
        <v>短期入所療養介護（病院等）</v>
      </c>
      <c r="D188" s="166"/>
      <c r="E188" s="23" t="s">
        <v>49</v>
      </c>
      <c r="F188" s="85" t="str">
        <f>IF('(参考)1人(1回(日))1月あたり給付費(在宅)'!H218="","",'(参考)1人(1回(日))1月あたり給付費(在宅)'!H218)</f>
        <v>－</v>
      </c>
      <c r="G188" s="95" t="n">
        <f>IF(data!I331&lt;0,0,data!I331)</f>
        <v>0.0</v>
      </c>
      <c r="H188" s="95" t="n">
        <f>IF(data!J331&lt;0,0,data!J331)</f>
        <v>43.0</v>
      </c>
      <c r="I188" s="27" t="str">
        <f t="shared" si="32"/>
        <v/>
      </c>
      <c r="J188" s="11"/>
      <c r="K188" s="1" t="str">
        <f t="shared" si="27"/>
        <v/>
      </c>
    </row>
    <row r="189" spans="2:12" ht="15.75" customHeight="1">
      <c r="B189" s="108"/>
      <c r="C189" s="58" t="str">
        <f t="shared" si="33"/>
        <v>短期入所療養介護（病院等）</v>
      </c>
      <c r="D189" s="164" t="s">
        <v>415</v>
      </c>
      <c r="E189" s="15" t="s">
        <v>50</v>
      </c>
      <c r="F189" s="82" t="n">
        <f>IF('(参考)1人(1回(日))1月あたり給付費(在宅)'!H219="","",'(参考)1人(1回(日))1月あたり給付費(在宅)'!H219)</f>
        <v>0.0</v>
      </c>
      <c r="G189" s="92" t="n">
        <f t="shared" ref="G189:H204" si="34">G181</f>
        <v>0.0</v>
      </c>
      <c r="H189" s="92" t="n">
        <f t="shared" si="34"/>
        <v>14.0</v>
      </c>
      <c r="I189" s="32" t="str">
        <f t="shared" si="32"/>
        <v>閾値の範囲内です。</v>
      </c>
      <c r="J189" s="11"/>
      <c r="K189" s="1" t="str">
        <f t="shared" si="27"/>
        <v/>
      </c>
      <c r="L189" s="1" t="n">
        <f t="shared" si="30"/>
        <v>1.0</v>
      </c>
    </row>
    <row r="190" spans="2:12" ht="15.75" customHeight="1">
      <c r="B190" s="108"/>
      <c r="C190" s="58" t="str">
        <f t="shared" si="33"/>
        <v>短期入所療養介護（病院等）</v>
      </c>
      <c r="D190" s="165"/>
      <c r="E190" s="30" t="s">
        <v>51</v>
      </c>
      <c r="F190" s="83" t="n">
        <f>IF('(参考)1人(1回(日))1月あたり給付費(在宅)'!H220="","",'(参考)1人(1回(日))1月あたり給付費(在宅)'!H220)</f>
        <v>0.0</v>
      </c>
      <c r="G190" s="93" t="n">
        <f t="shared" si="34"/>
        <v>0.0</v>
      </c>
      <c r="H190" s="93" t="n">
        <f t="shared" si="34"/>
        <v>22.0</v>
      </c>
      <c r="I190" s="33" t="str">
        <f t="shared" si="32"/>
        <v>閾値の範囲内です。</v>
      </c>
      <c r="J190" s="11"/>
      <c r="K190" s="1" t="str">
        <f t="shared" si="27"/>
        <v/>
      </c>
      <c r="L190" s="1" t="n">
        <f t="shared" si="30"/>
        <v>1.0</v>
      </c>
    </row>
    <row r="191" spans="2:12" ht="15.75" customHeight="1">
      <c r="B191" s="108"/>
      <c r="C191" s="58" t="str">
        <f t="shared" si="33"/>
        <v>短期入所療養介護（病院等）</v>
      </c>
      <c r="D191" s="165"/>
      <c r="E191" s="18" t="s">
        <v>44</v>
      </c>
      <c r="F191" s="84" t="n">
        <f>IF('(参考)1人(1回(日))1月あたり給付費(在宅)'!H221="","",'(参考)1人(1回(日))1月あたり給付費(在宅)'!H221)</f>
        <v>0.0</v>
      </c>
      <c r="G191" s="94" t="n">
        <f t="shared" si="34"/>
        <v>0.0</v>
      </c>
      <c r="H191" s="94" t="n">
        <f t="shared" si="34"/>
        <v>21.0</v>
      </c>
      <c r="I191" s="22" t="str">
        <f t="shared" si="32"/>
        <v>閾値の範囲内です。</v>
      </c>
      <c r="J191" s="11"/>
      <c r="K191" s="1" t="str">
        <f t="shared" si="27"/>
        <v/>
      </c>
      <c r="L191" s="1" t="n">
        <f t="shared" si="30"/>
        <v>1.0</v>
      </c>
    </row>
    <row r="192" spans="2:12" ht="15.75" customHeight="1">
      <c r="B192" s="108"/>
      <c r="C192" s="58" t="str">
        <f t="shared" si="33"/>
        <v>短期入所療養介護（病院等）</v>
      </c>
      <c r="D192" s="165"/>
      <c r="E192" s="18" t="s">
        <v>45</v>
      </c>
      <c r="F192" s="84" t="n">
        <f>IF('(参考)1人(1回(日))1月あたり給付費(在宅)'!H222="","",'(参考)1人(1回(日))1月あたり給付費(在宅)'!H222)</f>
        <v>0.0</v>
      </c>
      <c r="G192" s="94" t="n">
        <f t="shared" si="34"/>
        <v>0.0</v>
      </c>
      <c r="H192" s="94" t="n">
        <f t="shared" si="34"/>
        <v>26.0</v>
      </c>
      <c r="I192" s="22" t="str">
        <f t="shared" si="32"/>
        <v>閾値の範囲内です。</v>
      </c>
      <c r="J192" s="11"/>
      <c r="K192" s="1" t="str">
        <f t="shared" si="27"/>
        <v/>
      </c>
      <c r="L192" s="1" t="n">
        <f t="shared" si="30"/>
        <v>1.0</v>
      </c>
    </row>
    <row r="193" spans="2:12" ht="15.75" customHeight="1">
      <c r="B193" s="108"/>
      <c r="C193" s="58" t="str">
        <f t="shared" si="33"/>
        <v>短期入所療養介護（病院等）</v>
      </c>
      <c r="D193" s="165"/>
      <c r="E193" s="18" t="s">
        <v>46</v>
      </c>
      <c r="F193" s="84" t="n">
        <f>IF('(参考)1人(1回(日))1月あたり給付費(在宅)'!H223="","",'(参考)1人(1回(日))1月あたり給付費(在宅)'!H223)</f>
        <v>0.0</v>
      </c>
      <c r="G193" s="94" t="n">
        <f t="shared" si="34"/>
        <v>0.0</v>
      </c>
      <c r="H193" s="94" t="n">
        <f t="shared" si="34"/>
        <v>55.0</v>
      </c>
      <c r="I193" s="22" t="str">
        <f t="shared" si="32"/>
        <v>閾値の範囲内です。</v>
      </c>
      <c r="J193" s="11"/>
      <c r="K193" s="1" t="str">
        <f t="shared" si="27"/>
        <v/>
      </c>
      <c r="L193" s="1" t="n">
        <f t="shared" si="30"/>
        <v>1.0</v>
      </c>
    </row>
    <row r="194" spans="2:12" ht="15.75" customHeight="1">
      <c r="B194" s="108"/>
      <c r="C194" s="58" t="str">
        <f t="shared" si="33"/>
        <v>短期入所療養介護（病院等）</v>
      </c>
      <c r="D194" s="165"/>
      <c r="E194" s="18" t="s">
        <v>47</v>
      </c>
      <c r="F194" s="84" t="n">
        <f>IF('(参考)1人(1回(日))1月あたり給付費(在宅)'!H224="","",'(参考)1人(1回(日))1月あたり給付費(在宅)'!H224)</f>
        <v>0.0</v>
      </c>
      <c r="G194" s="94" t="n">
        <f t="shared" si="34"/>
        <v>0.0</v>
      </c>
      <c r="H194" s="94" t="n">
        <f t="shared" si="34"/>
        <v>53.0</v>
      </c>
      <c r="I194" s="22" t="str">
        <f t="shared" si="32"/>
        <v>閾値の範囲内です。</v>
      </c>
      <c r="J194" s="11"/>
      <c r="K194" s="1" t="str">
        <f t="shared" si="27"/>
        <v/>
      </c>
      <c r="L194" s="1" t="n">
        <f t="shared" si="30"/>
        <v>1.0</v>
      </c>
    </row>
    <row r="195" spans="2:12" ht="15.75" customHeight="1">
      <c r="B195" s="108"/>
      <c r="C195" s="58" t="str">
        <f t="shared" si="33"/>
        <v>短期入所療養介護（病院等）</v>
      </c>
      <c r="D195" s="165"/>
      <c r="E195" s="18" t="s">
        <v>48</v>
      </c>
      <c r="F195" s="84" t="n">
        <f>IF('(参考)1人(1回(日))1月あたり給付費(在宅)'!H225="","",'(参考)1人(1回(日))1月あたり給付費(在宅)'!H225)</f>
        <v>0.0</v>
      </c>
      <c r="G195" s="94" t="n">
        <f t="shared" si="34"/>
        <v>0.0</v>
      </c>
      <c r="H195" s="94" t="n">
        <f t="shared" si="34"/>
        <v>51.0</v>
      </c>
      <c r="I195" s="22" t="str">
        <f t="shared" si="32"/>
        <v>閾値の範囲内です。</v>
      </c>
      <c r="J195" s="11"/>
      <c r="K195" s="1" t="str">
        <f t="shared" si="27"/>
        <v/>
      </c>
      <c r="L195" s="1" t="n">
        <f t="shared" si="30"/>
        <v>1.0</v>
      </c>
    </row>
    <row r="196" spans="2:12" ht="15.75" customHeight="1">
      <c r="B196" s="108"/>
      <c r="C196" s="58" t="str">
        <f t="shared" si="33"/>
        <v>短期入所療養介護（病院等）</v>
      </c>
      <c r="D196" s="166"/>
      <c r="E196" s="23" t="s">
        <v>49</v>
      </c>
      <c r="F196" s="85" t="str">
        <f>IF('(参考)1人(1回(日))1月あたり給付費(在宅)'!H226="","",'(参考)1人(1回(日))1月あたり給付費(在宅)'!H226)</f>
        <v>－</v>
      </c>
      <c r="G196" s="94" t="n">
        <f t="shared" si="34"/>
        <v>0.0</v>
      </c>
      <c r="H196" s="94" t="n">
        <f t="shared" si="34"/>
        <v>43.0</v>
      </c>
      <c r="I196" s="27" t="str">
        <f t="shared" si="32"/>
        <v/>
      </c>
      <c r="J196" s="11"/>
      <c r="K196" s="1" t="str">
        <f t="shared" si="27"/>
        <v/>
      </c>
    </row>
    <row r="197" spans="2:12" ht="15.75" customHeight="1">
      <c r="B197" s="108"/>
      <c r="C197" s="58" t="str">
        <f t="shared" si="33"/>
        <v>短期入所療養介護（病院等）</v>
      </c>
      <c r="D197" s="164" t="s">
        <v>414</v>
      </c>
      <c r="E197" s="15" t="s">
        <v>50</v>
      </c>
      <c r="F197" s="82" t="n">
        <f>IF('(参考)1人(1回(日))1月あたり給付費(在宅)'!H227="","",'(参考)1人(1回(日))1月あたり給付費(在宅)'!H227)</f>
        <v>0.0</v>
      </c>
      <c r="G197" s="92" t="n">
        <f t="shared" si="34"/>
        <v>0.0</v>
      </c>
      <c r="H197" s="92" t="n">
        <f t="shared" si="34"/>
        <v>14.0</v>
      </c>
      <c r="I197" s="32" t="str">
        <f t="shared" ref="I197:I228" si="35">IF(OR(F197="",F197="－"),"",IF(F197&lt;G197,"下限値を"&amp;TEXT(ROUND(G197-F197,1),"#,##0.0日")&amp;"下回っています。",IF(F197&gt;H197,"上限値を"&amp;TEXT(ROUND(F197-H197,1),"#,##0.0日")&amp;"上回っています。","閾値の範囲内です。")))</f>
        <v>閾値の範囲内です。</v>
      </c>
      <c r="J197" s="11"/>
      <c r="K197" s="1" t="str">
        <f t="shared" si="27"/>
        <v/>
      </c>
      <c r="L197" s="1" t="n">
        <f t="shared" si="30"/>
        <v>1.0</v>
      </c>
    </row>
    <row r="198" spans="2:12" ht="15.75" customHeight="1">
      <c r="B198" s="108"/>
      <c r="C198" s="58" t="str">
        <f t="shared" si="33"/>
        <v>短期入所療養介護（病院等）</v>
      </c>
      <c r="D198" s="165"/>
      <c r="E198" s="30" t="s">
        <v>51</v>
      </c>
      <c r="F198" s="83" t="n">
        <f>IF('(参考)1人(1回(日))1月あたり給付費(在宅)'!H228="","",'(参考)1人(1回(日))1月あたり給付費(在宅)'!H228)</f>
        <v>0.0</v>
      </c>
      <c r="G198" s="93" t="n">
        <f t="shared" si="34"/>
        <v>0.0</v>
      </c>
      <c r="H198" s="93" t="n">
        <f t="shared" si="34"/>
        <v>22.0</v>
      </c>
      <c r="I198" s="33" t="str">
        <f t="shared" si="35"/>
        <v>閾値の範囲内です。</v>
      </c>
      <c r="J198" s="11"/>
      <c r="K198" s="1" t="str">
        <f t="shared" si="27"/>
        <v/>
      </c>
      <c r="L198" s="1" t="n">
        <f t="shared" si="30"/>
        <v>1.0</v>
      </c>
    </row>
    <row r="199" spans="2:12" ht="15.75" customHeight="1">
      <c r="B199" s="108"/>
      <c r="C199" s="58" t="str">
        <f t="shared" si="33"/>
        <v>短期入所療養介護（病院等）</v>
      </c>
      <c r="D199" s="165"/>
      <c r="E199" s="18" t="s">
        <v>44</v>
      </c>
      <c r="F199" s="84" t="n">
        <f>IF('(参考)1人(1回(日))1月あたり給付費(在宅)'!H229="","",'(参考)1人(1回(日))1月あたり給付費(在宅)'!H229)</f>
        <v>0.0</v>
      </c>
      <c r="G199" s="94" t="n">
        <f t="shared" si="34"/>
        <v>0.0</v>
      </c>
      <c r="H199" s="94" t="n">
        <f t="shared" si="34"/>
        <v>21.0</v>
      </c>
      <c r="I199" s="22" t="str">
        <f t="shared" si="35"/>
        <v>閾値の範囲内です。</v>
      </c>
      <c r="J199" s="11"/>
      <c r="K199" s="1" t="str">
        <f t="shared" si="27"/>
        <v/>
      </c>
      <c r="L199" s="1" t="n">
        <f t="shared" si="30"/>
        <v>1.0</v>
      </c>
    </row>
    <row r="200" spans="2:12" ht="15.75" customHeight="1">
      <c r="B200" s="108"/>
      <c r="C200" s="58" t="str">
        <f t="shared" si="33"/>
        <v>短期入所療養介護（病院等）</v>
      </c>
      <c r="D200" s="165"/>
      <c r="E200" s="18" t="s">
        <v>45</v>
      </c>
      <c r="F200" s="84" t="n">
        <f>IF('(参考)1人(1回(日))1月あたり給付費(在宅)'!H230="","",'(参考)1人(1回(日))1月あたり給付費(在宅)'!H230)</f>
        <v>0.0</v>
      </c>
      <c r="G200" s="94" t="n">
        <f t="shared" si="34"/>
        <v>0.0</v>
      </c>
      <c r="H200" s="94" t="n">
        <f t="shared" si="34"/>
        <v>26.0</v>
      </c>
      <c r="I200" s="22" t="str">
        <f t="shared" si="35"/>
        <v>閾値の範囲内です。</v>
      </c>
      <c r="J200" s="11"/>
      <c r="K200" s="1" t="str">
        <f t="shared" ref="K200:K270" si="36">IF(OR(F200="－",F200="",AND(G200="－",H200="－")),"",IF(OR(F200&lt;G200,F200&gt;H200),1,""))</f>
        <v/>
      </c>
      <c r="L200" s="1" t="n">
        <f t="shared" si="30"/>
        <v>1.0</v>
      </c>
    </row>
    <row r="201" spans="2:12" ht="15.75" customHeight="1">
      <c r="B201" s="108"/>
      <c r="C201" s="58" t="str">
        <f t="shared" si="33"/>
        <v>短期入所療養介護（病院等）</v>
      </c>
      <c r="D201" s="165"/>
      <c r="E201" s="18" t="s">
        <v>46</v>
      </c>
      <c r="F201" s="84" t="n">
        <f>IF('(参考)1人(1回(日))1月あたり給付費(在宅)'!H231="","",'(参考)1人(1回(日))1月あたり給付費(在宅)'!H231)</f>
        <v>0.0</v>
      </c>
      <c r="G201" s="94" t="n">
        <f t="shared" si="34"/>
        <v>0.0</v>
      </c>
      <c r="H201" s="94" t="n">
        <f t="shared" si="34"/>
        <v>55.0</v>
      </c>
      <c r="I201" s="22" t="str">
        <f t="shared" si="35"/>
        <v>閾値の範囲内です。</v>
      </c>
      <c r="J201" s="11"/>
      <c r="K201" s="1" t="str">
        <f t="shared" si="36"/>
        <v/>
      </c>
      <c r="L201" s="1" t="n">
        <f t="shared" si="30"/>
        <v>1.0</v>
      </c>
    </row>
    <row r="202" spans="2:12" ht="15.75" customHeight="1">
      <c r="B202" s="108"/>
      <c r="C202" s="58" t="str">
        <f t="shared" si="33"/>
        <v>短期入所療養介護（病院等）</v>
      </c>
      <c r="D202" s="165"/>
      <c r="E202" s="18" t="s">
        <v>47</v>
      </c>
      <c r="F202" s="84" t="n">
        <f>IF('(参考)1人(1回(日))1月あたり給付費(在宅)'!H232="","",'(参考)1人(1回(日))1月あたり給付費(在宅)'!H232)</f>
        <v>0.0</v>
      </c>
      <c r="G202" s="94" t="n">
        <f t="shared" si="34"/>
        <v>0.0</v>
      </c>
      <c r="H202" s="94" t="n">
        <f t="shared" si="34"/>
        <v>53.0</v>
      </c>
      <c r="I202" s="22" t="str">
        <f t="shared" si="35"/>
        <v>閾値の範囲内です。</v>
      </c>
      <c r="J202" s="11"/>
      <c r="K202" s="1" t="str">
        <f t="shared" si="36"/>
        <v/>
      </c>
      <c r="L202" s="1" t="n">
        <f t="shared" si="30"/>
        <v>1.0</v>
      </c>
    </row>
    <row r="203" spans="2:12" ht="15.75" customHeight="1">
      <c r="B203" s="108"/>
      <c r="C203" s="58" t="str">
        <f t="shared" si="33"/>
        <v>短期入所療養介護（病院等）</v>
      </c>
      <c r="D203" s="165"/>
      <c r="E203" s="18" t="s">
        <v>48</v>
      </c>
      <c r="F203" s="84" t="n">
        <f>IF('(参考)1人(1回(日))1月あたり給付費(在宅)'!H233="","",'(参考)1人(1回(日))1月あたり給付費(在宅)'!H233)</f>
        <v>0.0</v>
      </c>
      <c r="G203" s="94" t="n">
        <f t="shared" si="34"/>
        <v>0.0</v>
      </c>
      <c r="H203" s="94" t="n">
        <f t="shared" si="34"/>
        <v>51.0</v>
      </c>
      <c r="I203" s="22" t="str">
        <f t="shared" si="35"/>
        <v>閾値の範囲内です。</v>
      </c>
      <c r="J203" s="11"/>
      <c r="K203" s="1" t="str">
        <f t="shared" si="36"/>
        <v/>
      </c>
      <c r="L203" s="1" t="n">
        <f t="shared" si="30"/>
        <v>1.0</v>
      </c>
    </row>
    <row r="204" spans="2:12" ht="15.75" customHeight="1">
      <c r="B204" s="109"/>
      <c r="C204" s="59" t="str">
        <f t="shared" si="33"/>
        <v>短期入所療養介護（病院等）</v>
      </c>
      <c r="D204" s="166"/>
      <c r="E204" s="23" t="s">
        <v>49</v>
      </c>
      <c r="F204" s="85" t="str">
        <f>IF('(参考)1人(1回(日))1月あたり給付費(在宅)'!H234="","",'(参考)1人(1回(日))1月あたり給付費(在宅)'!H234)</f>
        <v>－</v>
      </c>
      <c r="G204" s="95" t="n">
        <f t="shared" si="34"/>
        <v>0.0</v>
      </c>
      <c r="H204" s="95" t="n">
        <f t="shared" si="34"/>
        <v>43.0</v>
      </c>
      <c r="I204" s="27" t="str">
        <f t="shared" si="35"/>
        <v/>
      </c>
      <c r="J204" s="11"/>
      <c r="K204" s="1" t="str">
        <f t="shared" si="36"/>
        <v/>
      </c>
    </row>
    <row r="205" spans="2:12" ht="15.75" customHeight="1">
      <c r="B205" s="107">
        <v>11</v>
      </c>
      <c r="C205" s="7" t="s">
        <v>116</v>
      </c>
      <c r="D205" s="164" t="s">
        <v>416</v>
      </c>
      <c r="E205" s="15" t="s">
        <v>50</v>
      </c>
      <c r="F205" s="82" t="n">
        <f>IF('(参考)1人(1回(日))1月あたり給付費(在宅)'!H235="","",'(参考)1人(1回(日))1月あたり給付費(在宅)'!H235)</f>
        <v>0.0</v>
      </c>
      <c r="G205" s="92" t="s">
        <v>119</v>
      </c>
      <c r="H205" s="92" t="s">
        <v>119</v>
      </c>
      <c r="I205" s="32" t="s">
        <v>57</v>
      </c>
      <c r="J205" s="11"/>
      <c r="K205" s="1" t="str">
        <f t="shared" si="36"/>
        <v/>
      </c>
      <c r="L205" s="1" t="n">
        <f t="shared" ref="L205:L211" si="37">IF(F205="","",1)</f>
        <v>1.0</v>
      </c>
    </row>
    <row r="206" spans="2:12" ht="15.75" customHeight="1">
      <c r="B206" s="108"/>
      <c r="C206" s="58" t="str">
        <f t="shared" si="33"/>
        <v>短期入所療養介護（介護医療院）</v>
      </c>
      <c r="D206" s="165"/>
      <c r="E206" s="30" t="s">
        <v>51</v>
      </c>
      <c r="F206" s="83" t="n">
        <f>IF('(参考)1人(1回(日))1月あたり給付費(在宅)'!H236="","",'(参考)1人(1回(日))1月あたり給付費(在宅)'!H236)</f>
        <v>0.0</v>
      </c>
      <c r="G206" s="93" t="n">
        <f>IF(data!I333&lt;0,0,data!I333)</f>
        <v>0.0</v>
      </c>
      <c r="H206" s="93" t="n">
        <f>IF(data!J333&lt;0,0,data!J333)</f>
        <v>19.0</v>
      </c>
      <c r="I206" s="33" t="str">
        <f t="shared" si="35"/>
        <v>閾値の範囲内です。</v>
      </c>
      <c r="J206" s="11"/>
      <c r="K206" s="1" t="str">
        <f t="shared" si="36"/>
        <v/>
      </c>
      <c r="L206" s="1" t="n">
        <f t="shared" si="37"/>
        <v>1.0</v>
      </c>
    </row>
    <row r="207" spans="2:12" ht="15.75" customHeight="1">
      <c r="B207" s="108"/>
      <c r="C207" s="58" t="str">
        <f t="shared" si="33"/>
        <v>短期入所療養介護（介護医療院）</v>
      </c>
      <c r="D207" s="165"/>
      <c r="E207" s="18" t="s">
        <v>44</v>
      </c>
      <c r="F207" s="84" t="n">
        <f>IF('(参考)1人(1回(日))1月あたり給付費(在宅)'!H237="","",'(参考)1人(1回(日))1月あたり給付費(在宅)'!H237)</f>
        <v>0.0</v>
      </c>
      <c r="G207" s="94" t="n">
        <f>IF(data!I334&lt;0,0,data!I334)</f>
        <v>0.0</v>
      </c>
      <c r="H207" s="94" t="n">
        <f>IF(data!J334&lt;0,0,data!J334)</f>
        <v>15.0</v>
      </c>
      <c r="I207" s="22" t="str">
        <f t="shared" si="35"/>
        <v>閾値の範囲内です。</v>
      </c>
      <c r="J207" s="11"/>
      <c r="K207" s="1" t="str">
        <f t="shared" si="36"/>
        <v/>
      </c>
      <c r="L207" s="1" t="n">
        <f t="shared" si="37"/>
        <v>1.0</v>
      </c>
    </row>
    <row r="208" spans="2:12" ht="15.75" customHeight="1">
      <c r="B208" s="108"/>
      <c r="C208" s="58" t="str">
        <f t="shared" si="33"/>
        <v>短期入所療養介護（介護医療院）</v>
      </c>
      <c r="D208" s="165"/>
      <c r="E208" s="18" t="s">
        <v>45</v>
      </c>
      <c r="F208" s="84" t="n">
        <f>IF('(参考)1人(1回(日))1月あたり給付費(在宅)'!H238="","",'(参考)1人(1回(日))1月あたり給付費(在宅)'!H238)</f>
        <v>0.0</v>
      </c>
      <c r="G208" s="94" t="n">
        <f>IF(data!I335&lt;0,0,data!I335)</f>
        <v>0.0</v>
      </c>
      <c r="H208" s="94" t="n">
        <f>IF(data!J335&lt;0,0,data!J335)</f>
        <v>16.0</v>
      </c>
      <c r="I208" s="22" t="str">
        <f t="shared" si="35"/>
        <v>閾値の範囲内です。</v>
      </c>
      <c r="J208" s="11"/>
      <c r="K208" s="1" t="str">
        <f t="shared" si="36"/>
        <v/>
      </c>
      <c r="L208" s="1" t="n">
        <f t="shared" si="37"/>
        <v>1.0</v>
      </c>
    </row>
    <row r="209" spans="2:12" ht="15.75" customHeight="1">
      <c r="B209" s="108"/>
      <c r="C209" s="58" t="str">
        <f t="shared" si="33"/>
        <v>短期入所療養介護（介護医療院）</v>
      </c>
      <c r="D209" s="165"/>
      <c r="E209" s="18" t="s">
        <v>46</v>
      </c>
      <c r="F209" s="84" t="n">
        <f>IF('(参考)1人(1回(日))1月あたり給付費(在宅)'!H239="","",'(参考)1人(1回(日))1月あたり給付費(在宅)'!H239)</f>
        <v>0.0</v>
      </c>
      <c r="G209" s="94" t="n">
        <f>IF(data!I336&lt;0,0,data!I336)</f>
        <v>0.0</v>
      </c>
      <c r="H209" s="94" t="n">
        <f>IF(data!J336&lt;0,0,data!J336)</f>
        <v>23.0</v>
      </c>
      <c r="I209" s="22" t="str">
        <f t="shared" si="35"/>
        <v>閾値の範囲内です。</v>
      </c>
      <c r="J209" s="11"/>
      <c r="K209" s="1" t="str">
        <f t="shared" si="36"/>
        <v/>
      </c>
      <c r="L209" s="1" t="n">
        <f t="shared" si="37"/>
        <v>1.0</v>
      </c>
    </row>
    <row r="210" spans="2:12" ht="15.75" customHeight="1">
      <c r="B210" s="108"/>
      <c r="C210" s="58" t="str">
        <f t="shared" si="33"/>
        <v>短期入所療養介護（介護医療院）</v>
      </c>
      <c r="D210" s="165"/>
      <c r="E210" s="18" t="s">
        <v>47</v>
      </c>
      <c r="F210" s="84" t="n">
        <f>IF('(参考)1人(1回(日))1月あたり給付費(在宅)'!H240="","",'(参考)1人(1回(日))1月あたり給付費(在宅)'!H240)</f>
        <v>0.0</v>
      </c>
      <c r="G210" s="94" t="n">
        <f>IF(data!I337&lt;0,0,data!I337)</f>
        <v>0.0</v>
      </c>
      <c r="H210" s="94" t="n">
        <f>IF(data!J337&lt;0,0,data!J337)</f>
        <v>24.0</v>
      </c>
      <c r="I210" s="22" t="str">
        <f t="shared" si="35"/>
        <v>閾値の範囲内です。</v>
      </c>
      <c r="J210" s="11"/>
      <c r="K210" s="1" t="str">
        <f t="shared" si="36"/>
        <v/>
      </c>
      <c r="L210" s="1" t="n">
        <f t="shared" si="37"/>
        <v>1.0</v>
      </c>
    </row>
    <row r="211" spans="2:12" ht="15.75" customHeight="1">
      <c r="B211" s="108"/>
      <c r="C211" s="58" t="str">
        <f t="shared" si="33"/>
        <v>短期入所療養介護（介護医療院）</v>
      </c>
      <c r="D211" s="165"/>
      <c r="E211" s="18" t="s">
        <v>48</v>
      </c>
      <c r="F211" s="84" t="n">
        <f>IF('(参考)1人(1回(日))1月あたり給付費(在宅)'!H241="","",'(参考)1人(1回(日))1月あたり給付費(在宅)'!H241)</f>
        <v>0.0</v>
      </c>
      <c r="G211" s="94" t="n">
        <f>IF(data!I338&lt;0,0,data!I338)</f>
        <v>0.0</v>
      </c>
      <c r="H211" s="94" t="n">
        <f>IF(data!J338&lt;0,0,data!J338)</f>
        <v>21.0</v>
      </c>
      <c r="I211" s="22" t="str">
        <f t="shared" si="35"/>
        <v>閾値の範囲内です。</v>
      </c>
      <c r="J211" s="11"/>
      <c r="K211" s="1" t="str">
        <f t="shared" si="36"/>
        <v/>
      </c>
      <c r="L211" s="1" t="n">
        <f t="shared" si="37"/>
        <v>1.0</v>
      </c>
    </row>
    <row r="212" spans="2:12" ht="15.75" customHeight="1">
      <c r="B212" s="108"/>
      <c r="C212" s="58" t="str">
        <f t="shared" si="33"/>
        <v>短期入所療養介護（介護医療院）</v>
      </c>
      <c r="D212" s="166"/>
      <c r="E212" s="23" t="s">
        <v>49</v>
      </c>
      <c r="F212" s="85" t="str">
        <f>IF('(参考)1人(1回(日))1月あたり給付費(在宅)'!H242="","",'(参考)1人(1回(日))1月あたり給付費(在宅)'!H242)</f>
        <v>－</v>
      </c>
      <c r="G212" s="95" t="n">
        <f>IF(data!I339&lt;0,0,data!I339)</f>
        <v>0.0</v>
      </c>
      <c r="H212" s="95" t="n">
        <f>IF(data!J339&lt;0,0,data!J339)</f>
        <v>18.0</v>
      </c>
      <c r="I212" s="27" t="str">
        <f t="shared" si="35"/>
        <v/>
      </c>
      <c r="J212" s="11"/>
      <c r="K212" s="1" t="str">
        <f t="shared" si="36"/>
        <v/>
      </c>
    </row>
    <row r="213" spans="2:12" ht="15.75" customHeight="1">
      <c r="B213" s="108"/>
      <c r="C213" s="58" t="str">
        <f t="shared" si="33"/>
        <v>短期入所療養介護（介護医療院）</v>
      </c>
      <c r="D213" s="164" t="s">
        <v>415</v>
      </c>
      <c r="E213" s="15" t="s">
        <v>50</v>
      </c>
      <c r="F213" s="82" t="n">
        <f>IF('(参考)1人(1回(日))1月あたり給付費(在宅)'!H243="","",'(参考)1人(1回(日))1月あたり給付費(在宅)'!H243)</f>
        <v>0.0</v>
      </c>
      <c r="G213" s="92" t="str">
        <f t="shared" ref="G213:H228" si="38">G205</f>
        <v>－</v>
      </c>
      <c r="H213" s="92" t="str">
        <f t="shared" si="38"/>
        <v>－</v>
      </c>
      <c r="I213" s="32" t="s">
        <v>57</v>
      </c>
      <c r="J213" s="11"/>
      <c r="K213" s="1" t="str">
        <f t="shared" si="36"/>
        <v/>
      </c>
      <c r="L213" s="1" t="n">
        <f t="shared" ref="L213:L219" si="39">IF(F213="","",1)</f>
        <v>1.0</v>
      </c>
    </row>
    <row r="214" spans="2:12" ht="15.75" customHeight="1">
      <c r="B214" s="108"/>
      <c r="C214" s="58" t="str">
        <f t="shared" si="33"/>
        <v>短期入所療養介護（介護医療院）</v>
      </c>
      <c r="D214" s="165"/>
      <c r="E214" s="30" t="s">
        <v>51</v>
      </c>
      <c r="F214" s="83" t="n">
        <f>IF('(参考)1人(1回(日))1月あたり給付費(在宅)'!H244="","",'(参考)1人(1回(日))1月あたり給付費(在宅)'!H244)</f>
        <v>0.0</v>
      </c>
      <c r="G214" s="93" t="n">
        <f t="shared" si="38"/>
        <v>0.0</v>
      </c>
      <c r="H214" s="93" t="n">
        <f t="shared" si="38"/>
        <v>19.0</v>
      </c>
      <c r="I214" s="33" t="str">
        <f t="shared" si="35"/>
        <v>閾値の範囲内です。</v>
      </c>
      <c r="J214" s="11"/>
      <c r="K214" s="1" t="str">
        <f t="shared" si="36"/>
        <v/>
      </c>
      <c r="L214" s="1" t="n">
        <f t="shared" si="39"/>
        <v>1.0</v>
      </c>
    </row>
    <row r="215" spans="2:12" ht="15.75" customHeight="1">
      <c r="B215" s="108"/>
      <c r="C215" s="58" t="str">
        <f t="shared" si="33"/>
        <v>短期入所療養介護（介護医療院）</v>
      </c>
      <c r="D215" s="165"/>
      <c r="E215" s="18" t="s">
        <v>44</v>
      </c>
      <c r="F215" s="84" t="n">
        <f>IF('(参考)1人(1回(日))1月あたり給付費(在宅)'!H245="","",'(参考)1人(1回(日))1月あたり給付費(在宅)'!H245)</f>
        <v>0.0</v>
      </c>
      <c r="G215" s="94" t="n">
        <f t="shared" si="38"/>
        <v>0.0</v>
      </c>
      <c r="H215" s="94" t="n">
        <f t="shared" si="38"/>
        <v>15.0</v>
      </c>
      <c r="I215" s="22" t="str">
        <f t="shared" si="35"/>
        <v>閾値の範囲内です。</v>
      </c>
      <c r="J215" s="11"/>
      <c r="K215" s="1" t="str">
        <f t="shared" si="36"/>
        <v/>
      </c>
      <c r="L215" s="1" t="n">
        <f t="shared" si="39"/>
        <v>1.0</v>
      </c>
    </row>
    <row r="216" spans="2:12" ht="15.75" customHeight="1">
      <c r="B216" s="108"/>
      <c r="C216" s="58" t="str">
        <f t="shared" si="33"/>
        <v>短期入所療養介護（介護医療院）</v>
      </c>
      <c r="D216" s="165"/>
      <c r="E216" s="18" t="s">
        <v>45</v>
      </c>
      <c r="F216" s="84" t="n">
        <f>IF('(参考)1人(1回(日))1月あたり給付費(在宅)'!H246="","",'(参考)1人(1回(日))1月あたり給付費(在宅)'!H246)</f>
        <v>0.0</v>
      </c>
      <c r="G216" s="94" t="n">
        <f t="shared" si="38"/>
        <v>0.0</v>
      </c>
      <c r="H216" s="94" t="n">
        <f t="shared" si="38"/>
        <v>16.0</v>
      </c>
      <c r="I216" s="22" t="str">
        <f t="shared" si="35"/>
        <v>閾値の範囲内です。</v>
      </c>
      <c r="J216" s="11"/>
      <c r="K216" s="1" t="str">
        <f t="shared" si="36"/>
        <v/>
      </c>
      <c r="L216" s="1" t="n">
        <f t="shared" si="39"/>
        <v>1.0</v>
      </c>
    </row>
    <row r="217" spans="2:12" ht="15.75" customHeight="1">
      <c r="B217" s="108"/>
      <c r="C217" s="58" t="str">
        <f t="shared" si="33"/>
        <v>短期入所療養介護（介護医療院）</v>
      </c>
      <c r="D217" s="165"/>
      <c r="E217" s="18" t="s">
        <v>46</v>
      </c>
      <c r="F217" s="84" t="n">
        <f>IF('(参考)1人(1回(日))1月あたり給付費(在宅)'!H247="","",'(参考)1人(1回(日))1月あたり給付費(在宅)'!H247)</f>
        <v>0.0</v>
      </c>
      <c r="G217" s="94" t="n">
        <f t="shared" si="38"/>
        <v>0.0</v>
      </c>
      <c r="H217" s="94" t="n">
        <f t="shared" si="38"/>
        <v>23.0</v>
      </c>
      <c r="I217" s="22" t="str">
        <f t="shared" si="35"/>
        <v>閾値の範囲内です。</v>
      </c>
      <c r="J217" s="11"/>
      <c r="K217" s="1" t="str">
        <f t="shared" si="36"/>
        <v/>
      </c>
      <c r="L217" s="1" t="n">
        <f t="shared" si="39"/>
        <v>1.0</v>
      </c>
    </row>
    <row r="218" spans="2:12" ht="15.75" customHeight="1">
      <c r="B218" s="108"/>
      <c r="C218" s="58" t="str">
        <f t="shared" si="33"/>
        <v>短期入所療養介護（介護医療院）</v>
      </c>
      <c r="D218" s="165"/>
      <c r="E218" s="18" t="s">
        <v>47</v>
      </c>
      <c r="F218" s="84" t="n">
        <f>IF('(参考)1人(1回(日))1月あたり給付費(在宅)'!H248="","",'(参考)1人(1回(日))1月あたり給付費(在宅)'!H248)</f>
        <v>0.0</v>
      </c>
      <c r="G218" s="94" t="n">
        <f t="shared" si="38"/>
        <v>0.0</v>
      </c>
      <c r="H218" s="94" t="n">
        <f t="shared" si="38"/>
        <v>24.0</v>
      </c>
      <c r="I218" s="22" t="str">
        <f t="shared" si="35"/>
        <v>閾値の範囲内です。</v>
      </c>
      <c r="J218" s="11"/>
      <c r="K218" s="1" t="str">
        <f t="shared" si="36"/>
        <v/>
      </c>
      <c r="L218" s="1" t="n">
        <f t="shared" si="39"/>
        <v>1.0</v>
      </c>
    </row>
    <row r="219" spans="2:12" ht="15.75" customHeight="1">
      <c r="B219" s="108"/>
      <c r="C219" s="58" t="str">
        <f t="shared" si="33"/>
        <v>短期入所療養介護（介護医療院）</v>
      </c>
      <c r="D219" s="165"/>
      <c r="E219" s="18" t="s">
        <v>48</v>
      </c>
      <c r="F219" s="84" t="n">
        <f>IF('(参考)1人(1回(日))1月あたり給付費(在宅)'!H249="","",'(参考)1人(1回(日))1月あたり給付費(在宅)'!H249)</f>
        <v>0.0</v>
      </c>
      <c r="G219" s="94" t="n">
        <f t="shared" si="38"/>
        <v>0.0</v>
      </c>
      <c r="H219" s="94" t="n">
        <f t="shared" si="38"/>
        <v>21.0</v>
      </c>
      <c r="I219" s="22" t="str">
        <f t="shared" si="35"/>
        <v>閾値の範囲内です。</v>
      </c>
      <c r="J219" s="11"/>
      <c r="K219" s="1" t="str">
        <f t="shared" si="36"/>
        <v/>
      </c>
      <c r="L219" s="1" t="n">
        <f t="shared" si="39"/>
        <v>1.0</v>
      </c>
    </row>
    <row r="220" spans="2:12" ht="15.75" customHeight="1">
      <c r="B220" s="108"/>
      <c r="C220" s="58" t="str">
        <f t="shared" si="33"/>
        <v>短期入所療養介護（介護医療院）</v>
      </c>
      <c r="D220" s="166"/>
      <c r="E220" s="23" t="s">
        <v>49</v>
      </c>
      <c r="F220" s="85" t="str">
        <f>IF('(参考)1人(1回(日))1月あたり給付費(在宅)'!H250="","",'(参考)1人(1回(日))1月あたり給付費(在宅)'!H250)</f>
        <v>－</v>
      </c>
      <c r="G220" s="94" t="n">
        <f t="shared" si="38"/>
        <v>0.0</v>
      </c>
      <c r="H220" s="94" t="n">
        <f t="shared" si="38"/>
        <v>18.0</v>
      </c>
      <c r="I220" s="27" t="str">
        <f t="shared" si="35"/>
        <v/>
      </c>
      <c r="J220" s="11"/>
      <c r="K220" s="1" t="str">
        <f t="shared" si="36"/>
        <v/>
      </c>
    </row>
    <row r="221" spans="2:12" ht="15.75" customHeight="1">
      <c r="B221" s="108"/>
      <c r="C221" s="58" t="str">
        <f t="shared" si="33"/>
        <v>短期入所療養介護（介護医療院）</v>
      </c>
      <c r="D221" s="164" t="s">
        <v>414</v>
      </c>
      <c r="E221" s="15" t="s">
        <v>50</v>
      </c>
      <c r="F221" s="82" t="n">
        <f>IF('(参考)1人(1回(日))1月あたり給付費(在宅)'!H251="","",'(参考)1人(1回(日))1月あたり給付費(在宅)'!H251)</f>
        <v>0.0</v>
      </c>
      <c r="G221" s="92" t="str">
        <f t="shared" si="38"/>
        <v>－</v>
      </c>
      <c r="H221" s="92" t="str">
        <f t="shared" si="38"/>
        <v>－</v>
      </c>
      <c r="I221" s="32" t="s">
        <v>57</v>
      </c>
      <c r="J221" s="11"/>
      <c r="K221" s="1" t="str">
        <f t="shared" si="36"/>
        <v/>
      </c>
      <c r="L221" s="1" t="n">
        <f t="shared" ref="L221:L227" si="40">IF(F221="","",1)</f>
        <v>1.0</v>
      </c>
    </row>
    <row r="222" spans="2:12" ht="15.75" customHeight="1">
      <c r="B222" s="108"/>
      <c r="C222" s="58" t="str">
        <f t="shared" si="33"/>
        <v>短期入所療養介護（介護医療院）</v>
      </c>
      <c r="D222" s="165"/>
      <c r="E222" s="30" t="s">
        <v>51</v>
      </c>
      <c r="F222" s="83" t="n">
        <f>IF('(参考)1人(1回(日))1月あたり給付費(在宅)'!H252="","",'(参考)1人(1回(日))1月あたり給付費(在宅)'!H252)</f>
        <v>0.0</v>
      </c>
      <c r="G222" s="93" t="n">
        <f t="shared" si="38"/>
        <v>0.0</v>
      </c>
      <c r="H222" s="93" t="n">
        <f t="shared" si="38"/>
        <v>19.0</v>
      </c>
      <c r="I222" s="33" t="str">
        <f t="shared" si="35"/>
        <v>閾値の範囲内です。</v>
      </c>
      <c r="J222" s="11"/>
      <c r="K222" s="1" t="str">
        <f t="shared" si="36"/>
        <v/>
      </c>
      <c r="L222" s="1" t="n">
        <f t="shared" si="40"/>
        <v>1.0</v>
      </c>
    </row>
    <row r="223" spans="2:12" ht="15.75" customHeight="1">
      <c r="B223" s="108"/>
      <c r="C223" s="58" t="str">
        <f t="shared" si="33"/>
        <v>短期入所療養介護（介護医療院）</v>
      </c>
      <c r="D223" s="165"/>
      <c r="E223" s="18" t="s">
        <v>44</v>
      </c>
      <c r="F223" s="84" t="n">
        <f>IF('(参考)1人(1回(日))1月あたり給付費(在宅)'!H253="","",'(参考)1人(1回(日))1月あたり給付費(在宅)'!H253)</f>
        <v>0.0</v>
      </c>
      <c r="G223" s="94" t="n">
        <f t="shared" si="38"/>
        <v>0.0</v>
      </c>
      <c r="H223" s="94" t="n">
        <f t="shared" si="38"/>
        <v>15.0</v>
      </c>
      <c r="I223" s="22" t="str">
        <f t="shared" si="35"/>
        <v>閾値の範囲内です。</v>
      </c>
      <c r="J223" s="11"/>
      <c r="K223" s="1" t="str">
        <f t="shared" si="36"/>
        <v/>
      </c>
      <c r="L223" s="1" t="n">
        <f t="shared" si="40"/>
        <v>1.0</v>
      </c>
    </row>
    <row r="224" spans="2:12" ht="15.75" customHeight="1">
      <c r="B224" s="108"/>
      <c r="C224" s="58" t="str">
        <f t="shared" si="33"/>
        <v>短期入所療養介護（介護医療院）</v>
      </c>
      <c r="D224" s="165"/>
      <c r="E224" s="18" t="s">
        <v>45</v>
      </c>
      <c r="F224" s="84" t="n">
        <f>IF('(参考)1人(1回(日))1月あたり給付費(在宅)'!H254="","",'(参考)1人(1回(日))1月あたり給付費(在宅)'!H254)</f>
        <v>0.0</v>
      </c>
      <c r="G224" s="94" t="n">
        <f t="shared" si="38"/>
        <v>0.0</v>
      </c>
      <c r="H224" s="94" t="n">
        <f t="shared" si="38"/>
        <v>16.0</v>
      </c>
      <c r="I224" s="22" t="str">
        <f t="shared" si="35"/>
        <v>閾値の範囲内です。</v>
      </c>
      <c r="J224" s="11"/>
      <c r="K224" s="1" t="str">
        <f t="shared" ref="K224:K228" si="41">IF(OR(F224="－",F224="",AND(G224="－",H224="－")),"",IF(OR(F224&lt;G224,F224&gt;H224),1,""))</f>
        <v/>
      </c>
      <c r="L224" s="1" t="n">
        <f t="shared" si="40"/>
        <v>1.0</v>
      </c>
    </row>
    <row r="225" spans="2:12" ht="15.75" customHeight="1">
      <c r="B225" s="108"/>
      <c r="C225" s="58" t="str">
        <f t="shared" si="33"/>
        <v>短期入所療養介護（介護医療院）</v>
      </c>
      <c r="D225" s="165"/>
      <c r="E225" s="18" t="s">
        <v>46</v>
      </c>
      <c r="F225" s="84" t="n">
        <f>IF('(参考)1人(1回(日))1月あたり給付費(在宅)'!H255="","",'(参考)1人(1回(日))1月あたり給付費(在宅)'!H255)</f>
        <v>0.0</v>
      </c>
      <c r="G225" s="94" t="n">
        <f t="shared" si="38"/>
        <v>0.0</v>
      </c>
      <c r="H225" s="94" t="n">
        <f t="shared" si="38"/>
        <v>23.0</v>
      </c>
      <c r="I225" s="22" t="str">
        <f t="shared" si="35"/>
        <v>閾値の範囲内です。</v>
      </c>
      <c r="J225" s="11"/>
      <c r="K225" s="1" t="str">
        <f t="shared" si="41"/>
        <v/>
      </c>
      <c r="L225" s="1" t="n">
        <f t="shared" si="40"/>
        <v>1.0</v>
      </c>
    </row>
    <row r="226" spans="2:12" ht="15.75" customHeight="1">
      <c r="B226" s="108"/>
      <c r="C226" s="58" t="str">
        <f t="shared" si="33"/>
        <v>短期入所療養介護（介護医療院）</v>
      </c>
      <c r="D226" s="165"/>
      <c r="E226" s="18" t="s">
        <v>47</v>
      </c>
      <c r="F226" s="84" t="n">
        <f>IF('(参考)1人(1回(日))1月あたり給付費(在宅)'!H256="","",'(参考)1人(1回(日))1月あたり給付費(在宅)'!H256)</f>
        <v>0.0</v>
      </c>
      <c r="G226" s="94" t="n">
        <f t="shared" si="38"/>
        <v>0.0</v>
      </c>
      <c r="H226" s="94" t="n">
        <f t="shared" si="38"/>
        <v>24.0</v>
      </c>
      <c r="I226" s="22" t="str">
        <f t="shared" si="35"/>
        <v>閾値の範囲内です。</v>
      </c>
      <c r="J226" s="11"/>
      <c r="K226" s="1" t="str">
        <f t="shared" si="41"/>
        <v/>
      </c>
      <c r="L226" s="1" t="n">
        <f t="shared" si="40"/>
        <v>1.0</v>
      </c>
    </row>
    <row r="227" spans="2:12" ht="15.75" customHeight="1">
      <c r="B227" s="108"/>
      <c r="C227" s="58" t="str">
        <f t="shared" si="33"/>
        <v>短期入所療養介護（介護医療院）</v>
      </c>
      <c r="D227" s="165"/>
      <c r="E227" s="18" t="s">
        <v>48</v>
      </c>
      <c r="F227" s="84" t="n">
        <f>IF('(参考)1人(1回(日))1月あたり給付費(在宅)'!H257="","",'(参考)1人(1回(日))1月あたり給付費(在宅)'!H257)</f>
        <v>0.0</v>
      </c>
      <c r="G227" s="94" t="n">
        <f t="shared" si="38"/>
        <v>0.0</v>
      </c>
      <c r="H227" s="94" t="n">
        <f t="shared" si="38"/>
        <v>21.0</v>
      </c>
      <c r="I227" s="22" t="str">
        <f t="shared" si="35"/>
        <v>閾値の範囲内です。</v>
      </c>
      <c r="J227" s="11"/>
      <c r="K227" s="1" t="str">
        <f t="shared" si="41"/>
        <v/>
      </c>
      <c r="L227" s="1" t="n">
        <f t="shared" si="40"/>
        <v>1.0</v>
      </c>
    </row>
    <row r="228" spans="2:12" ht="15.75" customHeight="1">
      <c r="B228" s="109"/>
      <c r="C228" s="59" t="str">
        <f t="shared" si="33"/>
        <v>短期入所療養介護（介護医療院）</v>
      </c>
      <c r="D228" s="166"/>
      <c r="E228" s="23" t="s">
        <v>49</v>
      </c>
      <c r="F228" s="85" t="str">
        <f>IF('(参考)1人(1回(日))1月あたり給付費(在宅)'!H258="","",'(参考)1人(1回(日))1月あたり給付費(在宅)'!H258)</f>
        <v>－</v>
      </c>
      <c r="G228" s="95" t="n">
        <f t="shared" si="38"/>
        <v>0.0</v>
      </c>
      <c r="H228" s="95" t="n">
        <f t="shared" si="38"/>
        <v>18.0</v>
      </c>
      <c r="I228" s="27" t="str">
        <f t="shared" si="35"/>
        <v/>
      </c>
      <c r="J228" s="11"/>
      <c r="K228" s="1" t="str">
        <f t="shared" si="41"/>
        <v/>
      </c>
    </row>
    <row r="229" spans="2:12" ht="15.75" customHeight="1">
      <c r="B229" s="107">
        <v>18</v>
      </c>
      <c r="C229" s="7" t="s">
        <v>102</v>
      </c>
      <c r="D229" s="164" t="s">
        <v>416</v>
      </c>
      <c r="E229" s="15" t="s">
        <v>44</v>
      </c>
      <c r="F229" s="41" t="n">
        <f>IF('(参考)1人(1回(日))1月あたり給付費(在宅)'!H415="","",'(参考)1人(1回(日))1月あたり給付費(在宅)'!H415)</f>
        <v>0.0</v>
      </c>
      <c r="G229" s="96" t="n">
        <f>IF(data!I340&lt;0,0,data!I340)</f>
        <v>2.0</v>
      </c>
      <c r="H229" s="96" t="n">
        <f>IF(data!J340&lt;0,0,data!J340)</f>
        <v>15.0</v>
      </c>
      <c r="I229" s="17" t="str">
        <f t="shared" ref="I229:I246" si="42">IF(OR(F229="",F229="－"),"",IF(F229&lt;G229,"下限値を"&amp;TEXT(ROUND(G229-F229,1),"#,##0.0日")&amp;"下回っています。",IF(F229&gt;H229,"上限値を"&amp;TEXT(ROUND(F229-H229,1),"#,##0.0日")&amp;"上回っています。","閾値の範囲内です。")))</f>
        <v>下限値を2.0日下回っています。</v>
      </c>
      <c r="J229" s="11"/>
      <c r="K229" s="1" t="n">
        <f t="shared" ref="K229:K246" si="43">IF(OR(F229="－",F229="",AND(G229="－",H229="－")),"",IF(OR(F229&lt;G229,F229&gt;H229),1,""))</f>
        <v>1.0</v>
      </c>
      <c r="L229" s="1" t="n">
        <f>IF(F229="","",1)</f>
        <v>1.0</v>
      </c>
    </row>
    <row r="230" spans="2:12" ht="15.75" customHeight="1">
      <c r="B230" s="108"/>
      <c r="C230" s="58" t="str">
        <f t="shared" ref="C230:C246" si="44">C229</f>
        <v>地域密着型通所介護</v>
      </c>
      <c r="D230" s="165"/>
      <c r="E230" s="18" t="s">
        <v>45</v>
      </c>
      <c r="F230" s="42" t="n">
        <f>IF('(参考)1人(1回(日))1月あたり給付費(在宅)'!H416="","",'(参考)1人(1回(日))1月あたり給付費(在宅)'!H416)</f>
        <v>0.0</v>
      </c>
      <c r="G230" s="100" t="n">
        <f>IF(data!I341&lt;0,0,data!I341)</f>
        <v>2.0</v>
      </c>
      <c r="H230" s="100" t="n">
        <f>IF(data!J341&lt;0,0,data!J341)</f>
        <v>16.0</v>
      </c>
      <c r="I230" s="22" t="str">
        <f t="shared" si="42"/>
        <v>下限値を2.0日下回っています。</v>
      </c>
      <c r="J230" s="11"/>
      <c r="K230" s="1" t="n">
        <f t="shared" si="43"/>
        <v>1.0</v>
      </c>
      <c r="L230" s="1" t="n">
        <f>IF(F230="","",1)</f>
        <v>1.0</v>
      </c>
    </row>
    <row r="231" spans="2:12" ht="15.75" customHeight="1">
      <c r="B231" s="108"/>
      <c r="C231" s="58" t="str">
        <f t="shared" si="44"/>
        <v>地域密着型通所介護</v>
      </c>
      <c r="D231" s="165"/>
      <c r="E231" s="18" t="s">
        <v>46</v>
      </c>
      <c r="F231" s="42" t="n">
        <f>IF('(参考)1人(1回(日))1月あたり給付費(在宅)'!H417="","",'(参考)1人(1回(日))1月あたり給付費(在宅)'!H417)</f>
        <v>0.0</v>
      </c>
      <c r="G231" s="100" t="n">
        <f>IF(data!I342&lt;0,0,data!I342)</f>
        <v>1.0</v>
      </c>
      <c r="H231" s="100" t="n">
        <f>IF(data!J342&lt;0,0,data!J342)</f>
        <v>20.0</v>
      </c>
      <c r="I231" s="22" t="str">
        <f t="shared" si="42"/>
        <v>下限値を1.0日下回っています。</v>
      </c>
      <c r="J231" s="11"/>
      <c r="K231" s="1" t="n">
        <f t="shared" si="43"/>
        <v>1.0</v>
      </c>
      <c r="L231" s="1" t="n">
        <f>IF(F231="","",1)</f>
        <v>1.0</v>
      </c>
    </row>
    <row r="232" spans="2:12" ht="15.75" customHeight="1">
      <c r="B232" s="108"/>
      <c r="C232" s="58" t="str">
        <f t="shared" si="44"/>
        <v>地域密着型通所介護</v>
      </c>
      <c r="D232" s="165"/>
      <c r="E232" s="18" t="s">
        <v>47</v>
      </c>
      <c r="F232" s="42" t="n">
        <f>IF('(参考)1人(1回(日))1月あたり給付費(在宅)'!H418="","",'(参考)1人(1回(日))1月あたり給付費(在宅)'!H418)</f>
        <v>0.0</v>
      </c>
      <c r="G232" s="100" t="n">
        <f>IF(data!I343&lt;0,0,data!I343)</f>
        <v>0.0</v>
      </c>
      <c r="H232" s="100" t="n">
        <f>IF(data!J343&lt;0,0,data!J343)</f>
        <v>23.0</v>
      </c>
      <c r="I232" s="22" t="str">
        <f t="shared" si="42"/>
        <v>閾値の範囲内です。</v>
      </c>
      <c r="J232" s="11"/>
      <c r="K232" s="1" t="str">
        <f t="shared" si="43"/>
        <v/>
      </c>
      <c r="L232" s="1" t="n">
        <f>IF(F232="","",1)</f>
        <v>1.0</v>
      </c>
    </row>
    <row r="233" spans="2:12" ht="15.75" customHeight="1">
      <c r="B233" s="108"/>
      <c r="C233" s="58" t="str">
        <f t="shared" si="44"/>
        <v>地域密着型通所介護</v>
      </c>
      <c r="D233" s="165"/>
      <c r="E233" s="18" t="s">
        <v>48</v>
      </c>
      <c r="F233" s="42" t="n">
        <f>IF('(参考)1人(1回(日))1月あたり給付費(在宅)'!H419="","",'(参考)1人(1回(日))1月あたり給付費(在宅)'!H419)</f>
        <v>0.0</v>
      </c>
      <c r="G233" s="100" t="n">
        <f>IF(data!I344&lt;0,0,data!I344)</f>
        <v>0.0</v>
      </c>
      <c r="H233" s="100" t="n">
        <f>IF(data!J344&lt;0,0,data!J344)</f>
        <v>28.0</v>
      </c>
      <c r="I233" s="22" t="str">
        <f t="shared" si="42"/>
        <v>閾値の範囲内です。</v>
      </c>
      <c r="J233" s="11"/>
      <c r="K233" s="1" t="str">
        <f t="shared" si="43"/>
        <v/>
      </c>
      <c r="L233" s="1" t="n">
        <f>IF(F233="","",1)</f>
        <v>1.0</v>
      </c>
    </row>
    <row r="234" spans="2:12" ht="15.75" customHeight="1">
      <c r="B234" s="108"/>
      <c r="C234" s="58" t="str">
        <f t="shared" si="44"/>
        <v>地域密着型通所介護</v>
      </c>
      <c r="D234" s="166"/>
      <c r="E234" s="23" t="s">
        <v>49</v>
      </c>
      <c r="F234" s="29" t="str">
        <f>IF('(参考)1人(1回(日))1月あたり給付費(在宅)'!H420="","",'(参考)1人(1回(日))1月あたり給付費(在宅)'!H420)</f>
        <v>－</v>
      </c>
      <c r="G234" s="101" t="n">
        <f>IF(data!I345&lt;0,0,data!I345)</f>
        <v>2.0</v>
      </c>
      <c r="H234" s="101" t="n">
        <f>IF(data!J345&lt;0,0,data!J345)</f>
        <v>17.0</v>
      </c>
      <c r="I234" s="27" t="str">
        <f t="shared" si="42"/>
        <v/>
      </c>
      <c r="J234" s="11"/>
      <c r="K234" s="1" t="str">
        <f t="shared" si="43"/>
        <v/>
      </c>
    </row>
    <row r="235" spans="2:12" ht="15.75" customHeight="1">
      <c r="B235" s="108"/>
      <c r="C235" s="58" t="str">
        <f t="shared" si="44"/>
        <v>地域密着型通所介護</v>
      </c>
      <c r="D235" s="165" t="s">
        <v>415</v>
      </c>
      <c r="E235" s="15" t="s">
        <v>44</v>
      </c>
      <c r="F235" s="41" t="n">
        <f>IF('(参考)1人(1回(日))1月あたり給付費(在宅)'!H421="","",'(参考)1人(1回(日))1月あたり給付費(在宅)'!H421)</f>
        <v>0.0</v>
      </c>
      <c r="G235" s="96" t="n">
        <f t="shared" ref="G235:H246" si="45">G229</f>
        <v>2.0</v>
      </c>
      <c r="H235" s="96" t="n">
        <f t="shared" si="45"/>
        <v>15.0</v>
      </c>
      <c r="I235" s="17" t="str">
        <f t="shared" si="42"/>
        <v>下限値を2.0日下回っています。</v>
      </c>
      <c r="J235" s="11"/>
      <c r="K235" s="1" t="n">
        <f t="shared" si="43"/>
        <v>1.0</v>
      </c>
      <c r="L235" s="1" t="n">
        <f>IF(F235="","",1)</f>
        <v>1.0</v>
      </c>
    </row>
    <row r="236" spans="2:12" ht="15.75" customHeight="1">
      <c r="B236" s="108"/>
      <c r="C236" s="58" t="str">
        <f t="shared" si="44"/>
        <v>地域密着型通所介護</v>
      </c>
      <c r="D236" s="165"/>
      <c r="E236" s="18" t="s">
        <v>45</v>
      </c>
      <c r="F236" s="42" t="n">
        <f>IF('(参考)1人(1回(日))1月あたり給付費(在宅)'!H422="","",'(参考)1人(1回(日))1月あたり給付費(在宅)'!H422)</f>
        <v>0.0</v>
      </c>
      <c r="G236" s="100" t="n">
        <f t="shared" si="45"/>
        <v>2.0</v>
      </c>
      <c r="H236" s="100" t="n">
        <f t="shared" si="45"/>
        <v>16.0</v>
      </c>
      <c r="I236" s="22" t="str">
        <f t="shared" si="42"/>
        <v>下限値を2.0日下回っています。</v>
      </c>
      <c r="J236" s="11"/>
      <c r="K236" s="1" t="n">
        <f t="shared" si="43"/>
        <v>1.0</v>
      </c>
      <c r="L236" s="1" t="n">
        <f>IF(F236="","",1)</f>
        <v>1.0</v>
      </c>
    </row>
    <row r="237" spans="2:12" ht="15.75" customHeight="1">
      <c r="B237" s="108"/>
      <c r="C237" s="58" t="str">
        <f t="shared" si="44"/>
        <v>地域密着型通所介護</v>
      </c>
      <c r="D237" s="165"/>
      <c r="E237" s="18" t="s">
        <v>46</v>
      </c>
      <c r="F237" s="42" t="n">
        <f>IF('(参考)1人(1回(日))1月あたり給付費(在宅)'!H423="","",'(参考)1人(1回(日))1月あたり給付費(在宅)'!H423)</f>
        <v>0.0</v>
      </c>
      <c r="G237" s="100" t="n">
        <f t="shared" si="45"/>
        <v>1.0</v>
      </c>
      <c r="H237" s="100" t="n">
        <f t="shared" si="45"/>
        <v>20.0</v>
      </c>
      <c r="I237" s="22" t="str">
        <f t="shared" si="42"/>
        <v>下限値を1.0日下回っています。</v>
      </c>
      <c r="J237" s="11"/>
      <c r="K237" s="1" t="n">
        <f t="shared" si="43"/>
        <v>1.0</v>
      </c>
      <c r="L237" s="1" t="n">
        <f>IF(F237="","",1)</f>
        <v>1.0</v>
      </c>
    </row>
    <row r="238" spans="2:12" ht="15.75" customHeight="1">
      <c r="B238" s="108"/>
      <c r="C238" s="58" t="str">
        <f t="shared" si="44"/>
        <v>地域密着型通所介護</v>
      </c>
      <c r="D238" s="165"/>
      <c r="E238" s="18" t="s">
        <v>47</v>
      </c>
      <c r="F238" s="42" t="n">
        <f>IF('(参考)1人(1回(日))1月あたり給付費(在宅)'!H424="","",'(参考)1人(1回(日))1月あたり給付費(在宅)'!H424)</f>
        <v>0.0</v>
      </c>
      <c r="G238" s="100" t="n">
        <f t="shared" si="45"/>
        <v>0.0</v>
      </c>
      <c r="H238" s="100" t="n">
        <f t="shared" si="45"/>
        <v>23.0</v>
      </c>
      <c r="I238" s="22" t="str">
        <f t="shared" si="42"/>
        <v>閾値の範囲内です。</v>
      </c>
      <c r="J238" s="11"/>
      <c r="K238" s="1" t="str">
        <f t="shared" si="43"/>
        <v/>
      </c>
      <c r="L238" s="1" t="n">
        <f>IF(F238="","",1)</f>
        <v>1.0</v>
      </c>
    </row>
    <row r="239" spans="2:12" ht="15.75" customHeight="1">
      <c r="B239" s="108"/>
      <c r="C239" s="58" t="str">
        <f t="shared" si="44"/>
        <v>地域密着型通所介護</v>
      </c>
      <c r="D239" s="165"/>
      <c r="E239" s="18" t="s">
        <v>48</v>
      </c>
      <c r="F239" s="42" t="n">
        <f>IF('(参考)1人(1回(日))1月あたり給付費(在宅)'!H425="","",'(参考)1人(1回(日))1月あたり給付費(在宅)'!H425)</f>
        <v>0.0</v>
      </c>
      <c r="G239" s="100" t="n">
        <f t="shared" si="45"/>
        <v>0.0</v>
      </c>
      <c r="H239" s="100" t="n">
        <f t="shared" si="45"/>
        <v>28.0</v>
      </c>
      <c r="I239" s="22" t="str">
        <f t="shared" si="42"/>
        <v>閾値の範囲内です。</v>
      </c>
      <c r="J239" s="11"/>
      <c r="K239" s="1" t="str">
        <f t="shared" si="43"/>
        <v/>
      </c>
      <c r="L239" s="1" t="n">
        <f>IF(F239="","",1)</f>
        <v>1.0</v>
      </c>
    </row>
    <row r="240" spans="2:12" ht="15.75" customHeight="1">
      <c r="B240" s="108"/>
      <c r="C240" s="58" t="str">
        <f t="shared" si="44"/>
        <v>地域密着型通所介護</v>
      </c>
      <c r="D240" s="166"/>
      <c r="E240" s="23" t="s">
        <v>49</v>
      </c>
      <c r="F240" s="29" t="str">
        <f>IF('(参考)1人(1回(日))1月あたり給付費(在宅)'!H426="","",'(参考)1人(1回(日))1月あたり給付費(在宅)'!H426)</f>
        <v>－</v>
      </c>
      <c r="G240" s="100" t="n">
        <f t="shared" si="45"/>
        <v>2.0</v>
      </c>
      <c r="H240" s="100" t="n">
        <f t="shared" si="45"/>
        <v>17.0</v>
      </c>
      <c r="I240" s="27" t="str">
        <f t="shared" si="42"/>
        <v/>
      </c>
      <c r="J240" s="11"/>
      <c r="K240" s="1" t="str">
        <f t="shared" si="43"/>
        <v/>
      </c>
    </row>
    <row r="241" spans="2:12" ht="15.75" customHeight="1">
      <c r="B241" s="108"/>
      <c r="C241" s="58" t="str">
        <f t="shared" si="44"/>
        <v>地域密着型通所介護</v>
      </c>
      <c r="D241" s="165" t="s">
        <v>414</v>
      </c>
      <c r="E241" s="15" t="s">
        <v>44</v>
      </c>
      <c r="F241" s="41" t="n">
        <f>IF('(参考)1人(1回(日))1月あたり給付費(在宅)'!H427="","",'(参考)1人(1回(日))1月あたり給付費(在宅)'!H427)</f>
        <v>0.0</v>
      </c>
      <c r="G241" s="96" t="n">
        <f t="shared" si="45"/>
        <v>2.0</v>
      </c>
      <c r="H241" s="96" t="n">
        <f t="shared" si="45"/>
        <v>15.0</v>
      </c>
      <c r="I241" s="17" t="str">
        <f t="shared" si="42"/>
        <v>下限値を2.0日下回っています。</v>
      </c>
      <c r="J241" s="11"/>
      <c r="K241" s="1" t="n">
        <f t="shared" si="43"/>
        <v>1.0</v>
      </c>
      <c r="L241" s="1" t="n">
        <f>IF(F241="","",1)</f>
        <v>1.0</v>
      </c>
    </row>
    <row r="242" spans="2:12" ht="15.75" customHeight="1">
      <c r="B242" s="108"/>
      <c r="C242" s="58" t="str">
        <f t="shared" si="44"/>
        <v>地域密着型通所介護</v>
      </c>
      <c r="D242" s="165"/>
      <c r="E242" s="18" t="s">
        <v>45</v>
      </c>
      <c r="F242" s="42" t="n">
        <f>IF('(参考)1人(1回(日))1月あたり給付費(在宅)'!H428="","",'(参考)1人(1回(日))1月あたり給付費(在宅)'!H428)</f>
        <v>0.0</v>
      </c>
      <c r="G242" s="100" t="n">
        <f t="shared" si="45"/>
        <v>2.0</v>
      </c>
      <c r="H242" s="100" t="n">
        <f t="shared" si="45"/>
        <v>16.0</v>
      </c>
      <c r="I242" s="22" t="str">
        <f t="shared" si="42"/>
        <v>下限値を2.0日下回っています。</v>
      </c>
      <c r="J242" s="11"/>
      <c r="K242" s="1" t="n">
        <f t="shared" si="43"/>
        <v>1.0</v>
      </c>
      <c r="L242" s="1" t="n">
        <f>IF(F242="","",1)</f>
        <v>1.0</v>
      </c>
    </row>
    <row r="243" spans="2:12" ht="15.75" customHeight="1">
      <c r="B243" s="108"/>
      <c r="C243" s="58" t="str">
        <f t="shared" si="44"/>
        <v>地域密着型通所介護</v>
      </c>
      <c r="D243" s="165"/>
      <c r="E243" s="18" t="s">
        <v>46</v>
      </c>
      <c r="F243" s="42" t="n">
        <f>IF('(参考)1人(1回(日))1月あたり給付費(在宅)'!H429="","",'(参考)1人(1回(日))1月あたり給付費(在宅)'!H429)</f>
        <v>0.0</v>
      </c>
      <c r="G243" s="100" t="n">
        <f t="shared" si="45"/>
        <v>1.0</v>
      </c>
      <c r="H243" s="100" t="n">
        <f t="shared" si="45"/>
        <v>20.0</v>
      </c>
      <c r="I243" s="22" t="str">
        <f t="shared" si="42"/>
        <v>下限値を1.0日下回っています。</v>
      </c>
      <c r="J243" s="11"/>
      <c r="K243" s="1" t="n">
        <f t="shared" si="43"/>
        <v>1.0</v>
      </c>
      <c r="L243" s="1" t="n">
        <f>IF(F243="","",1)</f>
        <v>1.0</v>
      </c>
    </row>
    <row r="244" spans="2:12" ht="15.75" customHeight="1">
      <c r="B244" s="108"/>
      <c r="C244" s="58" t="str">
        <f t="shared" si="44"/>
        <v>地域密着型通所介護</v>
      </c>
      <c r="D244" s="165"/>
      <c r="E244" s="18" t="s">
        <v>47</v>
      </c>
      <c r="F244" s="42" t="n">
        <f>IF('(参考)1人(1回(日))1月あたり給付費(在宅)'!H430="","",'(参考)1人(1回(日))1月あたり給付費(在宅)'!H430)</f>
        <v>0.0</v>
      </c>
      <c r="G244" s="100" t="n">
        <f t="shared" si="45"/>
        <v>0.0</v>
      </c>
      <c r="H244" s="100" t="n">
        <f t="shared" si="45"/>
        <v>23.0</v>
      </c>
      <c r="I244" s="22" t="str">
        <f t="shared" si="42"/>
        <v>閾値の範囲内です。</v>
      </c>
      <c r="J244" s="11"/>
      <c r="K244" s="1" t="str">
        <f t="shared" si="43"/>
        <v/>
      </c>
      <c r="L244" s="1" t="n">
        <f>IF(F244="","",1)</f>
        <v>1.0</v>
      </c>
    </row>
    <row r="245" spans="2:12" ht="15.75" customHeight="1">
      <c r="B245" s="108"/>
      <c r="C245" s="58" t="str">
        <f t="shared" si="44"/>
        <v>地域密着型通所介護</v>
      </c>
      <c r="D245" s="165"/>
      <c r="E245" s="18" t="s">
        <v>48</v>
      </c>
      <c r="F245" s="42" t="n">
        <f>IF('(参考)1人(1回(日))1月あたり給付費(在宅)'!H431="","",'(参考)1人(1回(日))1月あたり給付費(在宅)'!H431)</f>
        <v>0.0</v>
      </c>
      <c r="G245" s="100" t="n">
        <f t="shared" si="45"/>
        <v>0.0</v>
      </c>
      <c r="H245" s="100" t="n">
        <f t="shared" si="45"/>
        <v>28.0</v>
      </c>
      <c r="I245" s="22" t="str">
        <f t="shared" si="42"/>
        <v>閾値の範囲内です。</v>
      </c>
      <c r="J245" s="11"/>
      <c r="K245" s="1" t="str">
        <f t="shared" si="43"/>
        <v/>
      </c>
      <c r="L245" s="1" t="n">
        <f>IF(F245="","",1)</f>
        <v>1.0</v>
      </c>
    </row>
    <row r="246" spans="2:12" ht="15.75" customHeight="1">
      <c r="B246" s="109"/>
      <c r="C246" s="59" t="str">
        <f t="shared" si="44"/>
        <v>地域密着型通所介護</v>
      </c>
      <c r="D246" s="166"/>
      <c r="E246" s="23" t="s">
        <v>49</v>
      </c>
      <c r="F246" s="29" t="str">
        <f>IF('(参考)1人(1回(日))1月あたり給付費(在宅)'!H432="","",'(参考)1人(1回(日))1月あたり給付費(在宅)'!H432)</f>
        <v>－</v>
      </c>
      <c r="G246" s="101" t="n">
        <f t="shared" si="45"/>
        <v>2.0</v>
      </c>
      <c r="H246" s="101" t="n">
        <f t="shared" si="45"/>
        <v>17.0</v>
      </c>
      <c r="I246" s="27" t="str">
        <f t="shared" si="42"/>
        <v/>
      </c>
      <c r="J246" s="11"/>
      <c r="K246" s="1" t="str">
        <f t="shared" si="43"/>
        <v/>
      </c>
    </row>
    <row r="247" spans="2:12" ht="15.75" customHeight="1">
      <c r="B247" s="107">
        <v>19</v>
      </c>
      <c r="C247" s="7" t="s">
        <v>56</v>
      </c>
      <c r="D247" s="164" t="s">
        <v>416</v>
      </c>
      <c r="E247" s="15" t="s">
        <v>50</v>
      </c>
      <c r="F247" s="41" t="n">
        <f>IF('(参考)1人(1回(日))1月あたり給付費(在宅)'!H433="","",'(参考)1人(1回(日))1月あたり給付費(在宅)'!H433)</f>
        <v>0.0</v>
      </c>
      <c r="G247" s="88" t="n">
        <f>IF(data!I346&lt;0,0,data!I346)</f>
        <v>1.0</v>
      </c>
      <c r="H247" s="88" t="n">
        <f>IF(data!J346&lt;0,0,data!J346)</f>
        <v>7.0</v>
      </c>
      <c r="I247" s="32" t="str">
        <f t="shared" ref="I247:I270" si="46">IF(OR(F247="",F247="－"),"",IF(F247&lt;G247,"下限値を"&amp;TEXT(ROUND(G247-F247,1),"#,##0.0回")&amp;"下回っています。",IF(F247&gt;H247,"上限値を"&amp;TEXT(ROUND(F247-H247,1),"#,##0.0回")&amp;"上回っています。","閾値の範囲内です。")))</f>
        <v>下限値を1.0回下回っています。</v>
      </c>
      <c r="J247" s="11"/>
      <c r="K247" s="1" t="n">
        <f t="shared" si="36"/>
        <v>1.0</v>
      </c>
      <c r="L247" s="1" t="n">
        <f t="shared" si="30"/>
        <v>1.0</v>
      </c>
    </row>
    <row r="248" spans="2:12" ht="15.75" customHeight="1">
      <c r="B248" s="108"/>
      <c r="C248" s="58" t="str">
        <f t="shared" ref="C248:C270" si="47">C247</f>
        <v>認知症対応型通所介護</v>
      </c>
      <c r="D248" s="165"/>
      <c r="E248" s="30" t="s">
        <v>51</v>
      </c>
      <c r="F248" s="43" t="n">
        <f>IF('(参考)1人(1回(日))1月あたり給付費(在宅)'!H434="","",'(参考)1人(1回(日))1月あたり給付費(在宅)'!H434)</f>
        <v>0.0</v>
      </c>
      <c r="G248" s="91" t="n">
        <f>IF(data!I347&lt;0,0,data!I347)</f>
        <v>0.0</v>
      </c>
      <c r="H248" s="91" t="n">
        <f>IF(data!J347&lt;0,0,data!J347)</f>
        <v>15.0</v>
      </c>
      <c r="I248" s="33" t="str">
        <f t="shared" si="46"/>
        <v>閾値の範囲内です。</v>
      </c>
      <c r="J248" s="11"/>
      <c r="K248" s="1" t="str">
        <f t="shared" si="36"/>
        <v/>
      </c>
      <c r="L248" s="1" t="n">
        <f t="shared" si="30"/>
        <v>1.0</v>
      </c>
    </row>
    <row r="249" spans="2:12" ht="15.75" customHeight="1">
      <c r="B249" s="108"/>
      <c r="C249" s="58" t="str">
        <f t="shared" si="47"/>
        <v>認知症対応型通所介護</v>
      </c>
      <c r="D249" s="165"/>
      <c r="E249" s="18" t="s">
        <v>44</v>
      </c>
      <c r="F249" s="42" t="n">
        <f>IF('(参考)1人(1回(日))1月あたり給付費(在宅)'!H435="","",'(参考)1人(1回(日))1月あたり給付費(在宅)'!H435)</f>
        <v>0.0</v>
      </c>
      <c r="G249" s="89" t="n">
        <f>IF(data!I348&lt;0,0,data!I348)</f>
        <v>2.0</v>
      </c>
      <c r="H249" s="89" t="n">
        <f>IF(data!J348&lt;0,0,data!J348)</f>
        <v>16.0</v>
      </c>
      <c r="I249" s="22" t="str">
        <f t="shared" si="46"/>
        <v>下限値を2.0回下回っています。</v>
      </c>
      <c r="J249" s="11"/>
      <c r="K249" s="1" t="n">
        <f t="shared" si="36"/>
        <v>1.0</v>
      </c>
      <c r="L249" s="1" t="n">
        <f t="shared" si="30"/>
        <v>1.0</v>
      </c>
    </row>
    <row r="250" spans="2:12" ht="15.75" customHeight="1">
      <c r="B250" s="108"/>
      <c r="C250" s="58" t="str">
        <f t="shared" si="47"/>
        <v>認知症対応型通所介護</v>
      </c>
      <c r="D250" s="165"/>
      <c r="E250" s="18" t="s">
        <v>45</v>
      </c>
      <c r="F250" s="42" t="n">
        <f>IF('(参考)1人(1回(日))1月あたり給付費(在宅)'!H436="","",'(参考)1人(1回(日))1月あたり給付費(在宅)'!H436)</f>
        <v>8.8</v>
      </c>
      <c r="G250" s="89" t="n">
        <f>IF(data!I349&lt;0,0,data!I349)</f>
        <v>2.0</v>
      </c>
      <c r="H250" s="89" t="n">
        <f>IF(data!J349&lt;0,0,data!J349)</f>
        <v>19.0</v>
      </c>
      <c r="I250" s="22" t="str">
        <f t="shared" si="46"/>
        <v>閾値の範囲内です。</v>
      </c>
      <c r="J250" s="11"/>
      <c r="K250" s="1" t="str">
        <f t="shared" si="36"/>
        <v/>
      </c>
      <c r="L250" s="1" t="n">
        <f t="shared" si="30"/>
        <v>1.0</v>
      </c>
    </row>
    <row r="251" spans="2:12" ht="15.75" customHeight="1">
      <c r="B251" s="108"/>
      <c r="C251" s="58" t="str">
        <f t="shared" si="47"/>
        <v>認知症対応型通所介護</v>
      </c>
      <c r="D251" s="165"/>
      <c r="E251" s="18" t="s">
        <v>46</v>
      </c>
      <c r="F251" s="42" t="n">
        <f>IF('(参考)1人(1回(日))1月あたり給付費(在宅)'!H437="","",'(参考)1人(1回(日))1月あたり給付費(在宅)'!H437)</f>
        <v>11.5</v>
      </c>
      <c r="G251" s="89" t="n">
        <f>IF(data!I350&lt;0,0,data!I350)</f>
        <v>1.0</v>
      </c>
      <c r="H251" s="89" t="n">
        <f>IF(data!J350&lt;0,0,data!J350)</f>
        <v>22.0</v>
      </c>
      <c r="I251" s="22" t="str">
        <f t="shared" si="46"/>
        <v>閾値の範囲内です。</v>
      </c>
      <c r="J251" s="11"/>
      <c r="K251" s="1" t="str">
        <f t="shared" si="36"/>
        <v/>
      </c>
      <c r="L251" s="1" t="n">
        <f t="shared" si="30"/>
        <v>1.0</v>
      </c>
    </row>
    <row r="252" spans="2:12" ht="15.75" customHeight="1">
      <c r="B252" s="108"/>
      <c r="C252" s="58" t="str">
        <f t="shared" si="47"/>
        <v>認知症対応型通所介護</v>
      </c>
      <c r="D252" s="165"/>
      <c r="E252" s="18" t="s">
        <v>47</v>
      </c>
      <c r="F252" s="42" t="n">
        <f>IF('(参考)1人(1回(日))1月あたり給付費(在宅)'!H438="","",'(参考)1人(1回(日))1月あたり給付費(在宅)'!H438)</f>
        <v>7.6</v>
      </c>
      <c r="G252" s="89" t="n">
        <f>IF(data!I351&lt;0,0,data!I351)</f>
        <v>0.0</v>
      </c>
      <c r="H252" s="89" t="n">
        <f>IF(data!J351&lt;0,0,data!J351)</f>
        <v>25.0</v>
      </c>
      <c r="I252" s="22" t="str">
        <f t="shared" si="46"/>
        <v>閾値の範囲内です。</v>
      </c>
      <c r="J252" s="11"/>
      <c r="K252" s="1" t="str">
        <f t="shared" si="36"/>
        <v/>
      </c>
      <c r="L252" s="1" t="n">
        <f t="shared" si="30"/>
        <v>1.0</v>
      </c>
    </row>
    <row r="253" spans="2:12" ht="15.75" customHeight="1">
      <c r="B253" s="108"/>
      <c r="C253" s="58" t="str">
        <f t="shared" si="47"/>
        <v>認知症対応型通所介護</v>
      </c>
      <c r="D253" s="165"/>
      <c r="E253" s="18" t="s">
        <v>48</v>
      </c>
      <c r="F253" s="42" t="n">
        <f>IF('(参考)1人(1回(日))1月あたり給付費(在宅)'!H439="","",'(参考)1人(1回(日))1月あたり給付費(在宅)'!H439)</f>
        <v>7.4</v>
      </c>
      <c r="G253" s="89" t="n">
        <f>IF(data!I352&lt;0,0,data!I352)</f>
        <v>0.0</v>
      </c>
      <c r="H253" s="89" t="n">
        <f>IF(data!J352&lt;0,0,data!J352)</f>
        <v>25.0</v>
      </c>
      <c r="I253" s="22" t="str">
        <f t="shared" si="46"/>
        <v>閾値の範囲内です。</v>
      </c>
      <c r="J253" s="11"/>
      <c r="K253" s="1" t="str">
        <f t="shared" si="36"/>
        <v/>
      </c>
      <c r="L253" s="1" t="n">
        <f t="shared" si="30"/>
        <v>1.0</v>
      </c>
    </row>
    <row r="254" spans="2:12" ht="15.75" customHeight="1">
      <c r="B254" s="108"/>
      <c r="C254" s="58" t="str">
        <f t="shared" si="47"/>
        <v>認知症対応型通所介護</v>
      </c>
      <c r="D254" s="166"/>
      <c r="E254" s="23" t="s">
        <v>49</v>
      </c>
      <c r="F254" s="29" t="n">
        <f>IF('(参考)1人(1回(日))1月あたり給付費(在宅)'!H440="","",'(参考)1人(1回(日))1月あたり給付費(在宅)'!H440)</f>
        <v>10.540000000000001</v>
      </c>
      <c r="G254" s="90" t="n">
        <f>IF(data!I353&lt;0,0,data!I353)</f>
        <v>2.0</v>
      </c>
      <c r="H254" s="90" t="n">
        <f>IF(data!J353&lt;0,0,data!J353)</f>
        <v>18.0</v>
      </c>
      <c r="I254" s="27" t="str">
        <f t="shared" si="46"/>
        <v>閾値の範囲内です。</v>
      </c>
      <c r="J254" s="11"/>
      <c r="K254" s="1" t="str">
        <f t="shared" si="36"/>
        <v/>
      </c>
    </row>
    <row r="255" spans="2:12" ht="15.75" customHeight="1">
      <c r="B255" s="108"/>
      <c r="C255" s="58" t="str">
        <f t="shared" si="47"/>
        <v>認知症対応型通所介護</v>
      </c>
      <c r="D255" s="164" t="s">
        <v>415</v>
      </c>
      <c r="E255" s="15" t="s">
        <v>50</v>
      </c>
      <c r="F255" s="41" t="n">
        <f>IF('(参考)1人(1回(日))1月あたり給付費(在宅)'!H441="","",'(参考)1人(1回(日))1月あたり給付費(在宅)'!H441)</f>
        <v>0.0</v>
      </c>
      <c r="G255" s="88" t="n">
        <f t="shared" ref="G255:H270" si="48">G247</f>
        <v>1.0</v>
      </c>
      <c r="H255" s="88" t="n">
        <f t="shared" si="48"/>
        <v>7.0</v>
      </c>
      <c r="I255" s="32" t="str">
        <f t="shared" si="46"/>
        <v>下限値を1.0回下回っています。</v>
      </c>
      <c r="J255" s="11"/>
      <c r="K255" s="1" t="n">
        <f t="shared" si="36"/>
        <v>1.0</v>
      </c>
      <c r="L255" s="1" t="n">
        <f t="shared" si="30"/>
        <v>1.0</v>
      </c>
    </row>
    <row r="256" spans="2:12" ht="15.75" customHeight="1">
      <c r="B256" s="108"/>
      <c r="C256" s="58" t="str">
        <f t="shared" si="47"/>
        <v>認知症対応型通所介護</v>
      </c>
      <c r="D256" s="165"/>
      <c r="E256" s="30" t="s">
        <v>51</v>
      </c>
      <c r="F256" s="43" t="n">
        <f>IF('(参考)1人(1回(日))1月あたり給付費(在宅)'!H442="","",'(参考)1人(1回(日))1月あたり給付費(在宅)'!H442)</f>
        <v>0.0</v>
      </c>
      <c r="G256" s="91" t="n">
        <f t="shared" si="48"/>
        <v>0.0</v>
      </c>
      <c r="H256" s="91" t="n">
        <f t="shared" si="48"/>
        <v>15.0</v>
      </c>
      <c r="I256" s="33" t="str">
        <f t="shared" si="46"/>
        <v>閾値の範囲内です。</v>
      </c>
      <c r="J256" s="11"/>
      <c r="K256" s="1" t="str">
        <f t="shared" si="36"/>
        <v/>
      </c>
      <c r="L256" s="1" t="n">
        <f t="shared" si="30"/>
        <v>1.0</v>
      </c>
    </row>
    <row r="257" spans="2:12" ht="15.75" customHeight="1">
      <c r="B257" s="108"/>
      <c r="C257" s="58" t="str">
        <f t="shared" si="47"/>
        <v>認知症対応型通所介護</v>
      </c>
      <c r="D257" s="165"/>
      <c r="E257" s="18" t="s">
        <v>44</v>
      </c>
      <c r="F257" s="42" t="n">
        <f>IF('(参考)1人(1回(日))1月あたり給付費(在宅)'!H443="","",'(参考)1人(1回(日))1月あたり給付費(在宅)'!H443)</f>
        <v>0.0</v>
      </c>
      <c r="G257" s="89" t="n">
        <f t="shared" si="48"/>
        <v>2.0</v>
      </c>
      <c r="H257" s="89" t="n">
        <f t="shared" si="48"/>
        <v>16.0</v>
      </c>
      <c r="I257" s="22" t="str">
        <f t="shared" si="46"/>
        <v>下限値を2.0回下回っています。</v>
      </c>
      <c r="J257" s="11"/>
      <c r="K257" s="1" t="n">
        <f t="shared" si="36"/>
        <v>1.0</v>
      </c>
      <c r="L257" s="1" t="n">
        <f t="shared" si="30"/>
        <v>1.0</v>
      </c>
    </row>
    <row r="258" spans="2:12" ht="15.75" customHeight="1">
      <c r="B258" s="108"/>
      <c r="C258" s="58" t="str">
        <f t="shared" si="47"/>
        <v>認知症対応型通所介護</v>
      </c>
      <c r="D258" s="165"/>
      <c r="E258" s="18" t="s">
        <v>45</v>
      </c>
      <c r="F258" s="42" t="n">
        <f>IF('(参考)1人(1回(日))1月あたり給付費(在宅)'!H444="","",'(参考)1人(1回(日))1月あたり給付費(在宅)'!H444)</f>
        <v>8.8</v>
      </c>
      <c r="G258" s="89" t="n">
        <f t="shared" si="48"/>
        <v>2.0</v>
      </c>
      <c r="H258" s="89" t="n">
        <f t="shared" si="48"/>
        <v>19.0</v>
      </c>
      <c r="I258" s="22" t="str">
        <f t="shared" si="46"/>
        <v>閾値の範囲内です。</v>
      </c>
      <c r="J258" s="11"/>
      <c r="K258" s="1" t="str">
        <f t="shared" si="36"/>
        <v/>
      </c>
      <c r="L258" s="1" t="n">
        <f t="shared" si="30"/>
        <v>1.0</v>
      </c>
    </row>
    <row r="259" spans="2:12" ht="15.75" customHeight="1">
      <c r="B259" s="108"/>
      <c r="C259" s="58" t="str">
        <f t="shared" si="47"/>
        <v>認知症対応型通所介護</v>
      </c>
      <c r="D259" s="165"/>
      <c r="E259" s="18" t="s">
        <v>46</v>
      </c>
      <c r="F259" s="42" t="n">
        <f>IF('(参考)1人(1回(日))1月あたり給付費(在宅)'!H445="","",'(参考)1人(1回(日))1月あたり給付費(在宅)'!H445)</f>
        <v>11.5</v>
      </c>
      <c r="G259" s="89" t="n">
        <f t="shared" si="48"/>
        <v>1.0</v>
      </c>
      <c r="H259" s="89" t="n">
        <f t="shared" si="48"/>
        <v>22.0</v>
      </c>
      <c r="I259" s="22" t="str">
        <f t="shared" si="46"/>
        <v>閾値の範囲内です。</v>
      </c>
      <c r="J259" s="11"/>
      <c r="K259" s="1" t="str">
        <f t="shared" si="36"/>
        <v/>
      </c>
      <c r="L259" s="1" t="n">
        <f t="shared" si="30"/>
        <v>1.0</v>
      </c>
    </row>
    <row r="260" spans="2:12" ht="15.75" customHeight="1">
      <c r="B260" s="108"/>
      <c r="C260" s="58" t="str">
        <f t="shared" si="47"/>
        <v>認知症対応型通所介護</v>
      </c>
      <c r="D260" s="165"/>
      <c r="E260" s="18" t="s">
        <v>47</v>
      </c>
      <c r="F260" s="42" t="n">
        <f>IF('(参考)1人(1回(日))1月あたり給付費(在宅)'!H446="","",'(参考)1人(1回(日))1月あたり給付費(在宅)'!H446)</f>
        <v>7.6</v>
      </c>
      <c r="G260" s="89" t="n">
        <f t="shared" si="48"/>
        <v>0.0</v>
      </c>
      <c r="H260" s="89" t="n">
        <f t="shared" si="48"/>
        <v>25.0</v>
      </c>
      <c r="I260" s="22" t="str">
        <f t="shared" si="46"/>
        <v>閾値の範囲内です。</v>
      </c>
      <c r="J260" s="11"/>
      <c r="K260" s="1" t="str">
        <f t="shared" si="36"/>
        <v/>
      </c>
      <c r="L260" s="1" t="n">
        <f t="shared" si="30"/>
        <v>1.0</v>
      </c>
    </row>
    <row r="261" spans="2:12" ht="15.75" customHeight="1">
      <c r="B261" s="108"/>
      <c r="C261" s="58" t="str">
        <f t="shared" si="47"/>
        <v>認知症対応型通所介護</v>
      </c>
      <c r="D261" s="165"/>
      <c r="E261" s="18" t="s">
        <v>48</v>
      </c>
      <c r="F261" s="42" t="n">
        <f>IF('(参考)1人(1回(日))1月あたり給付費(在宅)'!H447="","",'(参考)1人(1回(日))1月あたり給付費(在宅)'!H447)</f>
        <v>7.4</v>
      </c>
      <c r="G261" s="89" t="n">
        <f t="shared" si="48"/>
        <v>0.0</v>
      </c>
      <c r="H261" s="89" t="n">
        <f t="shared" si="48"/>
        <v>25.0</v>
      </c>
      <c r="I261" s="22" t="str">
        <f t="shared" si="46"/>
        <v>閾値の範囲内です。</v>
      </c>
      <c r="J261" s="11"/>
      <c r="K261" s="1" t="str">
        <f t="shared" si="36"/>
        <v/>
      </c>
      <c r="L261" s="1" t="n">
        <f t="shared" si="30"/>
        <v>1.0</v>
      </c>
    </row>
    <row r="262" spans="2:12" ht="15.75" customHeight="1">
      <c r="B262" s="108"/>
      <c r="C262" s="58" t="str">
        <f t="shared" si="47"/>
        <v>認知症対応型通所介護</v>
      </c>
      <c r="D262" s="166"/>
      <c r="E262" s="23" t="s">
        <v>49</v>
      </c>
      <c r="F262" s="29" t="n">
        <f>IF('(参考)1人(1回(日))1月あたり給付費(在宅)'!H448="","",'(参考)1人(1回(日))1月あたり給付費(在宅)'!H448)</f>
        <v>10.540000000000001</v>
      </c>
      <c r="G262" s="89" t="n">
        <f t="shared" si="48"/>
        <v>2.0</v>
      </c>
      <c r="H262" s="89" t="n">
        <f t="shared" si="48"/>
        <v>18.0</v>
      </c>
      <c r="I262" s="27" t="str">
        <f t="shared" si="46"/>
        <v>閾値の範囲内です。</v>
      </c>
      <c r="J262" s="11"/>
      <c r="K262" s="1" t="str">
        <f t="shared" si="36"/>
        <v/>
      </c>
    </row>
    <row r="263" spans="2:12" ht="15.75" customHeight="1">
      <c r="B263" s="108"/>
      <c r="C263" s="58" t="str">
        <f t="shared" si="47"/>
        <v>認知症対応型通所介護</v>
      </c>
      <c r="D263" s="164" t="s">
        <v>414</v>
      </c>
      <c r="E263" s="15" t="s">
        <v>50</v>
      </c>
      <c r="F263" s="41" t="n">
        <f>IF('(参考)1人(1回(日))1月あたり給付費(在宅)'!H449="","",'(参考)1人(1回(日))1月あたり給付費(在宅)'!H449)</f>
        <v>0.0</v>
      </c>
      <c r="G263" s="88" t="n">
        <f t="shared" si="48"/>
        <v>1.0</v>
      </c>
      <c r="H263" s="88" t="n">
        <f t="shared" si="48"/>
        <v>7.0</v>
      </c>
      <c r="I263" s="32" t="str">
        <f t="shared" si="46"/>
        <v>下限値を1.0回下回っています。</v>
      </c>
      <c r="J263" s="11"/>
      <c r="K263" s="1" t="n">
        <f t="shared" si="36"/>
        <v>1.0</v>
      </c>
      <c r="L263" s="1" t="n">
        <f t="shared" ref="L263:L269" si="49">IF(F263="","",1)</f>
        <v>1.0</v>
      </c>
    </row>
    <row r="264" spans="2:12" ht="15.75" customHeight="1">
      <c r="B264" s="108"/>
      <c r="C264" s="58" t="str">
        <f t="shared" si="47"/>
        <v>認知症対応型通所介護</v>
      </c>
      <c r="D264" s="165"/>
      <c r="E264" s="30" t="s">
        <v>51</v>
      </c>
      <c r="F264" s="43" t="n">
        <f>IF('(参考)1人(1回(日))1月あたり給付費(在宅)'!H450="","",'(参考)1人(1回(日))1月あたり給付費(在宅)'!H450)</f>
        <v>0.0</v>
      </c>
      <c r="G264" s="91" t="n">
        <f t="shared" si="48"/>
        <v>0.0</v>
      </c>
      <c r="H264" s="91" t="n">
        <f t="shared" si="48"/>
        <v>15.0</v>
      </c>
      <c r="I264" s="33" t="str">
        <f t="shared" si="46"/>
        <v>閾値の範囲内です。</v>
      </c>
      <c r="J264" s="11"/>
      <c r="K264" s="1" t="str">
        <f t="shared" si="36"/>
        <v/>
      </c>
      <c r="L264" s="1" t="n">
        <f t="shared" si="49"/>
        <v>1.0</v>
      </c>
    </row>
    <row r="265" spans="2:12" ht="15.75" customHeight="1">
      <c r="B265" s="108"/>
      <c r="C265" s="58" t="str">
        <f t="shared" si="47"/>
        <v>認知症対応型通所介護</v>
      </c>
      <c r="D265" s="165"/>
      <c r="E265" s="18" t="s">
        <v>44</v>
      </c>
      <c r="F265" s="42" t="n">
        <f>IF('(参考)1人(1回(日))1月あたり給付費(在宅)'!H451="","",'(参考)1人(1回(日))1月あたり給付費(在宅)'!H451)</f>
        <v>0.0</v>
      </c>
      <c r="G265" s="89" t="n">
        <f t="shared" si="48"/>
        <v>2.0</v>
      </c>
      <c r="H265" s="89" t="n">
        <f t="shared" si="48"/>
        <v>16.0</v>
      </c>
      <c r="I265" s="22" t="str">
        <f t="shared" si="46"/>
        <v>下限値を2.0回下回っています。</v>
      </c>
      <c r="J265" s="11"/>
      <c r="K265" s="1" t="n">
        <f t="shared" si="36"/>
        <v>1.0</v>
      </c>
      <c r="L265" s="1" t="n">
        <f t="shared" si="49"/>
        <v>1.0</v>
      </c>
    </row>
    <row r="266" spans="2:12" ht="15.75" customHeight="1">
      <c r="B266" s="108"/>
      <c r="C266" s="58" t="str">
        <f t="shared" si="47"/>
        <v>認知症対応型通所介護</v>
      </c>
      <c r="D266" s="165"/>
      <c r="E266" s="18" t="s">
        <v>45</v>
      </c>
      <c r="F266" s="42" t="n">
        <f>IF('(参考)1人(1回(日))1月あたり給付費(在宅)'!H452="","",'(参考)1人(1回(日))1月あたり給付費(在宅)'!H452)</f>
        <v>8.8</v>
      </c>
      <c r="G266" s="89" t="n">
        <f t="shared" si="48"/>
        <v>2.0</v>
      </c>
      <c r="H266" s="89" t="n">
        <f t="shared" si="48"/>
        <v>19.0</v>
      </c>
      <c r="I266" s="22" t="str">
        <f t="shared" si="46"/>
        <v>閾値の範囲内です。</v>
      </c>
      <c r="J266" s="11"/>
      <c r="K266" s="1" t="str">
        <f t="shared" si="36"/>
        <v/>
      </c>
      <c r="L266" s="1" t="n">
        <f t="shared" si="49"/>
        <v>1.0</v>
      </c>
    </row>
    <row r="267" spans="2:12" ht="15.75" customHeight="1">
      <c r="B267" s="108"/>
      <c r="C267" s="58" t="str">
        <f t="shared" si="47"/>
        <v>認知症対応型通所介護</v>
      </c>
      <c r="D267" s="165"/>
      <c r="E267" s="18" t="s">
        <v>46</v>
      </c>
      <c r="F267" s="42" t="n">
        <f>IF('(参考)1人(1回(日))1月あたり給付費(在宅)'!H453="","",'(参考)1人(1回(日))1月あたり給付費(在宅)'!H453)</f>
        <v>11.5</v>
      </c>
      <c r="G267" s="89" t="n">
        <f t="shared" si="48"/>
        <v>1.0</v>
      </c>
      <c r="H267" s="89" t="n">
        <f t="shared" si="48"/>
        <v>22.0</v>
      </c>
      <c r="I267" s="22" t="str">
        <f t="shared" si="46"/>
        <v>閾値の範囲内です。</v>
      </c>
      <c r="J267" s="11"/>
      <c r="K267" s="1" t="str">
        <f t="shared" si="36"/>
        <v/>
      </c>
      <c r="L267" s="1" t="n">
        <f t="shared" si="49"/>
        <v>1.0</v>
      </c>
    </row>
    <row r="268" spans="2:12" ht="15.75" customHeight="1">
      <c r="B268" s="108"/>
      <c r="C268" s="58" t="str">
        <f t="shared" si="47"/>
        <v>認知症対応型通所介護</v>
      </c>
      <c r="D268" s="165"/>
      <c r="E268" s="18" t="s">
        <v>47</v>
      </c>
      <c r="F268" s="42" t="n">
        <f>IF('(参考)1人(1回(日))1月あたり給付費(在宅)'!H454="","",'(参考)1人(1回(日))1月あたり給付費(在宅)'!H454)</f>
        <v>7.6</v>
      </c>
      <c r="G268" s="89" t="n">
        <f t="shared" si="48"/>
        <v>0.0</v>
      </c>
      <c r="H268" s="89" t="n">
        <f t="shared" si="48"/>
        <v>25.0</v>
      </c>
      <c r="I268" s="22" t="str">
        <f t="shared" si="46"/>
        <v>閾値の範囲内です。</v>
      </c>
      <c r="J268" s="11"/>
      <c r="K268" s="1" t="str">
        <f t="shared" si="36"/>
        <v/>
      </c>
      <c r="L268" s="1" t="n">
        <f t="shared" si="49"/>
        <v>1.0</v>
      </c>
    </row>
    <row r="269" spans="2:12" ht="15.75" customHeight="1">
      <c r="B269" s="8"/>
      <c r="C269" s="58" t="str">
        <f t="shared" si="47"/>
        <v>認知症対応型通所介護</v>
      </c>
      <c r="D269" s="165"/>
      <c r="E269" s="18" t="s">
        <v>48</v>
      </c>
      <c r="F269" s="42" t="n">
        <f>IF('(参考)1人(1回(日))1月あたり給付費(在宅)'!H455="","",'(参考)1人(1回(日))1月あたり給付費(在宅)'!H455)</f>
        <v>7.4</v>
      </c>
      <c r="G269" s="89" t="n">
        <f t="shared" si="48"/>
        <v>0.0</v>
      </c>
      <c r="H269" s="89" t="n">
        <f t="shared" si="48"/>
        <v>25.0</v>
      </c>
      <c r="I269" s="22" t="str">
        <f t="shared" si="46"/>
        <v>閾値の範囲内です。</v>
      </c>
      <c r="J269" s="11"/>
      <c r="K269" s="1" t="str">
        <f t="shared" si="36"/>
        <v/>
      </c>
      <c r="L269" s="1" t="n">
        <f t="shared" si="49"/>
        <v>1.0</v>
      </c>
    </row>
    <row r="270" spans="2:12" ht="15.75" customHeight="1">
      <c r="B270" s="10"/>
      <c r="C270" s="59" t="str">
        <f t="shared" si="47"/>
        <v>認知症対応型通所介護</v>
      </c>
      <c r="D270" s="166"/>
      <c r="E270" s="23" t="s">
        <v>49</v>
      </c>
      <c r="F270" s="29" t="n">
        <f>IF('(参考)1人(1回(日))1月あたり給付費(在宅)'!H456="","",'(参考)1人(1回(日))1月あたり給付費(在宅)'!H456)</f>
        <v>10.540000000000001</v>
      </c>
      <c r="G270" s="90" t="n">
        <f t="shared" si="48"/>
        <v>2.0</v>
      </c>
      <c r="H270" s="90" t="n">
        <f t="shared" si="48"/>
        <v>18.0</v>
      </c>
      <c r="I270" s="27" t="str">
        <f t="shared" si="46"/>
        <v>閾値の範囲内です。</v>
      </c>
      <c r="J270" s="11"/>
      <c r="K270" s="1" t="str">
        <f t="shared" si="36"/>
        <v/>
      </c>
    </row>
    <row r="271" spans="2:12">
      <c r="L271" s="1" t="n">
        <f>IF(COUNTIF(L7:L270,1)&gt;0,1,"")</f>
        <v>1.0</v>
      </c>
    </row>
  </sheetData>
  <mergeCells count="42">
    <mergeCell ref="D205:D212"/>
    <mergeCell ref="D213:D220"/>
    <mergeCell ref="D221:D228"/>
    <mergeCell ref="D109:D114"/>
    <mergeCell ref="D115:D120"/>
    <mergeCell ref="D121:D126"/>
    <mergeCell ref="D181:D188"/>
    <mergeCell ref="D189:D196"/>
    <mergeCell ref="D197:D204"/>
    <mergeCell ref="D133:D140"/>
    <mergeCell ref="D141:D148"/>
    <mergeCell ref="D149:D156"/>
    <mergeCell ref="D157:D164"/>
    <mergeCell ref="D165:D172"/>
    <mergeCell ref="D173:D180"/>
    <mergeCell ref="D247:D254"/>
    <mergeCell ref="D255:D262"/>
    <mergeCell ref="D263:D270"/>
    <mergeCell ref="D229:D234"/>
    <mergeCell ref="D235:D240"/>
    <mergeCell ref="D241:D246"/>
    <mergeCell ref="I5:I6"/>
    <mergeCell ref="D7:D12"/>
    <mergeCell ref="D13:D18"/>
    <mergeCell ref="D19:D24"/>
    <mergeCell ref="D127:D132"/>
    <mergeCell ref="D73:D80"/>
    <mergeCell ref="D81:D88"/>
    <mergeCell ref="D89:D96"/>
    <mergeCell ref="D25:D32"/>
    <mergeCell ref="D33:D40"/>
    <mergeCell ref="D41:D48"/>
    <mergeCell ref="D49:D56"/>
    <mergeCell ref="D57:D64"/>
    <mergeCell ref="D65:D72"/>
    <mergeCell ref="F5:F6"/>
    <mergeCell ref="G5:H5"/>
    <mergeCell ref="D97:D102"/>
    <mergeCell ref="D103:D108"/>
    <mergeCell ref="B5:B6"/>
    <mergeCell ref="C5:C6"/>
    <mergeCell ref="D5:E6"/>
  </mergeCells>
  <phoneticPr fontId="2"/>
  <conditionalFormatting sqref="I7:I204">
    <cfRule type="expression" dxfId="5" priority="11">
      <formula>G7&gt;F7</formula>
    </cfRule>
    <cfRule type="expression" dxfId="4" priority="12">
      <formula>F7&gt;H7</formula>
    </cfRule>
  </conditionalFormatting>
  <conditionalFormatting sqref="I206:I212 I214:I220">
    <cfRule type="expression" dxfId="3" priority="3">
      <formula>G206&gt;F206</formula>
    </cfRule>
    <cfRule type="expression" dxfId="2" priority="4">
      <formula>F206&gt;H206</formula>
    </cfRule>
  </conditionalFormatting>
  <conditionalFormatting sqref="I222:I270">
    <cfRule type="expression" dxfId="1" priority="1">
      <formula>G222&gt;F222</formula>
    </cfRule>
    <cfRule type="expression" dxfId="0" priority="2">
      <formula>F222&gt;H222</formula>
    </cfRule>
  </conditionalFormatting>
  <dataValidations count="1">
    <dataValidation imeMode="disabled" allowBlank="1" showInputMessage="1" showErrorMessage="1" sqref="G165:H180 G213:H228 G255:H270 G103:H114 G141:H156 G121:H132 G13:H24 G81:H96 G57:H72 G33:H48 G189:H204 G235:H246" xr:uid="{00000000-0002-0000-08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16</vt:i4>
      </vt:variant>
    </vt:vector>
  </HeadingPairs>
  <TitlesOfParts>
    <vt:vector size="26" baseType="lpstr">
      <vt:lpstr>概要</vt:lpstr>
      <vt:lpstr>data</vt:lpstr>
      <vt:lpstr>施策反映 認定者数</vt:lpstr>
      <vt:lpstr>施策反映 施設・居住系サービス利用者数</vt:lpstr>
      <vt:lpstr>施策反映 在宅サービス利用者数</vt:lpstr>
      <vt:lpstr>(参考)在宅・居住系・施設1人1月あたり給付費</vt:lpstr>
      <vt:lpstr>(参考)1人(1回(日))1月あたり給付費(在宅)</vt:lpstr>
      <vt:lpstr>(参考)1人(1回(日))1月あたり給付費(居住系)</vt:lpstr>
      <vt:lpstr>(参考)1人(1回(日))1月あたり給付費(施設)</vt:lpstr>
      <vt:lpstr>在宅サービス1人1月あたり利用回（日）数</vt:lpstr>
      <vt:lpstr>'(参考)1人(1回(日))1月あたり給付費(居住系)'!Print_Area</vt:lpstr>
      <vt:lpstr>'(参考)1人(1回(日))1月あたり給付費(在宅)'!Print_Area</vt:lpstr>
      <vt:lpstr>'(参考)1人(1回(日))1月あたり給付費(施設)'!Print_Area</vt:lpstr>
      <vt:lpstr>'(参考)在宅・居住系・施設1人1月あたり給付費'!Print_Area</vt:lpstr>
      <vt:lpstr>概要!Print_Area</vt:lpstr>
      <vt:lpstr>'在宅サービス1人1月あたり利用回（日）数'!Print_Area</vt:lpstr>
      <vt:lpstr>'施策反映 在宅サービス利用者数'!Print_Area</vt:lpstr>
      <vt:lpstr>'施策反映 施設・居住系サービス利用者数'!Print_Area</vt:lpstr>
      <vt:lpstr>'施策反映 認定者数'!Print_Area</vt:lpstr>
      <vt:lpstr>'(参考)1人(1回(日))1月あたり給付費(居住系)'!Print_Titles</vt:lpstr>
      <vt:lpstr>'(参考)1人(1回(日))1月あたり給付費(在宅)'!Print_Titles</vt:lpstr>
      <vt:lpstr>'(参考)1人(1回(日))1月あたり給付費(施設)'!Print_Titles</vt:lpstr>
      <vt:lpstr>'(参考)在宅・居住系・施設1人1月あたり給付費'!Print_Titles</vt:lpstr>
      <vt:lpstr>'在宅サービス1人1月あたり利用回（日）数'!Print_Titles</vt:lpstr>
      <vt:lpstr>'施策反映 在宅サービス利用者数'!Print_Titles</vt:lpstr>
      <vt:lpstr>'施策反映 認定者数'!Print_Titles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2023-07-28T05:11:14Z</dcterms:created>
  <dcterms:modified xsi:type="dcterms:W3CDTF">2026-09-11T11:19:55Z</dcterms:modified>
</cp:coreProperties>
</file>