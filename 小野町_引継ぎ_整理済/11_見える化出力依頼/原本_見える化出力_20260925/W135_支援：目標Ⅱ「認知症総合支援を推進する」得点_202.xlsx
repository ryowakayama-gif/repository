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<sst xmlns="http://schemas.openxmlformats.org/spreadsheetml/2006/main" count="1064" uniqueCount="793">
  <si>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</si>
  <si>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</si>
  <si>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</si>
  <si>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</si>
  <si>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</si>
  <si>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</si>
  <si>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</si>
  <si>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</si>
  <si>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</si>
  <si>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</si>
  <si>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</si>
  <si>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</si>
  <si>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</si>
  <si>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</si>
  <si>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</si>
  <si>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</si>
  <si>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</si>
  <si>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</si>
  <si>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</si>
  <si>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</si>
  <si>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</si>
  <si>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</si>
  <si>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</si>
  <si>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</si>
  <si>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</si>
  <si>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</si>
  <si>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</si>
  <si>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</si>
  <si>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</si>
  <si>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</si>
  <si>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</si>
  <si>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</si>
  <si>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</si>
  <si>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</si>
  <si>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</si>
  <si>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</si>
  <si>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</si>
  <si>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</si>
  <si>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</si>
  <si>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</si>
  <si>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</si>
  <si>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</si>
  <si>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</si>
  <si>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</si>
  <si>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</si>
  <si>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</si>
  <si>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</si>
  <si>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</si>
  <si>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</si>
  <si>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</si>
  <si>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</si>
  <si>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</si>
  <si>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</si>
  <si>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</si>
  <si>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</si>
  <si>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</si>
  <si>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</si>
  <si>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</si>
  <si>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</si>
  <si>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</si>
  <si>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</si>
  <si>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</si>
  <si>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</si>
  <si>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</si>
  <si>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</si>
  <si>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</si>
  <si>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</si>
  <si>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</si>
  <si>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</si>
  <si>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</si>
  <si>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</si>
  <si>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</si>
  <si>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</si>
  <si>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</si>
  <si>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</si>
  <si>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</si>
  <si>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</si>
  <si>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</si>
  <si>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</si>
  <si>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</si>
  <si>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</si>
  <si>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</si>
  <si>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</si>
  <si>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</si>
  <si>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</si>
  <si>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</si>
  <si>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</si>
  <si>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</si>
  <si>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</si>
  <si>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</si>
  <si>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</si>
  <si>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</si>
  <si>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</si>
  <si>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</si>
  <si>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</si>
  <si>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</si>
  <si>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</si>
  <si>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</si>
  <si>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</si>
  <si>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</si>
  <si>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</si>
  <si>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</si>
  <si>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</si>
  <si>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</si>
  <si>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</si>
  <si>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</si>
  <si>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</si>
  <si>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</si>
  <si>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</si>
  <si>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</si>
  <si>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</si>
  <si>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</si>
  <si>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</si>
  <si>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</si>
  <si>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</si>
  <si>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</si>
  <si>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</si>
  <si>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</si>
  <si>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</si>
  <si>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</si>
  <si>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</si>
  <si>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</si>
  <si>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</si>
  <si>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</si>
  <si>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</si>
  <si>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</si>
  <si>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</si>
  <si>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</si>
  <si>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</si>
  <si>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</si>
  <si>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</si>
  <si>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</si>
  <si>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</si>
  <si>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</si>
  <si>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</si>
  <si>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</si>
  <si>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</si>
  <si>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</si>
  <si>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</si>
  <si>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</si>
  <si>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</si>
  <si>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</si>
  <si>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</si>
  <si>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</si>
  <si>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</si>
  <si>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</si>
  <si>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</si>
  <si>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</si>
  <si>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</si>
  <si>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</si>
  <si>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</si>
  <si>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</si>
  <si>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</si>
  <si>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</si>
  <si>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</si>
  <si>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</si>
  <si>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</si>
  <si>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</si>
  <si>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</si>
  <si>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</si>
  <si>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</si>
  <si>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</si>
  <si>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</si>
  <si>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</si>
  <si>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</si>
  <si>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</si>
  <si>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</si>
  <si>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</si>
  <si>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</si>
  <si>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</si>
  <si>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</si>
  <si>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</si>
  <si>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</si>
  <si>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</si>
  <si>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</si>
  <si>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</si>
  <si>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</si>
  <si>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</si>
  <si>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</si>
  <si>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</si>
  <si>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</si>
  <si>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</si>
  <si>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</si>
  <si>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</si>
  <si>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</si>
  <si>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</si>
  <si>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</si>
  <si>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</si>
  <si>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</si>
  <si>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</si>
  <si>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</si>
  <si>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</si>
  <si>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</si>
  <si>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</si>
  <si>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</si>
  <si>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</si>
  <si>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</si>
  <si>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</si>
  <si>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</si>
  <si>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</si>
  <si>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</si>
  <si>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</si>
  <si>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</si>
  <si>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</si>
  <si>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</si>
  <si>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</si>
  <si>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</si>
  <si>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</si>
  <si>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</si>
  <si>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</si>
  <si>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</si>
  <si>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</si>
  <si>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</si>
  <si>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</si>
  <si>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</si>
  <si>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</si>
  <si>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</si>
  <si>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</si>
  <si>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</si>
  <si>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</si>
  <si>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</si>
  <si>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</si>
  <si>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</si>
  <si>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</si>
  <si>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</si>
  <si>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</si>
  <si>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</si>
  <si>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</si>
  <si>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</si>
  <si>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</si>
  <si>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</si>
  <si>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</si>
  <si>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</si>
  <si>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</si>
  <si>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</si>
  <si>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</si>
  <si>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</si>
  <si>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</si>
  <si>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</si>
  <si>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</si>
  <si>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</si>
  <si>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</si>
  <si>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</si>
  <si>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</si>
  <si>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</si>
  <si>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</si>
  <si>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</si>
  <si>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</si>
  <si>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</si>
  <si>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</si>
  <si>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</si>
  <si>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</si>
  <si>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</si>
  <si>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</si>
  <si>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</si>
  <si>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</si>
  <si>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</si>
  <si>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</si>
  <si>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</si>
  <si>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</si>
  <si>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</si>
  <si>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</si>
  <si>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</si>
  <si>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</si>
  <si>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</si>
  <si>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</si>
  <si>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</si>
  <si>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</si>
  <si>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</si>
  <si>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</si>
  <si>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</si>
  <si>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</si>
  <si>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</si>
  <si>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</si>
  <si>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</si>
  <si>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</si>
  <si>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</si>
  <si>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</si>
  <si>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</si>
  <si>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</si>
  <si>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</si>
  <si>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</si>
  <si>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</si>
  <si>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</si>
  <si>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</si>
  <si>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</si>
  <si>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</si>
  <si>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</si>
  <si>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</si>
  <si>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</si>
  <si>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</si>
  <si>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</si>
  <si>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</si>
  <si>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</si>
  <si>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</si>
  <si>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</si>
  <si>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</si>
  <si>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</si>
  <si>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</si>
  <si>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</si>
  <si>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</si>
  <si>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</si>
  <si>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</si>
  <si>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</si>
  <si>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</si>
  <si>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</si>
  <si>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</si>
  <si>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</si>
  <si>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</si>
  <si>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</si>
  <si>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</si>
  <si>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</si>
  <si>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</si>
  <si>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</si>
  <si>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</si>
  <si>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</si>
  <si>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</si>
  <si>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</si>
  <si>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</si>
  <si>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</si>
  <si>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</si>
  <si>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</si>
  <si>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</si>
  <si>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</si>
  <si>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</si>
  <si>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</si>
  <si>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</si>
  <si>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</si>
  <si>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</si>
  <si>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</si>
  <si>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</si>
  <si>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</si>
  <si>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</si>
  <si>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</si>
  <si>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</si>
  <si>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</si>
  <si>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</si>
  <si>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</si>
  <si>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</si>
  <si>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</si>
  <si>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</si>
  <si>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</si>
  <si>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</si>
  <si>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</si>
  <si>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</si>
  <si>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</si>
  <si>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</si>
  <si>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</si>
  <si>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</si>
  <si>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</si>
  <si>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</si>
  <si>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</si>
  <si>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</si>
  <si>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</si>
  <si>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</si>
  <si>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</si>
  <si>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</si>
  <si>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</si>
  <si>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</si>
  <si>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</si>
  <si>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</si>
  <si>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</si>
  <si>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</si>
  <si>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</si>
  <si>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</si>
  <si>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</si>
  <si>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</si>
  <si>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</si>
  <si>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</si>
  <si>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</si>
  <si>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</si>
  <si>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</si>
  <si>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</si>
  <si>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</si>
  <si>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</si>
  <si>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</si>
  <si>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</si>
  <si>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</si>
  <si>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</si>
  <si>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</si>
  <si>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</si>
  <si>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</si>
  <si>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</si>
  <si>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</si>
  <si>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</si>
  <si>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</si>
  <si>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</si>
  <si>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</si>
  <si>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</si>
  <si>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</si>
  <si>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</si>
  <si>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</si>
  <si>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</si>
  <si>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</si>
  <si>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</si>
  <si>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</si>
  <si>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</si>
  <si>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</si>
  <si>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</si>
  <si>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</si>
  <si>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</si>
  <si>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</si>
  <si>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</si>
  <si>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</si>
  <si>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</si>
  <si>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</si>
  <si>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</si>
  <si>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</si>
  <si>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</si>
  <si>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</si>
  <si>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</si>
  <si>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</si>
  <si>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</si>
  <si>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</si>
  <si>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</si>
  <si>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</si>
  <si>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</si>
  <si>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</si>
  <si>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</si>
  <si>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</si>
  <si>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</si>
  <si>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</si>
  <si>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</si>
  <si>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</si>
  <si>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</si>
  <si>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</si>
  <si>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</si>
  <si>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</si>
  <si>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</si>
  <si>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</si>
  <si>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</si>
  <si>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</si>
  <si>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</si>
  <si>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</si>
  <si>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</si>
  <si>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</si>
  <si>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</si>
  <si>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</si>
  <si>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</si>
  <si>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</si>
  <si>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</si>
  <si>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</si>
  <si>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</si>
  <si>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</si>
  <si>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</si>
  <si>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</si>
  <si>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</si>
  <si>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</si>
  <si>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</si>
  <si>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</si>
  <si>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</si>
  <si>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</si>
  <si>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</si>
  <si>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</si>
  <si>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</si>
  <si>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</si>
  <si>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</si>
  <si>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</si>
  <si>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</si>
  <si>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</si>
  <si>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</si>
  <si>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</si>
  <si>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</si>
  <si>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</si>
  <si>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</si>
  <si>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</si>
  <si>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</si>
  <si>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</si>
  <si>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</si>
  <si>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</si>
  <si>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</si>
  <si>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</si>
  <si>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</si>
  <si>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</si>
  <si>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</si>
  <si>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</si>
  <si>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</si>
  <si>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</si>
  <si>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</si>
  <si>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</si>
  <si>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</si>
  <si>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</si>
  <si>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</si>
  <si>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</si>
  <si>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</si>
  <si>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</si>
  <si>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</si>
  <si>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</si>
  <si>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</si>
  <si>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</si>
  <si>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</si>
  <si>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</si>
  <si>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</si>
  <si>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</si>
  <si>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</si>
  <si>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</si>
  <si>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</si>
  <si>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</si>
  <si>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</si>
  <si>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</si>
  <si>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</si>
  <si>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</si>
  <si>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</si>
  <si>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</si>
  <si>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</si>
  <si>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</si>
  <si>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</si>
  <si>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</si>
  <si>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</si>
  <si>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</si>
  <si>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</si>
  <si>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</si>
  <si>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</si>
  <si>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</si>
  <si>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</si>
  <si>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</si>
  <si>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</si>
  <si>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</si>
  <si>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</si>
  <si>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</si>
  <si>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</si>
  <si>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</si>
  <si>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</si>
  <si>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</si>
  <si>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</si>
  <si>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</si>
  <si>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</si>
  <si>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</si>
  <si>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</si>
  <si>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</si>
  <si>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</si>
  <si>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</si>
  <si>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</si>
  <si>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</si>
  <si>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</si>
  <si>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</si>
  <si>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</si>
  <si>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</si>
  <si>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</si>
  <si>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</si>
  <si>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</si>
  <si>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</si>
  <si>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</si>
  <si>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</si>
  <si>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</si>
  <si>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</si>
  <si>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</si>
  <si>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</si>
  <si>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</si>
  <si>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</si>
  <si>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</si>
  <si>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</si>
  <si>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</si>
  <si>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</si>
  <si>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</si>
  <si>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</si>
  <si>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</si>
  <si>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</si>
  <si>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</si>
  <si>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</si>
  <si>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</si>
  <si>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</si>
  <si>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</si>
  <si>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</si>
  <si>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</si>
  <si>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</si>
  <si>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</si>
  <si>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</si>
  <si>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</si>
  <si>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</si>
  <si>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</si>
  <si>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</si>
  <si>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</si>
  <si>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</si>
  <si>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</si>
  <si>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</si>
  <si>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</si>
  <si>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</si>
  <si>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</si>
  <si>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</si>
  <si>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</si>
  <si>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</si>
  <si>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</si>
  <si>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</si>
  <si>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</si>
  <si>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</si>
  <si>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</si>
  <si>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</si>
  <si>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</si>
  <si>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</si>
  <si>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</si>
  <si>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</si>
  <si>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</si>
  <si>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</si>
  <si>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</si>
  <si>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</si>
  <si>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</si>
  <si>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</si>
  <si>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</si>
  <si>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</si>
  <si>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</si>
  <si>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</si>
  <si>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</si>
  <si>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</si>
  <si>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</si>
  <si>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</si>
  <si>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</si>
  <si>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</si>
  <si>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</si>
  <si>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</si>
  <si>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</si>
  <si>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</si>
  <si>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</si>
  <si>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</si>
  <si>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</si>
  <si>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</si>
  <si>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</si>
  <si>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</si>
  <si>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</si>
  <si>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</si>
  <si>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</si>
  <si>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</si>
  <si>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</si>
  <si>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</si>
  <si>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</si>
  <si>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</si>
  <si>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</si>
  <si>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</si>
  <si>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</si>
  <si>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</si>
  <si>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</si>
  <si>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</si>
  <si>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</si>
  <si>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</si>
  <si>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</si>
  <si>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</si>
  <si>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</si>
  <si>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</si>
  <si>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</si>
  <si>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</si>
  <si>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</si>
  <si>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</si>
  <si>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</si>
  <si>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</si>
  <si>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</si>
  <si>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</si>
  <si>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</si>
  <si>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</si>
  <si>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</si>
  <si>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</si>
  <si>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</si>
  <si>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</si>
  <si>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</si>
  <si>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</si>
  <si>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</si>
  <si>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</si>
  <si>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</si>
  <si>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</si>
  <si>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</si>
  <si>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</si>
  <si>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</si>
  <si>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</si>
  <si>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</si>
  <si>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</si>
  <si>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</si>
  <si>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</si>
  <si>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</si>
  <si>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</si>
  <si>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</si>
  <si>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</si>
  <si>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</si>
  <si>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</si>
  <si>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</si>
  <si>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</si>
  <si>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</si>
  <si>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</si>
  <si>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</si>
  <si>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</si>
  <si>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</si>
  <si>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</si>
  <si>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</si>
  <si>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</si>
  <si>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</si>
  <si>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</si>
  <si>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</si>
  <si>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</si>
  <si>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</si>
  <si>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</si>
  <si>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</si>
  <si>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</si>
  <si>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</si>
  <si>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</si>
  <si>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</si>
  <si>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</si>
  <si>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</si>
  <si>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</si>
  <si>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</si>
  <si>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</si>
  <si>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</si>
  <si>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</si>
  <si>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</si>
  <si>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</si>
  <si>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</si>
  <si>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</si>
  <si>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</si>
  <si>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</si>
  <si>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</si>
  <si>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</si>
  <si>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</si>
  <si>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</si>
  <si>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</si>
  <si>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</si>
  <si>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</si>
  <si>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</si>
  <si>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</si>
  <si>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</si>
  <si>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</si>
  <si>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</si>
  <si>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</si>
  <si>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</si>
  <si>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</si>
  <si>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</si>
  <si>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</si>
  <si>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</si>
  <si>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</si>
  <si>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</si>
  <si>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</si>
  <si>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</si>
  <si>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</si>
  <si>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</si>
  <si>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</si>
  <si>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</si>
  <si>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</si>
  <si>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</si>
  <si>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</si>
  <si>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</si>
  <si>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</si>
  <si>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</si>
  <si>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</si>
  <si>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</si>
  <si>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</si>
  <si>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</si>
  <si>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</si>
  <si>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</si>
  <si>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</si>
  <si>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</si>
  <si>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</si>
  <si>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</si>
  <si>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</si>
  <si>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</si>
  <si>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</si>
  <si>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</si>
  <si>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</si>
  <si>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</si>
  <si>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</si>
  <si>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</si>
  <si>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</si>
  <si>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</si>
  <si>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</si>
  <si>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</si>
  <si>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</si>
  <si>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</si>
  <si>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</si>
  <si>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</si>
  <si>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</si>
  <si>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</si>
  <si>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</si>
  <si>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</si>
  <si>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</si>
  <si>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</si>
  <si>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</si>
  <si>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</si>
  <si>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</si>
  <si>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</si>
  <si>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</si>
  <si>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</si>
  <si>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</si>
  <si>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</si>
  <si>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認知症初期集中支援チームの活動状況</t>
  </si>
  <si>
    <t>早期診断・早期対応の体制構築</t>
  </si>
  <si>
    <t>認知症サポーター等を活用した地域支援体制の構築・社会参加支援</t>
  </si>
  <si>
    <t>認知症サポーター数</t>
  </si>
  <si>
    <t>認知症サポーターステップアップ講座修了者数</t>
  </si>
  <si>
    <t>認知症地域支援推進員の業務の状況</t>
  </si>
  <si>
    <t>支援：目標Ⅱ「認知症総合支援を推進する」得点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</si>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</sst>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0" fontId="11" fillId="6" borderId="6" xfId="0" applyBorder="true" applyFont="true" applyFill="true">
      <alignment wrapText="true" vertical="center" horizontal="center"/>
    </xf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164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/>
    <xf numFmtId="0" fontId="17" fillId="0" borderId="6" xfId="0" applyBorder="true" applyFont="true"/>
    <xf numFmtId="164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/>
    <xf numFmtId="0" fontId="18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67.234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17.2</v>
      </c>
      <c r="D3" s="30" t="n">
        <v>16.0</v>
      </c>
      <c r="E3" s="30" t="n">
        <v>5.0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13.8</v>
      </c>
      <c r="D4" s="34" t="n">
        <v>12.3</v>
      </c>
      <c r="E4" s="34" t="n">
        <v>4.0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11.5</v>
      </c>
      <c r="D5" s="38" t="n">
        <v>7.8</v>
      </c>
      <c r="E5" s="38" t="n">
        <v>10.0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4.8</v>
      </c>
      <c r="D6" s="42" t="n">
        <v>3.9</v>
      </c>
      <c r="E6" s="42" t="n">
        <v>3.0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1.4</v>
      </c>
      <c r="D7" s="46" t="n">
        <v>0.2</v>
      </c>
      <c r="E7" s="47" t="n">
        <v>0.0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783</v>
      </c>
      <c r="C8" s="50" t="n">
        <v>5.9</v>
      </c>
      <c r="D8" s="50" t="n">
        <v>6.4</v>
      </c>
      <c r="E8" s="50" t="n">
        <v>12.0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789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支援：目標Ⅱ「認知症総合支援を推進する」得点（令和5年(2023年)）</v>
      </c>
      <c r="B2" s="9" t="str">
        <f>"（時点）" &amp; D2</f>
        <v>（時点）令和5年(2023年)</v>
      </c>
      <c r="C2" s="10" t="s">
        <v>784</v>
      </c>
      <c r="D2" s="10" t="s">
        <v>785</v>
      </c>
      <c r="E2" s="10" t="s">
        <v>777</v>
      </c>
      <c r="F2" s="10" t="str">
        <f>G2 &amp; "（" &amp; H2 &amp; "）"</f>
        <v>点数（点）</v>
      </c>
      <c r="G2" s="10" t="s">
        <v>786</v>
      </c>
      <c r="H2" s="10" t="s">
        <v>787</v>
      </c>
      <c r="I2" s="10" t="s">
        <v>788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67.234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790</v>
      </c>
    </row>
    <row r="2" spans="2:258" s="13" customFormat="1" x14ac:dyDescent="0.15">
      <c r="B2" s="11"/>
      <c r="C2" s="11"/>
      <c r="D2" s="56" t="s">
        <v>775</v>
      </c>
      <c r="E2" s="56" t="s">
        <v>776</v>
      </c>
      <c r="F2" s="56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791</v>
      </c>
      <c r="D3" s="58" t="n">
        <v>17.2</v>
      </c>
      <c r="E3" s="58" t="n">
        <v>16.0</v>
      </c>
      <c r="F3" s="58" t="n">
        <v>5.0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791</v>
      </c>
      <c r="D4" s="62" t="n">
        <v>13.8</v>
      </c>
      <c r="E4" s="62" t="n">
        <v>12.3</v>
      </c>
      <c r="F4" s="62" t="n">
        <v>4.0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791</v>
      </c>
      <c r="D5" s="66" t="n">
        <v>11.5</v>
      </c>
      <c r="E5" s="66" t="n">
        <v>7.8</v>
      </c>
      <c r="F5" s="66" t="n">
        <v>10.0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791</v>
      </c>
      <c r="D6" s="70" t="n">
        <v>4.8</v>
      </c>
      <c r="E6" s="70" t="n">
        <v>3.9</v>
      </c>
      <c r="F6" s="70" t="n">
        <v>3.0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791</v>
      </c>
      <c r="D7" s="74" t="n">
        <v>1.4</v>
      </c>
      <c r="E7" s="74" t="n">
        <v>0.2</v>
      </c>
      <c r="F7" s="74" t="n">
        <v>0.0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783</v>
      </c>
      <c r="C8" s="12" t="s">
        <v>791</v>
      </c>
      <c r="D8" s="78" t="n">
        <v>5.9</v>
      </c>
      <c r="E8" s="78" t="n">
        <v>6.4</v>
      </c>
      <c r="F8" s="78" t="n">
        <v>12.0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792</v>
      </c>
      <c r="C9" s="12" t="s">
        <v>791</v>
      </c>
      <c r="D9" s="82" t="n">
        <v>54.5</v>
      </c>
      <c r="E9" s="82" t="n">
        <v>46.6</v>
      </c>
      <c r="F9" s="82" t="n">
        <v>34.0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