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<sst xmlns="http://schemas.openxmlformats.org/spreadsheetml/2006/main" count="1076" uniqueCount="891">
  <si>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</si>
  <si>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</si>
  <si>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</si>
  <si>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</si>
  <si>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</si>
  <si>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</si>
  <si>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</si>
  <si>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</si>
  <si>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</si>
  <si>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</si>
  <si>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</si>
  <si>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</si>
  <si>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</si>
  <si>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</si>
  <si>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</si>
  <si>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</si>
  <si>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</si>
  <si>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</si>
  <si>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</si>
  <si>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</si>
  <si>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</si>
  <si>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</si>
  <si>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</si>
  <si>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</si>
  <si>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</si>
  <si>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</si>
  <si>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</si>
  <si>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</si>
  <si>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</si>
  <si>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</si>
  <si>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</si>
  <si>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</si>
  <si>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</si>
  <si>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</si>
  <si>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</si>
  <si>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</si>
  <si>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</si>
  <si>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</si>
  <si>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</si>
  <si>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</si>
  <si>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</si>
  <si>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</si>
  <si>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</si>
  <si>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</si>
  <si>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</si>
  <si>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</si>
  <si>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</si>
  <si>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</si>
  <si>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</si>
  <si>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</si>
  <si>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</si>
  <si>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</si>
  <si>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</si>
  <si>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</si>
  <si>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</si>
  <si>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</si>
  <si>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</si>
  <si>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</si>
  <si>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</si>
  <si>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</si>
  <si>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</si>
  <si>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</si>
  <si>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</si>
  <si>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</si>
  <si>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</si>
  <si>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</si>
  <si>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</si>
  <si>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</si>
  <si>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</si>
  <si>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</si>
  <si>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</si>
  <si>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</si>
  <si>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</si>
  <si>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</si>
  <si>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</si>
  <si>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</si>
  <si>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</si>
  <si>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</si>
  <si>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</si>
  <si>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</si>
  <si>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</si>
  <si>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</si>
  <si>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</si>
  <si>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</si>
  <si>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</si>
  <si>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</si>
  <si>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</si>
  <si>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</si>
  <si>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</si>
  <si>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</si>
  <si>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</si>
  <si>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</si>
  <si>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</si>
  <si>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</si>
  <si>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</si>
  <si>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</si>
  <si>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</si>
  <si>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</si>
  <si>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</si>
  <si>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</si>
  <si>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</si>
  <si>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</si>
  <si>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</si>
  <si>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</si>
  <si>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</si>
  <si>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</si>
  <si>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</si>
  <si>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</si>
  <si>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</si>
  <si>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</si>
  <si>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</si>
  <si>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</si>
  <si>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</si>
  <si>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</si>
  <si>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</si>
  <si>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</si>
  <si>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</si>
  <si>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</si>
  <si>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</si>
  <si>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</si>
  <si>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</si>
  <si>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</si>
  <si>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</si>
  <si>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</si>
  <si>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</si>
  <si>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</si>
  <si>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</si>
  <si>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</si>
  <si>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</si>
  <si>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</si>
  <si>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</si>
  <si>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</si>
  <si>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</si>
  <si>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</si>
  <si>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</si>
  <si>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</si>
  <si>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</si>
  <si>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</si>
  <si>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</si>
  <si>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</si>
  <si>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</si>
  <si>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</si>
  <si>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</si>
  <si>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</si>
  <si>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</si>
  <si>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</si>
  <si>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</si>
  <si>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</si>
  <si>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</si>
  <si>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</si>
  <si>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</si>
  <si>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</si>
  <si>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</si>
  <si>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</si>
  <si>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</si>
  <si>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</si>
  <si>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</si>
  <si>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</si>
  <si>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</si>
  <si>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</si>
  <si>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</si>
  <si>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</si>
  <si>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</si>
  <si>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</si>
  <si>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</si>
  <si>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</si>
  <si>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</si>
  <si>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</si>
  <si>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</si>
  <si>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</si>
  <si>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</si>
  <si>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</si>
  <si>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</si>
  <si>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</si>
  <si>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</si>
  <si>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</si>
  <si>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</si>
  <si>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</si>
  <si>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</si>
  <si>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</si>
  <si>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</si>
  <si>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</si>
  <si>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</si>
  <si>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</si>
  <si>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</si>
  <si>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</si>
  <si>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</si>
  <si>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</si>
  <si>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</si>
  <si>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</si>
  <si>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</si>
  <si>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</si>
  <si>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</si>
  <si>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</si>
  <si>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</si>
  <si>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</si>
  <si>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</si>
  <si>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</si>
  <si>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</si>
  <si>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</si>
  <si>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</si>
  <si>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</si>
  <si>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</si>
  <si>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</si>
  <si>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</si>
  <si>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</si>
  <si>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</si>
  <si>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</si>
  <si>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</si>
  <si>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</si>
  <si>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</si>
  <si>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</si>
  <si>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</si>
  <si>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</si>
  <si>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</si>
  <si>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</si>
  <si>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</si>
  <si>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</si>
  <si>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</si>
  <si>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</si>
  <si>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</si>
  <si>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</si>
  <si>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</si>
  <si>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</si>
  <si>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</si>
  <si>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</si>
  <si>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</si>
  <si>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</si>
  <si>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</si>
  <si>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</si>
  <si>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</si>
  <si>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</si>
  <si>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</si>
  <si>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</si>
  <si>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</si>
  <si>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</si>
  <si>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</si>
  <si>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</si>
  <si>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</si>
  <si>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</si>
  <si>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</si>
  <si>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</si>
  <si>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</si>
  <si>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</si>
  <si>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</si>
  <si>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</si>
  <si>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</si>
  <si>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</si>
  <si>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</si>
  <si>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</si>
  <si>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</si>
  <si>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</si>
  <si>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</si>
  <si>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</si>
  <si>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</si>
  <si>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</si>
  <si>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</si>
  <si>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</si>
  <si>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</si>
  <si>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</si>
  <si>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</si>
  <si>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</si>
  <si>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</si>
  <si>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</si>
  <si>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</si>
  <si>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</si>
  <si>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</si>
  <si>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</si>
  <si>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</si>
  <si>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</si>
  <si>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</si>
  <si>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</si>
  <si>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</si>
  <si>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</si>
  <si>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</si>
  <si>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</si>
  <si>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</si>
  <si>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</si>
  <si>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</si>
  <si>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</si>
  <si>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</si>
  <si>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</si>
  <si>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</si>
  <si>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</si>
  <si>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</si>
  <si>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</si>
  <si>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</si>
  <si>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</si>
  <si>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</si>
  <si>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</si>
  <si>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</si>
  <si>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</si>
  <si>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</si>
  <si>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</si>
  <si>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</si>
  <si>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</si>
  <si>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</si>
  <si>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</si>
  <si>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</si>
  <si>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</si>
  <si>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</si>
  <si>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</si>
  <si>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</si>
  <si>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</si>
  <si>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</si>
  <si>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</si>
  <si>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</si>
  <si>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</si>
  <si>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</si>
  <si>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</si>
  <si>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</si>
  <si>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</si>
  <si>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</si>
  <si>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</si>
  <si>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</si>
  <si>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</si>
  <si>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</si>
  <si>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</si>
  <si>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</si>
  <si>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</si>
  <si>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</si>
  <si>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</si>
  <si>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</si>
  <si>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</si>
  <si>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</si>
  <si>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</si>
  <si>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</si>
  <si>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</si>
  <si>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</si>
  <si>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</si>
  <si>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</si>
  <si>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</si>
  <si>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</si>
  <si>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</si>
  <si>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</si>
  <si>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</si>
  <si>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</si>
  <si>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</si>
  <si>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</si>
  <si>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</si>
  <si>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</si>
  <si>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</si>
  <si>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</si>
  <si>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</si>
  <si>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</si>
  <si>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</si>
  <si>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</si>
  <si>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</si>
  <si>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</si>
  <si>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</si>
  <si>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</si>
  <si>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</si>
  <si>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</si>
  <si>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</si>
  <si>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</si>
  <si>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</si>
  <si>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</si>
  <si>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</si>
  <si>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</si>
  <si>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</si>
  <si>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</si>
  <si>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</si>
  <si>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</si>
  <si>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</si>
  <si>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</si>
  <si>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</si>
  <si>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</si>
  <si>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</si>
  <si>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</si>
  <si>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</si>
  <si>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</si>
  <si>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</si>
  <si>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</si>
  <si>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</si>
  <si>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</si>
  <si>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</si>
  <si>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</si>
  <si>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</si>
  <si>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</si>
  <si>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</si>
  <si>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</si>
  <si>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</si>
  <si>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</si>
  <si>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</si>
  <si>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</si>
  <si>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</si>
  <si>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</si>
  <si>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</si>
  <si>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</si>
  <si>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</si>
  <si>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</si>
  <si>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</si>
  <si>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</si>
  <si>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</si>
  <si>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</si>
  <si>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</si>
  <si>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</si>
  <si>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</si>
  <si>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</si>
  <si>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</si>
  <si>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</si>
  <si>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</si>
  <si>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</si>
  <si>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</si>
  <si>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</si>
  <si>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</si>
  <si>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</si>
  <si>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</si>
  <si>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</si>
  <si>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</si>
  <si>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</si>
  <si>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</si>
  <si>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</si>
  <si>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</si>
  <si>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</si>
  <si>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</si>
  <si>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</si>
  <si>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</si>
  <si>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</si>
  <si>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</si>
  <si>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</si>
  <si>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</si>
  <si>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</si>
  <si>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</si>
  <si>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</si>
  <si>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</si>
  <si>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</si>
  <si>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</si>
  <si>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</si>
  <si>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</si>
  <si>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</si>
  <si>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</si>
  <si>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</si>
  <si>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</si>
  <si>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</si>
  <si>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</si>
  <si>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</si>
  <si>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</si>
  <si>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</si>
  <si>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</si>
  <si>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</si>
  <si>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</si>
  <si>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</si>
  <si>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</si>
  <si>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</si>
  <si>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</si>
  <si>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</si>
  <si>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</si>
  <si>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</si>
  <si>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</si>
  <si>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</si>
  <si>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</si>
  <si>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</si>
  <si>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</si>
  <si>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</si>
  <si>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</si>
  <si>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</si>
  <si>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</si>
  <si>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</si>
  <si>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</si>
  <si>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</si>
  <si>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</si>
  <si>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</si>
  <si>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</si>
  <si>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</si>
  <si>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</si>
  <si>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</si>
  <si>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</si>
  <si>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</si>
  <si>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</si>
  <si>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</si>
  <si>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</si>
  <si>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</si>
  <si>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</si>
  <si>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</si>
  <si>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</si>
  <si>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</si>
  <si>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</si>
  <si>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</si>
  <si>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</si>
  <si>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</si>
  <si>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</si>
  <si>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</si>
  <si>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</si>
  <si>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</si>
  <si>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</si>
  <si>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</si>
  <si>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</si>
  <si>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</si>
  <si>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</si>
  <si>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</si>
  <si>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</si>
  <si>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</si>
  <si>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</si>
  <si>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</si>
  <si>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</si>
  <si>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</si>
  <si>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</si>
  <si>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</si>
  <si>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</si>
  <si>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</si>
  <si>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</si>
  <si>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</si>
  <si>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</si>
  <si>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</si>
  <si>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</si>
  <si>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</si>
  <si>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</si>
  <si>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</si>
  <si>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</si>
  <si>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</si>
  <si>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</si>
  <si>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</si>
  <si>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</si>
  <si>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</si>
  <si>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</si>
  <si>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</si>
  <si>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</si>
  <si>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</si>
  <si>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</si>
  <si>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</si>
  <si>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</si>
  <si>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</si>
  <si>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</si>
  <si>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</si>
  <si>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</si>
  <si>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</si>
  <si>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</si>
  <si>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</si>
  <si>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</si>
  <si>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</si>
  <si>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</si>
  <si>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</si>
  <si>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</si>
  <si>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</si>
  <si>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</si>
  <si>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</si>
  <si>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</si>
  <si>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</si>
  <si>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</si>
  <si>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</si>
  <si>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</si>
  <si>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</si>
  <si>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</si>
  <si>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</si>
  <si>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</si>
  <si>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</si>
  <si>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</si>
  <si>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</si>
  <si>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</si>
  <si>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</si>
  <si>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</si>
  <si>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</si>
  <si>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</si>
  <si>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</si>
  <si>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</si>
  <si>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</si>
  <si>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</si>
  <si>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</si>
  <si>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</si>
  <si>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</si>
  <si>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</si>
  <si>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</si>
  <si>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</si>
  <si>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</si>
  <si>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</si>
  <si>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</si>
  <si>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</si>
  <si>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</si>
  <si>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</si>
  <si>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</si>
  <si>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</si>
  <si>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</si>
  <si>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</si>
  <si>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</si>
  <si>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</si>
  <si>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</si>
  <si>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</si>
  <si>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</si>
  <si>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</si>
  <si>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</si>
  <si>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</si>
  <si>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</si>
  <si>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</si>
  <si>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</si>
  <si>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</si>
  <si>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</si>
  <si>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</si>
  <si>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</si>
  <si>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</si>
  <si>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</si>
  <si>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</si>
  <si>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</si>
  <si>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</si>
  <si>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</si>
  <si>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</si>
  <si>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</si>
  <si>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</si>
  <si>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</si>
  <si>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</si>
  <si>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</si>
  <si>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</si>
  <si>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</si>
  <si>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</si>
  <si>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</si>
  <si>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</si>
  <si>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</si>
  <si>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</si>
  <si>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</si>
  <si>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</si>
  <si>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</si>
  <si>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</si>
  <si>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</si>
  <si>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</si>
  <si>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</si>
  <si>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</si>
  <si>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</si>
  <si>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</si>
  <si>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</si>
  <si>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</si>
  <si>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</si>
  <si>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</si>
  <si>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</si>
  <si>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</si>
  <si>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</si>
  <si>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</si>
  <si>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</si>
  <si>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</si>
  <si>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</si>
  <si>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</si>
  <si>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</si>
  <si>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</si>
  <si>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</si>
  <si>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</si>
  <si>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</si>
  <si>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</si>
  <si>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</si>
  <si>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</si>
  <si>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</si>
  <si>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</si>
  <si>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</si>
  <si>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</si>
  <si>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</si>
  <si>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</si>
  <si>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</si>
  <si>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</si>
  <si>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</si>
  <si>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</si>
  <si>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</si>
  <si>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</si>
  <si>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</si>
  <si>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</si>
  <si>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</si>
  <si>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</si>
  <si>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</si>
  <si>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</si>
  <si>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</si>
  <si>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</si>
  <si>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</si>
  <si>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</si>
  <si>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</si>
  <si>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</si>
  <si>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</si>
  <si>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</si>
  <si>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</si>
  <si>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</si>
  <si>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</si>
  <si>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</si>
  <si>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</si>
  <si>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</si>
  <si>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</si>
  <si>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</si>
  <si>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</si>
  <si>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</si>
  <si>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</si>
  <si>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</si>
  <si>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</si>
  <si>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</si>
  <si>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</si>
  <si>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</si>
  <si>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</si>
  <si>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</si>
  <si>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</si>
  <si>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</si>
  <si>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</si>
  <si>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</si>
  <si>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</si>
  <si>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</si>
  <si>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</si>
  <si>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</si>
  <si>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</si>
  <si>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</si>
  <si>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</si>
  <si>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</si>
  <si>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</si>
  <si>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</si>
  <si>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</si>
  <si>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</si>
  <si>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</si>
  <si>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</si>
  <si>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</si>
  <si>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</si>
  <si>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</si>
  <si>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</si>
  <si>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</si>
  <si>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</si>
  <si>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</si>
  <si>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</si>
  <si>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</si>
  <si>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</si>
  <si>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</si>
  <si>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</si>
  <si>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</si>
  <si>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</si>
  <si>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</si>
  <si>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</si>
  <si>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</si>
  <si>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</si>
  <si>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</si>
  <si>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</si>
  <si>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</si>
  <si>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</si>
  <si>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</si>
  <si>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</si>
  <si>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</si>
  <si>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</si>
  <si>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</si>
  <si>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</si>
  <si>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</si>
  <si>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</si>
  <si>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</si>
  <si>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</si>
  <si>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</si>
  <si>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</si>
  <si>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</si>
  <si>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</si>
  <si>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</si>
  <si>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</si>
  <si>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</si>
  <si>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</si>
  <si>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</si>
  <si>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</si>
  <si>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</si>
  <si>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</si>
  <si>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</si>
  <si>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</si>
  <si>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</si>
  <si>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</si>
  <si>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</si>
  <si>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</si>
  <si>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</si>
  <si>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</si>
  <si>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</si>
  <si>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</si>
  <si>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</si>
  <si>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</si>
  <si>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</si>
  <si>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</si>
  <si>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</si>
  <si>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</si>
  <si>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</si>
  <si>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</si>
  <si>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</si>
  <si>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</si>
  <si>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</si>
  <si>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</si>
  <si>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</si>
  <si>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</si>
  <si>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</si>
  <si>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</si>
  <si>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</si>
  <si>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</si>
  <si>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</si>
  <si>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</si>
  <si>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</si>
  <si>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</si>
  <si>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</si>
  <si>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</si>
  <si>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</si>
  <si>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</si>
  <si>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</si>
  <si>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</si>
  <si>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</si>
  <si>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</si>
  <si>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</si>
  <si>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</si>
  <si>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</si>
  <si>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</si>
  <si>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</si>
  <si>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</si>
  <si>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</si>
  <si>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</si>
  <si>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</si>
  <si>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</si>
  <si>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</si>
  <si>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</si>
  <si>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</si>
  <si>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</si>
  <si>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</si>
  <si>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</si>
  <si>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</si>
  <si>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</si>
  <si>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</si>
  <si>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</si>
  <si>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</si>
  <si>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</si>
  <si>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</si>
  <si>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</si>
  <si>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</si>
  <si>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</si>
  <si>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</si>
  <si>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</si>
  <si>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</si>
  <si>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</si>
  <si>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</si>
  <si>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</si>
  <si>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</si>
  <si>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</si>
  <si>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</si>
  <si>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</si>
  <si>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</si>
  <si>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</si>
  <si>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</si>
  <si>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</si>
  <si>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</si>
  <si>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</si>
  <si>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</si>
  <si>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</si>
  <si>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</si>
  <si>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</si>
  <si>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</si>
  <si>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</si>
  <si>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</si>
  <si>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</si>
  <si>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</si>
  <si>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</si>
  <si>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</si>
  <si>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</si>
  <si>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</si>
  <si>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</si>
  <si>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</si>
  <si>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</si>
  <si>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</si>
  <si>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</si>
  <si>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</si>
  <si>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</si>
  <si>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</si>
  <si>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</si>
  <si>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</si>
  <si>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</si>
  <si>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</si>
  <si>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</si>
  <si>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</si>
  <si>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</si>
  <si>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</si>
  <si>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</si>
  <si>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</si>
  <si>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</si>
  <si>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</si>
  <si>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</si>
  <si>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</si>
  <si>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</si>
  <si>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</si>
  <si>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</si>
  <si>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</si>
  <si>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</si>
  <si>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</si>
  <si>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</si>
  <si>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</si>
  <si>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</si>
  <si>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</si>
  <si>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</si>
  <si>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主任介護支援専門員（準ずる者を含む）</t>
  </si>
  <si>
    <t>福島県</t>
  </si>
  <si>
    <t>全国</t>
  </si>
  <si>
    <t>センター人員体制（主任介護支援専門員（準ずる者を含む））[65歳以上人口1万対]</t>
  </si>
  <si>
    <t>令和6年(2024年)</t>
  </si>
  <si>
    <t>小野町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</si>
  <si>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</si>
  <si>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</si>
  <si>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</si>
  <si>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</si>
  <si>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</si>
  <si>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センター人員体制（主任介護支援専門員）[65歳以上人口1万対]</t>
  </si>
  <si>
    <t>（人[65歳以上人口1万対]）</t>
  </si>
  <si>
    <t>センター人員体制（主任介護支援専門員に準ずる者）[65歳以上人口1万対]</t>
  </si>
  <si>
    <t>センター人員体制（主任介護支援専門員）</t>
  </si>
  <si>
    <t>（人）</t>
  </si>
  <si>
    <t>センター人員体制（主任介護支援専門員に準ずる者）</t>
  </si>
  <si>
    <t>センター人員体制（主任介護支援専門員（準ずる者を含む））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</si>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</sst>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0.83593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2.93</v>
      </c>
      <c r="D3" s="31" t="n">
        <v>2.9</v>
      </c>
      <c r="E3" s="31" t="n">
        <v>2.76</v>
      </c>
      <c r="F3" s="31" t="n">
        <v>2.88</v>
      </c>
      <c r="G3" s="31" t="n">
        <v>2.87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873</v>
      </c>
      <c r="C256" s="35" t="n">
        <v>2.4</v>
      </c>
      <c r="D256" s="35" t="n">
        <v>2.5</v>
      </c>
      <c r="E256" s="35" t="n">
        <v>2.64</v>
      </c>
      <c r="F256" s="35" t="n">
        <v>2.53</v>
      </c>
      <c r="G256" s="35" t="n">
        <v>2.81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874</v>
      </c>
      <c r="C257" s="39" t="n">
        <v>1.98</v>
      </c>
      <c r="D257" s="40" t="n">
        <v>2.0</v>
      </c>
      <c r="E257" s="39" t="n">
        <v>2.01</v>
      </c>
      <c r="F257" s="39" t="n">
        <v>2.04</v>
      </c>
      <c r="G257" s="39" t="n">
        <v>2.04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センター人員体制（主任介護支援専門員（準ずる者を含む））[65歳以上人口1万対]（小野町）</v>
      </c>
      <c r="B2" s="7" t="str">
        <f>"（注目する地域）" &amp; E2</f>
        <v>（注目する地域）小野町</v>
      </c>
      <c r="C2" s="8" t="s">
        <v>875</v>
      </c>
      <c r="D2" s="8" t="s">
        <v>876</v>
      </c>
      <c r="E2" s="8" t="s">
        <v>877</v>
      </c>
      <c r="F2" s="8" t="str">
        <f>IF(H2="",G2,G2 &amp; "（" &amp; H2 &amp; "）")</f>
        <v>配置職員数（人[65歳以上人口1万対]）</v>
      </c>
      <c r="G2" s="8" t="s">
        <v>878</v>
      </c>
      <c r="H2" s="8" t="s">
        <v>879</v>
      </c>
      <c r="I2" s="8" t="s">
        <v>880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4.26953125" collapsed="false" bestFit="true"/>
    <col min="4" max="4" customWidth="true" style="10" width="29.2695312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882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877</v>
      </c>
      <c r="C3" s="17" t="s">
        <v>883</v>
      </c>
      <c r="D3" s="12" t="s">
        <v>884</v>
      </c>
      <c r="E3" s="47" t="n">
        <v>2.93</v>
      </c>
      <c r="F3" s="47" t="n">
        <v>2.9</v>
      </c>
      <c r="G3" s="47" t="n">
        <v>2.76</v>
      </c>
      <c r="H3" s="47" t="n">
        <v>2.88</v>
      </c>
      <c r="I3" s="47" t="n">
        <v>2.87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877</v>
      </c>
      <c r="C4" s="17" t="s">
        <v>885</v>
      </c>
      <c r="D4" s="12" t="s">
        <v>884</v>
      </c>
      <c r="E4" s="51" t="n">
        <v>0.0</v>
      </c>
      <c r="F4" s="51" t="n">
        <v>0.0</v>
      </c>
      <c r="G4" s="51" t="n">
        <v>0.0</v>
      </c>
      <c r="H4" s="51" t="n">
        <v>0.0</v>
      </c>
      <c r="I4" s="51" t="n">
        <v>0.0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877</v>
      </c>
      <c r="C5" s="17" t="s">
        <v>875</v>
      </c>
      <c r="D5" s="12" t="s">
        <v>884</v>
      </c>
      <c r="E5" s="55" t="n">
        <v>2.93</v>
      </c>
      <c r="F5" s="55" t="n">
        <v>2.9</v>
      </c>
      <c r="G5" s="55" t="n">
        <v>2.76</v>
      </c>
      <c r="H5" s="55" t="n">
        <v>2.88</v>
      </c>
      <c r="I5" s="55" t="n">
        <v>2.87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877</v>
      </c>
      <c r="C6" s="17" t="s">
        <v>886</v>
      </c>
      <c r="D6" s="12" t="s">
        <v>887</v>
      </c>
      <c r="E6" s="60" t="n">
        <v>1.0</v>
      </c>
      <c r="F6" s="60" t="n">
        <v>1.0</v>
      </c>
      <c r="G6" s="60" t="n">
        <v>1.0</v>
      </c>
      <c r="H6" s="60" t="n">
        <v>1.0</v>
      </c>
      <c r="I6" s="60" t="n">
        <v>1.0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877</v>
      </c>
      <c r="C7" s="17" t="s">
        <v>888</v>
      </c>
      <c r="D7" s="12" t="s">
        <v>887</v>
      </c>
      <c r="E7" s="64" t="n">
        <v>0.0</v>
      </c>
      <c r="F7" s="64" t="n">
        <v>0.0</v>
      </c>
      <c r="G7" s="64" t="n">
        <v>0.0</v>
      </c>
      <c r="H7" s="64" t="n">
        <v>0.0</v>
      </c>
      <c r="I7" s="64" t="n">
        <v>0.0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877</v>
      </c>
      <c r="C8" s="17" t="s">
        <v>889</v>
      </c>
      <c r="D8" s="12" t="s">
        <v>887</v>
      </c>
      <c r="E8" s="68" t="n">
        <v>1.0</v>
      </c>
      <c r="F8" s="68" t="n">
        <v>1.0</v>
      </c>
      <c r="G8" s="68" t="n">
        <v>1.0</v>
      </c>
      <c r="H8" s="68" t="n">
        <v>1.0</v>
      </c>
      <c r="I8" s="68" t="n">
        <v>1.0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877</v>
      </c>
      <c r="C9" s="17" t="s">
        <v>890</v>
      </c>
      <c r="D9" s="12" t="s">
        <v>887</v>
      </c>
      <c r="E9" s="72" t="n">
        <v>3409.0</v>
      </c>
      <c r="F9" s="72" t="n">
        <v>3453.0</v>
      </c>
      <c r="G9" s="72" t="n">
        <v>3623.0</v>
      </c>
      <c r="H9" s="72" t="n">
        <v>3476.0</v>
      </c>
      <c r="I9" s="72" t="n">
        <v>3489.0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873</v>
      </c>
      <c r="C10" s="17" t="s">
        <v>875</v>
      </c>
      <c r="D10" s="12" t="s">
        <v>884</v>
      </c>
      <c r="E10" s="75" t="n">
        <v>2.4</v>
      </c>
      <c r="F10" s="75" t="n">
        <v>2.5</v>
      </c>
      <c r="G10" s="75" t="n">
        <v>2.64</v>
      </c>
      <c r="H10" s="75" t="n">
        <v>2.53</v>
      </c>
      <c r="I10" s="75" t="n">
        <v>2.81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874</v>
      </c>
      <c r="C11" s="17" t="s">
        <v>875</v>
      </c>
      <c r="D11" s="12" t="s">
        <v>884</v>
      </c>
      <c r="E11" s="79" t="n">
        <v>1.98</v>
      </c>
      <c r="F11" s="79" t="n">
        <v>2.0</v>
      </c>
      <c r="G11" s="79" t="n">
        <v>2.01</v>
      </c>
      <c r="H11" s="79" t="n">
        <v>2.04</v>
      </c>
      <c r="I11" s="79" t="n">
        <v>2.04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