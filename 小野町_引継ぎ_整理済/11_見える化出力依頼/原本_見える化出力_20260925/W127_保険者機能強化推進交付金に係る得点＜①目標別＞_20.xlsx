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<sst xmlns="http://schemas.openxmlformats.org/spreadsheetml/2006/main" count="1058" uniqueCount="791">
  <si>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</si>
  <si>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</si>
  <si>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</si>
  <si>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</si>
  <si>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</si>
  <si>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</si>
  <si>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</si>
  <si>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</si>
  <si>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</si>
  <si>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</si>
  <si>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</si>
  <si>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</si>
  <si>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</si>
  <si>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</si>
  <si>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</si>
  <si>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</si>
  <si>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</si>
  <si>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</si>
  <si>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</si>
  <si>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</si>
  <si>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</si>
  <si>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</si>
  <si>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</si>
  <si>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</si>
  <si>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</si>
  <si>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</si>
  <si>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</si>
  <si>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</si>
  <si>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</si>
  <si>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</si>
  <si>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</si>
  <si>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</si>
  <si>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</si>
  <si>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</si>
  <si>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</si>
  <si>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</si>
  <si>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</si>
  <si>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</si>
  <si>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</si>
  <si>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</si>
  <si>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</si>
  <si>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</si>
  <si>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</si>
  <si>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</si>
  <si>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</si>
  <si>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</si>
  <si>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</si>
  <si>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</si>
  <si>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</si>
  <si>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</si>
  <si>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</si>
  <si>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</si>
  <si>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</si>
  <si>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</si>
  <si>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</si>
  <si>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</si>
  <si>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</si>
  <si>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</si>
  <si>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</si>
  <si>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</si>
  <si>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</si>
  <si>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</si>
  <si>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</si>
  <si>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</si>
  <si>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</si>
  <si>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</si>
  <si>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</si>
  <si>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</si>
  <si>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</si>
  <si>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</si>
  <si>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</si>
  <si>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</si>
  <si>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</si>
  <si>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</si>
  <si>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</si>
  <si>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</si>
  <si>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</si>
  <si>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</si>
  <si>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</si>
  <si>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</si>
  <si>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</si>
  <si>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</si>
  <si>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</si>
  <si>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</si>
  <si>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</si>
  <si>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</si>
  <si>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</si>
  <si>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</si>
  <si>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</si>
  <si>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</si>
  <si>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</si>
  <si>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</si>
  <si>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</si>
  <si>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</si>
  <si>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</si>
  <si>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</si>
  <si>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</si>
  <si>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</si>
  <si>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</si>
  <si>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</si>
  <si>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</si>
  <si>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</si>
  <si>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</si>
  <si>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</si>
  <si>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</si>
  <si>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</si>
  <si>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</si>
  <si>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</si>
  <si>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</si>
  <si>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</si>
  <si>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</si>
  <si>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</si>
  <si>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</si>
  <si>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</si>
  <si>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</si>
  <si>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</si>
  <si>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</si>
  <si>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</si>
  <si>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</si>
  <si>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</si>
  <si>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</si>
  <si>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</si>
  <si>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</si>
  <si>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</si>
  <si>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</si>
  <si>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</si>
  <si>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</si>
  <si>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</si>
  <si>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</si>
  <si>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</si>
  <si>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</si>
  <si>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</si>
  <si>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</si>
  <si>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</si>
  <si>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</si>
  <si>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</si>
  <si>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</si>
  <si>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</si>
  <si>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</si>
  <si>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</si>
  <si>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</si>
  <si>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</si>
  <si>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</si>
  <si>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</si>
  <si>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</si>
  <si>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</si>
  <si>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</si>
  <si>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</si>
  <si>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</si>
  <si>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</si>
  <si>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</si>
  <si>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</si>
  <si>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</si>
  <si>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</si>
  <si>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</si>
  <si>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</si>
  <si>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</si>
  <si>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</si>
  <si>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</si>
  <si>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</si>
  <si>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</si>
  <si>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</si>
  <si>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</si>
  <si>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</si>
  <si>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</si>
  <si>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</si>
  <si>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</si>
  <si>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</si>
  <si>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</si>
  <si>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</si>
  <si>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</si>
  <si>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</si>
  <si>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</si>
  <si>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</si>
  <si>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</si>
  <si>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</si>
  <si>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</si>
  <si>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</si>
  <si>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</si>
  <si>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</si>
  <si>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</si>
  <si>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</si>
  <si>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</si>
  <si>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</si>
  <si>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</si>
  <si>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</si>
  <si>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</si>
  <si>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</si>
  <si>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</si>
  <si>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</si>
  <si>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</si>
  <si>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</si>
  <si>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</si>
  <si>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</si>
  <si>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</si>
  <si>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</si>
  <si>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</si>
  <si>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</si>
  <si>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</si>
  <si>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</si>
  <si>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</si>
  <si>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</si>
  <si>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</si>
  <si>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</si>
  <si>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</si>
  <si>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</si>
  <si>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</si>
  <si>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</si>
  <si>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</si>
  <si>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</si>
  <si>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</si>
  <si>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</si>
  <si>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</si>
  <si>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</si>
  <si>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</si>
  <si>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</si>
  <si>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</si>
  <si>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</si>
  <si>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</si>
  <si>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</si>
  <si>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</si>
  <si>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</si>
  <si>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</si>
  <si>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</si>
  <si>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</si>
  <si>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</si>
  <si>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</si>
  <si>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</si>
  <si>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</si>
  <si>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</si>
  <si>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</si>
  <si>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</si>
  <si>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</si>
  <si>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</si>
  <si>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</si>
  <si>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</si>
  <si>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</si>
  <si>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</si>
  <si>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</si>
  <si>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</si>
  <si>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</si>
  <si>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</si>
  <si>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</si>
  <si>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</si>
  <si>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</si>
  <si>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</si>
  <si>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</si>
  <si>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</si>
  <si>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</si>
  <si>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</si>
  <si>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</si>
  <si>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</si>
  <si>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</si>
  <si>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</si>
  <si>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</si>
  <si>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</si>
  <si>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</si>
  <si>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</si>
  <si>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</si>
  <si>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</si>
  <si>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</si>
  <si>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</si>
  <si>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</si>
  <si>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</si>
  <si>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</si>
  <si>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</si>
  <si>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</si>
  <si>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</si>
  <si>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</si>
  <si>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</si>
  <si>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</si>
  <si>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</si>
  <si>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</si>
  <si>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</si>
  <si>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</si>
  <si>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</si>
  <si>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</si>
  <si>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</si>
  <si>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</si>
  <si>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</si>
  <si>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</si>
  <si>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</si>
  <si>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</si>
  <si>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</si>
  <si>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</si>
  <si>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</si>
  <si>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</si>
  <si>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</si>
  <si>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</si>
  <si>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</si>
  <si>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</si>
  <si>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</si>
  <si>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</si>
  <si>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</si>
  <si>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</si>
  <si>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</si>
  <si>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</si>
  <si>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</si>
  <si>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</si>
  <si>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</si>
  <si>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</si>
  <si>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</si>
  <si>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</si>
  <si>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</si>
  <si>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</si>
  <si>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</si>
  <si>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</si>
  <si>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</si>
  <si>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</si>
  <si>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</si>
  <si>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</si>
  <si>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</si>
  <si>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</si>
  <si>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</si>
  <si>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</si>
  <si>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</si>
  <si>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</si>
  <si>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</si>
  <si>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</si>
  <si>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</si>
  <si>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</si>
  <si>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</si>
  <si>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</si>
  <si>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</si>
  <si>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</si>
  <si>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</si>
  <si>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</si>
  <si>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</si>
  <si>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</si>
  <si>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</si>
  <si>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</si>
  <si>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</si>
  <si>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</si>
  <si>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</si>
  <si>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</si>
  <si>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</si>
  <si>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</si>
  <si>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</si>
  <si>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</si>
  <si>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</si>
  <si>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</si>
  <si>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</si>
  <si>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</si>
  <si>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</si>
  <si>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</si>
  <si>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</si>
  <si>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</si>
  <si>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</si>
  <si>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</si>
  <si>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</si>
  <si>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</si>
  <si>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</si>
  <si>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</si>
  <si>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</si>
  <si>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</si>
  <si>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</si>
  <si>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</si>
  <si>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</si>
  <si>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</si>
  <si>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</si>
  <si>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</si>
  <si>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</si>
  <si>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</si>
  <si>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</si>
  <si>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</si>
  <si>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</si>
  <si>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</si>
  <si>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</si>
  <si>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</si>
  <si>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</si>
  <si>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</si>
  <si>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</si>
  <si>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</si>
  <si>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</si>
  <si>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</si>
  <si>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</si>
  <si>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</si>
  <si>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</si>
  <si>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</si>
  <si>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</si>
  <si>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</si>
  <si>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</si>
  <si>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</si>
  <si>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</si>
  <si>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</si>
  <si>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</si>
  <si>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</si>
  <si>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</si>
  <si>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</si>
  <si>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</si>
  <si>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</si>
  <si>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</si>
  <si>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</si>
  <si>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</si>
  <si>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</si>
  <si>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</si>
  <si>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</si>
  <si>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</si>
  <si>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</si>
  <si>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</si>
  <si>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</si>
  <si>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</si>
  <si>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</si>
  <si>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</si>
  <si>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</si>
  <si>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</si>
  <si>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</si>
  <si>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</si>
  <si>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</si>
  <si>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</si>
  <si>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</si>
  <si>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</si>
  <si>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</si>
  <si>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</si>
  <si>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</si>
  <si>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</si>
  <si>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</si>
  <si>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</si>
  <si>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</si>
  <si>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</si>
  <si>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</si>
  <si>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</si>
  <si>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</si>
  <si>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</si>
  <si>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</si>
  <si>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</si>
  <si>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</si>
  <si>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</si>
  <si>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</si>
  <si>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</si>
  <si>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</si>
  <si>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</si>
  <si>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</si>
  <si>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</si>
  <si>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</si>
  <si>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</si>
  <si>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</si>
  <si>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</si>
  <si>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</si>
  <si>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</si>
  <si>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</si>
  <si>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</si>
  <si>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</si>
  <si>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</si>
  <si>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</si>
  <si>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</si>
  <si>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</si>
  <si>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</si>
  <si>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</si>
  <si>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</si>
  <si>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</si>
  <si>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</si>
  <si>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</si>
  <si>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</si>
  <si>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</si>
  <si>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</si>
  <si>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</si>
  <si>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</si>
  <si>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</si>
  <si>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</si>
  <si>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</si>
  <si>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</si>
  <si>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</si>
  <si>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</si>
  <si>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</si>
  <si>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</si>
  <si>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</si>
  <si>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</si>
  <si>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</si>
  <si>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</si>
  <si>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</si>
  <si>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</si>
  <si>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</si>
  <si>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</si>
  <si>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</si>
  <si>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</si>
  <si>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</si>
  <si>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</si>
  <si>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</si>
  <si>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</si>
  <si>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</si>
  <si>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</si>
  <si>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</si>
  <si>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</si>
  <si>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</si>
  <si>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</si>
  <si>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</si>
  <si>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</si>
  <si>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</si>
  <si>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</si>
  <si>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</si>
  <si>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</si>
  <si>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</si>
  <si>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</si>
  <si>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</si>
  <si>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</si>
  <si>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</si>
  <si>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</si>
  <si>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</si>
  <si>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</si>
  <si>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</si>
  <si>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</si>
  <si>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</si>
  <si>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</si>
  <si>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</si>
  <si>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</si>
  <si>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</si>
  <si>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</si>
  <si>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</si>
  <si>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</si>
  <si>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</si>
  <si>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</si>
  <si>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</si>
  <si>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</si>
  <si>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</si>
  <si>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</si>
  <si>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</si>
  <si>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</si>
  <si>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</si>
  <si>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</si>
  <si>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</si>
  <si>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</si>
  <si>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</si>
  <si>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</si>
  <si>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</si>
  <si>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</si>
  <si>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</si>
  <si>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</si>
  <si>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</si>
  <si>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</si>
  <si>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</si>
  <si>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</si>
  <si>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</si>
  <si>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</si>
  <si>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</si>
  <si>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</si>
  <si>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</si>
  <si>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</si>
  <si>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</si>
  <si>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</si>
  <si>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</si>
  <si>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</si>
  <si>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</si>
  <si>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</si>
  <si>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</si>
  <si>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</si>
  <si>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</si>
  <si>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</si>
  <si>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</si>
  <si>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</si>
  <si>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</si>
  <si>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</si>
  <si>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</si>
  <si>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</si>
  <si>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</si>
  <si>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</si>
  <si>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</si>
  <si>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</si>
  <si>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</si>
  <si>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</si>
  <si>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</si>
  <si>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</si>
  <si>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</si>
  <si>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</si>
  <si>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</si>
  <si>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</si>
  <si>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</si>
  <si>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</si>
  <si>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</si>
  <si>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</si>
  <si>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</si>
  <si>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</si>
  <si>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</si>
  <si>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</si>
  <si>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</si>
  <si>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</si>
  <si>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</si>
  <si>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</si>
  <si>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</si>
  <si>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</si>
  <si>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</si>
  <si>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</si>
  <si>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</si>
  <si>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</si>
  <si>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</si>
  <si>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</si>
  <si>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</si>
  <si>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</si>
  <si>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</si>
  <si>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</si>
  <si>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</si>
  <si>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</si>
  <si>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</si>
  <si>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</si>
  <si>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</si>
  <si>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</si>
  <si>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</si>
  <si>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</si>
  <si>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</si>
  <si>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</si>
  <si>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</si>
  <si>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</si>
  <si>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</si>
  <si>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</si>
  <si>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</si>
  <si>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</si>
  <si>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</si>
  <si>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</si>
  <si>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</si>
  <si>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</si>
  <si>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</si>
  <si>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</si>
  <si>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</si>
  <si>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</si>
  <si>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</si>
  <si>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</si>
  <si>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</si>
  <si>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</si>
  <si>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</si>
  <si>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</si>
  <si>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</si>
  <si>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</si>
  <si>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</si>
  <si>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</si>
  <si>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</si>
  <si>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</si>
  <si>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</si>
  <si>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</si>
  <si>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</si>
  <si>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</si>
  <si>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</si>
  <si>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</si>
  <si>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</si>
  <si>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</si>
  <si>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</si>
  <si>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</si>
  <si>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</si>
  <si>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</si>
  <si>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</si>
  <si>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</si>
  <si>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</si>
  <si>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</si>
  <si>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</si>
  <si>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</si>
  <si>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</si>
  <si>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</si>
  <si>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</si>
  <si>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</si>
  <si>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</si>
  <si>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</si>
  <si>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</si>
  <si>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</si>
  <si>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</si>
  <si>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</si>
  <si>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</si>
  <si>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</si>
  <si>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</si>
  <si>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</si>
  <si>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</si>
  <si>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</si>
  <si>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</si>
  <si>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</si>
  <si>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</si>
  <si>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</si>
  <si>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</si>
  <si>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</si>
  <si>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</si>
  <si>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</si>
  <si>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</si>
  <si>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</si>
  <si>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</si>
  <si>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</si>
  <si>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</si>
  <si>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</si>
  <si>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</si>
  <si>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</si>
  <si>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</si>
  <si>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</si>
  <si>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</si>
  <si>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</si>
  <si>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</si>
  <si>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</si>
  <si>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</si>
  <si>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</si>
  <si>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</si>
  <si>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</si>
  <si>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</si>
  <si>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</si>
  <si>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</si>
  <si>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</si>
  <si>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</si>
  <si>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</si>
  <si>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</si>
  <si>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</si>
  <si>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</si>
  <si>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</si>
  <si>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</si>
  <si>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</si>
  <si>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</si>
  <si>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</si>
  <si>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</si>
  <si>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</si>
  <si>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</si>
  <si>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</si>
  <si>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</si>
  <si>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</si>
  <si>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</si>
  <si>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</si>
  <si>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</si>
  <si>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</si>
  <si>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</si>
  <si>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</si>
  <si>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</si>
  <si>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</si>
  <si>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</si>
  <si>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</si>
  <si>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</si>
  <si>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</si>
  <si>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</si>
  <si>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</si>
  <si>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</si>
  <si>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</si>
  <si>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</si>
  <si>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</si>
  <si>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</si>
  <si>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</si>
  <si>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</si>
  <si>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</si>
  <si>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</si>
  <si>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</si>
  <si>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</si>
  <si>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</si>
  <si>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</si>
  <si>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</si>
  <si>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</si>
  <si>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</si>
  <si>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</si>
  <si>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</si>
  <si>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</si>
  <si>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</si>
  <si>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</si>
  <si>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</si>
  <si>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</si>
  <si>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</si>
  <si>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</si>
  <si>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</si>
  <si>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</si>
  <si>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</si>
  <si>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</si>
  <si>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</si>
  <si>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</si>
  <si>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</si>
  <si>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</si>
  <si>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</si>
  <si>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</si>
  <si>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</si>
  <si>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</si>
  <si>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</si>
  <si>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</si>
  <si>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</si>
  <si>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</si>
  <si>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</si>
  <si>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</si>
  <si>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</si>
  <si>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</si>
  <si>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</si>
  <si>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</si>
  <si>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</si>
  <si>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</si>
  <si>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</si>
  <si>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</si>
  <si>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</si>
  <si>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</si>
  <si>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</si>
  <si>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</si>
  <si>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</si>
  <si>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</si>
  <si>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</si>
  <si>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目標Ⅰ合計　持続可能な地域のあるべき姿をかたちにする</t>
  </si>
  <si>
    <t>目標Ⅱ合計　公正・公平な給付を行う体制を構築する</t>
  </si>
  <si>
    <t>目標Ⅲ合計　介護人材の確保その他のサービス提供基盤の整備を推進する</t>
  </si>
  <si>
    <t>目標Ⅳ合計　高齢者がその状況に応じて可能な限り自立した日常生活を営む</t>
  </si>
  <si>
    <t>保険者機能強化推進交付金に係る得点＜①目標別＞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</si>
  <si>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</si>
  <si>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</si>
  <si>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</si>
  <si>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</si>
  <si>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</si>
  <si>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</si>
  <si>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</si>
  <si>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目標別合計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</si>
</sst>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0" fontId="9" fillId="6" borderId="6" xfId="0" applyBorder="true" applyFont="true" applyFill="true">
      <alignment wrapText="true" vertical="center" horizontal="center"/>
    </xf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76.0351562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56.2</v>
      </c>
      <c r="D3" s="30" t="n">
        <v>42.7</v>
      </c>
      <c r="E3" s="30" t="n">
        <v>34.0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59.8</v>
      </c>
      <c r="D4" s="34" t="n">
        <v>51.7</v>
      </c>
      <c r="E4" s="34" t="n">
        <v>24.0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41.0</v>
      </c>
      <c r="D5" s="38" t="n">
        <v>30.0</v>
      </c>
      <c r="E5" s="38" t="n">
        <v>20.0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48.6</v>
      </c>
      <c r="D6" s="42" t="n">
        <v>43.1</v>
      </c>
      <c r="E6" s="42" t="n">
        <v>15.0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787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保険者機能強化推進交付金に係る得点＜①目標別＞（令和5年(2023年)）</v>
      </c>
      <c r="B2" s="9" t="str">
        <f>"（時点）" &amp; D2</f>
        <v>（時点）令和5年(2023年)</v>
      </c>
      <c r="C2" s="10" t="s">
        <v>782</v>
      </c>
      <c r="D2" s="10" t="s">
        <v>783</v>
      </c>
      <c r="E2" s="10" t="s">
        <v>777</v>
      </c>
      <c r="F2" s="10" t="str">
        <f>G2 &amp; "（" &amp; H2 &amp; "）"</f>
        <v>点数（点）</v>
      </c>
      <c r="G2" s="10" t="s">
        <v>784</v>
      </c>
      <c r="H2" s="10" t="s">
        <v>785</v>
      </c>
      <c r="I2" s="10" t="s">
        <v>786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76.0351562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788</v>
      </c>
    </row>
    <row r="2" spans="2:258" s="13" customFormat="1" x14ac:dyDescent="0.15">
      <c r="B2" s="11"/>
      <c r="C2" s="11"/>
      <c r="D2" s="48" t="s">
        <v>775</v>
      </c>
      <c r="E2" s="48" t="s">
        <v>776</v>
      </c>
      <c r="F2" s="48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789</v>
      </c>
      <c r="D3" s="50" t="n">
        <v>56.2</v>
      </c>
      <c r="E3" s="50" t="n">
        <v>42.7</v>
      </c>
      <c r="F3" s="50" t="n">
        <v>34.0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789</v>
      </c>
      <c r="D4" s="54" t="n">
        <v>59.8</v>
      </c>
      <c r="E4" s="54" t="n">
        <v>51.7</v>
      </c>
      <c r="F4" s="54" t="n">
        <v>24.0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789</v>
      </c>
      <c r="D5" s="58" t="n">
        <v>41.0</v>
      </c>
      <c r="E5" s="58" t="n">
        <v>30.0</v>
      </c>
      <c r="F5" s="58" t="n">
        <v>20.0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789</v>
      </c>
      <c r="D6" s="62" t="n">
        <v>48.6</v>
      </c>
      <c r="E6" s="62" t="n">
        <v>43.1</v>
      </c>
      <c r="F6" s="62" t="n">
        <v>15.0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790</v>
      </c>
      <c r="C7" s="12" t="s">
        <v>789</v>
      </c>
      <c r="D7" s="66" t="n">
        <v>205.6</v>
      </c>
      <c r="E7" s="66" t="n">
        <v>167.5</v>
      </c>
      <c r="F7" s="66" t="n">
        <v>93.0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 hidden="true">
      <c r="B8" s="15" t="s">
        <v>13</v>
      </c>
      <c r="C8" s="1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