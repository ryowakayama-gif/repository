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<sst xmlns="http://schemas.openxmlformats.org/spreadsheetml/2006/main" count="1278" uniqueCount="967">
  <si>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</si>
  <si>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</si>
  <si>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</si>
  <si>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</si>
  <si>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</si>
  <si>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</si>
  <si>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</si>
  <si>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</si>
  <si>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</si>
  <si>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</si>
  <si>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</si>
  <si>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</si>
  <si>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</si>
  <si>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</si>
  <si>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</si>
  <si>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</si>
  <si>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</si>
  <si>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</si>
  <si>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</si>
  <si>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</si>
  <si>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</si>
  <si>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</si>
  <si>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</si>
  <si>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</si>
  <si>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</si>
  <si>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</si>
  <si>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</si>
  <si>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</si>
  <si>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</si>
  <si>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</si>
  <si>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</si>
  <si>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</si>
  <si>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</si>
  <si>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</si>
  <si>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</si>
  <si>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</si>
  <si>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</si>
  <si>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</si>
  <si>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</si>
  <si>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</si>
  <si>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</si>
  <si>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</si>
  <si>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</si>
  <si>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</si>
  <si>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</si>
  <si>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</si>
  <si>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</si>
  <si>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</si>
  <si>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</si>
  <si>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</si>
  <si>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</si>
  <si>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</si>
  <si>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</si>
  <si>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</si>
  <si>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</si>
  <si>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</si>
  <si>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</si>
  <si>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</si>
  <si>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</si>
  <si>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</si>
  <si>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</si>
  <si>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</si>
  <si>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</si>
  <si>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</si>
  <si>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</si>
  <si>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</si>
  <si>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</si>
  <si>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</si>
  <si>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</si>
  <si>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</si>
  <si>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</si>
  <si>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</si>
  <si>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</si>
  <si>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</si>
  <si>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</si>
  <si>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</si>
  <si>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</si>
  <si>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</si>
  <si>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</si>
  <si>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</si>
  <si>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</si>
  <si>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</si>
  <si>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</si>
  <si>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</si>
  <si>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</si>
  <si>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</si>
  <si>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</si>
  <si>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</si>
  <si>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</si>
  <si>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</si>
  <si>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</si>
  <si>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</si>
  <si>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</si>
  <si>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</si>
  <si>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</si>
  <si>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</si>
  <si>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</si>
  <si>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</si>
  <si>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</si>
  <si>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</si>
  <si>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</si>
  <si>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</si>
  <si>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</si>
  <si>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</si>
  <si>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</si>
  <si>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</si>
  <si>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</si>
  <si>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</si>
  <si>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</si>
  <si>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</si>
  <si>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</si>
  <si>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</si>
  <si>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</si>
  <si>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</si>
  <si>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</si>
  <si>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</si>
  <si>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</si>
  <si>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</si>
  <si>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</si>
  <si>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</si>
  <si>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</si>
  <si>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</si>
  <si>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</si>
  <si>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</si>
  <si>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</si>
  <si>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</si>
  <si>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</si>
  <si>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</si>
  <si>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</si>
  <si>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</si>
  <si>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</si>
  <si>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</si>
  <si>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</si>
  <si>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</si>
  <si>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</si>
  <si>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</si>
  <si>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</si>
  <si>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</si>
  <si>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</si>
  <si>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</si>
  <si>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</si>
  <si>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</si>
  <si>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</si>
  <si>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</si>
  <si>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</si>
  <si>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</si>
  <si>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</si>
  <si>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</si>
  <si>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</si>
  <si>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</si>
  <si>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</si>
  <si>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</si>
  <si>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</si>
  <si>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</si>
  <si>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</si>
  <si>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</si>
  <si>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</si>
  <si>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</si>
  <si>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</si>
  <si>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</si>
  <si>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</si>
  <si>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</si>
  <si>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</si>
  <si>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</si>
  <si>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</si>
  <si>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</si>
  <si>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</si>
  <si>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</si>
  <si>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</si>
  <si>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</si>
  <si>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</si>
  <si>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</si>
  <si>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</si>
  <si>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</si>
  <si>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</si>
  <si>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</si>
  <si>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</si>
  <si>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</si>
  <si>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</si>
  <si>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</si>
  <si>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</si>
  <si>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</si>
  <si>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</si>
  <si>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</si>
  <si>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</si>
  <si>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</si>
  <si>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</si>
  <si>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</si>
  <si>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</si>
  <si>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</si>
  <si>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</si>
  <si>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</si>
  <si>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</si>
  <si>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</si>
  <si>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</si>
  <si>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</si>
  <si>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</si>
  <si>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</si>
  <si>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</si>
  <si>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</si>
  <si>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</si>
  <si>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</si>
  <si>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</si>
  <si>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</si>
  <si>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</si>
  <si>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</si>
  <si>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</si>
  <si>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</si>
  <si>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</si>
  <si>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</si>
  <si>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</si>
  <si>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</si>
  <si>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</si>
  <si>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</si>
  <si>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</si>
  <si>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</si>
  <si>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</si>
  <si>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</si>
  <si>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</si>
  <si>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</si>
  <si>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</si>
  <si>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</si>
  <si>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</si>
  <si>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</si>
  <si>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</si>
  <si>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</si>
  <si>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</si>
  <si>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</si>
  <si>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</si>
  <si>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</si>
  <si>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</si>
  <si>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</si>
  <si>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</si>
  <si>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</si>
  <si>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</si>
  <si>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</si>
  <si>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</si>
  <si>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</si>
  <si>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</si>
  <si>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</si>
  <si>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</si>
  <si>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</si>
  <si>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</si>
  <si>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</si>
  <si>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</si>
  <si>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</si>
  <si>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</si>
  <si>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</si>
  <si>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</si>
  <si>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</si>
  <si>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</si>
  <si>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</si>
  <si>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</si>
  <si>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</si>
  <si>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</si>
  <si>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</si>
  <si>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</si>
  <si>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</si>
  <si>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</si>
  <si>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</si>
  <si>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</si>
  <si>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</si>
  <si>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</si>
  <si>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</si>
  <si>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</si>
  <si>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</si>
  <si>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</si>
  <si>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</si>
  <si>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</si>
  <si>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</si>
  <si>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</si>
  <si>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</si>
  <si>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</si>
  <si>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</si>
  <si>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</si>
  <si>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</si>
  <si>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</si>
  <si>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</si>
  <si>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</si>
  <si>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</si>
  <si>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</si>
  <si>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</si>
  <si>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</si>
  <si>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</si>
  <si>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</si>
  <si>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</si>
  <si>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</si>
  <si>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</si>
  <si>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</si>
  <si>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</si>
  <si>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</si>
  <si>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</si>
  <si>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</si>
  <si>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</si>
  <si>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</si>
  <si>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</si>
  <si>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</si>
  <si>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</si>
  <si>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</si>
  <si>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</si>
  <si>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</si>
  <si>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</si>
  <si>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</si>
  <si>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</si>
  <si>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</si>
  <si>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</si>
  <si>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</si>
  <si>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</si>
  <si>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</si>
  <si>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</si>
  <si>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</si>
  <si>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</si>
  <si>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</si>
  <si>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</si>
  <si>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</si>
  <si>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</si>
  <si>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</si>
  <si>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</si>
  <si>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</si>
  <si>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</si>
  <si>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</si>
  <si>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</si>
  <si>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</si>
  <si>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</si>
  <si>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</si>
  <si>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</si>
  <si>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</si>
  <si>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</si>
  <si>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</si>
  <si>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</si>
  <si>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</si>
  <si>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</si>
  <si>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</si>
  <si>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</si>
  <si>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</si>
  <si>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</si>
  <si>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</si>
  <si>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</si>
  <si>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</si>
  <si>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</si>
  <si>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</si>
  <si>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</si>
  <si>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</si>
  <si>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</si>
  <si>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</si>
  <si>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</si>
  <si>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</si>
  <si>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</si>
  <si>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</si>
  <si>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</si>
  <si>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</si>
  <si>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</si>
  <si>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</si>
  <si>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</si>
  <si>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</si>
  <si>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</si>
  <si>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</si>
  <si>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</si>
  <si>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</si>
  <si>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</si>
  <si>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</si>
  <si>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</si>
  <si>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</si>
  <si>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</si>
  <si>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</si>
  <si>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</si>
  <si>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</si>
  <si>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</si>
  <si>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</si>
  <si>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</si>
  <si>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</si>
  <si>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</si>
  <si>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</si>
  <si>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</si>
  <si>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</si>
  <si>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</si>
  <si>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</si>
  <si>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</si>
  <si>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</si>
  <si>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</si>
  <si>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</si>
  <si>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</si>
  <si>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</si>
  <si>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</si>
  <si>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</si>
  <si>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</si>
  <si>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</si>
  <si>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</si>
  <si>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</si>
  <si>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</si>
  <si>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</si>
  <si>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</si>
  <si>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</si>
  <si>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</si>
  <si>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</si>
  <si>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</si>
  <si>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</si>
  <si>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</si>
  <si>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</si>
  <si>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</si>
  <si>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</si>
  <si>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</si>
  <si>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</si>
  <si>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</si>
  <si>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</si>
  <si>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</si>
  <si>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</si>
  <si>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</si>
  <si>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</si>
  <si>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</si>
  <si>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</si>
  <si>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</si>
  <si>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</si>
  <si>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</si>
  <si>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</si>
  <si>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</si>
  <si>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</si>
  <si>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</si>
  <si>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</si>
  <si>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</si>
  <si>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</si>
  <si>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</si>
  <si>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</si>
  <si>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</si>
  <si>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</si>
  <si>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</si>
  <si>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</si>
  <si>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</si>
  <si>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</si>
  <si>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</si>
  <si>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</si>
  <si>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</si>
  <si>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</si>
  <si>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</si>
  <si>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</si>
  <si>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</si>
  <si>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</si>
  <si>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</si>
  <si>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</si>
  <si>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</si>
  <si>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</si>
  <si>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</si>
  <si>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</si>
  <si>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</si>
  <si>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</si>
  <si>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</si>
  <si>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</si>
  <si>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</si>
  <si>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</si>
  <si>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</si>
  <si>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</si>
  <si>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</si>
  <si>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</si>
  <si>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</si>
  <si>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</si>
  <si>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</si>
  <si>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</si>
  <si>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</si>
  <si>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</si>
  <si>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</si>
  <si>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</si>
  <si>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</si>
  <si>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</si>
  <si>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</si>
  <si>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</si>
  <si>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</si>
  <si>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</si>
  <si>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</si>
  <si>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</si>
  <si>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</si>
  <si>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</si>
  <si>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</si>
  <si>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</si>
  <si>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</si>
  <si>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</si>
  <si>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</si>
  <si>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</si>
  <si>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</si>
  <si>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</si>
  <si>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</si>
  <si>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</si>
  <si>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</si>
  <si>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</si>
  <si>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</si>
  <si>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</si>
  <si>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</si>
  <si>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</si>
  <si>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</si>
  <si>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</si>
  <si>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</si>
  <si>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</si>
  <si>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</si>
  <si>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</si>
  <si>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</si>
  <si>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</si>
  <si>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</si>
  <si>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</si>
  <si>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</si>
  <si>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</si>
  <si>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</si>
  <si>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</si>
  <si>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</si>
  <si>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</si>
  <si>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</si>
  <si>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</si>
  <si>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</si>
  <si>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</si>
  <si>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</si>
  <si>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</si>
  <si>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</si>
  <si>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</si>
  <si>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</si>
  <si>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</si>
  <si>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</si>
  <si>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</si>
  <si>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</si>
  <si>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</si>
  <si>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</si>
  <si>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</si>
  <si>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</si>
  <si>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</si>
  <si>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</si>
  <si>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</si>
  <si>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</si>
  <si>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</si>
  <si>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</si>
  <si>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</si>
  <si>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</si>
  <si>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</si>
  <si>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</si>
  <si>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</si>
  <si>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</si>
  <si>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</si>
  <si>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</si>
  <si>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</si>
  <si>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</si>
  <si>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</si>
  <si>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</si>
  <si>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</si>
  <si>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</si>
  <si>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</si>
  <si>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</si>
  <si>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</si>
  <si>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</si>
  <si>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</si>
  <si>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</si>
  <si>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</si>
  <si>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</si>
  <si>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</si>
  <si>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</si>
  <si>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</si>
  <si>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</si>
  <si>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</si>
  <si>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</si>
  <si>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</si>
  <si>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</si>
  <si>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</si>
  <si>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</si>
  <si>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</si>
  <si>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</si>
  <si>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</si>
  <si>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</si>
  <si>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</si>
  <si>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</si>
  <si>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</si>
  <si>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</si>
  <si>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</si>
  <si>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</si>
  <si>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</si>
  <si>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</si>
  <si>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</si>
  <si>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</si>
  <si>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</si>
  <si>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</si>
  <si>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</si>
  <si>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</si>
  <si>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</si>
  <si>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</si>
  <si>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</si>
  <si>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</si>
  <si>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</si>
  <si>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</si>
  <si>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</si>
  <si>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</si>
  <si>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</si>
  <si>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</si>
  <si>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</si>
  <si>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</si>
  <si>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</si>
  <si>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</si>
  <si>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</si>
  <si>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</si>
  <si>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</si>
  <si>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</si>
  <si>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</si>
  <si>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</si>
  <si>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</si>
  <si>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</si>
  <si>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</si>
  <si>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</si>
  <si>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</si>
  <si>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</si>
  <si>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</si>
  <si>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</si>
  <si>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</si>
  <si>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</si>
  <si>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</si>
  <si>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</si>
  <si>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</si>
  <si>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</si>
  <si>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</si>
  <si>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</si>
  <si>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</si>
  <si>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</si>
  <si>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</si>
  <si>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</si>
  <si>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</si>
  <si>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</si>
  <si>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</si>
  <si>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</si>
  <si>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</si>
  <si>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</si>
  <si>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</si>
  <si>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</si>
  <si>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</si>
  <si>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</si>
  <si>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</si>
  <si>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</si>
  <si>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</si>
  <si>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</si>
  <si>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</si>
  <si>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</si>
  <si>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</si>
  <si>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</si>
  <si>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</si>
  <si>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</si>
  <si>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</si>
  <si>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</si>
  <si>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</si>
  <si>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</si>
  <si>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</si>
  <si>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</si>
  <si>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</si>
  <si>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</si>
  <si>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</si>
  <si>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</si>
  <si>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</si>
  <si>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</si>
  <si>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</si>
  <si>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</si>
  <si>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</si>
  <si>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</si>
  <si>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</si>
  <si>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</si>
  <si>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</si>
  <si>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</si>
  <si>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</si>
  <si>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</si>
  <si>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</si>
  <si>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</si>
  <si>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</si>
  <si>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</si>
  <si>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</si>
  <si>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</si>
  <si>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</si>
  <si>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</si>
  <si>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</si>
  <si>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</si>
  <si>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</si>
  <si>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</si>
  <si>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</si>
  <si>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</si>
  <si>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</si>
  <si>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</si>
  <si>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</si>
  <si>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</si>
  <si>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</si>
  <si>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</si>
  <si>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</si>
  <si>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</si>
  <si>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</si>
  <si>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</si>
  <si>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</si>
  <si>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</si>
  <si>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</si>
  <si>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</si>
  <si>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</si>
  <si>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</si>
  <si>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</si>
  <si>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</si>
  <si>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</si>
  <si>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</si>
  <si>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</si>
  <si>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</si>
  <si>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</si>
  <si>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</si>
  <si>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</si>
  <si>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</si>
  <si>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</si>
  <si>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</si>
  <si>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</si>
  <si>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</si>
  <si>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</si>
  <si>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</si>
  <si>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</si>
  <si>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</si>
  <si>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</si>
  <si>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</si>
  <si>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</si>
  <si>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</si>
  <si>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</si>
  <si>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</si>
  <si>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</si>
  <si>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</si>
  <si>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</si>
  <si>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</si>
  <si>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</si>
  <si>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</si>
  <si>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</si>
  <si>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</si>
  <si>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</si>
  <si>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</si>
  <si>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</si>
  <si>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</si>
  <si>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</si>
  <si>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</si>
  <si>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</si>
  <si>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</si>
  <si>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</si>
  <si>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</si>
  <si>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</si>
  <si>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</si>
  <si>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</si>
  <si>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</si>
  <si>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</si>
  <si>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</si>
  <si>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</si>
  <si>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</si>
  <si>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</si>
  <si>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</si>
  <si>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</si>
  <si>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</si>
  <si>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</si>
  <si>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</si>
  <si>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</si>
  <si>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</si>
  <si>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</si>
  <si>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</si>
  <si>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</si>
  <si>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</si>
  <si>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</si>
  <si>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</si>
  <si>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</si>
  <si>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</si>
  <si>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</si>
  <si>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</si>
  <si>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</si>
  <si>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</si>
  <si>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</si>
  <si>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</si>
  <si>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</si>
  <si>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</si>
  <si>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</si>
  <si>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</si>
  <si>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</si>
  <si>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</si>
  <si>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</si>
  <si>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</si>
  <si>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</si>
  <si>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</si>
  <si>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</si>
  <si>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</si>
  <si>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</si>
  <si>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</si>
  <si>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</si>
  <si>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</si>
  <si>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</si>
  <si>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</si>
  <si>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</si>
  <si>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</si>
  <si>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</si>
  <si>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</si>
  <si>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</si>
  <si>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</si>
  <si>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</si>
  <si>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</si>
  <si>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</si>
  <si>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</si>
  <si>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</si>
  <si>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</si>
  <si>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</si>
  <si>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</si>
  <si>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</si>
  <si>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</si>
  <si>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</si>
  <si>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</si>
  <si>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</si>
  <si>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</si>
  <si>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</si>
  <si>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</si>
  <si>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</si>
  <si>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</si>
  <si>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</si>
  <si>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</si>
  <si>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</si>
  <si>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</si>
  <si>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</si>
  <si>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</si>
  <si>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</si>
  <si>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</si>
  <si>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</si>
  <si>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</si>
  <si>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</si>
  <si>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</si>
  <si>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</si>
  <si>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</si>
  <si>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</si>
  <si>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</si>
  <si>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</si>
  <si>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</si>
  <si>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</si>
  <si>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</si>
  <si>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</si>
  <si>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</si>
  <si>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</si>
  <si>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</si>
  <si>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</si>
  <si>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</si>
  <si>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</si>
  <si>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</si>
  <si>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</si>
  <si>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</si>
  <si>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</si>
  <si>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</si>
  <si>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</si>
  <si>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</si>
  <si>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</si>
  <si>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</si>
  <si>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</si>
  <si>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</si>
  <si>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</si>
  <si>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</si>
  <si>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</si>
  <si>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</si>
  <si>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</si>
  <si>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</si>
  <si>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</si>
  <si>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</si>
  <si>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</si>
  <si>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</si>
  <si>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</si>
  <si>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</si>
  <si>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</si>
  <si>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</si>
  <si>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</si>
  <si>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</si>
  <si>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</si>
  <si>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</si>
  <si>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</si>
  <si>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</si>
  <si>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</si>
  <si>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</si>
  <si>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</si>
  <si>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</si>
  <si>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</si>
  <si>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</si>
  <si>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</si>
  <si>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令和2
年度</t>
  </si>
  <si>
    <t>令和3
年度</t>
  </si>
  <si>
    <t>令和4
年度</t>
  </si>
  <si>
    <t>令和5
年度</t>
  </si>
  <si>
    <t>令和6
年度</t>
  </si>
  <si>
    <t>通常型（直営）</t>
  </si>
  <si>
    <t>通常型（委託）</t>
  </si>
  <si>
    <t>機能強化型（直営）（圏域なしを含む）</t>
  </si>
  <si>
    <t>機能強化型（委託）（圏域なしを含む）</t>
  </si>
  <si>
    <t>基幹型（直営）（圏域なしを含む）</t>
  </si>
  <si>
    <t>基幹型（委託）（圏域なしを含む）</t>
  </si>
  <si>
    <t>基幹型・機能強化型（直営）（圏域なしを含む）</t>
  </si>
  <si>
    <t>基幹型・機能強化型（委託）（圏域なしを含む）</t>
  </si>
  <si>
    <t>福島県</t>
  </si>
  <si>
    <t>全国</t>
  </si>
  <si>
    <t>センター設置数[65歳以上人口1万対]</t>
  </si>
  <si>
    <t>令和6年(2024年)</t>
  </si>
  <si>
    <t>小野町</t>
  </si>
  <si>
    <t>センター設置数</t>
  </si>
  <si>
    <t>箇所[65歳以上人口1万対]</t>
  </si>
  <si>
    <t>厚生労働省「地域包括支援センター運営状況調査」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</si>
  <si>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</si>
  <si>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</si>
  <si>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センター設置数(通常型（直営）[65歳以上人口１万対])</t>
  </si>
  <si>
    <t>（箇所[65歳以上人口1万対]）</t>
  </si>
  <si>
    <t>センター設置数(通常型（委託）[65歳以上人口１万対])</t>
  </si>
  <si>
    <t>センター設置数(機能強化型（直営）（圏域なしを含む）[65歳以上人口１万対])</t>
  </si>
  <si>
    <t>センター設置数(機能強化型（直営：圏域あり）[65歳以上人口１万対])</t>
  </si>
  <si>
    <t>センター設置数(機能強化型（直営：圏域なし）[65歳以上人口１万対])</t>
  </si>
  <si>
    <t>センター設置数(機能強化型（委託）（圏域なしを含む）[65歳以上人口１万対])</t>
  </si>
  <si>
    <t>センター設置数(機能強化型（委託：圏域あり）[65歳以上人口１万対])</t>
  </si>
  <si>
    <t>センター設置数(機能強化型（委託：圏域なし）[65歳以上人口１万対])</t>
  </si>
  <si>
    <t>センター設置数(基幹型（直営）（圏域なしを含む）[65歳以上人口１万対])</t>
  </si>
  <si>
    <t>センター設置数(基幹型（直営：圏域あり）[65歳以上人口１万対])</t>
  </si>
  <si>
    <t>センター設置数(基幹型（直営：圏域なし）[65歳以上人口１万対])</t>
  </si>
  <si>
    <t>センター設置数(基幹型（委託）（圏域なしを含む）[65歳以上人口１万対])</t>
  </si>
  <si>
    <t>センター設置数(基幹型（委託：圏域あり）[65歳以上人口１万対])</t>
  </si>
  <si>
    <t>センター設置数(基幹型（委託：圏域なし）[65歳以上人口１万対])</t>
  </si>
  <si>
    <t>センター設置数(基幹型・機能強化型（直営）（圏域なしを含む）[65歳以上人口１万対])</t>
  </si>
  <si>
    <t>センター設置数(基幹型・機能強化型（直営：圏域あり）[65歳以上人口１万対])</t>
  </si>
  <si>
    <t>センター設置数(基幹型・機能強化型（直営：圏域なし）[65歳以上人口１万対])</t>
  </si>
  <si>
    <t>センター設置数(基幹型・機能強化型（委託）（圏域なしを含む）[65歳以上人口１万対])</t>
  </si>
  <si>
    <t>センター設置数(基幹型・機能強化型（委託：圏域あり）[65歳以上人口１万対])</t>
  </si>
  <si>
    <t>センター設置数(基幹型・機能強化型（委託：圏域なし）[65歳以上人口１万対])</t>
  </si>
  <si>
    <t>センター設置数(通常型（合計）[65歳以上人口１万対])</t>
  </si>
  <si>
    <t>センター設置数(機能強化型（合計）（圏域なしを含む）[65歳以上人口１万対])</t>
  </si>
  <si>
    <t>センター設置数(機能強化型（圏域あり）（合計）[65歳以上人口１万対])</t>
  </si>
  <si>
    <t>センター設置数(機能強化型（圏域なし）（合計）[65歳以上人口１万対])</t>
  </si>
  <si>
    <t>センター設置数(基幹型（合計）（圏域なしを含む）[65歳以上人口１万対])</t>
  </si>
  <si>
    <t>センター設置数(基幹型（圏域あり）（合計）[65歳以上人口１万対])</t>
  </si>
  <si>
    <t>センター設置数(基幹型（圏域なし）（合計）[65歳以上人口１万対])</t>
  </si>
  <si>
    <t>センター設置数(基幹型・機能強化型（合計）（圏域なしを含む）[65歳以上人口１万対])</t>
  </si>
  <si>
    <t>センター設置数(基幹型・機能強化型（圏域あり）（合計）[65歳以上人口１万対])</t>
  </si>
  <si>
    <t>センター設置数(基幹型・機能強化型（圏域なし）（合計）[65歳以上人口１万対])</t>
  </si>
  <si>
    <t>直営型センター数[65歳以上人口１万対]</t>
  </si>
  <si>
    <t>直営型センター数（圏域なしを含む）[65歳以上人口１万対]</t>
  </si>
  <si>
    <t>委託型センター数[65歳以上人口１万対]</t>
  </si>
  <si>
    <t>委託型センター数（圏域なしを含む）[65歳以上人口１万対]</t>
  </si>
  <si>
    <t>センター数（総数）[65歳以上人口１万対]</t>
  </si>
  <si>
    <t>センター数（総数）（圏域なしを含む）[65歳以上人口１万対]</t>
  </si>
  <si>
    <t>センター設置数(通常型（直営）)</t>
  </si>
  <si>
    <t>（箇所）</t>
  </si>
  <si>
    <t>センター設置数(通常型（委託）)</t>
  </si>
  <si>
    <t>センター設置数(機能強化型（直営）（圏域なしを含む）)</t>
  </si>
  <si>
    <t>センター設置数(機能強化型（直営：圏域あり）)</t>
  </si>
  <si>
    <t>センター設置数(機能強化型（直営：圏域なし）)</t>
  </si>
  <si>
    <t>センター設置数(機能強化型（委託）（圏域なしを含む）)</t>
  </si>
  <si>
    <t>センター設置数(機能強化型（委託：圏域あり）)</t>
  </si>
  <si>
    <t>センター設置数(機能強化型（委託：圏域なし）)</t>
  </si>
  <si>
    <t>センター設置数(基幹型（直営）（圏域なしを含む）)</t>
  </si>
  <si>
    <t>センター設置数(基幹型（直営：圏域あり）)</t>
  </si>
  <si>
    <t>センター設置数(基幹型（直営：圏域なし）)</t>
  </si>
  <si>
    <t>センター設置数(基幹型（委託）（圏域なしを含む）)</t>
  </si>
  <si>
    <t>センター設置数(基幹型（委託：圏域あり）)</t>
  </si>
  <si>
    <t>センター設置数(基幹型（委託：圏域なし）)</t>
  </si>
  <si>
    <t>センター設置数(基幹型・機能強化型（直営）（圏域なしを含む）)</t>
  </si>
  <si>
    <t>センター設置数(基幹型・機能強化型（直営：圏域あり）)</t>
  </si>
  <si>
    <t>センター設置数(基幹型・機能強化型（直営：圏域なし）)</t>
  </si>
  <si>
    <t>センター設置数(基幹型・機能強化型（委託）（圏域なしを含む）)</t>
  </si>
  <si>
    <t>センター設置数(基幹型・機能強化型（委託：圏域あり）)</t>
  </si>
  <si>
    <t>センター設置数(基幹型・機能強化型（委託：圏域なし）)</t>
  </si>
  <si>
    <t>センター設置数(通常型（合計）)</t>
  </si>
  <si>
    <t>センター設置数(機能強化型（合計）（圏域なしを含む）)</t>
  </si>
  <si>
    <t>センター設置数(機能強化型（圏域あり）（合計）)</t>
  </si>
  <si>
    <t>センター設置数(機能強化型（圏域なし）（合計）)</t>
  </si>
  <si>
    <t>センター設置数(基幹型（合計）（圏域なしを含む）)</t>
  </si>
  <si>
    <t>センター設置数(基幹型（圏域あり）（合計）)</t>
  </si>
  <si>
    <t>センター設置数(基幹型（圏域なし）（合計）)</t>
  </si>
  <si>
    <t>センター設置数(基幹型・機能強化型（合計）（圏域なしを含む）)</t>
  </si>
  <si>
    <t>センター設置数(基幹型・機能強化型（圏域あり）（合計）)</t>
  </si>
  <si>
    <t>センター設置数(基幹型・機能強化型（圏域なし）（合計）)</t>
  </si>
  <si>
    <t>直営型センター数</t>
  </si>
  <si>
    <t>直営型センター数（圏域なしを含む）</t>
  </si>
  <si>
    <t>委託型センター数</t>
  </si>
  <si>
    <t>委託型センター数（圏域なしを含む）</t>
  </si>
  <si>
    <t>センター数（総数）</t>
  </si>
  <si>
    <t>センター数（総数）（圏域なしを含む）</t>
  </si>
  <si>
    <t>日常生活圏域数</t>
  </si>
  <si>
    <t>65歳以上人口（地域包括支援センター運営状況調査に基づく）</t>
  </si>
  <si>
    <t>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</si>
</sst>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9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371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4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  <xf numFmtId="4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4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4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4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4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4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4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4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177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7" fillId="7" borderId="5" xfId="0" applyBorder="true" applyFont="true" applyFill="true">
      <alignment wrapText="true" vertical="center" horizontal="center"/>
    </xf>
    <xf numFmtId="0" fontId="17" fillId="0" borderId="5" xfId="0" applyBorder="true" applyFont="true"/>
    <xf numFmtId="4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4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4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4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4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4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4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4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4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4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4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4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4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4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4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4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4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4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4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4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4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4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4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4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4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4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4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4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4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4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4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4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4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4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4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4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3" fontId="67" fillId="0" borderId="5" xfId="0" applyBorder="true" applyFont="true" applyNumberFormat="true">
      <alignment shrinkToFit="true"/>
    </xf>
    <xf numFmtId="0" fontId="67" fillId="0" borderId="5" xfId="0" applyBorder="true" applyFont="true"/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3" max="7" customWidth="true" style="3" width="14.625" collapsed="true"/>
    <col min="1" max="1" style="3" width="9.0" collapsed="false"/>
    <col min="2" max="2" customWidth="true" style="14" width="49.63671875" collapsed="false" bestFit="true"/>
    <col min="8" max="8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9" t="s">
        <v>43</v>
      </c>
      <c r="I2" s="9" t="s">
        <v>44</v>
      </c>
      <c r="J2" s="9" t="s">
        <v>45</v>
      </c>
      <c r="K2" s="9" t="s">
        <v>46</v>
      </c>
      <c r="L2" s="9" t="s">
        <v>47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872</v>
      </c>
      <c r="C3" s="31" t="n">
        <v>0.0</v>
      </c>
      <c r="D3" s="31" t="n">
        <v>0.0</v>
      </c>
      <c r="E3" s="31" t="n">
        <v>0.0</v>
      </c>
      <c r="F3" s="31" t="n">
        <v>0.0</v>
      </c>
      <c r="G3" s="31" t="n">
        <v>0.0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>
      <c r="B4" s="16" t="s">
        <v>873</v>
      </c>
      <c r="C4" s="35" t="n">
        <v>2.93</v>
      </c>
      <c r="D4" s="35" t="n">
        <v>2.9</v>
      </c>
      <c r="E4" s="35" t="n">
        <v>2.76</v>
      </c>
      <c r="F4" s="35" t="n">
        <v>2.88</v>
      </c>
      <c r="G4" s="35" t="n">
        <v>2.87</v>
      </c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>
      <c r="B5" s="16" t="s">
        <v>874</v>
      </c>
      <c r="C5" s="39" t="n">
        <v>0.0</v>
      </c>
      <c r="D5" s="39" t="n">
        <v>0.0</v>
      </c>
      <c r="E5" s="39" t="n">
        <v>0.0</v>
      </c>
      <c r="F5" s="39" t="n">
        <v>0.0</v>
      </c>
      <c r="G5" s="39" t="n">
        <v>0.0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>
      <c r="B6" s="16" t="s">
        <v>875</v>
      </c>
      <c r="C6" s="43" t="n">
        <v>0.0</v>
      </c>
      <c r="D6" s="43" t="n">
        <v>0.0</v>
      </c>
      <c r="E6" s="43" t="n">
        <v>0.0</v>
      </c>
      <c r="F6" s="43" t="n">
        <v>0.0</v>
      </c>
      <c r="G6" s="43" t="n">
        <v>0.0</v>
      </c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>
      <c r="B7" s="16" t="s">
        <v>876</v>
      </c>
      <c r="C7" s="47" t="n">
        <v>0.0</v>
      </c>
      <c r="D7" s="47" t="n">
        <v>0.0</v>
      </c>
      <c r="E7" s="47" t="n">
        <v>0.0</v>
      </c>
      <c r="F7" s="47" t="n">
        <v>0.0</v>
      </c>
      <c r="G7" s="47" t="n">
        <v>0.0</v>
      </c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>
      <c r="B8" s="16" t="s">
        <v>877</v>
      </c>
      <c r="C8" s="51" t="n">
        <v>0.0</v>
      </c>
      <c r="D8" s="51" t="n">
        <v>0.0</v>
      </c>
      <c r="E8" s="51" t="n">
        <v>0.0</v>
      </c>
      <c r="F8" s="51" t="n">
        <v>0.0</v>
      </c>
      <c r="G8" s="51" t="n">
        <v>0.0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>
      <c r="B9" s="16" t="s">
        <v>878</v>
      </c>
      <c r="C9" s="55" t="n">
        <v>0.0</v>
      </c>
      <c r="D9" s="55" t="n">
        <v>0.0</v>
      </c>
      <c r="E9" s="55" t="n">
        <v>0.0</v>
      </c>
      <c r="F9" s="55" t="n">
        <v>0.0</v>
      </c>
      <c r="G9" s="55" t="n">
        <v>0.0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>
      <c r="B10" s="16" t="s">
        <v>879</v>
      </c>
      <c r="C10" s="59" t="n">
        <v>0.0</v>
      </c>
      <c r="D10" s="59" t="n">
        <v>0.0</v>
      </c>
      <c r="E10" s="59" t="n">
        <v>0.0</v>
      </c>
      <c r="F10" s="59" t="n">
        <v>0.0</v>
      </c>
      <c r="G10" s="59" t="n">
        <v>0.0</v>
      </c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880</v>
      </c>
      <c r="C256" s="63" t="n">
        <v>2.15</v>
      </c>
      <c r="D256" s="63" t="n">
        <v>2.13</v>
      </c>
      <c r="E256" s="63" t="n">
        <v>2.12</v>
      </c>
      <c r="F256" s="63" t="n">
        <v>2.11</v>
      </c>
      <c r="G256" s="63" t="n">
        <v>2.12</v>
      </c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>
      <c r="B257" s="16" t="s">
        <v>881</v>
      </c>
      <c r="C257" s="67" t="n">
        <v>1.47</v>
      </c>
      <c r="D257" s="67" t="n">
        <v>1.49</v>
      </c>
      <c r="E257" s="67" t="n">
        <v>1.49</v>
      </c>
      <c r="F257" s="67" t="n">
        <v>1.5</v>
      </c>
      <c r="G257" s="67" t="n">
        <v>1.5</v>
      </c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888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センター設置数[65歳以上人口1万対]（小野町）</v>
      </c>
      <c r="B2" s="7" t="str">
        <f>"（注目する地域）" &amp; E2</f>
        <v>（注目する地域）小野町</v>
      </c>
      <c r="C2" s="8" t="s">
        <v>882</v>
      </c>
      <c r="D2" s="8" t="s">
        <v>883</v>
      </c>
      <c r="E2" s="8" t="s">
        <v>884</v>
      </c>
      <c r="F2" s="8" t="str">
        <f>IF(H2="",G2,G2 &amp; "（" &amp; H2 &amp; "）")</f>
        <v>センター設置数（箇所[65歳以上人口1万対]）</v>
      </c>
      <c r="G2" s="8" t="s">
        <v>885</v>
      </c>
      <c r="H2" s="8" t="s">
        <v>886</v>
      </c>
      <c r="I2" s="8" t="s">
        <v>887</v>
      </c>
      <c r="J2" s="7" t="str">
        <f>"（出典）" &amp; I2</f>
        <v>（出典）厚生労働省「地域包括支援センター運営状況調査」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5" max="9" customWidth="true" style="3" width="14.625" collapsed="true"/>
    <col min="1" max="1" customWidth="true" style="3" width="9.0" collapsed="false"/>
    <col min="2" max="2" customWidth="true" style="10" width="7.8359375" collapsed="false" bestFit="true"/>
    <col min="3" max="3" customWidth="true" style="10" width="89.234375" collapsed="false" bestFit="true"/>
    <col min="4" max="4" customWidth="true" style="10" width="31.46875" collapsed="false" bestFit="true"/>
    <col min="10" max="10" customWidth="true" style="3" width="14.625" collapsed="false" hidden="true"/>
    <col min="99" max="99" style="3" width="14.625" collapsed="false" hidden="true"/>
  </cols>
  <sheetData>
    <row r="1">
      <c r="A1" t="s">
        <v>889</v>
      </c>
    </row>
    <row r="2" spans="2:259" s="10" customFormat="1" x14ac:dyDescent="0.15">
      <c r="B2" s="11"/>
      <c r="C2" s="11"/>
      <c r="D2" s="11"/>
      <c r="E2" s="73" t="s">
        <v>867</v>
      </c>
      <c r="F2" s="73" t="s">
        <v>868</v>
      </c>
      <c r="G2" s="73" t="s">
        <v>869</v>
      </c>
      <c r="H2" s="73" t="s">
        <v>870</v>
      </c>
      <c r="I2" s="73" t="s">
        <v>871</v>
      </c>
      <c r="J2" s="12" t="s">
        <v>777</v>
      </c>
      <c r="K2" s="12" t="s">
        <v>778</v>
      </c>
      <c r="L2" s="12" t="s">
        <v>779</v>
      </c>
      <c r="M2" s="12" t="s">
        <v>780</v>
      </c>
      <c r="N2" s="12" t="s">
        <v>781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884</v>
      </c>
      <c r="C3" s="17" t="s">
        <v>890</v>
      </c>
      <c r="D3" s="12" t="s">
        <v>891</v>
      </c>
      <c r="E3" s="75" t="n">
        <v>0.0</v>
      </c>
      <c r="F3" s="75" t="n">
        <v>0.0</v>
      </c>
      <c r="G3" s="75" t="n">
        <v>0.0</v>
      </c>
      <c r="H3" s="75" t="n">
        <v>0.0</v>
      </c>
      <c r="I3" s="75" t="n">
        <v>0.0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884</v>
      </c>
      <c r="C4" s="17" t="s">
        <v>892</v>
      </c>
      <c r="D4" s="12" t="s">
        <v>891</v>
      </c>
      <c r="E4" s="79" t="n">
        <v>2.93</v>
      </c>
      <c r="F4" s="79" t="n">
        <v>2.9</v>
      </c>
      <c r="G4" s="79" t="n">
        <v>2.76</v>
      </c>
      <c r="H4" s="79" t="n">
        <v>2.88</v>
      </c>
      <c r="I4" s="79" t="n">
        <v>2.87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884</v>
      </c>
      <c r="C5" s="17" t="s">
        <v>893</v>
      </c>
      <c r="D5" s="12" t="s">
        <v>891</v>
      </c>
      <c r="E5" s="83" t="n">
        <v>0.0</v>
      </c>
      <c r="F5" s="83" t="n">
        <v>0.0</v>
      </c>
      <c r="G5" s="83" t="n">
        <v>0.0</v>
      </c>
      <c r="H5" s="83" t="n">
        <v>0.0</v>
      </c>
      <c r="I5" s="83" t="n">
        <v>0.0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884</v>
      </c>
      <c r="C6" s="17" t="s">
        <v>894</v>
      </c>
      <c r="D6" s="12" t="s">
        <v>891</v>
      </c>
      <c r="E6" s="87" t="n">
        <v>0.0</v>
      </c>
      <c r="F6" s="87" t="n">
        <v>0.0</v>
      </c>
      <c r="G6" s="87" t="n">
        <v>0.0</v>
      </c>
      <c r="H6" s="87" t="n">
        <v>0.0</v>
      </c>
      <c r="I6" s="87" t="n">
        <v>0.0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884</v>
      </c>
      <c r="C7" s="17" t="s">
        <v>895</v>
      </c>
      <c r="D7" s="12" t="s">
        <v>891</v>
      </c>
      <c r="E7" s="91" t="n">
        <v>0.0</v>
      </c>
      <c r="F7" s="91" t="n">
        <v>0.0</v>
      </c>
      <c r="G7" s="91" t="n">
        <v>0.0</v>
      </c>
      <c r="H7" s="91" t="n">
        <v>0.0</v>
      </c>
      <c r="I7" s="91" t="n">
        <v>0.0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884</v>
      </c>
      <c r="C8" s="17" t="s">
        <v>896</v>
      </c>
      <c r="D8" s="12" t="s">
        <v>891</v>
      </c>
      <c r="E8" s="95" t="n">
        <v>0.0</v>
      </c>
      <c r="F8" s="95" t="n">
        <v>0.0</v>
      </c>
      <c r="G8" s="95" t="n">
        <v>0.0</v>
      </c>
      <c r="H8" s="95" t="n">
        <v>0.0</v>
      </c>
      <c r="I8" s="95" t="n">
        <v>0.0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884</v>
      </c>
      <c r="C9" s="17" t="s">
        <v>897</v>
      </c>
      <c r="D9" s="12" t="s">
        <v>891</v>
      </c>
      <c r="E9" s="99" t="n">
        <v>0.0</v>
      </c>
      <c r="F9" s="99" t="n">
        <v>0.0</v>
      </c>
      <c r="G9" s="99" t="n">
        <v>0.0</v>
      </c>
      <c r="H9" s="99" t="n">
        <v>0.0</v>
      </c>
      <c r="I9" s="99" t="n">
        <v>0.0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884</v>
      </c>
      <c r="C10" s="17" t="s">
        <v>898</v>
      </c>
      <c r="D10" s="12" t="s">
        <v>891</v>
      </c>
      <c r="E10" s="103" t="n">
        <v>0.0</v>
      </c>
      <c r="F10" s="103" t="n">
        <v>0.0</v>
      </c>
      <c r="G10" s="103" t="n">
        <v>0.0</v>
      </c>
      <c r="H10" s="103" t="n">
        <v>0.0</v>
      </c>
      <c r="I10" s="103" t="n">
        <v>0.0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884</v>
      </c>
      <c r="C11" s="17" t="s">
        <v>899</v>
      </c>
      <c r="D11" s="12" t="s">
        <v>891</v>
      </c>
      <c r="E11" s="107" t="n">
        <v>0.0</v>
      </c>
      <c r="F11" s="107" t="n">
        <v>0.0</v>
      </c>
      <c r="G11" s="107" t="n">
        <v>0.0</v>
      </c>
      <c r="H11" s="107" t="n">
        <v>0.0</v>
      </c>
      <c r="I11" s="107" t="n">
        <v>0.0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884</v>
      </c>
      <c r="C12" s="17" t="s">
        <v>900</v>
      </c>
      <c r="D12" s="12" t="s">
        <v>891</v>
      </c>
      <c r="E12" s="111" t="n">
        <v>0.0</v>
      </c>
      <c r="F12" s="111" t="n">
        <v>0.0</v>
      </c>
      <c r="G12" s="111" t="n">
        <v>0.0</v>
      </c>
      <c r="H12" s="111" t="n">
        <v>0.0</v>
      </c>
      <c r="I12" s="111" t="n">
        <v>0.0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884</v>
      </c>
      <c r="C13" s="17" t="s">
        <v>901</v>
      </c>
      <c r="D13" s="12" t="s">
        <v>891</v>
      </c>
      <c r="E13" s="115" t="n">
        <v>0.0</v>
      </c>
      <c r="F13" s="115" t="n">
        <v>0.0</v>
      </c>
      <c r="G13" s="115" t="n">
        <v>0.0</v>
      </c>
      <c r="H13" s="115" t="n">
        <v>0.0</v>
      </c>
      <c r="I13" s="115" t="n">
        <v>0.0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884</v>
      </c>
      <c r="C14" s="17" t="s">
        <v>902</v>
      </c>
      <c r="D14" s="12" t="s">
        <v>891</v>
      </c>
      <c r="E14" s="119" t="n">
        <v>0.0</v>
      </c>
      <c r="F14" s="119" t="n">
        <v>0.0</v>
      </c>
      <c r="G14" s="119" t="n">
        <v>0.0</v>
      </c>
      <c r="H14" s="119" t="n">
        <v>0.0</v>
      </c>
      <c r="I14" s="119" t="n">
        <v>0.0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884</v>
      </c>
      <c r="C15" s="17" t="s">
        <v>903</v>
      </c>
      <c r="D15" s="12" t="s">
        <v>891</v>
      </c>
      <c r="E15" s="123" t="n">
        <v>0.0</v>
      </c>
      <c r="F15" s="123" t="n">
        <v>0.0</v>
      </c>
      <c r="G15" s="123" t="n">
        <v>0.0</v>
      </c>
      <c r="H15" s="123" t="n">
        <v>0.0</v>
      </c>
      <c r="I15" s="123" t="n">
        <v>0.0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884</v>
      </c>
      <c r="C16" s="17" t="s">
        <v>904</v>
      </c>
      <c r="D16" s="12" t="s">
        <v>891</v>
      </c>
      <c r="E16" s="127" t="n">
        <v>0.0</v>
      </c>
      <c r="F16" s="127" t="n">
        <v>0.0</v>
      </c>
      <c r="G16" s="127" t="n">
        <v>0.0</v>
      </c>
      <c r="H16" s="127" t="n">
        <v>0.0</v>
      </c>
      <c r="I16" s="127" t="n">
        <v>0.0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884</v>
      </c>
      <c r="C17" s="17" t="s">
        <v>905</v>
      </c>
      <c r="D17" s="12" t="s">
        <v>891</v>
      </c>
      <c r="E17" s="131" t="n">
        <v>0.0</v>
      </c>
      <c r="F17" s="131" t="n">
        <v>0.0</v>
      </c>
      <c r="G17" s="131" t="n">
        <v>0.0</v>
      </c>
      <c r="H17" s="131" t="n">
        <v>0.0</v>
      </c>
      <c r="I17" s="131" t="n">
        <v>0.0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884</v>
      </c>
      <c r="C18" s="17" t="s">
        <v>906</v>
      </c>
      <c r="D18" s="12" t="s">
        <v>891</v>
      </c>
      <c r="E18" s="135" t="n">
        <v>0.0</v>
      </c>
      <c r="F18" s="135" t="n">
        <v>0.0</v>
      </c>
      <c r="G18" s="135" t="n">
        <v>0.0</v>
      </c>
      <c r="H18" s="135" t="n">
        <v>0.0</v>
      </c>
      <c r="I18" s="135" t="n">
        <v>0.0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884</v>
      </c>
      <c r="C19" s="17" t="s">
        <v>907</v>
      </c>
      <c r="D19" s="12" t="s">
        <v>891</v>
      </c>
      <c r="E19" s="139" t="n">
        <v>0.0</v>
      </c>
      <c r="F19" s="139" t="n">
        <v>0.0</v>
      </c>
      <c r="G19" s="139" t="n">
        <v>0.0</v>
      </c>
      <c r="H19" s="139" t="n">
        <v>0.0</v>
      </c>
      <c r="I19" s="139" t="n">
        <v>0.0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884</v>
      </c>
      <c r="C20" s="17" t="s">
        <v>908</v>
      </c>
      <c r="D20" s="12" t="s">
        <v>891</v>
      </c>
      <c r="E20" s="143" t="n">
        <v>0.0</v>
      </c>
      <c r="F20" s="143" t="n">
        <v>0.0</v>
      </c>
      <c r="G20" s="143" t="n">
        <v>0.0</v>
      </c>
      <c r="H20" s="143" t="n">
        <v>0.0</v>
      </c>
      <c r="I20" s="143" t="n">
        <v>0.0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884</v>
      </c>
      <c r="C21" s="17" t="s">
        <v>909</v>
      </c>
      <c r="D21" s="12" t="s">
        <v>891</v>
      </c>
      <c r="E21" s="147" t="n">
        <v>0.0</v>
      </c>
      <c r="F21" s="147" t="n">
        <v>0.0</v>
      </c>
      <c r="G21" s="147" t="n">
        <v>0.0</v>
      </c>
      <c r="H21" s="147" t="n">
        <v>0.0</v>
      </c>
      <c r="I21" s="147" t="n">
        <v>0.0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884</v>
      </c>
      <c r="C22" s="17" t="s">
        <v>910</v>
      </c>
      <c r="D22" s="12" t="s">
        <v>891</v>
      </c>
      <c r="E22" s="151" t="n">
        <v>0.0</v>
      </c>
      <c r="F22" s="151" t="n">
        <v>0.0</v>
      </c>
      <c r="G22" s="151" t="n">
        <v>0.0</v>
      </c>
      <c r="H22" s="151" t="n">
        <v>0.0</v>
      </c>
      <c r="I22" s="151" t="n">
        <v>0.0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884</v>
      </c>
      <c r="C23" s="17" t="s">
        <v>911</v>
      </c>
      <c r="D23" s="12" t="s">
        <v>891</v>
      </c>
      <c r="E23" s="155" t="n">
        <v>2.93</v>
      </c>
      <c r="F23" s="155" t="n">
        <v>2.9</v>
      </c>
      <c r="G23" s="155" t="n">
        <v>2.76</v>
      </c>
      <c r="H23" s="155" t="n">
        <v>2.88</v>
      </c>
      <c r="I23" s="155" t="n">
        <v>2.87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884</v>
      </c>
      <c r="C24" s="17" t="s">
        <v>912</v>
      </c>
      <c r="D24" s="12" t="s">
        <v>891</v>
      </c>
      <c r="E24" s="159" t="n">
        <v>0.0</v>
      </c>
      <c r="F24" s="159" t="n">
        <v>0.0</v>
      </c>
      <c r="G24" s="159" t="n">
        <v>0.0</v>
      </c>
      <c r="H24" s="159" t="n">
        <v>0.0</v>
      </c>
      <c r="I24" s="159" t="n">
        <v>0.0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884</v>
      </c>
      <c r="C25" s="17" t="s">
        <v>913</v>
      </c>
      <c r="D25" s="12" t="s">
        <v>891</v>
      </c>
      <c r="E25" s="163" t="n">
        <v>0.0</v>
      </c>
      <c r="F25" s="163" t="n">
        <v>0.0</v>
      </c>
      <c r="G25" s="163" t="n">
        <v>0.0</v>
      </c>
      <c r="H25" s="163" t="n">
        <v>0.0</v>
      </c>
      <c r="I25" s="163" t="n">
        <v>0.0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884</v>
      </c>
      <c r="C26" s="17" t="s">
        <v>914</v>
      </c>
      <c r="D26" s="12" t="s">
        <v>891</v>
      </c>
      <c r="E26" s="167" t="n">
        <v>0.0</v>
      </c>
      <c r="F26" s="167" t="n">
        <v>0.0</v>
      </c>
      <c r="G26" s="167" t="n">
        <v>0.0</v>
      </c>
      <c r="H26" s="167" t="n">
        <v>0.0</v>
      </c>
      <c r="I26" s="167" t="n">
        <v>0.0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884</v>
      </c>
      <c r="C27" s="17" t="s">
        <v>915</v>
      </c>
      <c r="D27" s="12" t="s">
        <v>891</v>
      </c>
      <c r="E27" s="171" t="n">
        <v>0.0</v>
      </c>
      <c r="F27" s="171" t="n">
        <v>0.0</v>
      </c>
      <c r="G27" s="171" t="n">
        <v>0.0</v>
      </c>
      <c r="H27" s="171" t="n">
        <v>0.0</v>
      </c>
      <c r="I27" s="171" t="n">
        <v>0.0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884</v>
      </c>
      <c r="C28" s="17" t="s">
        <v>916</v>
      </c>
      <c r="D28" s="12" t="s">
        <v>891</v>
      </c>
      <c r="E28" s="175" t="n">
        <v>0.0</v>
      </c>
      <c r="F28" s="175" t="n">
        <v>0.0</v>
      </c>
      <c r="G28" s="175" t="n">
        <v>0.0</v>
      </c>
      <c r="H28" s="175" t="n">
        <v>0.0</v>
      </c>
      <c r="I28" s="175" t="n">
        <v>0.0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884</v>
      </c>
      <c r="C29" s="17" t="s">
        <v>917</v>
      </c>
      <c r="D29" s="12" t="s">
        <v>891</v>
      </c>
      <c r="E29" s="179" t="n">
        <v>0.0</v>
      </c>
      <c r="F29" s="179" t="n">
        <v>0.0</v>
      </c>
      <c r="G29" s="179" t="n">
        <v>0.0</v>
      </c>
      <c r="H29" s="179" t="n">
        <v>0.0</v>
      </c>
      <c r="I29" s="179" t="n">
        <v>0.0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884</v>
      </c>
      <c r="C30" s="17" t="s">
        <v>918</v>
      </c>
      <c r="D30" s="12" t="s">
        <v>891</v>
      </c>
      <c r="E30" s="183" t="n">
        <v>0.0</v>
      </c>
      <c r="F30" s="183" t="n">
        <v>0.0</v>
      </c>
      <c r="G30" s="183" t="n">
        <v>0.0</v>
      </c>
      <c r="H30" s="183" t="n">
        <v>0.0</v>
      </c>
      <c r="I30" s="183" t="n">
        <v>0.0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884</v>
      </c>
      <c r="C31" s="17" t="s">
        <v>919</v>
      </c>
      <c r="D31" s="12" t="s">
        <v>891</v>
      </c>
      <c r="E31" s="187" t="n">
        <v>0.0</v>
      </c>
      <c r="F31" s="187" t="n">
        <v>0.0</v>
      </c>
      <c r="G31" s="187" t="n">
        <v>0.0</v>
      </c>
      <c r="H31" s="187" t="n">
        <v>0.0</v>
      </c>
      <c r="I31" s="187" t="n">
        <v>0.0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884</v>
      </c>
      <c r="C32" s="17" t="s">
        <v>920</v>
      </c>
      <c r="D32" s="12" t="s">
        <v>891</v>
      </c>
      <c r="E32" s="191" t="n">
        <v>0.0</v>
      </c>
      <c r="F32" s="191" t="n">
        <v>0.0</v>
      </c>
      <c r="G32" s="191" t="n">
        <v>0.0</v>
      </c>
      <c r="H32" s="191" t="n">
        <v>0.0</v>
      </c>
      <c r="I32" s="191" t="n">
        <v>0.0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884</v>
      </c>
      <c r="C33" s="17" t="s">
        <v>921</v>
      </c>
      <c r="D33" s="12" t="s">
        <v>891</v>
      </c>
      <c r="E33" s="195" t="n">
        <v>0.0</v>
      </c>
      <c r="F33" s="195" t="n">
        <v>0.0</v>
      </c>
      <c r="G33" s="195" t="n">
        <v>0.0</v>
      </c>
      <c r="H33" s="195" t="n">
        <v>0.0</v>
      </c>
      <c r="I33" s="195" t="n">
        <v>0.0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884</v>
      </c>
      <c r="C34" s="17" t="s">
        <v>922</v>
      </c>
      <c r="D34" s="12" t="s">
        <v>891</v>
      </c>
      <c r="E34" s="199" t="n">
        <v>0.0</v>
      </c>
      <c r="F34" s="199" t="n">
        <v>0.0</v>
      </c>
      <c r="G34" s="199" t="n">
        <v>0.0</v>
      </c>
      <c r="H34" s="199" t="n">
        <v>0.0</v>
      </c>
      <c r="I34" s="199" t="n">
        <v>0.0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884</v>
      </c>
      <c r="C35" s="17" t="s">
        <v>923</v>
      </c>
      <c r="D35" s="12" t="s">
        <v>891</v>
      </c>
      <c r="E35" s="203" t="n">
        <v>2.93</v>
      </c>
      <c r="F35" s="203" t="n">
        <v>2.9</v>
      </c>
      <c r="G35" s="203" t="n">
        <v>2.76</v>
      </c>
      <c r="H35" s="203" t="n">
        <v>2.88</v>
      </c>
      <c r="I35" s="203" t="n">
        <v>2.87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884</v>
      </c>
      <c r="C36" s="17" t="s">
        <v>924</v>
      </c>
      <c r="D36" s="12" t="s">
        <v>891</v>
      </c>
      <c r="E36" s="207" t="n">
        <v>2.93</v>
      </c>
      <c r="F36" s="207" t="n">
        <v>2.9</v>
      </c>
      <c r="G36" s="207" t="n">
        <v>2.76</v>
      </c>
      <c r="H36" s="207" t="n">
        <v>2.88</v>
      </c>
      <c r="I36" s="207" t="n">
        <v>2.87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884</v>
      </c>
      <c r="C37" s="17" t="s">
        <v>925</v>
      </c>
      <c r="D37" s="12" t="s">
        <v>891</v>
      </c>
      <c r="E37" s="211" t="n">
        <v>2.93</v>
      </c>
      <c r="F37" s="211" t="n">
        <v>2.9</v>
      </c>
      <c r="G37" s="211" t="n">
        <v>2.76</v>
      </c>
      <c r="H37" s="211" t="n">
        <v>2.88</v>
      </c>
      <c r="I37" s="211" t="n">
        <v>2.87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884</v>
      </c>
      <c r="C38" s="17" t="s">
        <v>926</v>
      </c>
      <c r="D38" s="12" t="s">
        <v>891</v>
      </c>
      <c r="E38" s="215" t="n">
        <v>2.93</v>
      </c>
      <c r="F38" s="215" t="n">
        <v>2.9</v>
      </c>
      <c r="G38" s="215" t="n">
        <v>2.76</v>
      </c>
      <c r="H38" s="215" t="n">
        <v>2.88</v>
      </c>
      <c r="I38" s="215" t="n">
        <v>2.87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884</v>
      </c>
      <c r="C39" s="17" t="s">
        <v>927</v>
      </c>
      <c r="D39" s="12" t="s">
        <v>928</v>
      </c>
      <c r="E39" s="220" t="n">
        <v>0.0</v>
      </c>
      <c r="F39" s="220" t="n">
        <v>0.0</v>
      </c>
      <c r="G39" s="220" t="n">
        <v>0.0</v>
      </c>
      <c r="H39" s="220" t="n">
        <v>0.0</v>
      </c>
      <c r="I39" s="220" t="n">
        <v>0.0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884</v>
      </c>
      <c r="C40" s="17" t="s">
        <v>929</v>
      </c>
      <c r="D40" s="12" t="s">
        <v>928</v>
      </c>
      <c r="E40" s="224" t="n">
        <v>1.0</v>
      </c>
      <c r="F40" s="224" t="n">
        <v>1.0</v>
      </c>
      <c r="G40" s="224" t="n">
        <v>1.0</v>
      </c>
      <c r="H40" s="224" t="n">
        <v>1.0</v>
      </c>
      <c r="I40" s="224" t="n">
        <v>1.0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884</v>
      </c>
      <c r="C41" s="17" t="s">
        <v>930</v>
      </c>
      <c r="D41" s="12" t="s">
        <v>928</v>
      </c>
      <c r="E41" s="228" t="n">
        <v>0.0</v>
      </c>
      <c r="F41" s="228" t="n">
        <v>0.0</v>
      </c>
      <c r="G41" s="228" t="n">
        <v>0.0</v>
      </c>
      <c r="H41" s="228" t="n">
        <v>0.0</v>
      </c>
      <c r="I41" s="228" t="n">
        <v>0.0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884</v>
      </c>
      <c r="C42" s="17" t="s">
        <v>931</v>
      </c>
      <c r="D42" s="12" t="s">
        <v>928</v>
      </c>
      <c r="E42" s="232" t="n">
        <v>0.0</v>
      </c>
      <c r="F42" s="232" t="n">
        <v>0.0</v>
      </c>
      <c r="G42" s="232" t="n">
        <v>0.0</v>
      </c>
      <c r="H42" s="232" t="n">
        <v>0.0</v>
      </c>
      <c r="I42" s="232" t="n">
        <v>0.0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884</v>
      </c>
      <c r="C43" s="17" t="s">
        <v>932</v>
      </c>
      <c r="D43" s="12" t="s">
        <v>928</v>
      </c>
      <c r="E43" s="236" t="n">
        <v>0.0</v>
      </c>
      <c r="F43" s="236" t="n">
        <v>0.0</v>
      </c>
      <c r="G43" s="236" t="n">
        <v>0.0</v>
      </c>
      <c r="H43" s="236" t="n">
        <v>0.0</v>
      </c>
      <c r="I43" s="236" t="n">
        <v>0.0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884</v>
      </c>
      <c r="C44" s="17" t="s">
        <v>933</v>
      </c>
      <c r="D44" s="12" t="s">
        <v>928</v>
      </c>
      <c r="E44" s="240" t="n">
        <v>0.0</v>
      </c>
      <c r="F44" s="240" t="n">
        <v>0.0</v>
      </c>
      <c r="G44" s="240" t="n">
        <v>0.0</v>
      </c>
      <c r="H44" s="240" t="n">
        <v>0.0</v>
      </c>
      <c r="I44" s="240" t="n">
        <v>0.0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884</v>
      </c>
      <c r="C45" s="17" t="s">
        <v>934</v>
      </c>
      <c r="D45" s="12" t="s">
        <v>928</v>
      </c>
      <c r="E45" s="244" t="n">
        <v>0.0</v>
      </c>
      <c r="F45" s="244" t="n">
        <v>0.0</v>
      </c>
      <c r="G45" s="244" t="n">
        <v>0.0</v>
      </c>
      <c r="H45" s="244" t="n">
        <v>0.0</v>
      </c>
      <c r="I45" s="244" t="n">
        <v>0.0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884</v>
      </c>
      <c r="C46" s="17" t="s">
        <v>935</v>
      </c>
      <c r="D46" s="12" t="s">
        <v>928</v>
      </c>
      <c r="E46" s="248" t="n">
        <v>0.0</v>
      </c>
      <c r="F46" s="248" t="n">
        <v>0.0</v>
      </c>
      <c r="G46" s="248" t="n">
        <v>0.0</v>
      </c>
      <c r="H46" s="248" t="n">
        <v>0.0</v>
      </c>
      <c r="I46" s="248" t="n">
        <v>0.0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884</v>
      </c>
      <c r="C47" s="17" t="s">
        <v>936</v>
      </c>
      <c r="D47" s="12" t="s">
        <v>928</v>
      </c>
      <c r="E47" s="252" t="n">
        <v>0.0</v>
      </c>
      <c r="F47" s="252" t="n">
        <v>0.0</v>
      </c>
      <c r="G47" s="252" t="n">
        <v>0.0</v>
      </c>
      <c r="H47" s="252" t="n">
        <v>0.0</v>
      </c>
      <c r="I47" s="252" t="n">
        <v>0.0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884</v>
      </c>
      <c r="C48" s="17" t="s">
        <v>937</v>
      </c>
      <c r="D48" s="12" t="s">
        <v>928</v>
      </c>
      <c r="E48" s="256" t="n">
        <v>0.0</v>
      </c>
      <c r="F48" s="256" t="n">
        <v>0.0</v>
      </c>
      <c r="G48" s="256" t="n">
        <v>0.0</v>
      </c>
      <c r="H48" s="256" t="n">
        <v>0.0</v>
      </c>
      <c r="I48" s="256" t="n">
        <v>0.0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884</v>
      </c>
      <c r="C49" s="17" t="s">
        <v>938</v>
      </c>
      <c r="D49" s="12" t="s">
        <v>928</v>
      </c>
      <c r="E49" s="260" t="n">
        <v>0.0</v>
      </c>
      <c r="F49" s="260" t="n">
        <v>0.0</v>
      </c>
      <c r="G49" s="260" t="n">
        <v>0.0</v>
      </c>
      <c r="H49" s="260" t="n">
        <v>0.0</v>
      </c>
      <c r="I49" s="260" t="n">
        <v>0.0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884</v>
      </c>
      <c r="C50" s="17" t="s">
        <v>939</v>
      </c>
      <c r="D50" s="12" t="s">
        <v>928</v>
      </c>
      <c r="E50" s="264" t="n">
        <v>0.0</v>
      </c>
      <c r="F50" s="264" t="n">
        <v>0.0</v>
      </c>
      <c r="G50" s="264" t="n">
        <v>0.0</v>
      </c>
      <c r="H50" s="264" t="n">
        <v>0.0</v>
      </c>
      <c r="I50" s="264" t="n">
        <v>0.0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884</v>
      </c>
      <c r="C51" s="17" t="s">
        <v>940</v>
      </c>
      <c r="D51" s="12" t="s">
        <v>928</v>
      </c>
      <c r="E51" s="268" t="n">
        <v>0.0</v>
      </c>
      <c r="F51" s="268" t="n">
        <v>0.0</v>
      </c>
      <c r="G51" s="268" t="n">
        <v>0.0</v>
      </c>
      <c r="H51" s="268" t="n">
        <v>0.0</v>
      </c>
      <c r="I51" s="268" t="n">
        <v>0.0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884</v>
      </c>
      <c r="C52" s="17" t="s">
        <v>941</v>
      </c>
      <c r="D52" s="12" t="s">
        <v>928</v>
      </c>
      <c r="E52" s="272" t="n">
        <v>0.0</v>
      </c>
      <c r="F52" s="272" t="n">
        <v>0.0</v>
      </c>
      <c r="G52" s="272" t="n">
        <v>0.0</v>
      </c>
      <c r="H52" s="272" t="n">
        <v>0.0</v>
      </c>
      <c r="I52" s="272" t="n">
        <v>0.0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884</v>
      </c>
      <c r="C53" s="17" t="s">
        <v>942</v>
      </c>
      <c r="D53" s="12" t="s">
        <v>928</v>
      </c>
      <c r="E53" s="276" t="n">
        <v>0.0</v>
      </c>
      <c r="F53" s="276" t="n">
        <v>0.0</v>
      </c>
      <c r="G53" s="276" t="n">
        <v>0.0</v>
      </c>
      <c r="H53" s="276" t="n">
        <v>0.0</v>
      </c>
      <c r="I53" s="276" t="n">
        <v>0.0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884</v>
      </c>
      <c r="C54" s="17" t="s">
        <v>943</v>
      </c>
      <c r="D54" s="12" t="s">
        <v>928</v>
      </c>
      <c r="E54" s="280" t="n">
        <v>0.0</v>
      </c>
      <c r="F54" s="280" t="n">
        <v>0.0</v>
      </c>
      <c r="G54" s="280" t="n">
        <v>0.0</v>
      </c>
      <c r="H54" s="280" t="n">
        <v>0.0</v>
      </c>
      <c r="I54" s="280" t="n">
        <v>0.0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884</v>
      </c>
      <c r="C55" s="17" t="s">
        <v>944</v>
      </c>
      <c r="D55" s="12" t="s">
        <v>928</v>
      </c>
      <c r="E55" s="284" t="n">
        <v>0.0</v>
      </c>
      <c r="F55" s="284" t="n">
        <v>0.0</v>
      </c>
      <c r="G55" s="284" t="n">
        <v>0.0</v>
      </c>
      <c r="H55" s="284" t="n">
        <v>0.0</v>
      </c>
      <c r="I55" s="284" t="n">
        <v>0.0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884</v>
      </c>
      <c r="C56" s="17" t="s">
        <v>945</v>
      </c>
      <c r="D56" s="12" t="s">
        <v>928</v>
      </c>
      <c r="E56" s="288" t="n">
        <v>0.0</v>
      </c>
      <c r="F56" s="288" t="n">
        <v>0.0</v>
      </c>
      <c r="G56" s="288" t="n">
        <v>0.0</v>
      </c>
      <c r="H56" s="288" t="n">
        <v>0.0</v>
      </c>
      <c r="I56" s="288" t="n">
        <v>0.0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884</v>
      </c>
      <c r="C57" s="17" t="s">
        <v>946</v>
      </c>
      <c r="D57" s="12" t="s">
        <v>928</v>
      </c>
      <c r="E57" s="292" t="n">
        <v>0.0</v>
      </c>
      <c r="F57" s="292" t="n">
        <v>0.0</v>
      </c>
      <c r="G57" s="292" t="n">
        <v>0.0</v>
      </c>
      <c r="H57" s="292" t="n">
        <v>0.0</v>
      </c>
      <c r="I57" s="292" t="n">
        <v>0.0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884</v>
      </c>
      <c r="C58" s="17" t="s">
        <v>947</v>
      </c>
      <c r="D58" s="12" t="s">
        <v>928</v>
      </c>
      <c r="E58" s="296" t="n">
        <v>0.0</v>
      </c>
      <c r="F58" s="296" t="n">
        <v>0.0</v>
      </c>
      <c r="G58" s="296" t="n">
        <v>0.0</v>
      </c>
      <c r="H58" s="296" t="n">
        <v>0.0</v>
      </c>
      <c r="I58" s="296" t="n">
        <v>0.0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884</v>
      </c>
      <c r="C59" s="17" t="s">
        <v>948</v>
      </c>
      <c r="D59" s="12" t="s">
        <v>928</v>
      </c>
      <c r="E59" s="300" t="n">
        <v>1.0</v>
      </c>
      <c r="F59" s="300" t="n">
        <v>1.0</v>
      </c>
      <c r="G59" s="300" t="n">
        <v>1.0</v>
      </c>
      <c r="H59" s="300" t="n">
        <v>1.0</v>
      </c>
      <c r="I59" s="300" t="n">
        <v>1.0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884</v>
      </c>
      <c r="C60" s="17" t="s">
        <v>949</v>
      </c>
      <c r="D60" s="12" t="s">
        <v>928</v>
      </c>
      <c r="E60" s="304" t="n">
        <v>0.0</v>
      </c>
      <c r="F60" s="304" t="n">
        <v>0.0</v>
      </c>
      <c r="G60" s="304" t="n">
        <v>0.0</v>
      </c>
      <c r="H60" s="304" t="n">
        <v>0.0</v>
      </c>
      <c r="I60" s="304" t="n">
        <v>0.0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884</v>
      </c>
      <c r="C61" s="17" t="s">
        <v>950</v>
      </c>
      <c r="D61" s="12" t="s">
        <v>928</v>
      </c>
      <c r="E61" s="308" t="n">
        <v>0.0</v>
      </c>
      <c r="F61" s="308" t="n">
        <v>0.0</v>
      </c>
      <c r="G61" s="308" t="n">
        <v>0.0</v>
      </c>
      <c r="H61" s="308" t="n">
        <v>0.0</v>
      </c>
      <c r="I61" s="308" t="n">
        <v>0.0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884</v>
      </c>
      <c r="C62" s="17" t="s">
        <v>951</v>
      </c>
      <c r="D62" s="12" t="s">
        <v>928</v>
      </c>
      <c r="E62" s="312" t="n">
        <v>0.0</v>
      </c>
      <c r="F62" s="312" t="n">
        <v>0.0</v>
      </c>
      <c r="G62" s="312" t="n">
        <v>0.0</v>
      </c>
      <c r="H62" s="312" t="n">
        <v>0.0</v>
      </c>
      <c r="I62" s="312" t="n">
        <v>0.0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>
      <c r="B63" s="17" t="s">
        <v>884</v>
      </c>
      <c r="C63" s="17" t="s">
        <v>952</v>
      </c>
      <c r="D63" s="12" t="s">
        <v>928</v>
      </c>
      <c r="E63" s="316" t="n">
        <v>0.0</v>
      </c>
      <c r="F63" s="316" t="n">
        <v>0.0</v>
      </c>
      <c r="G63" s="316" t="n">
        <v>0.0</v>
      </c>
      <c r="H63" s="316" t="n">
        <v>0.0</v>
      </c>
      <c r="I63" s="316" t="n">
        <v>0.0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>
      <c r="B64" s="17" t="s">
        <v>884</v>
      </c>
      <c r="C64" s="17" t="s">
        <v>953</v>
      </c>
      <c r="D64" s="12" t="s">
        <v>928</v>
      </c>
      <c r="E64" s="320" t="n">
        <v>0.0</v>
      </c>
      <c r="F64" s="320" t="n">
        <v>0.0</v>
      </c>
      <c r="G64" s="320" t="n">
        <v>0.0</v>
      </c>
      <c r="H64" s="320" t="n">
        <v>0.0</v>
      </c>
      <c r="I64" s="320" t="n">
        <v>0.0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>
      <c r="B65" s="17" t="s">
        <v>884</v>
      </c>
      <c r="C65" s="17" t="s">
        <v>954</v>
      </c>
      <c r="D65" s="12" t="s">
        <v>928</v>
      </c>
      <c r="E65" s="324" t="n">
        <v>0.0</v>
      </c>
      <c r="F65" s="324" t="n">
        <v>0.0</v>
      </c>
      <c r="G65" s="324" t="n">
        <v>0.0</v>
      </c>
      <c r="H65" s="324" t="n">
        <v>0.0</v>
      </c>
      <c r="I65" s="324" t="n">
        <v>0.0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>
      <c r="B66" s="17" t="s">
        <v>884</v>
      </c>
      <c r="C66" s="17" t="s">
        <v>955</v>
      </c>
      <c r="D66" s="12" t="s">
        <v>928</v>
      </c>
      <c r="E66" s="328" t="n">
        <v>0.0</v>
      </c>
      <c r="F66" s="328" t="n">
        <v>0.0</v>
      </c>
      <c r="G66" s="328" t="n">
        <v>0.0</v>
      </c>
      <c r="H66" s="328" t="n">
        <v>0.0</v>
      </c>
      <c r="I66" s="328" t="n">
        <v>0.0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>
      <c r="B67" s="17" t="s">
        <v>884</v>
      </c>
      <c r="C67" s="17" t="s">
        <v>956</v>
      </c>
      <c r="D67" s="12" t="s">
        <v>928</v>
      </c>
      <c r="E67" s="332" t="n">
        <v>0.0</v>
      </c>
      <c r="F67" s="332" t="n">
        <v>0.0</v>
      </c>
      <c r="G67" s="332" t="n">
        <v>0.0</v>
      </c>
      <c r="H67" s="332" t="n">
        <v>0.0</v>
      </c>
      <c r="I67" s="332" t="n">
        <v>0.0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>
      <c r="B68" s="17" t="s">
        <v>884</v>
      </c>
      <c r="C68" s="17" t="s">
        <v>957</v>
      </c>
      <c r="D68" s="12" t="s">
        <v>928</v>
      </c>
      <c r="E68" s="336" t="n">
        <v>0.0</v>
      </c>
      <c r="F68" s="336" t="n">
        <v>0.0</v>
      </c>
      <c r="G68" s="336" t="n">
        <v>0.0</v>
      </c>
      <c r="H68" s="336" t="n">
        <v>0.0</v>
      </c>
      <c r="I68" s="336" t="n">
        <v>0.0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>
      <c r="B69" s="17" t="s">
        <v>884</v>
      </c>
      <c r="C69" s="17" t="s">
        <v>958</v>
      </c>
      <c r="D69" s="12" t="s">
        <v>928</v>
      </c>
      <c r="E69" s="340" t="n">
        <v>0.0</v>
      </c>
      <c r="F69" s="340" t="n">
        <v>0.0</v>
      </c>
      <c r="G69" s="340" t="n">
        <v>0.0</v>
      </c>
      <c r="H69" s="340" t="n">
        <v>0.0</v>
      </c>
      <c r="I69" s="340" t="n">
        <v>0.0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>
      <c r="B70" s="17" t="s">
        <v>884</v>
      </c>
      <c r="C70" s="17" t="s">
        <v>959</v>
      </c>
      <c r="D70" s="12" t="s">
        <v>928</v>
      </c>
      <c r="E70" s="344" t="n">
        <v>0.0</v>
      </c>
      <c r="F70" s="344" t="n">
        <v>0.0</v>
      </c>
      <c r="G70" s="344" t="n">
        <v>0.0</v>
      </c>
      <c r="H70" s="344" t="n">
        <v>0.0</v>
      </c>
      <c r="I70" s="344" t="n">
        <v>0.0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>
      <c r="B71" s="17" t="s">
        <v>884</v>
      </c>
      <c r="C71" s="17" t="s">
        <v>960</v>
      </c>
      <c r="D71" s="12" t="s">
        <v>928</v>
      </c>
      <c r="E71" s="348" t="n">
        <v>1.0</v>
      </c>
      <c r="F71" s="348" t="n">
        <v>1.0</v>
      </c>
      <c r="G71" s="348" t="n">
        <v>1.0</v>
      </c>
      <c r="H71" s="348" t="n">
        <v>1.0</v>
      </c>
      <c r="I71" s="348" t="n">
        <v>1.0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>
      <c r="B72" s="17" t="s">
        <v>884</v>
      </c>
      <c r="C72" s="17" t="s">
        <v>961</v>
      </c>
      <c r="D72" s="12" t="s">
        <v>928</v>
      </c>
      <c r="E72" s="352" t="n">
        <v>1.0</v>
      </c>
      <c r="F72" s="352" t="n">
        <v>1.0</v>
      </c>
      <c r="G72" s="352" t="n">
        <v>1.0</v>
      </c>
      <c r="H72" s="352" t="n">
        <v>1.0</v>
      </c>
      <c r="I72" s="352" t="n">
        <v>1.0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>
      <c r="B73" s="17" t="s">
        <v>884</v>
      </c>
      <c r="C73" s="17" t="s">
        <v>962</v>
      </c>
      <c r="D73" s="12" t="s">
        <v>928</v>
      </c>
      <c r="E73" s="356" t="n">
        <v>1.0</v>
      </c>
      <c r="F73" s="356" t="n">
        <v>1.0</v>
      </c>
      <c r="G73" s="356" t="n">
        <v>1.0</v>
      </c>
      <c r="H73" s="356" t="n">
        <v>1.0</v>
      </c>
      <c r="I73" s="356" t="n">
        <v>1.0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>
      <c r="B74" s="17" t="s">
        <v>884</v>
      </c>
      <c r="C74" s="17" t="s">
        <v>963</v>
      </c>
      <c r="D74" s="12" t="s">
        <v>928</v>
      </c>
      <c r="E74" s="360" t="n">
        <v>1.0</v>
      </c>
      <c r="F74" s="360" t="n">
        <v>1.0</v>
      </c>
      <c r="G74" s="360" t="n">
        <v>1.0</v>
      </c>
      <c r="H74" s="360" t="n">
        <v>1.0</v>
      </c>
      <c r="I74" s="360" t="n">
        <v>1.0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>
      <c r="B75" s="17" t="s">
        <v>884</v>
      </c>
      <c r="C75" s="17" t="s">
        <v>964</v>
      </c>
      <c r="D75" s="12" t="s">
        <v>928</v>
      </c>
      <c r="E75" s="364" t="n">
        <v>1.0</v>
      </c>
      <c r="F75" s="364" t="n">
        <v>1.0</v>
      </c>
      <c r="G75" s="364" t="n">
        <v>1.0</v>
      </c>
      <c r="H75" s="364" t="n">
        <v>1.0</v>
      </c>
      <c r="I75" s="364" t="n">
        <v>1.0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>
      <c r="B76" s="17" t="s">
        <v>884</v>
      </c>
      <c r="C76" s="17" t="s">
        <v>965</v>
      </c>
      <c r="D76" s="12" t="s">
        <v>966</v>
      </c>
      <c r="E76" s="368" t="n">
        <v>3409.0</v>
      </c>
      <c r="F76" s="368" t="n">
        <v>3453.0</v>
      </c>
      <c r="G76" s="368" t="n">
        <v>3623.0</v>
      </c>
      <c r="H76" s="368" t="n">
        <v>3476.0</v>
      </c>
      <c r="I76" s="368" t="n">
        <v>3489.0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（出典）厚生労働省「地域包括支援センター運営状況調査」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