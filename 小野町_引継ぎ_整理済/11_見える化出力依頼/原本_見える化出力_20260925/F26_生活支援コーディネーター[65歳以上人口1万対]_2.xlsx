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<sst xmlns="http://schemas.openxmlformats.org/spreadsheetml/2006/main" count="1067" uniqueCount="797">
  <si>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</si>
  <si>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</si>
  <si>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</si>
  <si>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</si>
  <si>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</si>
  <si>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</si>
  <si>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</si>
  <si>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</si>
  <si>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</si>
  <si>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</si>
  <si>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</si>
  <si>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</si>
  <si>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</si>
  <si>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</si>
  <si>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</si>
  <si>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</si>
  <si>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</si>
  <si>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</si>
  <si>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</si>
  <si>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</si>
  <si>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</si>
  <si>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</si>
  <si>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</si>
  <si>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</si>
  <si>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</si>
  <si>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</si>
  <si>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</si>
  <si>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</si>
  <si>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</si>
  <si>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</si>
  <si>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</si>
  <si>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</si>
  <si>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</si>
  <si>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</si>
  <si>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</si>
  <si>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</si>
  <si>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</si>
  <si>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</si>
  <si>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</si>
  <si>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</si>
  <si>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</si>
  <si>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</si>
  <si>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</si>
  <si>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</si>
  <si>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</si>
  <si>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</si>
  <si>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</si>
  <si>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</si>
  <si>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</si>
  <si>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</si>
  <si>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</si>
  <si>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</si>
  <si>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</si>
  <si>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</si>
  <si>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</si>
  <si>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</si>
  <si>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</si>
  <si>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</si>
  <si>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</si>
  <si>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</si>
  <si>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</si>
  <si>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</si>
  <si>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</si>
  <si>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</si>
  <si>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</si>
  <si>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</si>
  <si>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</si>
  <si>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</si>
  <si>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</si>
  <si>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</si>
  <si>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</si>
  <si>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</si>
  <si>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</si>
  <si>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</si>
  <si>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</si>
  <si>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</si>
  <si>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</si>
  <si>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</si>
  <si>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</si>
  <si>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</si>
  <si>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</si>
  <si>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</si>
  <si>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</si>
  <si>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</si>
  <si>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</si>
  <si>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</si>
  <si>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</si>
  <si>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</si>
  <si>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</si>
  <si>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</si>
  <si>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</si>
  <si>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</si>
  <si>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</si>
  <si>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</si>
  <si>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</si>
  <si>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</si>
  <si>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</si>
  <si>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</si>
  <si>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</si>
  <si>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</si>
  <si>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</si>
  <si>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</si>
  <si>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</si>
  <si>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</si>
  <si>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</si>
  <si>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</si>
  <si>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</si>
  <si>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</si>
  <si>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</si>
  <si>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</si>
  <si>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</si>
  <si>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</si>
  <si>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</si>
  <si>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</si>
  <si>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</si>
  <si>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</si>
  <si>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</si>
  <si>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</si>
  <si>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</si>
  <si>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</si>
  <si>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</si>
  <si>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</si>
  <si>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</si>
  <si>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</si>
  <si>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</si>
  <si>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</si>
  <si>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</si>
  <si>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</si>
  <si>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</si>
  <si>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</si>
  <si>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</si>
  <si>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</si>
  <si>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</si>
  <si>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</si>
  <si>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</si>
  <si>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</si>
  <si>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</si>
  <si>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</si>
  <si>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</si>
  <si>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</si>
  <si>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</si>
  <si>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</si>
  <si>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</si>
  <si>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</si>
  <si>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</si>
  <si>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</si>
  <si>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</si>
  <si>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</si>
  <si>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</si>
  <si>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</si>
  <si>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</si>
  <si>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</si>
  <si>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</si>
  <si>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</si>
  <si>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</si>
  <si>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</si>
  <si>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</si>
  <si>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</si>
  <si>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</si>
  <si>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</si>
  <si>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</si>
  <si>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</si>
  <si>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</si>
  <si>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</si>
  <si>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</si>
  <si>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</si>
  <si>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</si>
  <si>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</si>
  <si>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</si>
  <si>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</si>
  <si>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</si>
  <si>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</si>
  <si>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</si>
  <si>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</si>
  <si>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</si>
  <si>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</si>
  <si>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</si>
  <si>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</si>
  <si>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</si>
  <si>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</si>
  <si>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</si>
  <si>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</si>
  <si>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</si>
  <si>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</si>
  <si>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</si>
  <si>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</si>
  <si>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</si>
  <si>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</si>
  <si>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</si>
  <si>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</si>
  <si>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</si>
  <si>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</si>
  <si>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</si>
  <si>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</si>
  <si>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</si>
  <si>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</si>
  <si>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</si>
  <si>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</si>
  <si>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</si>
  <si>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</si>
  <si>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</si>
  <si>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</si>
  <si>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</si>
  <si>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</si>
  <si>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</si>
  <si>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</si>
  <si>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</si>
  <si>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</si>
  <si>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</si>
  <si>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</si>
  <si>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</si>
  <si>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</si>
  <si>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</si>
  <si>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</si>
  <si>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</si>
  <si>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</si>
  <si>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</si>
  <si>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</si>
  <si>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</si>
  <si>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</si>
  <si>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</si>
  <si>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</si>
  <si>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</si>
  <si>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</si>
  <si>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</si>
  <si>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</si>
  <si>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</si>
  <si>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</si>
  <si>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</si>
  <si>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</si>
  <si>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</si>
  <si>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</si>
  <si>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</si>
  <si>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</si>
  <si>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</si>
  <si>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</si>
  <si>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</si>
  <si>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</si>
  <si>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</si>
  <si>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</si>
  <si>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</si>
  <si>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</si>
  <si>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</si>
  <si>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</si>
  <si>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</si>
  <si>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</si>
  <si>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</si>
  <si>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</si>
  <si>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</si>
  <si>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</si>
  <si>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</si>
  <si>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</si>
  <si>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</si>
  <si>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</si>
  <si>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</si>
  <si>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</si>
  <si>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</si>
  <si>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</si>
  <si>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</si>
  <si>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</si>
  <si>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</si>
  <si>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</si>
  <si>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</si>
  <si>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</si>
  <si>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</si>
  <si>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</si>
  <si>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</si>
  <si>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</si>
  <si>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</si>
  <si>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</si>
  <si>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</si>
  <si>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</si>
  <si>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</si>
  <si>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</si>
  <si>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</si>
  <si>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</si>
  <si>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</si>
  <si>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</si>
  <si>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</si>
  <si>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</si>
  <si>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</si>
  <si>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</si>
  <si>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</si>
  <si>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</si>
  <si>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</si>
  <si>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</si>
  <si>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</si>
  <si>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</si>
  <si>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</si>
  <si>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</si>
  <si>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</si>
  <si>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</si>
  <si>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</si>
  <si>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</si>
  <si>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</si>
  <si>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</si>
  <si>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</si>
  <si>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</si>
  <si>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</si>
  <si>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</si>
  <si>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</si>
  <si>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</si>
  <si>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</si>
  <si>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</si>
  <si>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</si>
  <si>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</si>
  <si>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</si>
  <si>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</si>
  <si>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</si>
  <si>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</si>
  <si>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</si>
  <si>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</si>
  <si>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</si>
  <si>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</si>
  <si>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</si>
  <si>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</si>
  <si>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</si>
  <si>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</si>
  <si>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</si>
  <si>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</si>
  <si>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</si>
  <si>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</si>
  <si>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</si>
  <si>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</si>
  <si>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</si>
  <si>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</si>
  <si>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</si>
  <si>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</si>
  <si>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</si>
  <si>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</si>
  <si>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</si>
  <si>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</si>
  <si>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</si>
  <si>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</si>
  <si>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</si>
  <si>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</si>
  <si>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</si>
  <si>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</si>
  <si>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</si>
  <si>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</si>
  <si>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</si>
  <si>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</si>
  <si>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</si>
  <si>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</si>
  <si>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</si>
  <si>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</si>
  <si>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</si>
  <si>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</si>
  <si>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</si>
  <si>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</si>
  <si>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</si>
  <si>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</si>
  <si>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</si>
  <si>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</si>
  <si>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</si>
  <si>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</si>
  <si>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</si>
  <si>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</si>
  <si>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</si>
  <si>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</si>
  <si>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</si>
  <si>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</si>
  <si>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</si>
  <si>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</si>
  <si>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</si>
  <si>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</si>
  <si>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</si>
  <si>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</si>
  <si>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</si>
  <si>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</si>
  <si>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</si>
  <si>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</si>
  <si>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</si>
  <si>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</si>
  <si>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</si>
  <si>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</si>
  <si>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</si>
  <si>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</si>
  <si>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</si>
  <si>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</si>
  <si>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</si>
  <si>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</si>
  <si>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</si>
  <si>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</si>
  <si>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</si>
  <si>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</si>
  <si>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</si>
  <si>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</si>
  <si>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</si>
  <si>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</si>
  <si>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</si>
  <si>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</si>
  <si>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</si>
  <si>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</si>
  <si>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</si>
  <si>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</si>
  <si>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</si>
  <si>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</si>
  <si>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</si>
  <si>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</si>
  <si>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</si>
  <si>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</si>
  <si>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</si>
  <si>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</si>
  <si>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</si>
  <si>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</si>
  <si>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</si>
  <si>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</si>
  <si>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</si>
  <si>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</si>
  <si>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</si>
  <si>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</si>
  <si>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</si>
  <si>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</si>
  <si>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</si>
  <si>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</si>
  <si>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</si>
  <si>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</si>
  <si>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</si>
  <si>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</si>
  <si>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</si>
  <si>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</si>
  <si>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</si>
  <si>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</si>
  <si>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</si>
  <si>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</si>
  <si>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</si>
  <si>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</si>
  <si>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</si>
  <si>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</si>
  <si>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</si>
  <si>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</si>
  <si>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</si>
  <si>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</si>
  <si>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</si>
  <si>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</si>
  <si>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</si>
  <si>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</si>
  <si>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</si>
  <si>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</si>
  <si>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</si>
  <si>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</si>
  <si>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</si>
  <si>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</si>
  <si>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</si>
  <si>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</si>
  <si>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</si>
  <si>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</si>
  <si>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</si>
  <si>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</si>
  <si>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</si>
  <si>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</si>
  <si>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</si>
  <si>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</si>
  <si>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</si>
  <si>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</si>
  <si>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</si>
  <si>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</si>
  <si>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</si>
  <si>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</si>
  <si>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</si>
  <si>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</si>
  <si>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</si>
  <si>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</si>
  <si>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</si>
  <si>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</si>
  <si>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</si>
  <si>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</si>
  <si>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</si>
  <si>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</si>
  <si>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</si>
  <si>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</si>
  <si>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</si>
  <si>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</si>
  <si>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</si>
  <si>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</si>
  <si>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</si>
  <si>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</si>
  <si>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</si>
  <si>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</si>
  <si>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</si>
  <si>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</si>
  <si>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</si>
  <si>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</si>
  <si>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</si>
  <si>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</si>
  <si>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</si>
  <si>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</si>
  <si>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</si>
  <si>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</si>
  <si>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</si>
  <si>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</si>
  <si>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</si>
  <si>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</si>
  <si>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</si>
  <si>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</si>
  <si>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</si>
  <si>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</si>
  <si>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</si>
  <si>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</si>
  <si>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</si>
  <si>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</si>
  <si>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</si>
  <si>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</si>
  <si>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</si>
  <si>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</si>
  <si>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</si>
  <si>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</si>
  <si>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</si>
  <si>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</si>
  <si>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</si>
  <si>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</si>
  <si>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</si>
  <si>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</si>
  <si>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</si>
  <si>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</si>
  <si>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</si>
  <si>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</si>
  <si>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</si>
  <si>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</si>
  <si>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</si>
  <si>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</si>
  <si>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</si>
  <si>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</si>
  <si>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</si>
  <si>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</si>
  <si>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</si>
  <si>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</si>
  <si>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</si>
  <si>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</si>
  <si>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</si>
  <si>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</si>
  <si>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</si>
  <si>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</si>
  <si>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</si>
  <si>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</si>
  <si>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</si>
  <si>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</si>
  <si>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</si>
  <si>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</si>
  <si>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</si>
  <si>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</si>
  <si>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</si>
  <si>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</si>
  <si>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</si>
  <si>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</si>
  <si>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</si>
  <si>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</si>
  <si>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</si>
  <si>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</si>
  <si>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</si>
  <si>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</si>
  <si>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</si>
  <si>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</si>
  <si>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</si>
  <si>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</si>
  <si>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</si>
  <si>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</si>
  <si>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</si>
  <si>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</si>
  <si>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</si>
  <si>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</si>
  <si>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</si>
  <si>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</si>
  <si>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</si>
  <si>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</si>
  <si>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</si>
  <si>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</si>
  <si>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</si>
  <si>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</si>
  <si>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</si>
  <si>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</si>
  <si>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</si>
  <si>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</si>
  <si>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</si>
  <si>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</si>
  <si>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</si>
  <si>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</si>
  <si>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</si>
  <si>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</si>
  <si>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</si>
  <si>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</si>
  <si>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</si>
  <si>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</si>
  <si>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</si>
  <si>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</si>
  <si>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</si>
  <si>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</si>
  <si>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</si>
  <si>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</si>
  <si>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</si>
  <si>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</si>
  <si>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</si>
  <si>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</si>
  <si>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</si>
  <si>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</si>
  <si>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</si>
  <si>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</si>
  <si>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</si>
  <si>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</si>
  <si>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</si>
  <si>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</si>
  <si>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</si>
  <si>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</si>
  <si>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</si>
  <si>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</si>
  <si>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</si>
  <si>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</si>
  <si>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</si>
  <si>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</si>
  <si>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</si>
  <si>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</si>
  <si>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</si>
  <si>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</si>
  <si>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</si>
  <si>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</si>
  <si>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</si>
  <si>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</si>
  <si>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</si>
  <si>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</si>
  <si>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</si>
  <si>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</si>
  <si>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</si>
  <si>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</si>
  <si>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</si>
  <si>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</si>
  <si>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</si>
  <si>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</si>
  <si>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</si>
  <si>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</si>
  <si>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</si>
  <si>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</si>
  <si>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</si>
  <si>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</si>
  <si>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</si>
  <si>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</si>
  <si>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</si>
  <si>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</si>
  <si>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</si>
  <si>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</si>
  <si>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</si>
  <si>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</si>
  <si>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</si>
  <si>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</si>
  <si>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</si>
  <si>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</si>
  <si>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</si>
  <si>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</si>
  <si>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</si>
  <si>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</si>
  <si>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</si>
  <si>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</si>
  <si>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</si>
  <si>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</si>
  <si>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</si>
  <si>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</si>
  <si>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</si>
  <si>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</si>
  <si>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</si>
  <si>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</si>
  <si>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</si>
  <si>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</si>
  <si>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</si>
  <si>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</si>
  <si>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</si>
  <si>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</si>
  <si>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</si>
  <si>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</si>
  <si>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</si>
  <si>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</si>
  <si>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</si>
  <si>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</si>
  <si>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</si>
  <si>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</si>
  <si>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</si>
  <si>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</si>
  <si>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</si>
  <si>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</si>
  <si>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</si>
  <si>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</si>
  <si>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</si>
  <si>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</si>
  <si>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</si>
  <si>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</si>
  <si>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</si>
  <si>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</si>
  <si>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</si>
  <si>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</si>
  <si>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</si>
  <si>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</si>
  <si>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</si>
  <si>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</si>
  <si>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</si>
  <si>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</si>
  <si>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</si>
  <si>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</si>
  <si>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</si>
  <si>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</si>
  <si>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</si>
  <si>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</si>
  <si>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</si>
  <si>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</si>
  <si>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</si>
  <si>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</si>
  <si>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</si>
  <si>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</si>
  <si>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</si>
  <si>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</si>
  <si>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</si>
  <si>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</si>
  <si>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</si>
  <si>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</si>
  <si>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</si>
  <si>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</si>
  <si>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</si>
  <si>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</si>
  <si>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</si>
  <si>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</si>
  <si>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</si>
  <si>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</si>
  <si>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</si>
  <si>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</si>
  <si>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</si>
  <si>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</si>
  <si>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</si>
  <si>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</si>
  <si>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</si>
  <si>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</si>
  <si>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</si>
  <si>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</si>
  <si>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</si>
  <si>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</si>
  <si>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</si>
  <si>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</si>
  <si>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</si>
  <si>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</si>
  <si>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</si>
  <si>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</si>
  <si>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</si>
  <si>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</si>
  <si>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</si>
  <si>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</si>
  <si>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</si>
  <si>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</si>
  <si>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</si>
  <si>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</si>
  <si>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</si>
  <si>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</si>
  <si>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</si>
  <si>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</si>
  <si>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</si>
  <si>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</si>
  <si>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</si>
  <si>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</si>
  <si>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</si>
  <si>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</si>
  <si>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</si>
  <si>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</si>
  <si>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</si>
  <si>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</si>
  <si>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</si>
  <si>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</si>
  <si>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</si>
  <si>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</si>
  <si>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</si>
  <si>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</si>
  <si>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</si>
  <si>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</si>
  <si>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</si>
  <si>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</si>
  <si>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</si>
  <si>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</si>
  <si>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</si>
  <si>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</si>
  <si>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</si>
  <si>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</si>
  <si>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</si>
  <si>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</si>
  <si>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市町村圏域（第１層）</t>
  </si>
  <si>
    <t>日常生活圏域（中学校区域等）（第２層）</t>
  </si>
  <si>
    <t>生活支援コーディネーター</t>
  </si>
  <si>
    <t>令和2年(2020年)</t>
  </si>
  <si>
    <t>生活支援コーディネーターの配置人数</t>
  </si>
  <si>
    <t>人[65歳以上人口1万対]</t>
  </si>
  <si>
    <t>生活支援コーディネーター：厚生労働省「介護予防・日常生活支援総合事業等（地域支援事業）の実施状況に関する調査」、65歳以上人口：総務省「国勢調査」および国立社会保障・人口問題研究所「日本の地域別将来推計人口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</si>
  <si>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</si>
  <si>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</si>
  <si>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</si>
  <si>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生活支援コーディネーター（市町村圏域（第１層））[65歳以上人口1万対]</t>
  </si>
  <si>
    <t>（人[６５歳以上人口１万対]）</t>
  </si>
  <si>
    <t>生活支援コーディネーター（日常生活圏域（中学校区域等）（第２層））[65歳以上人口1万対]</t>
  </si>
  <si>
    <t>生活支援コーディネーター（総数）[65歳以上人口1万対]</t>
  </si>
  <si>
    <t>生活支援コーディネーター（市町村圏域（第１層））</t>
  </si>
  <si>
    <t>（人）</t>
  </si>
  <si>
    <t>生活支援コーディネーター（日常生活圏域（中学校区域等）（第２層））</t>
  </si>
  <si>
    <t>生活支援コーディネーター（総数）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</si>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</sst>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0" fontId="7" fillId="6" borderId="6" xfId="0" applyBorder="true" applyFont="true" applyFill="true">
      <alignment wrapText="true" vertical="center" horizontal="center"/>
    </xf>
    <xf numFmtId="0" fontId="7" fillId="0" borderId="6" xfId="0" applyBorder="true" applyFont="true"/>
    <xf numFmtId="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>
      <alignment vertical="center" horizontal="right"/>
    </xf>
    <xf numFmtId="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>
      <alignment vertical="center" horizontal="right"/>
    </xf>
    <xf numFmtId="4" fontId="10" fillId="0" borderId="6" xfId="0" applyBorder="true" applyFont="true" applyNumberFormat="true">
      <alignment shrinkToFit="true"/>
    </xf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>
      <alignment vertical="center" horizontal="right"/>
    </xf>
    <xf numFmtId="0" fontId="11" fillId="0" borderId="6" xfId="0" applyBorder="true" applyFont="true"/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>
      <alignment vertical="center" horizontal="right"/>
    </xf>
    <xf numFmtId="0" fontId="12" fillId="0" borderId="6" xfId="0" applyBorder="true" applyFont="true"/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>
      <alignment vertical="center" horizontal="right"/>
    </xf>
    <xf numFmtId="0" fontId="13" fillId="0" borderId="6" xfId="0" applyBorder="true" applyFont="true"/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>
      <alignment vertical="center" horizontal="right"/>
    </xf>
    <xf numFmtId="0" fontId="14" fillId="0" borderId="6" xfId="0" applyBorder="true" applyFont="true"/>
    <xf numFmtId="3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43.0351562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0.74</v>
      </c>
      <c r="D3" s="30" t="n">
        <v>1.35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1.84</v>
      </c>
      <c r="D4" s="34" t="n">
        <v>2.17</v>
      </c>
      <c r="E4" s="35" t="n">
        <v>0.0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5" t="s">
        <v>348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5" t="s">
        <v>349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5" t="s">
        <v>350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785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生活支援コーディネーター（令和2年(2020年)）</v>
      </c>
      <c r="B2" s="9" t="str">
        <f>"（時点）" &amp; D2</f>
        <v>（時点）令和2年(2020年)</v>
      </c>
      <c r="C2" s="10" t="s">
        <v>780</v>
      </c>
      <c r="D2" s="10" t="s">
        <v>781</v>
      </c>
      <c r="E2" s="10" t="s">
        <v>777</v>
      </c>
      <c r="F2" s="10" t="str">
        <f>G2 &amp; "（" &amp; H2 &amp; "）"</f>
        <v>生活支援コーディネーターの配置人数（人[65歳以上人口1万対]）</v>
      </c>
      <c r="G2" s="10" t="s">
        <v>782</v>
      </c>
      <c r="H2" s="10" t="s">
        <v>783</v>
      </c>
      <c r="I2" s="10" t="s">
        <v>784</v>
      </c>
      <c r="J2" s="9" t="str">
        <f>"（出典）" &amp; I2</f>
        <v>（出典）生活支援コーディネーター：厚生労働省「介護予防・日常生活支援総合事業等（地域支援事業）の実施状況に関する調査」、65歳以上人口：総務省「国勢調査」および国立社会保障・人口問題研究所「日本の地域別将来推計人口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95.26953125" collapsed="false"/>
    <col min="3" max="3" customWidth="true" style="13" width="31.7695312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786</v>
      </c>
    </row>
    <row r="2" spans="2:258" s="13" customFormat="1" x14ac:dyDescent="0.15">
      <c r="B2" s="11"/>
      <c r="C2" s="11"/>
      <c r="D2" s="40" t="s">
        <v>775</v>
      </c>
      <c r="E2" s="40" t="s">
        <v>776</v>
      </c>
      <c r="F2" s="40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788</v>
      </c>
      <c r="C3" s="12" t="s">
        <v>789</v>
      </c>
      <c r="D3" s="42" t="n">
        <v>0.74</v>
      </c>
      <c r="E3" s="42" t="n">
        <v>1.35</v>
      </c>
      <c r="F3" s="45" t="s">
        <v>787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790</v>
      </c>
      <c r="C4" s="12" t="s">
        <v>789</v>
      </c>
      <c r="D4" s="46" t="n">
        <v>1.84</v>
      </c>
      <c r="E4" s="46" t="n">
        <v>2.17</v>
      </c>
      <c r="F4" s="49" t="s">
        <v>787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791</v>
      </c>
      <c r="C5" s="12" t="s">
        <v>789</v>
      </c>
      <c r="D5" s="50" t="n">
        <v>2.58</v>
      </c>
      <c r="E5" s="50" t="n">
        <v>3.52</v>
      </c>
      <c r="F5" s="53" t="s">
        <v>787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792</v>
      </c>
      <c r="C6" s="12" t="s">
        <v>793</v>
      </c>
      <c r="D6" s="55" t="n">
        <v>2693.0</v>
      </c>
      <c r="E6" s="55" t="n">
        <v>80.0</v>
      </c>
      <c r="F6" s="57" t="s">
        <v>787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794</v>
      </c>
      <c r="C7" s="12" t="s">
        <v>793</v>
      </c>
      <c r="D7" s="59" t="n">
        <v>6646.0</v>
      </c>
      <c r="E7" s="59" t="n">
        <v>129.0</v>
      </c>
      <c r="F7" s="61" t="s">
        <v>787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795</v>
      </c>
      <c r="C8" s="12" t="s">
        <v>793</v>
      </c>
      <c r="D8" s="63" t="n">
        <v>9339.0</v>
      </c>
      <c r="E8" s="63" t="n">
        <v>209.0</v>
      </c>
      <c r="F8" s="65" t="s">
        <v>787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796</v>
      </c>
      <c r="C9" s="12" t="s">
        <v>793</v>
      </c>
      <c r="D9" s="67" t="n">
        <v>3.6191978E7</v>
      </c>
      <c r="E9" s="67" t="n">
        <v>594103.0</v>
      </c>
      <c r="F9" s="69" t="s">
        <v>787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生活支援コーディネーター：厚生労働省「介護予防・日常生活支援総合事業等（地域支援事業）の実施状況に関する調査」、65歳以上人口：総務省「国勢調査」および国立社会保障・人口問題研究所「日本の地域別将来推計人口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