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<sst xmlns="http://schemas.openxmlformats.org/spreadsheetml/2006/main" count="1076" uniqueCount="891">
  <si>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</si>
  <si>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</si>
  <si>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</si>
  <si>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</si>
  <si>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</si>
  <si>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</si>
  <si>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</si>
  <si>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</si>
  <si>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</si>
  <si>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</si>
  <si>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</si>
  <si>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</si>
  <si>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</si>
  <si>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</si>
  <si>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</si>
  <si>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</si>
  <si>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</si>
  <si>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</si>
  <si>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</si>
  <si>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</si>
  <si>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</si>
  <si>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</si>
  <si>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</si>
  <si>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</si>
  <si>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</si>
  <si>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</si>
  <si>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</si>
  <si>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</si>
  <si>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</si>
  <si>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</si>
  <si>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</si>
  <si>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</si>
  <si>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</si>
  <si>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</si>
  <si>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</si>
  <si>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</si>
  <si>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</si>
  <si>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</si>
  <si>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</si>
  <si>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</si>
  <si>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</si>
  <si>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</si>
  <si>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</si>
  <si>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</si>
  <si>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</si>
  <si>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</si>
  <si>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</si>
  <si>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</si>
  <si>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</si>
  <si>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</si>
  <si>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</si>
  <si>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</si>
  <si>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</si>
  <si>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</si>
  <si>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</si>
  <si>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</si>
  <si>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</si>
  <si>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</si>
  <si>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</si>
  <si>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</si>
  <si>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</si>
  <si>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</si>
  <si>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</si>
  <si>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</si>
  <si>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</si>
  <si>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</si>
  <si>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</si>
  <si>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</si>
  <si>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</si>
  <si>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</si>
  <si>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</si>
  <si>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</si>
  <si>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</si>
  <si>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</si>
  <si>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</si>
  <si>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</si>
  <si>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</si>
  <si>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</si>
  <si>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</si>
  <si>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</si>
  <si>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</si>
  <si>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</si>
  <si>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</si>
  <si>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</si>
  <si>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</si>
  <si>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</si>
  <si>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</si>
  <si>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</si>
  <si>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</si>
  <si>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</si>
  <si>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</si>
  <si>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</si>
  <si>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</si>
  <si>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</si>
  <si>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</si>
  <si>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</si>
  <si>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</si>
  <si>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</si>
  <si>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</si>
  <si>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</si>
  <si>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</si>
  <si>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</si>
  <si>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</si>
  <si>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</si>
  <si>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</si>
  <si>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</si>
  <si>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</si>
  <si>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</si>
  <si>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</si>
  <si>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</si>
  <si>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</si>
  <si>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</si>
  <si>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</si>
  <si>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</si>
  <si>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</si>
  <si>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</si>
  <si>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</si>
  <si>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</si>
  <si>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</si>
  <si>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</si>
  <si>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</si>
  <si>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</si>
  <si>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</si>
  <si>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</si>
  <si>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</si>
  <si>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</si>
  <si>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</si>
  <si>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</si>
  <si>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</si>
  <si>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</si>
  <si>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</si>
  <si>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</si>
  <si>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</si>
  <si>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</si>
  <si>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</si>
  <si>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</si>
  <si>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</si>
  <si>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</si>
  <si>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</si>
  <si>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</si>
  <si>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</si>
  <si>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</si>
  <si>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</si>
  <si>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</si>
  <si>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</si>
  <si>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</si>
  <si>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</si>
  <si>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</si>
  <si>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</si>
  <si>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</si>
  <si>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</si>
  <si>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</si>
  <si>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</si>
  <si>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</si>
  <si>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</si>
  <si>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</si>
  <si>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</si>
  <si>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</si>
  <si>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</si>
  <si>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</si>
  <si>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</si>
  <si>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</si>
  <si>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</si>
  <si>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</si>
  <si>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</si>
  <si>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</si>
  <si>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</si>
  <si>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</si>
  <si>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</si>
  <si>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</si>
  <si>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</si>
  <si>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</si>
  <si>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</si>
  <si>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</si>
  <si>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</si>
  <si>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</si>
  <si>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</si>
  <si>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</si>
  <si>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</si>
  <si>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</si>
  <si>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</si>
  <si>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</si>
  <si>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</si>
  <si>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</si>
  <si>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</si>
  <si>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</si>
  <si>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</si>
  <si>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</si>
  <si>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</si>
  <si>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</si>
  <si>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</si>
  <si>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</si>
  <si>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</si>
  <si>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</si>
  <si>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</si>
  <si>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</si>
  <si>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</si>
  <si>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</si>
  <si>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</si>
  <si>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</si>
  <si>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</si>
  <si>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</si>
  <si>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</si>
  <si>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</si>
  <si>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</si>
  <si>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</si>
  <si>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</si>
  <si>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</si>
  <si>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</si>
  <si>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</si>
  <si>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</si>
  <si>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</si>
  <si>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</si>
  <si>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</si>
  <si>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</si>
  <si>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</si>
  <si>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</si>
  <si>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</si>
  <si>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</si>
  <si>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</si>
  <si>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</si>
  <si>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</si>
  <si>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</si>
  <si>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</si>
  <si>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</si>
  <si>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</si>
  <si>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</si>
  <si>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</si>
  <si>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</si>
  <si>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</si>
  <si>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</si>
  <si>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</si>
  <si>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</si>
  <si>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</si>
  <si>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</si>
  <si>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</si>
  <si>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</si>
  <si>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</si>
  <si>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</si>
  <si>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</si>
  <si>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</si>
  <si>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</si>
  <si>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</si>
  <si>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</si>
  <si>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</si>
  <si>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</si>
  <si>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</si>
  <si>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</si>
  <si>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</si>
  <si>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</si>
  <si>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</si>
  <si>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</si>
  <si>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</si>
  <si>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</si>
  <si>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</si>
  <si>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</si>
  <si>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</si>
  <si>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</si>
  <si>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</si>
  <si>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</si>
  <si>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</si>
  <si>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</si>
  <si>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</si>
  <si>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</si>
  <si>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</si>
  <si>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</si>
  <si>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</si>
  <si>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</si>
  <si>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</si>
  <si>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</si>
  <si>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</si>
  <si>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</si>
  <si>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</si>
  <si>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</si>
  <si>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</si>
  <si>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</si>
  <si>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</si>
  <si>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</si>
  <si>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</si>
  <si>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</si>
  <si>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</si>
  <si>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</si>
  <si>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</si>
  <si>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</si>
  <si>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</si>
  <si>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</si>
  <si>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</si>
  <si>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</si>
  <si>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</si>
  <si>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</si>
  <si>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</si>
  <si>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</si>
  <si>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</si>
  <si>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</si>
  <si>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</si>
  <si>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</si>
  <si>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</si>
  <si>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</si>
  <si>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</si>
  <si>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</si>
  <si>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</si>
  <si>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</si>
  <si>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</si>
  <si>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</si>
  <si>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</si>
  <si>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</si>
  <si>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</si>
  <si>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</si>
  <si>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</si>
  <si>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</si>
  <si>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</si>
  <si>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</si>
  <si>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</si>
  <si>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</si>
  <si>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</si>
  <si>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</si>
  <si>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</si>
  <si>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</si>
  <si>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</si>
  <si>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</si>
  <si>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</si>
  <si>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</si>
  <si>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</si>
  <si>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</si>
  <si>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</si>
  <si>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</si>
  <si>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</si>
  <si>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</si>
  <si>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</si>
  <si>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</si>
  <si>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</si>
  <si>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</si>
  <si>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</si>
  <si>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</si>
  <si>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</si>
  <si>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</si>
  <si>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</si>
  <si>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</si>
  <si>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</si>
  <si>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</si>
  <si>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</si>
  <si>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</si>
  <si>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</si>
  <si>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</si>
  <si>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</si>
  <si>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</si>
  <si>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</si>
  <si>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</si>
  <si>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</si>
  <si>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</si>
  <si>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</si>
  <si>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</si>
  <si>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</si>
  <si>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</si>
  <si>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</si>
  <si>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</si>
  <si>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</si>
  <si>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</si>
  <si>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</si>
  <si>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</si>
  <si>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</si>
  <si>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</si>
  <si>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</si>
  <si>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</si>
  <si>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</si>
  <si>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</si>
  <si>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</si>
  <si>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</si>
  <si>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</si>
  <si>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</si>
  <si>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</si>
  <si>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</si>
  <si>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</si>
  <si>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</si>
  <si>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</si>
  <si>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</si>
  <si>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</si>
  <si>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</si>
  <si>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</si>
  <si>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</si>
  <si>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</si>
  <si>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</si>
  <si>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</si>
  <si>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</si>
  <si>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</si>
  <si>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</si>
  <si>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</si>
  <si>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</si>
  <si>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</si>
  <si>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</si>
  <si>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</si>
  <si>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</si>
  <si>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</si>
  <si>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</si>
  <si>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</si>
  <si>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</si>
  <si>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</si>
  <si>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</si>
  <si>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</si>
  <si>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</si>
  <si>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</si>
  <si>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</si>
  <si>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</si>
  <si>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</si>
  <si>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</si>
  <si>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</si>
  <si>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</si>
  <si>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</si>
  <si>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</si>
  <si>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</si>
  <si>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</si>
  <si>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</si>
  <si>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</si>
  <si>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</si>
  <si>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</si>
  <si>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</si>
  <si>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</si>
  <si>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</si>
  <si>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</si>
  <si>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</si>
  <si>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</si>
  <si>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</si>
  <si>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</si>
  <si>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</si>
  <si>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</si>
  <si>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</si>
  <si>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</si>
  <si>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</si>
  <si>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</si>
  <si>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</si>
  <si>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</si>
  <si>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</si>
  <si>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</si>
  <si>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</si>
  <si>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</si>
  <si>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</si>
  <si>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</si>
  <si>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</si>
  <si>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</si>
  <si>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</si>
  <si>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</si>
  <si>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</si>
  <si>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</si>
  <si>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</si>
  <si>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</si>
  <si>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</si>
  <si>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</si>
  <si>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</si>
  <si>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</si>
  <si>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</si>
  <si>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</si>
  <si>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</si>
  <si>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</si>
  <si>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</si>
  <si>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</si>
  <si>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</si>
  <si>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</si>
  <si>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</si>
  <si>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</si>
  <si>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</si>
  <si>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</si>
  <si>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</si>
  <si>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</si>
  <si>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</si>
  <si>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</si>
  <si>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</si>
  <si>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</si>
  <si>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</si>
  <si>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</si>
  <si>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</si>
  <si>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</si>
  <si>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</si>
  <si>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</si>
  <si>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</si>
  <si>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</si>
  <si>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</si>
  <si>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</si>
  <si>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</si>
  <si>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</si>
  <si>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</si>
  <si>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</si>
  <si>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</si>
  <si>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</si>
  <si>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</si>
  <si>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</si>
  <si>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</si>
  <si>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</si>
  <si>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</si>
  <si>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</si>
  <si>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</si>
  <si>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</si>
  <si>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</si>
  <si>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</si>
  <si>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</si>
  <si>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</si>
  <si>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</si>
  <si>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</si>
  <si>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</si>
  <si>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</si>
  <si>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</si>
  <si>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</si>
  <si>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</si>
  <si>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</si>
  <si>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</si>
  <si>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</si>
  <si>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</si>
  <si>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</si>
  <si>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</si>
  <si>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</si>
  <si>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</si>
  <si>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</si>
  <si>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</si>
  <si>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</si>
  <si>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</si>
  <si>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</si>
  <si>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</si>
  <si>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</si>
  <si>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</si>
  <si>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</si>
  <si>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</si>
  <si>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</si>
  <si>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</si>
  <si>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</si>
  <si>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</si>
  <si>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</si>
  <si>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</si>
  <si>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</si>
  <si>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</si>
  <si>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</si>
  <si>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</si>
  <si>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</si>
  <si>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</si>
  <si>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</si>
  <si>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</si>
  <si>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</si>
  <si>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</si>
  <si>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</si>
  <si>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</si>
  <si>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</si>
  <si>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</si>
  <si>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</si>
  <si>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</si>
  <si>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</si>
  <si>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</si>
  <si>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</si>
  <si>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</si>
  <si>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</si>
  <si>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</si>
  <si>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</si>
  <si>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</si>
  <si>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</si>
  <si>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</si>
  <si>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</si>
  <si>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</si>
  <si>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</si>
  <si>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</si>
  <si>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</si>
  <si>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</si>
  <si>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</si>
  <si>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</si>
  <si>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</si>
  <si>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</si>
  <si>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</si>
  <si>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</si>
  <si>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</si>
  <si>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</si>
  <si>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</si>
  <si>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</si>
  <si>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</si>
  <si>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</si>
  <si>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</si>
  <si>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</si>
  <si>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</si>
  <si>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</si>
  <si>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</si>
  <si>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</si>
  <si>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</si>
  <si>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</si>
  <si>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</si>
  <si>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</si>
  <si>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</si>
  <si>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</si>
  <si>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</si>
  <si>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</si>
  <si>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</si>
  <si>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</si>
  <si>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</si>
  <si>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</si>
  <si>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</si>
  <si>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</si>
  <si>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</si>
  <si>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</si>
  <si>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</si>
  <si>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</si>
  <si>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</si>
  <si>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</si>
  <si>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</si>
  <si>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</si>
  <si>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</si>
  <si>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</si>
  <si>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</si>
  <si>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</si>
  <si>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</si>
  <si>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</si>
  <si>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</si>
  <si>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</si>
  <si>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</si>
  <si>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</si>
  <si>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</si>
  <si>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</si>
  <si>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</si>
  <si>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</si>
  <si>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</si>
  <si>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</si>
  <si>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</si>
  <si>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</si>
  <si>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</si>
  <si>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</si>
  <si>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</si>
  <si>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</si>
  <si>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</si>
  <si>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</si>
  <si>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</si>
  <si>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</si>
  <si>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</si>
  <si>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</si>
  <si>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</si>
  <si>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</si>
  <si>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</si>
  <si>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</si>
  <si>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</si>
  <si>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</si>
  <si>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</si>
  <si>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</si>
  <si>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</si>
  <si>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</si>
  <si>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</si>
  <si>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</si>
  <si>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</si>
  <si>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</si>
  <si>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</si>
  <si>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</si>
  <si>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</si>
  <si>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</si>
  <si>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</si>
  <si>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</si>
  <si>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</si>
  <si>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</si>
  <si>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</si>
  <si>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</si>
  <si>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</si>
  <si>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</si>
  <si>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</si>
  <si>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</si>
  <si>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</si>
  <si>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</si>
  <si>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</si>
  <si>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</si>
  <si>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</si>
  <si>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</si>
  <si>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</si>
  <si>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</si>
  <si>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</si>
  <si>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</si>
  <si>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</si>
  <si>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</si>
  <si>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</si>
  <si>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</si>
  <si>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</si>
  <si>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</si>
  <si>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</si>
  <si>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</si>
  <si>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</si>
  <si>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</si>
  <si>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</si>
  <si>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</si>
  <si>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</si>
  <si>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</si>
  <si>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</si>
  <si>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</si>
  <si>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</si>
  <si>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</si>
  <si>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</si>
  <si>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</si>
  <si>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</si>
  <si>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</si>
  <si>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</si>
  <si>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</si>
  <si>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</si>
  <si>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</si>
  <si>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</si>
  <si>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</si>
  <si>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</si>
  <si>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</si>
  <si>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</si>
  <si>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</si>
  <si>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</si>
  <si>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</si>
  <si>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</si>
  <si>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</si>
  <si>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</si>
  <si>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</si>
  <si>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</si>
  <si>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</si>
  <si>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</si>
  <si>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</si>
  <si>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</si>
  <si>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</si>
  <si>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</si>
  <si>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</si>
  <si>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</si>
  <si>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</si>
  <si>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</si>
  <si>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</si>
  <si>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</si>
  <si>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</si>
  <si>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</si>
  <si>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</si>
  <si>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</si>
  <si>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</si>
  <si>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</si>
  <si>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</si>
  <si>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</si>
  <si>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</si>
  <si>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</si>
  <si>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</si>
  <si>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</si>
  <si>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</si>
  <si>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</si>
  <si>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</si>
  <si>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</si>
  <si>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</si>
  <si>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</si>
  <si>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</si>
  <si>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</si>
  <si>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</si>
  <si>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</si>
  <si>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</si>
  <si>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</si>
  <si>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</si>
  <si>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</si>
  <si>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</si>
  <si>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</si>
  <si>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</si>
  <si>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</si>
  <si>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</si>
  <si>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</si>
  <si>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</si>
  <si>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</si>
  <si>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</si>
  <si>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</si>
  <si>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</si>
  <si>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</si>
  <si>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</si>
  <si>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</si>
  <si>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</si>
  <si>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</si>
  <si>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</si>
  <si>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</si>
  <si>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</si>
  <si>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</si>
  <si>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</si>
  <si>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</si>
  <si>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</si>
  <si>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</si>
  <si>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</si>
  <si>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</si>
  <si>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</si>
  <si>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</si>
  <si>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</si>
  <si>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</si>
  <si>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</si>
  <si>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</si>
  <si>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</si>
  <si>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</si>
  <si>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</si>
  <si>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</si>
  <si>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</si>
  <si>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</si>
  <si>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</si>
  <si>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</si>
  <si>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</si>
  <si>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</si>
  <si>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</si>
  <si>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</si>
  <si>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</si>
  <si>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</si>
  <si>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</si>
  <si>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</si>
  <si>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</si>
  <si>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</si>
  <si>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</si>
  <si>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</si>
  <si>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</si>
  <si>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</si>
  <si>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</si>
  <si>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</si>
  <si>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</si>
  <si>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</si>
  <si>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</si>
  <si>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</si>
  <si>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</si>
  <si>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</si>
  <si>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</si>
  <si>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</si>
  <si>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</si>
  <si>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</si>
  <si>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</si>
  <si>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</si>
  <si>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</si>
  <si>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</si>
  <si>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</si>
  <si>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</si>
  <si>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</si>
  <si>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</si>
  <si>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</si>
  <si>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</si>
  <si>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</si>
  <si>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</si>
  <si>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</si>
  <si>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</si>
  <si>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</si>
  <si>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</si>
  <si>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</si>
  <si>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</si>
  <si>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</si>
  <si>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</si>
  <si>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</si>
  <si>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</si>
  <si>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</si>
  <si>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</si>
  <si>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</si>
  <si>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</si>
  <si>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</si>
  <si>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</si>
  <si>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</si>
  <si>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</si>
  <si>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</si>
  <si>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</si>
  <si>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</si>
  <si>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</si>
  <si>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</si>
  <si>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</si>
  <si>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</si>
  <si>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</si>
  <si>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</si>
  <si>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</si>
  <si>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</si>
  <si>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</si>
  <si>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</si>
  <si>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</si>
  <si>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</si>
  <si>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</si>
  <si>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</si>
  <si>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</si>
  <si>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</si>
  <si>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</si>
  <si>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</si>
  <si>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</si>
  <si>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</si>
  <si>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</si>
  <si>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</si>
  <si>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</si>
  <si>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</si>
  <si>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</si>
  <si>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</si>
  <si>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</si>
  <si>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令和2
年度</t>
  </si>
  <si>
    <t>令和3
年度</t>
  </si>
  <si>
    <t>令和4
年度</t>
  </si>
  <si>
    <t>令和5
年度</t>
  </si>
  <si>
    <t>令和6
年度</t>
  </si>
  <si>
    <t>社会福祉士（準ずる者を含む）</t>
  </si>
  <si>
    <t>福島県</t>
  </si>
  <si>
    <t>全国</t>
  </si>
  <si>
    <t>センター人員体制（社会福祉士（準ずる者を含む））[65歳以上人口1万対]</t>
  </si>
  <si>
    <t>令和6年(2024年)</t>
  </si>
  <si>
    <t>小野町</t>
  </si>
  <si>
    <t>配置職員数</t>
  </si>
  <si>
    <t>人[65歳以上人口1万対]</t>
  </si>
  <si>
    <t>厚生労働省「地域包括支援センター運営状況調査」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</si>
  <si>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</si>
  <si>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</si>
  <si>
    <t>センター人員体制（社会福祉士）[65歳以上人口1万対]</t>
  </si>
  <si>
    <t>（人[65歳以上人口1万対]）</t>
  </si>
  <si>
    <t>センター人員体制（社会福祉士に準ずる者）[65歳以上人口1万対]</t>
  </si>
  <si>
    <t>センター人員体制（社会福祉士）</t>
  </si>
  <si>
    <t>（人）</t>
  </si>
  <si>
    <t>センター人員体制（社会福祉士に準ずる者）</t>
  </si>
  <si>
    <t>センター人員体制（社会福祉士（準ずる者を含む））</t>
  </si>
  <si>
    <t>65歳以上人口（地域包括支援センター運営状況調査に基づく）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</si>
</sst>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20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8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4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4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4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4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2" fillId="0" borderId="5" xfId="0" applyBorder="true" applyFont="true"/>
    <xf numFmtId="4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4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8" fillId="0" borderId="5" xfId="0" applyBorder="true" applyFont="true"/>
    <xf numFmtId="4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19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3" max="7" customWidth="true" style="3" width="14.625" collapsed="true"/>
    <col min="1" max="1" style="3" width="9.0" collapsed="false"/>
    <col min="2" max="2" customWidth="true" style="14" width="32.03515625" collapsed="false" bestFit="true"/>
    <col min="8" max="8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872</v>
      </c>
      <c r="C3" s="31" t="n">
        <v>5.87</v>
      </c>
      <c r="D3" s="31" t="n">
        <v>5.79</v>
      </c>
      <c r="E3" s="31" t="n">
        <v>5.52</v>
      </c>
      <c r="F3" s="31" t="n">
        <v>5.75</v>
      </c>
      <c r="G3" s="31" t="n">
        <v>5.73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873</v>
      </c>
      <c r="C256" s="35" t="n">
        <v>3.59</v>
      </c>
      <c r="D256" s="35" t="n">
        <v>3.65</v>
      </c>
      <c r="E256" s="35" t="n">
        <v>3.7</v>
      </c>
      <c r="F256" s="35" t="n">
        <v>3.62</v>
      </c>
      <c r="G256" s="35" t="n">
        <v>3.71</v>
      </c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874</v>
      </c>
      <c r="C257" s="39" t="n">
        <v>2.68</v>
      </c>
      <c r="D257" s="39" t="n">
        <v>2.76</v>
      </c>
      <c r="E257" s="39" t="n">
        <v>2.75</v>
      </c>
      <c r="F257" s="39" t="n">
        <v>2.83</v>
      </c>
      <c r="G257" s="39" t="n">
        <v>2.87</v>
      </c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881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センター人員体制（社会福祉士（準ずる者を含む））[65歳以上人口1万対]（小野町）</v>
      </c>
      <c r="B2" s="7" t="str">
        <f>"（注目する地域）" &amp; E2</f>
        <v>（注目する地域）小野町</v>
      </c>
      <c r="C2" s="8" t="s">
        <v>875</v>
      </c>
      <c r="D2" s="8" t="s">
        <v>876</v>
      </c>
      <c r="E2" s="8" t="s">
        <v>877</v>
      </c>
      <c r="F2" s="8" t="str">
        <f>IF(H2="",G2,G2 &amp; "（" &amp; H2 &amp; "）")</f>
        <v>配置職員数（人[65歳以上人口1万対]）</v>
      </c>
      <c r="G2" s="8" t="s">
        <v>878</v>
      </c>
      <c r="H2" s="8" t="s">
        <v>879</v>
      </c>
      <c r="I2" s="8" t="s">
        <v>880</v>
      </c>
      <c r="J2" s="7" t="str">
        <f>"（出典）" &amp; I2</f>
        <v>（出典）厚生労働省「地域包括支援センター運営状況調査」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5" max="9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75.46875" collapsed="false" bestFit="true"/>
    <col min="4" max="4" customWidth="true" style="10" width="29.26953125" collapsed="false" bestFit="true"/>
    <col min="10" max="10" customWidth="true" style="3" width="14.625" collapsed="false" hidden="true"/>
    <col min="99" max="99" style="3" width="14.625" collapsed="false" hidden="true"/>
  </cols>
  <sheetData>
    <row r="1">
      <c r="A1" t="s">
        <v>882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877</v>
      </c>
      <c r="C3" s="17" t="s">
        <v>883</v>
      </c>
      <c r="D3" s="12" t="s">
        <v>884</v>
      </c>
      <c r="E3" s="47" t="n">
        <v>5.87</v>
      </c>
      <c r="F3" s="47" t="n">
        <v>5.79</v>
      </c>
      <c r="G3" s="47" t="n">
        <v>5.52</v>
      </c>
      <c r="H3" s="47" t="n">
        <v>5.75</v>
      </c>
      <c r="I3" s="47" t="n">
        <v>2.87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877</v>
      </c>
      <c r="C4" s="17" t="s">
        <v>885</v>
      </c>
      <c r="D4" s="12" t="s">
        <v>884</v>
      </c>
      <c r="E4" s="51" t="n">
        <v>0.0</v>
      </c>
      <c r="F4" s="51" t="n">
        <v>0.0</v>
      </c>
      <c r="G4" s="51" t="n">
        <v>0.0</v>
      </c>
      <c r="H4" s="51" t="n">
        <v>0.0</v>
      </c>
      <c r="I4" s="51" t="n">
        <v>2.87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877</v>
      </c>
      <c r="C5" s="17" t="s">
        <v>875</v>
      </c>
      <c r="D5" s="12" t="s">
        <v>884</v>
      </c>
      <c r="E5" s="55" t="n">
        <v>5.87</v>
      </c>
      <c r="F5" s="55" t="n">
        <v>5.79</v>
      </c>
      <c r="G5" s="55" t="n">
        <v>5.52</v>
      </c>
      <c r="H5" s="55" t="n">
        <v>5.75</v>
      </c>
      <c r="I5" s="55" t="n">
        <v>5.73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877</v>
      </c>
      <c r="C6" s="17" t="s">
        <v>886</v>
      </c>
      <c r="D6" s="12" t="s">
        <v>887</v>
      </c>
      <c r="E6" s="60" t="n">
        <v>2.0</v>
      </c>
      <c r="F6" s="60" t="n">
        <v>2.0</v>
      </c>
      <c r="G6" s="60" t="n">
        <v>2.0</v>
      </c>
      <c r="H6" s="60" t="n">
        <v>2.0</v>
      </c>
      <c r="I6" s="60" t="n">
        <v>1.0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>
      <c r="B7" s="17" t="s">
        <v>877</v>
      </c>
      <c r="C7" s="17" t="s">
        <v>888</v>
      </c>
      <c r="D7" s="12" t="s">
        <v>887</v>
      </c>
      <c r="E7" s="64" t="n">
        <v>0.0</v>
      </c>
      <c r="F7" s="64" t="n">
        <v>0.0</v>
      </c>
      <c r="G7" s="64" t="n">
        <v>0.0</v>
      </c>
      <c r="H7" s="64" t="n">
        <v>0.0</v>
      </c>
      <c r="I7" s="64" t="n">
        <v>1.0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>
      <c r="B8" s="17" t="s">
        <v>877</v>
      </c>
      <c r="C8" s="17" t="s">
        <v>889</v>
      </c>
      <c r="D8" s="12" t="s">
        <v>887</v>
      </c>
      <c r="E8" s="68" t="n">
        <v>2.0</v>
      </c>
      <c r="F8" s="68" t="n">
        <v>2.0</v>
      </c>
      <c r="G8" s="68" t="n">
        <v>2.0</v>
      </c>
      <c r="H8" s="68" t="n">
        <v>2.0</v>
      </c>
      <c r="I8" s="68" t="n">
        <v>2.0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>
      <c r="B9" s="17" t="s">
        <v>877</v>
      </c>
      <c r="C9" s="17" t="s">
        <v>890</v>
      </c>
      <c r="D9" s="12" t="s">
        <v>887</v>
      </c>
      <c r="E9" s="72" t="n">
        <v>3409.0</v>
      </c>
      <c r="F9" s="72" t="n">
        <v>3453.0</v>
      </c>
      <c r="G9" s="72" t="n">
        <v>3623.0</v>
      </c>
      <c r="H9" s="72" t="n">
        <v>3476.0</v>
      </c>
      <c r="I9" s="72" t="n">
        <v>3489.0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>
      <c r="B10" s="17" t="s">
        <v>873</v>
      </c>
      <c r="C10" s="17" t="s">
        <v>875</v>
      </c>
      <c r="D10" s="12" t="s">
        <v>884</v>
      </c>
      <c r="E10" s="75" t="n">
        <v>3.59</v>
      </c>
      <c r="F10" s="75" t="n">
        <v>3.65</v>
      </c>
      <c r="G10" s="75" t="n">
        <v>3.7</v>
      </c>
      <c r="H10" s="75" t="n">
        <v>3.62</v>
      </c>
      <c r="I10" s="75" t="n">
        <v>3.71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>
      <c r="B11" s="17" t="s">
        <v>874</v>
      </c>
      <c r="C11" s="17" t="s">
        <v>875</v>
      </c>
      <c r="D11" s="12" t="s">
        <v>884</v>
      </c>
      <c r="E11" s="79" t="n">
        <v>2.68</v>
      </c>
      <c r="F11" s="79" t="n">
        <v>2.76</v>
      </c>
      <c r="G11" s="79" t="n">
        <v>2.75</v>
      </c>
      <c r="H11" s="79" t="n">
        <v>2.83</v>
      </c>
      <c r="I11" s="79" t="n">
        <v>2.87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（出典）厚生労働省「地域包括支援センター運営状況調査」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