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見積依頼書" sheetId="1" state="visible" r:id="rId1"/>
    <sheet xmlns:r="http://schemas.openxmlformats.org/officeDocument/2006/relationships" name="02_内訳の様式" sheetId="2" state="visible" r:id="rId2"/>
    <sheet xmlns:r="http://schemas.openxmlformats.org/officeDocument/2006/relationships" name="03_比較表" sheetId="3" state="visible" r:id="rId3"/>
    <sheet xmlns:r="http://schemas.openxmlformats.org/officeDocument/2006/relationships" name="04_工程の逆算" sheetId="4" state="visible" r:id="rId4"/>
    <sheet xmlns:r="http://schemas.openxmlformats.org/officeDocument/2006/relationships" name="05_自己点検"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0"/>
    </font>
    <font>
      <b val="1"/>
      <color rgb="00FFFFFF"/>
      <sz val="9"/>
    </font>
    <font>
      <sz val="9"/>
    </font>
    <font>
      <b val="1"/>
      <color rgb="00C00000"/>
      <sz val="10"/>
    </font>
    <font>
      <sz val="11"/>
    </font>
    <font>
      <b val="1"/>
      <sz val="9"/>
    </font>
    <font>
      <b val="1"/>
      <color rgb="001F3864"/>
      <sz val="11"/>
    </font>
  </fonts>
  <fills count="6">
    <fill>
      <patternFill/>
    </fill>
    <fill>
      <patternFill patternType="gray125"/>
    </fill>
    <fill>
      <patternFill patternType="solid">
        <fgColor rgb="001F3864"/>
      </patternFill>
    </fill>
    <fill>
      <patternFill patternType="solid">
        <fgColor rgb="00FFF2CC"/>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3" fontId="5" fillId="0" borderId="1" applyAlignment="1" pivotButton="0" quotePrefix="0" xfId="0">
      <alignment vertical="top"/>
    </xf>
    <xf numFmtId="3" fontId="5" fillId="3" borderId="0" applyAlignment="1" pivotButton="0" quotePrefix="0" xfId="0">
      <alignment vertical="top"/>
    </xf>
    <xf numFmtId="3" fontId="5" fillId="3" borderId="1" applyAlignment="1" pivotButton="0" quotePrefix="0" xfId="0">
      <alignment vertical="top"/>
    </xf>
    <xf numFmtId="0" fontId="5" fillId="3" borderId="0" applyAlignment="1" pivotButton="0" quotePrefix="0" xfId="0">
      <alignment vertical="top" wrapText="1"/>
    </xf>
    <xf numFmtId="0" fontId="5" fillId="3" borderId="0" applyAlignment="1" pivotButton="0" quotePrefix="0" xfId="0">
      <alignment vertical="top"/>
    </xf>
    <xf numFmtId="0" fontId="6" fillId="4" borderId="1" applyAlignment="1" pivotButton="0" quotePrefix="0" xfId="0">
      <alignment vertical="top"/>
    </xf>
    <xf numFmtId="0" fontId="6" fillId="4" borderId="1" applyAlignment="1" pivotButton="0" quotePrefix="0" xfId="0">
      <alignment vertical="top" wrapText="1"/>
    </xf>
    <xf numFmtId="3" fontId="6" fillId="4" borderId="1" applyAlignment="1" pivotButton="0" quotePrefix="0" xfId="0">
      <alignment vertical="top"/>
    </xf>
    <xf numFmtId="0" fontId="7" fillId="0" borderId="0" pivotButton="0" quotePrefix="0" xfId="0"/>
    <xf numFmtId="0" fontId="6" fillId="0" borderId="0" pivotButton="0" quotePrefix="0" xfId="0"/>
    <xf numFmtId="0" fontId="3" fillId="0" borderId="1" pivotButton="0" quotePrefix="0" xfId="0"/>
    <xf numFmtId="3" fontId="0" fillId="3" borderId="1" pivotButton="0" quotePrefix="0" xfId="0"/>
    <xf numFmtId="3" fontId="5" fillId="5" borderId="0" applyAlignment="1" pivotButton="0" quotePrefix="0" xfId="0">
      <alignment vertical="top"/>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 customWidth="1" min="1" max="1"/>
    <col width="22" customWidth="1" min="2" max="2"/>
    <col width="60" customWidth="1" min="3" max="3"/>
    <col width="26" customWidth="1" min="4" max="4"/>
  </cols>
  <sheetData>
    <row r="1">
      <c r="A1" s="1" t="inlineStr"/>
      <c r="B1" s="1" t="inlineStr"/>
      <c r="C1" s="1" t="inlineStr"/>
      <c r="D1" s="1" t="inlineStr">
        <is>
          <t>令和8年10月6日</t>
        </is>
      </c>
    </row>
    <row r="2">
      <c r="A2" s="1" t="inlineStr"/>
      <c r="B2" s="1" t="inlineStr"/>
      <c r="C2" s="1" t="inlineStr"/>
      <c r="D2" s="1" t="inlineStr">
        <is>
          <t>（受託者名）</t>
        </is>
      </c>
    </row>
    <row r="3">
      <c r="A3" s="1" t="inlineStr"/>
      <c r="B3" s="1" t="inlineStr"/>
      <c r="C3" s="1" t="inlineStr"/>
      <c r="D3" s="1" t="inlineStr"/>
    </row>
    <row r="4">
      <c r="A4" s="1" t="inlineStr"/>
      <c r="B4" s="2" t="inlineStr">
        <is>
          <t>件名</t>
        </is>
      </c>
      <c r="C4" s="1" t="inlineStr">
        <is>
          <t>小野町高齢者保健福祉計画・第10期介護保険事業計画及び同概要版の印刷製本に係るお見積のお願い</t>
        </is>
      </c>
      <c r="D4" s="1" t="inlineStr"/>
    </row>
    <row r="5">
      <c r="A5" s="1" t="inlineStr"/>
      <c r="B5" s="1" t="inlineStr"/>
      <c r="C5" s="1" t="inlineStr"/>
      <c r="D5" s="1" t="inlineStr"/>
    </row>
    <row r="6">
      <c r="A6" s="1" t="inlineStr"/>
      <c r="B6" s="2" t="inlineStr">
        <is>
          <t>1　印刷物</t>
        </is>
      </c>
      <c r="C6" s="1" t="inlineStr">
        <is>
          <t>（1）小野町高齢者保健福祉計画・第10期介護保険事業計画　A4版・4色刷り・80頁程度・50部</t>
        </is>
      </c>
      <c r="D6" s="1" t="inlineStr"/>
    </row>
    <row r="7">
      <c r="A7" s="1" t="inlineStr"/>
      <c r="B7" s="1" t="inlineStr"/>
      <c r="C7" s="1" t="inlineStr">
        <is>
          <t>（2）同　概要版　A4版・4色刷り・8頁・50部</t>
        </is>
      </c>
      <c r="D7" s="1" t="inlineStr"/>
    </row>
    <row r="8">
      <c r="A8" s="1" t="inlineStr"/>
      <c r="B8" s="1" t="inlineStr"/>
      <c r="C8" s="1" t="inlineStr">
        <is>
          <t>（3）報告書等の簡易製本　4種　各3部</t>
        </is>
      </c>
      <c r="D8" s="1" t="inlineStr"/>
    </row>
    <row r="9">
      <c r="A9" s="1" t="inlineStr"/>
      <c r="B9" s="1" t="inlineStr"/>
      <c r="C9" s="1" t="inlineStr">
        <is>
          <t>（4）CD-Rの作成・ラベル印刷　3枚</t>
        </is>
      </c>
      <c r="D9" s="1" t="inlineStr"/>
    </row>
    <row r="10">
      <c r="A10" s="1" t="inlineStr"/>
      <c r="B10" s="1" t="inlineStr"/>
      <c r="C10" s="1" t="inlineStr"/>
      <c r="D10" s="1" t="inlineStr"/>
    </row>
    <row r="11">
      <c r="A11" s="1" t="inlineStr"/>
      <c r="B11" s="2" t="inlineStr">
        <is>
          <t>2　仕様</t>
        </is>
      </c>
      <c r="C11" s="1" t="inlineStr">
        <is>
          <t>別紙「印刷の発注仕様書」のとおり</t>
        </is>
      </c>
      <c r="D11" s="1" t="inlineStr"/>
    </row>
    <row r="12">
      <c r="A12" s="1" t="inlineStr"/>
      <c r="B12" s="1" t="inlineStr"/>
      <c r="C12" s="1" t="inlineStr"/>
      <c r="D12" s="1" t="inlineStr"/>
    </row>
    <row r="13">
      <c r="A13" s="1" t="inlineStr"/>
      <c r="B13" s="2" t="inlineStr">
        <is>
          <t>3　記入方法</t>
        </is>
      </c>
      <c r="C13" s="1" t="inlineStr">
        <is>
          <t>シート「02_内訳の様式」の網かけ欄にご記入ください。工程を固定しているのは、各社の見積を同じ区分で比べるためです。該当がない工程は「0」とし、別途必要な工程があれば「14」以降の行に追記してください。</t>
        </is>
      </c>
      <c r="D13" s="1" t="inlineStr"/>
    </row>
    <row r="14">
      <c r="A14" s="1" t="inlineStr"/>
      <c r="B14" s="1" t="inlineStr"/>
      <c r="C14" s="1" t="inlineStr"/>
      <c r="D14" s="1" t="inlineStr"/>
    </row>
    <row r="15">
      <c r="A15" s="1" t="inlineStr"/>
      <c r="B15" s="2" t="inlineStr">
        <is>
          <t>4　提出期限</t>
        </is>
      </c>
      <c r="C15" s="1" t="inlineStr"/>
      <c r="D15" s="3" t="inlineStr">
        <is>
          <t>令和9年1月21日（木）（厳守）</t>
        </is>
      </c>
    </row>
    <row r="16">
      <c r="A16" s="1" t="inlineStr"/>
      <c r="B16" s="2" t="inlineStr">
        <is>
          <t>5　有効期限</t>
        </is>
      </c>
      <c r="C16" s="1" t="inlineStr">
        <is>
          <t>提出日から60日以上</t>
        </is>
      </c>
      <c r="D16" s="1" t="inlineStr"/>
    </row>
    <row r="17">
      <c r="A17" s="1" t="inlineStr"/>
      <c r="B17" s="2" t="inlineStr">
        <is>
          <t>6　提出先</t>
        </is>
      </c>
      <c r="C17" s="1" t="inlineStr"/>
      <c r="D17" s="1" t="inlineStr"/>
    </row>
    <row r="18">
      <c r="A18" s="1" t="inlineStr"/>
      <c r="B18" s="1" t="inlineStr"/>
      <c r="C18" s="1" t="inlineStr"/>
      <c r="D18" s="1" t="inlineStr"/>
    </row>
    <row r="19">
      <c r="A19" s="1" t="inlineStr"/>
      <c r="B19" s="2" t="inlineStr">
        <is>
          <t>7　併せて記載いただく条件</t>
        </is>
      </c>
      <c r="C19" s="1" t="inlineStr"/>
      <c r="D19" s="1" t="inlineStr"/>
    </row>
    <row r="20">
      <c r="B20" s="4" t="inlineStr">
        <is>
          <t>項目</t>
        </is>
      </c>
      <c r="C20" s="4" t="inlineStr">
        <is>
          <t>記載いただく内容</t>
        </is>
      </c>
      <c r="D20" s="4" t="inlineStr">
        <is>
          <t>ご記入欄</t>
        </is>
      </c>
    </row>
    <row r="21">
      <c r="B21" s="5" t="inlineStr">
        <is>
          <t>見積の有効期限</t>
        </is>
      </c>
      <c r="C21" s="5" t="inlineStr">
        <is>
          <t>提出日から60日以上</t>
        </is>
      </c>
      <c r="D21" s="6" t="inlineStr"/>
    </row>
    <row r="22">
      <c r="B22" s="5" t="inlineStr">
        <is>
          <t>部数の増減単価</t>
        </is>
      </c>
      <c r="C22" s="5" t="inlineStr">
        <is>
          <t>計画書・概要版とも 10部単位の増減単価</t>
        </is>
      </c>
      <c r="D22" s="6" t="inlineStr"/>
    </row>
    <row r="23">
      <c r="B23" s="5" t="inlineStr">
        <is>
          <t>頁数の増減単価</t>
        </is>
      </c>
      <c r="C23" s="5" t="inlineStr">
        <is>
          <t>計画書の8頁（1台）単位の増減単価</t>
        </is>
      </c>
      <c r="D23" s="6" t="inlineStr"/>
    </row>
    <row r="24">
      <c r="B24" s="5" t="inlineStr">
        <is>
          <t>校正の追加単価</t>
        </is>
      </c>
      <c r="C24" s="5" t="inlineStr">
        <is>
          <t>文字校正を1回増やす場合の単価</t>
        </is>
      </c>
      <c r="D24" s="6" t="inlineStr"/>
    </row>
    <row r="25">
      <c r="B25" s="5" t="inlineStr">
        <is>
          <t>色校正の種別</t>
        </is>
      </c>
      <c r="C25" s="5" t="inlineStr">
        <is>
          <t>本紙校正と簡易校正（DDCP）の両方の単価</t>
        </is>
      </c>
      <c r="D25" s="6" t="inlineStr"/>
    </row>
    <row r="26">
      <c r="B26" s="5" t="inlineStr">
        <is>
          <t>最短の所要日数</t>
        </is>
      </c>
      <c r="C26" s="5" t="inlineStr">
        <is>
          <t>校了（下版）から納品までの営業日数</t>
        </is>
      </c>
      <c r="D26" s="6" t="inlineStr"/>
    </row>
    <row r="27">
      <c r="B27" s="5" t="inlineStr">
        <is>
          <t>データの取扱い</t>
        </is>
      </c>
      <c r="C27" s="5" t="inlineStr">
        <is>
          <t>入稿データ・版下データの帰属と、業務終了後の消去</t>
        </is>
      </c>
      <c r="D27" s="6" t="inlineStr"/>
    </row>
    <row r="28">
      <c r="B28" s="5" t="inlineStr">
        <is>
          <t>再委託</t>
        </is>
      </c>
      <c r="C28" s="5" t="inlineStr">
        <is>
          <t>再委託の有無と、ある場合の委託先・範囲</t>
        </is>
      </c>
      <c r="D28"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4" customWidth="1" min="3" max="3"/>
    <col width="7" customWidth="1" min="4" max="4"/>
    <col width="8" customWidth="1" min="5" max="5"/>
    <col width="12" customWidth="1" min="6" max="6"/>
    <col width="14" customWidth="1" min="7" max="7"/>
    <col width="24" customWidth="1" min="8" max="8"/>
  </cols>
  <sheetData>
    <row r="1">
      <c r="A1" s="4" t="inlineStr">
        <is>
          <t>No</t>
        </is>
      </c>
      <c r="B1" s="4" t="inlineStr">
        <is>
          <t>工程</t>
        </is>
      </c>
      <c r="C1" s="4" t="inlineStr">
        <is>
          <t>内容</t>
        </is>
      </c>
      <c r="D1" s="4" t="inlineStr">
        <is>
          <t>単位</t>
        </is>
      </c>
      <c r="E1" s="4" t="inlineStr">
        <is>
          <t>数量</t>
        </is>
      </c>
      <c r="F1" s="4" t="inlineStr">
        <is>
          <t>単価（円）</t>
        </is>
      </c>
      <c r="G1" s="4" t="inlineStr">
        <is>
          <t>金額（円）</t>
        </is>
      </c>
      <c r="H1" s="4" t="inlineStr">
        <is>
          <t>備考</t>
        </is>
      </c>
    </row>
    <row r="2">
      <c r="A2" s="7" t="inlineStr">
        <is>
          <t>1</t>
        </is>
      </c>
      <c r="B2" s="8" t="inlineStr">
        <is>
          <t>企画・デザイン</t>
        </is>
      </c>
      <c r="C2" s="8" t="inlineStr">
        <is>
          <t>表紙デザイン、本文のフォーマット設計</t>
        </is>
      </c>
      <c r="D2" s="7" t="inlineStr">
        <is>
          <t>一式</t>
        </is>
      </c>
      <c r="E2" s="9" t="n">
        <v>1</v>
      </c>
      <c r="F2" s="10" t="n"/>
      <c r="G2" s="11">
        <f>IF(F2="","",E2*F2)</f>
        <v/>
      </c>
      <c r="H2" s="12" t="n"/>
    </row>
    <row r="3">
      <c r="A3" s="7" t="inlineStr">
        <is>
          <t>2</t>
        </is>
      </c>
      <c r="B3" s="8" t="inlineStr">
        <is>
          <t>組版・レイアウト（計画書）</t>
        </is>
      </c>
      <c r="C3" s="8" t="inlineStr">
        <is>
          <t>原稿（Word）からの流し込み、図表の配置</t>
        </is>
      </c>
      <c r="D3" s="7" t="inlineStr">
        <is>
          <t>頁</t>
        </is>
      </c>
      <c r="E3" s="9" t="n">
        <v>80</v>
      </c>
      <c r="F3" s="10" t="n"/>
      <c r="G3" s="11">
        <f>IF(F3="","",E3*F3)</f>
        <v/>
      </c>
      <c r="H3" s="12" t="n"/>
    </row>
    <row r="4">
      <c r="A4" s="7" t="inlineStr">
        <is>
          <t>3</t>
        </is>
      </c>
      <c r="B4" s="8" t="inlineStr">
        <is>
          <t>組版・レイアウト（概要版）</t>
        </is>
      </c>
      <c r="C4" s="8" t="inlineStr">
        <is>
          <t>計画書からの抽出・図表の作り直しを含む</t>
        </is>
      </c>
      <c r="D4" s="7" t="inlineStr">
        <is>
          <t>頁</t>
        </is>
      </c>
      <c r="E4" s="9" t="n">
        <v>8</v>
      </c>
      <c r="F4" s="10" t="n"/>
      <c r="G4" s="11">
        <f>IF(F4="","",E4*F4)</f>
        <v/>
      </c>
      <c r="H4" s="12" t="n"/>
    </row>
    <row r="5">
      <c r="A5" s="7" t="inlineStr">
        <is>
          <t>4</t>
        </is>
      </c>
      <c r="B5" s="8" t="inlineStr">
        <is>
          <t>図版の作成・加工</t>
        </is>
      </c>
      <c r="C5" s="8" t="inlineStr">
        <is>
          <t>本文中の図表の仕上げ（当方が元データを提供）</t>
        </is>
      </c>
      <c r="D5" s="7" t="inlineStr">
        <is>
          <t>点</t>
        </is>
      </c>
      <c r="E5" s="9" t="n">
        <v>30</v>
      </c>
      <c r="F5" s="10" t="n"/>
      <c r="G5" s="11">
        <f>IF(F5="","",E5*F5)</f>
        <v/>
      </c>
      <c r="H5" s="12" t="n"/>
    </row>
    <row r="6">
      <c r="A6" s="7" t="inlineStr">
        <is>
          <t>5</t>
        </is>
      </c>
      <c r="B6" s="8" t="inlineStr">
        <is>
          <t>校正（初校・再校）</t>
        </is>
      </c>
      <c r="C6" s="8" t="inlineStr">
        <is>
          <t>2回。赤字の反映を含む</t>
        </is>
      </c>
      <c r="D6" s="7" t="inlineStr">
        <is>
          <t>一式</t>
        </is>
      </c>
      <c r="E6" s="9" t="n">
        <v>1</v>
      </c>
      <c r="F6" s="10" t="n"/>
      <c r="G6" s="11">
        <f>IF(F6="","",E6*F6)</f>
        <v/>
      </c>
      <c r="H6" s="12" t="n"/>
    </row>
    <row r="7">
      <c r="A7" s="7" t="inlineStr">
        <is>
          <t>6</t>
        </is>
      </c>
      <c r="B7" s="8" t="inlineStr">
        <is>
          <t>色校正（本紙）</t>
        </is>
      </c>
      <c r="C7" s="8" t="inlineStr">
        <is>
          <t>計画書・概要版とも1回</t>
        </is>
      </c>
      <c r="D7" s="7" t="inlineStr">
        <is>
          <t>一式</t>
        </is>
      </c>
      <c r="E7" s="9" t="n">
        <v>1</v>
      </c>
      <c r="F7" s="10" t="n"/>
      <c r="G7" s="11">
        <f>IF(F7="","",E7*F7)</f>
        <v/>
      </c>
      <c r="H7" s="12" t="n"/>
    </row>
    <row r="8">
      <c r="A8" s="7" t="inlineStr">
        <is>
          <t>7</t>
        </is>
      </c>
      <c r="B8" s="8" t="inlineStr">
        <is>
          <t>刷版（計画書）</t>
        </is>
      </c>
      <c r="C8" s="8" t="inlineStr">
        <is>
          <t>4色×台数</t>
        </is>
      </c>
      <c r="D8" s="7" t="inlineStr">
        <is>
          <t>式</t>
        </is>
      </c>
      <c r="E8" s="9" t="n">
        <v>1</v>
      </c>
      <c r="F8" s="10" t="n"/>
      <c r="G8" s="11">
        <f>IF(F8="","",E8*F8)</f>
        <v/>
      </c>
      <c r="H8" s="12" t="n"/>
    </row>
    <row r="9">
      <c r="A9" s="7" t="inlineStr">
        <is>
          <t>8</t>
        </is>
      </c>
      <c r="B9" s="8" t="inlineStr">
        <is>
          <t>印刷・製本（計画書）</t>
        </is>
      </c>
      <c r="C9" s="8" t="inlineStr">
        <is>
          <t>A4・4色刷り・80頁・無線綴じ</t>
        </is>
      </c>
      <c r="D9" s="7" t="inlineStr">
        <is>
          <t>部</t>
        </is>
      </c>
      <c r="E9" s="9" t="n">
        <v>50</v>
      </c>
      <c r="F9" s="10" t="n"/>
      <c r="G9" s="11">
        <f>IF(F9="","",E9*F9)</f>
        <v/>
      </c>
      <c r="H9" s="12" t="n"/>
    </row>
    <row r="10">
      <c r="A10" s="7" t="inlineStr">
        <is>
          <t>9</t>
        </is>
      </c>
      <c r="B10" s="8" t="inlineStr">
        <is>
          <t>刷版（概要版）</t>
        </is>
      </c>
      <c r="C10" s="8" t="inlineStr">
        <is>
          <t>4色</t>
        </is>
      </c>
      <c r="D10" s="7" t="inlineStr">
        <is>
          <t>式</t>
        </is>
      </c>
      <c r="E10" s="9" t="n">
        <v>1</v>
      </c>
      <c r="F10" s="10" t="n"/>
      <c r="G10" s="11">
        <f>IF(F10="","",E10*F10)</f>
        <v/>
      </c>
      <c r="H10" s="12" t="n"/>
    </row>
    <row r="11">
      <c r="A11" s="7" t="inlineStr">
        <is>
          <t>10</t>
        </is>
      </c>
      <c r="B11" s="8" t="inlineStr">
        <is>
          <t>印刷・製本（概要版）</t>
        </is>
      </c>
      <c r="C11" s="8" t="inlineStr">
        <is>
          <t>A4・4色刷り・8頁・中綴じ</t>
        </is>
      </c>
      <c r="D11" s="7" t="inlineStr">
        <is>
          <t>部</t>
        </is>
      </c>
      <c r="E11" s="9" t="n">
        <v>50</v>
      </c>
      <c r="F11" s="10" t="n"/>
      <c r="G11" s="11">
        <f>IF(F11="","",E11*F11)</f>
        <v/>
      </c>
      <c r="H11" s="12" t="n"/>
    </row>
    <row r="12">
      <c r="A12" s="7" t="inlineStr">
        <is>
          <t>11</t>
        </is>
      </c>
      <c r="B12" s="8" t="inlineStr">
        <is>
          <t>簡易製本（成果品①〜④）</t>
        </is>
      </c>
      <c r="C12" s="8" t="inlineStr">
        <is>
          <t>介護保険給付費等分析結果報告書、サービス見込量推計結果報告書、計画骨子案、計画素案　各3部</t>
        </is>
      </c>
      <c r="D12" s="7" t="inlineStr">
        <is>
          <t>部</t>
        </is>
      </c>
      <c r="E12" s="9" t="n">
        <v>12</v>
      </c>
      <c r="F12" s="10" t="n"/>
      <c r="G12" s="11">
        <f>IF(F12="","",E12*F12)</f>
        <v/>
      </c>
      <c r="H12" s="12" t="n"/>
    </row>
    <row r="13">
      <c r="A13" s="7" t="inlineStr">
        <is>
          <t>12</t>
        </is>
      </c>
      <c r="B13" s="8" t="inlineStr">
        <is>
          <t>CD-Rの作成・ラベル印刷</t>
        </is>
      </c>
      <c r="C13" s="8" t="inlineStr">
        <is>
          <t>成果品①〜④で1部、（５）（６）で1部、（７）で1部</t>
        </is>
      </c>
      <c r="D13" s="7" t="inlineStr">
        <is>
          <t>枚</t>
        </is>
      </c>
      <c r="E13" s="9" t="n">
        <v>3</v>
      </c>
      <c r="F13" s="10" t="n"/>
      <c r="G13" s="11">
        <f>IF(F13="","",E13*F13)</f>
        <v/>
      </c>
      <c r="H13" s="12" t="n"/>
    </row>
    <row r="14">
      <c r="A14" s="7" t="inlineStr">
        <is>
          <t>13</t>
        </is>
      </c>
      <c r="B14" s="8" t="inlineStr">
        <is>
          <t>梱包・納品</t>
        </is>
      </c>
      <c r="C14" s="8" t="inlineStr">
        <is>
          <t>小野町役場 保健福祉課への搬入</t>
        </is>
      </c>
      <c r="D14" s="7" t="inlineStr">
        <is>
          <t>一式</t>
        </is>
      </c>
      <c r="E14" s="9" t="n">
        <v>1</v>
      </c>
      <c r="F14" s="10" t="n"/>
      <c r="G14" s="11">
        <f>IF(F14="","",E14*F14)</f>
        <v/>
      </c>
      <c r="H14" s="12" t="n"/>
    </row>
    <row r="15">
      <c r="A15" s="7" t="inlineStr">
        <is>
          <t>14</t>
        </is>
      </c>
      <c r="B15" s="12" t="n"/>
      <c r="C15" s="12" t="n"/>
      <c r="D15" s="13" t="n"/>
      <c r="E15" s="10" t="n"/>
      <c r="F15" s="10" t="n"/>
      <c r="G15" s="10" t="n"/>
      <c r="H15" s="12" t="n"/>
    </row>
    <row r="16">
      <c r="A16" s="7" t="inlineStr">
        <is>
          <t>15</t>
        </is>
      </c>
      <c r="B16" s="12" t="n"/>
      <c r="C16" s="12" t="n"/>
      <c r="D16" s="13" t="n"/>
      <c r="E16" s="10" t="n"/>
      <c r="F16" s="10" t="n"/>
      <c r="G16" s="10" t="n"/>
      <c r="H16" s="12" t="n"/>
    </row>
    <row r="17">
      <c r="A17" s="7" t="inlineStr">
        <is>
          <t>16</t>
        </is>
      </c>
      <c r="B17" s="12" t="n"/>
      <c r="C17" s="12" t="n"/>
      <c r="D17" s="13" t="n"/>
      <c r="E17" s="10" t="n"/>
      <c r="F17" s="10" t="n"/>
      <c r="G17" s="10" t="n"/>
      <c r="H17" s="12" t="n"/>
    </row>
    <row r="18">
      <c r="A18" s="14" t="inlineStr"/>
      <c r="B18" s="15" t="inlineStr">
        <is>
          <t>小計</t>
        </is>
      </c>
      <c r="C18" s="15" t="inlineStr"/>
      <c r="D18" s="14" t="inlineStr"/>
      <c r="E18" s="16" t="inlineStr"/>
      <c r="F18" s="16" t="inlineStr"/>
      <c r="G18" s="16">
        <f>SUM(G2:G17)</f>
        <v/>
      </c>
      <c r="H18" s="15" t="inlineStr"/>
    </row>
    <row r="19">
      <c r="A19" s="14" t="inlineStr"/>
      <c r="B19" s="15" t="inlineStr">
        <is>
          <t>消費税（10％）</t>
        </is>
      </c>
      <c r="C19" s="15" t="inlineStr"/>
      <c r="D19" s="14" t="inlineStr"/>
      <c r="E19" s="16" t="inlineStr"/>
      <c r="F19" s="16" t="inlineStr"/>
      <c r="G19" s="16">
        <f>ROUND(G18*0.1,0)</f>
        <v/>
      </c>
      <c r="H19" s="15" t="inlineStr"/>
    </row>
    <row r="20">
      <c r="A20" s="14" t="inlineStr"/>
      <c r="B20" s="15" t="inlineStr">
        <is>
          <t>合計</t>
        </is>
      </c>
      <c r="C20" s="15" t="inlineStr"/>
      <c r="D20" s="14" t="inlineStr"/>
      <c r="E20" s="16" t="inlineStr"/>
      <c r="F20" s="16" t="inlineStr"/>
      <c r="G20" s="16">
        <f>G18+G19</f>
        <v/>
      </c>
      <c r="H20" s="15" t="inlineStr"/>
    </row>
    <row r="23">
      <c r="A23" s="17" t="inlineStr">
        <is>
          <t>■ 増減単価（必ずご記入ください）</t>
        </is>
      </c>
    </row>
    <row r="24">
      <c r="B24" s="18" t="inlineStr">
        <is>
          <t>項目</t>
        </is>
      </c>
      <c r="F24" s="18" t="inlineStr">
        <is>
          <t>単価（円）</t>
        </is>
      </c>
    </row>
    <row r="25">
      <c r="B25" s="19" t="inlineStr">
        <is>
          <t>計画書　10部増の場合の単価</t>
        </is>
      </c>
      <c r="F25" s="20" t="n"/>
    </row>
    <row r="26">
      <c r="B26" s="19" t="inlineStr">
        <is>
          <t>計画書　10部減の場合の減額</t>
        </is>
      </c>
      <c r="F26" s="20" t="n"/>
    </row>
    <row r="27">
      <c r="B27" s="19" t="inlineStr">
        <is>
          <t>概要版　10部増の場合の単価</t>
        </is>
      </c>
      <c r="F27" s="20" t="n"/>
    </row>
    <row r="28">
      <c r="B28" s="19" t="inlineStr">
        <is>
          <t>概要版　10部減の場合の減額</t>
        </is>
      </c>
      <c r="F28" s="20" t="n"/>
    </row>
    <row r="29">
      <c r="B29" s="19" t="inlineStr">
        <is>
          <t>計画書　8頁（1台）増の場合の単価</t>
        </is>
      </c>
      <c r="F29" s="20" t="n"/>
    </row>
    <row r="30">
      <c r="B30" s="19" t="inlineStr">
        <is>
          <t>文字校正を1回追加する場合の単価</t>
        </is>
      </c>
      <c r="F30" s="20" t="n"/>
    </row>
    <row r="31">
      <c r="B31" s="19" t="inlineStr">
        <is>
          <t>色校正を簡易校正（DDCP）とした場合の減額</t>
        </is>
      </c>
      <c r="F31" s="2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7" customWidth="1" min="3" max="3"/>
    <col width="8" customWidth="1" min="4" max="4"/>
    <col width="13" customWidth="1" min="5" max="5"/>
    <col width="13" customWidth="1" min="6" max="6"/>
    <col width="13" customWidth="1" min="7" max="7"/>
    <col width="16" customWidth="1" min="8" max="8"/>
  </cols>
  <sheetData>
    <row r="1">
      <c r="A1" s="4" t="inlineStr">
        <is>
          <t>No</t>
        </is>
      </c>
      <c r="B1" s="4" t="inlineStr">
        <is>
          <t>工程</t>
        </is>
      </c>
      <c r="C1" s="4" t="inlineStr">
        <is>
          <t>単位</t>
        </is>
      </c>
      <c r="D1" s="4" t="inlineStr">
        <is>
          <t>数量</t>
        </is>
      </c>
      <c r="E1" s="4" t="inlineStr">
        <is>
          <t>A社（円）</t>
        </is>
      </c>
      <c r="F1" s="4" t="inlineStr">
        <is>
          <t>B社（円）</t>
        </is>
      </c>
      <c r="G1" s="4" t="inlineStr">
        <is>
          <t>C社（円）</t>
        </is>
      </c>
      <c r="H1" s="4" t="inlineStr">
        <is>
          <t>最低額との差（最高額）</t>
        </is>
      </c>
    </row>
    <row r="2">
      <c r="A2" s="7" t="inlineStr">
        <is>
          <t>1</t>
        </is>
      </c>
      <c r="B2" s="8" t="inlineStr">
        <is>
          <t>企画・デザイン</t>
        </is>
      </c>
      <c r="C2" s="7" t="inlineStr">
        <is>
          <t>一式</t>
        </is>
      </c>
      <c r="D2" s="7" t="n">
        <v>1</v>
      </c>
      <c r="E2" s="21" t="n"/>
      <c r="F2" s="21" t="n"/>
      <c r="G2" s="21" t="n"/>
      <c r="H2" s="9">
        <f>IF(COUNT(E2:G2)=0,"",MAX(E2:G2)-MIN(E2:G2))</f>
        <v/>
      </c>
    </row>
    <row r="3">
      <c r="A3" s="7" t="inlineStr">
        <is>
          <t>2</t>
        </is>
      </c>
      <c r="B3" s="8" t="inlineStr">
        <is>
          <t>組版・レイアウト（計画書）</t>
        </is>
      </c>
      <c r="C3" s="7" t="inlineStr">
        <is>
          <t>頁</t>
        </is>
      </c>
      <c r="D3" s="7" t="n">
        <v>80</v>
      </c>
      <c r="E3" s="21" t="n"/>
      <c r="F3" s="21" t="n"/>
      <c r="G3" s="21" t="n"/>
      <c r="H3" s="9">
        <f>IF(COUNT(E3:G3)=0,"",MAX(E3:G3)-MIN(E3:G3))</f>
        <v/>
      </c>
    </row>
    <row r="4">
      <c r="A4" s="7" t="inlineStr">
        <is>
          <t>3</t>
        </is>
      </c>
      <c r="B4" s="8" t="inlineStr">
        <is>
          <t>組版・レイアウト（概要版）</t>
        </is>
      </c>
      <c r="C4" s="7" t="inlineStr">
        <is>
          <t>頁</t>
        </is>
      </c>
      <c r="D4" s="7" t="n">
        <v>8</v>
      </c>
      <c r="E4" s="21" t="n"/>
      <c r="F4" s="21" t="n"/>
      <c r="G4" s="21" t="n"/>
      <c r="H4" s="9">
        <f>IF(COUNT(E4:G4)=0,"",MAX(E4:G4)-MIN(E4:G4))</f>
        <v/>
      </c>
    </row>
    <row r="5">
      <c r="A5" s="7" t="inlineStr">
        <is>
          <t>4</t>
        </is>
      </c>
      <c r="B5" s="8" t="inlineStr">
        <is>
          <t>図版の作成・加工</t>
        </is>
      </c>
      <c r="C5" s="7" t="inlineStr">
        <is>
          <t>点</t>
        </is>
      </c>
      <c r="D5" s="7" t="n">
        <v>30</v>
      </c>
      <c r="E5" s="21" t="n"/>
      <c r="F5" s="21" t="n"/>
      <c r="G5" s="21" t="n"/>
      <c r="H5" s="9">
        <f>IF(COUNT(E5:G5)=0,"",MAX(E5:G5)-MIN(E5:G5))</f>
        <v/>
      </c>
    </row>
    <row r="6">
      <c r="A6" s="7" t="inlineStr">
        <is>
          <t>5</t>
        </is>
      </c>
      <c r="B6" s="8" t="inlineStr">
        <is>
          <t>校正（初校・再校）</t>
        </is>
      </c>
      <c r="C6" s="7" t="inlineStr">
        <is>
          <t>一式</t>
        </is>
      </c>
      <c r="D6" s="7" t="n">
        <v>1</v>
      </c>
      <c r="E6" s="21" t="n"/>
      <c r="F6" s="21" t="n"/>
      <c r="G6" s="21" t="n"/>
      <c r="H6" s="9">
        <f>IF(COUNT(E6:G6)=0,"",MAX(E6:G6)-MIN(E6:G6))</f>
        <v/>
      </c>
    </row>
    <row r="7">
      <c r="A7" s="7" t="inlineStr">
        <is>
          <t>6</t>
        </is>
      </c>
      <c r="B7" s="8" t="inlineStr">
        <is>
          <t>色校正（本紙）</t>
        </is>
      </c>
      <c r="C7" s="7" t="inlineStr">
        <is>
          <t>一式</t>
        </is>
      </c>
      <c r="D7" s="7" t="n">
        <v>1</v>
      </c>
      <c r="E7" s="21" t="n"/>
      <c r="F7" s="21" t="n"/>
      <c r="G7" s="21" t="n"/>
      <c r="H7" s="9">
        <f>IF(COUNT(E7:G7)=0,"",MAX(E7:G7)-MIN(E7:G7))</f>
        <v/>
      </c>
    </row>
    <row r="8">
      <c r="A8" s="7" t="inlineStr">
        <is>
          <t>7</t>
        </is>
      </c>
      <c r="B8" s="8" t="inlineStr">
        <is>
          <t>刷版（計画書）</t>
        </is>
      </c>
      <c r="C8" s="7" t="inlineStr">
        <is>
          <t>式</t>
        </is>
      </c>
      <c r="D8" s="7" t="n">
        <v>1</v>
      </c>
      <c r="E8" s="21" t="n"/>
      <c r="F8" s="21" t="n"/>
      <c r="G8" s="21" t="n"/>
      <c r="H8" s="9">
        <f>IF(COUNT(E8:G8)=0,"",MAX(E8:G8)-MIN(E8:G8))</f>
        <v/>
      </c>
    </row>
    <row r="9">
      <c r="A9" s="7" t="inlineStr">
        <is>
          <t>8</t>
        </is>
      </c>
      <c r="B9" s="8" t="inlineStr">
        <is>
          <t>印刷・製本（計画書）</t>
        </is>
      </c>
      <c r="C9" s="7" t="inlineStr">
        <is>
          <t>部</t>
        </is>
      </c>
      <c r="D9" s="7" t="n">
        <v>50</v>
      </c>
      <c r="E9" s="21" t="n"/>
      <c r="F9" s="21" t="n"/>
      <c r="G9" s="21" t="n"/>
      <c r="H9" s="9">
        <f>IF(COUNT(E9:G9)=0,"",MAX(E9:G9)-MIN(E9:G9))</f>
        <v/>
      </c>
    </row>
    <row r="10">
      <c r="A10" s="7" t="inlineStr">
        <is>
          <t>9</t>
        </is>
      </c>
      <c r="B10" s="8" t="inlineStr">
        <is>
          <t>刷版（概要版）</t>
        </is>
      </c>
      <c r="C10" s="7" t="inlineStr">
        <is>
          <t>式</t>
        </is>
      </c>
      <c r="D10" s="7" t="n">
        <v>1</v>
      </c>
      <c r="E10" s="21" t="n"/>
      <c r="F10" s="21" t="n"/>
      <c r="G10" s="21" t="n"/>
      <c r="H10" s="9">
        <f>IF(COUNT(E10:G10)=0,"",MAX(E10:G10)-MIN(E10:G10))</f>
        <v/>
      </c>
    </row>
    <row r="11">
      <c r="A11" s="7" t="inlineStr">
        <is>
          <t>10</t>
        </is>
      </c>
      <c r="B11" s="8" t="inlineStr">
        <is>
          <t>印刷・製本（概要版）</t>
        </is>
      </c>
      <c r="C11" s="7" t="inlineStr">
        <is>
          <t>部</t>
        </is>
      </c>
      <c r="D11" s="7" t="n">
        <v>50</v>
      </c>
      <c r="E11" s="21" t="n"/>
      <c r="F11" s="21" t="n"/>
      <c r="G11" s="21" t="n"/>
      <c r="H11" s="9">
        <f>IF(COUNT(E11:G11)=0,"",MAX(E11:G11)-MIN(E11:G11))</f>
        <v/>
      </c>
    </row>
    <row r="12">
      <c r="A12" s="7" t="inlineStr">
        <is>
          <t>11</t>
        </is>
      </c>
      <c r="B12" s="8" t="inlineStr">
        <is>
          <t>簡易製本（成果品①〜④）</t>
        </is>
      </c>
      <c r="C12" s="7" t="inlineStr">
        <is>
          <t>部</t>
        </is>
      </c>
      <c r="D12" s="7" t="n">
        <v>12</v>
      </c>
      <c r="E12" s="21" t="n"/>
      <c r="F12" s="21" t="n"/>
      <c r="G12" s="21" t="n"/>
      <c r="H12" s="9">
        <f>IF(COUNT(E12:G12)=0,"",MAX(E12:G12)-MIN(E12:G12))</f>
        <v/>
      </c>
    </row>
    <row r="13">
      <c r="A13" s="7" t="inlineStr">
        <is>
          <t>12</t>
        </is>
      </c>
      <c r="B13" s="8" t="inlineStr">
        <is>
          <t>CD-Rの作成・ラベル印刷</t>
        </is>
      </c>
      <c r="C13" s="7" t="inlineStr">
        <is>
          <t>枚</t>
        </is>
      </c>
      <c r="D13" s="7" t="n">
        <v>3</v>
      </c>
      <c r="E13" s="21" t="n"/>
      <c r="F13" s="21" t="n"/>
      <c r="G13" s="21" t="n"/>
      <c r="H13" s="9">
        <f>IF(COUNT(E13:G13)=0,"",MAX(E13:G13)-MIN(E13:G13))</f>
        <v/>
      </c>
    </row>
    <row r="14">
      <c r="A14" s="7" t="inlineStr">
        <is>
          <t>13</t>
        </is>
      </c>
      <c r="B14" s="8" t="inlineStr">
        <is>
          <t>梱包・納品</t>
        </is>
      </c>
      <c r="C14" s="7" t="inlineStr">
        <is>
          <t>一式</t>
        </is>
      </c>
      <c r="D14" s="7" t="n">
        <v>1</v>
      </c>
      <c r="E14" s="21" t="n"/>
      <c r="F14" s="21" t="n"/>
      <c r="G14" s="21" t="n"/>
      <c r="H14" s="9">
        <f>IF(COUNT(E14:G14)=0,"",MAX(E14:G14)-MIN(E14:G14))</f>
        <v/>
      </c>
    </row>
    <row r="15">
      <c r="A15" s="14" t="inlineStr"/>
      <c r="B15" s="15" t="inlineStr">
        <is>
          <t>合計（税抜）</t>
        </is>
      </c>
      <c r="C15" s="14" t="inlineStr"/>
      <c r="D15" s="14" t="inlineStr"/>
      <c r="E15" s="16">
        <f>SUM(E2:E14)</f>
        <v/>
      </c>
      <c r="F15" s="16">
        <f>SUM(F2:F14)</f>
        <v/>
      </c>
      <c r="G15" s="16">
        <f>SUM(G2:G14)</f>
        <v/>
      </c>
      <c r="H15" s="16" t="inlineStr"/>
    </row>
    <row r="16">
      <c r="A16" s="14" t="inlineStr"/>
      <c r="B16" s="15" t="inlineStr">
        <is>
          <t>消費税（10％）</t>
        </is>
      </c>
      <c r="C16" s="14" t="inlineStr"/>
      <c r="D16" s="14" t="inlineStr"/>
      <c r="E16" s="16">
        <f>ROUND(E15*0.1,0)</f>
        <v/>
      </c>
      <c r="F16" s="16">
        <f>ROUND(F15*0.1,0)</f>
        <v/>
      </c>
      <c r="G16" s="16">
        <f>ROUND(G15*0.1,0)</f>
        <v/>
      </c>
      <c r="H16" s="16" t="inlineStr"/>
    </row>
    <row r="17">
      <c r="A17" s="14" t="inlineStr"/>
      <c r="B17" s="15" t="inlineStr">
        <is>
          <t>合計（税込）</t>
        </is>
      </c>
      <c r="C17" s="14" t="inlineStr"/>
      <c r="D17" s="14" t="inlineStr"/>
      <c r="E17" s="16">
        <f>E15+E16</f>
        <v/>
      </c>
      <c r="F17" s="16">
        <f>F15+F16</f>
        <v/>
      </c>
      <c r="G17" s="16">
        <f>G15+G16</f>
        <v/>
      </c>
      <c r="H17" s="16" t="inlineStr"/>
    </row>
    <row r="19">
      <c r="A19" s="17" t="inlineStr">
        <is>
          <t>■ 金額以外の比較（価格だけで決めない）</t>
        </is>
      </c>
    </row>
    <row r="20">
      <c r="B20" s="22" t="inlineStr">
        <is>
          <t>校了から納品までの所要日数（短いほど協議会の日程に余裕が出る）</t>
        </is>
      </c>
    </row>
    <row r="21">
      <c r="B21" s="22" t="inlineStr">
        <is>
          <t>色校正の種別（本紙／簡易）と回数</t>
        </is>
      </c>
    </row>
    <row r="22">
      <c r="B22" s="22" t="inlineStr">
        <is>
          <t>増減単価（部数・頁数）</t>
        </is>
      </c>
    </row>
    <row r="23">
      <c r="B23" s="22" t="inlineStr">
        <is>
          <t>過去の自治体計画書の実績</t>
        </is>
      </c>
    </row>
    <row r="24">
      <c r="B24" s="22" t="inlineStr">
        <is>
          <t>再委託の有無</t>
        </is>
      </c>
    </row>
    <row r="25">
      <c r="B25" s="22" t="inlineStr">
        <is>
          <t>入稿データの形式（Word・InDesign・PDF）と、版下データの引渡しの可否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6" customWidth="1" min="1" max="1"/>
    <col width="10" customWidth="1" min="2" max="2"/>
    <col width="10" customWidth="1" min="3" max="3"/>
    <col width="16" customWidth="1" min="4" max="4"/>
    <col width="18" customWidth="1" min="5" max="5"/>
    <col width="16" customWidth="1" min="6" max="6"/>
    <col width="16" customWidth="1" min="7" max="7"/>
  </cols>
  <sheetData>
    <row r="1">
      <c r="A1" s="4" t="inlineStr">
        <is>
          <t>案</t>
        </is>
      </c>
      <c r="B1" s="4" t="inlineStr">
        <is>
          <t>協議会</t>
        </is>
      </c>
      <c r="C1" s="4" t="inlineStr">
        <is>
          <t>印刷日数</t>
        </is>
      </c>
      <c r="D1" s="4" t="inlineStr">
        <is>
          <t>見積依頼の発送</t>
        </is>
      </c>
      <c r="E1" s="4" t="inlineStr">
        <is>
          <t>校了・下版（＝入稿）</t>
        </is>
      </c>
      <c r="F1" s="4" t="inlineStr">
        <is>
          <t>刷り上がりの期限</t>
        </is>
      </c>
      <c r="G1" s="4" t="inlineStr">
        <is>
          <t>納品・検収</t>
        </is>
      </c>
    </row>
    <row r="2">
      <c r="A2" s="7" t="inlineStr">
        <is>
          <t>案A</t>
        </is>
      </c>
      <c r="B2" s="7" t="inlineStr">
        <is>
          <t>4回</t>
        </is>
      </c>
      <c r="C2" s="7" t="inlineStr">
        <is>
          <t>25日</t>
        </is>
      </c>
      <c r="D2" s="7" t="inlineStr">
        <is>
          <t>令和9年1月21日（木）</t>
        </is>
      </c>
      <c r="E2" s="7" t="inlineStr">
        <is>
          <t>令和9年2月26日（金）</t>
        </is>
      </c>
      <c r="F2" s="7" t="inlineStr">
        <is>
          <t>令和9年3月25日（木）</t>
        </is>
      </c>
      <c r="G2" s="7" t="inlineStr">
        <is>
          <t>令和9年3月31日（水）</t>
        </is>
      </c>
    </row>
    <row r="3">
      <c r="A3" s="7" t="inlineStr">
        <is>
          <t>案B</t>
        </is>
      </c>
      <c r="B3" s="7" t="inlineStr">
        <is>
          <t>3回</t>
        </is>
      </c>
      <c r="C3" s="7" t="inlineStr">
        <is>
          <t>25日</t>
        </is>
      </c>
      <c r="D3" s="7" t="inlineStr">
        <is>
          <t>令和9年1月21日（木）</t>
        </is>
      </c>
      <c r="E3" s="7" t="inlineStr">
        <is>
          <t>令和9年2月26日（金）</t>
        </is>
      </c>
      <c r="F3" s="7" t="inlineStr">
        <is>
          <t>令和9年3月25日（木）</t>
        </is>
      </c>
      <c r="G3" s="7" t="inlineStr">
        <is>
          <t>令和9年3月31日（水）</t>
        </is>
      </c>
    </row>
    <row r="4">
      <c r="A4" s="7" t="inlineStr">
        <is>
          <t>案C</t>
        </is>
      </c>
      <c r="B4" s="7" t="inlineStr">
        <is>
          <t>4回</t>
        </is>
      </c>
      <c r="C4" s="7" t="inlineStr">
        <is>
          <t>18日</t>
        </is>
      </c>
      <c r="D4" s="7" t="inlineStr">
        <is>
          <t>令和9年1月28日（木）</t>
        </is>
      </c>
      <c r="E4" s="7" t="inlineStr">
        <is>
          <t>令和9年3月5日（金）</t>
        </is>
      </c>
      <c r="F4" s="7" t="inlineStr">
        <is>
          <t>令和9年3月25日（木）</t>
        </is>
      </c>
      <c r="G4" s="7" t="inlineStr">
        <is>
          <t>令和9年3月31日（水）</t>
        </is>
      </c>
    </row>
    <row r="5">
      <c r="A5" s="7" t="inlineStr">
        <is>
          <t>案D</t>
        </is>
      </c>
      <c r="B5" s="7" t="inlineStr">
        <is>
          <t>3回</t>
        </is>
      </c>
      <c r="C5" s="7" t="inlineStr">
        <is>
          <t>18日</t>
        </is>
      </c>
      <c r="D5" s="7" t="inlineStr">
        <is>
          <t>令和9年1月28日（木）</t>
        </is>
      </c>
      <c r="E5" s="7" t="inlineStr">
        <is>
          <t>令和9年3月5日（金）</t>
        </is>
      </c>
      <c r="F5" s="7" t="inlineStr">
        <is>
          <t>令和9年3月25日（木）</t>
        </is>
      </c>
      <c r="G5" s="7" t="inlineStr">
        <is>
          <t>令和9年3月31日（水）</t>
        </is>
      </c>
    </row>
    <row r="7">
      <c r="A7" s="17" t="inlineStr">
        <is>
          <t>■ 業者を押さえるまでの逆算（案ごと）</t>
        </is>
      </c>
    </row>
    <row r="8">
      <c r="A8" s="18" t="inlineStr">
        <is>
          <t>案</t>
        </is>
      </c>
      <c r="B8" s="18" t="inlineStr">
        <is>
          <t>工程</t>
        </is>
      </c>
      <c r="D8" s="18" t="inlineStr">
        <is>
          <t>期限</t>
        </is>
      </c>
      <c r="E8" s="18" t="inlineStr">
        <is>
          <t>所要日数</t>
        </is>
      </c>
    </row>
    <row r="9">
      <c r="A9" s="22" t="inlineStr">
        <is>
          <t>案A</t>
        </is>
      </c>
      <c r="B9" s="22" t="inlineStr">
        <is>
          <t>★ 見積依頼の発送</t>
        </is>
      </c>
      <c r="D9" s="22" t="inlineStr">
        <is>
          <t>令和9年1月21日（木）</t>
        </is>
      </c>
      <c r="E9" s="22" t="inlineStr">
        <is>
          <t>―</t>
        </is>
      </c>
    </row>
    <row r="10">
      <c r="A10" s="22" t="inlineStr">
        <is>
          <t>案A</t>
        </is>
      </c>
      <c r="B10" s="22" t="inlineStr">
        <is>
          <t>見積の提出期限</t>
        </is>
      </c>
      <c r="D10" s="22" t="inlineStr">
        <is>
          <t>令和9年2月4日（木）</t>
        </is>
      </c>
      <c r="E10" s="22" t="inlineStr">
        <is>
          <t>14日</t>
        </is>
      </c>
    </row>
    <row r="11">
      <c r="A11" s="22" t="inlineStr">
        <is>
          <t>案A</t>
        </is>
      </c>
      <c r="B11" s="22" t="inlineStr">
        <is>
          <t>見積の比較・業者の決定</t>
        </is>
      </c>
      <c r="D11" s="22" t="inlineStr">
        <is>
          <t>令和9年2月8日（月）</t>
        </is>
      </c>
      <c r="E11" s="22" t="inlineStr">
        <is>
          <t>4日</t>
        </is>
      </c>
    </row>
    <row r="12">
      <c r="A12" s="22" t="inlineStr">
        <is>
          <t>案A</t>
        </is>
      </c>
      <c r="B12" s="22" t="inlineStr">
        <is>
          <t>発注（契約）</t>
        </is>
      </c>
      <c r="D12" s="22" t="inlineStr">
        <is>
          <t>令和9年2月11日（木）</t>
        </is>
      </c>
      <c r="E12" s="22" t="inlineStr">
        <is>
          <t>3日</t>
        </is>
      </c>
    </row>
    <row r="13">
      <c r="A13" s="22" t="inlineStr">
        <is>
          <t>案A</t>
        </is>
      </c>
      <c r="B13" s="22" t="inlineStr">
        <is>
          <t>印刷業者の作業の開始（レイアウト・組版）</t>
        </is>
      </c>
      <c r="D13" s="22" t="inlineStr">
        <is>
          <t>令和9年2月11日（木）</t>
        </is>
      </c>
      <c r="E13" s="22" t="inlineStr">
        <is>
          <t>―</t>
        </is>
      </c>
    </row>
    <row r="14">
      <c r="A14" s="22" t="inlineStr">
        <is>
          <t>案B</t>
        </is>
      </c>
      <c r="B14" s="22" t="inlineStr">
        <is>
          <t>★ 見積依頼の発送</t>
        </is>
      </c>
      <c r="D14" s="22" t="inlineStr">
        <is>
          <t>令和9年1月21日（木）</t>
        </is>
      </c>
      <c r="E14" s="22" t="inlineStr">
        <is>
          <t>―</t>
        </is>
      </c>
    </row>
    <row r="15">
      <c r="A15" s="22" t="inlineStr">
        <is>
          <t>案B</t>
        </is>
      </c>
      <c r="B15" s="22" t="inlineStr">
        <is>
          <t>見積の提出期限</t>
        </is>
      </c>
      <c r="D15" s="22" t="inlineStr">
        <is>
          <t>令和9年2月4日（木）</t>
        </is>
      </c>
      <c r="E15" s="22" t="inlineStr">
        <is>
          <t>14日</t>
        </is>
      </c>
    </row>
    <row r="16">
      <c r="A16" s="22" t="inlineStr">
        <is>
          <t>案B</t>
        </is>
      </c>
      <c r="B16" s="22" t="inlineStr">
        <is>
          <t>見積の比較・業者の決定</t>
        </is>
      </c>
      <c r="D16" s="22" t="inlineStr">
        <is>
          <t>令和9年2月8日（月）</t>
        </is>
      </c>
      <c r="E16" s="22" t="inlineStr">
        <is>
          <t>4日</t>
        </is>
      </c>
    </row>
    <row r="17">
      <c r="A17" s="22" t="inlineStr">
        <is>
          <t>案B</t>
        </is>
      </c>
      <c r="B17" s="22" t="inlineStr">
        <is>
          <t>発注（契約）</t>
        </is>
      </c>
      <c r="D17" s="22" t="inlineStr">
        <is>
          <t>令和9年2月11日（木）</t>
        </is>
      </c>
      <c r="E17" s="22" t="inlineStr">
        <is>
          <t>3日</t>
        </is>
      </c>
    </row>
    <row r="18">
      <c r="A18" s="22" t="inlineStr">
        <is>
          <t>案B</t>
        </is>
      </c>
      <c r="B18" s="22" t="inlineStr">
        <is>
          <t>印刷業者の作業の開始（レイアウト・組版）</t>
        </is>
      </c>
      <c r="D18" s="22" t="inlineStr">
        <is>
          <t>令和9年2月11日（木）</t>
        </is>
      </c>
      <c r="E18" s="22" t="inlineStr">
        <is>
          <t>―</t>
        </is>
      </c>
    </row>
    <row r="19">
      <c r="A19" s="22" t="inlineStr">
        <is>
          <t>案C</t>
        </is>
      </c>
      <c r="B19" s="22" t="inlineStr">
        <is>
          <t>★ 見積依頼の発送</t>
        </is>
      </c>
      <c r="D19" s="22" t="inlineStr">
        <is>
          <t>令和9年1月28日（木）</t>
        </is>
      </c>
      <c r="E19" s="22" t="inlineStr">
        <is>
          <t>―</t>
        </is>
      </c>
    </row>
    <row r="20">
      <c r="A20" s="22" t="inlineStr">
        <is>
          <t>案C</t>
        </is>
      </c>
      <c r="B20" s="22" t="inlineStr">
        <is>
          <t>見積の提出期限</t>
        </is>
      </c>
      <c r="D20" s="22" t="inlineStr">
        <is>
          <t>令和9年2月11日（木）</t>
        </is>
      </c>
      <c r="E20" s="22" t="inlineStr">
        <is>
          <t>14日</t>
        </is>
      </c>
    </row>
    <row r="21">
      <c r="A21" s="22" t="inlineStr">
        <is>
          <t>案C</t>
        </is>
      </c>
      <c r="B21" s="22" t="inlineStr">
        <is>
          <t>見積の比較・業者の決定</t>
        </is>
      </c>
      <c r="D21" s="22" t="inlineStr">
        <is>
          <t>令和9年2月15日（月）</t>
        </is>
      </c>
      <c r="E21" s="22" t="inlineStr">
        <is>
          <t>4日</t>
        </is>
      </c>
    </row>
    <row r="22">
      <c r="A22" s="22" t="inlineStr">
        <is>
          <t>案C</t>
        </is>
      </c>
      <c r="B22" s="22" t="inlineStr">
        <is>
          <t>発注（契約）</t>
        </is>
      </c>
      <c r="D22" s="22" t="inlineStr">
        <is>
          <t>令和9年2月18日（木）</t>
        </is>
      </c>
      <c r="E22" s="22" t="inlineStr">
        <is>
          <t>3日</t>
        </is>
      </c>
    </row>
    <row r="23">
      <c r="A23" s="22" t="inlineStr">
        <is>
          <t>案C</t>
        </is>
      </c>
      <c r="B23" s="22" t="inlineStr">
        <is>
          <t>印刷業者の作業の開始（レイアウト・組版）</t>
        </is>
      </c>
      <c r="D23" s="22" t="inlineStr">
        <is>
          <t>令和9年2月18日（木）</t>
        </is>
      </c>
      <c r="E23" s="22" t="inlineStr">
        <is>
          <t>―</t>
        </is>
      </c>
    </row>
    <row r="24">
      <c r="A24" s="22" t="inlineStr">
        <is>
          <t>案D</t>
        </is>
      </c>
      <c r="B24" s="22" t="inlineStr">
        <is>
          <t>★ 見積依頼の発送</t>
        </is>
      </c>
      <c r="D24" s="22" t="inlineStr">
        <is>
          <t>令和9年1月28日（木）</t>
        </is>
      </c>
      <c r="E24" s="22" t="inlineStr">
        <is>
          <t>―</t>
        </is>
      </c>
    </row>
    <row r="25">
      <c r="A25" s="22" t="inlineStr">
        <is>
          <t>案D</t>
        </is>
      </c>
      <c r="B25" s="22" t="inlineStr">
        <is>
          <t>見積の提出期限</t>
        </is>
      </c>
      <c r="D25" s="22" t="inlineStr">
        <is>
          <t>令和9年2月11日（木）</t>
        </is>
      </c>
      <c r="E25" s="22" t="inlineStr">
        <is>
          <t>14日</t>
        </is>
      </c>
    </row>
    <row r="26">
      <c r="A26" s="22" t="inlineStr">
        <is>
          <t>案D</t>
        </is>
      </c>
      <c r="B26" s="22" t="inlineStr">
        <is>
          <t>見積の比較・業者の決定</t>
        </is>
      </c>
      <c r="D26" s="22" t="inlineStr">
        <is>
          <t>令和9年2月15日（月）</t>
        </is>
      </c>
      <c r="E26" s="22" t="inlineStr">
        <is>
          <t>4日</t>
        </is>
      </c>
    </row>
    <row r="27">
      <c r="A27" s="22" t="inlineStr">
        <is>
          <t>案D</t>
        </is>
      </c>
      <c r="B27" s="22" t="inlineStr">
        <is>
          <t>発注（契約）</t>
        </is>
      </c>
      <c r="D27" s="22" t="inlineStr">
        <is>
          <t>令和9年2月18日（木）</t>
        </is>
      </c>
      <c r="E27" s="22" t="inlineStr">
        <is>
          <t>3日</t>
        </is>
      </c>
    </row>
    <row r="28">
      <c r="A28" s="22" t="inlineStr">
        <is>
          <t>案D</t>
        </is>
      </c>
      <c r="B28" s="22" t="inlineStr">
        <is>
          <t>印刷業者の作業の開始（レイアウト・組版）</t>
        </is>
      </c>
      <c r="D28" s="22" t="inlineStr">
        <is>
          <t>令和9年2月18日（木）</t>
        </is>
      </c>
      <c r="E28" s="2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8" customWidth="1" min="1" max="1"/>
    <col width="48" customWidth="1" min="2" max="2"/>
    <col width="24" customWidth="1" min="3" max="3"/>
    <col width="24" customWidth="1" min="4" max="4"/>
    <col width="10" customWidth="1" min="5" max="5"/>
  </cols>
  <sheetData>
    <row r="1">
      <c r="A1" s="4" t="inlineStr">
        <is>
          <t>No</t>
        </is>
      </c>
      <c r="B1" s="4" t="inlineStr">
        <is>
          <t>点検項目</t>
        </is>
      </c>
      <c r="C1" s="4" t="inlineStr">
        <is>
          <t>期待</t>
        </is>
      </c>
      <c r="D1" s="4" t="inlineStr">
        <is>
          <t>結果</t>
        </is>
      </c>
      <c r="E1" s="4" t="inlineStr">
        <is>
          <t>判定</t>
        </is>
      </c>
    </row>
    <row r="2">
      <c r="A2" s="7" t="inlineStr">
        <is>
          <t>1-計画書</t>
        </is>
      </c>
      <c r="B2" s="8" t="inlineStr">
        <is>
          <t>計画書の仕様が仕様書の条文と合う</t>
        </is>
      </c>
      <c r="C2" s="8" t="inlineStr">
        <is>
          <t>True</t>
        </is>
      </c>
      <c r="D2" s="8" t="inlineStr">
        <is>
          <t>True</t>
        </is>
      </c>
      <c r="E2" s="7" t="inlineStr">
        <is>
          <t>OK</t>
        </is>
      </c>
    </row>
    <row r="3">
      <c r="A3" s="7" t="inlineStr">
        <is>
          <t>1-概要版</t>
        </is>
      </c>
      <c r="B3" s="8" t="inlineStr">
        <is>
          <t>概要版の仕様が仕様書の条文と合う</t>
        </is>
      </c>
      <c r="C3" s="8" t="inlineStr">
        <is>
          <t>True</t>
        </is>
      </c>
      <c r="D3" s="8" t="inlineStr">
        <is>
          <t>True</t>
        </is>
      </c>
      <c r="E3" s="7" t="inlineStr">
        <is>
          <t>OK</t>
        </is>
      </c>
    </row>
    <row r="4">
      <c r="A4" s="7" t="inlineStr">
        <is>
          <t>2a</t>
        </is>
      </c>
      <c r="B4" s="8" t="inlineStr">
        <is>
          <t>計画書の部数</t>
        </is>
      </c>
      <c r="C4" s="8" t="inlineStr">
        <is>
          <t>50</t>
        </is>
      </c>
      <c r="D4" s="8" t="inlineStr">
        <is>
          <t>50</t>
        </is>
      </c>
      <c r="E4" s="7" t="inlineStr">
        <is>
          <t>OK</t>
        </is>
      </c>
    </row>
    <row r="5">
      <c r="A5" s="7" t="inlineStr">
        <is>
          <t>2b</t>
        </is>
      </c>
      <c r="B5" s="8" t="inlineStr">
        <is>
          <t>概要版の部数</t>
        </is>
      </c>
      <c r="C5" s="8" t="inlineStr">
        <is>
          <t>50</t>
        </is>
      </c>
      <c r="D5" s="8" t="inlineStr">
        <is>
          <t>50</t>
        </is>
      </c>
      <c r="E5" s="7" t="inlineStr">
        <is>
          <t>OK</t>
        </is>
      </c>
    </row>
    <row r="6">
      <c r="A6" s="7" t="inlineStr">
        <is>
          <t>2c</t>
        </is>
      </c>
      <c r="B6" s="8" t="inlineStr">
        <is>
          <t>計画書の頁数</t>
        </is>
      </c>
      <c r="C6" s="8" t="inlineStr">
        <is>
          <t>80</t>
        </is>
      </c>
      <c r="D6" s="8" t="inlineStr">
        <is>
          <t>80</t>
        </is>
      </c>
      <c r="E6" s="7" t="inlineStr">
        <is>
          <t>OK</t>
        </is>
      </c>
    </row>
    <row r="7">
      <c r="A7" s="7" t="inlineStr">
        <is>
          <t>2d</t>
        </is>
      </c>
      <c r="B7" s="8" t="inlineStr">
        <is>
          <t>概要版の頁数</t>
        </is>
      </c>
      <c r="C7" s="8" t="inlineStr">
        <is>
          <t>8</t>
        </is>
      </c>
      <c r="D7" s="8" t="inlineStr">
        <is>
          <t>8</t>
        </is>
      </c>
      <c r="E7" s="7" t="inlineStr">
        <is>
          <t>OK</t>
        </is>
      </c>
    </row>
    <row r="8">
      <c r="A8" s="7" t="inlineStr">
        <is>
          <t>3-A</t>
        </is>
      </c>
      <c r="B8" s="8" t="inlineStr">
        <is>
          <t>案Aの逆算が順に進む</t>
        </is>
      </c>
      <c r="C8" s="8" t="inlineStr">
        <is>
          <t>True</t>
        </is>
      </c>
      <c r="D8" s="8" t="inlineStr">
        <is>
          <t>True</t>
        </is>
      </c>
      <c r="E8" s="7" t="inlineStr">
        <is>
          <t>OK</t>
        </is>
      </c>
    </row>
    <row r="9">
      <c r="A9" s="7" t="inlineStr">
        <is>
          <t>3-B</t>
        </is>
      </c>
      <c r="B9" s="8" t="inlineStr">
        <is>
          <t>案Bの逆算が順に進む</t>
        </is>
      </c>
      <c r="C9" s="8" t="inlineStr">
        <is>
          <t>True</t>
        </is>
      </c>
      <c r="D9" s="8" t="inlineStr">
        <is>
          <t>True</t>
        </is>
      </c>
      <c r="E9" s="7" t="inlineStr">
        <is>
          <t>OK</t>
        </is>
      </c>
    </row>
    <row r="10">
      <c r="A10" s="7" t="inlineStr">
        <is>
          <t>3-C</t>
        </is>
      </c>
      <c r="B10" s="8" t="inlineStr">
        <is>
          <t>案Cの逆算が順に進む</t>
        </is>
      </c>
      <c r="C10" s="8" t="inlineStr">
        <is>
          <t>True</t>
        </is>
      </c>
      <c r="D10" s="8" t="inlineStr">
        <is>
          <t>True</t>
        </is>
      </c>
      <c r="E10" s="7" t="inlineStr">
        <is>
          <t>OK</t>
        </is>
      </c>
    </row>
    <row r="11">
      <c r="A11" s="7" t="inlineStr">
        <is>
          <t>3-D</t>
        </is>
      </c>
      <c r="B11" s="8" t="inlineStr">
        <is>
          <t>案Dの逆算が順に進む</t>
        </is>
      </c>
      <c r="C11" s="8" t="inlineStr">
        <is>
          <t>True</t>
        </is>
      </c>
      <c r="D11" s="8" t="inlineStr">
        <is>
          <t>True</t>
        </is>
      </c>
      <c r="E11" s="7" t="inlineStr">
        <is>
          <t>OK</t>
        </is>
      </c>
    </row>
    <row r="12">
      <c r="A12" s="7" t="inlineStr">
        <is>
          <t>4-A</t>
        </is>
      </c>
      <c r="B12" s="8" t="inlineStr">
        <is>
          <t>案Aの納品が納期以前</t>
        </is>
      </c>
      <c r="C12" s="8" t="inlineStr">
        <is>
          <t>True</t>
        </is>
      </c>
      <c r="D12" s="8" t="inlineStr">
        <is>
          <t>True</t>
        </is>
      </c>
      <c r="E12" s="7" t="inlineStr">
        <is>
          <t>OK</t>
        </is>
      </c>
    </row>
    <row r="13">
      <c r="A13" s="7" t="inlineStr">
        <is>
          <t>4-B</t>
        </is>
      </c>
      <c r="B13" s="8" t="inlineStr">
        <is>
          <t>案Bの納品が納期以前</t>
        </is>
      </c>
      <c r="C13" s="8" t="inlineStr">
        <is>
          <t>True</t>
        </is>
      </c>
      <c r="D13" s="8" t="inlineStr">
        <is>
          <t>True</t>
        </is>
      </c>
      <c r="E13" s="7" t="inlineStr">
        <is>
          <t>OK</t>
        </is>
      </c>
    </row>
    <row r="14">
      <c r="A14" s="7" t="inlineStr">
        <is>
          <t>4-C</t>
        </is>
      </c>
      <c r="B14" s="8" t="inlineStr">
        <is>
          <t>案Cの納品が納期以前</t>
        </is>
      </c>
      <c r="C14" s="8" t="inlineStr">
        <is>
          <t>True</t>
        </is>
      </c>
      <c r="D14" s="8" t="inlineStr">
        <is>
          <t>True</t>
        </is>
      </c>
      <c r="E14" s="7" t="inlineStr">
        <is>
          <t>OK</t>
        </is>
      </c>
    </row>
    <row r="15">
      <c r="A15" s="7" t="inlineStr">
        <is>
          <t>4-D</t>
        </is>
      </c>
      <c r="B15" s="8" t="inlineStr">
        <is>
          <t>案Dの納品が納期以前</t>
        </is>
      </c>
      <c r="C15" s="8" t="inlineStr">
        <is>
          <t>True</t>
        </is>
      </c>
      <c r="D15" s="8" t="inlineStr">
        <is>
          <t>True</t>
        </is>
      </c>
      <c r="E15" s="7" t="inlineStr">
        <is>
          <t>OK</t>
        </is>
      </c>
    </row>
    <row r="16">
      <c r="A16" s="7" t="inlineStr">
        <is>
          <t>5-A</t>
        </is>
      </c>
      <c r="B16" s="8" t="inlineStr">
        <is>
          <t>案Aの見積依頼が基準日以降</t>
        </is>
      </c>
      <c r="C16" s="8" t="inlineStr">
        <is>
          <t>True</t>
        </is>
      </c>
      <c r="D16" s="8" t="inlineStr">
        <is>
          <t>True</t>
        </is>
      </c>
      <c r="E16" s="7" t="inlineStr">
        <is>
          <t>OK</t>
        </is>
      </c>
    </row>
    <row r="17">
      <c r="A17" s="7" t="inlineStr">
        <is>
          <t>5-B</t>
        </is>
      </c>
      <c r="B17" s="8" t="inlineStr">
        <is>
          <t>案Bの見積依頼が基準日以降</t>
        </is>
      </c>
      <c r="C17" s="8" t="inlineStr">
        <is>
          <t>True</t>
        </is>
      </c>
      <c r="D17" s="8" t="inlineStr">
        <is>
          <t>True</t>
        </is>
      </c>
      <c r="E17" s="7" t="inlineStr">
        <is>
          <t>OK</t>
        </is>
      </c>
    </row>
    <row r="18">
      <c r="A18" s="7" t="inlineStr">
        <is>
          <t>5-C</t>
        </is>
      </c>
      <c r="B18" s="8" t="inlineStr">
        <is>
          <t>案Cの見積依頼が基準日以降</t>
        </is>
      </c>
      <c r="C18" s="8" t="inlineStr">
        <is>
          <t>True</t>
        </is>
      </c>
      <c r="D18" s="8" t="inlineStr">
        <is>
          <t>True</t>
        </is>
      </c>
      <c r="E18" s="7" t="inlineStr">
        <is>
          <t>OK</t>
        </is>
      </c>
    </row>
    <row r="19">
      <c r="A19" s="7" t="inlineStr">
        <is>
          <t>5-D</t>
        </is>
      </c>
      <c r="B19" s="8" t="inlineStr">
        <is>
          <t>案Dの見積依頼が基準日以降</t>
        </is>
      </c>
      <c r="C19" s="8" t="inlineStr">
        <is>
          <t>True</t>
        </is>
      </c>
      <c r="D19" s="8" t="inlineStr">
        <is>
          <t>True</t>
        </is>
      </c>
      <c r="E19" s="7" t="inlineStr">
        <is>
          <t>OK</t>
        </is>
      </c>
    </row>
    <row r="20">
      <c r="A20" s="7" t="inlineStr">
        <is>
          <t>6</t>
        </is>
      </c>
      <c r="B20" s="8" t="inlineStr">
        <is>
          <t>印刷日数を25日→18日にすると校了が後ろになる</t>
        </is>
      </c>
      <c r="C20" s="8" t="inlineStr">
        <is>
          <t>True</t>
        </is>
      </c>
      <c r="D20" s="8" t="inlineStr">
        <is>
          <t>True</t>
        </is>
      </c>
      <c r="E20" s="7" t="inlineStr">
        <is>
          <t>OK</t>
        </is>
      </c>
    </row>
    <row r="21">
      <c r="A21" s="7" t="inlineStr">
        <is>
          <t>8</t>
        </is>
      </c>
      <c r="B21" s="8" t="inlineStr">
        <is>
          <t>刷り上がりの期限は印刷日数によらない</t>
        </is>
      </c>
      <c r="C21" s="8" t="inlineStr">
        <is>
          <t>1</t>
        </is>
      </c>
      <c r="D21" s="8" t="inlineStr">
        <is>
          <t>1</t>
        </is>
      </c>
      <c r="E21" s="7" t="inlineStr">
        <is>
          <t>OK</t>
        </is>
      </c>
    </row>
    <row r="22">
      <c r="A22" s="7" t="inlineStr">
        <is>
          <t>7</t>
        </is>
      </c>
      <c r="B22" s="8" t="inlineStr">
        <is>
          <t>見積の工程の番号</t>
        </is>
      </c>
      <c r="C22" s="8" t="inlineStr">
        <is>
          <t>[1, 2, 3, 4, 5, 6, 7, 8, 9, 10, 11, 12, 13]</t>
        </is>
      </c>
      <c r="D22" s="8" t="inlineStr">
        <is>
          <t>[1, 2, 3, 4, 5, 6, 7, 8, 9, 10, 11, 12, 13]</t>
        </is>
      </c>
      <c r="E22" s="7" t="inlineStr">
        <is>
          <t>OK</t>
        </is>
      </c>
    </row>
    <row r="23">
      <c r="A23" s="7" t="inlineStr">
        <is>
          <t>9-A</t>
        </is>
      </c>
      <c r="B23" s="8" t="inlineStr">
        <is>
          <t>案Aの推奨の発注が最遅より前</t>
        </is>
      </c>
      <c r="C23" s="8" t="inlineStr">
        <is>
          <t>True</t>
        </is>
      </c>
      <c r="D23" s="8" t="inlineStr">
        <is>
          <t>True</t>
        </is>
      </c>
      <c r="E23" s="7" t="inlineStr">
        <is>
          <t>OK</t>
        </is>
      </c>
    </row>
    <row r="24">
      <c r="A24" s="7" t="inlineStr">
        <is>
          <t>9-B</t>
        </is>
      </c>
      <c r="B24" s="8" t="inlineStr">
        <is>
          <t>案Bの推奨の発注が最遅より前</t>
        </is>
      </c>
      <c r="C24" s="8" t="inlineStr">
        <is>
          <t>True</t>
        </is>
      </c>
      <c r="D24" s="8" t="inlineStr">
        <is>
          <t>True</t>
        </is>
      </c>
      <c r="E24" s="7" t="inlineStr">
        <is>
          <t>OK</t>
        </is>
      </c>
    </row>
    <row r="25">
      <c r="A25" s="7" t="inlineStr">
        <is>
          <t>9-C</t>
        </is>
      </c>
      <c r="B25" s="8" t="inlineStr">
        <is>
          <t>案Cの推奨の発注が最遅より前</t>
        </is>
      </c>
      <c r="C25" s="8" t="inlineStr">
        <is>
          <t>True</t>
        </is>
      </c>
      <c r="D25" s="8" t="inlineStr">
        <is>
          <t>True</t>
        </is>
      </c>
      <c r="E25" s="7" t="inlineStr">
        <is>
          <t>OK</t>
        </is>
      </c>
    </row>
    <row r="26">
      <c r="A26" s="7" t="inlineStr">
        <is>
          <t>9-D</t>
        </is>
      </c>
      <c r="B26" s="8" t="inlineStr">
        <is>
          <t>案Dの推奨の発注が最遅より前</t>
        </is>
      </c>
      <c r="C26" s="8" t="inlineStr">
        <is>
          <t>True</t>
        </is>
      </c>
      <c r="D26" s="8" t="inlineStr">
        <is>
          <t>True</t>
        </is>
      </c>
      <c r="E26" s="7" t="inlineStr">
        <is>
          <t>OK</t>
        </is>
      </c>
    </row>
    <row r="27">
      <c r="A27" s="7" t="inlineStr">
        <is>
          <t>10-A</t>
        </is>
      </c>
      <c r="B27" s="8" t="inlineStr">
        <is>
          <t>案Aの推奨の発注が令和9年1月末まで</t>
        </is>
      </c>
      <c r="C27" s="8" t="inlineStr">
        <is>
          <t>True</t>
        </is>
      </c>
      <c r="D27" s="8" t="inlineStr">
        <is>
          <t>True</t>
        </is>
      </c>
      <c r="E27" s="7" t="inlineStr">
        <is>
          <t>OK</t>
        </is>
      </c>
    </row>
    <row r="28">
      <c r="A28" s="7" t="inlineStr">
        <is>
          <t>10-B</t>
        </is>
      </c>
      <c r="B28" s="8" t="inlineStr">
        <is>
          <t>案Bの推奨の発注が令和9年1月末まで</t>
        </is>
      </c>
      <c r="C28" s="8" t="inlineStr">
        <is>
          <t>True</t>
        </is>
      </c>
      <c r="D28" s="8" t="inlineStr">
        <is>
          <t>True</t>
        </is>
      </c>
      <c r="E28" s="7" t="inlineStr">
        <is>
          <t>OK</t>
        </is>
      </c>
    </row>
    <row r="29">
      <c r="A29" s="7" t="inlineStr">
        <is>
          <t>10-C</t>
        </is>
      </c>
      <c r="B29" s="8" t="inlineStr">
        <is>
          <t>案Cの推奨の発注が令和9年1月末まで</t>
        </is>
      </c>
      <c r="C29" s="8" t="inlineStr">
        <is>
          <t>True</t>
        </is>
      </c>
      <c r="D29" s="8" t="inlineStr">
        <is>
          <t>True</t>
        </is>
      </c>
      <c r="E29" s="7" t="inlineStr">
        <is>
          <t>OK</t>
        </is>
      </c>
    </row>
    <row r="30">
      <c r="A30" s="7" t="inlineStr">
        <is>
          <t>10-D</t>
        </is>
      </c>
      <c r="B30" s="8" t="inlineStr">
        <is>
          <t>案Dの推奨の発注が令和9年1月末まで</t>
        </is>
      </c>
      <c r="C30" s="8" t="inlineStr">
        <is>
          <t>True</t>
        </is>
      </c>
      <c r="D30" s="8" t="inlineStr">
        <is>
          <t>True</t>
        </is>
      </c>
      <c r="E30" s="7" t="inlineStr">
        <is>
          <t>OK</t>
        </is>
      </c>
    </row>
    <row r="31">
      <c r="A31" s="7" t="inlineStr">
        <is>
          <t>11</t>
        </is>
      </c>
      <c r="B31" s="8" t="inlineStr">
        <is>
          <t>年末年始に落ちた日付</t>
        </is>
      </c>
      <c r="C31" s="8" t="inlineStr">
        <is>
          <t>0</t>
        </is>
      </c>
      <c r="D31" s="8" t="inlineStr">
        <is>
          <t>0</t>
        </is>
      </c>
      <c r="E31" s="7" t="inlineStr">
        <is>
          <t>OK</t>
        </is>
      </c>
    </row>
    <row r="32">
      <c r="A32" s="7" t="inlineStr">
        <is>
          <t>12</t>
        </is>
      </c>
      <c r="B32" s="8" t="inlineStr">
        <is>
          <t>土日に落ちた日付</t>
        </is>
      </c>
      <c r="C32" s="8" t="inlineStr">
        <is>
          <t>0</t>
        </is>
      </c>
      <c r="D32" s="8" t="inlineStr">
        <is>
          <t>0</t>
        </is>
      </c>
      <c r="E32" s="7"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2026-10-14T13:41:48Z</dcterms:created>
  <dcterms:modified xmlns:dcterms="http://purl.org/dc/terms/" xmlns:xsi="http://www.w3.org/2001/XMLSchema-instance" xsi:type="dcterms:W3CDTF">2026-10-14T13:41:49Z</dcterms:modified>
</cp:coreProperties>
</file>