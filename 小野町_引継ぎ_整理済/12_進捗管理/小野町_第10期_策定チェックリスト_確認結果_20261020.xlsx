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使い方・集計" sheetId="1" state="visible" r:id="rId1"/>
    <sheet xmlns:r="http://schemas.openxmlformats.org/officeDocument/2006/relationships" name="01_総合チェックリスト" sheetId="2" state="visible" r:id="rId2"/>
    <sheet xmlns:r="http://schemas.openxmlformats.org/officeDocument/2006/relationships" name="02_目次体系マップ" sheetId="3" state="visible" r:id="rId3"/>
    <sheet xmlns:r="http://schemas.openxmlformats.org/officeDocument/2006/relationships" name="03_国通知・時期" sheetId="4" state="visible" r:id="rId4"/>
    <sheet xmlns:r="http://schemas.openxmlformats.org/officeDocument/2006/relationships" name="04_エビデンス台帳" sheetId="5" state="visible" r:id="rId5"/>
    <sheet xmlns:r="http://schemas.openxmlformats.org/officeDocument/2006/relationships" name="05_重点論点判定" sheetId="6" state="visible" r:id="rId6"/>
  </sheets>
  <definedNames/>
</workbook>
</file>

<file path=xl/styles.xml><?xml version="1.0" encoding="utf-8"?>
<styleSheet xmlns="http://schemas.openxmlformats.org/spreadsheetml/2006/main">
  <numFmts count="0"/>
  <fonts count="14">
    <font>
      <name val="Carlito"/>
      <sz val="11"/>
    </font>
    <font>
      <name val="Yu Gothic"/>
      <sz val="11"/>
    </font>
    <font>
      <name val="Yu Gothic"/>
      <sz val="10"/>
    </font>
    <font>
      <name val="Yu Gothic"/>
      <b val="1"/>
      <color rgb="FFFFFFFF"/>
      <sz val="11"/>
    </font>
    <font>
      <name val="Yu Gothic"/>
      <b val="1"/>
      <color rgb="FFFFFFFF"/>
      <sz val="17"/>
    </font>
    <font>
      <name val="Yu Gothic"/>
      <color rgb="FF244662"/>
      <sz val="10"/>
    </font>
    <font>
      <name val="Yu Gothic"/>
      <b val="1"/>
      <color rgb="FF143048"/>
      <sz val="20"/>
    </font>
    <font>
      <name val="Yu Gothic"/>
      <b val="1"/>
      <color rgb="FFFFFFFF"/>
      <sz val="12"/>
    </font>
    <font>
      <name val="Yu Gothic"/>
      <b val="1"/>
      <color rgb="FF143048"/>
      <sz val="11"/>
    </font>
    <font>
      <name val="Yu Gothic"/>
      <color rgb="FF143048"/>
      <sz val="11"/>
    </font>
    <font>
      <name val="Yu Gothic"/>
      <b val="1"/>
      <color rgb="FF244662"/>
      <sz val="10"/>
    </font>
    <font>
      <name val="Yu Gothic"/>
      <color rgb="FF143048"/>
      <sz val="10"/>
    </font>
    <font>
      <name val="Yu Gothic"/>
      <color rgb="FF684A1F"/>
      <sz val="10"/>
    </font>
    <font>
      <name val="Yu Gothic"/>
      <color rgb="FF244662"/>
      <sz val="11"/>
    </font>
  </fonts>
  <fills count="17">
    <fill>
      <patternFill/>
    </fill>
    <fill>
      <patternFill patternType="gray125"/>
    </fill>
    <fill>
      <patternFill patternType="solid">
        <fgColor rgb="FF143048"/>
      </patternFill>
    </fill>
    <fill>
      <patternFill patternType="solid">
        <fgColor rgb="FFEAF1F6"/>
      </patternFill>
    </fill>
    <fill>
      <patternFill patternType="solid">
        <fgColor rgb="FF244662"/>
      </patternFill>
    </fill>
    <fill>
      <patternFill patternType="solid">
        <fgColor rgb="FFF2F6F9"/>
      </patternFill>
    </fill>
    <fill>
      <patternFill patternType="solid">
        <fgColor rgb="FF0A776D"/>
      </patternFill>
    </fill>
    <fill>
      <patternFill patternType="solid">
        <fgColor rgb="FFD9E9E7"/>
      </patternFill>
    </fill>
    <fill>
      <patternFill patternType="solid">
        <fgColor rgb="FFE8F0F6"/>
      </patternFill>
    </fill>
    <fill>
      <patternFill patternType="solid">
        <fgColor rgb="FFF4EEDC"/>
      </patternFill>
    </fill>
    <fill>
      <patternFill patternType="solid">
        <fgColor rgb="FFF6F8FA"/>
      </patternFill>
    </fill>
    <fill>
      <patternFill patternType="solid">
        <fgColor rgb="00E2EFDA"/>
      </patternFill>
    </fill>
    <fill>
      <patternFill patternType="solid">
        <fgColor rgb="00FFF2CC"/>
      </patternFill>
    </fill>
    <fill>
      <patternFill patternType="solid">
        <fgColor rgb="00DDEBF7"/>
      </patternFill>
    </fill>
    <fill>
      <patternFill patternType="solid">
        <fgColor rgb="00EDEDED"/>
      </patternFill>
    </fill>
    <fill>
      <patternFill patternType="solid">
        <fgColor rgb="00FCE4D6"/>
      </patternFill>
    </fill>
    <fill>
      <patternFill patternType="solid">
        <fgColor rgb="00F2F2F2"/>
      </patternFill>
    </fill>
  </fills>
  <borders count="2">
    <border/>
    <border/>
  </borders>
  <cellStyleXfs count="1">
    <xf numFmtId="0" fontId="0" fillId="0" borderId="1"/>
  </cellStyleXfs>
  <cellXfs count="86">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2" fillId="0" borderId="0" pivotButton="0" quotePrefix="0" xfId="0"/>
    <xf numFmtId="0" fontId="2" fillId="0" borderId="1" pivotButton="0" quotePrefix="0" xfId="0"/>
    <xf numFmtId="0" fontId="2" fillId="0" borderId="0" applyAlignment="1" pivotButton="0" quotePrefix="0" xfId="0">
      <alignment wrapText="1"/>
    </xf>
    <xf numFmtId="0" fontId="2" fillId="0" borderId="1" applyAlignment="1" pivotButton="0" quotePrefix="0" xfId="0">
      <alignment wrapText="1"/>
    </xf>
    <xf numFmtId="0" fontId="2" fillId="0" borderId="0" applyAlignment="1" pivotButton="0" quotePrefix="0" xfId="0">
      <alignment vertical="center" wrapText="1"/>
    </xf>
    <xf numFmtId="0" fontId="2" fillId="0" borderId="1" applyAlignment="1" pivotButton="0" quotePrefix="0" xfId="0">
      <alignment vertical="center" wrapText="1"/>
    </xf>
    <xf numFmtId="0" fontId="2" fillId="2"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2" fillId="2" borderId="1" applyAlignment="1" pivotButton="0" quotePrefix="0" xfId="0">
      <alignment vertical="center" wrapText="1"/>
    </xf>
    <xf numFmtId="0" fontId="3" fillId="2" borderId="1" applyAlignment="1" pivotButton="0" quotePrefix="0" xfId="0">
      <alignment vertical="center" wrapText="1"/>
    </xf>
    <xf numFmtId="0" fontId="3" fillId="2" borderId="1" applyAlignment="1" pivotButton="0" quotePrefix="0" xfId="0">
      <alignment horizontal="center" vertical="center" wrapText="1"/>
    </xf>
    <xf numFmtId="0" fontId="0" fillId="2" borderId="0" pivotButton="0" quotePrefix="0" xfId="0"/>
    <xf numFmtId="0" fontId="4" fillId="2" borderId="0" pivotButton="0" quotePrefix="0" xfId="0"/>
    <xf numFmtId="0" fontId="4" fillId="2" borderId="0" applyAlignment="1" pivotButton="0" quotePrefix="0" xfId="0">
      <alignment vertical="center"/>
    </xf>
    <xf numFmtId="0" fontId="0" fillId="2" borderId="1" pivotButton="0" quotePrefix="0" xfId="0"/>
    <xf numFmtId="0" fontId="4" fillId="2" borderId="1" pivotButton="0" quotePrefix="0" xfId="0"/>
    <xf numFmtId="0" fontId="4" fillId="2" borderId="1" applyAlignment="1" pivotButton="0" quotePrefix="0" xfId="0">
      <alignment vertical="center"/>
    </xf>
    <xf numFmtId="0" fontId="0" fillId="3" borderId="0" pivotButton="0" quotePrefix="0" xfId="0"/>
    <xf numFmtId="0" fontId="5" fillId="3" borderId="0" pivotButton="0" quotePrefix="0" xfId="0"/>
    <xf numFmtId="0" fontId="5" fillId="3" borderId="0" applyAlignment="1" pivotButton="0" quotePrefix="0" xfId="0">
      <alignment wrapText="1"/>
    </xf>
    <xf numFmtId="0" fontId="0" fillId="3" borderId="1" pivotButton="0" quotePrefix="0" xfId="0"/>
    <xf numFmtId="0" fontId="5" fillId="3" borderId="1" pivotButton="0" quotePrefix="0" xfId="0"/>
    <xf numFmtId="0" fontId="5" fillId="3"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0" fillId="5" borderId="0" pivotButton="0" quotePrefix="0" xfId="0"/>
    <xf numFmtId="0" fontId="6" fillId="5" borderId="0" pivotButton="0" quotePrefix="0" xfId="0"/>
    <xf numFmtId="0" fontId="6" fillId="5" borderId="0" applyAlignment="1" pivotButton="0" quotePrefix="0" xfId="0">
      <alignment horizontal="center"/>
    </xf>
    <xf numFmtId="0" fontId="0" fillId="5" borderId="1" pivotButton="0" quotePrefix="0" xfId="0"/>
    <xf numFmtId="0" fontId="6" fillId="5" borderId="1" pivotButton="0" quotePrefix="0" xfId="0"/>
    <xf numFmtId="0" fontId="6" fillId="5" borderId="1" applyAlignment="1" pivotButton="0" quotePrefix="0" xfId="0">
      <alignment horizontal="center"/>
    </xf>
    <xf numFmtId="0" fontId="0" fillId="6" borderId="0" pivotButton="0" quotePrefix="0" xfId="0"/>
    <xf numFmtId="0" fontId="7" fillId="6" borderId="0" pivotButton="0" quotePrefix="0" xfId="0"/>
    <xf numFmtId="0" fontId="0" fillId="6" borderId="1" pivotButton="0" quotePrefix="0" xfId="0"/>
    <xf numFmtId="0" fontId="7" fillId="6" borderId="1" pivotButton="0" quotePrefix="0" xfId="0"/>
    <xf numFmtId="0" fontId="0" fillId="7" borderId="0" pivotButton="0" quotePrefix="0" xfId="0"/>
    <xf numFmtId="0" fontId="8" fillId="7" borderId="0" pivotButton="0" quotePrefix="0" xfId="0"/>
    <xf numFmtId="0" fontId="8" fillId="7" borderId="0" applyAlignment="1" pivotButton="0" quotePrefix="0" xfId="0">
      <alignment wrapText="1"/>
    </xf>
    <xf numFmtId="0" fontId="8" fillId="7" borderId="0" applyAlignment="1" pivotButton="0" quotePrefix="0" xfId="0">
      <alignment vertical="center" wrapText="1"/>
    </xf>
    <xf numFmtId="0" fontId="0" fillId="7" borderId="1" pivotButton="0" quotePrefix="0" xfId="0"/>
    <xf numFmtId="0" fontId="8" fillId="7" borderId="1" pivotButton="0" quotePrefix="0" xfId="0"/>
    <xf numFmtId="0" fontId="8" fillId="7" borderId="1" applyAlignment="1" pivotButton="0" quotePrefix="0" xfId="0">
      <alignment wrapText="1"/>
    </xf>
    <xf numFmtId="0" fontId="8" fillId="7" borderId="1" applyAlignment="1" pivotButton="0" quotePrefix="0" xfId="0">
      <alignment vertical="center" wrapText="1"/>
    </xf>
    <xf numFmtId="0" fontId="9" fillId="0" borderId="0" pivotButton="0" quotePrefix="0" xfId="0"/>
    <xf numFmtId="0" fontId="9" fillId="0" borderId="0" applyAlignment="1" pivotButton="0" quotePrefix="0" xfId="0">
      <alignment wrapText="1"/>
    </xf>
    <xf numFmtId="0" fontId="9" fillId="0" borderId="0" applyAlignment="1" pivotButton="0" quotePrefix="0" xfId="0">
      <alignment vertical="center" wrapText="1"/>
    </xf>
    <xf numFmtId="0" fontId="9" fillId="0" borderId="1" pivotButton="0" quotePrefix="0" xfId="0"/>
    <xf numFmtId="0" fontId="9" fillId="0" borderId="1" applyAlignment="1" pivotButton="0" quotePrefix="0" xfId="0">
      <alignment wrapText="1"/>
    </xf>
    <xf numFmtId="0" fontId="9" fillId="0" borderId="1" applyAlignment="1" pivotButton="0" quotePrefix="0" xfId="0">
      <alignment vertical="center" wrapText="1"/>
    </xf>
    <xf numFmtId="0" fontId="0" fillId="8" borderId="0" pivotButton="0" quotePrefix="0" xfId="0"/>
    <xf numFmtId="0" fontId="10" fillId="8" borderId="0" pivotButton="0" quotePrefix="0" xfId="0"/>
    <xf numFmtId="0" fontId="10" fillId="8" borderId="0" applyAlignment="1" pivotButton="0" quotePrefix="0" xfId="0">
      <alignment wrapText="1"/>
    </xf>
    <xf numFmtId="0" fontId="0" fillId="8" borderId="1" pivotButton="0" quotePrefix="0" xfId="0"/>
    <xf numFmtId="0" fontId="10" fillId="8" borderId="1" pivotButton="0" quotePrefix="0" xfId="0"/>
    <xf numFmtId="0" fontId="10" fillId="8" borderId="1" applyAlignment="1" pivotButton="0" quotePrefix="0" xfId="0">
      <alignment wrapText="1"/>
    </xf>
    <xf numFmtId="0" fontId="11" fillId="0" borderId="0" pivotButton="0" quotePrefix="0" xfId="0"/>
    <xf numFmtId="0" fontId="11" fillId="0" borderId="0" applyAlignment="1" pivotButton="0" quotePrefix="0" xfId="0">
      <alignment wrapText="1"/>
    </xf>
    <xf numFmtId="0" fontId="11" fillId="0" borderId="1" pivotButton="0" quotePrefix="0" xfId="0"/>
    <xf numFmtId="0" fontId="11" fillId="0" borderId="1" applyAlignment="1" pivotButton="0" quotePrefix="0" xfId="0">
      <alignment wrapText="1"/>
    </xf>
    <xf numFmtId="0" fontId="0" fillId="9" borderId="0" pivotButton="0" quotePrefix="0" xfId="0"/>
    <xf numFmtId="0" fontId="12" fillId="9" borderId="0" pivotButton="0" quotePrefix="0" xfId="0"/>
    <xf numFmtId="0" fontId="12" fillId="9" borderId="0" applyAlignment="1" pivotButton="0" quotePrefix="0" xfId="0">
      <alignment wrapText="1"/>
    </xf>
    <xf numFmtId="0" fontId="0" fillId="9" borderId="1" pivotButton="0" quotePrefix="0" xfId="0"/>
    <xf numFmtId="0" fontId="12" fillId="9" borderId="1" pivotButton="0" quotePrefix="0" xfId="0"/>
    <xf numFmtId="0" fontId="12" fillId="9" borderId="1" applyAlignment="1" pivotButton="0" quotePrefix="0" xfId="0">
      <alignment wrapText="1"/>
    </xf>
    <xf numFmtId="0" fontId="0" fillId="10" borderId="0" pivotButton="0" quotePrefix="0" xfId="0"/>
    <xf numFmtId="0" fontId="13" fillId="10" borderId="0" pivotButton="0" quotePrefix="0" xfId="0"/>
    <xf numFmtId="0" fontId="13" fillId="10" borderId="0" applyAlignment="1" pivotButton="0" quotePrefix="0" xfId="0">
      <alignment wrapText="1"/>
    </xf>
    <xf numFmtId="0" fontId="13" fillId="10" borderId="0" applyAlignment="1" pivotButton="0" quotePrefix="0" xfId="0">
      <alignment vertical="center" wrapText="1"/>
    </xf>
    <xf numFmtId="0" fontId="13" fillId="10" borderId="1" applyAlignment="1" pivotButton="0" quotePrefix="0" xfId="0">
      <alignment vertical="center" wrapText="1"/>
    </xf>
    <xf numFmtId="0" fontId="2" fillId="11" borderId="0" applyAlignment="1" pivotButton="0" quotePrefix="0" xfId="0">
      <alignment vertical="center" wrapText="1"/>
    </xf>
    <xf numFmtId="0" fontId="2" fillId="0" borderId="0" applyAlignment="1" pivotButton="0" quotePrefix="0" xfId="0">
      <alignment vertical="top" wrapText="1"/>
    </xf>
    <xf numFmtId="0" fontId="2" fillId="12" borderId="0" applyAlignment="1" pivotButton="0" quotePrefix="0" xfId="0">
      <alignment vertical="center" wrapText="1"/>
    </xf>
    <xf numFmtId="0" fontId="2" fillId="13" borderId="0" applyAlignment="1" pivotButton="0" quotePrefix="0" xfId="0">
      <alignment vertical="center" wrapText="1"/>
    </xf>
    <xf numFmtId="0" fontId="2" fillId="14" borderId="0" applyAlignment="1" pivotButton="0" quotePrefix="0" xfId="0">
      <alignment vertical="center" wrapText="1"/>
    </xf>
    <xf numFmtId="0" fontId="2" fillId="15" borderId="0" applyAlignment="1" pivotButton="0" quotePrefix="0" xfId="0">
      <alignment vertical="center" wrapText="1"/>
    </xf>
    <xf numFmtId="0" fontId="2" fillId="16" borderId="0" applyAlignment="1" pivotButton="0" quotePrefix="0" xfId="0">
      <alignment vertical="center" wrapText="1"/>
    </xf>
  </cellXfs>
  <cellStyles count="1">
    <cellStyle name="Normal" xfId="0"/>
  </cellStyles>
  <dxfs count="4">
    <dxf>
      <font>
        <color rgb="FF09684C"/>
      </font>
      <fill>
        <patternFill patternType="solid">
          <bgColor rgb="FFD7EEE7"/>
        </patternFill>
      </fill>
    </dxf>
    <dxf>
      <font>
        <color rgb="FF85560F"/>
      </font>
      <fill>
        <patternFill patternType="solid">
          <bgColor rgb="FFFEEDCA"/>
        </patternFill>
      </fill>
    </dxf>
    <dxf>
      <font>
        <color rgb="FFA32222"/>
      </font>
      <fill>
        <patternFill patternType="solid">
          <bgColor rgb="FFFCE1E1"/>
        </patternFill>
      </fill>
    </dxf>
    <dxf>
      <font>
        <b val="1"/>
        <color rgb="FFA43A13"/>
      </font>
      <fill>
        <patternFill patternType="solid">
          <bgColor rgb="FFFBE9D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MainChecklist" displayName="MainChecklist" ref="A1:Q177" headerRowCount="1" totalsRowCount="0" totalsRowShown="0">
  <tableColumns count="17">
    <tableColumn id="1" name="ID"/>
    <tableColumn id="2" name="手引き章"/>
    <tableColumn id="3" name="目次／該当節"/>
    <tableColumn id="4" name="手引き掲載頁"/>
    <tableColumn id="5" name="論点"/>
    <tableColumn id="6" name="確認事項（YES/NOで判定）"/>
    <tableColumn id="7" name="確認方法・判定基準"/>
    <tableColumn id="8" name="徴求すべきエビデンス"/>
    <tableColumn id="9" name="確認時期（作業目安）"/>
    <tableColumn id="10" name="担当部署（例）"/>
    <tableColumn id="11" name="優先度"/>
    <tableColumn id="12" name="根拠の位置付け"/>
    <tableColumn id="13" name="制度更新の留意点"/>
    <tableColumn id="14" name="国・根拠URL"/>
    <tableColumn id="15" name="進捗状況"/>
    <tableColumn id="16" name="確認結果・不足資料"/>
    <tableColumn id="17" name="協議・修正指示"/>
  </tableColumns>
  <tableStyleInfo name="TableStyleMedium2" showFirstColumn="0" showLastColumn="0" showRowStripes="1" showColumnStripes="0"/>
</table>
</file>

<file path=xl/tables/table2.xml><?xml version="1.0" encoding="utf-8"?>
<table xmlns="http://schemas.openxmlformats.org/spreadsheetml/2006/main" id="2" name="IndexMap" displayName="IndexMap" ref="A1:F32" headerRowCount="1" totalsRowCount="0" totalsRowShown="0">
  <tableColumns count="6">
    <tableColumn id="1" name="章・番号"/>
    <tableColumn id="2" name="手引き目次体系"/>
    <tableColumn id="3" name="掲載頁（印字）"/>
    <tableColumn id="4" name="主な内容"/>
    <tableColumn id="5" name="接続する点検区分"/>
    <tableColumn id="6" name="留意事項"/>
  </tableColumns>
  <tableStyleInfo name="TableStyleMedium2" showFirstColumn="0" showLastColumn="0" showRowStripes="1" showColumnStripes="0"/>
</table>
</file>

<file path=xl/tables/table3.xml><?xml version="1.0" encoding="utf-8"?>
<table xmlns="http://schemas.openxmlformats.org/spreadsheetml/2006/main" id="3" name="NationalTimeline" displayName="NationalTimeline" ref="A1:I16" headerRowCount="1" totalsRowCount="0" totalsRowShown="0">
  <tableColumns count="9">
    <tableColumn id="1" name="時期"/>
    <tableColumn id="2" name="確度"/>
    <tableColumn id="3" name="国の動向／工程"/>
    <tableColumn id="4" name="内容確認・対応"/>
    <tableColumn id="5" name="自治体側確認時期"/>
    <tableColumn id="6" name="エビデンス"/>
    <tableColumn id="7" name="所管（例）"/>
    <tableColumn id="8" name="一次資料URL"/>
    <tableColumn id="9" name="注意点"/>
  </tableColumns>
  <tableStyleInfo name="TableStyleMedium2" showFirstColumn="0" showLastColumn="0" showRowStripes="1" showColumnStripes="0"/>
</table>
</file>

<file path=xl/tables/table4.xml><?xml version="1.0" encoding="utf-8"?>
<table xmlns="http://schemas.openxmlformats.org/spreadsheetml/2006/main" id="4" name="EvidenceList" displayName="EvidenceList" ref="A1:J33" headerRowCount="1" totalsRowCount="0" totalsRowShown="0">
  <tableColumns count="10">
    <tableColumn id="1" name="証跡ID"/>
    <tableColumn id="2" name="資料・データ名"/>
    <tableColumn id="3" name="主な確認用途"/>
    <tableColumn id="4" name="入手先"/>
    <tableColumn id="5" name="入手状況"/>
    <tableColumn id="6" name="確認時期"/>
    <tableColumn id="7" name="レビュー観点"/>
    <tableColumn id="8" name="優先度"/>
    <tableColumn id="9" name="手引き根拠"/>
    <tableColumn id="10" name="一次資料URL"/>
  </tableColumns>
  <tableStyleInfo name="TableStyleMedium2" showFirstColumn="0" showLastColumn="0" showRowStripes="1" showColumnStripes="0"/>
</table>
</file>

<file path=xl/tables/table5.xml><?xml version="1.0" encoding="utf-8"?>
<table xmlns="http://schemas.openxmlformats.org/spreadsheetml/2006/main" id="5" name="ReviewAxes" displayName="ReviewAxes" ref="A1:G11" headerRowCount="1" totalsRowCount="0" totalsRowShown="0">
  <tableColumns count="7">
    <tableColumn id="1" name="論点"/>
    <tableColumn id="2" name="判断の軸"/>
    <tableColumn id="3" name="重大な誤り・RedTeam指摘"/>
    <tableColumn id="4" name="具体的な点検方法"/>
    <tableColumn id="5" name="エビデンス"/>
    <tableColumn id="6" name="注意点"/>
    <tableColumn id="7" name="対応方針"/>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activeCell="A1" sqref="A1"/>
    </sheetView>
  </sheetViews>
  <sheetFormatPr baseColWidth="8" defaultRowHeight="15"/>
  <cols>
    <col width="31" customWidth="1" min="1" max="1"/>
    <col width="26" customWidth="1" min="2" max="2"/>
    <col width="20" customWidth="1" min="3" max="3"/>
    <col width="6" customWidth="1" min="4" max="4"/>
    <col width="20" customWidth="1" min="5" max="5"/>
    <col width="20" customWidth="1" min="6" max="6"/>
    <col width="23" customWidth="1" min="7" max="7"/>
    <col width="17" customWidth="1" min="8" max="8"/>
  </cols>
  <sheetData>
    <row r="1" ht="27" customHeight="1">
      <c r="A1" s="21" t="inlineStr">
        <is>
          <t>第10期 介護保険事業計画｜策定チェックリスト・エビデンス管理</t>
        </is>
      </c>
      <c r="B1" s="1" t="n"/>
      <c r="C1" s="1" t="n"/>
      <c r="D1" s="1" t="n"/>
      <c r="E1" s="1" t="n"/>
      <c r="F1" s="1" t="n"/>
      <c r="G1" s="1" t="n"/>
      <c r="H1" s="1" t="n"/>
    </row>
    <row r="2" ht="27" customHeight="1">
      <c r="A2" s="1" t="n"/>
      <c r="B2" s="1" t="n"/>
      <c r="C2" s="1" t="n"/>
      <c r="D2" s="1" t="n"/>
      <c r="E2" s="1" t="n"/>
      <c r="F2" s="1" t="n"/>
      <c r="G2" s="1" t="n"/>
      <c r="H2" s="1" t="n"/>
    </row>
    <row r="4" ht="34" customHeight="1">
      <c r="A4" s="27" t="inlineStr">
        <is>
          <t>用途：手引きVer.2（令和７年３月時点）を土台に、2026年10月時点で確認できる国資料と実務上の点検項目を追加した管理表</t>
        </is>
      </c>
      <c r="B4" s="1" t="n"/>
      <c r="C4" s="1" t="n"/>
      <c r="D4" s="1" t="n"/>
      <c r="E4" s="1" t="n"/>
      <c r="F4" s="1" t="n"/>
      <c r="G4" s="1" t="n"/>
      <c r="H4" s="1" t="n"/>
    </row>
    <row r="6" ht="28" customHeight="1">
      <c r="A6" s="30" t="inlineStr">
        <is>
          <t>全項目数</t>
        </is>
      </c>
      <c r="B6" s="30" t="inlineStr">
        <is>
          <t>最優先項目</t>
        </is>
      </c>
      <c r="C6" s="30" t="inlineStr">
        <is>
          <t>完了件数</t>
        </is>
      </c>
      <c r="E6" s="30" t="inlineStr">
        <is>
          <t>未確認</t>
        </is>
      </c>
      <c r="F6" s="30" t="inlineStr">
        <is>
          <t>資料徴求中</t>
        </is>
      </c>
      <c r="G6" s="30" t="inlineStr">
        <is>
          <t>要協議・差戻し</t>
        </is>
      </c>
    </row>
    <row r="7" ht="43" customHeight="1">
      <c r="A7" s="36">
        <f>COUNTA('01_総合チェックリスト'!A2:A177)</f>
        <v/>
      </c>
      <c r="B7" s="36">
        <f>COUNTIF('01_総合チェックリスト'!K2:K177,"最優先")</f>
        <v/>
      </c>
      <c r="C7" s="36">
        <f>COUNTIF('01_総合チェックリスト'!O2:O177,"完了")</f>
        <v/>
      </c>
      <c r="E7" s="36">
        <f>COUNTIF('01_総合チェックリスト'!O2:O177,"未確認")</f>
        <v/>
      </c>
      <c r="F7" s="36">
        <f>COUNTIF('01_総合チェックリスト'!O2:O177,"資料徴求中")</f>
        <v/>
      </c>
      <c r="G7" s="36">
        <f>COUNTIF('01_総合チェックリスト'!O2:O177,"要協議")+COUNTIF('01_総合チェックリスト'!O2:O177,"差戻し")</f>
        <v/>
      </c>
    </row>
    <row r="10" ht="30" customHeight="1">
      <c r="A10" s="43" t="inlineStr">
        <is>
          <t>最初に確認する4つの重要論点</t>
        </is>
      </c>
      <c r="B10" s="1" t="n"/>
      <c r="C10" s="1" t="n"/>
      <c r="D10" s="1" t="n"/>
      <c r="E10" s="1" t="n"/>
      <c r="F10" s="1" t="n"/>
      <c r="G10" s="1" t="n"/>
      <c r="H10" s="1" t="n"/>
    </row>
    <row r="12" ht="63" customHeight="1">
      <c r="A12" s="47" t="inlineStr">
        <is>
          <t>①　法定事項</t>
        </is>
      </c>
      <c r="B12" s="57" t="inlineStr">
        <is>
          <t>介護保険法117条・次期基本指針。日常生活圏域・年度別サービス量・地域支援事業・自立支援等の取組目標は必須事項として確認する。</t>
        </is>
      </c>
      <c r="C12" s="1" t="n"/>
      <c r="D12" s="1" t="n"/>
      <c r="E12" s="1" t="n"/>
      <c r="F12" s="1" t="n"/>
      <c r="G12" s="1" t="n"/>
      <c r="H12" s="1" t="n"/>
    </row>
    <row r="13" ht="63" customHeight="1">
      <c r="A13" s="47" t="inlineStr">
        <is>
          <t>②　国の工程</t>
        </is>
      </c>
      <c r="B13" s="57" t="inlineStr">
        <is>
          <t>手引きp17は想定日程。2025/8/8調査資料、2026/3/11・7/15課長会議、2026/9地域分析改訂版を優先して確認する。</t>
        </is>
      </c>
      <c r="C13" s="1" t="n"/>
      <c r="D13" s="1" t="n"/>
      <c r="E13" s="1" t="n"/>
      <c r="F13" s="1" t="n"/>
      <c r="G13" s="1" t="n"/>
      <c r="H13" s="1" t="n"/>
    </row>
    <row r="14" ht="63" customHeight="1">
      <c r="A14" s="47" t="inlineStr">
        <is>
          <t>③　需給整合</t>
        </is>
      </c>
      <c r="B14" s="57" t="inlineStr">
        <is>
          <t>将来人口→認定率→サービス利用→給付費→保険料を追跡し、供給側（人材・事業所・住まい）の制約を反映する。</t>
        </is>
      </c>
      <c r="C14" s="1" t="n"/>
      <c r="D14" s="1" t="n"/>
      <c r="E14" s="1" t="n"/>
      <c r="F14" s="1" t="n"/>
      <c r="G14" s="1" t="n"/>
      <c r="H14" s="1" t="n"/>
    </row>
    <row r="15" ht="63" customHeight="1">
      <c r="A15" s="47" t="inlineStr">
        <is>
          <t>④　交付金</t>
        </is>
      </c>
      <c r="B15" s="57" t="inlineStr">
        <is>
          <t>推進交付金と努力支援交付金を混同しない。2026年度指標・得点・使途・交付決定と計画KPIを関連付ける。</t>
        </is>
      </c>
      <c r="C15" s="1" t="n"/>
      <c r="D15" s="1" t="n"/>
      <c r="E15" s="1" t="n"/>
      <c r="F15" s="1" t="n"/>
      <c r="G15" s="1" t="n"/>
      <c r="H15" s="1" t="n"/>
    </row>
    <row r="18" ht="29" customHeight="1">
      <c r="A18" s="32" t="inlineStr">
        <is>
          <t>シート構成と更新ルール</t>
        </is>
      </c>
      <c r="B18" s="1" t="n"/>
      <c r="C18" s="1" t="n"/>
      <c r="D18" s="1" t="n"/>
      <c r="E18" s="1" t="n"/>
      <c r="F18" s="1" t="n"/>
      <c r="G18" s="1" t="n"/>
      <c r="H18" s="1" t="n"/>
    </row>
    <row r="20" ht="35" customHeight="1">
      <c r="A20" s="60" t="inlineStr">
        <is>
          <t>01_総合チェックリスト</t>
        </is>
      </c>
      <c r="B20" s="67" t="inlineStr">
        <is>
          <t>176件の点検本体。O列で進捗（プルダウン）を選び、P列に確認結果、Q列に修正指示を入力</t>
        </is>
      </c>
      <c r="C20" s="1" t="n"/>
      <c r="D20" s="1" t="n"/>
      <c r="E20" s="1" t="n"/>
      <c r="F20" s="1" t="n"/>
      <c r="G20" s="1" t="n"/>
      <c r="H20" s="1" t="n"/>
    </row>
    <row r="21" ht="35" customHeight="1">
      <c r="A21" s="60" t="inlineStr">
        <is>
          <t>02_目次体系マップ</t>
        </is>
      </c>
      <c r="B21" s="67" t="inlineStr">
        <is>
          <t>手引きの掲載ページと点検区分の対応</t>
        </is>
      </c>
      <c r="C21" s="1" t="n"/>
      <c r="D21" s="1" t="n"/>
      <c r="E21" s="1" t="n"/>
      <c r="F21" s="1" t="n"/>
      <c r="G21" s="1" t="n"/>
      <c r="H21" s="1" t="n"/>
    </row>
    <row r="22" ht="35" customHeight="1">
      <c r="A22" s="60" t="inlineStr">
        <is>
          <t>03_国通知・時期</t>
        </is>
      </c>
      <c r="B22" s="67" t="inlineStr">
        <is>
          <t>国の公表確認済みと手引きの想定を明確に区別</t>
        </is>
      </c>
      <c r="C22" s="1" t="n"/>
      <c r="D22" s="1" t="n"/>
      <c r="E22" s="1" t="n"/>
      <c r="F22" s="1" t="n"/>
      <c r="G22" s="1" t="n"/>
      <c r="H22" s="1" t="n"/>
    </row>
    <row r="23" ht="35" customHeight="1">
      <c r="A23" s="60" t="inlineStr">
        <is>
          <t>04_エビデンス台帳</t>
        </is>
      </c>
      <c r="B23" s="67" t="inlineStr">
        <is>
          <t>32種類の徴求資料。入手状況を更新</t>
        </is>
      </c>
      <c r="C23" s="1" t="n"/>
      <c r="D23" s="1" t="n"/>
      <c r="E23" s="1" t="n"/>
      <c r="F23" s="1" t="n"/>
      <c r="G23" s="1" t="n"/>
      <c r="H23" s="1" t="n"/>
    </row>
    <row r="24" ht="35" customHeight="1">
      <c r="A24" s="60" t="inlineStr">
        <is>
          <t>05_重点論点判定</t>
        </is>
      </c>
      <c r="B24" s="67" t="inlineStr">
        <is>
          <t>重要な判断軸、RedTeam観点、根拠資料を整理</t>
        </is>
      </c>
      <c r="C24" s="1" t="n"/>
      <c r="D24" s="1" t="n"/>
      <c r="E24" s="1" t="n"/>
      <c r="F24" s="1" t="n"/>
      <c r="G24" s="1" t="n"/>
      <c r="H24" s="1" t="n"/>
    </row>
    <row r="27" ht="43" customHeight="1">
      <c r="A27" s="73" t="inlineStr">
        <is>
          <t>凡例：『手引き』＝添付出典｜『手引き+2026更新』＝既存内容に公開資料を追加｜『実務拡張』＝検算等の追加チェック。期限は自治体作業の目安。</t>
        </is>
      </c>
      <c r="B27" s="1" t="n"/>
      <c r="C27" s="1" t="n"/>
      <c r="D27" s="1" t="n"/>
      <c r="E27" s="1" t="n"/>
      <c r="F27" s="1" t="n"/>
      <c r="G27" s="1" t="n"/>
      <c r="H27" s="1" t="n"/>
    </row>
    <row r="29" ht="28" customHeight="1">
      <c r="A29" s="78" t="inlineStr">
        <is>
          <t>注意：個別自治体の資料は未提供のため、判定結果・事業者実数・交付金額は未判定です。第10期基本指針（案）の公表有無や県提出日など、個別の国通知・県事務連絡は最新原本で再確認してください。</t>
        </is>
      </c>
      <c r="B29" s="1" t="n"/>
      <c r="C29" s="1" t="n"/>
      <c r="D29" s="1" t="n"/>
      <c r="E29" s="1" t="n"/>
      <c r="F29" s="1" t="n"/>
      <c r="G29" s="1" t="n"/>
      <c r="H29" s="1" t="n"/>
    </row>
    <row r="30" ht="28" customHeight="1">
      <c r="A30" s="1" t="n"/>
      <c r="B30" s="1" t="n"/>
      <c r="C30" s="1" t="n"/>
      <c r="D30" s="1" t="n"/>
      <c r="E30" s="1" t="n"/>
      <c r="F30" s="1" t="n"/>
      <c r="G30" s="1" t="n"/>
      <c r="H30" s="1" t="n"/>
    </row>
  </sheetData>
  <mergeCells count="15">
    <mergeCell ref="A18:H18"/>
    <mergeCell ref="A4:H4"/>
    <mergeCell ref="B14:H14"/>
    <mergeCell ref="B22:H22"/>
    <mergeCell ref="B13:H13"/>
    <mergeCell ref="A29:H30"/>
    <mergeCell ref="B21:H21"/>
    <mergeCell ref="B12:H12"/>
    <mergeCell ref="A10:H10"/>
    <mergeCell ref="B24:H24"/>
    <mergeCell ref="B15:H15"/>
    <mergeCell ref="A1:H2"/>
    <mergeCell ref="A27:H27"/>
    <mergeCell ref="B20:H20"/>
    <mergeCell ref="B23:H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177"/>
  <sheetViews>
    <sheetView workbookViewId="0">
      <pane xSplit="5" ySplit="1" topLeftCell="F2" activePane="bottomRight" state="frozen"/>
      <selection activeCell="A1" sqref="A1"/>
    </sheetView>
  </sheetViews>
  <sheetFormatPr baseColWidth="8" defaultRowHeight="15"/>
  <cols>
    <col width="10" customWidth="1" min="1" max="1"/>
    <col width="9" customWidth="1" min="2" max="2"/>
    <col width="25" customWidth="1" min="3" max="3"/>
    <col width="14" customWidth="1" min="4" max="4"/>
    <col width="19" customWidth="1" min="5" max="5"/>
    <col width="53" customWidth="1" min="6" max="6"/>
    <col width="51" customWidth="1" min="7" max="7"/>
    <col width="43" customWidth="1" min="8" max="8"/>
    <col width="29" customWidth="1" min="9" max="9"/>
    <col width="24" customWidth="1" min="10" max="10"/>
    <col width="12" customWidth="1" min="11" max="11"/>
    <col width="21" customWidth="1" min="12" max="12"/>
    <col width="31" customWidth="1" min="13" max="13"/>
    <col width="30" customWidth="1" min="14" max="14"/>
    <col width="13" customWidth="1" min="15" max="15"/>
    <col width="60" customWidth="1" min="16" max="16"/>
    <col width="40" customWidth="1" min="17" max="17"/>
  </cols>
  <sheetData>
    <row r="1" ht="42" customHeight="1">
      <c r="A1" s="12" t="inlineStr">
        <is>
          <t>ID</t>
        </is>
      </c>
      <c r="B1" s="12" t="inlineStr">
        <is>
          <t>手引き章</t>
        </is>
      </c>
      <c r="C1" s="12" t="inlineStr">
        <is>
          <t>目次／該当節</t>
        </is>
      </c>
      <c r="D1" s="12" t="inlineStr">
        <is>
          <t>手引き掲載頁</t>
        </is>
      </c>
      <c r="E1" s="12" t="inlineStr">
        <is>
          <t>論点</t>
        </is>
      </c>
      <c r="F1" s="12" t="inlineStr">
        <is>
          <t>確認事項（YES/NOで判定）</t>
        </is>
      </c>
      <c r="G1" s="12" t="inlineStr">
        <is>
          <t>確認方法・判定基準</t>
        </is>
      </c>
      <c r="H1" s="12" t="inlineStr">
        <is>
          <t>徴求すべきエビデンス</t>
        </is>
      </c>
      <c r="I1" s="12" t="inlineStr">
        <is>
          <t>確認時期（作業目安）</t>
        </is>
      </c>
      <c r="J1" s="12" t="inlineStr">
        <is>
          <t>担当部署（例）</t>
        </is>
      </c>
      <c r="K1" s="12" t="inlineStr">
        <is>
          <t>優先度</t>
        </is>
      </c>
      <c r="L1" s="12" t="inlineStr">
        <is>
          <t>根拠の位置付け</t>
        </is>
      </c>
      <c r="M1" s="12" t="inlineStr">
        <is>
          <t>制度更新の留意点</t>
        </is>
      </c>
      <c r="N1" s="12" t="inlineStr">
        <is>
          <t>国・根拠URL</t>
        </is>
      </c>
      <c r="O1" s="12" t="inlineStr">
        <is>
          <t>進捗状況</t>
        </is>
      </c>
      <c r="P1" s="12" t="inlineStr">
        <is>
          <t>確認結果・不足資料</t>
        </is>
      </c>
      <c r="Q1" s="12" t="inlineStr">
        <is>
          <t>協議・修正指示</t>
        </is>
      </c>
    </row>
    <row r="2" ht="62" customHeight="1">
      <c r="A2" s="8" t="inlineStr">
        <is>
          <t>C001</t>
        </is>
      </c>
      <c r="B2" s="8" t="inlineStr">
        <is>
          <t>Ⅰ</t>
        </is>
      </c>
      <c r="C2" s="8" t="inlineStr">
        <is>
          <t>1 背景／2 位置付け</t>
        </is>
      </c>
      <c r="D2" s="8" t="inlineStr">
        <is>
          <t>3-5</t>
        </is>
      </c>
      <c r="E2" s="8" t="inlineStr">
        <is>
          <t>計画の目的・範囲</t>
        </is>
      </c>
      <c r="F2" s="8" t="inlineStr">
        <is>
          <t>対象が高齢者福祉と介護保険の両面に及ぶことを整理したか</t>
        </is>
      </c>
      <c r="G2" s="8" t="inlineStr">
        <is>
          <t>目的・対象・期間・理念・地域特性が一貫している</t>
        </is>
      </c>
      <c r="H2" s="8" t="inlineStr">
        <is>
          <t>現行計画、現行実績評価、総合計画、高齢者人口統計</t>
        </is>
      </c>
      <c r="I2" s="8" t="inlineStr">
        <is>
          <t>2026年4～12月</t>
        </is>
      </c>
      <c r="J2" s="8" t="inlineStr">
        <is>
          <t>介護保険担当</t>
        </is>
      </c>
      <c r="K2" s="8" t="inlineStr">
        <is>
          <t>A</t>
        </is>
      </c>
      <c r="L2" s="8" t="inlineStr">
        <is>
          <t>手引き</t>
        </is>
      </c>
      <c r="M2" s="8" t="str"/>
      <c r="N2" s="8" t="str"/>
      <c r="O2" s="79" t="inlineStr">
        <is>
          <t>完了</t>
        </is>
      </c>
      <c r="P2" s="80" t="inlineStr">
        <is>
          <t>第1章1・3。老人福祉計画と介護保険事業計画を一体で策定すると明記</t>
        </is>
      </c>
      <c r="Q2" s="80" t="n"/>
    </row>
    <row r="3" ht="62" customHeight="1">
      <c r="A3" s="8" t="inlineStr">
        <is>
          <t>C002</t>
        </is>
      </c>
      <c r="B3" s="8" t="inlineStr">
        <is>
          <t>Ⅰ</t>
        </is>
      </c>
      <c r="C3" s="8" t="inlineStr">
        <is>
          <t>1 背景／2 位置付け</t>
        </is>
      </c>
      <c r="D3" s="8" t="inlineStr">
        <is>
          <t>3-5</t>
        </is>
      </c>
      <c r="E3" s="8" t="inlineStr">
        <is>
          <t>計画の目的・範囲</t>
        </is>
      </c>
      <c r="F3" s="8" t="inlineStr">
        <is>
          <t>地域包括ケアのビジョンを定義したか</t>
        </is>
      </c>
      <c r="G3" s="8" t="inlineStr">
        <is>
          <t>目的・対象・期間・理念・地域特性が一貫している</t>
        </is>
      </c>
      <c r="H3" s="8" t="inlineStr">
        <is>
          <t>現行計画、現行実績評価、総合計画、高齢者人口統計</t>
        </is>
      </c>
      <c r="I3" s="8" t="inlineStr">
        <is>
          <t>2026年4～12月</t>
        </is>
      </c>
      <c r="J3" s="8" t="inlineStr">
        <is>
          <t>介護保険担当</t>
        </is>
      </c>
      <c r="K3" s="8" t="inlineStr">
        <is>
          <t>A</t>
        </is>
      </c>
      <c r="L3" s="8" t="inlineStr">
        <is>
          <t>手引き</t>
        </is>
      </c>
      <c r="M3" s="8" t="str"/>
      <c r="N3" s="8" t="str"/>
      <c r="O3" s="81" t="inlineStr">
        <is>
          <t>確認中</t>
        </is>
      </c>
      <c r="P3" s="80" t="inlineStr">
        <is>
          <t>第4章1に基本理念と3つの基本目標がある。地域包括ケアの将来像は第6章11・12に分かれて書かれている</t>
        </is>
      </c>
      <c r="Q3" s="80" t="inlineStr">
        <is>
          <t>第4章1に「本町の地域包括ケアの姿」を1段落で定義し、第6章11・12から参照する</t>
        </is>
      </c>
    </row>
    <row r="4" ht="62" customHeight="1">
      <c r="A4" s="8" t="inlineStr">
        <is>
          <t>C003</t>
        </is>
      </c>
      <c r="B4" s="8" t="inlineStr">
        <is>
          <t>Ⅰ</t>
        </is>
      </c>
      <c r="C4" s="8" t="inlineStr">
        <is>
          <t>1 背景／2 位置付け</t>
        </is>
      </c>
      <c r="D4" s="8" t="inlineStr">
        <is>
          <t>3-5</t>
        </is>
      </c>
      <c r="E4" s="8" t="inlineStr">
        <is>
          <t>計画の目的・範囲</t>
        </is>
      </c>
      <c r="F4" s="8" t="inlineStr">
        <is>
          <t>2027～2029年度の3年間と中長期の視点を区別したか</t>
        </is>
      </c>
      <c r="G4" s="8" t="inlineStr">
        <is>
          <t>目的・対象・期間・理念・地域特性が一貫している</t>
        </is>
      </c>
      <c r="H4" s="8" t="inlineStr">
        <is>
          <t>現行計画、現行実績評価、総合計画、高齢者人口統計</t>
        </is>
      </c>
      <c r="I4" s="8" t="inlineStr">
        <is>
          <t>2026年4～12月</t>
        </is>
      </c>
      <c r="J4" s="8" t="inlineStr">
        <is>
          <t>介護保険担当</t>
        </is>
      </c>
      <c r="K4" s="8" t="inlineStr">
        <is>
          <t>A</t>
        </is>
      </c>
      <c r="L4" s="8" t="inlineStr">
        <is>
          <t>手引き</t>
        </is>
      </c>
      <c r="M4" s="8" t="str"/>
      <c r="N4" s="8" t="str"/>
      <c r="O4" s="79" t="inlineStr">
        <is>
          <t>完了</t>
        </is>
      </c>
      <c r="P4" s="80" t="inlineStr">
        <is>
          <t>計画期間（令和9〜11年度）と中長期（第6章11 令和22年・令和32年）を章で分けている</t>
        </is>
      </c>
      <c r="Q4" s="80" t="n"/>
    </row>
    <row r="5" ht="62" customHeight="1">
      <c r="A5" s="8" t="inlineStr">
        <is>
          <t>C004</t>
        </is>
      </c>
      <c r="B5" s="8" t="inlineStr">
        <is>
          <t>Ⅰ</t>
        </is>
      </c>
      <c r="C5" s="8" t="inlineStr">
        <is>
          <t>1 背景／2 位置付け</t>
        </is>
      </c>
      <c r="D5" s="8" t="inlineStr">
        <is>
          <t>3-5</t>
        </is>
      </c>
      <c r="E5" s="8" t="inlineStr">
        <is>
          <t>計画の目的・範囲</t>
        </is>
      </c>
      <c r="F5" s="8" t="inlineStr">
        <is>
          <t>第９期計画の成果と未達成事項を計画概要へ引き継いだか</t>
        </is>
      </c>
      <c r="G5" s="8" t="inlineStr">
        <is>
          <t>目的・対象・期間・理念・地域特性が一貫している</t>
        </is>
      </c>
      <c r="H5" s="8" t="inlineStr">
        <is>
          <t>現行計画、現行実績評価、総合計画、高齢者人口統計</t>
        </is>
      </c>
      <c r="I5" s="8" t="inlineStr">
        <is>
          <t>2026年4～12月</t>
        </is>
      </c>
      <c r="J5" s="8" t="inlineStr">
        <is>
          <t>介護保険担当</t>
        </is>
      </c>
      <c r="K5" s="8" t="inlineStr">
        <is>
          <t>A</t>
        </is>
      </c>
      <c r="L5" s="8" t="inlineStr">
        <is>
          <t>手引き</t>
        </is>
      </c>
      <c r="M5" s="8" t="str"/>
      <c r="N5" s="8" t="str"/>
      <c r="O5" s="79" t="inlineStr">
        <is>
          <t>完了</t>
        </is>
      </c>
      <c r="P5" s="80" t="inlineStr">
        <is>
          <t>第3章（第9期の実施状況と評価）から第3章4・第2章7の課題へ引き継いでいる</t>
        </is>
      </c>
      <c r="Q5" s="80" t="n"/>
    </row>
    <row r="6" ht="62" customHeight="1">
      <c r="A6" s="8" t="inlineStr">
        <is>
          <t>C005</t>
        </is>
      </c>
      <c r="B6" s="8" t="inlineStr">
        <is>
          <t>Ⅱ</t>
        </is>
      </c>
      <c r="C6" s="8" t="inlineStr">
        <is>
          <t>1.1 基本指針／1.2 市町村計画</t>
        </is>
      </c>
      <c r="D6" s="8" t="inlineStr">
        <is>
          <t>9-12</t>
        </is>
      </c>
      <c r="E6" s="8" t="inlineStr">
        <is>
          <t>法定事項</t>
        </is>
      </c>
      <c r="F6" s="8" t="inlineStr">
        <is>
          <t>市町村介護保険事業計画の策定根拠を明記したか</t>
        </is>
      </c>
      <c r="G6" s="8" t="inlineStr">
        <is>
          <t>必須項目の欠落0件。努力義務は採否・理由を記録</t>
        </is>
      </c>
      <c r="H6" s="8" t="inlineStr">
        <is>
          <t>介護保険法第116・117条、現行・次期基本指針、計画素案</t>
        </is>
      </c>
      <c r="I6" s="8" t="inlineStr">
        <is>
          <t>2026年10月～2027年1月</t>
        </is>
      </c>
      <c r="J6" s="8" t="inlineStr">
        <is>
          <t>介護保険担当</t>
        </is>
      </c>
      <c r="K6" s="8" t="inlineStr">
        <is>
          <t>最優先</t>
        </is>
      </c>
      <c r="L6" s="8" t="inlineStr">
        <is>
          <t>手引き</t>
        </is>
      </c>
      <c r="M6" s="8" t="inlineStr">
        <is>
          <t>第９期ベースの法体系につき改正確認</t>
        </is>
      </c>
      <c r="N6" s="8" t="inlineStr">
        <is>
          <t>https://www.mhlw.go.jp/stf/newpage_74620.html</t>
        </is>
      </c>
      <c r="O6" s="79" t="inlineStr">
        <is>
          <t>完了</t>
        </is>
      </c>
      <c r="P6" s="80" t="inlineStr">
        <is>
          <t>第1章2・3。介護保険法第117条。条項は法令APIで原典照合済み（89件）</t>
        </is>
      </c>
      <c r="Q6" s="80" t="n"/>
    </row>
    <row r="7" ht="62" customHeight="1">
      <c r="A7" s="8" t="inlineStr">
        <is>
          <t>C006</t>
        </is>
      </c>
      <c r="B7" s="8" t="inlineStr">
        <is>
          <t>Ⅱ</t>
        </is>
      </c>
      <c r="C7" s="8" t="inlineStr">
        <is>
          <t>1.1 基本指針／1.2 市町村計画</t>
        </is>
      </c>
      <c r="D7" s="8" t="inlineStr">
        <is>
          <t>9-12</t>
        </is>
      </c>
      <c r="E7" s="8" t="inlineStr">
        <is>
          <t>法定事項</t>
        </is>
      </c>
      <c r="F7" s="8" t="inlineStr">
        <is>
          <t>日常生活圏域を設定し、地理・人口・交通・資源の観点から妥当性を確認したか</t>
        </is>
      </c>
      <c r="G7" s="8" t="inlineStr">
        <is>
          <t>必須項目の欠落0件。努力義務は採否・理由を記録</t>
        </is>
      </c>
      <c r="H7" s="8" t="inlineStr">
        <is>
          <t>介護保険法第116・117条、現行・次期基本指針、計画素案</t>
        </is>
      </c>
      <c r="I7" s="8" t="inlineStr">
        <is>
          <t>2026年10月～2027年1月</t>
        </is>
      </c>
      <c r="J7" s="8" t="inlineStr">
        <is>
          <t>介護保険担当</t>
        </is>
      </c>
      <c r="K7" s="8" t="inlineStr">
        <is>
          <t>最優先</t>
        </is>
      </c>
      <c r="L7" s="8" t="inlineStr">
        <is>
          <t>手引き</t>
        </is>
      </c>
      <c r="M7" s="8" t="inlineStr">
        <is>
          <t>第９期ベースの法体系につき改正確認</t>
        </is>
      </c>
      <c r="N7" s="8" t="inlineStr">
        <is>
          <t>https://www.mhlw.go.jp/stf/newpage_74620.html</t>
        </is>
      </c>
      <c r="O7" s="81" t="inlineStr">
        <is>
          <t>確認中</t>
        </is>
      </c>
      <c r="P7" s="80" t="inlineStr">
        <is>
          <t>第1章5で町全域を1圏域とし理由を記載。面積・交通（町営バス・デマンド交通）の数値は町データ待ち（確認事項№44）</t>
        </is>
      </c>
      <c r="Q7" s="80" t="inlineStr">
        <is>
          <t>町の面積と公共交通の運行状況を受領後、第1章5に数値で補う</t>
        </is>
      </c>
    </row>
    <row r="8" ht="62" customHeight="1">
      <c r="A8" s="8" t="inlineStr">
        <is>
          <t>C007</t>
        </is>
      </c>
      <c r="B8" s="8" t="inlineStr">
        <is>
          <t>Ⅱ</t>
        </is>
      </c>
      <c r="C8" s="8" t="inlineStr">
        <is>
          <t>1.1 基本指針／1.2 市町村計画</t>
        </is>
      </c>
      <c r="D8" s="8" t="inlineStr">
        <is>
          <t>9-12</t>
        </is>
      </c>
      <c r="E8" s="8" t="inlineStr">
        <is>
          <t>法定事項</t>
        </is>
      </c>
      <c r="F8" s="8" t="inlineStr">
        <is>
          <t>指定サービスの必要利用定員総数を日常生活圏域別・各年度で確認したか</t>
        </is>
      </c>
      <c r="G8" s="8" t="inlineStr">
        <is>
          <t>必須項目の欠落0件。努力義務は採否・理由を記録</t>
        </is>
      </c>
      <c r="H8" s="8" t="inlineStr">
        <is>
          <t>介護保険法第116・117条、現行・次期基本指針、計画素案</t>
        </is>
      </c>
      <c r="I8" s="8" t="inlineStr">
        <is>
          <t>2026年10月～2027年1月</t>
        </is>
      </c>
      <c r="J8" s="8" t="inlineStr">
        <is>
          <t>介護保険担当</t>
        </is>
      </c>
      <c r="K8" s="8" t="inlineStr">
        <is>
          <t>最優先</t>
        </is>
      </c>
      <c r="L8" s="8" t="inlineStr">
        <is>
          <t>手引き</t>
        </is>
      </c>
      <c r="M8" s="8" t="inlineStr">
        <is>
          <t>第９期ベースの法体系につき改正確認</t>
        </is>
      </c>
      <c r="N8" s="8" t="inlineStr">
        <is>
          <t>https://www.mhlw.go.jp/stf/newpage_74620.html</t>
        </is>
      </c>
      <c r="O8" s="79" t="inlineStr">
        <is>
          <t>完了</t>
        </is>
      </c>
      <c r="P8" s="80" t="inlineStr">
        <is>
          <t>第6章8。1圏域のため圏域別＝町全体。各年度で記載</t>
        </is>
      </c>
      <c r="Q8" s="80" t="n"/>
    </row>
    <row r="9" ht="62" customHeight="1">
      <c r="A9" s="8" t="inlineStr">
        <is>
          <t>C008</t>
        </is>
      </c>
      <c r="B9" s="8" t="inlineStr">
        <is>
          <t>Ⅱ</t>
        </is>
      </c>
      <c r="C9" s="8" t="inlineStr">
        <is>
          <t>1.1 基本指針／1.2 市町村計画</t>
        </is>
      </c>
      <c r="D9" s="8" t="inlineStr">
        <is>
          <t>9-12</t>
        </is>
      </c>
      <c r="E9" s="8" t="inlineStr">
        <is>
          <t>法定事項</t>
        </is>
      </c>
      <c r="F9" s="8" t="inlineStr">
        <is>
          <t>介護サービス種類別の見込量を日常生活圏域別・各年度で明記したか</t>
        </is>
      </c>
      <c r="G9" s="8" t="inlineStr">
        <is>
          <t>必須項目の欠落0件。努力義務は採否・理由を記録</t>
        </is>
      </c>
      <c r="H9" s="8" t="inlineStr">
        <is>
          <t>介護保険法第116・117条、現行・次期基本指針、計画素案</t>
        </is>
      </c>
      <c r="I9" s="8" t="inlineStr">
        <is>
          <t>2026年10月～2027年1月</t>
        </is>
      </c>
      <c r="J9" s="8" t="inlineStr">
        <is>
          <t>介護保険担当</t>
        </is>
      </c>
      <c r="K9" s="8" t="inlineStr">
        <is>
          <t>最優先</t>
        </is>
      </c>
      <c r="L9" s="8" t="inlineStr">
        <is>
          <t>手引き</t>
        </is>
      </c>
      <c r="M9" s="8" t="inlineStr">
        <is>
          <t>第９期ベースの法体系につき改正確認</t>
        </is>
      </c>
      <c r="N9" s="8" t="inlineStr">
        <is>
          <t>https://www.mhlw.go.jp/stf/newpage_74620.html</t>
        </is>
      </c>
      <c r="O9" s="79" t="inlineStr">
        <is>
          <t>完了</t>
        </is>
      </c>
      <c r="P9" s="80" t="inlineStr">
        <is>
          <t>第6章2。サービス種類別・年度別（1圏域）</t>
        </is>
      </c>
      <c r="Q9" s="80" t="n"/>
    </row>
    <row r="10" ht="62" customHeight="1">
      <c r="A10" s="8" t="inlineStr">
        <is>
          <t>C009</t>
        </is>
      </c>
      <c r="B10" s="8" t="inlineStr">
        <is>
          <t>Ⅱ</t>
        </is>
      </c>
      <c r="C10" s="8" t="inlineStr">
        <is>
          <t>1.1 基本指針／1.2 市町村計画</t>
        </is>
      </c>
      <c r="D10" s="8" t="inlineStr">
        <is>
          <t>9-12</t>
        </is>
      </c>
      <c r="E10" s="8" t="inlineStr">
        <is>
          <t>法定事項</t>
        </is>
      </c>
      <c r="F10" s="8" t="inlineStr">
        <is>
          <t>地域支援事業の各年度見込量を確認したか</t>
        </is>
      </c>
      <c r="G10" s="8" t="inlineStr">
        <is>
          <t>必須項目の欠落0件。努力義務は採否・理由を記録</t>
        </is>
      </c>
      <c r="H10" s="8" t="inlineStr">
        <is>
          <t>介護保険法第116・117条、現行・次期基本指針、計画素案</t>
        </is>
      </c>
      <c r="I10" s="8" t="inlineStr">
        <is>
          <t>2026年10月～2027年1月</t>
        </is>
      </c>
      <c r="J10" s="8" t="inlineStr">
        <is>
          <t>介護保険担当</t>
        </is>
      </c>
      <c r="K10" s="8" t="inlineStr">
        <is>
          <t>最優先</t>
        </is>
      </c>
      <c r="L10" s="8" t="inlineStr">
        <is>
          <t>手引き</t>
        </is>
      </c>
      <c r="M10" s="8" t="inlineStr">
        <is>
          <t>第９期ベースの法体系につき改正確認</t>
        </is>
      </c>
      <c r="N10" s="8" t="inlineStr">
        <is>
          <t>https://www.mhlw.go.jp/stf/newpage_74620.html</t>
        </is>
      </c>
      <c r="O10" s="81" t="inlineStr">
        <is>
          <t>確認中</t>
        </is>
      </c>
      <c r="P10" s="80" t="inlineStr">
        <is>
          <t>第6章4。介護予防・生活支援サービス事業の3事業は算定済み。一般介護予防・包括的支援・任意事業の13事業の量は町の事業実績待ち</t>
        </is>
      </c>
      <c r="Q10" s="80" t="n"/>
    </row>
    <row r="11" ht="62" customHeight="1">
      <c r="A11" s="8" t="inlineStr">
        <is>
          <t>C010</t>
        </is>
      </c>
      <c r="B11" s="8" t="inlineStr">
        <is>
          <t>Ⅱ</t>
        </is>
      </c>
      <c r="C11" s="8" t="inlineStr">
        <is>
          <t>1.1 基本指針／1.2 市町村計画</t>
        </is>
      </c>
      <c r="D11" s="8" t="inlineStr">
        <is>
          <t>9-12</t>
        </is>
      </c>
      <c r="E11" s="8" t="inlineStr">
        <is>
          <t>法定事項</t>
        </is>
      </c>
      <c r="F11" s="8" t="inlineStr">
        <is>
          <t>自立支援・介護予防・重度化防止・給付適正化の取組と目標を設定したか</t>
        </is>
      </c>
      <c r="G11" s="8" t="inlineStr">
        <is>
          <t>必須項目の欠落0件。努力義務は採否・理由を記録</t>
        </is>
      </c>
      <c r="H11" s="8" t="inlineStr">
        <is>
          <t>介護保険法第116・117条、現行・次期基本指針、計画素案</t>
        </is>
      </c>
      <c r="I11" s="8" t="inlineStr">
        <is>
          <t>2026年10月～2027年1月</t>
        </is>
      </c>
      <c r="J11" s="8" t="inlineStr">
        <is>
          <t>介護保険担当</t>
        </is>
      </c>
      <c r="K11" s="8" t="inlineStr">
        <is>
          <t>最優先</t>
        </is>
      </c>
      <c r="L11" s="8" t="inlineStr">
        <is>
          <t>手引き</t>
        </is>
      </c>
      <c r="M11" s="8" t="inlineStr">
        <is>
          <t>第９期ベースの法体系につき改正確認</t>
        </is>
      </c>
      <c r="N11" s="8" t="inlineStr">
        <is>
          <t>https://www.mhlw.go.jp/stf/newpage_74620.html</t>
        </is>
      </c>
      <c r="O11" s="81" t="inlineStr">
        <is>
          <t>確認中</t>
        </is>
      </c>
      <c r="P11" s="80" t="inlineStr">
        <is>
          <t>第5章の各施策と資料編8（成果指標48件の定義）。目標値は協議会で設定（未確定55か所）</t>
        </is>
      </c>
      <c r="Q11" s="80" t="inlineStr">
        <is>
          <t>協議会で目標値を設定する</t>
        </is>
      </c>
    </row>
    <row r="12" ht="62" customHeight="1">
      <c r="A12" s="8" t="inlineStr">
        <is>
          <t>C011</t>
        </is>
      </c>
      <c r="B12" s="8" t="inlineStr">
        <is>
          <t>Ⅱ</t>
        </is>
      </c>
      <c r="C12" s="8" t="inlineStr">
        <is>
          <t>1.1 基本指針／1.2 市町村計画</t>
        </is>
      </c>
      <c r="D12" s="8" t="inlineStr">
        <is>
          <t>9-12</t>
        </is>
      </c>
      <c r="E12" s="8" t="inlineStr">
        <is>
          <t>法定事項</t>
        </is>
      </c>
      <c r="F12" s="8" t="inlineStr">
        <is>
          <t>努力義務記載事項と必須事項の区分をつけたか</t>
        </is>
      </c>
      <c r="G12" s="8" t="inlineStr">
        <is>
          <t>必須項目の欠落0件。努力義務は採否・理由を記録</t>
        </is>
      </c>
      <c r="H12" s="8" t="inlineStr">
        <is>
          <t>介護保険法第116・117条、現行・次期基本指針、計画素案</t>
        </is>
      </c>
      <c r="I12" s="8" t="inlineStr">
        <is>
          <t>2026年10月～2027年1月</t>
        </is>
      </c>
      <c r="J12" s="8" t="inlineStr">
        <is>
          <t>介護保険担当</t>
        </is>
      </c>
      <c r="K12" s="8" t="inlineStr">
        <is>
          <t>最優先</t>
        </is>
      </c>
      <c r="L12" s="8" t="inlineStr">
        <is>
          <t>手引き</t>
        </is>
      </c>
      <c r="M12" s="8" t="inlineStr">
        <is>
          <t>第９期ベースの法体系につき改正確認</t>
        </is>
      </c>
      <c r="N12" s="8" t="inlineStr">
        <is>
          <t>https://www.mhlw.go.jp/stf/newpage_74620.html</t>
        </is>
      </c>
      <c r="O12" s="79" t="inlineStr">
        <is>
          <t>完了</t>
        </is>
      </c>
      <c r="P12" s="80" t="inlineStr">
        <is>
          <t>法定記載事項チェックで義務・努力義務を区分（高齢者23件すべて○）</t>
        </is>
      </c>
      <c r="Q12" s="80" t="n"/>
    </row>
    <row r="13" ht="62" customHeight="1">
      <c r="A13" s="8" t="inlineStr">
        <is>
          <t>C012</t>
        </is>
      </c>
      <c r="B13" s="8" t="inlineStr">
        <is>
          <t>Ⅱ</t>
        </is>
      </c>
      <c r="C13" s="8" t="inlineStr">
        <is>
          <t>1.1 基本指針／1.2 市町村計画</t>
        </is>
      </c>
      <c r="D13" s="8" t="inlineStr">
        <is>
          <t>9-12</t>
        </is>
      </c>
      <c r="E13" s="8" t="inlineStr">
        <is>
          <t>法定事項</t>
        </is>
      </c>
      <c r="F13" s="8" t="inlineStr">
        <is>
          <t>改正法・第10期基本指針の確定版に照らして法定事項を再点検したか</t>
        </is>
      </c>
      <c r="G13" s="8" t="inlineStr">
        <is>
          <t>必須項目の欠落0件。努力義務は採否・理由を記録</t>
        </is>
      </c>
      <c r="H13" s="8" t="inlineStr">
        <is>
          <t>介護保険法第116・117条、現行・次期基本指針、計画素案</t>
        </is>
      </c>
      <c r="I13" s="8" t="inlineStr">
        <is>
          <t>2026年10月～2027年1月</t>
        </is>
      </c>
      <c r="J13" s="8" t="inlineStr">
        <is>
          <t>介護保険担当</t>
        </is>
      </c>
      <c r="K13" s="8" t="inlineStr">
        <is>
          <t>最優先</t>
        </is>
      </c>
      <c r="L13" s="8" t="inlineStr">
        <is>
          <t>手引き</t>
        </is>
      </c>
      <c r="M13" s="8" t="inlineStr">
        <is>
          <t>第９期ベースの法体系につき改正確認</t>
        </is>
      </c>
      <c r="N13" s="8" t="inlineStr">
        <is>
          <t>https://www.mhlw.go.jp/stf/newpage_74620.html</t>
        </is>
      </c>
      <c r="O13" s="81" t="inlineStr">
        <is>
          <t>確認中</t>
        </is>
      </c>
      <c r="P13" s="80" t="inlineStr">
        <is>
          <t>改正法（令和8年法律第51号）は令和9年4月1日時点の条文と照合済み（法令API）。第10期基本指針の確定版（告示）は未公表のため未照合</t>
        </is>
      </c>
      <c r="Q13" s="80" t="inlineStr">
        <is>
          <t>基本指針の告示後に法定記載事項チェックを再実行</t>
        </is>
      </c>
    </row>
    <row r="14" ht="62" customHeight="1">
      <c r="A14" s="8" t="inlineStr">
        <is>
          <t>C013</t>
        </is>
      </c>
      <c r="B14" s="8" t="inlineStr">
        <is>
          <t>Ⅱ</t>
        </is>
      </c>
      <c r="C14" s="8" t="inlineStr">
        <is>
          <t>2 他の計画との関係</t>
        </is>
      </c>
      <c r="D14" s="8" t="inlineStr">
        <is>
          <t>13-16</t>
        </is>
      </c>
      <c r="E14" s="8" t="inlineStr">
        <is>
          <t>関係計画・計画体系</t>
        </is>
      </c>
      <c r="F14" s="8" t="inlineStr">
        <is>
          <t>老人福祉計画と一体的に策定されているか</t>
        </is>
      </c>
      <c r="G14" s="8" t="inlineStr">
        <is>
          <t>人口・圏域・目標値・役割分担の齟齬を差分表で管理</t>
        </is>
      </c>
      <c r="H14" s="8" t="inlineStr">
        <is>
          <t>県支援計画、県医療計画、地域福祉計画、住生活関係計画、健康増進計画、障害福祉計画、適正化計画</t>
        </is>
      </c>
      <c r="I14" s="8" t="inlineStr">
        <is>
          <t>2026年4～12月</t>
        </is>
      </c>
      <c r="J14" s="8" t="inlineStr">
        <is>
          <t>介護保険／福祉／住宅／医療</t>
        </is>
      </c>
      <c r="K14" s="8" t="inlineStr">
        <is>
          <t>A</t>
        </is>
      </c>
      <c r="L14" s="8" t="inlineStr">
        <is>
          <t>手引き</t>
        </is>
      </c>
      <c r="M14" s="8" t="str"/>
      <c r="N14" s="8" t="str"/>
      <c r="O14" s="79" t="inlineStr">
        <is>
          <t>完了</t>
        </is>
      </c>
      <c r="P14" s="80" t="inlineStr">
        <is>
          <t>第1章2・第6章9（介護保険法第117条第8項・老人福祉法第20条の8）</t>
        </is>
      </c>
      <c r="Q14" s="80" t="n"/>
    </row>
    <row r="15" ht="62" customHeight="1">
      <c r="A15" s="8" t="inlineStr">
        <is>
          <t>C014</t>
        </is>
      </c>
      <c r="B15" s="8" t="inlineStr">
        <is>
          <t>Ⅱ</t>
        </is>
      </c>
      <c r="C15" s="8" t="inlineStr">
        <is>
          <t>2 他の計画との関係</t>
        </is>
      </c>
      <c r="D15" s="8" t="inlineStr">
        <is>
          <t>13-16</t>
        </is>
      </c>
      <c r="E15" s="8" t="inlineStr">
        <is>
          <t>関係計画・計画体系</t>
        </is>
      </c>
      <c r="F15" s="8" t="inlineStr">
        <is>
          <t>都道府県介護保険事業支援計画と施設・圏域の見込量に整合があるか</t>
        </is>
      </c>
      <c r="G15" s="8" t="inlineStr">
        <is>
          <t>人口・圏域・目標値・役割分担の齟齬を差分表で管理</t>
        </is>
      </c>
      <c r="H15" s="8" t="inlineStr">
        <is>
          <t>県支援計画、県医療計画、地域福祉計画、住生活関係計画、健康増進計画、障害福祉計画、適正化計画</t>
        </is>
      </c>
      <c r="I15" s="8" t="inlineStr">
        <is>
          <t>2026年4～12月</t>
        </is>
      </c>
      <c r="J15" s="8" t="inlineStr">
        <is>
          <t>介護保険／福祉／住宅／医療</t>
        </is>
      </c>
      <c r="K15" s="8" t="inlineStr">
        <is>
          <t>A</t>
        </is>
      </c>
      <c r="L15" s="8" t="inlineStr">
        <is>
          <t>手引き</t>
        </is>
      </c>
      <c r="M15" s="8" t="str"/>
      <c r="N15" s="8" t="str"/>
      <c r="O15" s="82" t="inlineStr">
        <is>
          <t>資料徴求中</t>
        </is>
      </c>
      <c r="P15" s="80" t="inlineStr">
        <is>
          <t>県の第10期支援計画は策定中。施設整備量・圏域（県中）の照合は県の数値待ち</t>
        </is>
      </c>
      <c r="Q15" s="80" t="n"/>
    </row>
    <row r="16" ht="62" customHeight="1">
      <c r="A16" s="8" t="inlineStr">
        <is>
          <t>C015</t>
        </is>
      </c>
      <c r="B16" s="8" t="inlineStr">
        <is>
          <t>Ⅱ</t>
        </is>
      </c>
      <c r="C16" s="8" t="inlineStr">
        <is>
          <t>2 他の計画との関係</t>
        </is>
      </c>
      <c r="D16" s="8" t="inlineStr">
        <is>
          <t>13-16</t>
        </is>
      </c>
      <c r="E16" s="8" t="inlineStr">
        <is>
          <t>関係計画・計画体系</t>
        </is>
      </c>
      <c r="F16" s="8" t="inlineStr">
        <is>
          <t>都道府県医療計画・新たな地域医療構想と在宅医療需要の整合性を確認したか</t>
        </is>
      </c>
      <c r="G16" s="8" t="inlineStr">
        <is>
          <t>人口・圏域・目標値・役割分担の齟齬を差分表で管理</t>
        </is>
      </c>
      <c r="H16" s="8" t="inlineStr">
        <is>
          <t>県支援計画、県医療計画、地域福祉計画、住生活関係計画、健康増進計画、障害福祉計画、適正化計画</t>
        </is>
      </c>
      <c r="I16" s="8" t="inlineStr">
        <is>
          <t>2026年4～12月</t>
        </is>
      </c>
      <c r="J16" s="8" t="inlineStr">
        <is>
          <t>介護保険／福祉／住宅／医療</t>
        </is>
      </c>
      <c r="K16" s="8" t="inlineStr">
        <is>
          <t>A</t>
        </is>
      </c>
      <c r="L16" s="8" t="inlineStr">
        <is>
          <t>手引き</t>
        </is>
      </c>
      <c r="M16" s="8" t="str"/>
      <c r="N16" s="8" t="str"/>
      <c r="O16" s="81" t="inlineStr">
        <is>
          <t>確認中</t>
        </is>
      </c>
      <c r="P16" s="80" t="inlineStr">
        <is>
          <t>県保健医療計画（第八次）の在宅医療・病床を反映済み。医療計画との整合は3課長連名通知による要請と書き分け済み。新たな地域医療構想（令和9年度以降）は未反映</t>
        </is>
      </c>
      <c r="Q16" s="80" t="inlineStr">
        <is>
          <t>新たな地域医療構想の県の方針が示された段階で追記</t>
        </is>
      </c>
    </row>
    <row r="17" ht="62" customHeight="1">
      <c r="A17" s="8" t="inlineStr">
        <is>
          <t>C016</t>
        </is>
      </c>
      <c r="B17" s="8" t="inlineStr">
        <is>
          <t>Ⅱ</t>
        </is>
      </c>
      <c r="C17" s="8" t="inlineStr">
        <is>
          <t>2 他の計画との関係</t>
        </is>
      </c>
      <c r="D17" s="8" t="inlineStr">
        <is>
          <t>13-16</t>
        </is>
      </c>
      <c r="E17" s="8" t="inlineStr">
        <is>
          <t>関係計画・計画体系</t>
        </is>
      </c>
      <c r="F17" s="8" t="inlineStr">
        <is>
          <t>市町村地域福祉計画の地域共生・相談支援方針と整合するか</t>
        </is>
      </c>
      <c r="G17" s="8" t="inlineStr">
        <is>
          <t>人口・圏域・目標値・役割分担の齟齬を差分表で管理</t>
        </is>
      </c>
      <c r="H17" s="8" t="inlineStr">
        <is>
          <t>県支援計画、県医療計画、地域福祉計画、住生活関係計画、健康増進計画、障害福祉計画、適正化計画</t>
        </is>
      </c>
      <c r="I17" s="8" t="inlineStr">
        <is>
          <t>2026年4～12月</t>
        </is>
      </c>
      <c r="J17" s="8" t="inlineStr">
        <is>
          <t>介護保険／福祉／住宅／医療</t>
        </is>
      </c>
      <c r="K17" s="8" t="inlineStr">
        <is>
          <t>A</t>
        </is>
      </c>
      <c r="L17" s="8" t="inlineStr">
        <is>
          <t>手引き</t>
        </is>
      </c>
      <c r="M17" s="8" t="str"/>
      <c r="N17" s="8" t="str"/>
      <c r="O17" s="79" t="inlineStr">
        <is>
          <t>完了</t>
        </is>
      </c>
      <c r="P17" s="80" t="inlineStr">
        <is>
          <t>第4章3。第3期地域福祉計画との役割分担表（移管・連携）</t>
        </is>
      </c>
      <c r="Q17" s="80" t="n"/>
    </row>
    <row r="18" ht="62" customHeight="1">
      <c r="A18" s="8" t="inlineStr">
        <is>
          <t>C017</t>
        </is>
      </c>
      <c r="B18" s="8" t="inlineStr">
        <is>
          <t>Ⅱ</t>
        </is>
      </c>
      <c r="C18" s="8" t="inlineStr">
        <is>
          <t>2 他の計画との関係</t>
        </is>
      </c>
      <c r="D18" s="8" t="inlineStr">
        <is>
          <t>13-16</t>
        </is>
      </c>
      <c r="E18" s="8" t="inlineStr">
        <is>
          <t>関係計画・計画体系</t>
        </is>
      </c>
      <c r="F18" s="8" t="inlineStr">
        <is>
          <t>障害福祉・障害児福祉計画との複合課題・相談支援を整合させたか</t>
        </is>
      </c>
      <c r="G18" s="8" t="inlineStr">
        <is>
          <t>人口・圏域・目標値・役割分担の齟齬を差分表で管理</t>
        </is>
      </c>
      <c r="H18" s="8" t="inlineStr">
        <is>
          <t>県支援計画、県医療計画、地域福祉計画、住生活関係計画、健康増進計画、障害福祉計画、適正化計画</t>
        </is>
      </c>
      <c r="I18" s="8" t="inlineStr">
        <is>
          <t>2026年4～12月</t>
        </is>
      </c>
      <c r="J18" s="8" t="inlineStr">
        <is>
          <t>介護保険／福祉／住宅／医療</t>
        </is>
      </c>
      <c r="K18" s="8" t="inlineStr">
        <is>
          <t>A</t>
        </is>
      </c>
      <c r="L18" s="8" t="inlineStr">
        <is>
          <t>手引き</t>
        </is>
      </c>
      <c r="M18" s="8" t="str"/>
      <c r="N18" s="8" t="str"/>
      <c r="O18" s="79" t="inlineStr">
        <is>
          <t>完了</t>
        </is>
      </c>
      <c r="P18" s="80" t="inlineStr">
        <is>
          <t>第4章4。障がい福祉計画と同じ文言の接点の節（10場面）</t>
        </is>
      </c>
      <c r="Q18" s="80" t="n"/>
    </row>
    <row r="19" ht="62" customHeight="1">
      <c r="A19" s="8" t="inlineStr">
        <is>
          <t>C018</t>
        </is>
      </c>
      <c r="B19" s="8" t="inlineStr">
        <is>
          <t>Ⅱ</t>
        </is>
      </c>
      <c r="C19" s="8" t="inlineStr">
        <is>
          <t>2 他の計画との関係</t>
        </is>
      </c>
      <c r="D19" s="8" t="inlineStr">
        <is>
          <t>13-16</t>
        </is>
      </c>
      <c r="E19" s="8" t="inlineStr">
        <is>
          <t>関係計画・計画体系</t>
        </is>
      </c>
      <c r="F19" s="8" t="inlineStr">
        <is>
          <t>高齢者居住安定確保計画・住宅セーフティネット関連計画を確認したか</t>
        </is>
      </c>
      <c r="G19" s="8" t="inlineStr">
        <is>
          <t>人口・圏域・目標値・役割分担の齟齬を差分表で管理</t>
        </is>
      </c>
      <c r="H19" s="8" t="inlineStr">
        <is>
          <t>県支援計画、県医療計画、地域福祉計画、住生活関係計画、健康増進計画、障害福祉計画、適正化計画</t>
        </is>
      </c>
      <c r="I19" s="8" t="inlineStr">
        <is>
          <t>2026年4～12月</t>
        </is>
      </c>
      <c r="J19" s="8" t="inlineStr">
        <is>
          <t>介護保険／福祉／住宅／医療</t>
        </is>
      </c>
      <c r="K19" s="8" t="inlineStr">
        <is>
          <t>A</t>
        </is>
      </c>
      <c r="L19" s="8" t="inlineStr">
        <is>
          <t>手引き</t>
        </is>
      </c>
      <c r="M19" s="8" t="str"/>
      <c r="N19" s="8" t="str"/>
      <c r="O19" s="81" t="inlineStr">
        <is>
          <t>確認中</t>
        </is>
      </c>
      <c r="P19" s="80" t="inlineStr">
        <is>
          <t>第1章3に両計画を列挙。町が定めているかは町に照会中（確認事項№19）</t>
        </is>
      </c>
      <c r="Q19" s="80" t="n"/>
    </row>
    <row r="20" ht="62" customHeight="1">
      <c r="A20" s="8" t="inlineStr">
        <is>
          <t>C019</t>
        </is>
      </c>
      <c r="B20" s="8" t="inlineStr">
        <is>
          <t>Ⅱ</t>
        </is>
      </c>
      <c r="C20" s="8" t="inlineStr">
        <is>
          <t>2 他の計画との関係</t>
        </is>
      </c>
      <c r="D20" s="8" t="inlineStr">
        <is>
          <t>13-16</t>
        </is>
      </c>
      <c r="E20" s="8" t="inlineStr">
        <is>
          <t>関係計画・計画体系</t>
        </is>
      </c>
      <c r="F20" s="8" t="inlineStr">
        <is>
          <t>健康増進・一体的保健事業・認知症関連計画との重複と役割分担を明確にしたか</t>
        </is>
      </c>
      <c r="G20" s="8" t="inlineStr">
        <is>
          <t>人口・圏域・目標値・役割分担の齟齬を差分表で管理</t>
        </is>
      </c>
      <c r="H20" s="8" t="inlineStr">
        <is>
          <t>県支援計画、県医療計画、地域福祉計画、住生活関係計画、健康増進計画、障害福祉計画、適正化計画</t>
        </is>
      </c>
      <c r="I20" s="8" t="inlineStr">
        <is>
          <t>2026年4～12月</t>
        </is>
      </c>
      <c r="J20" s="8" t="inlineStr">
        <is>
          <t>介護保険／福祉／住宅／医療</t>
        </is>
      </c>
      <c r="K20" s="8" t="inlineStr">
        <is>
          <t>A</t>
        </is>
      </c>
      <c r="L20" s="8" t="inlineStr">
        <is>
          <t>手引き</t>
        </is>
      </c>
      <c r="M20" s="8" t="str"/>
      <c r="N20" s="8" t="str"/>
      <c r="O20" s="81" t="inlineStr">
        <is>
          <t>確認中</t>
        </is>
      </c>
      <c r="P20" s="80" t="inlineStr">
        <is>
          <t>一体的実施は第5章基本目標1①。健康増進計画・認知症関連計画との役割分担の表がない</t>
        </is>
      </c>
      <c r="Q20" s="80" t="inlineStr">
        <is>
          <t>第4章3の関連計画の表に健康増進計画の行を足す</t>
        </is>
      </c>
    </row>
    <row r="21" ht="62" customHeight="1">
      <c r="A21" s="8" t="inlineStr">
        <is>
          <t>C020</t>
        </is>
      </c>
      <c r="B21" s="8" t="inlineStr">
        <is>
          <t>Ⅱ</t>
        </is>
      </c>
      <c r="C21" s="8" t="inlineStr">
        <is>
          <t>2 他の計画との関係</t>
        </is>
      </c>
      <c r="D21" s="8" t="inlineStr">
        <is>
          <t>13-16</t>
        </is>
      </c>
      <c r="E21" s="8" t="inlineStr">
        <is>
          <t>関係計画・計画体系</t>
        </is>
      </c>
      <c r="F21" s="8" t="inlineStr">
        <is>
          <t>介護給付適正化計画の目標を本計画と対応付けたか</t>
        </is>
      </c>
      <c r="G21" s="8" t="inlineStr">
        <is>
          <t>人口・圏域・目標値・役割分担の齟齬を差分表で管理</t>
        </is>
      </c>
      <c r="H21" s="8" t="inlineStr">
        <is>
          <t>県支援計画、県医療計画、地域福祉計画、住生活関係計画、健康増進計画、障害福祉計画、適正化計画</t>
        </is>
      </c>
      <c r="I21" s="8" t="inlineStr">
        <is>
          <t>2026年4～12月</t>
        </is>
      </c>
      <c r="J21" s="8" t="inlineStr">
        <is>
          <t>介護保険／福祉／住宅／医療</t>
        </is>
      </c>
      <c r="K21" s="8" t="inlineStr">
        <is>
          <t>A</t>
        </is>
      </c>
      <c r="L21" s="8" t="inlineStr">
        <is>
          <t>手引き</t>
        </is>
      </c>
      <c r="M21" s="8" t="str"/>
      <c r="N21" s="8" t="str"/>
      <c r="O21" s="81" t="inlineStr">
        <is>
          <t>確認中</t>
        </is>
      </c>
      <c r="P21" s="80" t="inlineStr">
        <is>
          <t>給付適正化の取組は第5章に記載。指標は見える化システムの追加出力待ち</t>
        </is>
      </c>
      <c r="Q21" s="80" t="n"/>
    </row>
    <row r="22" ht="62" customHeight="1">
      <c r="A22" s="8" t="inlineStr">
        <is>
          <t>C021</t>
        </is>
      </c>
      <c r="B22" s="8" t="inlineStr">
        <is>
          <t>Ⅱ</t>
        </is>
      </c>
      <c r="C22" s="8" t="inlineStr">
        <is>
          <t>3 計画に向けた動き</t>
        </is>
      </c>
      <c r="D22" s="8" t="inlineStr">
        <is>
          <t>17-32</t>
        </is>
      </c>
      <c r="E22" s="8" t="inlineStr">
        <is>
          <t>国の政策・通知</t>
        </is>
      </c>
      <c r="F22" s="8" t="inlineStr">
        <is>
          <t>2025年8月8日の第10期調査説明会資料を取得したか</t>
        </is>
      </c>
      <c r="G22" s="8" t="inlineStr">
        <is>
          <t>公表済みの資料は確認日・版を記録。未公表の予定は確定扱いしない</t>
        </is>
      </c>
      <c r="H22" s="8" t="inlineStr">
        <is>
          <t>厚生労働省公開会議資料、基本指針告示、県事務連絡、見える化システム新着</t>
        </is>
      </c>
      <c r="I22" s="8" t="inlineStr">
        <is>
          <t>随時／2026年10月時点再確認</t>
        </is>
      </c>
      <c r="J22" s="8" t="inlineStr">
        <is>
          <t>介護保険担当</t>
        </is>
      </c>
      <c r="K22" s="8" t="inlineStr">
        <is>
          <t>最優先</t>
        </is>
      </c>
      <c r="L22" s="8" t="inlineStr">
        <is>
          <t>手引き+2026更新</t>
        </is>
      </c>
      <c r="M22" s="8" t="str"/>
      <c r="N22" s="8" t="inlineStr">
        <is>
          <t>https://www.mhlw.go.jp/stf/newpage_74620.html</t>
        </is>
      </c>
      <c r="O22" s="83" t="inlineStr">
        <is>
          <t>未確認</t>
        </is>
      </c>
      <c r="P22" s="80" t="inlineStr">
        <is>
          <t>令和7年8月8日の第10期調査説明会資料は当方未取得（厚生労働省サイトは当方の環境から不通）。調査は国の様式で令和7年度に実施済み</t>
        </is>
      </c>
      <c r="Q22" s="80" t="inlineStr">
        <is>
          <t>資料の提供を依頼</t>
        </is>
      </c>
    </row>
    <row r="23" ht="62" customHeight="1">
      <c r="A23" s="8" t="inlineStr">
        <is>
          <t>C022</t>
        </is>
      </c>
      <c r="B23" s="8" t="inlineStr">
        <is>
          <t>Ⅱ</t>
        </is>
      </c>
      <c r="C23" s="8" t="inlineStr">
        <is>
          <t>3 計画に向けた動き</t>
        </is>
      </c>
      <c r="D23" s="8" t="inlineStr">
        <is>
          <t>17-32</t>
        </is>
      </c>
      <c r="E23" s="8" t="inlineStr">
        <is>
          <t>国の政策・通知</t>
        </is>
      </c>
      <c r="F23" s="8" t="inlineStr">
        <is>
          <t>2026年3月11日の全国担当課長会議資料を確認したか</t>
        </is>
      </c>
      <c r="G23" s="8" t="inlineStr">
        <is>
          <t>公表済みの資料は確認日・版を記録。未公表の予定は確定扱いしない</t>
        </is>
      </c>
      <c r="H23" s="8" t="inlineStr">
        <is>
          <t>厚生労働省公開会議資料、基本指針告示、県事務連絡、見える化システム新着</t>
        </is>
      </c>
      <c r="I23" s="8" t="inlineStr">
        <is>
          <t>随時／2026年10月時点再確認</t>
        </is>
      </c>
      <c r="J23" s="8" t="inlineStr">
        <is>
          <t>介護保険担当</t>
        </is>
      </c>
      <c r="K23" s="8" t="inlineStr">
        <is>
          <t>最優先</t>
        </is>
      </c>
      <c r="L23" s="8" t="inlineStr">
        <is>
          <t>手引き+2026更新</t>
        </is>
      </c>
      <c r="M23" s="8" t="str"/>
      <c r="N23" s="8" t="inlineStr">
        <is>
          <t>https://www.mhlw.go.jp/stf/newpage_74620.html</t>
        </is>
      </c>
      <c r="O23" s="83" t="inlineStr">
        <is>
          <t>未確認</t>
        </is>
      </c>
      <c r="P23" s="80" t="inlineStr">
        <is>
          <t>令和8年3月11日の全国担当課長会議資料は当方未取得</t>
        </is>
      </c>
      <c r="Q23" s="80" t="inlineStr">
        <is>
          <t>資料の提供を依頼</t>
        </is>
      </c>
    </row>
    <row r="24" ht="62" customHeight="1">
      <c r="A24" s="8" t="inlineStr">
        <is>
          <t>C023</t>
        </is>
      </c>
      <c r="B24" s="8" t="inlineStr">
        <is>
          <t>Ⅱ</t>
        </is>
      </c>
      <c r="C24" s="8" t="inlineStr">
        <is>
          <t>3 計画に向けた動き</t>
        </is>
      </c>
      <c r="D24" s="8" t="inlineStr">
        <is>
          <t>17-32</t>
        </is>
      </c>
      <c r="E24" s="8" t="inlineStr">
        <is>
          <t>国の政策・通知</t>
        </is>
      </c>
      <c r="F24" s="8" t="inlineStr">
        <is>
          <t>2026年7月15日の全国介護保険担当課長会議資料を確認したか</t>
        </is>
      </c>
      <c r="G24" s="8" t="inlineStr">
        <is>
          <t>公表済みの資料は確認日・版を記録。未公表の予定は確定扱いしない</t>
        </is>
      </c>
      <c r="H24" s="8" t="inlineStr">
        <is>
          <t>厚生労働省公開会議資料、基本指針告示、県事務連絡、見える化システム新着</t>
        </is>
      </c>
      <c r="I24" s="8" t="inlineStr">
        <is>
          <t>随時／2026年10月時点再確認</t>
        </is>
      </c>
      <c r="J24" s="8" t="inlineStr">
        <is>
          <t>介護保険担当</t>
        </is>
      </c>
      <c r="K24" s="8" t="inlineStr">
        <is>
          <t>最優先</t>
        </is>
      </c>
      <c r="L24" s="8" t="inlineStr">
        <is>
          <t>手引き+2026更新</t>
        </is>
      </c>
      <c r="M24" s="8" t="str"/>
      <c r="N24" s="8" t="inlineStr">
        <is>
          <t>https://www.mhlw.go.jp/stf/newpage_74620.html</t>
        </is>
      </c>
      <c r="O24" s="83" t="inlineStr">
        <is>
          <t>未確認</t>
        </is>
      </c>
      <c r="P24" s="80" t="inlineStr">
        <is>
          <t>令和8年7月15日の全国介護保険担当課長会議資料は当方未取得。保険料算定・調整交付金に関わるため優先度が高い</t>
        </is>
      </c>
      <c r="Q24" s="80" t="inlineStr">
        <is>
          <t>資料3-1・3-2の提供を依頼</t>
        </is>
      </c>
    </row>
    <row r="25" ht="62" customHeight="1">
      <c r="A25" s="8" t="inlineStr">
        <is>
          <t>C024</t>
        </is>
      </c>
      <c r="B25" s="8" t="inlineStr">
        <is>
          <t>Ⅱ</t>
        </is>
      </c>
      <c r="C25" s="8" t="inlineStr">
        <is>
          <t>3 計画に向けた動き</t>
        </is>
      </c>
      <c r="D25" s="8" t="inlineStr">
        <is>
          <t>17-32</t>
        </is>
      </c>
      <c r="E25" s="8" t="inlineStr">
        <is>
          <t>国の政策・通知</t>
        </is>
      </c>
      <c r="F25" s="8" t="inlineStr">
        <is>
          <t>2026年9月の地域分析手引き改訂版を確認したか</t>
        </is>
      </c>
      <c r="G25" s="8" t="inlineStr">
        <is>
          <t>公表済みの資料は確認日・版を記録。未公表の予定は確定扱いしない</t>
        </is>
      </c>
      <c r="H25" s="8" t="inlineStr">
        <is>
          <t>厚生労働省公開会議資料、基本指針告示、県事務連絡、見える化システム新着</t>
        </is>
      </c>
      <c r="I25" s="8" t="inlineStr">
        <is>
          <t>随時／2026年10月時点再確認</t>
        </is>
      </c>
      <c r="J25" s="8" t="inlineStr">
        <is>
          <t>介護保険担当</t>
        </is>
      </c>
      <c r="K25" s="8" t="inlineStr">
        <is>
          <t>最優先</t>
        </is>
      </c>
      <c r="L25" s="8" t="inlineStr">
        <is>
          <t>手引き+2026更新</t>
        </is>
      </c>
      <c r="M25" s="8" t="str"/>
      <c r="N25" s="8" t="inlineStr">
        <is>
          <t>https://www.mhlw.go.jp/stf/newpage_74620.html</t>
        </is>
      </c>
      <c r="O25" s="83" t="inlineStr">
        <is>
          <t>未確認</t>
        </is>
      </c>
      <c r="P25" s="80" t="inlineStr">
        <is>
          <t>令和8年9月の地域分析手引き改訂版は当方未取得</t>
        </is>
      </c>
      <c r="Q25" s="80" t="inlineStr">
        <is>
          <t>資料の提供を依頼</t>
        </is>
      </c>
    </row>
    <row r="26" ht="62" customHeight="1">
      <c r="A26" s="8" t="inlineStr">
        <is>
          <t>C025</t>
        </is>
      </c>
      <c r="B26" s="8" t="inlineStr">
        <is>
          <t>Ⅱ</t>
        </is>
      </c>
      <c r="C26" s="8" t="inlineStr">
        <is>
          <t>3 計画に向けた動き</t>
        </is>
      </c>
      <c r="D26" s="8" t="inlineStr">
        <is>
          <t>17-32</t>
        </is>
      </c>
      <c r="E26" s="8" t="inlineStr">
        <is>
          <t>国の政策・通知</t>
        </is>
      </c>
      <c r="F26" s="8" t="inlineStr">
        <is>
          <t>制度改正・第10期基本指針（案）の公表状況を一次資料で確認したか</t>
        </is>
      </c>
      <c r="G26" s="8" t="inlineStr">
        <is>
          <t>公表済みの資料は確認日・版を記録。未公表の予定は確定扱いしない</t>
        </is>
      </c>
      <c r="H26" s="8" t="inlineStr">
        <is>
          <t>厚生労働省公開会議資料、基本指針告示、県事務連絡、見える化システム新着</t>
        </is>
      </c>
      <c r="I26" s="8" t="inlineStr">
        <is>
          <t>随時／2026年10月時点再確認</t>
        </is>
      </c>
      <c r="J26" s="8" t="inlineStr">
        <is>
          <t>介護保険担当</t>
        </is>
      </c>
      <c r="K26" s="8" t="inlineStr">
        <is>
          <t>最優先</t>
        </is>
      </c>
      <c r="L26" s="8" t="inlineStr">
        <is>
          <t>手引き+2026更新</t>
        </is>
      </c>
      <c r="M26" s="8" t="str"/>
      <c r="N26" s="8" t="inlineStr">
        <is>
          <t>https://www.mhlw.go.jp/stf/newpage_74620.html</t>
        </is>
      </c>
      <c r="O26" s="81" t="inlineStr">
        <is>
          <t>確認中</t>
        </is>
      </c>
      <c r="P26" s="80" t="inlineStr">
        <is>
          <t>制度改正は法令APIで改正法の条文まで確定。第10期基本指針（案）は未取得</t>
        </is>
      </c>
      <c r="Q26" s="80" t="n"/>
    </row>
    <row r="27" ht="62" customHeight="1">
      <c r="A27" s="8" t="inlineStr">
        <is>
          <t>C026</t>
        </is>
      </c>
      <c r="B27" s="8" t="inlineStr">
        <is>
          <t>Ⅱ</t>
        </is>
      </c>
      <c r="C27" s="8" t="inlineStr">
        <is>
          <t>3 計画に向けた動き</t>
        </is>
      </c>
      <c r="D27" s="8" t="inlineStr">
        <is>
          <t>17-32</t>
        </is>
      </c>
      <c r="E27" s="8" t="inlineStr">
        <is>
          <t>国の政策・通知</t>
        </is>
      </c>
      <c r="F27" s="8" t="inlineStr">
        <is>
          <t>2027年の基本指針告示・施行は想定予定と実際の公表を分けて記録したか</t>
        </is>
      </c>
      <c r="G27" s="8" t="inlineStr">
        <is>
          <t>公表済みの資料は確認日・版を記録。未公表の予定は確定扱いしない</t>
        </is>
      </c>
      <c r="H27" s="8" t="inlineStr">
        <is>
          <t>厚生労働省公開会議資料、基本指針告示、県事務連絡、見える化システム新着</t>
        </is>
      </c>
      <c r="I27" s="8" t="inlineStr">
        <is>
          <t>随時／2026年10月時点再確認</t>
        </is>
      </c>
      <c r="J27" s="8" t="inlineStr">
        <is>
          <t>介護保険担当</t>
        </is>
      </c>
      <c r="K27" s="8" t="inlineStr">
        <is>
          <t>最優先</t>
        </is>
      </c>
      <c r="L27" s="8" t="inlineStr">
        <is>
          <t>手引き+2026更新</t>
        </is>
      </c>
      <c r="M27" s="8" t="str"/>
      <c r="N27" s="8" t="inlineStr">
        <is>
          <t>https://www.mhlw.go.jp/stf/newpage_74620.html</t>
        </is>
      </c>
      <c r="O27" s="81" t="inlineStr">
        <is>
          <t>確認中</t>
        </is>
      </c>
      <c r="P27" s="80" t="inlineStr">
        <is>
          <t>法改正の施行日（令和9年4月1日）は条文で確定と記載し、基本指針の告示は未確定として扱っている</t>
        </is>
      </c>
      <c r="Q27" s="80" t="n"/>
    </row>
    <row r="28" ht="62" customHeight="1">
      <c r="A28" s="8" t="inlineStr">
        <is>
          <t>C027</t>
        </is>
      </c>
      <c r="B28" s="8" t="inlineStr">
        <is>
          <t>Ⅱ</t>
        </is>
      </c>
      <c r="C28" s="8" t="inlineStr">
        <is>
          <t>3 計画に向けた動き</t>
        </is>
      </c>
      <c r="D28" s="8" t="inlineStr">
        <is>
          <t>17-32</t>
        </is>
      </c>
      <c r="E28" s="8" t="inlineStr">
        <is>
          <t>国の政策・通知</t>
        </is>
      </c>
      <c r="F28" s="8" t="inlineStr">
        <is>
          <t>国の見込量推計機能・提出様式の更新情報を確認したか</t>
        </is>
      </c>
      <c r="G28" s="8" t="inlineStr">
        <is>
          <t>公表済みの資料は確認日・版を記録。未公表の予定は確定扱いしない</t>
        </is>
      </c>
      <c r="H28" s="8" t="inlineStr">
        <is>
          <t>厚生労働省公開会議資料、基本指針告示、県事務連絡、見える化システム新着</t>
        </is>
      </c>
      <c r="I28" s="8" t="inlineStr">
        <is>
          <t>随時／2026年10月時点再確認</t>
        </is>
      </c>
      <c r="J28" s="8" t="inlineStr">
        <is>
          <t>介護保険担当</t>
        </is>
      </c>
      <c r="K28" s="8" t="inlineStr">
        <is>
          <t>最優先</t>
        </is>
      </c>
      <c r="L28" s="8" t="inlineStr">
        <is>
          <t>手引き+2026更新</t>
        </is>
      </c>
      <c r="M28" s="8" t="str"/>
      <c r="N28" s="8" t="inlineStr">
        <is>
          <t>https://www.mhlw.go.jp/stf/newpage_74620.html</t>
        </is>
      </c>
      <c r="O28" s="81" t="inlineStr">
        <is>
          <t>確認中</t>
        </is>
      </c>
      <c r="P28" s="80" t="inlineStr">
        <is>
          <t>見える化システムの第10期推計機能で入力・推計済み（ワーニング整理済み）。正式版との様式差は未確認</t>
        </is>
      </c>
      <c r="Q28" s="80" t="n"/>
    </row>
    <row r="29" ht="62" customHeight="1">
      <c r="A29" s="8" t="inlineStr">
        <is>
          <t>C028</t>
        </is>
      </c>
      <c r="B29" s="8" t="inlineStr">
        <is>
          <t>Ⅱ</t>
        </is>
      </c>
      <c r="C29" s="8" t="inlineStr">
        <is>
          <t>3 計画に向けた動き</t>
        </is>
      </c>
      <c r="D29" s="8" t="inlineStr">
        <is>
          <t>17-32</t>
        </is>
      </c>
      <c r="E29" s="8" t="inlineStr">
        <is>
          <t>国の政策・通知</t>
        </is>
      </c>
      <c r="F29" s="8" t="inlineStr">
        <is>
          <t>県からの独自通知・提出期限・協議工程を確認したか</t>
        </is>
      </c>
      <c r="G29" s="8" t="inlineStr">
        <is>
          <t>公表済みの資料は確認日・版を記録。未公表の予定は確定扱いしない</t>
        </is>
      </c>
      <c r="H29" s="8" t="inlineStr">
        <is>
          <t>厚生労働省公開会議資料、基本指針告示、県事務連絡、見える化システム新着</t>
        </is>
      </c>
      <c r="I29" s="8" t="inlineStr">
        <is>
          <t>随時／2026年10月時点再確認</t>
        </is>
      </c>
      <c r="J29" s="8" t="inlineStr">
        <is>
          <t>介護保険担当</t>
        </is>
      </c>
      <c r="K29" s="8" t="inlineStr">
        <is>
          <t>最優先</t>
        </is>
      </c>
      <c r="L29" s="8" t="inlineStr">
        <is>
          <t>手引き+2026更新</t>
        </is>
      </c>
      <c r="M29" s="8" t="str"/>
      <c r="N29" s="8" t="inlineStr">
        <is>
          <t>https://www.mhlw.go.jp/stf/newpage_74620.html</t>
        </is>
      </c>
      <c r="O29" s="82" t="inlineStr">
        <is>
          <t>資料徴求中</t>
        </is>
      </c>
      <c r="P29" s="80" t="inlineStr">
        <is>
          <t>県の意見聴取（介護保険法第117条第14項）の時期と様式を県に照会中（確認事項№71）</t>
        </is>
      </c>
      <c r="Q29" s="80" t="n"/>
    </row>
    <row r="30" ht="62" customHeight="1">
      <c r="A30" s="8" t="inlineStr">
        <is>
          <t>C029</t>
        </is>
      </c>
      <c r="B30" s="8" t="inlineStr">
        <is>
          <t>Ⅲ</t>
        </is>
      </c>
      <c r="C30" s="8" t="inlineStr">
        <is>
          <t>1 基本的な考え方</t>
        </is>
      </c>
      <c r="D30" s="8" t="inlineStr">
        <is>
          <t>35-44</t>
        </is>
      </c>
      <c r="E30" s="8" t="inlineStr">
        <is>
          <t>策定体制・ビジョン</t>
        </is>
      </c>
      <c r="F30" s="8" t="inlineStr">
        <is>
          <t>計画策定委員会・庁内WGの役割・開催予定を明確にしたか</t>
        </is>
      </c>
      <c r="G30" s="8" t="inlineStr">
        <is>
          <t>施策ごとの根拠・責任主体・測定可能な指標を確認</t>
        </is>
      </c>
      <c r="H30" s="8" t="inlineStr">
        <is>
          <t>策定体制図、委員名簿、会議録、ロジックモデル、指標一覧</t>
        </is>
      </c>
      <c r="I30" s="8" t="inlineStr">
        <is>
          <t>2026年4～12月</t>
        </is>
      </c>
      <c r="J30" s="8" t="inlineStr">
        <is>
          <t>主管／関係部局</t>
        </is>
      </c>
      <c r="K30" s="8" t="inlineStr">
        <is>
          <t>A</t>
        </is>
      </c>
      <c r="L30" s="8" t="inlineStr">
        <is>
          <t>手引き</t>
        </is>
      </c>
      <c r="M30" s="8" t="str"/>
      <c r="N30" s="8" t="str"/>
      <c r="O30" s="81" t="inlineStr">
        <is>
          <t>確認中</t>
        </is>
      </c>
      <c r="P30" s="80" t="inlineStr">
        <is>
          <t>協議会での検討を前提に記載。庁内ワーキングの体制と開催予定の記載がない</t>
        </is>
      </c>
      <c r="Q30" s="80" t="inlineStr">
        <is>
          <t>第1章7に庁内体制と開催予定を書く</t>
        </is>
      </c>
    </row>
    <row r="31" ht="62" customHeight="1">
      <c r="A31" s="8" t="inlineStr">
        <is>
          <t>C030</t>
        </is>
      </c>
      <c r="B31" s="8" t="inlineStr">
        <is>
          <t>Ⅲ</t>
        </is>
      </c>
      <c r="C31" s="8" t="inlineStr">
        <is>
          <t>1 基本的な考え方</t>
        </is>
      </c>
      <c r="D31" s="8" t="inlineStr">
        <is>
          <t>35-44</t>
        </is>
      </c>
      <c r="E31" s="8" t="inlineStr">
        <is>
          <t>策定体制・ビジョン</t>
        </is>
      </c>
      <c r="F31" s="8" t="inlineStr">
        <is>
          <t>住民、介護事業者、医療、福祉、住宅部門の参画があるか</t>
        </is>
      </c>
      <c r="G31" s="8" t="inlineStr">
        <is>
          <t>施策ごとの根拠・責任主体・測定可能な指標を確認</t>
        </is>
      </c>
      <c r="H31" s="8" t="inlineStr">
        <is>
          <t>策定体制図、委員名簿、会議録、ロジックモデル、指標一覧</t>
        </is>
      </c>
      <c r="I31" s="8" t="inlineStr">
        <is>
          <t>2026年4～12月</t>
        </is>
      </c>
      <c r="J31" s="8" t="inlineStr">
        <is>
          <t>主管／関係部局</t>
        </is>
      </c>
      <c r="K31" s="8" t="inlineStr">
        <is>
          <t>A</t>
        </is>
      </c>
      <c r="L31" s="8" t="inlineStr">
        <is>
          <t>手引き</t>
        </is>
      </c>
      <c r="M31" s="8" t="str"/>
      <c r="N31" s="8" t="str"/>
      <c r="O31" s="81" t="inlineStr">
        <is>
          <t>確認中</t>
        </is>
      </c>
      <c r="P31" s="80" t="inlineStr">
        <is>
          <t>協議会・関係団体ヒアリングを記載。住宅部門の参画は記載がない</t>
        </is>
      </c>
      <c r="Q31" s="80" t="inlineStr">
        <is>
          <t>住宅担当の関与を第1章7に書く</t>
        </is>
      </c>
    </row>
    <row r="32" ht="62" customHeight="1">
      <c r="A32" s="8" t="inlineStr">
        <is>
          <t>C031</t>
        </is>
      </c>
      <c r="B32" s="8" t="inlineStr">
        <is>
          <t>Ⅲ</t>
        </is>
      </c>
      <c r="C32" s="8" t="inlineStr">
        <is>
          <t>1 基本的な考え方</t>
        </is>
      </c>
      <c r="D32" s="8" t="inlineStr">
        <is>
          <t>35-44</t>
        </is>
      </c>
      <c r="E32" s="8" t="inlineStr">
        <is>
          <t>策定体制・ビジョン</t>
        </is>
      </c>
      <c r="F32" s="8" t="inlineStr">
        <is>
          <t>地域課題→基本理念→施策→事業・KPIの対応関係を整理したか</t>
        </is>
      </c>
      <c r="G32" s="8" t="inlineStr">
        <is>
          <t>施策ごとの根拠・責任主体・測定可能な指標を確認</t>
        </is>
      </c>
      <c r="H32" s="8" t="inlineStr">
        <is>
          <t>策定体制図、委員名簿、会議録、ロジックモデル、指標一覧</t>
        </is>
      </c>
      <c r="I32" s="8" t="inlineStr">
        <is>
          <t>2026年4～12月</t>
        </is>
      </c>
      <c r="J32" s="8" t="inlineStr">
        <is>
          <t>主管／関係部局</t>
        </is>
      </c>
      <c r="K32" s="8" t="inlineStr">
        <is>
          <t>A</t>
        </is>
      </c>
      <c r="L32" s="8" t="inlineStr">
        <is>
          <t>手引き</t>
        </is>
      </c>
      <c r="M32" s="8" t="str"/>
      <c r="N32" s="8" t="str"/>
      <c r="O32" s="81" t="inlineStr">
        <is>
          <t>確認中</t>
        </is>
      </c>
      <c r="P32" s="80" t="inlineStr">
        <is>
          <t>第4章2の体系（課題→理念→目標→施策）と資料編8の成果指標がある。施策と指標の対応表は一部</t>
        </is>
      </c>
      <c r="Q32" s="80" t="n"/>
    </row>
    <row r="33" ht="62" customHeight="1">
      <c r="A33" s="8" t="inlineStr">
        <is>
          <t>C032</t>
        </is>
      </c>
      <c r="B33" s="8" t="inlineStr">
        <is>
          <t>Ⅲ</t>
        </is>
      </c>
      <c r="C33" s="8" t="inlineStr">
        <is>
          <t>1 基本的な考え方</t>
        </is>
      </c>
      <c r="D33" s="8" t="inlineStr">
        <is>
          <t>35-44</t>
        </is>
      </c>
      <c r="E33" s="8" t="inlineStr">
        <is>
          <t>策定体制・ビジョン</t>
        </is>
      </c>
      <c r="F33" s="8" t="inlineStr">
        <is>
          <t>アウトプット指標・アウトカム指標を区別したか</t>
        </is>
      </c>
      <c r="G33" s="8" t="inlineStr">
        <is>
          <t>施策ごとの根拠・責任主体・測定可能な指標を確認</t>
        </is>
      </c>
      <c r="H33" s="8" t="inlineStr">
        <is>
          <t>策定体制図、委員名簿、会議録、ロジックモデル、指標一覧</t>
        </is>
      </c>
      <c r="I33" s="8" t="inlineStr">
        <is>
          <t>2026年4～12月</t>
        </is>
      </c>
      <c r="J33" s="8" t="inlineStr">
        <is>
          <t>主管／関係部局</t>
        </is>
      </c>
      <c r="K33" s="8" t="inlineStr">
        <is>
          <t>A</t>
        </is>
      </c>
      <c r="L33" s="8" t="inlineStr">
        <is>
          <t>手引き</t>
        </is>
      </c>
      <c r="M33" s="8" t="str"/>
      <c r="N33" s="8" t="str"/>
      <c r="O33" s="81" t="inlineStr">
        <is>
          <t>確認中</t>
        </is>
      </c>
      <c r="P33" s="80" t="inlineStr">
        <is>
          <t>成果指標48件の定義はあるが、アウトプット指標とアウトカム指標の区分を表示していない</t>
        </is>
      </c>
      <c r="Q33" s="80" t="inlineStr">
        <is>
          <t>資料編8に指標の種類（アウトプット／アウトカム）の列を足す</t>
        </is>
      </c>
    </row>
    <row r="34" ht="62" customHeight="1">
      <c r="A34" s="8" t="inlineStr">
        <is>
          <t>C033</t>
        </is>
      </c>
      <c r="B34" s="8" t="inlineStr">
        <is>
          <t>Ⅲ</t>
        </is>
      </c>
      <c r="C34" s="8" t="inlineStr">
        <is>
          <t>1 基本的な考え方</t>
        </is>
      </c>
      <c r="D34" s="8" t="inlineStr">
        <is>
          <t>35-44</t>
        </is>
      </c>
      <c r="E34" s="8" t="inlineStr">
        <is>
          <t>策定体制・ビジョン</t>
        </is>
      </c>
      <c r="F34" s="8" t="inlineStr">
        <is>
          <t>関係者が地域の将来像と課題の優先順位を共有したか</t>
        </is>
      </c>
      <c r="G34" s="8" t="inlineStr">
        <is>
          <t>施策ごとの根拠・責任主体・測定可能な指標を確認</t>
        </is>
      </c>
      <c r="H34" s="8" t="inlineStr">
        <is>
          <t>策定体制図、委員名簿、会議録、ロジックモデル、指標一覧</t>
        </is>
      </c>
      <c r="I34" s="8" t="inlineStr">
        <is>
          <t>2026年4～12月</t>
        </is>
      </c>
      <c r="J34" s="8" t="inlineStr">
        <is>
          <t>主管／関係部局</t>
        </is>
      </c>
      <c r="K34" s="8" t="inlineStr">
        <is>
          <t>A</t>
        </is>
      </c>
      <c r="L34" s="8" t="inlineStr">
        <is>
          <t>手引き</t>
        </is>
      </c>
      <c r="M34" s="8" t="str"/>
      <c r="N34" s="8" t="str"/>
      <c r="O34" s="84" t="inlineStr">
        <is>
          <t>要協議</t>
        </is>
      </c>
      <c r="P34" s="80" t="inlineStr">
        <is>
          <t>地域の将来像と課題の優先順位の共有は協議会でこれから</t>
        </is>
      </c>
      <c r="Q34" s="80" t="inlineStr">
        <is>
          <t>協議会の議題とする</t>
        </is>
      </c>
    </row>
    <row r="35" ht="62" customHeight="1">
      <c r="A35" s="8" t="inlineStr">
        <is>
          <t>C034</t>
        </is>
      </c>
      <c r="B35" s="8" t="inlineStr">
        <is>
          <t>Ⅲ</t>
        </is>
      </c>
      <c r="C35" s="8" t="inlineStr">
        <is>
          <t>1 基本的な考え方</t>
        </is>
      </c>
      <c r="D35" s="8" t="inlineStr">
        <is>
          <t>35-44</t>
        </is>
      </c>
      <c r="E35" s="8" t="inlineStr">
        <is>
          <t>策定体制・ビジョン</t>
        </is>
      </c>
      <c r="F35" s="8" t="inlineStr">
        <is>
          <t>自治体点検ツール等によって施策の論理を点検したか</t>
        </is>
      </c>
      <c r="G35" s="8" t="inlineStr">
        <is>
          <t>施策ごとの根拠・責任主体・測定可能な指標を確認</t>
        </is>
      </c>
      <c r="H35" s="8" t="inlineStr">
        <is>
          <t>策定体制図、委員名簿、会議録、ロジックモデル、指標一覧</t>
        </is>
      </c>
      <c r="I35" s="8" t="inlineStr">
        <is>
          <t>2026年4～12月</t>
        </is>
      </c>
      <c r="J35" s="8" t="inlineStr">
        <is>
          <t>主管／関係部局</t>
        </is>
      </c>
      <c r="K35" s="8" t="inlineStr">
        <is>
          <t>A</t>
        </is>
      </c>
      <c r="L35" s="8" t="inlineStr">
        <is>
          <t>手引き</t>
        </is>
      </c>
      <c r="M35" s="8" t="str"/>
      <c r="N35" s="8" t="str"/>
      <c r="O35" s="83" t="inlineStr">
        <is>
          <t>未確認</t>
        </is>
      </c>
      <c r="P35" s="80" t="inlineStr">
        <is>
          <t>自治体点検ツール等による施策の論理の点検は未実施</t>
        </is>
      </c>
      <c r="Q35" s="80" t="inlineStr">
        <is>
          <t>要否を判断</t>
        </is>
      </c>
    </row>
    <row r="36" ht="62" customHeight="1">
      <c r="A36" s="8" t="inlineStr">
        <is>
          <t>C035</t>
        </is>
      </c>
      <c r="B36" s="8" t="inlineStr">
        <is>
          <t>Ⅲ</t>
        </is>
      </c>
      <c r="C36" s="8" t="inlineStr">
        <is>
          <t>2.1～2.3 毎年度・1年目</t>
        </is>
      </c>
      <c r="D36" s="8" t="inlineStr">
        <is>
          <t>45-67</t>
        </is>
      </c>
      <c r="E36" s="8" t="inlineStr">
        <is>
          <t>現行計画の進捗検証</t>
        </is>
      </c>
      <c r="F36" s="8" t="inlineStr">
        <is>
          <t>サービス見込量と実績値の乖離を把握したか</t>
        </is>
      </c>
      <c r="G36" s="8" t="inlineStr">
        <is>
          <t>乖離の理由が記録され、次期施策・推計に反映</t>
        </is>
      </c>
      <c r="H36" s="8" t="inlineStr">
        <is>
          <t>第9期進捗評価、見える化実行管理、取組・目標自己評価シート、決算、委託仕様書</t>
        </is>
      </c>
      <c r="I36" s="8" t="inlineStr">
        <is>
          <t>2025年度実施状況を2026年度に再点検</t>
        </is>
      </c>
      <c r="J36" s="8" t="inlineStr">
        <is>
          <t>介護保険担当</t>
        </is>
      </c>
      <c r="K36" s="8" t="inlineStr">
        <is>
          <t>最優先</t>
        </is>
      </c>
      <c r="L36" s="8" t="inlineStr">
        <is>
          <t>手引き</t>
        </is>
      </c>
      <c r="M36" s="8" t="str"/>
      <c r="N36" s="8" t="inlineStr">
        <is>
          <t>https://mieruka.mhlw.go.jp/</t>
        </is>
      </c>
      <c r="O36" s="79" t="inlineStr">
        <is>
          <t>完了</t>
        </is>
      </c>
      <c r="P36" s="80" t="inlineStr">
        <is>
          <t>第3章3。標準給付費の見込みと実績（令和6年度98.6％・令和7年度91.1％）</t>
        </is>
      </c>
      <c r="Q36" s="80" t="n"/>
    </row>
    <row r="37" ht="62" customHeight="1">
      <c r="A37" s="8" t="inlineStr">
        <is>
          <t>C036</t>
        </is>
      </c>
      <c r="B37" s="8" t="inlineStr">
        <is>
          <t>Ⅲ</t>
        </is>
      </c>
      <c r="C37" s="8" t="inlineStr">
        <is>
          <t>2.1～2.3 毎年度・1年目</t>
        </is>
      </c>
      <c r="D37" s="8" t="inlineStr">
        <is>
          <t>45-67</t>
        </is>
      </c>
      <c r="E37" s="8" t="inlineStr">
        <is>
          <t>現行計画の進捗検証</t>
        </is>
      </c>
      <c r="F37" s="8" t="inlineStr">
        <is>
          <t>乖離を人口・認定・事業所供給・利用率に分解したか</t>
        </is>
      </c>
      <c r="G37" s="8" t="inlineStr">
        <is>
          <t>乖離の理由が記録され、次期施策・推計に反映</t>
        </is>
      </c>
      <c r="H37" s="8" t="inlineStr">
        <is>
          <t>第9期進捗評価、見える化実行管理、取組・目標自己評価シート、決算、委託仕様書</t>
        </is>
      </c>
      <c r="I37" s="8" t="inlineStr">
        <is>
          <t>2025年度実施状況を2026年度に再点検</t>
        </is>
      </c>
      <c r="J37" s="8" t="inlineStr">
        <is>
          <t>介護保険担当</t>
        </is>
      </c>
      <c r="K37" s="8" t="inlineStr">
        <is>
          <t>最優先</t>
        </is>
      </c>
      <c r="L37" s="8" t="inlineStr">
        <is>
          <t>手引き</t>
        </is>
      </c>
      <c r="M37" s="8" t="str"/>
      <c r="N37" s="8" t="inlineStr">
        <is>
          <t>https://mieruka.mhlw.go.jp/</t>
        </is>
      </c>
      <c r="O37" s="81" t="inlineStr">
        <is>
          <t>確認中</t>
        </is>
      </c>
      <c r="P37" s="80" t="inlineStr">
        <is>
          <t>第3章3（2）で見込みを下回った理由（認定者数の減少等）を記載。事業所の供給要因への分解は一部</t>
        </is>
      </c>
      <c r="Q37" s="80" t="n"/>
    </row>
    <row r="38" ht="62" customHeight="1">
      <c r="A38" s="8" t="inlineStr">
        <is>
          <t>C037</t>
        </is>
      </c>
      <c r="B38" s="8" t="inlineStr">
        <is>
          <t>Ⅲ</t>
        </is>
      </c>
      <c r="C38" s="8" t="inlineStr">
        <is>
          <t>2.1～2.3 毎年度・1年目</t>
        </is>
      </c>
      <c r="D38" s="8" t="inlineStr">
        <is>
          <t>45-67</t>
        </is>
      </c>
      <c r="E38" s="8" t="inlineStr">
        <is>
          <t>現行計画の進捗検証</t>
        </is>
      </c>
      <c r="F38" s="8" t="inlineStr">
        <is>
          <t>取組と目標の自己評価シートを整理したか</t>
        </is>
      </c>
      <c r="G38" s="8" t="inlineStr">
        <is>
          <t>乖離の理由が記録され、次期施策・推計に反映</t>
        </is>
      </c>
      <c r="H38" s="8" t="inlineStr">
        <is>
          <t>第9期進捗評価、見える化実行管理、取組・目標自己評価シート、決算、委託仕様書</t>
        </is>
      </c>
      <c r="I38" s="8" t="inlineStr">
        <is>
          <t>2025年度実施状況を2026年度に再点検</t>
        </is>
      </c>
      <c r="J38" s="8" t="inlineStr">
        <is>
          <t>介護保険担当</t>
        </is>
      </c>
      <c r="K38" s="8" t="inlineStr">
        <is>
          <t>最優先</t>
        </is>
      </c>
      <c r="L38" s="8" t="inlineStr">
        <is>
          <t>手引き</t>
        </is>
      </c>
      <c r="M38" s="8" t="str"/>
      <c r="N38" s="8" t="inlineStr">
        <is>
          <t>https://mieruka.mhlw.go.jp/</t>
        </is>
      </c>
      <c r="O38" s="82" t="inlineStr">
        <is>
          <t>資料徴求中</t>
        </is>
      </c>
      <c r="P38" s="80" t="inlineStr">
        <is>
          <t>取組と目標の自己評価シートは町から未受領</t>
        </is>
      </c>
      <c r="Q38" s="80" t="inlineStr">
        <is>
          <t>町に提供を依頼</t>
        </is>
      </c>
    </row>
    <row r="39" ht="62" customHeight="1">
      <c r="A39" s="8" t="inlineStr">
        <is>
          <t>C038</t>
        </is>
      </c>
      <c r="B39" s="8" t="inlineStr">
        <is>
          <t>Ⅲ</t>
        </is>
      </c>
      <c r="C39" s="8" t="inlineStr">
        <is>
          <t>2.1～2.3 毎年度・1年目</t>
        </is>
      </c>
      <c r="D39" s="8" t="inlineStr">
        <is>
          <t>45-67</t>
        </is>
      </c>
      <c r="E39" s="8" t="inlineStr">
        <is>
          <t>現行計画の進捗検証</t>
        </is>
      </c>
      <c r="F39" s="8" t="inlineStr">
        <is>
          <t>自己評価の県への報告を確認したか</t>
        </is>
      </c>
      <c r="G39" s="8" t="inlineStr">
        <is>
          <t>乖離の理由が記録され、次期施策・推計に反映</t>
        </is>
      </c>
      <c r="H39" s="8" t="inlineStr">
        <is>
          <t>第9期進捗評価、見える化実行管理、取組・目標自己評価シート、決算、委託仕様書</t>
        </is>
      </c>
      <c r="I39" s="8" t="inlineStr">
        <is>
          <t>2025年度実施状況を2026年度に再点検</t>
        </is>
      </c>
      <c r="J39" s="8" t="inlineStr">
        <is>
          <t>介護保険担当</t>
        </is>
      </c>
      <c r="K39" s="8" t="inlineStr">
        <is>
          <t>最優先</t>
        </is>
      </c>
      <c r="L39" s="8" t="inlineStr">
        <is>
          <t>手引き</t>
        </is>
      </c>
      <c r="M39" s="8" t="str"/>
      <c r="N39" s="8" t="inlineStr">
        <is>
          <t>https://mieruka.mhlw.go.jp/</t>
        </is>
      </c>
      <c r="O39" s="82" t="inlineStr">
        <is>
          <t>資料徴求中</t>
        </is>
      </c>
      <c r="P39" s="80" t="inlineStr">
        <is>
          <t>自己評価の県への報告状況は未確認（同上）</t>
        </is>
      </c>
      <c r="Q39" s="80" t="inlineStr">
        <is>
          <t>町に確認</t>
        </is>
      </c>
    </row>
    <row r="40" ht="62" customHeight="1">
      <c r="A40" s="8" t="inlineStr">
        <is>
          <t>C039</t>
        </is>
      </c>
      <c r="B40" s="8" t="inlineStr">
        <is>
          <t>Ⅲ</t>
        </is>
      </c>
      <c r="C40" s="8" t="inlineStr">
        <is>
          <t>2.1～2.3 毎年度・1年目</t>
        </is>
      </c>
      <c r="D40" s="8" t="inlineStr">
        <is>
          <t>45-67</t>
        </is>
      </c>
      <c r="E40" s="8" t="inlineStr">
        <is>
          <t>現行計画の進捗検証</t>
        </is>
      </c>
      <c r="F40" s="8" t="inlineStr">
        <is>
          <t>地域差分析を年次・類似団体間で比較したか</t>
        </is>
      </c>
      <c r="G40" s="8" t="inlineStr">
        <is>
          <t>乖離の理由が記録され、次期施策・推計に反映</t>
        </is>
      </c>
      <c r="H40" s="8" t="inlineStr">
        <is>
          <t>第9期進捗評価、見える化実行管理、取組・目標自己評価シート、決算、委託仕様書</t>
        </is>
      </c>
      <c r="I40" s="8" t="inlineStr">
        <is>
          <t>2025年度実施状況を2026年度に再点検</t>
        </is>
      </c>
      <c r="J40" s="8" t="inlineStr">
        <is>
          <t>介護保険担当</t>
        </is>
      </c>
      <c r="K40" s="8" t="inlineStr">
        <is>
          <t>最優先</t>
        </is>
      </c>
      <c r="L40" s="8" t="inlineStr">
        <is>
          <t>手引き</t>
        </is>
      </c>
      <c r="M40" s="8" t="str"/>
      <c r="N40" s="8" t="inlineStr">
        <is>
          <t>https://mieruka.mhlw.go.jp/</t>
        </is>
      </c>
      <c r="O40" s="81" t="inlineStr">
        <is>
          <t>確認中</t>
        </is>
      </c>
      <c r="P40" s="80" t="inlineStr">
        <is>
          <t>性・年齢調整後の地域差指数（1.24）と県内順位を記載。年次の推移と類似団体比較は一部</t>
        </is>
      </c>
      <c r="Q40" s="80" t="n"/>
    </row>
    <row r="41" ht="62" customHeight="1">
      <c r="A41" s="8" t="inlineStr">
        <is>
          <t>C040</t>
        </is>
      </c>
      <c r="B41" s="8" t="inlineStr">
        <is>
          <t>Ⅲ</t>
        </is>
      </c>
      <c r="C41" s="8" t="inlineStr">
        <is>
          <t>2.1～2.3 毎年度・1年目</t>
        </is>
      </c>
      <c r="D41" s="8" t="inlineStr">
        <is>
          <t>45-67</t>
        </is>
      </c>
      <c r="E41" s="8" t="inlineStr">
        <is>
          <t>現行計画の進捗検証</t>
        </is>
      </c>
      <c r="F41" s="8" t="inlineStr">
        <is>
          <t>現行計画の未達指標について原因と改善策を確定したか</t>
        </is>
      </c>
      <c r="G41" s="8" t="inlineStr">
        <is>
          <t>乖離の理由が記録され、次期施策・推計に反映</t>
        </is>
      </c>
      <c r="H41" s="8" t="inlineStr">
        <is>
          <t>第9期進捗評価、見える化実行管理、取組・目標自己評価シート、決算、委託仕様書</t>
        </is>
      </c>
      <c r="I41" s="8" t="inlineStr">
        <is>
          <t>2025年度実施状況を2026年度に再点検</t>
        </is>
      </c>
      <c r="J41" s="8" t="inlineStr">
        <is>
          <t>介護保険担当</t>
        </is>
      </c>
      <c r="K41" s="8" t="inlineStr">
        <is>
          <t>最優先</t>
        </is>
      </c>
      <c r="L41" s="8" t="inlineStr">
        <is>
          <t>手引き</t>
        </is>
      </c>
      <c r="M41" s="8" t="str"/>
      <c r="N41" s="8" t="inlineStr">
        <is>
          <t>https://mieruka.mhlw.go.jp/</t>
        </is>
      </c>
      <c r="O41" s="81" t="inlineStr">
        <is>
          <t>確認中</t>
        </is>
      </c>
      <c r="P41" s="80" t="inlineStr">
        <is>
          <t>第3章1で達成状況を整理。原因と改善策の確定は協議会で</t>
        </is>
      </c>
      <c r="Q41" s="80" t="n"/>
    </row>
    <row r="42" ht="62" customHeight="1">
      <c r="A42" s="8" t="inlineStr">
        <is>
          <t>C041</t>
        </is>
      </c>
      <c r="B42" s="8" t="inlineStr">
        <is>
          <t>Ⅲ</t>
        </is>
      </c>
      <c r="C42" s="8" t="inlineStr">
        <is>
          <t>2.1～2.3 毎年度・1年目</t>
        </is>
      </c>
      <c r="D42" s="8" t="inlineStr">
        <is>
          <t>45-67</t>
        </is>
      </c>
      <c r="E42" s="8" t="inlineStr">
        <is>
          <t>現行計画の進捗検証</t>
        </is>
      </c>
      <c r="F42" s="8" t="inlineStr">
        <is>
          <t>調査実施の要否・費用・実施方法を検討済みか</t>
        </is>
      </c>
      <c r="G42" s="8" t="inlineStr">
        <is>
          <t>乖離の理由が記録され、次期施策・推計に反映</t>
        </is>
      </c>
      <c r="H42" s="8" t="inlineStr">
        <is>
          <t>第9期進捗評価、見える化実行管理、取組・目標自己評価シート、決算、委託仕様書</t>
        </is>
      </c>
      <c r="I42" s="8" t="inlineStr">
        <is>
          <t>2025年度実施状況を2026年度に再点検</t>
        </is>
      </c>
      <c r="J42" s="8" t="inlineStr">
        <is>
          <t>介護保険担当</t>
        </is>
      </c>
      <c r="K42" s="8" t="inlineStr">
        <is>
          <t>最優先</t>
        </is>
      </c>
      <c r="L42" s="8" t="inlineStr">
        <is>
          <t>手引き</t>
        </is>
      </c>
      <c r="M42" s="8" t="str"/>
      <c r="N42" s="8" t="inlineStr">
        <is>
          <t>https://mieruka.mhlw.go.jp/</t>
        </is>
      </c>
      <c r="O42" s="79" t="inlineStr">
        <is>
          <t>完了</t>
        </is>
      </c>
      <c r="P42" s="80" t="inlineStr">
        <is>
          <t>令和7年度に介護予防・日常生活圏域ニーズ調査と在宅介護実態調査を実施済み</t>
        </is>
      </c>
      <c r="Q42" s="80" t="n"/>
    </row>
    <row r="43" ht="62" customHeight="1">
      <c r="A43" s="8" t="inlineStr">
        <is>
          <t>C042</t>
        </is>
      </c>
      <c r="B43" s="8" t="inlineStr">
        <is>
          <t>Ⅲ</t>
        </is>
      </c>
      <c r="C43" s="8" t="inlineStr">
        <is>
          <t>2.1～2.3 毎年度・1年目</t>
        </is>
      </c>
      <c r="D43" s="8" t="inlineStr">
        <is>
          <t>45-67</t>
        </is>
      </c>
      <c r="E43" s="8" t="inlineStr">
        <is>
          <t>現行計画の進捗検証</t>
        </is>
      </c>
      <c r="F43" s="8" t="inlineStr">
        <is>
          <t>外部委託・工程管理の成果物定義を明確にしたか</t>
        </is>
      </c>
      <c r="G43" s="8" t="inlineStr">
        <is>
          <t>乖離の理由が記録され、次期施策・推計に反映</t>
        </is>
      </c>
      <c r="H43" s="8" t="inlineStr">
        <is>
          <t>第9期進捗評価、見える化実行管理、取組・目標自己評価シート、決算、委託仕様書</t>
        </is>
      </c>
      <c r="I43" s="8" t="inlineStr">
        <is>
          <t>2025年度実施状況を2026年度に再点検</t>
        </is>
      </c>
      <c r="J43" s="8" t="inlineStr">
        <is>
          <t>介護保険担当</t>
        </is>
      </c>
      <c r="K43" s="8" t="inlineStr">
        <is>
          <t>最優先</t>
        </is>
      </c>
      <c r="L43" s="8" t="inlineStr">
        <is>
          <t>手引き</t>
        </is>
      </c>
      <c r="M43" s="8" t="str"/>
      <c r="N43" s="8" t="inlineStr">
        <is>
          <t>https://mieruka.mhlw.go.jp/</t>
        </is>
      </c>
      <c r="O43" s="79" t="inlineStr">
        <is>
          <t>完了</t>
        </is>
      </c>
      <c r="P43" s="80" t="inlineStr">
        <is>
          <t>業務委託仕様書の成果品要件を工程表で管理（業務進捗管理表）</t>
        </is>
      </c>
      <c r="Q43" s="80" t="n"/>
    </row>
    <row r="44" ht="62" customHeight="1">
      <c r="A44" s="8" t="inlineStr">
        <is>
          <t>C043</t>
        </is>
      </c>
      <c r="B44" s="8" t="inlineStr">
        <is>
          <t>Ⅲ</t>
        </is>
      </c>
      <c r="C44" s="8" t="inlineStr">
        <is>
          <t>2.4 ビジョン・実態把握（2年目）</t>
        </is>
      </c>
      <c r="D44" s="8" t="inlineStr">
        <is>
          <t>68-88</t>
        </is>
      </c>
      <c r="E44" s="8" t="inlineStr">
        <is>
          <t>調査設計・分析品質</t>
        </is>
      </c>
      <c r="F44" s="8" t="inlineStr">
        <is>
          <t>ニーズ調査の調査目的と分析用途を定義したか</t>
        </is>
      </c>
      <c r="G44" s="8" t="inlineStr">
        <is>
          <t>調査目的・母集団・回収率・有効回答数・利用先が追跡可能</t>
        </is>
      </c>
      <c r="H44" s="8" t="inlineStr">
        <is>
          <t>各種調査票・結果、回答データ、抽出台帳、クロス集計、会議録</t>
        </is>
      </c>
      <c r="I44" s="8" t="inlineStr">
        <is>
          <t>2025年度調査結果／2026年4～10月再検証</t>
        </is>
      </c>
      <c r="J44" s="8" t="inlineStr">
        <is>
          <t>主管／調査受託者</t>
        </is>
      </c>
      <c r="K44" s="8" t="inlineStr">
        <is>
          <t>A</t>
        </is>
      </c>
      <c r="L44" s="8" t="inlineStr">
        <is>
          <t>手引き</t>
        </is>
      </c>
      <c r="M44" s="8" t="str"/>
      <c r="N44" s="8" t="inlineStr">
        <is>
          <t>https://www.mhlw.go.jp/stf/shingi2/0000138653_00007.html</t>
        </is>
      </c>
      <c r="O44" s="79" t="inlineStr">
        <is>
          <t>完了</t>
        </is>
      </c>
      <c r="P44" s="80" t="inlineStr">
        <is>
          <t>第2章2（1）。調査の目的と分析結果（リスク該当率等）</t>
        </is>
      </c>
      <c r="Q44" s="80" t="n"/>
    </row>
    <row r="45" ht="62" customHeight="1">
      <c r="A45" s="8" t="inlineStr">
        <is>
          <t>C044</t>
        </is>
      </c>
      <c r="B45" s="8" t="inlineStr">
        <is>
          <t>Ⅲ</t>
        </is>
      </c>
      <c r="C45" s="8" t="inlineStr">
        <is>
          <t>2.4 ビジョン・実態把握（2年目）</t>
        </is>
      </c>
      <c r="D45" s="8" t="inlineStr">
        <is>
          <t>68-88</t>
        </is>
      </c>
      <c r="E45" s="8" t="inlineStr">
        <is>
          <t>調査設計・分析品質</t>
        </is>
      </c>
      <c r="F45" s="8" t="inlineStr">
        <is>
          <t>在宅介護実態調査の調査目的・認定情報との連携仕様を確認したか</t>
        </is>
      </c>
      <c r="G45" s="8" t="inlineStr">
        <is>
          <t>調査目的・母集団・回収率・有効回答数・利用先が追跡可能</t>
        </is>
      </c>
      <c r="H45" s="8" t="inlineStr">
        <is>
          <t>各種調査票・結果、回答データ、抽出台帳、クロス集計、会議録</t>
        </is>
      </c>
      <c r="I45" s="8" t="inlineStr">
        <is>
          <t>2025年度調査結果／2026年4～10月再検証</t>
        </is>
      </c>
      <c r="J45" s="8" t="inlineStr">
        <is>
          <t>主管／調査受託者</t>
        </is>
      </c>
      <c r="K45" s="8" t="inlineStr">
        <is>
          <t>A</t>
        </is>
      </c>
      <c r="L45" s="8" t="inlineStr">
        <is>
          <t>手引き</t>
        </is>
      </c>
      <c r="M45" s="8" t="str"/>
      <c r="N45" s="8" t="inlineStr">
        <is>
          <t>https://www.mhlw.go.jp/stf/shingi2/0000138653_00007.html</t>
        </is>
      </c>
      <c r="O45" s="81" t="inlineStr">
        <is>
          <t>確認中</t>
        </is>
      </c>
      <c r="P45" s="80" t="inlineStr">
        <is>
          <t>第2章2（2）。認定データとの連携の仕様は報告書で確認していない</t>
        </is>
      </c>
      <c r="Q45" s="80" t="inlineStr">
        <is>
          <t>報告書で認定データ連携の有無を確認</t>
        </is>
      </c>
    </row>
    <row r="46" ht="62" customHeight="1">
      <c r="A46" s="8" t="inlineStr">
        <is>
          <t>C045</t>
        </is>
      </c>
      <c r="B46" s="8" t="inlineStr">
        <is>
          <t>Ⅲ</t>
        </is>
      </c>
      <c r="C46" s="8" t="inlineStr">
        <is>
          <t>2.4 ビジョン・実態把握（2年目）</t>
        </is>
      </c>
      <c r="D46" s="8" t="inlineStr">
        <is>
          <t>68-88</t>
        </is>
      </c>
      <c r="E46" s="8" t="inlineStr">
        <is>
          <t>調査設計・分析品質</t>
        </is>
      </c>
      <c r="F46" s="8" t="inlineStr">
        <is>
          <t>在宅生活改善調査の実施必要性を判断したか</t>
        </is>
      </c>
      <c r="G46" s="8" t="inlineStr">
        <is>
          <t>調査目的・母集団・回収率・有効回答数・利用先が追跡可能</t>
        </is>
      </c>
      <c r="H46" s="8" t="inlineStr">
        <is>
          <t>各種調査票・結果、回答データ、抽出台帳、クロス集計、会議録</t>
        </is>
      </c>
      <c r="I46" s="8" t="inlineStr">
        <is>
          <t>2025年度調査結果／2026年4～10月再検証</t>
        </is>
      </c>
      <c r="J46" s="8" t="inlineStr">
        <is>
          <t>主管／調査受託者</t>
        </is>
      </c>
      <c r="K46" s="8" t="inlineStr">
        <is>
          <t>A</t>
        </is>
      </c>
      <c r="L46" s="8" t="inlineStr">
        <is>
          <t>手引き</t>
        </is>
      </c>
      <c r="M46" s="8" t="str"/>
      <c r="N46" s="8" t="inlineStr">
        <is>
          <t>https://www.mhlw.go.jp/stf/shingi2/0000138653_00007.html</t>
        </is>
      </c>
      <c r="O46" s="84" t="inlineStr">
        <is>
          <t>要協議</t>
        </is>
      </c>
      <c r="P46" s="80" t="inlineStr">
        <is>
          <t>在宅生活改善調査は未実施。実施しない判断の記録がない</t>
        </is>
      </c>
      <c r="Q46" s="80" t="inlineStr">
        <is>
          <t>実施の要否と理由を記録</t>
        </is>
      </c>
    </row>
    <row r="47" ht="62" customHeight="1">
      <c r="A47" s="8" t="inlineStr">
        <is>
          <t>C046</t>
        </is>
      </c>
      <c r="B47" s="8" t="inlineStr">
        <is>
          <t>Ⅲ</t>
        </is>
      </c>
      <c r="C47" s="8" t="inlineStr">
        <is>
          <t>2.4 ビジョン・実態把握（2年目）</t>
        </is>
      </c>
      <c r="D47" s="8" t="inlineStr">
        <is>
          <t>68-88</t>
        </is>
      </c>
      <c r="E47" s="8" t="inlineStr">
        <is>
          <t>調査設計・分析品質</t>
        </is>
      </c>
      <c r="F47" s="8" t="inlineStr">
        <is>
          <t>居所変更実態調査の実施必要性を判断したか</t>
        </is>
      </c>
      <c r="G47" s="8" t="inlineStr">
        <is>
          <t>調査目的・母集団・回収率・有効回答数・利用先が追跡可能</t>
        </is>
      </c>
      <c r="H47" s="8" t="inlineStr">
        <is>
          <t>各種調査票・結果、回答データ、抽出台帳、クロス集計、会議録</t>
        </is>
      </c>
      <c r="I47" s="8" t="inlineStr">
        <is>
          <t>2025年度調査結果／2026年4～10月再検証</t>
        </is>
      </c>
      <c r="J47" s="8" t="inlineStr">
        <is>
          <t>主管／調査受託者</t>
        </is>
      </c>
      <c r="K47" s="8" t="inlineStr">
        <is>
          <t>A</t>
        </is>
      </c>
      <c r="L47" s="8" t="inlineStr">
        <is>
          <t>手引き</t>
        </is>
      </c>
      <c r="M47" s="8" t="str"/>
      <c r="N47" s="8" t="inlineStr">
        <is>
          <t>https://www.mhlw.go.jp/stf/shingi2/0000138653_00007.html</t>
        </is>
      </c>
      <c r="O47" s="84" t="inlineStr">
        <is>
          <t>要協議</t>
        </is>
      </c>
      <c r="P47" s="80" t="inlineStr">
        <is>
          <t>居所変更実態調査は未実施。同上</t>
        </is>
      </c>
      <c r="Q47" s="80" t="inlineStr">
        <is>
          <t>実施の要否と理由を記録</t>
        </is>
      </c>
    </row>
    <row r="48" ht="62" customHeight="1">
      <c r="A48" s="8" t="inlineStr">
        <is>
          <t>C047</t>
        </is>
      </c>
      <c r="B48" s="8" t="inlineStr">
        <is>
          <t>Ⅲ</t>
        </is>
      </c>
      <c r="C48" s="8" t="inlineStr">
        <is>
          <t>2.4 ビジョン・実態把握（2年目）</t>
        </is>
      </c>
      <c r="D48" s="8" t="inlineStr">
        <is>
          <t>68-88</t>
        </is>
      </c>
      <c r="E48" s="8" t="inlineStr">
        <is>
          <t>調査設計・分析品質</t>
        </is>
      </c>
      <c r="F48" s="8" t="inlineStr">
        <is>
          <t>介護人材実態調査の実施必要性を判断したか</t>
        </is>
      </c>
      <c r="G48" s="8" t="inlineStr">
        <is>
          <t>調査目的・母集団・回収率・有効回答数・利用先が追跡可能</t>
        </is>
      </c>
      <c r="H48" s="8" t="inlineStr">
        <is>
          <t>各種調査票・結果、回答データ、抽出台帳、クロス集計、会議録</t>
        </is>
      </c>
      <c r="I48" s="8" t="inlineStr">
        <is>
          <t>2025年度調査結果／2026年4～10月再検証</t>
        </is>
      </c>
      <c r="J48" s="8" t="inlineStr">
        <is>
          <t>主管／調査受託者</t>
        </is>
      </c>
      <c r="K48" s="8" t="inlineStr">
        <is>
          <t>A</t>
        </is>
      </c>
      <c r="L48" s="8" t="inlineStr">
        <is>
          <t>手引き</t>
        </is>
      </c>
      <c r="M48" s="8" t="str"/>
      <c r="N48" s="8" t="inlineStr">
        <is>
          <t>https://www.mhlw.go.jp/stf/shingi2/0000138653_00007.html</t>
        </is>
      </c>
      <c r="O48" s="84" t="inlineStr">
        <is>
          <t>要協議</t>
        </is>
      </c>
      <c r="P48" s="80" t="inlineStr">
        <is>
          <t>介護人材実態調査は未実施。第6章6で人材の供給制約から見込量を点検して代えている</t>
        </is>
      </c>
      <c r="Q48" s="80" t="inlineStr">
        <is>
          <t>実施の要否と理由を記録</t>
        </is>
      </c>
    </row>
    <row r="49" ht="62" customHeight="1">
      <c r="A49" s="8" t="inlineStr">
        <is>
          <t>C048</t>
        </is>
      </c>
      <c r="B49" s="8" t="inlineStr">
        <is>
          <t>Ⅲ</t>
        </is>
      </c>
      <c r="C49" s="8" t="inlineStr">
        <is>
          <t>2.4 ビジョン・実態把握（2年目）</t>
        </is>
      </c>
      <c r="D49" s="8" t="inlineStr">
        <is>
          <t>68-88</t>
        </is>
      </c>
      <c r="E49" s="8" t="inlineStr">
        <is>
          <t>調査設計・分析品質</t>
        </is>
      </c>
      <c r="F49" s="8" t="inlineStr">
        <is>
          <t>調査票・抽出条件・母集団・回収率・欠測を記録したか</t>
        </is>
      </c>
      <c r="G49" s="8" t="inlineStr">
        <is>
          <t>調査目的・母集団・回収率・有効回答数・利用先が追跡可能</t>
        </is>
      </c>
      <c r="H49" s="8" t="inlineStr">
        <is>
          <t>各種調査票・結果、回答データ、抽出台帳、クロス集計、会議録</t>
        </is>
      </c>
      <c r="I49" s="8" t="inlineStr">
        <is>
          <t>2025年度調査結果／2026年4～10月再検証</t>
        </is>
      </c>
      <c r="J49" s="8" t="inlineStr">
        <is>
          <t>主管／調査受託者</t>
        </is>
      </c>
      <c r="K49" s="8" t="inlineStr">
        <is>
          <t>A</t>
        </is>
      </c>
      <c r="L49" s="8" t="inlineStr">
        <is>
          <t>手引き</t>
        </is>
      </c>
      <c r="M49" s="8" t="str"/>
      <c r="N49" s="8" t="inlineStr">
        <is>
          <t>https://www.mhlw.go.jp/stf/shingi2/0000138653_00007.html</t>
        </is>
      </c>
      <c r="O49" s="79" t="inlineStr">
        <is>
          <t>完了</t>
        </is>
      </c>
      <c r="P49" s="80" t="inlineStr">
        <is>
          <t>回収率（77.7％→67.9％）と集計基数の食い違いを記載し、解釈の限界を明示</t>
        </is>
      </c>
      <c r="Q49" s="80" t="n"/>
    </row>
    <row r="50" ht="62" customHeight="1">
      <c r="A50" s="8" t="inlineStr">
        <is>
          <t>C049</t>
        </is>
      </c>
      <c r="B50" s="8" t="inlineStr">
        <is>
          <t>Ⅲ</t>
        </is>
      </c>
      <c r="C50" s="8" t="inlineStr">
        <is>
          <t>2.4 ビジョン・実態把握（2年目）</t>
        </is>
      </c>
      <c r="D50" s="8" t="inlineStr">
        <is>
          <t>68-88</t>
        </is>
      </c>
      <c r="E50" s="8" t="inlineStr">
        <is>
          <t>調査設計・分析品質</t>
        </is>
      </c>
      <c r="F50" s="8" t="inlineStr">
        <is>
          <t>クロス集計で標本数が小さい属性の解釈に留意したか</t>
        </is>
      </c>
      <c r="G50" s="8" t="inlineStr">
        <is>
          <t>調査目的・母集団・回収率・有効回答数・利用先が追跡可能</t>
        </is>
      </c>
      <c r="H50" s="8" t="inlineStr">
        <is>
          <t>各種調査票・結果、回答データ、抽出台帳、クロス集計、会議録</t>
        </is>
      </c>
      <c r="I50" s="8" t="inlineStr">
        <is>
          <t>2025年度調査結果／2026年4～10月再検証</t>
        </is>
      </c>
      <c r="J50" s="8" t="inlineStr">
        <is>
          <t>主管／調査受託者</t>
        </is>
      </c>
      <c r="K50" s="8" t="inlineStr">
        <is>
          <t>A</t>
        </is>
      </c>
      <c r="L50" s="8" t="inlineStr">
        <is>
          <t>手引き</t>
        </is>
      </c>
      <c r="M50" s="8" t="str"/>
      <c r="N50" s="8" t="inlineStr">
        <is>
          <t>https://www.mhlw.go.jp/stf/shingi2/0000138653_00007.html</t>
        </is>
      </c>
      <c r="O50" s="81" t="inlineStr">
        <is>
          <t>確認中</t>
        </is>
      </c>
      <c r="P50" s="80" t="inlineStr">
        <is>
          <t>回収率低下に伴う解釈の限界は記載。クロス集計の少数属性の扱いは報告書側</t>
        </is>
      </c>
      <c r="Q50" s="80" t="n"/>
    </row>
    <row r="51" ht="62" customHeight="1">
      <c r="A51" s="8" t="inlineStr">
        <is>
          <t>C050</t>
        </is>
      </c>
      <c r="B51" s="8" t="inlineStr">
        <is>
          <t>Ⅲ</t>
        </is>
      </c>
      <c r="C51" s="8" t="inlineStr">
        <is>
          <t>2.4 ビジョン・実態把握（2年目）</t>
        </is>
      </c>
      <c r="D51" s="8" t="inlineStr">
        <is>
          <t>68-88</t>
        </is>
      </c>
      <c r="E51" s="8" t="inlineStr">
        <is>
          <t>調査設計・分析品質</t>
        </is>
      </c>
      <c r="F51" s="8" t="inlineStr">
        <is>
          <t>アンケート以外にインタビュー・地域ケア会議資料を活用したか</t>
        </is>
      </c>
      <c r="G51" s="8" t="inlineStr">
        <is>
          <t>調査目的・母集団・回収率・有効回答数・利用先が追跡可能</t>
        </is>
      </c>
      <c r="H51" s="8" t="inlineStr">
        <is>
          <t>各種調査票・結果、回答データ、抽出台帳、クロス集計、会議録</t>
        </is>
      </c>
      <c r="I51" s="8" t="inlineStr">
        <is>
          <t>2025年度調査結果／2026年4～10月再検証</t>
        </is>
      </c>
      <c r="J51" s="8" t="inlineStr">
        <is>
          <t>主管／調査受託者</t>
        </is>
      </c>
      <c r="K51" s="8" t="inlineStr">
        <is>
          <t>A</t>
        </is>
      </c>
      <c r="L51" s="8" t="inlineStr">
        <is>
          <t>手引き</t>
        </is>
      </c>
      <c r="M51" s="8" t="str"/>
      <c r="N51" s="8" t="inlineStr">
        <is>
          <t>https://www.mhlw.go.jp/stf/shingi2/0000138653_00007.html</t>
        </is>
      </c>
      <c r="O51" s="81" t="inlineStr">
        <is>
          <t>確認中</t>
        </is>
      </c>
      <c r="P51" s="80" t="inlineStr">
        <is>
          <t>関係団体ヒアリング（地域福祉計画時）を引用。地域ケア会議の資料は未受領</t>
        </is>
      </c>
      <c r="Q51" s="80" t="inlineStr">
        <is>
          <t>地域ケア会議の資料を依頼</t>
        </is>
      </c>
    </row>
    <row r="52" ht="62" customHeight="1">
      <c r="A52" s="8" t="inlineStr">
        <is>
          <t>C051</t>
        </is>
      </c>
      <c r="B52" s="8" t="inlineStr">
        <is>
          <t>Ⅲ</t>
        </is>
      </c>
      <c r="C52" s="8" t="inlineStr">
        <is>
          <t>2.4 ビジョン・実態把握（2年目）</t>
        </is>
      </c>
      <c r="D52" s="8" t="inlineStr">
        <is>
          <t>68-88</t>
        </is>
      </c>
      <c r="E52" s="8" t="inlineStr">
        <is>
          <t>調査設計・分析品質</t>
        </is>
      </c>
      <c r="F52" s="8" t="inlineStr">
        <is>
          <t>地域課題を調査結果と施策選択につないだか</t>
        </is>
      </c>
      <c r="G52" s="8" t="inlineStr">
        <is>
          <t>調査目的・母集団・回収率・有効回答数・利用先が追跡可能</t>
        </is>
      </c>
      <c r="H52" s="8" t="inlineStr">
        <is>
          <t>各種調査票・結果、回答データ、抽出台帳、クロス集計、会議録</t>
        </is>
      </c>
      <c r="I52" s="8" t="inlineStr">
        <is>
          <t>2025年度調査結果／2026年4～10月再検証</t>
        </is>
      </c>
      <c r="J52" s="8" t="inlineStr">
        <is>
          <t>主管／調査受託者</t>
        </is>
      </c>
      <c r="K52" s="8" t="inlineStr">
        <is>
          <t>A</t>
        </is>
      </c>
      <c r="L52" s="8" t="inlineStr">
        <is>
          <t>手引き</t>
        </is>
      </c>
      <c r="M52" s="8" t="str"/>
      <c r="N52" s="8" t="inlineStr">
        <is>
          <t>https://www.mhlw.go.jp/stf/shingi2/0000138653_00007.html</t>
        </is>
      </c>
      <c r="O52" s="79" t="inlineStr">
        <is>
          <t>完了</t>
        </is>
      </c>
      <c r="P52" s="80" t="inlineStr">
        <is>
          <t>第2章7で調査結果から課題を整理し、第5章の関連データで施策に接続</t>
        </is>
      </c>
      <c r="Q52" s="80" t="n"/>
    </row>
    <row r="53" ht="62" customHeight="1">
      <c r="A53" s="8" t="inlineStr">
        <is>
          <t>C052</t>
        </is>
      </c>
      <c r="B53" s="8" t="inlineStr">
        <is>
          <t>Ⅲ</t>
        </is>
      </c>
      <c r="C53" s="8" t="inlineStr">
        <is>
          <t>2.5 3年目の計画作成</t>
        </is>
      </c>
      <c r="D53" s="8" t="inlineStr">
        <is>
          <t>90-101</t>
        </is>
      </c>
      <c r="E53" s="8" t="inlineStr">
        <is>
          <t>原案・議会・パブコメ</t>
        </is>
      </c>
      <c r="F53" s="8" t="inlineStr">
        <is>
          <t>現状→課題→施策→目標→推計の対応を原案で確認したか</t>
        </is>
      </c>
      <c r="G53" s="8" t="inlineStr">
        <is>
          <t>外部意見が反映され、確定版・提出版の整合がある</t>
        </is>
      </c>
      <c r="H53" s="8" t="inlineStr">
        <is>
          <t>計画素案、推計エクスポート、委員会・事業所会議録、パブコメ台帳、議会資料</t>
        </is>
      </c>
      <c r="I53" s="8" t="inlineStr">
        <is>
          <t>2026年7月～2027年3月</t>
        </is>
      </c>
      <c r="J53" s="8" t="inlineStr">
        <is>
          <t>主管／財政／企画</t>
        </is>
      </c>
      <c r="K53" s="8" t="inlineStr">
        <is>
          <t>最優先</t>
        </is>
      </c>
      <c r="L53" s="8" t="inlineStr">
        <is>
          <t>手引き</t>
        </is>
      </c>
      <c r="M53" s="8" t="str"/>
      <c r="N53" s="8" t="str"/>
      <c r="O53" s="79" t="inlineStr">
        <is>
          <t>完了</t>
        </is>
      </c>
      <c r="P53" s="80" t="inlineStr">
        <is>
          <t>第5章は現状と課題・関連データ・施策の方向・主な事業・成果指標の構成。第6章の推計に接続</t>
        </is>
      </c>
      <c r="Q53" s="80" t="n"/>
    </row>
    <row r="54" ht="62" customHeight="1">
      <c r="A54" s="8" t="inlineStr">
        <is>
          <t>C053</t>
        </is>
      </c>
      <c r="B54" s="8" t="inlineStr">
        <is>
          <t>Ⅲ</t>
        </is>
      </c>
      <c r="C54" s="8" t="inlineStr">
        <is>
          <t>2.5 3年目の計画作成</t>
        </is>
      </c>
      <c r="D54" s="8" t="inlineStr">
        <is>
          <t>90-101</t>
        </is>
      </c>
      <c r="E54" s="8" t="inlineStr">
        <is>
          <t>原案・議会・パブコメ</t>
        </is>
      </c>
      <c r="F54" s="8" t="inlineStr">
        <is>
          <t>自然体推計と施策反映後推計を別に保存したか</t>
        </is>
      </c>
      <c r="G54" s="8" t="inlineStr">
        <is>
          <t>外部意見が反映され、確定版・提出版の整合がある</t>
        </is>
      </c>
      <c r="H54" s="8" t="inlineStr">
        <is>
          <t>計画素案、推計エクスポート、委員会・事業所会議録、パブコメ台帳、議会資料</t>
        </is>
      </c>
      <c r="I54" s="8" t="inlineStr">
        <is>
          <t>2026年7月～2027年3月</t>
        </is>
      </c>
      <c r="J54" s="8" t="inlineStr">
        <is>
          <t>主管／財政／企画</t>
        </is>
      </c>
      <c r="K54" s="8" t="inlineStr">
        <is>
          <t>最優先</t>
        </is>
      </c>
      <c r="L54" s="8" t="inlineStr">
        <is>
          <t>手引き</t>
        </is>
      </c>
      <c r="M54" s="8" t="str"/>
      <c r="N54" s="8" t="str"/>
      <c r="O54" s="79" t="inlineStr">
        <is>
          <t>完了</t>
        </is>
      </c>
      <c r="P54" s="80" t="inlineStr">
        <is>
          <t>自然体推計と施策反映（見える化のワーニング整理）、保険料のケース比較を保存</t>
        </is>
      </c>
      <c r="Q54" s="80" t="n"/>
    </row>
    <row r="55" ht="62" customHeight="1">
      <c r="A55" s="8" t="inlineStr">
        <is>
          <t>C054</t>
        </is>
      </c>
      <c r="B55" s="8" t="inlineStr">
        <is>
          <t>Ⅲ</t>
        </is>
      </c>
      <c r="C55" s="8" t="inlineStr">
        <is>
          <t>2.5 3年目の計画作成</t>
        </is>
      </c>
      <c r="D55" s="8" t="inlineStr">
        <is>
          <t>90-101</t>
        </is>
      </c>
      <c r="E55" s="8" t="inlineStr">
        <is>
          <t>原案・議会・パブコメ</t>
        </is>
      </c>
      <c r="F55" s="8" t="inlineStr">
        <is>
          <t>サービス提供体制の方針を事業者と協議したか</t>
        </is>
      </c>
      <c r="G55" s="8" t="inlineStr">
        <is>
          <t>外部意見が反映され、確定版・提出版の整合がある</t>
        </is>
      </c>
      <c r="H55" s="8" t="inlineStr">
        <is>
          <t>計画素案、推計エクスポート、委員会・事業所会議録、パブコメ台帳、議会資料</t>
        </is>
      </c>
      <c r="I55" s="8" t="inlineStr">
        <is>
          <t>2026年7月～2027年3月</t>
        </is>
      </c>
      <c r="J55" s="8" t="inlineStr">
        <is>
          <t>主管／財政／企画</t>
        </is>
      </c>
      <c r="K55" s="8" t="inlineStr">
        <is>
          <t>最優先</t>
        </is>
      </c>
      <c r="L55" s="8" t="inlineStr">
        <is>
          <t>手引き</t>
        </is>
      </c>
      <c r="M55" s="8" t="str"/>
      <c r="N55" s="8" t="str"/>
      <c r="O55" s="84" t="inlineStr">
        <is>
          <t>要協議</t>
        </is>
      </c>
      <c r="P55" s="80" t="inlineStr">
        <is>
          <t>事業者との提供体制の協議は未実施</t>
        </is>
      </c>
      <c r="Q55" s="80" t="inlineStr">
        <is>
          <t>事業者への意向照会を行う</t>
        </is>
      </c>
    </row>
    <row r="56" ht="62" customHeight="1">
      <c r="A56" s="8" t="inlineStr">
        <is>
          <t>C055</t>
        </is>
      </c>
      <c r="B56" s="8" t="inlineStr">
        <is>
          <t>Ⅲ</t>
        </is>
      </c>
      <c r="C56" s="8" t="inlineStr">
        <is>
          <t>2.5 3年目の計画作成</t>
        </is>
      </c>
      <c r="D56" s="8" t="inlineStr">
        <is>
          <t>90-101</t>
        </is>
      </c>
      <c r="E56" s="8" t="inlineStr">
        <is>
          <t>原案・議会・パブコメ</t>
        </is>
      </c>
      <c r="F56" s="8" t="inlineStr">
        <is>
          <t>基金・所得段階・保険料算定の条件を記録したか</t>
        </is>
      </c>
      <c r="G56" s="8" t="inlineStr">
        <is>
          <t>外部意見が反映され、確定版・提出版の整合がある</t>
        </is>
      </c>
      <c r="H56" s="8" t="inlineStr">
        <is>
          <t>計画素案、推計エクスポート、委員会・事業所会議録、パブコメ台帳、議会資料</t>
        </is>
      </c>
      <c r="I56" s="8" t="inlineStr">
        <is>
          <t>2026年7月～2027年3月</t>
        </is>
      </c>
      <c r="J56" s="8" t="inlineStr">
        <is>
          <t>主管／財政／企画</t>
        </is>
      </c>
      <c r="K56" s="8" t="inlineStr">
        <is>
          <t>最優先</t>
        </is>
      </c>
      <c r="L56" s="8" t="inlineStr">
        <is>
          <t>手引き</t>
        </is>
      </c>
      <c r="M56" s="8" t="str"/>
      <c r="N56" s="8" t="str"/>
      <c r="O56" s="79" t="inlineStr">
        <is>
          <t>完了</t>
        </is>
      </c>
      <c r="P56" s="80" t="inlineStr">
        <is>
          <t>第6章5に基金・所得段階・算定式を記録</t>
        </is>
      </c>
      <c r="Q56" s="80" t="n"/>
    </row>
    <row r="57" ht="62" customHeight="1">
      <c r="A57" s="8" t="inlineStr">
        <is>
          <t>C056</t>
        </is>
      </c>
      <c r="B57" s="8" t="inlineStr">
        <is>
          <t>Ⅲ</t>
        </is>
      </c>
      <c r="C57" s="8" t="inlineStr">
        <is>
          <t>2.5 3年目の計画作成</t>
        </is>
      </c>
      <c r="D57" s="8" t="inlineStr">
        <is>
          <t>90-101</t>
        </is>
      </c>
      <c r="E57" s="8" t="inlineStr">
        <is>
          <t>原案・議会・パブコメ</t>
        </is>
      </c>
      <c r="F57" s="8" t="inlineStr">
        <is>
          <t>定量目標の評価時点・データ源を設定したか</t>
        </is>
      </c>
      <c r="G57" s="8" t="inlineStr">
        <is>
          <t>外部意見が反映され、確定版・提出版の整合がある</t>
        </is>
      </c>
      <c r="H57" s="8" t="inlineStr">
        <is>
          <t>計画素案、推計エクスポート、委員会・事業所会議録、パブコメ台帳、議会資料</t>
        </is>
      </c>
      <c r="I57" s="8" t="inlineStr">
        <is>
          <t>2026年7月～2027年3月</t>
        </is>
      </c>
      <c r="J57" s="8" t="inlineStr">
        <is>
          <t>主管／財政／企画</t>
        </is>
      </c>
      <c r="K57" s="8" t="inlineStr">
        <is>
          <t>最優先</t>
        </is>
      </c>
      <c r="L57" s="8" t="inlineStr">
        <is>
          <t>手引き</t>
        </is>
      </c>
      <c r="M57" s="8" t="str"/>
      <c r="N57" s="8" t="str"/>
      <c r="O57" s="79" t="inlineStr">
        <is>
          <t>完了</t>
        </is>
      </c>
      <c r="P57" s="80" t="inlineStr">
        <is>
          <t>資料編8に成果指標の評価時点とデータ源を定義</t>
        </is>
      </c>
      <c r="Q57" s="80" t="n"/>
    </row>
    <row r="58" ht="62" customHeight="1">
      <c r="A58" s="8" t="inlineStr">
        <is>
          <t>C057</t>
        </is>
      </c>
      <c r="B58" s="8" t="inlineStr">
        <is>
          <t>Ⅲ</t>
        </is>
      </c>
      <c r="C58" s="8" t="inlineStr">
        <is>
          <t>2.5 3年目の計画作成</t>
        </is>
      </c>
      <c r="D58" s="8" t="inlineStr">
        <is>
          <t>90-101</t>
        </is>
      </c>
      <c r="E58" s="8" t="inlineStr">
        <is>
          <t>原案・議会・パブコメ</t>
        </is>
      </c>
      <c r="F58" s="8" t="inlineStr">
        <is>
          <t>パブリックコメント案を庁内承認したか</t>
        </is>
      </c>
      <c r="G58" s="8" t="inlineStr">
        <is>
          <t>外部意見が反映され、確定版・提出版の整合がある</t>
        </is>
      </c>
      <c r="H58" s="8" t="inlineStr">
        <is>
          <t>計画素案、推計エクスポート、委員会・事業所会議録、パブコメ台帳、議会資料</t>
        </is>
      </c>
      <c r="I58" s="8" t="inlineStr">
        <is>
          <t>2026年7月～2027年3月</t>
        </is>
      </c>
      <c r="J58" s="8" t="inlineStr">
        <is>
          <t>主管／財政／企画</t>
        </is>
      </c>
      <c r="K58" s="8" t="inlineStr">
        <is>
          <t>最優先</t>
        </is>
      </c>
      <c r="L58" s="8" t="inlineStr">
        <is>
          <t>手引き</t>
        </is>
      </c>
      <c r="M58" s="8" t="str"/>
      <c r="N58" s="8" t="str"/>
      <c r="O58" s="83" t="inlineStr">
        <is>
          <t>未確認</t>
        </is>
      </c>
      <c r="P58" s="80" t="inlineStr">
        <is>
          <t>パブリックコメント案の庁内承認は工程上これから</t>
        </is>
      </c>
      <c r="Q58" s="80" t="n"/>
    </row>
    <row r="59" ht="62" customHeight="1">
      <c r="A59" s="8" t="inlineStr">
        <is>
          <t>C058</t>
        </is>
      </c>
      <c r="B59" s="8" t="inlineStr">
        <is>
          <t>Ⅲ</t>
        </is>
      </c>
      <c r="C59" s="8" t="inlineStr">
        <is>
          <t>2.5 3年目の計画作成</t>
        </is>
      </c>
      <c r="D59" s="8" t="inlineStr">
        <is>
          <t>90-101</t>
        </is>
      </c>
      <c r="E59" s="8" t="inlineStr">
        <is>
          <t>原案・議会・パブコメ</t>
        </is>
      </c>
      <c r="F59" s="8" t="inlineStr">
        <is>
          <t>意見・回答・修正履歴の台帳を作成したか</t>
        </is>
      </c>
      <c r="G59" s="8" t="inlineStr">
        <is>
          <t>外部意見が反映され、確定版・提出版の整合がある</t>
        </is>
      </c>
      <c r="H59" s="8" t="inlineStr">
        <is>
          <t>計画素案、推計エクスポート、委員会・事業所会議録、パブコメ台帳、議会資料</t>
        </is>
      </c>
      <c r="I59" s="8" t="inlineStr">
        <is>
          <t>2026年7月～2027年3月</t>
        </is>
      </c>
      <c r="J59" s="8" t="inlineStr">
        <is>
          <t>主管／財政／企画</t>
        </is>
      </c>
      <c r="K59" s="8" t="inlineStr">
        <is>
          <t>最優先</t>
        </is>
      </c>
      <c r="L59" s="8" t="inlineStr">
        <is>
          <t>手引き</t>
        </is>
      </c>
      <c r="M59" s="8" t="str"/>
      <c r="N59" s="8" t="str"/>
      <c r="O59" s="83" t="inlineStr">
        <is>
          <t>未確認</t>
        </is>
      </c>
      <c r="P59" s="80" t="inlineStr">
        <is>
          <t>意見・回答・修正の台帳は工程上これから</t>
        </is>
      </c>
      <c r="Q59" s="80" t="n"/>
    </row>
    <row r="60" ht="62" customHeight="1">
      <c r="A60" s="8" t="inlineStr">
        <is>
          <t>C059</t>
        </is>
      </c>
      <c r="B60" s="8" t="inlineStr">
        <is>
          <t>Ⅲ</t>
        </is>
      </c>
      <c r="C60" s="8" t="inlineStr">
        <is>
          <t>2.5 3年目の計画作成</t>
        </is>
      </c>
      <c r="D60" s="8" t="inlineStr">
        <is>
          <t>90-101</t>
        </is>
      </c>
      <c r="E60" s="8" t="inlineStr">
        <is>
          <t>原案・議会・パブコメ</t>
        </is>
      </c>
      <c r="F60" s="8" t="inlineStr">
        <is>
          <t>計画確定・議会報告・県報告・公表の手順を確認したか</t>
        </is>
      </c>
      <c r="G60" s="8" t="inlineStr">
        <is>
          <t>外部意見が反映され、確定版・提出版の整合がある</t>
        </is>
      </c>
      <c r="H60" s="8" t="inlineStr">
        <is>
          <t>計画素案、推計エクスポート、委員会・事業所会議録、パブコメ台帳、議会資料</t>
        </is>
      </c>
      <c r="I60" s="8" t="inlineStr">
        <is>
          <t>2026年7月～2027年3月</t>
        </is>
      </c>
      <c r="J60" s="8" t="inlineStr">
        <is>
          <t>主管／財政／企画</t>
        </is>
      </c>
      <c r="K60" s="8" t="inlineStr">
        <is>
          <t>最優先</t>
        </is>
      </c>
      <c r="L60" s="8" t="inlineStr">
        <is>
          <t>手引き</t>
        </is>
      </c>
      <c r="M60" s="8" t="str"/>
      <c r="N60" s="8" t="str"/>
      <c r="O60" s="81" t="inlineStr">
        <is>
          <t>確認中</t>
        </is>
      </c>
      <c r="P60" s="80" t="inlineStr">
        <is>
          <t>第1章7に策定手続（パブリックコメント・県の意見聴取・提出）を記載</t>
        </is>
      </c>
      <c r="Q60" s="80" t="n"/>
    </row>
    <row r="61" ht="62" customHeight="1">
      <c r="A61" s="8" t="inlineStr">
        <is>
          <t>C060</t>
        </is>
      </c>
      <c r="B61" s="8" t="inlineStr">
        <is>
          <t>Ⅳ</t>
        </is>
      </c>
      <c r="C61" s="8" t="inlineStr">
        <is>
          <t>導入・2040年視点</t>
        </is>
      </c>
      <c r="D61" s="8" t="inlineStr">
        <is>
          <t>111-114</t>
        </is>
      </c>
      <c r="E61" s="8" t="inlineStr">
        <is>
          <t>将来像と政策改正</t>
        </is>
      </c>
      <c r="F61" s="8" t="inlineStr">
        <is>
          <t>2040年の高齢者人口・生産年齢人口・介護ニーズを整理したか</t>
        </is>
      </c>
      <c r="G61" s="8" t="inlineStr">
        <is>
          <t>需要と供給制約を同じ時間軸で評価</t>
        </is>
      </c>
      <c r="H61" s="8" t="inlineStr">
        <is>
          <t>将来人口推計、住宅制度通知、総合事業実施要綱、県地域医療資料</t>
        </is>
      </c>
      <c r="I61" s="8" t="inlineStr">
        <is>
          <t>2026年4～12月</t>
        </is>
      </c>
      <c r="J61" s="8" t="inlineStr">
        <is>
          <t>主管／住宅／医療</t>
        </is>
      </c>
      <c r="K61" s="8" t="inlineStr">
        <is>
          <t>A</t>
        </is>
      </c>
      <c r="L61" s="8" t="inlineStr">
        <is>
          <t>手引き+改正確認</t>
        </is>
      </c>
      <c r="M61" s="8" t="str"/>
      <c r="N61" s="8" t="str"/>
      <c r="O61" s="79" t="inlineStr">
        <is>
          <t>完了</t>
        </is>
      </c>
      <c r="P61" s="80" t="inlineStr">
        <is>
          <t>第6章11。令和22年・令和32年の高齢者人口・生産年齢人口・認定者</t>
        </is>
      </c>
      <c r="Q61" s="80" t="n"/>
    </row>
    <row r="62" ht="62" customHeight="1">
      <c r="A62" s="8" t="inlineStr">
        <is>
          <t>C061</t>
        </is>
      </c>
      <c r="B62" s="8" t="inlineStr">
        <is>
          <t>Ⅳ</t>
        </is>
      </c>
      <c r="C62" s="8" t="inlineStr">
        <is>
          <t>導入・2040年視点</t>
        </is>
      </c>
      <c r="D62" s="8" t="inlineStr">
        <is>
          <t>111-114</t>
        </is>
      </c>
      <c r="E62" s="8" t="inlineStr">
        <is>
          <t>将来像と政策改正</t>
        </is>
      </c>
      <c r="F62" s="8" t="inlineStr">
        <is>
          <t>住宅セーフティネット制度の改正や居住支援を確認したか</t>
        </is>
      </c>
      <c r="G62" s="8" t="inlineStr">
        <is>
          <t>需要と供給制約を同じ時間軸で評価</t>
        </is>
      </c>
      <c r="H62" s="8" t="inlineStr">
        <is>
          <t>将来人口推計、住宅制度通知、総合事業実施要綱、県地域医療資料</t>
        </is>
      </c>
      <c r="I62" s="8" t="inlineStr">
        <is>
          <t>2026年4～12月</t>
        </is>
      </c>
      <c r="J62" s="8" t="inlineStr">
        <is>
          <t>主管／住宅／医療</t>
        </is>
      </c>
      <c r="K62" s="8" t="inlineStr">
        <is>
          <t>A</t>
        </is>
      </c>
      <c r="L62" s="8" t="inlineStr">
        <is>
          <t>手引き+改正確認</t>
        </is>
      </c>
      <c r="M62" s="8" t="str"/>
      <c r="N62" s="8" t="str"/>
      <c r="O62" s="81" t="inlineStr">
        <is>
          <t>確認中</t>
        </is>
      </c>
      <c r="P62" s="80" t="inlineStr">
        <is>
          <t>住宅セーフティネット・居住支援協議会に言及（接点の確認事項）。改正法の居住支援の具体は未記載</t>
        </is>
      </c>
      <c r="Q62" s="80" t="n"/>
    </row>
    <row r="63" ht="62" customHeight="1">
      <c r="A63" s="8" t="inlineStr">
        <is>
          <t>C062</t>
        </is>
      </c>
      <c r="B63" s="8" t="inlineStr">
        <is>
          <t>Ⅳ</t>
        </is>
      </c>
      <c r="C63" s="8" t="inlineStr">
        <is>
          <t>導入・2040年視点</t>
        </is>
      </c>
      <c r="D63" s="8" t="inlineStr">
        <is>
          <t>111-114</t>
        </is>
      </c>
      <c r="E63" s="8" t="inlineStr">
        <is>
          <t>将来像と政策改正</t>
        </is>
      </c>
      <c r="F63" s="8" t="inlineStr">
        <is>
          <t>総合事業の新ガイドラインに合わせ実施方針を見直したか</t>
        </is>
      </c>
      <c r="G63" s="8" t="inlineStr">
        <is>
          <t>需要と供給制約を同じ時間軸で評価</t>
        </is>
      </c>
      <c r="H63" s="8" t="inlineStr">
        <is>
          <t>将来人口推計、住宅制度通知、総合事業実施要綱、県地域医療資料</t>
        </is>
      </c>
      <c r="I63" s="8" t="inlineStr">
        <is>
          <t>2026年4～12月</t>
        </is>
      </c>
      <c r="J63" s="8" t="inlineStr">
        <is>
          <t>主管／住宅／医療</t>
        </is>
      </c>
      <c r="K63" s="8" t="inlineStr">
        <is>
          <t>A</t>
        </is>
      </c>
      <c r="L63" s="8" t="inlineStr">
        <is>
          <t>手引き+改正確認</t>
        </is>
      </c>
      <c r="M63" s="8" t="str"/>
      <c r="N63" s="8" t="str"/>
      <c r="O63" s="81" t="inlineStr">
        <is>
          <t>確認中</t>
        </is>
      </c>
      <c r="P63" s="80" t="inlineStr">
        <is>
          <t>総合事業は第5章基本目標1②。新たなガイドラインとの照合は未了</t>
        </is>
      </c>
      <c r="Q63" s="80" t="inlineStr">
        <is>
          <t>ガイドラインと実施方針を照合</t>
        </is>
      </c>
    </row>
    <row r="64" ht="62" customHeight="1">
      <c r="A64" s="8" t="inlineStr">
        <is>
          <t>C063</t>
        </is>
      </c>
      <c r="B64" s="8" t="inlineStr">
        <is>
          <t>Ⅳ</t>
        </is>
      </c>
      <c r="C64" s="8" t="inlineStr">
        <is>
          <t>導入・2040年視点</t>
        </is>
      </c>
      <c r="D64" s="8" t="inlineStr">
        <is>
          <t>111-114</t>
        </is>
      </c>
      <c r="E64" s="8" t="inlineStr">
        <is>
          <t>将来像と政策改正</t>
        </is>
      </c>
      <c r="F64" s="8" t="inlineStr">
        <is>
          <t>新たな地域医療構想と認知症基本法関連を確認したか</t>
        </is>
      </c>
      <c r="G64" s="8" t="inlineStr">
        <is>
          <t>需要と供給制約を同じ時間軸で評価</t>
        </is>
      </c>
      <c r="H64" s="8" t="inlineStr">
        <is>
          <t>将来人口推計、住宅制度通知、総合事業実施要綱、県地域医療資料</t>
        </is>
      </c>
      <c r="I64" s="8" t="inlineStr">
        <is>
          <t>2026年4～12月</t>
        </is>
      </c>
      <c r="J64" s="8" t="inlineStr">
        <is>
          <t>主管／住宅／医療</t>
        </is>
      </c>
      <c r="K64" s="8" t="inlineStr">
        <is>
          <t>A</t>
        </is>
      </c>
      <c r="L64" s="8" t="inlineStr">
        <is>
          <t>手引き+改正確認</t>
        </is>
      </c>
      <c r="M64" s="8" t="str"/>
      <c r="N64" s="8" t="str"/>
      <c r="O64" s="79" t="inlineStr">
        <is>
          <t>完了</t>
        </is>
      </c>
      <c r="P64" s="80" t="inlineStr">
        <is>
          <t>県保健医療計画・地域医療構想、認知症基本法（第5章基本目標2③を基本法の条立てで構成）</t>
        </is>
      </c>
      <c r="Q64" s="80" t="n"/>
    </row>
    <row r="65" ht="62" customHeight="1">
      <c r="A65" s="8" t="inlineStr">
        <is>
          <t>C064</t>
        </is>
      </c>
      <c r="B65" s="8" t="inlineStr">
        <is>
          <t>Ⅳ</t>
        </is>
      </c>
      <c r="C65" s="8" t="inlineStr">
        <is>
          <t>1 地域共生社会／重層的支援</t>
        </is>
      </c>
      <c r="D65" s="8" t="inlineStr">
        <is>
          <t>115-121</t>
        </is>
      </c>
      <c r="E65" s="8" t="inlineStr">
        <is>
          <t>地域共生社会</t>
        </is>
      </c>
      <c r="F65" s="8" t="inlineStr">
        <is>
          <t>重層的支援体制整備事業の実施有無を確認したか</t>
        </is>
      </c>
      <c r="G65" s="8" t="inlineStr">
        <is>
          <t>名称の法的根拠・配置主体・委託内容・重複の有無を確認</t>
        </is>
      </c>
      <c r="H65" s="8" t="inlineStr">
        <is>
          <t>地域福祉計画、重層事業実施計画、相談支援実績、関係者ヒアリング</t>
        </is>
      </c>
      <c r="I65" s="8" t="inlineStr">
        <is>
          <t>2026年4～12月</t>
        </is>
      </c>
      <c r="J65" s="8" t="inlineStr">
        <is>
          <t>介護／地域福祉／障害</t>
        </is>
      </c>
      <c r="K65" s="8" t="inlineStr">
        <is>
          <t>A</t>
        </is>
      </c>
      <c r="L65" s="8" t="inlineStr">
        <is>
          <t>手引き</t>
        </is>
      </c>
      <c r="M65" s="8" t="str"/>
      <c r="N65" s="8" t="str"/>
      <c r="O65" s="81" t="inlineStr">
        <is>
          <t>確認中</t>
        </is>
      </c>
      <c r="P65" s="80" t="inlineStr">
        <is>
          <t>重層的支援体制整備事業は第3期地域福祉計画が担うと整理。実施の有無は未確認</t>
        </is>
      </c>
      <c r="Q65" s="80" t="inlineStr">
        <is>
          <t>町に実施の有無を確認</t>
        </is>
      </c>
    </row>
    <row r="66" ht="62" customHeight="1">
      <c r="A66" s="8" t="inlineStr">
        <is>
          <t>C065</t>
        </is>
      </c>
      <c r="B66" s="8" t="inlineStr">
        <is>
          <t>Ⅳ</t>
        </is>
      </c>
      <c r="C66" s="8" t="inlineStr">
        <is>
          <t>1 地域共生社会／重層的支援</t>
        </is>
      </c>
      <c r="D66" s="8" t="inlineStr">
        <is>
          <t>115-121</t>
        </is>
      </c>
      <c r="E66" s="8" t="inlineStr">
        <is>
          <t>地域共生社会</t>
        </is>
      </c>
      <c r="F66" s="8" t="inlineStr">
        <is>
          <t>包括的相談支援、参加支援、地域づくりの役割分担を確認したか</t>
        </is>
      </c>
      <c r="G66" s="8" t="inlineStr">
        <is>
          <t>名称の法的根拠・配置主体・委託内容・重複の有無を確認</t>
        </is>
      </c>
      <c r="H66" s="8" t="inlineStr">
        <is>
          <t>地域福祉計画、重層事業実施計画、相談支援実績、関係者ヒアリング</t>
        </is>
      </c>
      <c r="I66" s="8" t="inlineStr">
        <is>
          <t>2026年4～12月</t>
        </is>
      </c>
      <c r="J66" s="8" t="inlineStr">
        <is>
          <t>介護／地域福祉／障害</t>
        </is>
      </c>
      <c r="K66" s="8" t="inlineStr">
        <is>
          <t>A</t>
        </is>
      </c>
      <c r="L66" s="8" t="inlineStr">
        <is>
          <t>手引き</t>
        </is>
      </c>
      <c r="M66" s="8" t="str"/>
      <c r="N66" s="8" t="str"/>
      <c r="O66" s="81" t="inlineStr">
        <is>
          <t>確認中</t>
        </is>
      </c>
      <c r="P66" s="80" t="inlineStr">
        <is>
          <t>同上。役割分担は地域福祉計画側</t>
        </is>
      </c>
      <c r="Q66" s="80" t="n"/>
    </row>
    <row r="67" ht="62" customHeight="1">
      <c r="A67" s="8" t="inlineStr">
        <is>
          <t>C066</t>
        </is>
      </c>
      <c r="B67" s="8" t="inlineStr">
        <is>
          <t>Ⅳ</t>
        </is>
      </c>
      <c r="C67" s="8" t="inlineStr">
        <is>
          <t>1 地域共生社会／重層的支援</t>
        </is>
      </c>
      <c r="D67" s="8" t="inlineStr">
        <is>
          <t>115-121</t>
        </is>
      </c>
      <c r="E67" s="8" t="inlineStr">
        <is>
          <t>地域共生社会</t>
        </is>
      </c>
      <c r="F67" s="8" t="inlineStr">
        <is>
          <t>精神障害にも対応した地域包括ケアの連携体制を確認したか</t>
        </is>
      </c>
      <c r="G67" s="8" t="inlineStr">
        <is>
          <t>名称の法的根拠・配置主体・委託内容・重複の有無を確認</t>
        </is>
      </c>
      <c r="H67" s="8" t="inlineStr">
        <is>
          <t>地域福祉計画、重層事業実施計画、相談支援実績、関係者ヒアリング</t>
        </is>
      </c>
      <c r="I67" s="8" t="inlineStr">
        <is>
          <t>2026年4～12月</t>
        </is>
      </c>
      <c r="J67" s="8" t="inlineStr">
        <is>
          <t>介護／地域福祉／障害</t>
        </is>
      </c>
      <c r="K67" s="8" t="inlineStr">
        <is>
          <t>A</t>
        </is>
      </c>
      <c r="L67" s="8" t="inlineStr">
        <is>
          <t>手引き</t>
        </is>
      </c>
      <c r="M67" s="8" t="str"/>
      <c r="N67" s="8" t="str"/>
      <c r="O67" s="81" t="inlineStr">
        <is>
          <t>確認中</t>
        </is>
      </c>
      <c r="P67" s="80" t="inlineStr">
        <is>
          <t>精神障がいにも対応した地域包括ケアは障がい計画側で扱い、接点の節で連携</t>
        </is>
      </c>
      <c r="Q67" s="80" t="n"/>
    </row>
    <row r="68" ht="62" customHeight="1">
      <c r="A68" s="8" t="inlineStr">
        <is>
          <t>C067</t>
        </is>
      </c>
      <c r="B68" s="8" t="inlineStr">
        <is>
          <t>Ⅳ</t>
        </is>
      </c>
      <c r="C68" s="8" t="inlineStr">
        <is>
          <t>1 地域共生社会／重層的支援</t>
        </is>
      </c>
      <c r="D68" s="8" t="inlineStr">
        <is>
          <t>115-121</t>
        </is>
      </c>
      <c r="E68" s="8" t="inlineStr">
        <is>
          <t>地域共生社会</t>
        </is>
      </c>
      <c r="F68" s="8" t="inlineStr">
        <is>
          <t>複合課題世帯の相談ルート・連絡会議体を整理したか</t>
        </is>
      </c>
      <c r="G68" s="8" t="inlineStr">
        <is>
          <t>名称の法的根拠・配置主体・委託内容・重複の有無を確認</t>
        </is>
      </c>
      <c r="H68" s="8" t="inlineStr">
        <is>
          <t>地域福祉計画、重層事業実施計画、相談支援実績、関係者ヒアリング</t>
        </is>
      </c>
      <c r="I68" s="8" t="inlineStr">
        <is>
          <t>2026年4～12月</t>
        </is>
      </c>
      <c r="J68" s="8" t="inlineStr">
        <is>
          <t>介護／地域福祉／障害</t>
        </is>
      </c>
      <c r="K68" s="8" t="inlineStr">
        <is>
          <t>A</t>
        </is>
      </c>
      <c r="L68" s="8" t="inlineStr">
        <is>
          <t>手引き</t>
        </is>
      </c>
      <c r="M68" s="8" t="str"/>
      <c r="N68" s="8" t="str"/>
      <c r="O68" s="81" t="inlineStr">
        <is>
          <t>確認中</t>
        </is>
      </c>
      <c r="P68" s="80" t="inlineStr">
        <is>
          <t>支援会議の相互連携（5つの会議体）と小規模市町村の事業を参考として記載</t>
        </is>
      </c>
      <c r="Q68" s="80" t="n"/>
    </row>
    <row r="69" ht="62" customHeight="1">
      <c r="A69" s="8" t="inlineStr">
        <is>
          <t>C068</t>
        </is>
      </c>
      <c r="B69" s="8" t="inlineStr">
        <is>
          <t>Ⅳ</t>
        </is>
      </c>
      <c r="C69" s="8" t="inlineStr">
        <is>
          <t>1 地域共生社会／重層的支援</t>
        </is>
      </c>
      <c r="D69" s="8" t="inlineStr">
        <is>
          <t>115-121</t>
        </is>
      </c>
      <c r="E69" s="8" t="inlineStr">
        <is>
          <t>地域共生社会</t>
        </is>
      </c>
      <c r="F69" s="8" t="inlineStr">
        <is>
          <t>『地域共生社会コーディネーター』の名称が地域独自制度かを確かめ、SCや就労的活動支援員と混同していないか</t>
        </is>
      </c>
      <c r="G69" s="8" t="inlineStr">
        <is>
          <t>名称の法的根拠・配置主体・委託内容・重複の有無を確認</t>
        </is>
      </c>
      <c r="H69" s="8" t="inlineStr">
        <is>
          <t>地域福祉計画、重層事業実施計画、相談支援実績、関係者ヒアリング</t>
        </is>
      </c>
      <c r="I69" s="8" t="inlineStr">
        <is>
          <t>2026年4～12月</t>
        </is>
      </c>
      <c r="J69" s="8" t="inlineStr">
        <is>
          <t>介護／地域福祉／障害</t>
        </is>
      </c>
      <c r="K69" s="8" t="inlineStr">
        <is>
          <t>A</t>
        </is>
      </c>
      <c r="L69" s="8" t="inlineStr">
        <is>
          <t>手引き</t>
        </is>
      </c>
      <c r="M69" s="8" t="str"/>
      <c r="N69" s="8" t="str"/>
      <c r="O69" s="79" t="inlineStr">
        <is>
          <t>完了</t>
        </is>
      </c>
      <c r="P69" s="80" t="inlineStr">
        <is>
          <t>「地域共生社会コーディネーター」の語は用いず、生活支援コーディネーター・協議体を正式名で記載</t>
        </is>
      </c>
      <c r="Q69" s="80" t="n"/>
    </row>
    <row r="70" ht="62" customHeight="1">
      <c r="A70" s="8" t="inlineStr">
        <is>
          <t>C069</t>
        </is>
      </c>
      <c r="B70" s="8" t="inlineStr">
        <is>
          <t>Ⅳ</t>
        </is>
      </c>
      <c r="C70" s="8" t="inlineStr">
        <is>
          <t>2 実態調査・データ分析</t>
        </is>
      </c>
      <c r="D70" s="8" t="inlineStr">
        <is>
          <t>124-131</t>
        </is>
      </c>
      <c r="E70" s="8" t="inlineStr">
        <is>
          <t>地域分析（人口・認定）</t>
        </is>
      </c>
      <c r="F70" s="8" t="inlineStr">
        <is>
          <t>総人口、65～74歳、75～84歳、85歳以上の推移を圏域別に整理したか</t>
        </is>
      </c>
      <c r="G70" s="8" t="inlineStr">
        <is>
          <t>分母と対象期間の統一、構成差・供給制約の考慮</t>
        </is>
      </c>
      <c r="H70" s="8" t="inlineStr">
        <is>
          <t>国勢調査、住基人口、社人研、認定データ、介護給付実績、見える化指標</t>
        </is>
      </c>
      <c r="I70" s="8" t="inlineStr">
        <is>
          <t>2026年4～10月</t>
        </is>
      </c>
      <c r="J70" s="8" t="inlineStr">
        <is>
          <t>主管／地域包括</t>
        </is>
      </c>
      <c r="K70" s="8" t="inlineStr">
        <is>
          <t>最優先</t>
        </is>
      </c>
      <c r="L70" s="8" t="inlineStr">
        <is>
          <t>手引き</t>
        </is>
      </c>
      <c r="M70" s="8" t="str"/>
      <c r="N70" s="8" t="inlineStr">
        <is>
          <t>https://www.mhlw.go.jp/content/12301000/001751471.pdf</t>
        </is>
      </c>
      <c r="O70" s="81" t="inlineStr">
        <is>
          <t>確認中</t>
        </is>
      </c>
      <c r="P70" s="80" t="inlineStr">
        <is>
          <t>第2章1に年齢3区分・前期後期の推移（1圏域）。75〜84歳・85歳以上の区分は一部</t>
        </is>
      </c>
      <c r="Q70" s="80" t="n"/>
    </row>
    <row r="71" ht="62" customHeight="1">
      <c r="A71" s="8" t="inlineStr">
        <is>
          <t>C070</t>
        </is>
      </c>
      <c r="B71" s="8" t="inlineStr">
        <is>
          <t>Ⅳ</t>
        </is>
      </c>
      <c r="C71" s="8" t="inlineStr">
        <is>
          <t>2 実態調査・データ分析</t>
        </is>
      </c>
      <c r="D71" s="8" t="inlineStr">
        <is>
          <t>124-131</t>
        </is>
      </c>
      <c r="E71" s="8" t="inlineStr">
        <is>
          <t>地域分析（人口・認定）</t>
        </is>
      </c>
      <c r="F71" s="8" t="inlineStr">
        <is>
          <t>自然増減と社会増減の人口要因を確認したか</t>
        </is>
      </c>
      <c r="G71" s="8" t="inlineStr">
        <is>
          <t>分母と対象期間の統一、構成差・供給制約の考慮</t>
        </is>
      </c>
      <c r="H71" s="8" t="inlineStr">
        <is>
          <t>国勢調査、住基人口、社人研、認定データ、介護給付実績、見える化指標</t>
        </is>
      </c>
      <c r="I71" s="8" t="inlineStr">
        <is>
          <t>2026年4～10月</t>
        </is>
      </c>
      <c r="J71" s="8" t="inlineStr">
        <is>
          <t>主管／地域包括</t>
        </is>
      </c>
      <c r="K71" s="8" t="inlineStr">
        <is>
          <t>最優先</t>
        </is>
      </c>
      <c r="L71" s="8" t="inlineStr">
        <is>
          <t>手引き</t>
        </is>
      </c>
      <c r="M71" s="8" t="str"/>
      <c r="N71" s="8" t="inlineStr">
        <is>
          <t>https://www.mhlw.go.jp/content/12301000/001751471.pdf</t>
        </is>
      </c>
      <c r="O71" s="83" t="inlineStr">
        <is>
          <t>未確認</t>
        </is>
      </c>
      <c r="P71" s="80" t="inlineStr">
        <is>
          <t>自然増減・社会増減の分析なし</t>
        </is>
      </c>
      <c r="Q71" s="80" t="inlineStr">
        <is>
          <t>住民基本台帳の人口動態で補う</t>
        </is>
      </c>
    </row>
    <row r="72" ht="62" customHeight="1">
      <c r="A72" s="8" t="inlineStr">
        <is>
          <t>C071</t>
        </is>
      </c>
      <c r="B72" s="8" t="inlineStr">
        <is>
          <t>Ⅳ</t>
        </is>
      </c>
      <c r="C72" s="8" t="inlineStr">
        <is>
          <t>2 実態調査・データ分析</t>
        </is>
      </c>
      <c r="D72" s="8" t="inlineStr">
        <is>
          <t>124-131</t>
        </is>
      </c>
      <c r="E72" s="8" t="inlineStr">
        <is>
          <t>地域分析（人口・認定）</t>
        </is>
      </c>
      <c r="F72" s="8" t="inlineStr">
        <is>
          <t>認定率を年齢構成調整した比較と粗認定率を区別したか</t>
        </is>
      </c>
      <c r="G72" s="8" t="inlineStr">
        <is>
          <t>分母と対象期間の統一、構成差・供給制約の考慮</t>
        </is>
      </c>
      <c r="H72" s="8" t="inlineStr">
        <is>
          <t>国勢調査、住基人口、社人研、認定データ、介護給付実績、見える化指標</t>
        </is>
      </c>
      <c r="I72" s="8" t="inlineStr">
        <is>
          <t>2026年4～10月</t>
        </is>
      </c>
      <c r="J72" s="8" t="inlineStr">
        <is>
          <t>主管／地域包括</t>
        </is>
      </c>
      <c r="K72" s="8" t="inlineStr">
        <is>
          <t>最優先</t>
        </is>
      </c>
      <c r="L72" s="8" t="inlineStr">
        <is>
          <t>手引き</t>
        </is>
      </c>
      <c r="M72" s="8" t="str"/>
      <c r="N72" s="8" t="inlineStr">
        <is>
          <t>https://www.mhlw.go.jp/content/12301000/001751471.pdf</t>
        </is>
      </c>
      <c r="O72" s="79" t="inlineStr">
        <is>
          <t>完了</t>
        </is>
      </c>
      <c r="P72" s="80" t="inlineStr">
        <is>
          <t>性・年齢調整後の地域差指数と粗認定率を区別</t>
        </is>
      </c>
      <c r="Q72" s="80" t="n"/>
    </row>
    <row r="73" ht="62" customHeight="1">
      <c r="A73" s="8" t="inlineStr">
        <is>
          <t>C072</t>
        </is>
      </c>
      <c r="B73" s="8" t="inlineStr">
        <is>
          <t>Ⅳ</t>
        </is>
      </c>
      <c r="C73" s="8" t="inlineStr">
        <is>
          <t>2 実態調査・データ分析</t>
        </is>
      </c>
      <c r="D73" s="8" t="inlineStr">
        <is>
          <t>124-131</t>
        </is>
      </c>
      <c r="E73" s="8" t="inlineStr">
        <is>
          <t>地域分析（人口・認定）</t>
        </is>
      </c>
      <c r="F73" s="8" t="inlineStr">
        <is>
          <t>認定率・受給率・１人当たり給付費を類似団体・県と比較したか</t>
        </is>
      </c>
      <c r="G73" s="8" t="inlineStr">
        <is>
          <t>分母と対象期間の統一、構成差・供給制約の考慮</t>
        </is>
      </c>
      <c r="H73" s="8" t="inlineStr">
        <is>
          <t>国勢調査、住基人口、社人研、認定データ、介護給付実績、見える化指標</t>
        </is>
      </c>
      <c r="I73" s="8" t="inlineStr">
        <is>
          <t>2026年4～10月</t>
        </is>
      </c>
      <c r="J73" s="8" t="inlineStr">
        <is>
          <t>主管／地域包括</t>
        </is>
      </c>
      <c r="K73" s="8" t="inlineStr">
        <is>
          <t>最優先</t>
        </is>
      </c>
      <c r="L73" s="8" t="inlineStr">
        <is>
          <t>手引き</t>
        </is>
      </c>
      <c r="M73" s="8" t="str"/>
      <c r="N73" s="8" t="inlineStr">
        <is>
          <t>https://www.mhlw.go.jp/content/12301000/001751471.pdf</t>
        </is>
      </c>
      <c r="O73" s="79" t="inlineStr">
        <is>
          <t>完了</t>
        </is>
      </c>
      <c r="P73" s="80" t="inlineStr">
        <is>
          <t>第2章3（3）全国・県内との比較（県内は分布と本町の順位のみ）</t>
        </is>
      </c>
      <c r="Q73" s="80" t="n"/>
    </row>
    <row r="74" ht="62" customHeight="1">
      <c r="A74" s="8" t="inlineStr">
        <is>
          <t>C073</t>
        </is>
      </c>
      <c r="B74" s="8" t="inlineStr">
        <is>
          <t>Ⅳ</t>
        </is>
      </c>
      <c r="C74" s="8" t="inlineStr">
        <is>
          <t>2 実態調査・データ分析</t>
        </is>
      </c>
      <c r="D74" s="8" t="inlineStr">
        <is>
          <t>124-131</t>
        </is>
      </c>
      <c r="E74" s="8" t="inlineStr">
        <is>
          <t>地域分析（人口・認定）</t>
        </is>
      </c>
      <c r="F74" s="8" t="inlineStr">
        <is>
          <t>認定データから介護度・認知症自立度等を把握したか</t>
        </is>
      </c>
      <c r="G74" s="8" t="inlineStr">
        <is>
          <t>分母と対象期間の統一、構成差・供給制約の考慮</t>
        </is>
      </c>
      <c r="H74" s="8" t="inlineStr">
        <is>
          <t>国勢調査、住基人口、社人研、認定データ、介護給付実績、見える化指標</t>
        </is>
      </c>
      <c r="I74" s="8" t="inlineStr">
        <is>
          <t>2026年4～10月</t>
        </is>
      </c>
      <c r="J74" s="8" t="inlineStr">
        <is>
          <t>主管／地域包括</t>
        </is>
      </c>
      <c r="K74" s="8" t="inlineStr">
        <is>
          <t>最優先</t>
        </is>
      </c>
      <c r="L74" s="8" t="inlineStr">
        <is>
          <t>手引き</t>
        </is>
      </c>
      <c r="M74" s="8" t="str"/>
      <c r="N74" s="8" t="inlineStr">
        <is>
          <t>https://www.mhlw.go.jp/content/12301000/001751471.pdf</t>
        </is>
      </c>
      <c r="O74" s="81" t="inlineStr">
        <is>
          <t>確認中</t>
        </is>
      </c>
      <c r="P74" s="80" t="inlineStr">
        <is>
          <t>介護度別と認知症高齢者の日常生活自立度を記載。自立度IIIa・IIIbの値が未受領</t>
        </is>
      </c>
      <c r="Q74" s="80" t="inlineStr">
        <is>
          <t>IIIa・IIIbの値を受領</t>
        </is>
      </c>
    </row>
    <row r="75" ht="62" customHeight="1">
      <c r="A75" s="8" t="inlineStr">
        <is>
          <t>C074</t>
        </is>
      </c>
      <c r="B75" s="8" t="inlineStr">
        <is>
          <t>Ⅳ</t>
        </is>
      </c>
      <c r="C75" s="8" t="inlineStr">
        <is>
          <t>2 実態調査・データ分析</t>
        </is>
      </c>
      <c r="D75" s="8" t="inlineStr">
        <is>
          <t>124-131</t>
        </is>
      </c>
      <c r="E75" s="8" t="inlineStr">
        <is>
          <t>地域分析（人口・認定）</t>
        </is>
      </c>
      <c r="F75" s="8" t="inlineStr">
        <is>
          <t>レセプトからサービス利用者数と回数・日数の変化を分析したか</t>
        </is>
      </c>
      <c r="G75" s="8" t="inlineStr">
        <is>
          <t>分母と対象期間の統一、構成差・供給制約の考慮</t>
        </is>
      </c>
      <c r="H75" s="8" t="inlineStr">
        <is>
          <t>国勢調査、住基人口、社人研、認定データ、介護給付実績、見える化指標</t>
        </is>
      </c>
      <c r="I75" s="8" t="inlineStr">
        <is>
          <t>2026年4～10月</t>
        </is>
      </c>
      <c r="J75" s="8" t="inlineStr">
        <is>
          <t>主管／地域包括</t>
        </is>
      </c>
      <c r="K75" s="8" t="inlineStr">
        <is>
          <t>最優先</t>
        </is>
      </c>
      <c r="L75" s="8" t="inlineStr">
        <is>
          <t>手引き</t>
        </is>
      </c>
      <c r="M75" s="8" t="str"/>
      <c r="N75" s="8" t="inlineStr">
        <is>
          <t>https://www.mhlw.go.jp/content/12301000/001751471.pdf</t>
        </is>
      </c>
      <c r="O75" s="79" t="inlineStr">
        <is>
          <t>完了</t>
        </is>
      </c>
      <c r="P75" s="80" t="inlineStr">
        <is>
          <t>国保連業務統計表（月報）で件数・回数の変化を分析（突合43件）</t>
        </is>
      </c>
      <c r="Q75" s="80" t="n"/>
    </row>
    <row r="76" ht="62" customHeight="1">
      <c r="A76" s="8" t="inlineStr">
        <is>
          <t>C075</t>
        </is>
      </c>
      <c r="B76" s="8" t="inlineStr">
        <is>
          <t>Ⅳ</t>
        </is>
      </c>
      <c r="C76" s="8" t="inlineStr">
        <is>
          <t>2 実態調査・データ分析</t>
        </is>
      </c>
      <c r="D76" s="8" t="inlineStr">
        <is>
          <t>124-131</t>
        </is>
      </c>
      <c r="E76" s="8" t="inlineStr">
        <is>
          <t>地域分析（人口・認定）</t>
        </is>
      </c>
      <c r="F76" s="8" t="inlineStr">
        <is>
          <t>地域ケア会議・現場ヒアリングの定性情報とデータを照合したか</t>
        </is>
      </c>
      <c r="G76" s="8" t="inlineStr">
        <is>
          <t>分母と対象期間の統一、構成差・供給制約の考慮</t>
        </is>
      </c>
      <c r="H76" s="8" t="inlineStr">
        <is>
          <t>国勢調査、住基人口、社人研、認定データ、介護給付実績、見える化指標</t>
        </is>
      </c>
      <c r="I76" s="8" t="inlineStr">
        <is>
          <t>2026年4～10月</t>
        </is>
      </c>
      <c r="J76" s="8" t="inlineStr">
        <is>
          <t>主管／地域包括</t>
        </is>
      </c>
      <c r="K76" s="8" t="inlineStr">
        <is>
          <t>最優先</t>
        </is>
      </c>
      <c r="L76" s="8" t="inlineStr">
        <is>
          <t>手引き</t>
        </is>
      </c>
      <c r="M76" s="8" t="str"/>
      <c r="N76" s="8" t="inlineStr">
        <is>
          <t>https://www.mhlw.go.jp/content/12301000/001751471.pdf</t>
        </is>
      </c>
      <c r="O76" s="81" t="inlineStr">
        <is>
          <t>確認中</t>
        </is>
      </c>
      <c r="P76" s="80" t="inlineStr">
        <is>
          <t>地域ケア会議・現場ヒアリングとの照合は資料未受領のため一部</t>
        </is>
      </c>
      <c r="Q76" s="80" t="n"/>
    </row>
    <row r="77" ht="62" customHeight="1">
      <c r="A77" s="8" t="inlineStr">
        <is>
          <t>C076</t>
        </is>
      </c>
      <c r="B77" s="8" t="inlineStr">
        <is>
          <t>Ⅳ</t>
        </is>
      </c>
      <c r="C77" s="8" t="inlineStr">
        <is>
          <t>2.2～2.3 認知症・施設需要</t>
        </is>
      </c>
      <c r="D77" s="8" t="inlineStr">
        <is>
          <t>128-131</t>
        </is>
      </c>
      <c r="E77" s="8" t="inlineStr">
        <is>
          <t>潜在需要・待機者</t>
        </is>
      </c>
      <c r="F77" s="8" t="inlineStr">
        <is>
          <t>認知症高齢者の推計と日常生活自立度・利用状況を整合したか</t>
        </is>
      </c>
      <c r="G77" s="8" t="inlineStr">
        <is>
          <t>単純待機人数をそのまま整備定員に置かない</t>
        </is>
      </c>
      <c r="H77" s="8" t="inlineStr">
        <is>
          <t>要介護認定、認知症統計、待機者名簿、在宅生活改善調査、居所変更実態調査</t>
        </is>
      </c>
      <c r="I77" s="8" t="inlineStr">
        <is>
          <t>2026年4～11月</t>
        </is>
      </c>
      <c r="J77" s="8" t="inlineStr">
        <is>
          <t>主管／施設担当</t>
        </is>
      </c>
      <c r="K77" s="8" t="inlineStr">
        <is>
          <t>A</t>
        </is>
      </c>
      <c r="L77" s="8" t="inlineStr">
        <is>
          <t>手引き</t>
        </is>
      </c>
      <c r="M77" s="8" t="str"/>
      <c r="N77" s="8" t="str"/>
      <c r="O77" s="81" t="inlineStr">
        <is>
          <t>確認中</t>
        </is>
      </c>
      <c r="P77" s="80" t="inlineStr">
        <is>
          <t>自立度と利用状況の整合は一部</t>
        </is>
      </c>
      <c r="Q77" s="80" t="n"/>
    </row>
    <row r="78" ht="62" customHeight="1">
      <c r="A78" s="8" t="inlineStr">
        <is>
          <t>C077</t>
        </is>
      </c>
      <c r="B78" s="8" t="inlineStr">
        <is>
          <t>Ⅳ</t>
        </is>
      </c>
      <c r="C78" s="8" t="inlineStr">
        <is>
          <t>2.2～2.3 認知症・施設需要</t>
        </is>
      </c>
      <c r="D78" s="8" t="inlineStr">
        <is>
          <t>128-131</t>
        </is>
      </c>
      <c r="E78" s="8" t="inlineStr">
        <is>
          <t>潜在需要・待機者</t>
        </is>
      </c>
      <c r="F78" s="8" t="inlineStr">
        <is>
          <t>入院・入所・在宅の状況を可能な範囲で整理したか</t>
        </is>
      </c>
      <c r="G78" s="8" t="inlineStr">
        <is>
          <t>単純待機人数をそのまま整備定員に置かない</t>
        </is>
      </c>
      <c r="H78" s="8" t="inlineStr">
        <is>
          <t>要介護認定、認知症統計、待機者名簿、在宅生活改善調査、居所変更実態調査</t>
        </is>
      </c>
      <c r="I78" s="8" t="inlineStr">
        <is>
          <t>2026年4～11月</t>
        </is>
      </c>
      <c r="J78" s="8" t="inlineStr">
        <is>
          <t>主管／施設担当</t>
        </is>
      </c>
      <c r="K78" s="8" t="inlineStr">
        <is>
          <t>A</t>
        </is>
      </c>
      <c r="L78" s="8" t="inlineStr">
        <is>
          <t>手引き</t>
        </is>
      </c>
      <c r="M78" s="8" t="str"/>
      <c r="N78" s="8" t="str"/>
      <c r="O78" s="81" t="inlineStr">
        <is>
          <t>確認中</t>
        </is>
      </c>
      <c r="P78" s="80" t="inlineStr">
        <is>
          <t>施設・居住系・在宅の区分で推計。入院の状況は未整理</t>
        </is>
      </c>
      <c r="Q78" s="80" t="n"/>
    </row>
    <row r="79" ht="62" customHeight="1">
      <c r="A79" s="8" t="inlineStr">
        <is>
          <t>C078</t>
        </is>
      </c>
      <c r="B79" s="8" t="inlineStr">
        <is>
          <t>Ⅳ</t>
        </is>
      </c>
      <c r="C79" s="8" t="inlineStr">
        <is>
          <t>2.2～2.3 認知症・施設需要</t>
        </is>
      </c>
      <c r="D79" s="8" t="inlineStr">
        <is>
          <t>128-131</t>
        </is>
      </c>
      <c r="E79" s="8" t="inlineStr">
        <is>
          <t>潜在需要・待機者</t>
        </is>
      </c>
      <c r="F79" s="8" t="inlineStr">
        <is>
          <t>施設待機者数を重複・入所済み・優先度で補正しているか</t>
        </is>
      </c>
      <c r="G79" s="8" t="inlineStr">
        <is>
          <t>単純待機人数をそのまま整備定員に置かない</t>
        </is>
      </c>
      <c r="H79" s="8" t="inlineStr">
        <is>
          <t>要介護認定、認知症統計、待機者名簿、在宅生活改善調査、居所変更実態調査</t>
        </is>
      </c>
      <c r="I79" s="8" t="inlineStr">
        <is>
          <t>2026年4～11月</t>
        </is>
      </c>
      <c r="J79" s="8" t="inlineStr">
        <is>
          <t>主管／施設担当</t>
        </is>
      </c>
      <c r="K79" s="8" t="inlineStr">
        <is>
          <t>A</t>
        </is>
      </c>
      <c r="L79" s="8" t="inlineStr">
        <is>
          <t>手引き</t>
        </is>
      </c>
      <c r="M79" s="8" t="str"/>
      <c r="N79" s="8" t="str"/>
      <c r="O79" s="82" t="inlineStr">
        <is>
          <t>資料徴求中</t>
        </is>
      </c>
      <c r="P79" s="80" t="inlineStr">
        <is>
          <t>特別養護老人ホームの待機者数（重複・入所済み・優先度の補正）は未受領</t>
        </is>
      </c>
      <c r="Q79" s="80" t="inlineStr">
        <is>
          <t>町・施設に照会</t>
        </is>
      </c>
    </row>
    <row r="80" ht="62" customHeight="1">
      <c r="A80" s="8" t="inlineStr">
        <is>
          <t>C079</t>
        </is>
      </c>
      <c r="B80" s="8" t="inlineStr">
        <is>
          <t>Ⅳ</t>
        </is>
      </c>
      <c r="C80" s="8" t="inlineStr">
        <is>
          <t>2.2～2.3 認知症・施設需要</t>
        </is>
      </c>
      <c r="D80" s="8" t="inlineStr">
        <is>
          <t>128-131</t>
        </is>
      </c>
      <c r="E80" s="8" t="inlineStr">
        <is>
          <t>潜在需要・待機者</t>
        </is>
      </c>
      <c r="F80" s="8" t="inlineStr">
        <is>
          <t>在宅生活改善調査等から真に居所変更が必要な人を検証したか</t>
        </is>
      </c>
      <c r="G80" s="8" t="inlineStr">
        <is>
          <t>単純待機人数をそのまま整備定員に置かない</t>
        </is>
      </c>
      <c r="H80" s="8" t="inlineStr">
        <is>
          <t>要介護認定、認知症統計、待機者名簿、在宅生活改善調査、居所変更実態調査</t>
        </is>
      </c>
      <c r="I80" s="8" t="inlineStr">
        <is>
          <t>2026年4～11月</t>
        </is>
      </c>
      <c r="J80" s="8" t="inlineStr">
        <is>
          <t>主管／施設担当</t>
        </is>
      </c>
      <c r="K80" s="8" t="inlineStr">
        <is>
          <t>A</t>
        </is>
      </c>
      <c r="L80" s="8" t="inlineStr">
        <is>
          <t>手引き</t>
        </is>
      </c>
      <c r="M80" s="8" t="str"/>
      <c r="N80" s="8" t="str"/>
      <c r="O80" s="84" t="inlineStr">
        <is>
          <t>要協議</t>
        </is>
      </c>
      <c r="P80" s="80" t="inlineStr">
        <is>
          <t>在宅生活改善調査が未実施のため検証できない</t>
        </is>
      </c>
      <c r="Q80" s="80" t="inlineStr">
        <is>
          <t>C045と併せて判断</t>
        </is>
      </c>
    </row>
    <row r="81" ht="62" customHeight="1">
      <c r="A81" s="8" t="inlineStr">
        <is>
          <t>C080</t>
        </is>
      </c>
      <c r="B81" s="8" t="inlineStr">
        <is>
          <t>Ⅳ</t>
        </is>
      </c>
      <c r="C81" s="8" t="inlineStr">
        <is>
          <t>2.2～2.3 認知症・施設需要</t>
        </is>
      </c>
      <c r="D81" s="8" t="inlineStr">
        <is>
          <t>128-131</t>
        </is>
      </c>
      <c r="E81" s="8" t="inlineStr">
        <is>
          <t>潜在需要・待機者</t>
        </is>
      </c>
      <c r="F81" s="8" t="inlineStr">
        <is>
          <t>市町村外施設・住所地特例の影響を検討したか</t>
        </is>
      </c>
      <c r="G81" s="8" t="inlineStr">
        <is>
          <t>単純待機人数をそのまま整備定員に置かない</t>
        </is>
      </c>
      <c r="H81" s="8" t="inlineStr">
        <is>
          <t>要介護認定、認知症統計、待機者名簿、在宅生活改善調査、居所変更実態調査</t>
        </is>
      </c>
      <c r="I81" s="8" t="inlineStr">
        <is>
          <t>2026年4～11月</t>
        </is>
      </c>
      <c r="J81" s="8" t="inlineStr">
        <is>
          <t>主管／施設担当</t>
        </is>
      </c>
      <c r="K81" s="8" t="inlineStr">
        <is>
          <t>A</t>
        </is>
      </c>
      <c r="L81" s="8" t="inlineStr">
        <is>
          <t>手引き</t>
        </is>
      </c>
      <c r="M81" s="8" t="str"/>
      <c r="N81" s="8" t="str"/>
      <c r="O81" s="83" t="inlineStr">
        <is>
          <t>未確認</t>
        </is>
      </c>
      <c r="P81" s="80" t="inlineStr">
        <is>
          <t>町外施設・住所地特例の影響の記載なし</t>
        </is>
      </c>
      <c r="Q81" s="80" t="inlineStr">
        <is>
          <t>住所地特例の対象者数を受領して検討</t>
        </is>
      </c>
    </row>
    <row r="82" ht="62" customHeight="1">
      <c r="A82" s="8" t="inlineStr">
        <is>
          <t>C081</t>
        </is>
      </c>
      <c r="B82" s="8" t="inlineStr">
        <is>
          <t>Ⅳ</t>
        </is>
      </c>
      <c r="C82" s="8" t="inlineStr">
        <is>
          <t>3 中長期的サービス基盤整備</t>
        </is>
      </c>
      <c r="D82" s="8" t="inlineStr">
        <is>
          <t>133-138</t>
        </is>
      </c>
      <c r="E82" s="8" t="inlineStr">
        <is>
          <t>人口・需要の中長期推計</t>
        </is>
      </c>
      <c r="F82" s="8" t="inlineStr">
        <is>
          <t>2027～2029年度の自然体推計を算出したか</t>
        </is>
      </c>
      <c r="G82" s="8" t="inlineStr">
        <is>
          <t>人口→認定→利用者→回数/日数→費用の算定経路を保存</t>
        </is>
      </c>
      <c r="H82" s="8" t="inlineStr">
        <is>
          <t>見える化推計入力・総括表、将来人口、給付実績、施設一覧、事業者意向</t>
        </is>
      </c>
      <c r="I82" s="8" t="inlineStr">
        <is>
          <t>2026年7月～2027年1月</t>
        </is>
      </c>
      <c r="J82" s="8" t="inlineStr">
        <is>
          <t>主管／事業者／財政</t>
        </is>
      </c>
      <c r="K82" s="8" t="inlineStr">
        <is>
          <t>最優先</t>
        </is>
      </c>
      <c r="L82" s="8" t="inlineStr">
        <is>
          <t>手引き</t>
        </is>
      </c>
      <c r="M82" s="8" t="str"/>
      <c r="N82" s="8" t="inlineStr">
        <is>
          <t>https://mieruka.mhlw.go.jp/</t>
        </is>
      </c>
      <c r="O82" s="79" t="inlineStr">
        <is>
          <t>完了</t>
        </is>
      </c>
      <c r="P82" s="80" t="inlineStr">
        <is>
          <t>第6章2。国保連月報を起点とした自然体推計（区分別の係数）</t>
        </is>
      </c>
      <c r="Q82" s="80" t="n"/>
    </row>
    <row r="83" ht="62" customHeight="1">
      <c r="A83" s="8" t="inlineStr">
        <is>
          <t>C082</t>
        </is>
      </c>
      <c r="B83" s="8" t="inlineStr">
        <is>
          <t>Ⅳ</t>
        </is>
      </c>
      <c r="C83" s="8" t="inlineStr">
        <is>
          <t>3 中長期的サービス基盤整備</t>
        </is>
      </c>
      <c r="D83" s="8" t="inlineStr">
        <is>
          <t>133-138</t>
        </is>
      </c>
      <c r="E83" s="8" t="inlineStr">
        <is>
          <t>人口・需要の中長期推計</t>
        </is>
      </c>
      <c r="F83" s="8" t="inlineStr">
        <is>
          <t>2030・2035・2040年等の中長期推計を作成したか</t>
        </is>
      </c>
      <c r="G83" s="8" t="inlineStr">
        <is>
          <t>人口→認定→利用者→回数/日数→費用の算定経路を保存</t>
        </is>
      </c>
      <c r="H83" s="8" t="inlineStr">
        <is>
          <t>見える化推計入力・総括表、将来人口、給付実績、施設一覧、事業者意向</t>
        </is>
      </c>
      <c r="I83" s="8" t="inlineStr">
        <is>
          <t>2026年7月～2027年1月</t>
        </is>
      </c>
      <c r="J83" s="8" t="inlineStr">
        <is>
          <t>主管／事業者／財政</t>
        </is>
      </c>
      <c r="K83" s="8" t="inlineStr">
        <is>
          <t>最優先</t>
        </is>
      </c>
      <c r="L83" s="8" t="inlineStr">
        <is>
          <t>手引き</t>
        </is>
      </c>
      <c r="M83" s="8" t="str"/>
      <c r="N83" s="8" t="inlineStr">
        <is>
          <t>https://mieruka.mhlw.go.jp/</t>
        </is>
      </c>
      <c r="O83" s="79" t="inlineStr">
        <is>
          <t>完了</t>
        </is>
      </c>
      <c r="P83" s="80" t="inlineStr">
        <is>
          <t>第6章11。令和22年・令和32年</t>
        </is>
      </c>
      <c r="Q83" s="80" t="n"/>
    </row>
    <row r="84" ht="62" customHeight="1">
      <c r="A84" s="8" t="inlineStr">
        <is>
          <t>C083</t>
        </is>
      </c>
      <c r="B84" s="8" t="inlineStr">
        <is>
          <t>Ⅳ</t>
        </is>
      </c>
      <c r="C84" s="8" t="inlineStr">
        <is>
          <t>3 中長期的サービス基盤整備</t>
        </is>
      </c>
      <c r="D84" s="8" t="inlineStr">
        <is>
          <t>133-138</t>
        </is>
      </c>
      <c r="E84" s="8" t="inlineStr">
        <is>
          <t>人口・需要の中長期推計</t>
        </is>
      </c>
      <c r="F84" s="8" t="inlineStr">
        <is>
          <t>人口系列・性年齢別認定率・利用率の前提を保存したか</t>
        </is>
      </c>
      <c r="G84" s="8" t="inlineStr">
        <is>
          <t>人口→認定→利用者→回数/日数→費用の算定経路を保存</t>
        </is>
      </c>
      <c r="H84" s="8" t="inlineStr">
        <is>
          <t>見える化推計入力・総括表、将来人口、給付実績、施設一覧、事業者意向</t>
        </is>
      </c>
      <c r="I84" s="8" t="inlineStr">
        <is>
          <t>2026年7月～2027年1月</t>
        </is>
      </c>
      <c r="J84" s="8" t="inlineStr">
        <is>
          <t>主管／事業者／財政</t>
        </is>
      </c>
      <c r="K84" s="8" t="inlineStr">
        <is>
          <t>最優先</t>
        </is>
      </c>
      <c r="L84" s="8" t="inlineStr">
        <is>
          <t>手引き</t>
        </is>
      </c>
      <c r="M84" s="8" t="str"/>
      <c r="N84" s="8" t="inlineStr">
        <is>
          <t>https://mieruka.mhlw.go.jp/</t>
        </is>
      </c>
      <c r="O84" s="79" t="inlineStr">
        <is>
          <t>完了</t>
        </is>
      </c>
      <c r="P84" s="80" t="inlineStr">
        <is>
          <t>推計の係数と前提を素案の注と算定ブックに保存</t>
        </is>
      </c>
      <c r="Q84" s="80" t="n"/>
    </row>
    <row r="85" ht="62" customHeight="1">
      <c r="A85" s="8" t="inlineStr">
        <is>
          <t>C084</t>
        </is>
      </c>
      <c r="B85" s="8" t="inlineStr">
        <is>
          <t>Ⅳ</t>
        </is>
      </c>
      <c r="C85" s="8" t="inlineStr">
        <is>
          <t>3 中長期的サービス基盤整備</t>
        </is>
      </c>
      <c r="D85" s="8" t="inlineStr">
        <is>
          <t>133-138</t>
        </is>
      </c>
      <c r="E85" s="8" t="inlineStr">
        <is>
          <t>人口・需要の中長期推計</t>
        </is>
      </c>
      <c r="F85" s="8" t="inlineStr">
        <is>
          <t>過年度の予測対実績によるバックテストを行ったか</t>
        </is>
      </c>
      <c r="G85" s="8" t="inlineStr">
        <is>
          <t>人口→認定→利用者→回数/日数→費用の算定経路を保存</t>
        </is>
      </c>
      <c r="H85" s="8" t="inlineStr">
        <is>
          <t>見える化推計入力・総括表、将来人口、給付実績、施設一覧、事業者意向</t>
        </is>
      </c>
      <c r="I85" s="8" t="inlineStr">
        <is>
          <t>2026年7月～2027年1月</t>
        </is>
      </c>
      <c r="J85" s="8" t="inlineStr">
        <is>
          <t>主管／事業者／財政</t>
        </is>
      </c>
      <c r="K85" s="8" t="inlineStr">
        <is>
          <t>最優先</t>
        </is>
      </c>
      <c r="L85" s="8" t="inlineStr">
        <is>
          <t>手引き</t>
        </is>
      </c>
      <c r="M85" s="8" t="str"/>
      <c r="N85" s="8" t="inlineStr">
        <is>
          <t>https://mieruka.mhlw.go.jp/</t>
        </is>
      </c>
      <c r="O85" s="79" t="inlineStr">
        <is>
          <t>完了</t>
        </is>
      </c>
      <c r="P85" s="80" t="inlineStr">
        <is>
          <t>過年度の予測対実績のバックテストを実施</t>
        </is>
      </c>
      <c r="Q85" s="80" t="n"/>
    </row>
    <row r="86" ht="62" customHeight="1">
      <c r="A86" s="8" t="inlineStr">
        <is>
          <t>C085</t>
        </is>
      </c>
      <c r="B86" s="8" t="inlineStr">
        <is>
          <t>Ⅳ</t>
        </is>
      </c>
      <c r="C86" s="8" t="inlineStr">
        <is>
          <t>3 中長期的サービス基盤整備</t>
        </is>
      </c>
      <c r="D86" s="8" t="inlineStr">
        <is>
          <t>133-138</t>
        </is>
      </c>
      <c r="E86" s="8" t="inlineStr">
        <is>
          <t>人口・需要の中長期推計</t>
        </is>
      </c>
      <c r="F86" s="8" t="inlineStr">
        <is>
          <t>自然体推計への施策反映量をサービス別に説明できるか</t>
        </is>
      </c>
      <c r="G86" s="8" t="inlineStr">
        <is>
          <t>人口→認定→利用者→回数/日数→費用の算定経路を保存</t>
        </is>
      </c>
      <c r="H86" s="8" t="inlineStr">
        <is>
          <t>見える化推計入力・総括表、将来人口、給付実績、施設一覧、事業者意向</t>
        </is>
      </c>
      <c r="I86" s="8" t="inlineStr">
        <is>
          <t>2026年7月～2027年1月</t>
        </is>
      </c>
      <c r="J86" s="8" t="inlineStr">
        <is>
          <t>主管／事業者／財政</t>
        </is>
      </c>
      <c r="K86" s="8" t="inlineStr">
        <is>
          <t>最優先</t>
        </is>
      </c>
      <c r="L86" s="8" t="inlineStr">
        <is>
          <t>手引き</t>
        </is>
      </c>
      <c r="M86" s="8" t="str"/>
      <c r="N86" s="8" t="inlineStr">
        <is>
          <t>https://mieruka.mhlw.go.jp/</t>
        </is>
      </c>
      <c r="O86" s="81" t="inlineStr">
        <is>
          <t>確認中</t>
        </is>
      </c>
      <c r="P86" s="80" t="inlineStr">
        <is>
          <t>施策反映のワーニングは該当なし。施策反映量のサービス別の説明は一部</t>
        </is>
      </c>
      <c r="Q86" s="80" t="n"/>
    </row>
    <row r="87" ht="62" customHeight="1">
      <c r="A87" s="8" t="inlineStr">
        <is>
          <t>C086</t>
        </is>
      </c>
      <c r="B87" s="8" t="inlineStr">
        <is>
          <t>Ⅳ</t>
        </is>
      </c>
      <c r="C87" s="8" t="inlineStr">
        <is>
          <t>3 中長期的サービス基盤整備</t>
        </is>
      </c>
      <c r="D87" s="8" t="inlineStr">
        <is>
          <t>133-138</t>
        </is>
      </c>
      <c r="E87" s="8" t="inlineStr">
        <is>
          <t>人口・需要の中長期推計</t>
        </is>
      </c>
      <c r="F87" s="8" t="inlineStr">
        <is>
          <t>生産年齢人口・人材確保の制約で整備量の実現可能性を点検したか</t>
        </is>
      </c>
      <c r="G87" s="8" t="inlineStr">
        <is>
          <t>人口→認定→利用者→回数/日数→費用の算定経路を保存</t>
        </is>
      </c>
      <c r="H87" s="8" t="inlineStr">
        <is>
          <t>見える化推計入力・総括表、将来人口、給付実績、施設一覧、事業者意向</t>
        </is>
      </c>
      <c r="I87" s="8" t="inlineStr">
        <is>
          <t>2026年7月～2027年1月</t>
        </is>
      </c>
      <c r="J87" s="8" t="inlineStr">
        <is>
          <t>主管／事業者／財政</t>
        </is>
      </c>
      <c r="K87" s="8" t="inlineStr">
        <is>
          <t>最優先</t>
        </is>
      </c>
      <c r="L87" s="8" t="inlineStr">
        <is>
          <t>手引き</t>
        </is>
      </c>
      <c r="M87" s="8" t="str"/>
      <c r="N87" s="8" t="inlineStr">
        <is>
          <t>https://mieruka.mhlw.go.jp/</t>
        </is>
      </c>
      <c r="O87" s="79" t="inlineStr">
        <is>
          <t>完了</t>
        </is>
      </c>
      <c r="P87" s="80" t="inlineStr">
        <is>
          <t>第6章6。人材の供給制約からみた見込量の妥当性</t>
        </is>
      </c>
      <c r="Q87" s="80" t="n"/>
    </row>
    <row r="88" ht="62" customHeight="1">
      <c r="A88" s="8" t="inlineStr">
        <is>
          <t>C087</t>
        </is>
      </c>
      <c r="B88" s="8" t="inlineStr">
        <is>
          <t>Ⅳ</t>
        </is>
      </c>
      <c r="C88" s="8" t="inlineStr">
        <is>
          <t>3 中長期的サービス基盤整備</t>
        </is>
      </c>
      <c r="D88" s="8" t="inlineStr">
        <is>
          <t>133-138</t>
        </is>
      </c>
      <c r="E88" s="8" t="inlineStr">
        <is>
          <t>人口・需要の中長期推計</t>
        </is>
      </c>
      <c r="F88" s="8" t="inlineStr">
        <is>
          <t>サービス新設だけでなく既存資源の転用・統合・広域連携を比較したか</t>
        </is>
      </c>
      <c r="G88" s="8" t="inlineStr">
        <is>
          <t>人口→認定→利用者→回数/日数→費用の算定経路を保存</t>
        </is>
      </c>
      <c r="H88" s="8" t="inlineStr">
        <is>
          <t>見える化推計入力・総括表、将来人口、給付実績、施設一覧、事業者意向</t>
        </is>
      </c>
      <c r="I88" s="8" t="inlineStr">
        <is>
          <t>2026年7月～2027年1月</t>
        </is>
      </c>
      <c r="J88" s="8" t="inlineStr">
        <is>
          <t>主管／事業者／財政</t>
        </is>
      </c>
      <c r="K88" s="8" t="inlineStr">
        <is>
          <t>最優先</t>
        </is>
      </c>
      <c r="L88" s="8" t="inlineStr">
        <is>
          <t>手引き</t>
        </is>
      </c>
      <c r="M88" s="8" t="str"/>
      <c r="N88" s="8" t="inlineStr">
        <is>
          <t>https://mieruka.mhlw.go.jp/</t>
        </is>
      </c>
      <c r="O88" s="81" t="inlineStr">
        <is>
          <t>確認中</t>
        </is>
      </c>
      <c r="P88" s="80" t="inlineStr">
        <is>
          <t>第6章12に広域連携・既存資源の活用を記載。比較の表はない</t>
        </is>
      </c>
      <c r="Q88" s="80" t="n"/>
    </row>
    <row r="89" ht="62" customHeight="1">
      <c r="A89" s="8" t="inlineStr">
        <is>
          <t>C088</t>
        </is>
      </c>
      <c r="B89" s="8" t="inlineStr">
        <is>
          <t>Ⅳ</t>
        </is>
      </c>
      <c r="C89" s="8" t="inlineStr">
        <is>
          <t>3 中長期的サービス基盤整備</t>
        </is>
      </c>
      <c r="D89" s="8" t="inlineStr">
        <is>
          <t>133-138</t>
        </is>
      </c>
      <c r="E89" s="8" t="inlineStr">
        <is>
          <t>人口・需要の中長期推計</t>
        </is>
      </c>
      <c r="F89" s="8" t="inlineStr">
        <is>
          <t>保険給付費・地域支援事業費の中長期推計との整合があるか</t>
        </is>
      </c>
      <c r="G89" s="8" t="inlineStr">
        <is>
          <t>人口→認定→利用者→回数/日数→費用の算定経路を保存</t>
        </is>
      </c>
      <c r="H89" s="8" t="inlineStr">
        <is>
          <t>見える化推計入力・総括表、将来人口、給付実績、施設一覧、事業者意向</t>
        </is>
      </c>
      <c r="I89" s="8" t="inlineStr">
        <is>
          <t>2026年7月～2027年1月</t>
        </is>
      </c>
      <c r="J89" s="8" t="inlineStr">
        <is>
          <t>主管／事業者／財政</t>
        </is>
      </c>
      <c r="K89" s="8" t="inlineStr">
        <is>
          <t>最優先</t>
        </is>
      </c>
      <c r="L89" s="8" t="inlineStr">
        <is>
          <t>手引き</t>
        </is>
      </c>
      <c r="M89" s="8" t="str"/>
      <c r="N89" s="8" t="inlineStr">
        <is>
          <t>https://mieruka.mhlw.go.jp/</t>
        </is>
      </c>
      <c r="O89" s="79" t="inlineStr">
        <is>
          <t>完了</t>
        </is>
      </c>
      <c r="P89" s="80" t="inlineStr">
        <is>
          <t>第6章11に給付費・保険料水準の中長期推計（改正法第117条第3項第3号）</t>
        </is>
      </c>
      <c r="Q89" s="80" t="n"/>
    </row>
    <row r="90" ht="62" customHeight="1">
      <c r="A90" s="8" t="inlineStr">
        <is>
          <t>C089</t>
        </is>
      </c>
      <c r="B90" s="8" t="inlineStr">
        <is>
          <t>Ⅳ</t>
        </is>
      </c>
      <c r="C90" s="8" t="inlineStr">
        <is>
          <t>3.2／13 人材確保・育成</t>
        </is>
      </c>
      <c r="D90" s="8" t="inlineStr">
        <is>
          <t>138,209-223</t>
        </is>
      </c>
      <c r="E90" s="8" t="inlineStr">
        <is>
          <t>介護人材と生産性</t>
        </is>
      </c>
      <c r="F90" s="8" t="inlineStr">
        <is>
          <t>介護人材の現在数・需要見込・需給ギャップを把握したか</t>
        </is>
      </c>
      <c r="G90" s="8" t="inlineStr">
        <is>
          <t>配置可能人員とサービス量・開設予定の制約条件を検証</t>
        </is>
      </c>
      <c r="H90" s="8" t="inlineStr">
        <is>
          <t>介護人材実態調査、職員数調査、事業者ヒアリング、県人材政策、基金要綱</t>
        </is>
      </c>
      <c r="I90" s="8" t="inlineStr">
        <is>
          <t>2026年4～2027年1月</t>
        </is>
      </c>
      <c r="J90" s="8" t="inlineStr">
        <is>
          <t>主管／事業者／県担当</t>
        </is>
      </c>
      <c r="K90" s="8" t="inlineStr">
        <is>
          <t>最優先</t>
        </is>
      </c>
      <c r="L90" s="8" t="inlineStr">
        <is>
          <t>手引き+県要綱更新</t>
        </is>
      </c>
      <c r="M90" s="8" t="str"/>
      <c r="N90" s="8" t="str"/>
      <c r="O90" s="81" t="inlineStr">
        <is>
          <t>確認中</t>
        </is>
      </c>
      <c r="P90" s="80" t="inlineStr">
        <is>
          <t>第6章6で需給を推計。現在の従事者数の実数は未受領</t>
        </is>
      </c>
      <c r="Q90" s="80" t="n"/>
    </row>
    <row r="91" ht="62" customHeight="1">
      <c r="A91" s="8" t="inlineStr">
        <is>
          <t>C090</t>
        </is>
      </c>
      <c r="B91" s="8" t="inlineStr">
        <is>
          <t>Ⅳ</t>
        </is>
      </c>
      <c r="C91" s="8" t="inlineStr">
        <is>
          <t>3.2／13 人材確保・育成</t>
        </is>
      </c>
      <c r="D91" s="8" t="inlineStr">
        <is>
          <t>138,209-223</t>
        </is>
      </c>
      <c r="E91" s="8" t="inlineStr">
        <is>
          <t>介護人材と生産性</t>
        </is>
      </c>
      <c r="F91" s="8" t="inlineStr">
        <is>
          <t>職種別・事業所別の欠員、離職、採用、年齢構成を把握したか</t>
        </is>
      </c>
      <c r="G91" s="8" t="inlineStr">
        <is>
          <t>配置可能人員とサービス量・開設予定の制約条件を検証</t>
        </is>
      </c>
      <c r="H91" s="8" t="inlineStr">
        <is>
          <t>介護人材実態調査、職員数調査、事業者ヒアリング、県人材政策、基金要綱</t>
        </is>
      </c>
      <c r="I91" s="8" t="inlineStr">
        <is>
          <t>2026年4～2027年1月</t>
        </is>
      </c>
      <c r="J91" s="8" t="inlineStr">
        <is>
          <t>主管／事業者／県担当</t>
        </is>
      </c>
      <c r="K91" s="8" t="inlineStr">
        <is>
          <t>最優先</t>
        </is>
      </c>
      <c r="L91" s="8" t="inlineStr">
        <is>
          <t>手引き+県要綱更新</t>
        </is>
      </c>
      <c r="M91" s="8" t="str"/>
      <c r="N91" s="8" t="str"/>
      <c r="O91" s="82" t="inlineStr">
        <is>
          <t>資料徴求中</t>
        </is>
      </c>
      <c r="P91" s="80" t="inlineStr">
        <is>
          <t>職種別・事業所別の欠員・離職・採用は未把握（介護人材実態調査未実施）</t>
        </is>
      </c>
      <c r="Q91" s="80" t="inlineStr">
        <is>
          <t>事業所への照会を検討</t>
        </is>
      </c>
    </row>
    <row r="92" ht="62" customHeight="1">
      <c r="A92" s="8" t="inlineStr">
        <is>
          <t>C091</t>
        </is>
      </c>
      <c r="B92" s="8" t="inlineStr">
        <is>
          <t>Ⅳ</t>
        </is>
      </c>
      <c r="C92" s="8" t="inlineStr">
        <is>
          <t>3.2／13 人材確保・育成</t>
        </is>
      </c>
      <c r="D92" s="8" t="inlineStr">
        <is>
          <t>138,209-223</t>
        </is>
      </c>
      <c r="E92" s="8" t="inlineStr">
        <is>
          <t>介護人材と生産性</t>
        </is>
      </c>
      <c r="F92" s="8" t="inlineStr">
        <is>
          <t>事業所が開設・増床する場合の確保可能人員を点検したか</t>
        </is>
      </c>
      <c r="G92" s="8" t="inlineStr">
        <is>
          <t>配置可能人員とサービス量・開設予定の制約条件を検証</t>
        </is>
      </c>
      <c r="H92" s="8" t="inlineStr">
        <is>
          <t>介護人材実態調査、職員数調査、事業者ヒアリング、県人材政策、基金要綱</t>
        </is>
      </c>
      <c r="I92" s="8" t="inlineStr">
        <is>
          <t>2026年4～2027年1月</t>
        </is>
      </c>
      <c r="J92" s="8" t="inlineStr">
        <is>
          <t>主管／事業者／県担当</t>
        </is>
      </c>
      <c r="K92" s="8" t="inlineStr">
        <is>
          <t>最優先</t>
        </is>
      </c>
      <c r="L92" s="8" t="inlineStr">
        <is>
          <t>手引き+県要綱更新</t>
        </is>
      </c>
      <c r="M92" s="8" t="str"/>
      <c r="N92" s="8" t="str"/>
      <c r="O92" s="81" t="inlineStr">
        <is>
          <t>確認中</t>
        </is>
      </c>
      <c r="P92" s="80" t="inlineStr">
        <is>
          <t>第6章6で開設・増床時の確保可能人員を点検（推計）</t>
        </is>
      </c>
      <c r="Q92" s="80" t="n"/>
    </row>
    <row r="93" ht="62" customHeight="1">
      <c r="A93" s="8" t="inlineStr">
        <is>
          <t>C092</t>
        </is>
      </c>
      <c r="B93" s="8" t="inlineStr">
        <is>
          <t>Ⅳ</t>
        </is>
      </c>
      <c r="C93" s="8" t="inlineStr">
        <is>
          <t>3.2／13 人材確保・育成</t>
        </is>
      </c>
      <c r="D93" s="8" t="inlineStr">
        <is>
          <t>138,209-223</t>
        </is>
      </c>
      <c r="E93" s="8" t="inlineStr">
        <is>
          <t>介護人材と生産性</t>
        </is>
      </c>
      <c r="F93" s="8" t="inlineStr">
        <is>
          <t>県の人材確保・生産性向上計画と支援メニューを確認したか</t>
        </is>
      </c>
      <c r="G93" s="8" t="inlineStr">
        <is>
          <t>配置可能人員とサービス量・開設予定の制約条件を検証</t>
        </is>
      </c>
      <c r="H93" s="8" t="inlineStr">
        <is>
          <t>介護人材実態調査、職員数調査、事業者ヒアリング、県人材政策、基金要綱</t>
        </is>
      </c>
      <c r="I93" s="8" t="inlineStr">
        <is>
          <t>2026年4～2027年1月</t>
        </is>
      </c>
      <c r="J93" s="8" t="inlineStr">
        <is>
          <t>主管／事業者／県担当</t>
        </is>
      </c>
      <c r="K93" s="8" t="inlineStr">
        <is>
          <t>最優先</t>
        </is>
      </c>
      <c r="L93" s="8" t="inlineStr">
        <is>
          <t>手引き+県要綱更新</t>
        </is>
      </c>
      <c r="M93" s="8" t="str"/>
      <c r="N93" s="8" t="str"/>
      <c r="O93" s="81" t="inlineStr">
        <is>
          <t>確認中</t>
        </is>
      </c>
      <c r="P93" s="80" t="inlineStr">
        <is>
          <t>県事業・地域医療介護総合確保基金の活用を記載</t>
        </is>
      </c>
      <c r="Q93" s="80" t="n"/>
    </row>
    <row r="94" ht="62" customHeight="1">
      <c r="A94" s="8" t="inlineStr">
        <is>
          <t>C093</t>
        </is>
      </c>
      <c r="B94" s="8" t="inlineStr">
        <is>
          <t>Ⅳ</t>
        </is>
      </c>
      <c r="C94" s="8" t="inlineStr">
        <is>
          <t>3.2／13 人材確保・育成</t>
        </is>
      </c>
      <c r="D94" s="8" t="inlineStr">
        <is>
          <t>138,209-223</t>
        </is>
      </c>
      <c r="E94" s="8" t="inlineStr">
        <is>
          <t>介護人材と生産性</t>
        </is>
      </c>
      <c r="F94" s="8" t="inlineStr">
        <is>
          <t>地域医療介護総合確保基金のメニューと県交付要綱を確認したか</t>
        </is>
      </c>
      <c r="G94" s="8" t="inlineStr">
        <is>
          <t>配置可能人員とサービス量・開設予定の制約条件を検証</t>
        </is>
      </c>
      <c r="H94" s="8" t="inlineStr">
        <is>
          <t>介護人材実態調査、職員数調査、事業者ヒアリング、県人材政策、基金要綱</t>
        </is>
      </c>
      <c r="I94" s="8" t="inlineStr">
        <is>
          <t>2026年4～2027年1月</t>
        </is>
      </c>
      <c r="J94" s="8" t="inlineStr">
        <is>
          <t>主管／事業者／県担当</t>
        </is>
      </c>
      <c r="K94" s="8" t="inlineStr">
        <is>
          <t>最優先</t>
        </is>
      </c>
      <c r="L94" s="8" t="inlineStr">
        <is>
          <t>手引き+県要綱更新</t>
        </is>
      </c>
      <c r="M94" s="8" t="str"/>
      <c r="N94" s="8" t="str"/>
      <c r="O94" s="81" t="inlineStr">
        <is>
          <t>確認中</t>
        </is>
      </c>
      <c r="P94" s="80" t="inlineStr">
        <is>
          <t>基金のメニューと県の交付要綱は未確認</t>
        </is>
      </c>
      <c r="Q94" s="80" t="inlineStr">
        <is>
          <t>県に確認</t>
        </is>
      </c>
    </row>
    <row r="95" ht="62" customHeight="1">
      <c r="A95" s="8" t="inlineStr">
        <is>
          <t>C094</t>
        </is>
      </c>
      <c r="B95" s="8" t="inlineStr">
        <is>
          <t>Ⅳ</t>
        </is>
      </c>
      <c r="C95" s="8" t="inlineStr">
        <is>
          <t>3.2／13 人材確保・育成</t>
        </is>
      </c>
      <c r="D95" s="8" t="inlineStr">
        <is>
          <t>138,209-223</t>
        </is>
      </c>
      <c r="E95" s="8" t="inlineStr">
        <is>
          <t>介護人材と生産性</t>
        </is>
      </c>
      <c r="F95" s="8" t="inlineStr">
        <is>
          <t>ICT・介護テクノロジー、ケアプランデータ連携の導入状況を確認したか</t>
        </is>
      </c>
      <c r="G95" s="8" t="inlineStr">
        <is>
          <t>配置可能人員とサービス量・開設予定の制約条件を検証</t>
        </is>
      </c>
      <c r="H95" s="8" t="inlineStr">
        <is>
          <t>介護人材実態調査、職員数調査、事業者ヒアリング、県人材政策、基金要綱</t>
        </is>
      </c>
      <c r="I95" s="8" t="inlineStr">
        <is>
          <t>2026年4～2027年1月</t>
        </is>
      </c>
      <c r="J95" s="8" t="inlineStr">
        <is>
          <t>主管／事業者／県担当</t>
        </is>
      </c>
      <c r="K95" s="8" t="inlineStr">
        <is>
          <t>最優先</t>
        </is>
      </c>
      <c r="L95" s="8" t="inlineStr">
        <is>
          <t>手引き+県要綱更新</t>
        </is>
      </c>
      <c r="M95" s="8" t="str"/>
      <c r="N95" s="8" t="str"/>
      <c r="O95" s="81" t="inlineStr">
        <is>
          <t>確認中</t>
        </is>
      </c>
      <c r="P95" s="80" t="inlineStr">
        <is>
          <t>ICT・介護テクノロジーの導入を記載。ケアプランデータ連携の導入状況は未把握</t>
        </is>
      </c>
      <c r="Q95" s="80" t="inlineStr">
        <is>
          <t>町内事業所の導入状況を確認</t>
        </is>
      </c>
    </row>
    <row r="96" ht="62" customHeight="1">
      <c r="A96" s="8" t="inlineStr">
        <is>
          <t>C095</t>
        </is>
      </c>
      <c r="B96" s="8" t="inlineStr">
        <is>
          <t>Ⅳ</t>
        </is>
      </c>
      <c r="C96" s="8" t="inlineStr">
        <is>
          <t>3.2／13 人材確保・育成</t>
        </is>
      </c>
      <c r="D96" s="8" t="inlineStr">
        <is>
          <t>138,209-223</t>
        </is>
      </c>
      <c r="E96" s="8" t="inlineStr">
        <is>
          <t>介護人材と生産性</t>
        </is>
      </c>
      <c r="F96" s="8" t="inlineStr">
        <is>
          <t>介護認定事務・文書・申請等の効率化実績を点検したか</t>
        </is>
      </c>
      <c r="G96" s="8" t="inlineStr">
        <is>
          <t>配置可能人員とサービス量・開設予定の制約条件を検証</t>
        </is>
      </c>
      <c r="H96" s="8" t="inlineStr">
        <is>
          <t>介護人材実態調査、職員数調査、事業者ヒアリング、県人材政策、基金要綱</t>
        </is>
      </c>
      <c r="I96" s="8" t="inlineStr">
        <is>
          <t>2026年4～2027年1月</t>
        </is>
      </c>
      <c r="J96" s="8" t="inlineStr">
        <is>
          <t>主管／事業者／県担当</t>
        </is>
      </c>
      <c r="K96" s="8" t="inlineStr">
        <is>
          <t>最優先</t>
        </is>
      </c>
      <c r="L96" s="8" t="inlineStr">
        <is>
          <t>手引き+県要綱更新</t>
        </is>
      </c>
      <c r="M96" s="8" t="str"/>
      <c r="N96" s="8" t="str"/>
      <c r="O96" s="83" t="inlineStr">
        <is>
          <t>未確認</t>
        </is>
      </c>
      <c r="P96" s="80" t="inlineStr">
        <is>
          <t>認定事務・文書・申請の効率化の実績は未点検</t>
        </is>
      </c>
      <c r="Q96" s="80" t="n"/>
    </row>
    <row r="97" ht="62" customHeight="1">
      <c r="A97" s="8" t="inlineStr">
        <is>
          <t>C096</t>
        </is>
      </c>
      <c r="B97" s="8" t="inlineStr">
        <is>
          <t>Ⅳ</t>
        </is>
      </c>
      <c r="C97" s="8" t="inlineStr">
        <is>
          <t>3.2／13 人材確保・育成</t>
        </is>
      </c>
      <c r="D97" s="8" t="inlineStr">
        <is>
          <t>138,209-223</t>
        </is>
      </c>
      <c r="E97" s="8" t="inlineStr">
        <is>
          <t>介護人材と生産性</t>
        </is>
      </c>
      <c r="F97" s="8" t="inlineStr">
        <is>
          <t>人材施策のKPIを採用人数だけでなく定着率・稼働率等で設定したか</t>
        </is>
      </c>
      <c r="G97" s="8" t="inlineStr">
        <is>
          <t>配置可能人員とサービス量・開設予定の制約条件を検証</t>
        </is>
      </c>
      <c r="H97" s="8" t="inlineStr">
        <is>
          <t>介護人材実態調査、職員数調査、事業者ヒアリング、県人材政策、基金要綱</t>
        </is>
      </c>
      <c r="I97" s="8" t="inlineStr">
        <is>
          <t>2026年4～2027年1月</t>
        </is>
      </c>
      <c r="J97" s="8" t="inlineStr">
        <is>
          <t>主管／事業者／県担当</t>
        </is>
      </c>
      <c r="K97" s="8" t="inlineStr">
        <is>
          <t>最優先</t>
        </is>
      </c>
      <c r="L97" s="8" t="inlineStr">
        <is>
          <t>手引き+県要綱更新</t>
        </is>
      </c>
      <c r="M97" s="8" t="str"/>
      <c r="N97" s="8" t="str"/>
      <c r="O97" s="81" t="inlineStr">
        <is>
          <t>確認中</t>
        </is>
      </c>
      <c r="P97" s="80" t="inlineStr">
        <is>
          <t>人材の指標は採用以外（定着率・稼働率）を置いていない</t>
        </is>
      </c>
      <c r="Q97" s="80" t="inlineStr">
        <is>
          <t>成果指標に定着の指標を足すか協議</t>
        </is>
      </c>
    </row>
    <row r="98" ht="62" customHeight="1">
      <c r="A98" s="8" t="inlineStr">
        <is>
          <t>C097</t>
        </is>
      </c>
      <c r="B98" s="8" t="inlineStr">
        <is>
          <t>Ⅳ</t>
        </is>
      </c>
      <c r="C98" s="8" t="inlineStr">
        <is>
          <t>4 地域密着型サービス</t>
        </is>
      </c>
      <c r="D98" s="8" t="inlineStr">
        <is>
          <t>140-143</t>
        </is>
      </c>
      <c r="E98" s="8" t="inlineStr">
        <is>
          <t>サービス整備</t>
        </is>
      </c>
      <c r="F98" s="8" t="inlineStr">
        <is>
          <t>定期巡回・小規模多機能・看護小規模多機能等の地域需要を検討したか</t>
        </is>
      </c>
      <c r="G98" s="8" t="inlineStr">
        <is>
          <t>ニーズと整備可能性が両立し、県計画とも整合</t>
        </is>
      </c>
      <c r="H98" s="8" t="inlineStr">
        <is>
          <t>指定事業所台帳、整備計画、利用率、事業者意向、移動条件</t>
        </is>
      </c>
      <c r="I98" s="8" t="inlineStr">
        <is>
          <t>2026年6～12月</t>
        </is>
      </c>
      <c r="J98" s="8" t="inlineStr">
        <is>
          <t>主管／指定担当</t>
        </is>
      </c>
      <c r="K98" s="8" t="inlineStr">
        <is>
          <t>A</t>
        </is>
      </c>
      <c r="L98" s="8" t="inlineStr">
        <is>
          <t>手引き</t>
        </is>
      </c>
      <c r="M98" s="8" t="str"/>
      <c r="N98" s="8" t="str"/>
      <c r="O98" s="81" t="inlineStr">
        <is>
          <t>確認中</t>
        </is>
      </c>
      <c r="P98" s="80" t="inlineStr">
        <is>
          <t>第6章8で定期巡回・小規模多機能・看護小規模多機能の必要利用定員総数を検討</t>
        </is>
      </c>
      <c r="Q98" s="80" t="n"/>
    </row>
    <row r="99" ht="62" customHeight="1">
      <c r="A99" s="8" t="inlineStr">
        <is>
          <t>C098</t>
        </is>
      </c>
      <c r="B99" s="8" t="inlineStr">
        <is>
          <t>Ⅳ</t>
        </is>
      </c>
      <c r="C99" s="8" t="inlineStr">
        <is>
          <t>4 地域密着型サービス</t>
        </is>
      </c>
      <c r="D99" s="8" t="inlineStr">
        <is>
          <t>140-143</t>
        </is>
      </c>
      <c r="E99" s="8" t="inlineStr">
        <is>
          <t>サービス整備</t>
        </is>
      </c>
      <c r="F99" s="8" t="inlineStr">
        <is>
          <t>圏域内のサービス空白・夜間対応・移動時間を評価したか</t>
        </is>
      </c>
      <c r="G99" s="8" t="inlineStr">
        <is>
          <t>ニーズと整備可能性が両立し、県計画とも整合</t>
        </is>
      </c>
      <c r="H99" s="8" t="inlineStr">
        <is>
          <t>指定事業所台帳、整備計画、利用率、事業者意向、移動条件</t>
        </is>
      </c>
      <c r="I99" s="8" t="inlineStr">
        <is>
          <t>2026年6～12月</t>
        </is>
      </c>
      <c r="J99" s="8" t="inlineStr">
        <is>
          <t>主管／指定担当</t>
        </is>
      </c>
      <c r="K99" s="8" t="inlineStr">
        <is>
          <t>A</t>
        </is>
      </c>
      <c r="L99" s="8" t="inlineStr">
        <is>
          <t>手引き</t>
        </is>
      </c>
      <c r="M99" s="8" t="str"/>
      <c r="N99" s="8" t="str"/>
      <c r="O99" s="81" t="inlineStr">
        <is>
          <t>確認中</t>
        </is>
      </c>
      <c r="P99" s="80" t="inlineStr">
        <is>
          <t>夜間対応・移動時間の評価は一部</t>
        </is>
      </c>
      <c r="Q99" s="80" t="n"/>
    </row>
    <row r="100" ht="62" customHeight="1">
      <c r="A100" s="8" t="inlineStr">
        <is>
          <t>C099</t>
        </is>
      </c>
      <c r="B100" s="8" t="inlineStr">
        <is>
          <t>Ⅳ</t>
        </is>
      </c>
      <c r="C100" s="8" t="inlineStr">
        <is>
          <t>4 地域密着型サービス</t>
        </is>
      </c>
      <c r="D100" s="8" t="inlineStr">
        <is>
          <t>140-143</t>
        </is>
      </c>
      <c r="E100" s="8" t="inlineStr">
        <is>
          <t>サービス整備</t>
        </is>
      </c>
      <c r="F100" s="8" t="inlineStr">
        <is>
          <t>施設や事業所の既存定員・稼働率・休廃止予定を確認したか</t>
        </is>
      </c>
      <c r="G100" s="8" t="inlineStr">
        <is>
          <t>ニーズと整備可能性が両立し、県計画とも整合</t>
        </is>
      </c>
      <c r="H100" s="8" t="inlineStr">
        <is>
          <t>指定事業所台帳、整備計画、利用率、事業者意向、移動条件</t>
        </is>
      </c>
      <c r="I100" s="8" t="inlineStr">
        <is>
          <t>2026年6～12月</t>
        </is>
      </c>
      <c r="J100" s="8" t="inlineStr">
        <is>
          <t>主管／指定担当</t>
        </is>
      </c>
      <c r="K100" s="8" t="inlineStr">
        <is>
          <t>A</t>
        </is>
      </c>
      <c r="L100" s="8" t="inlineStr">
        <is>
          <t>手引き</t>
        </is>
      </c>
      <c r="M100" s="8" t="str"/>
      <c r="N100" s="8" t="str"/>
      <c r="O100" s="82" t="inlineStr">
        <is>
          <t>資料徴求中</t>
        </is>
      </c>
      <c r="P100" s="80" t="inlineStr">
        <is>
          <t>既存事業所の定員・稼働率・休廃止予定は町に照会中（確認事項№42・№48）</t>
        </is>
      </c>
      <c r="Q100" s="80" t="n"/>
    </row>
    <row r="101" ht="62" customHeight="1">
      <c r="A101" s="8" t="inlineStr">
        <is>
          <t>C100</t>
        </is>
      </c>
      <c r="B101" s="8" t="inlineStr">
        <is>
          <t>Ⅳ</t>
        </is>
      </c>
      <c r="C101" s="8" t="inlineStr">
        <is>
          <t>4 地域密着型サービス</t>
        </is>
      </c>
      <c r="D101" s="8" t="inlineStr">
        <is>
          <t>140-143</t>
        </is>
      </c>
      <c r="E101" s="8" t="inlineStr">
        <is>
          <t>サービス整備</t>
        </is>
      </c>
      <c r="F101" s="8" t="inlineStr">
        <is>
          <t>事業者参入意向と報酬・人員配置から実現可能性を点検したか</t>
        </is>
      </c>
      <c r="G101" s="8" t="inlineStr">
        <is>
          <t>ニーズと整備可能性が両立し、県計画とも整合</t>
        </is>
      </c>
      <c r="H101" s="8" t="inlineStr">
        <is>
          <t>指定事業所台帳、整備計画、利用率、事業者意向、移動条件</t>
        </is>
      </c>
      <c r="I101" s="8" t="inlineStr">
        <is>
          <t>2026年6～12月</t>
        </is>
      </c>
      <c r="J101" s="8" t="inlineStr">
        <is>
          <t>主管／指定担当</t>
        </is>
      </c>
      <c r="K101" s="8" t="inlineStr">
        <is>
          <t>A</t>
        </is>
      </c>
      <c r="L101" s="8" t="inlineStr">
        <is>
          <t>手引き</t>
        </is>
      </c>
      <c r="M101" s="8" t="str"/>
      <c r="N101" s="8" t="str"/>
      <c r="O101" s="83" t="inlineStr">
        <is>
          <t>未確認</t>
        </is>
      </c>
      <c r="P101" s="80" t="inlineStr">
        <is>
          <t>事業者の参入意向の確認は未実施</t>
        </is>
      </c>
      <c r="Q101" s="80" t="inlineStr">
        <is>
          <t>C054と併せて照会</t>
        </is>
      </c>
    </row>
    <row r="102" ht="62" customHeight="1">
      <c r="A102" s="8" t="inlineStr">
        <is>
          <t>C101</t>
        </is>
      </c>
      <c r="B102" s="8" t="inlineStr">
        <is>
          <t>Ⅳ</t>
        </is>
      </c>
      <c r="C102" s="8" t="inlineStr">
        <is>
          <t>4 地域密着型サービス</t>
        </is>
      </c>
      <c r="D102" s="8" t="inlineStr">
        <is>
          <t>140-143</t>
        </is>
      </c>
      <c r="E102" s="8" t="inlineStr">
        <is>
          <t>サービス整備</t>
        </is>
      </c>
      <c r="F102" s="8" t="inlineStr">
        <is>
          <t>施設定員数と在宅・居住系の代替関係を検討したか</t>
        </is>
      </c>
      <c r="G102" s="8" t="inlineStr">
        <is>
          <t>ニーズと整備可能性が両立し、県計画とも整合</t>
        </is>
      </c>
      <c r="H102" s="8" t="inlineStr">
        <is>
          <t>指定事業所台帳、整備計画、利用率、事業者意向、移動条件</t>
        </is>
      </c>
      <c r="I102" s="8" t="inlineStr">
        <is>
          <t>2026年6～12月</t>
        </is>
      </c>
      <c r="J102" s="8" t="inlineStr">
        <is>
          <t>主管／指定担当</t>
        </is>
      </c>
      <c r="K102" s="8" t="inlineStr">
        <is>
          <t>A</t>
        </is>
      </c>
      <c r="L102" s="8" t="inlineStr">
        <is>
          <t>手引き</t>
        </is>
      </c>
      <c r="M102" s="8" t="str"/>
      <c r="N102" s="8" t="str"/>
      <c r="O102" s="81" t="inlineStr">
        <is>
          <t>確認中</t>
        </is>
      </c>
      <c r="P102" s="80" t="inlineStr">
        <is>
          <t>施設・居住系・在宅の代替関係は一部</t>
        </is>
      </c>
      <c r="Q102" s="80" t="n"/>
    </row>
    <row r="103" ht="62" customHeight="1">
      <c r="A103" s="8" t="inlineStr">
        <is>
          <t>C102</t>
        </is>
      </c>
      <c r="B103" s="8" t="inlineStr">
        <is>
          <t>Ⅳ</t>
        </is>
      </c>
      <c r="C103" s="8" t="inlineStr">
        <is>
          <t>5 住まい</t>
        </is>
      </c>
      <c r="D103" s="8" t="inlineStr">
        <is>
          <t>144-149</t>
        </is>
      </c>
      <c r="E103" s="8" t="inlineStr">
        <is>
          <t>住まい・居住支援</t>
        </is>
      </c>
      <c r="F103" s="8" t="inlineStr">
        <is>
          <t>有料老人ホーム・サ高住の入居定員・介護サービス利用を把握したか</t>
        </is>
      </c>
      <c r="G103" s="8" t="inlineStr">
        <is>
          <t>住まい総量と介護保険の整備見込を二重計上しない</t>
        </is>
      </c>
      <c r="H103" s="8" t="inlineStr">
        <is>
          <t>県有料老人ホーム名簿、サ高住登録情報、居住支援法人等情報、住宅部門資料、居所変更実態調査</t>
        </is>
      </c>
      <c r="I103" s="8" t="inlineStr">
        <is>
          <t>2026年4～12月</t>
        </is>
      </c>
      <c r="J103" s="8" t="inlineStr">
        <is>
          <t>介護／住宅／福祉</t>
        </is>
      </c>
      <c r="K103" s="8" t="inlineStr">
        <is>
          <t>最優先</t>
        </is>
      </c>
      <c r="L103" s="8" t="inlineStr">
        <is>
          <t>手引き</t>
        </is>
      </c>
      <c r="M103" s="8" t="str"/>
      <c r="N103" s="8" t="str"/>
      <c r="O103" s="82" t="inlineStr">
        <is>
          <t>資料徴求中</t>
        </is>
      </c>
      <c r="P103" s="80" t="inlineStr">
        <is>
          <t>有料老人ホーム・サ高住の有無と入居定員は町に照会中（確認事項№32。第117条第5項の勘案義務）</t>
        </is>
      </c>
      <c r="Q103" s="80" t="n"/>
    </row>
    <row r="104" ht="62" customHeight="1">
      <c r="A104" s="8" t="inlineStr">
        <is>
          <t>C103</t>
        </is>
      </c>
      <c r="B104" s="8" t="inlineStr">
        <is>
          <t>Ⅳ</t>
        </is>
      </c>
      <c r="C104" s="8" t="inlineStr">
        <is>
          <t>5 住まい</t>
        </is>
      </c>
      <c r="D104" s="8" t="inlineStr">
        <is>
          <t>144-149</t>
        </is>
      </c>
      <c r="E104" s="8" t="inlineStr">
        <is>
          <t>住まい・居住支援</t>
        </is>
      </c>
      <c r="F104" s="8" t="inlineStr">
        <is>
          <t>特定施設指定の有無を区別してサービス量見込に反映したか</t>
        </is>
      </c>
      <c r="G104" s="8" t="inlineStr">
        <is>
          <t>住まい総量と介護保険の整備見込を二重計上しない</t>
        </is>
      </c>
      <c r="H104" s="8" t="inlineStr">
        <is>
          <t>県有料老人ホーム名簿、サ高住登録情報、居住支援法人等情報、住宅部門資料、居所変更実態調査</t>
        </is>
      </c>
      <c r="I104" s="8" t="inlineStr">
        <is>
          <t>2026年4～12月</t>
        </is>
      </c>
      <c r="J104" s="8" t="inlineStr">
        <is>
          <t>介護／住宅／福祉</t>
        </is>
      </c>
      <c r="K104" s="8" t="inlineStr">
        <is>
          <t>最優先</t>
        </is>
      </c>
      <c r="L104" s="8" t="inlineStr">
        <is>
          <t>手引き</t>
        </is>
      </c>
      <c r="M104" s="8" t="str"/>
      <c r="N104" s="8" t="str"/>
      <c r="O104" s="79" t="inlineStr">
        <is>
          <t>完了</t>
        </is>
      </c>
      <c r="P104" s="80" t="inlineStr">
        <is>
          <t>第117条第5項の勘案の対象が特定施設入居者生活介護等の指定を受けていないものに限ることを区別</t>
        </is>
      </c>
      <c r="Q104" s="80" t="n"/>
    </row>
    <row r="105" ht="62" customHeight="1">
      <c r="A105" s="8" t="inlineStr">
        <is>
          <t>C104</t>
        </is>
      </c>
      <c r="B105" s="8" t="inlineStr">
        <is>
          <t>Ⅳ</t>
        </is>
      </c>
      <c r="C105" s="8" t="inlineStr">
        <is>
          <t>5 住まい</t>
        </is>
      </c>
      <c r="D105" s="8" t="inlineStr">
        <is>
          <t>144-149</t>
        </is>
      </c>
      <c r="E105" s="8" t="inlineStr">
        <is>
          <t>住まい・居住支援</t>
        </is>
      </c>
      <c r="F105" s="8" t="inlineStr">
        <is>
          <t>養護・軽費・特養など老人福祉施設の整備状況を確認したか</t>
        </is>
      </c>
      <c r="G105" s="8" t="inlineStr">
        <is>
          <t>住まい総量と介護保険の整備見込を二重計上しない</t>
        </is>
      </c>
      <c r="H105" s="8" t="inlineStr">
        <is>
          <t>県有料老人ホーム名簿、サ高住登録情報、居住支援法人等情報、住宅部門資料、居所変更実態調査</t>
        </is>
      </c>
      <c r="I105" s="8" t="inlineStr">
        <is>
          <t>2026年4～12月</t>
        </is>
      </c>
      <c r="J105" s="8" t="inlineStr">
        <is>
          <t>介護／住宅／福祉</t>
        </is>
      </c>
      <c r="K105" s="8" t="inlineStr">
        <is>
          <t>最優先</t>
        </is>
      </c>
      <c r="L105" s="8" t="inlineStr">
        <is>
          <t>手引き</t>
        </is>
      </c>
      <c r="M105" s="8" t="str"/>
      <c r="N105" s="8" t="str"/>
      <c r="O105" s="81" t="inlineStr">
        <is>
          <t>確認中</t>
        </is>
      </c>
      <c r="P105" s="80" t="inlineStr">
        <is>
          <t>第6章9で養護・軽費・老人福祉センターを扱う。量と措置の実績は町データ待ち</t>
        </is>
      </c>
      <c r="Q105" s="80" t="n"/>
    </row>
    <row r="106" ht="62" customHeight="1">
      <c r="A106" s="8" t="inlineStr">
        <is>
          <t>C105</t>
        </is>
      </c>
      <c r="B106" s="8" t="inlineStr">
        <is>
          <t>Ⅳ</t>
        </is>
      </c>
      <c r="C106" s="8" t="inlineStr">
        <is>
          <t>5 住まい</t>
        </is>
      </c>
      <c r="D106" s="8" t="inlineStr">
        <is>
          <t>144-149</t>
        </is>
      </c>
      <c r="E106" s="8" t="inlineStr">
        <is>
          <t>住まい・居住支援</t>
        </is>
      </c>
      <c r="F106" s="8" t="inlineStr">
        <is>
          <t>高齢者の賃貸入居困難・保証人・家賃滞納等の居住課題を把握したか</t>
        </is>
      </c>
      <c r="G106" s="8" t="inlineStr">
        <is>
          <t>住まい総量と介護保険の整備見込を二重計上しない</t>
        </is>
      </c>
      <c r="H106" s="8" t="inlineStr">
        <is>
          <t>県有料老人ホーム名簿、サ高住登録情報、居住支援法人等情報、住宅部門資料、居所変更実態調査</t>
        </is>
      </c>
      <c r="I106" s="8" t="inlineStr">
        <is>
          <t>2026年4～12月</t>
        </is>
      </c>
      <c r="J106" s="8" t="inlineStr">
        <is>
          <t>介護／住宅／福祉</t>
        </is>
      </c>
      <c r="K106" s="8" t="inlineStr">
        <is>
          <t>最優先</t>
        </is>
      </c>
      <c r="L106" s="8" t="inlineStr">
        <is>
          <t>手引き</t>
        </is>
      </c>
      <c r="M106" s="8" t="str"/>
      <c r="N106" s="8" t="str"/>
      <c r="O106" s="83" t="inlineStr">
        <is>
          <t>未確認</t>
        </is>
      </c>
      <c r="P106" s="80" t="inlineStr">
        <is>
          <t>賃貸住宅への入居困難・保証人等の居住課題は未把握</t>
        </is>
      </c>
      <c r="Q106" s="80" t="n"/>
    </row>
    <row r="107" ht="62" customHeight="1">
      <c r="A107" s="8" t="inlineStr">
        <is>
          <t>C106</t>
        </is>
      </c>
      <c r="B107" s="8" t="inlineStr">
        <is>
          <t>Ⅳ</t>
        </is>
      </c>
      <c r="C107" s="8" t="inlineStr">
        <is>
          <t>5 住まい</t>
        </is>
      </c>
      <c r="D107" s="8" t="inlineStr">
        <is>
          <t>144-149</t>
        </is>
      </c>
      <c r="E107" s="8" t="inlineStr">
        <is>
          <t>住まい・居住支援</t>
        </is>
      </c>
      <c r="F107" s="8" t="inlineStr">
        <is>
          <t>居住支援法人・居住支援協議会・住宅部局の連携状況を確認したか</t>
        </is>
      </c>
      <c r="G107" s="8" t="inlineStr">
        <is>
          <t>住まい総量と介護保険の整備見込を二重計上しない</t>
        </is>
      </c>
      <c r="H107" s="8" t="inlineStr">
        <is>
          <t>県有料老人ホーム名簿、サ高住登録情報、居住支援法人等情報、住宅部門資料、居所変更実態調査</t>
        </is>
      </c>
      <c r="I107" s="8" t="inlineStr">
        <is>
          <t>2026年4～12月</t>
        </is>
      </c>
      <c r="J107" s="8" t="inlineStr">
        <is>
          <t>介護／住宅／福祉</t>
        </is>
      </c>
      <c r="K107" s="8" t="inlineStr">
        <is>
          <t>最優先</t>
        </is>
      </c>
      <c r="L107" s="8" t="inlineStr">
        <is>
          <t>手引き</t>
        </is>
      </c>
      <c r="M107" s="8" t="str"/>
      <c r="N107" s="8" t="str"/>
      <c r="O107" s="81" t="inlineStr">
        <is>
          <t>確認中</t>
        </is>
      </c>
      <c r="P107" s="80" t="inlineStr">
        <is>
          <t>居住支援協議会の設置の有無を確認事項として記載</t>
        </is>
      </c>
      <c r="Q107" s="80" t="n"/>
    </row>
    <row r="108" ht="62" customHeight="1">
      <c r="A108" s="8" t="inlineStr">
        <is>
          <t>C107</t>
        </is>
      </c>
      <c r="B108" s="8" t="inlineStr">
        <is>
          <t>Ⅳ</t>
        </is>
      </c>
      <c r="C108" s="8" t="inlineStr">
        <is>
          <t>5 住まい</t>
        </is>
      </c>
      <c r="D108" s="8" t="inlineStr">
        <is>
          <t>144-149</t>
        </is>
      </c>
      <c r="E108" s="8" t="inlineStr">
        <is>
          <t>住まい・居住支援</t>
        </is>
      </c>
      <c r="F108" s="8" t="inlineStr">
        <is>
          <t>入院・入所・居所変更・自宅継続の選択肢を整理したか</t>
        </is>
      </c>
      <c r="G108" s="8" t="inlineStr">
        <is>
          <t>住まい総量と介護保険の整備見込を二重計上しない</t>
        </is>
      </c>
      <c r="H108" s="8" t="inlineStr">
        <is>
          <t>県有料老人ホーム名簿、サ高住登録情報、居住支援法人等情報、住宅部門資料、居所変更実態調査</t>
        </is>
      </c>
      <c r="I108" s="8" t="inlineStr">
        <is>
          <t>2026年4～12月</t>
        </is>
      </c>
      <c r="J108" s="8" t="inlineStr">
        <is>
          <t>介護／住宅／福祉</t>
        </is>
      </c>
      <c r="K108" s="8" t="inlineStr">
        <is>
          <t>最優先</t>
        </is>
      </c>
      <c r="L108" s="8" t="inlineStr">
        <is>
          <t>手引き</t>
        </is>
      </c>
      <c r="M108" s="8" t="str"/>
      <c r="N108" s="8" t="str"/>
      <c r="O108" s="81" t="inlineStr">
        <is>
          <t>確認中</t>
        </is>
      </c>
      <c r="P108" s="80" t="inlineStr">
        <is>
          <t>居所の選択肢の整理は一部</t>
        </is>
      </c>
      <c r="Q108" s="80" t="n"/>
    </row>
    <row r="109" ht="62" customHeight="1">
      <c r="A109" s="8" t="inlineStr">
        <is>
          <t>C108</t>
        </is>
      </c>
      <c r="B109" s="8" t="inlineStr">
        <is>
          <t>Ⅳ</t>
        </is>
      </c>
      <c r="C109" s="8" t="inlineStr">
        <is>
          <t>5 住まい</t>
        </is>
      </c>
      <c r="D109" s="8" t="inlineStr">
        <is>
          <t>144-149</t>
        </is>
      </c>
      <c r="E109" s="8" t="inlineStr">
        <is>
          <t>住まい・居住支援</t>
        </is>
      </c>
      <c r="F109" s="8" t="inlineStr">
        <is>
          <t>在宅医療・介護・生活支援が住宅施策と接続しているか</t>
        </is>
      </c>
      <c r="G109" s="8" t="inlineStr">
        <is>
          <t>住まい総量と介護保険の整備見込を二重計上しない</t>
        </is>
      </c>
      <c r="H109" s="8" t="inlineStr">
        <is>
          <t>県有料老人ホーム名簿、サ高住登録情報、居住支援法人等情報、住宅部門資料、居所変更実態調査</t>
        </is>
      </c>
      <c r="I109" s="8" t="inlineStr">
        <is>
          <t>2026年4～12月</t>
        </is>
      </c>
      <c r="J109" s="8" t="inlineStr">
        <is>
          <t>介護／住宅／福祉</t>
        </is>
      </c>
      <c r="K109" s="8" t="inlineStr">
        <is>
          <t>最優先</t>
        </is>
      </c>
      <c r="L109" s="8" t="inlineStr">
        <is>
          <t>手引き</t>
        </is>
      </c>
      <c r="M109" s="8" t="str"/>
      <c r="N109" s="8" t="str"/>
      <c r="O109" s="81" t="inlineStr">
        <is>
          <t>確認中</t>
        </is>
      </c>
      <c r="P109" s="80" t="inlineStr">
        <is>
          <t>在宅医療・介護と住宅施策の接続は一部（第2章5）</t>
        </is>
      </c>
      <c r="Q109" s="80" t="n"/>
    </row>
    <row r="110" ht="62" customHeight="1">
      <c r="A110" s="8" t="inlineStr">
        <is>
          <t>C109</t>
        </is>
      </c>
      <c r="B110" s="8" t="inlineStr">
        <is>
          <t>Ⅳ</t>
        </is>
      </c>
      <c r="C110" s="8" t="inlineStr">
        <is>
          <t>6 総合事業</t>
        </is>
      </c>
      <c r="D110" s="8" t="inlineStr">
        <is>
          <t>150-164</t>
        </is>
      </c>
      <c r="E110" s="8" t="inlineStr">
        <is>
          <t>介護予防・日常生活支援</t>
        </is>
      </c>
      <c r="F110" s="8" t="inlineStr">
        <is>
          <t>訪問型・通所型の類型、単価、実績を把握したか</t>
        </is>
      </c>
      <c r="G110" s="8" t="inlineStr">
        <is>
          <t>量だけでなく到達率・改善率・継続性を検証</t>
        </is>
      </c>
      <c r="H110" s="8" t="inlineStr">
        <is>
          <t>総合事業決算・実績、実施要綱、ニーズ調査、通いの場台帳、事業評価</t>
        </is>
      </c>
      <c r="I110" s="8" t="inlineStr">
        <is>
          <t>2026年4～12月</t>
        </is>
      </c>
      <c r="J110" s="8" t="inlineStr">
        <is>
          <t>介護予防／包括</t>
        </is>
      </c>
      <c r="K110" s="8" t="inlineStr">
        <is>
          <t>A</t>
        </is>
      </c>
      <c r="L110" s="8" t="inlineStr">
        <is>
          <t>手引き</t>
        </is>
      </c>
      <c r="M110" s="8" t="str"/>
      <c r="N110" s="8" t="str"/>
      <c r="O110" s="79" t="inlineStr">
        <is>
          <t>完了</t>
        </is>
      </c>
      <c r="P110" s="80" t="inlineStr">
        <is>
          <t>訪問型・通所型の類型と実績を国保連月報（Ａ１〜ＡＦ）と総合事業ワークシートで把握</t>
        </is>
      </c>
      <c r="Q110" s="80" t="n"/>
    </row>
    <row r="111" ht="62" customHeight="1">
      <c r="A111" s="8" t="inlineStr">
        <is>
          <t>C110</t>
        </is>
      </c>
      <c r="B111" s="8" t="inlineStr">
        <is>
          <t>Ⅳ</t>
        </is>
      </c>
      <c r="C111" s="8" t="inlineStr">
        <is>
          <t>6 総合事業</t>
        </is>
      </c>
      <c r="D111" s="8" t="inlineStr">
        <is>
          <t>150-164</t>
        </is>
      </c>
      <c r="E111" s="8" t="inlineStr">
        <is>
          <t>介護予防・日常生活支援</t>
        </is>
      </c>
      <c r="F111" s="8" t="inlineStr">
        <is>
          <t>住民主体・短期集中・通所・訪問など供給状況を把握したか</t>
        </is>
      </c>
      <c r="G111" s="8" t="inlineStr">
        <is>
          <t>量だけでなく到達率・改善率・継続性を検証</t>
        </is>
      </c>
      <c r="H111" s="8" t="inlineStr">
        <is>
          <t>総合事業決算・実績、実施要綱、ニーズ調査、通いの場台帳、事業評価</t>
        </is>
      </c>
      <c r="I111" s="8" t="inlineStr">
        <is>
          <t>2026年4～12月</t>
        </is>
      </c>
      <c r="J111" s="8" t="inlineStr">
        <is>
          <t>介護予防／包括</t>
        </is>
      </c>
      <c r="K111" s="8" t="inlineStr">
        <is>
          <t>A</t>
        </is>
      </c>
      <c r="L111" s="8" t="inlineStr">
        <is>
          <t>手引き</t>
        </is>
      </c>
      <c r="M111" s="8" t="str"/>
      <c r="N111" s="8" t="str"/>
      <c r="O111" s="81" t="inlineStr">
        <is>
          <t>確認中</t>
        </is>
      </c>
      <c r="P111" s="80" t="inlineStr">
        <is>
          <t>住民主体（訪問型Ｂ）の実績を把握。短期集中（Ｃ）は未把握</t>
        </is>
      </c>
      <c r="Q111" s="80" t="n"/>
    </row>
    <row r="112" ht="62" customHeight="1">
      <c r="A112" s="8" t="inlineStr">
        <is>
          <t>C111</t>
        </is>
      </c>
      <c r="B112" s="8" t="inlineStr">
        <is>
          <t>Ⅳ</t>
        </is>
      </c>
      <c r="C112" s="8" t="inlineStr">
        <is>
          <t>6 総合事業</t>
        </is>
      </c>
      <c r="D112" s="8" t="inlineStr">
        <is>
          <t>150-164</t>
        </is>
      </c>
      <c r="E112" s="8" t="inlineStr">
        <is>
          <t>介護予防・日常生活支援</t>
        </is>
      </c>
      <c r="F112" s="8" t="inlineStr">
        <is>
          <t>生活機能・閉じこもり等のニーズ調査指標を介護予防計画に反映したか</t>
        </is>
      </c>
      <c r="G112" s="8" t="inlineStr">
        <is>
          <t>量だけでなく到達率・改善率・継続性を検証</t>
        </is>
      </c>
      <c r="H112" s="8" t="inlineStr">
        <is>
          <t>総合事業決算・実績、実施要綱、ニーズ調査、通いの場台帳、事業評価</t>
        </is>
      </c>
      <c r="I112" s="8" t="inlineStr">
        <is>
          <t>2026年4～12月</t>
        </is>
      </c>
      <c r="J112" s="8" t="inlineStr">
        <is>
          <t>介護予防／包括</t>
        </is>
      </c>
      <c r="K112" s="8" t="inlineStr">
        <is>
          <t>A</t>
        </is>
      </c>
      <c r="L112" s="8" t="inlineStr">
        <is>
          <t>手引き</t>
        </is>
      </c>
      <c r="M112" s="8" t="str"/>
      <c r="N112" s="8" t="str"/>
      <c r="O112" s="79" t="inlineStr">
        <is>
          <t>完了</t>
        </is>
      </c>
      <c r="P112" s="80" t="inlineStr">
        <is>
          <t>ニーズ調査のリスク該当率を基本目標1に反映</t>
        </is>
      </c>
      <c r="Q112" s="80" t="n"/>
    </row>
    <row r="113" ht="62" customHeight="1">
      <c r="A113" s="8" t="inlineStr">
        <is>
          <t>C112</t>
        </is>
      </c>
      <c r="B113" s="8" t="inlineStr">
        <is>
          <t>Ⅳ</t>
        </is>
      </c>
      <c r="C113" s="8" t="inlineStr">
        <is>
          <t>6 総合事業</t>
        </is>
      </c>
      <c r="D113" s="8" t="inlineStr">
        <is>
          <t>150-164</t>
        </is>
      </c>
      <c r="E113" s="8" t="inlineStr">
        <is>
          <t>介護予防・日常生活支援</t>
        </is>
      </c>
      <c r="F113" s="8" t="inlineStr">
        <is>
          <t>一般介護予防事業の通いの場・参加率を圏域別に把握したか</t>
        </is>
      </c>
      <c r="G113" s="8" t="inlineStr">
        <is>
          <t>量だけでなく到達率・改善率・継続性を検証</t>
        </is>
      </c>
      <c r="H113" s="8" t="inlineStr">
        <is>
          <t>総合事業決算・実績、実施要綱、ニーズ調査、通いの場台帳、事業評価</t>
        </is>
      </c>
      <c r="I113" s="8" t="inlineStr">
        <is>
          <t>2026年4～12月</t>
        </is>
      </c>
      <c r="J113" s="8" t="inlineStr">
        <is>
          <t>介護予防／包括</t>
        </is>
      </c>
      <c r="K113" s="8" t="inlineStr">
        <is>
          <t>A</t>
        </is>
      </c>
      <c r="L113" s="8" t="inlineStr">
        <is>
          <t>手引き</t>
        </is>
      </c>
      <c r="M113" s="8" t="str"/>
      <c r="N113" s="8" t="str"/>
      <c r="O113" s="79" t="inlineStr">
        <is>
          <t>完了</t>
        </is>
      </c>
      <c r="P113" s="80" t="inlineStr">
        <is>
          <t>通いの場の参加率（週1回以上5.5％）と、見える化の0か所との食い違いを記載（1圏域）</t>
        </is>
      </c>
      <c r="Q113" s="80" t="n"/>
    </row>
    <row r="114" ht="62" customHeight="1">
      <c r="A114" s="8" t="inlineStr">
        <is>
          <t>C113</t>
        </is>
      </c>
      <c r="B114" s="8" t="inlineStr">
        <is>
          <t>Ⅳ</t>
        </is>
      </c>
      <c r="C114" s="8" t="inlineStr">
        <is>
          <t>6 総合事業</t>
        </is>
      </c>
      <c r="D114" s="8" t="inlineStr">
        <is>
          <t>150-164</t>
        </is>
      </c>
      <c r="E114" s="8" t="inlineStr">
        <is>
          <t>介護予防・日常生活支援</t>
        </is>
      </c>
      <c r="F114" s="8" t="inlineStr">
        <is>
          <t>移動支援の需要と担い手・安全管理を確認したか</t>
        </is>
      </c>
      <c r="G114" s="8" t="inlineStr">
        <is>
          <t>量だけでなく到達率・改善率・継続性を検証</t>
        </is>
      </c>
      <c r="H114" s="8" t="inlineStr">
        <is>
          <t>総合事業決算・実績、実施要綱、ニーズ調査、通いの場台帳、事業評価</t>
        </is>
      </c>
      <c r="I114" s="8" t="inlineStr">
        <is>
          <t>2026年4～12月</t>
        </is>
      </c>
      <c r="J114" s="8" t="inlineStr">
        <is>
          <t>介護予防／包括</t>
        </is>
      </c>
      <c r="K114" s="8" t="inlineStr">
        <is>
          <t>A</t>
        </is>
      </c>
      <c r="L114" s="8" t="inlineStr">
        <is>
          <t>手引き</t>
        </is>
      </c>
      <c r="M114" s="8" t="str"/>
      <c r="N114" s="8" t="str"/>
      <c r="O114" s="81" t="inlineStr">
        <is>
          <t>確認中</t>
        </is>
      </c>
      <c r="P114" s="80" t="inlineStr">
        <is>
          <t>移動の需要は地域公共交通計画と接続して記載。担い手・安全管理は一部</t>
        </is>
      </c>
      <c r="Q114" s="80" t="n"/>
    </row>
    <row r="115" ht="62" customHeight="1">
      <c r="A115" s="8" t="inlineStr">
        <is>
          <t>C114</t>
        </is>
      </c>
      <c r="B115" s="8" t="inlineStr">
        <is>
          <t>Ⅳ</t>
        </is>
      </c>
      <c r="C115" s="8" t="inlineStr">
        <is>
          <t>6 総合事業</t>
        </is>
      </c>
      <c r="D115" s="8" t="inlineStr">
        <is>
          <t>150-164</t>
        </is>
      </c>
      <c r="E115" s="8" t="inlineStr">
        <is>
          <t>介護予防・日常生活支援</t>
        </is>
      </c>
      <c r="F115" s="8" t="inlineStr">
        <is>
          <t>対象者・価格上限の弾力化等は現行要綱と照合したか</t>
        </is>
      </c>
      <c r="G115" s="8" t="inlineStr">
        <is>
          <t>量だけでなく到達率・改善率・継続性を検証</t>
        </is>
      </c>
      <c r="H115" s="8" t="inlineStr">
        <is>
          <t>総合事業決算・実績、実施要綱、ニーズ調査、通いの場台帳、事業評価</t>
        </is>
      </c>
      <c r="I115" s="8" t="inlineStr">
        <is>
          <t>2026年4～12月</t>
        </is>
      </c>
      <c r="J115" s="8" t="inlineStr">
        <is>
          <t>介護予防／包括</t>
        </is>
      </c>
      <c r="K115" s="8" t="inlineStr">
        <is>
          <t>A</t>
        </is>
      </c>
      <c r="L115" s="8" t="inlineStr">
        <is>
          <t>手引き</t>
        </is>
      </c>
      <c r="M115" s="8" t="str"/>
      <c r="N115" s="8" t="str"/>
      <c r="O115" s="83" t="inlineStr">
        <is>
          <t>未確認</t>
        </is>
      </c>
      <c r="P115" s="80" t="inlineStr">
        <is>
          <t>対象者・価格上限の弾力化と現行要綱の照合は未実施</t>
        </is>
      </c>
      <c r="Q115" s="80" t="n"/>
    </row>
    <row r="116" ht="62" customHeight="1">
      <c r="A116" s="8" t="inlineStr">
        <is>
          <t>C115</t>
        </is>
      </c>
      <c r="B116" s="8" t="inlineStr">
        <is>
          <t>Ⅳ</t>
        </is>
      </c>
      <c r="C116" s="8" t="inlineStr">
        <is>
          <t>6 総合事業</t>
        </is>
      </c>
      <c r="D116" s="8" t="inlineStr">
        <is>
          <t>150-164</t>
        </is>
      </c>
      <c r="E116" s="8" t="inlineStr">
        <is>
          <t>介護予防・日常生活支援</t>
        </is>
      </c>
      <c r="F116" s="8" t="inlineStr">
        <is>
          <t>事業評価の対象・データ・アウトカム・分析方法を決めたか</t>
        </is>
      </c>
      <c r="G116" s="8" t="inlineStr">
        <is>
          <t>量だけでなく到達率・改善率・継続性を検証</t>
        </is>
      </c>
      <c r="H116" s="8" t="inlineStr">
        <is>
          <t>総合事業決算・実績、実施要綱、ニーズ調査、通いの場台帳、事業評価</t>
        </is>
      </c>
      <c r="I116" s="8" t="inlineStr">
        <is>
          <t>2026年4～12月</t>
        </is>
      </c>
      <c r="J116" s="8" t="inlineStr">
        <is>
          <t>介護予防／包括</t>
        </is>
      </c>
      <c r="K116" s="8" t="inlineStr">
        <is>
          <t>A</t>
        </is>
      </c>
      <c r="L116" s="8" t="inlineStr">
        <is>
          <t>手引き</t>
        </is>
      </c>
      <c r="M116" s="8" t="str"/>
      <c r="N116" s="8" t="str"/>
      <c r="O116" s="81" t="inlineStr">
        <is>
          <t>確認中</t>
        </is>
      </c>
      <c r="P116" s="80" t="inlineStr">
        <is>
          <t>事業評価の対象・データは成果指標で一部</t>
        </is>
      </c>
      <c r="Q116" s="80" t="n"/>
    </row>
    <row r="117" ht="62" customHeight="1">
      <c r="A117" s="8" t="inlineStr">
        <is>
          <t>C116</t>
        </is>
      </c>
      <c r="B117" s="8" t="inlineStr">
        <is>
          <t>Ⅳ</t>
        </is>
      </c>
      <c r="C117" s="8" t="inlineStr">
        <is>
          <t>7 生活支援体制整備</t>
        </is>
      </c>
      <c r="D117" s="8" t="inlineStr">
        <is>
          <t>165-171</t>
        </is>
      </c>
      <c r="E117" s="8" t="inlineStr">
        <is>
          <t>生活支援コーディネーター</t>
        </is>
      </c>
      <c r="F117" s="8" t="inlineStr">
        <is>
          <t>第１層・第２層生活支援コーディネーターの配置状況を確認したか</t>
        </is>
      </c>
      <c r="G117" s="8" t="inlineStr">
        <is>
          <t>配置の有無だけでなく機能・実働・重複・成果を検証</t>
        </is>
      </c>
      <c r="H117" s="8" t="inlineStr">
        <is>
          <t>配置図、委託契約、協議体議事録、SC活動実績、地域支援事業交付要綱</t>
        </is>
      </c>
      <c r="I117" s="8" t="inlineStr">
        <is>
          <t>2026年4～12月</t>
        </is>
      </c>
      <c r="J117" s="8" t="inlineStr">
        <is>
          <t>包括／地域福祉</t>
        </is>
      </c>
      <c r="K117" s="8" t="inlineStr">
        <is>
          <t>最優先</t>
        </is>
      </c>
      <c r="L117" s="8" t="inlineStr">
        <is>
          <t>手引き+2025制度追加</t>
        </is>
      </c>
      <c r="M117" s="8" t="str"/>
      <c r="N117" s="8" t="inlineStr">
        <is>
          <t>https://kouseikyoku.mhlw.go.jp/kantoshinetsu/000409256.pdf</t>
        </is>
      </c>
      <c r="O117" s="81" t="inlineStr">
        <is>
          <t>確認中</t>
        </is>
      </c>
      <c r="P117" s="80" t="inlineStr">
        <is>
          <t>第1層・第2層の協議体とコーディネーターを記載。配置の実態は町データ待ち</t>
        </is>
      </c>
      <c r="Q117" s="80" t="n"/>
    </row>
    <row r="118" ht="62" customHeight="1">
      <c r="A118" s="8" t="inlineStr">
        <is>
          <t>C117</t>
        </is>
      </c>
      <c r="B118" s="8" t="inlineStr">
        <is>
          <t>Ⅳ</t>
        </is>
      </c>
      <c r="C118" s="8" t="inlineStr">
        <is>
          <t>7 生活支援体制整備</t>
        </is>
      </c>
      <c r="D118" s="8" t="inlineStr">
        <is>
          <t>165-171</t>
        </is>
      </c>
      <c r="E118" s="8" t="inlineStr">
        <is>
          <t>生活支援コーディネーター</t>
        </is>
      </c>
      <c r="F118" s="8" t="inlineStr">
        <is>
          <t>配置方法・委託契約・兼務割合・業務時間が実態に合うか</t>
        </is>
      </c>
      <c r="G118" s="8" t="inlineStr">
        <is>
          <t>配置の有無だけでなく機能・実働・重複・成果を検証</t>
        </is>
      </c>
      <c r="H118" s="8" t="inlineStr">
        <is>
          <t>配置図、委託契約、協議体議事録、SC活動実績、地域支援事業交付要綱</t>
        </is>
      </c>
      <c r="I118" s="8" t="inlineStr">
        <is>
          <t>2026年4～12月</t>
        </is>
      </c>
      <c r="J118" s="8" t="inlineStr">
        <is>
          <t>包括／地域福祉</t>
        </is>
      </c>
      <c r="K118" s="8" t="inlineStr">
        <is>
          <t>最優先</t>
        </is>
      </c>
      <c r="L118" s="8" t="inlineStr">
        <is>
          <t>手引き+2025制度追加</t>
        </is>
      </c>
      <c r="M118" s="8" t="str"/>
      <c r="N118" s="8" t="inlineStr">
        <is>
          <t>https://kouseikyoku.mhlw.go.jp/kantoshinetsu/000409256.pdf</t>
        </is>
      </c>
      <c r="O118" s="82" t="inlineStr">
        <is>
          <t>資料徴求中</t>
        </is>
      </c>
      <c r="P118" s="80" t="inlineStr">
        <is>
          <t>配置方法・委託契約・兼務割合は未受領</t>
        </is>
      </c>
      <c r="Q118" s="80" t="inlineStr">
        <is>
          <t>町に依頼</t>
        </is>
      </c>
    </row>
    <row r="119" ht="62" customHeight="1">
      <c r="A119" s="8" t="inlineStr">
        <is>
          <t>C118</t>
        </is>
      </c>
      <c r="B119" s="8" t="inlineStr">
        <is>
          <t>Ⅳ</t>
        </is>
      </c>
      <c r="C119" s="8" t="inlineStr">
        <is>
          <t>7 生活支援体制整備</t>
        </is>
      </c>
      <c r="D119" s="8" t="inlineStr">
        <is>
          <t>165-171</t>
        </is>
      </c>
      <c r="E119" s="8" t="inlineStr">
        <is>
          <t>生活支援コーディネーター</t>
        </is>
      </c>
      <c r="F119" s="8" t="inlineStr">
        <is>
          <t>協議体の活動、資源開発、マッチング実績を確認したか</t>
        </is>
      </c>
      <c r="G119" s="8" t="inlineStr">
        <is>
          <t>配置の有無だけでなく機能・実働・重複・成果を検証</t>
        </is>
      </c>
      <c r="H119" s="8" t="inlineStr">
        <is>
          <t>配置図、委託契約、協議体議事録、SC活動実績、地域支援事業交付要綱</t>
        </is>
      </c>
      <c r="I119" s="8" t="inlineStr">
        <is>
          <t>2026年4～12月</t>
        </is>
      </c>
      <c r="J119" s="8" t="inlineStr">
        <is>
          <t>包括／地域福祉</t>
        </is>
      </c>
      <c r="K119" s="8" t="inlineStr">
        <is>
          <t>最優先</t>
        </is>
      </c>
      <c r="L119" s="8" t="inlineStr">
        <is>
          <t>手引き+2025制度追加</t>
        </is>
      </c>
      <c r="M119" s="8" t="str"/>
      <c r="N119" s="8" t="inlineStr">
        <is>
          <t>https://kouseikyoku.mhlw.go.jp/kantoshinetsu/000409256.pdf</t>
        </is>
      </c>
      <c r="O119" s="82" t="inlineStr">
        <is>
          <t>資料徴求中</t>
        </is>
      </c>
      <c r="P119" s="80" t="inlineStr">
        <is>
          <t>協議体の活動・資源開発の実績は未受領</t>
        </is>
      </c>
      <c r="Q119" s="80" t="inlineStr">
        <is>
          <t>町に依頼</t>
        </is>
      </c>
    </row>
    <row r="120" ht="62" customHeight="1">
      <c r="A120" s="8" t="inlineStr">
        <is>
          <t>C119</t>
        </is>
      </c>
      <c r="B120" s="8" t="inlineStr">
        <is>
          <t>Ⅳ</t>
        </is>
      </c>
      <c r="C120" s="8" t="inlineStr">
        <is>
          <t>7 生活支援体制整備</t>
        </is>
      </c>
      <c r="D120" s="8" t="inlineStr">
        <is>
          <t>165-171</t>
        </is>
      </c>
      <c r="E120" s="8" t="inlineStr">
        <is>
          <t>生活支援コーディネーター</t>
        </is>
      </c>
      <c r="F120" s="8" t="inlineStr">
        <is>
          <t>就労的活動支援コーディネーターの配置要否を検討したか</t>
        </is>
      </c>
      <c r="G120" s="8" t="inlineStr">
        <is>
          <t>配置の有無だけでなく機能・実働・重複・成果を検証</t>
        </is>
      </c>
      <c r="H120" s="8" t="inlineStr">
        <is>
          <t>配置図、委託契約、協議体議事録、SC活動実績、地域支援事業交付要綱</t>
        </is>
      </c>
      <c r="I120" s="8" t="inlineStr">
        <is>
          <t>2026年4～12月</t>
        </is>
      </c>
      <c r="J120" s="8" t="inlineStr">
        <is>
          <t>包括／地域福祉</t>
        </is>
      </c>
      <c r="K120" s="8" t="inlineStr">
        <is>
          <t>最優先</t>
        </is>
      </c>
      <c r="L120" s="8" t="inlineStr">
        <is>
          <t>手引き+2025制度追加</t>
        </is>
      </c>
      <c r="M120" s="8" t="str"/>
      <c r="N120" s="8" t="inlineStr">
        <is>
          <t>https://kouseikyoku.mhlw.go.jp/kantoshinetsu/000409256.pdf</t>
        </is>
      </c>
      <c r="O120" s="83" t="inlineStr">
        <is>
          <t>未確認</t>
        </is>
      </c>
      <c r="P120" s="80" t="inlineStr">
        <is>
          <t>就労的活動支援コーディネーターの配置要否は未検討</t>
        </is>
      </c>
      <c r="Q120" s="80" t="inlineStr">
        <is>
          <t>要否を検討</t>
        </is>
      </c>
    </row>
    <row r="121" ht="62" customHeight="1">
      <c r="A121" s="8" t="inlineStr">
        <is>
          <t>C120</t>
        </is>
      </c>
      <c r="B121" s="8" t="inlineStr">
        <is>
          <t>Ⅳ</t>
        </is>
      </c>
      <c r="C121" s="8" t="inlineStr">
        <is>
          <t>7 生活支援体制整備</t>
        </is>
      </c>
      <c r="D121" s="8" t="inlineStr">
        <is>
          <t>165-171</t>
        </is>
      </c>
      <c r="E121" s="8" t="inlineStr">
        <is>
          <t>生活支援コーディネーター</t>
        </is>
      </c>
      <c r="F121" s="8" t="inlineStr">
        <is>
          <t>重層的支援との役割・財源の重複を点検したか</t>
        </is>
      </c>
      <c r="G121" s="8" t="inlineStr">
        <is>
          <t>配置の有無だけでなく機能・実働・重複・成果を検証</t>
        </is>
      </c>
      <c r="H121" s="8" t="inlineStr">
        <is>
          <t>配置図、委託契約、協議体議事録、SC活動実績、地域支援事業交付要綱</t>
        </is>
      </c>
      <c r="I121" s="8" t="inlineStr">
        <is>
          <t>2026年4～12月</t>
        </is>
      </c>
      <c r="J121" s="8" t="inlineStr">
        <is>
          <t>包括／地域福祉</t>
        </is>
      </c>
      <c r="K121" s="8" t="inlineStr">
        <is>
          <t>最優先</t>
        </is>
      </c>
      <c r="L121" s="8" t="inlineStr">
        <is>
          <t>手引き+2025制度追加</t>
        </is>
      </c>
      <c r="M121" s="8" t="str"/>
      <c r="N121" s="8" t="inlineStr">
        <is>
          <t>https://kouseikyoku.mhlw.go.jp/kantoshinetsu/000409256.pdf</t>
        </is>
      </c>
      <c r="O121" s="81" t="inlineStr">
        <is>
          <t>確認中</t>
        </is>
      </c>
      <c r="P121" s="80" t="inlineStr">
        <is>
          <t>重層的支援との役割は地域福祉計画が担うと整理。財源の重複は未点検</t>
        </is>
      </c>
      <c r="Q121" s="80" t="n"/>
    </row>
    <row r="122" ht="62" customHeight="1">
      <c r="A122" s="8" t="inlineStr">
        <is>
          <t>C121</t>
        </is>
      </c>
      <c r="B122" s="8" t="inlineStr">
        <is>
          <t>Ⅳ</t>
        </is>
      </c>
      <c r="C122" s="8" t="inlineStr">
        <is>
          <t>7 生活支援体制整備</t>
        </is>
      </c>
      <c r="D122" s="8" t="inlineStr">
        <is>
          <t>165-171</t>
        </is>
      </c>
      <c r="E122" s="8" t="inlineStr">
        <is>
          <t>生活支援コーディネーター</t>
        </is>
      </c>
      <c r="F122" s="8" t="inlineStr">
        <is>
          <t>2025年度新規の相談支援連携体制構築事業等の現行要綱を確認したか</t>
        </is>
      </c>
      <c r="G122" s="8" t="inlineStr">
        <is>
          <t>配置の有無だけでなく機能・実働・重複・成果を検証</t>
        </is>
      </c>
      <c r="H122" s="8" t="inlineStr">
        <is>
          <t>配置図、委託契約、協議体議事録、SC活動実績、地域支援事業交付要綱</t>
        </is>
      </c>
      <c r="I122" s="8" t="inlineStr">
        <is>
          <t>2026年4～12月</t>
        </is>
      </c>
      <c r="J122" s="8" t="inlineStr">
        <is>
          <t>包括／地域福祉</t>
        </is>
      </c>
      <c r="K122" s="8" t="inlineStr">
        <is>
          <t>最優先</t>
        </is>
      </c>
      <c r="L122" s="8" t="inlineStr">
        <is>
          <t>手引き+2025制度追加</t>
        </is>
      </c>
      <c r="M122" s="8" t="str"/>
      <c r="N122" s="8" t="inlineStr">
        <is>
          <t>https://kouseikyoku.mhlw.go.jp/kantoshinetsu/000409256.pdf</t>
        </is>
      </c>
      <c r="O122" s="83" t="inlineStr">
        <is>
          <t>未確認</t>
        </is>
      </c>
      <c r="P122" s="80" t="inlineStr">
        <is>
          <t>令和7年度新規の相談支援連携体制構築事業等の要綱は未確認</t>
        </is>
      </c>
      <c r="Q122" s="80" t="inlineStr">
        <is>
          <t>要綱を確認</t>
        </is>
      </c>
    </row>
    <row r="123" ht="62" customHeight="1">
      <c r="A123" s="8" t="inlineStr">
        <is>
          <t>C122</t>
        </is>
      </c>
      <c r="B123" s="8" t="inlineStr">
        <is>
          <t>Ⅳ</t>
        </is>
      </c>
      <c r="C123" s="8" t="inlineStr">
        <is>
          <t>7 生活支援体制整備</t>
        </is>
      </c>
      <c r="D123" s="8" t="inlineStr">
        <is>
          <t>165-171</t>
        </is>
      </c>
      <c r="E123" s="8" t="inlineStr">
        <is>
          <t>生活支援コーディネーター</t>
        </is>
      </c>
      <c r="F123" s="8" t="inlineStr">
        <is>
          <t>配置単価・標準額・対象経費を当該年度の交付要綱で確認したか</t>
        </is>
      </c>
      <c r="G123" s="8" t="inlineStr">
        <is>
          <t>配置の有無だけでなく機能・実働・重複・成果を検証</t>
        </is>
      </c>
      <c r="H123" s="8" t="inlineStr">
        <is>
          <t>配置図、委託契約、協議体議事録、SC活動実績、地域支援事業交付要綱</t>
        </is>
      </c>
      <c r="I123" s="8" t="inlineStr">
        <is>
          <t>2026年4～12月</t>
        </is>
      </c>
      <c r="J123" s="8" t="inlineStr">
        <is>
          <t>包括／地域福祉</t>
        </is>
      </c>
      <c r="K123" s="8" t="inlineStr">
        <is>
          <t>最優先</t>
        </is>
      </c>
      <c r="L123" s="8" t="inlineStr">
        <is>
          <t>手引き+2025制度追加</t>
        </is>
      </c>
      <c r="M123" s="8" t="str"/>
      <c r="N123" s="8" t="inlineStr">
        <is>
          <t>https://kouseikyoku.mhlw.go.jp/kantoshinetsu/000409256.pdf</t>
        </is>
      </c>
      <c r="O123" s="83" t="inlineStr">
        <is>
          <t>未確認</t>
        </is>
      </c>
      <c r="P123" s="80" t="inlineStr">
        <is>
          <t>配置単価・標準額・対象経費は当該年度の交付要綱で未確認</t>
        </is>
      </c>
      <c r="Q123" s="80" t="n"/>
    </row>
    <row r="124" ht="62" customHeight="1">
      <c r="A124" s="8" t="inlineStr">
        <is>
          <t>C123</t>
        </is>
      </c>
      <c r="B124" s="8" t="inlineStr">
        <is>
          <t>Ⅳ</t>
        </is>
      </c>
      <c r="C124" s="8" t="inlineStr">
        <is>
          <t>8 ポピュレーションアプローチ</t>
        </is>
      </c>
      <c r="D124" s="8" t="inlineStr">
        <is>
          <t>172-174</t>
        </is>
      </c>
      <c r="E124" s="8" t="inlineStr">
        <is>
          <t>専門職と健康づくり</t>
        </is>
      </c>
      <c r="F124" s="8" t="inlineStr">
        <is>
          <t>リハビリ・歯科・栄養等の専門職の地域活動への関与を把握したか</t>
        </is>
      </c>
      <c r="G124" s="8" t="inlineStr">
        <is>
          <t>部局間の対象者・評価指標の整合</t>
        </is>
      </c>
      <c r="H124" s="8" t="inlineStr">
        <is>
          <t>介護予防実績、保健事業計画、医師会・専門職団体の資料</t>
        </is>
      </c>
      <c r="I124" s="8" t="inlineStr">
        <is>
          <t>2026年4～12月</t>
        </is>
      </c>
      <c r="J124" s="8" t="inlineStr">
        <is>
          <t>介護予防／保健</t>
        </is>
      </c>
      <c r="K124" s="8" t="inlineStr">
        <is>
          <t>A</t>
        </is>
      </c>
      <c r="L124" s="8" t="inlineStr">
        <is>
          <t>手引き</t>
        </is>
      </c>
      <c r="M124" s="8" t="str"/>
      <c r="N124" s="8" t="str"/>
      <c r="O124" s="81" t="inlineStr">
        <is>
          <t>確認中</t>
        </is>
      </c>
      <c r="P124" s="80" t="inlineStr">
        <is>
          <t>リハビリテーション専門職の関与は記載が少ない</t>
        </is>
      </c>
      <c r="Q124" s="80" t="n"/>
    </row>
    <row r="125" ht="62" customHeight="1">
      <c r="A125" s="8" t="inlineStr">
        <is>
          <t>C124</t>
        </is>
      </c>
      <c r="B125" s="8" t="inlineStr">
        <is>
          <t>Ⅳ</t>
        </is>
      </c>
      <c r="C125" s="8" t="inlineStr">
        <is>
          <t>8 ポピュレーションアプローチ</t>
        </is>
      </c>
      <c r="D125" s="8" t="inlineStr">
        <is>
          <t>172-174</t>
        </is>
      </c>
      <c r="E125" s="8" t="inlineStr">
        <is>
          <t>専門職と健康づくり</t>
        </is>
      </c>
      <c r="F125" s="8" t="inlineStr">
        <is>
          <t>介護予防と保健事業の一体的実施の役割分担を確認したか</t>
        </is>
      </c>
      <c r="G125" s="8" t="inlineStr">
        <is>
          <t>部局間の対象者・評価指標の整合</t>
        </is>
      </c>
      <c r="H125" s="8" t="inlineStr">
        <is>
          <t>介護予防実績、保健事業計画、医師会・専門職団体の資料</t>
        </is>
      </c>
      <c r="I125" s="8" t="inlineStr">
        <is>
          <t>2026年4～12月</t>
        </is>
      </c>
      <c r="J125" s="8" t="inlineStr">
        <is>
          <t>介護予防／保健</t>
        </is>
      </c>
      <c r="K125" s="8" t="inlineStr">
        <is>
          <t>A</t>
        </is>
      </c>
      <c r="L125" s="8" t="inlineStr">
        <is>
          <t>手引き</t>
        </is>
      </c>
      <c r="M125" s="8" t="str"/>
      <c r="N125" s="8" t="str"/>
      <c r="O125" s="79" t="inlineStr">
        <is>
          <t>完了</t>
        </is>
      </c>
      <c r="P125" s="80" t="inlineStr">
        <is>
          <t>第5章基本目標1①に一体的実施の役割分担（国保・後期高齢者医療の保健事業）</t>
        </is>
      </c>
      <c r="Q125" s="80" t="n"/>
    </row>
    <row r="126" ht="62" customHeight="1">
      <c r="A126" s="8" t="inlineStr">
        <is>
          <t>C125</t>
        </is>
      </c>
      <c r="B126" s="8" t="inlineStr">
        <is>
          <t>Ⅳ</t>
        </is>
      </c>
      <c r="C126" s="8" t="inlineStr">
        <is>
          <t>8 ポピュレーションアプローチ</t>
        </is>
      </c>
      <c r="D126" s="8" t="inlineStr">
        <is>
          <t>172-174</t>
        </is>
      </c>
      <c r="E126" s="8" t="inlineStr">
        <is>
          <t>専門職と健康づくり</t>
        </is>
      </c>
      <c r="F126" s="8" t="inlineStr">
        <is>
          <t>健診・フレイル・疾病管理と介護予防の接続を整理したか</t>
        </is>
      </c>
      <c r="G126" s="8" t="inlineStr">
        <is>
          <t>部局間の対象者・評価指標の整合</t>
        </is>
      </c>
      <c r="H126" s="8" t="inlineStr">
        <is>
          <t>介護予防実績、保健事業計画、医師会・専門職団体の資料</t>
        </is>
      </c>
      <c r="I126" s="8" t="inlineStr">
        <is>
          <t>2026年4～12月</t>
        </is>
      </c>
      <c r="J126" s="8" t="inlineStr">
        <is>
          <t>介護予防／保健</t>
        </is>
      </c>
      <c r="K126" s="8" t="inlineStr">
        <is>
          <t>A</t>
        </is>
      </c>
      <c r="L126" s="8" t="inlineStr">
        <is>
          <t>手引き</t>
        </is>
      </c>
      <c r="M126" s="8" t="str"/>
      <c r="N126" s="8" t="str"/>
      <c r="O126" s="81" t="inlineStr">
        <is>
          <t>確認中</t>
        </is>
      </c>
      <c r="P126" s="80" t="inlineStr">
        <is>
          <t>健診と介護予防の接続を記載。フレイルの接続は一部</t>
        </is>
      </c>
      <c r="Q126" s="80" t="n"/>
    </row>
    <row r="127" ht="62" customHeight="1">
      <c r="A127" s="8" t="inlineStr">
        <is>
          <t>C126</t>
        </is>
      </c>
      <c r="B127" s="8" t="inlineStr">
        <is>
          <t>Ⅳ</t>
        </is>
      </c>
      <c r="C127" s="8" t="inlineStr">
        <is>
          <t>9 地域包括支援センター</t>
        </is>
      </c>
      <c r="D127" s="8" t="inlineStr">
        <is>
          <t>175-187</t>
        </is>
      </c>
      <c r="E127" s="8" t="inlineStr">
        <is>
          <t>包括支援センター</t>
        </is>
      </c>
      <c r="F127" s="8" t="inlineStr">
        <is>
          <t>日常生活圏域と包括センターの担当圏域を比較したか</t>
        </is>
      </c>
      <c r="G127" s="8" t="inlineStr">
        <is>
          <t>圏域別の相談需要・体制・評価結果を確認</t>
        </is>
      </c>
      <c r="H127" s="8" t="inlineStr">
        <is>
          <t>包括センター運営報告、人員配置表、委託契約、業務量、運営協議会議事録</t>
        </is>
      </c>
      <c r="I127" s="8" t="inlineStr">
        <is>
          <t>2026年4～12月</t>
        </is>
      </c>
      <c r="J127" s="8" t="inlineStr">
        <is>
          <t>包括／主管</t>
        </is>
      </c>
      <c r="K127" s="8" t="inlineStr">
        <is>
          <t>A</t>
        </is>
      </c>
      <c r="L127" s="8" t="inlineStr">
        <is>
          <t>手引き</t>
        </is>
      </c>
      <c r="M127" s="8" t="str"/>
      <c r="N127" s="8" t="str"/>
      <c r="O127" s="79" t="inlineStr">
        <is>
          <t>完了</t>
        </is>
      </c>
      <c r="P127" s="80" t="inlineStr">
        <is>
          <t>1圏域・地域包括支援センター1か所で担当圏域と一致</t>
        </is>
      </c>
      <c r="Q127" s="80" t="n"/>
    </row>
    <row r="128" ht="62" customHeight="1">
      <c r="A128" s="8" t="inlineStr">
        <is>
          <t>C127</t>
        </is>
      </c>
      <c r="B128" s="8" t="inlineStr">
        <is>
          <t>Ⅳ</t>
        </is>
      </c>
      <c r="C128" s="8" t="inlineStr">
        <is>
          <t>9 地域包括支援センター</t>
        </is>
      </c>
      <c r="D128" s="8" t="inlineStr">
        <is>
          <t>175-187</t>
        </is>
      </c>
      <c r="E128" s="8" t="inlineStr">
        <is>
          <t>包括支援センター</t>
        </is>
      </c>
      <c r="F128" s="8" t="inlineStr">
        <is>
          <t>配置職種・人員と相談件数・業務量を照合したか</t>
        </is>
      </c>
      <c r="G128" s="8" t="inlineStr">
        <is>
          <t>圏域別の相談需要・体制・評価結果を確認</t>
        </is>
      </c>
      <c r="H128" s="8" t="inlineStr">
        <is>
          <t>包括センター運営報告、人員配置表、委託契約、業務量、運営協議会議事録</t>
        </is>
      </c>
      <c r="I128" s="8" t="inlineStr">
        <is>
          <t>2026年4～12月</t>
        </is>
      </c>
      <c r="J128" s="8" t="inlineStr">
        <is>
          <t>包括／主管</t>
        </is>
      </c>
      <c r="K128" s="8" t="inlineStr">
        <is>
          <t>A</t>
        </is>
      </c>
      <c r="L128" s="8" t="inlineStr">
        <is>
          <t>手引き</t>
        </is>
      </c>
      <c r="M128" s="8" t="str"/>
      <c r="N128" s="8" t="str"/>
      <c r="O128" s="82" t="inlineStr">
        <is>
          <t>資料徴求中</t>
        </is>
      </c>
      <c r="P128" s="80" t="inlineStr">
        <is>
          <t>職種別の人員と相談件数・業務量は未受領</t>
        </is>
      </c>
      <c r="Q128" s="80" t="inlineStr">
        <is>
          <t>町に依頼</t>
        </is>
      </c>
    </row>
    <row r="129" ht="62" customHeight="1">
      <c r="A129" s="8" t="inlineStr">
        <is>
          <t>C128</t>
        </is>
      </c>
      <c r="B129" s="8" t="inlineStr">
        <is>
          <t>Ⅳ</t>
        </is>
      </c>
      <c r="C129" s="8" t="inlineStr">
        <is>
          <t>9 地域包括支援センター</t>
        </is>
      </c>
      <c r="D129" s="8" t="inlineStr">
        <is>
          <t>175-187</t>
        </is>
      </c>
      <c r="E129" s="8" t="inlineStr">
        <is>
          <t>包括支援センター</t>
        </is>
      </c>
      <c r="F129" s="8" t="inlineStr">
        <is>
          <t>基幹型・機能強化型センター導入の要否を判断したか</t>
        </is>
      </c>
      <c r="G129" s="8" t="inlineStr">
        <is>
          <t>圏域別の相談需要・体制・評価結果を確認</t>
        </is>
      </c>
      <c r="H129" s="8" t="inlineStr">
        <is>
          <t>包括センター運営報告、人員配置表、委託契約、業務量、運営協議会議事録</t>
        </is>
      </c>
      <c r="I129" s="8" t="inlineStr">
        <is>
          <t>2026年4～12月</t>
        </is>
      </c>
      <c r="J129" s="8" t="inlineStr">
        <is>
          <t>包括／主管</t>
        </is>
      </c>
      <c r="K129" s="8" t="inlineStr">
        <is>
          <t>A</t>
        </is>
      </c>
      <c r="L129" s="8" t="inlineStr">
        <is>
          <t>手引き</t>
        </is>
      </c>
      <c r="M129" s="8" t="str"/>
      <c r="N129" s="8" t="str"/>
      <c r="O129" s="85" t="inlineStr">
        <is>
          <t>該当なし</t>
        </is>
      </c>
      <c r="P129" s="80" t="inlineStr">
        <is>
          <t>センターが1か所のため基幹型・機能強化型の導入の検討は要しない（1か所であることは要確認）</t>
        </is>
      </c>
      <c r="Q129" s="80" t="n"/>
    </row>
    <row r="130" ht="62" customHeight="1">
      <c r="A130" s="8" t="inlineStr">
        <is>
          <t>C129</t>
        </is>
      </c>
      <c r="B130" s="8" t="inlineStr">
        <is>
          <t>Ⅳ</t>
        </is>
      </c>
      <c r="C130" s="8" t="inlineStr">
        <is>
          <t>9 地域包括支援センター</t>
        </is>
      </c>
      <c r="D130" s="8" t="inlineStr">
        <is>
          <t>175-187</t>
        </is>
      </c>
      <c r="E130" s="8" t="inlineStr">
        <is>
          <t>包括支援センター</t>
        </is>
      </c>
      <c r="F130" s="8" t="inlineStr">
        <is>
          <t>センター運営協議会の評価結果と委託契約を確認したか</t>
        </is>
      </c>
      <c r="G130" s="8" t="inlineStr">
        <is>
          <t>圏域別の相談需要・体制・評価結果を確認</t>
        </is>
      </c>
      <c r="H130" s="8" t="inlineStr">
        <is>
          <t>包括センター運営報告、人員配置表、委託契約、業務量、運営協議会議事録</t>
        </is>
      </c>
      <c r="I130" s="8" t="inlineStr">
        <is>
          <t>2026年4～12月</t>
        </is>
      </c>
      <c r="J130" s="8" t="inlineStr">
        <is>
          <t>包括／主管</t>
        </is>
      </c>
      <c r="K130" s="8" t="inlineStr">
        <is>
          <t>A</t>
        </is>
      </c>
      <c r="L130" s="8" t="inlineStr">
        <is>
          <t>手引き</t>
        </is>
      </c>
      <c r="M130" s="8" t="str"/>
      <c r="N130" s="8" t="str"/>
      <c r="O130" s="82" t="inlineStr">
        <is>
          <t>資料徴求中</t>
        </is>
      </c>
      <c r="P130" s="80" t="inlineStr">
        <is>
          <t>運営協議会の評価結果と委託契約は未受領</t>
        </is>
      </c>
      <c r="Q130" s="80" t="inlineStr">
        <is>
          <t>町に依頼</t>
        </is>
      </c>
    </row>
    <row r="131" ht="62" customHeight="1">
      <c r="A131" s="8" t="inlineStr">
        <is>
          <t>C130</t>
        </is>
      </c>
      <c r="B131" s="8" t="inlineStr">
        <is>
          <t>Ⅳ</t>
        </is>
      </c>
      <c r="C131" s="8" t="inlineStr">
        <is>
          <t>9 地域包括支援センター</t>
        </is>
      </c>
      <c r="D131" s="8" t="inlineStr">
        <is>
          <t>175-187</t>
        </is>
      </c>
      <c r="E131" s="8" t="inlineStr">
        <is>
          <t>包括支援センター</t>
        </is>
      </c>
      <c r="F131" s="8" t="inlineStr">
        <is>
          <t>家族介護者支援、ヤングケアラー・複合課題への接続を確認したか</t>
        </is>
      </c>
      <c r="G131" s="8" t="inlineStr">
        <is>
          <t>圏域別の相談需要・体制・評価結果を確認</t>
        </is>
      </c>
      <c r="H131" s="8" t="inlineStr">
        <is>
          <t>包括センター運営報告、人員配置表、委託契約、業務量、運営協議会議事録</t>
        </is>
      </c>
      <c r="I131" s="8" t="inlineStr">
        <is>
          <t>2026年4～12月</t>
        </is>
      </c>
      <c r="J131" s="8" t="inlineStr">
        <is>
          <t>包括／主管</t>
        </is>
      </c>
      <c r="K131" s="8" t="inlineStr">
        <is>
          <t>A</t>
        </is>
      </c>
      <c r="L131" s="8" t="inlineStr">
        <is>
          <t>手引き</t>
        </is>
      </c>
      <c r="M131" s="8" t="str"/>
      <c r="N131" s="8" t="str"/>
      <c r="O131" s="81" t="inlineStr">
        <is>
          <t>確認中</t>
        </is>
      </c>
      <c r="P131" s="80" t="inlineStr">
        <is>
          <t>家族介護者支援を記載。ヤングケアラーは関連計画（こども計画）の表に記載</t>
        </is>
      </c>
      <c r="Q131" s="80" t="n"/>
    </row>
    <row r="132" ht="62" customHeight="1">
      <c r="A132" s="8" t="inlineStr">
        <is>
          <t>C131</t>
        </is>
      </c>
      <c r="B132" s="8" t="inlineStr">
        <is>
          <t>Ⅳ</t>
        </is>
      </c>
      <c r="C132" s="8" t="inlineStr">
        <is>
          <t>9 地域包括支援センター</t>
        </is>
      </c>
      <c r="D132" s="8" t="inlineStr">
        <is>
          <t>175-187</t>
        </is>
      </c>
      <c r="E132" s="8" t="inlineStr">
        <is>
          <t>包括支援センター</t>
        </is>
      </c>
      <c r="F132" s="8" t="inlineStr">
        <is>
          <t>介護予防支援・総合相談・権利擁護等の機能を評価したか</t>
        </is>
      </c>
      <c r="G132" s="8" t="inlineStr">
        <is>
          <t>圏域別の相談需要・体制・評価結果を確認</t>
        </is>
      </c>
      <c r="H132" s="8" t="inlineStr">
        <is>
          <t>包括センター運営報告、人員配置表、委託契約、業務量、運営協議会議事録</t>
        </is>
      </c>
      <c r="I132" s="8" t="inlineStr">
        <is>
          <t>2026年4～12月</t>
        </is>
      </c>
      <c r="J132" s="8" t="inlineStr">
        <is>
          <t>包括／主管</t>
        </is>
      </c>
      <c r="K132" s="8" t="inlineStr">
        <is>
          <t>A</t>
        </is>
      </c>
      <c r="L132" s="8" t="inlineStr">
        <is>
          <t>手引き</t>
        </is>
      </c>
      <c r="M132" s="8" t="str"/>
      <c r="N132" s="8" t="str"/>
      <c r="O132" s="81" t="inlineStr">
        <is>
          <t>確認中</t>
        </is>
      </c>
      <c r="P132" s="80" t="inlineStr">
        <is>
          <t>総合相談・権利擁護等は第5章基本目標2②。機能の評価は一部</t>
        </is>
      </c>
      <c r="Q132" s="80" t="n"/>
    </row>
    <row r="133" ht="62" customHeight="1">
      <c r="A133" s="8" t="inlineStr">
        <is>
          <t>C132</t>
        </is>
      </c>
      <c r="B133" s="8" t="inlineStr">
        <is>
          <t>Ⅳ</t>
        </is>
      </c>
      <c r="C133" s="8" t="inlineStr">
        <is>
          <t>10 在宅医療・介護連携</t>
        </is>
      </c>
      <c r="D133" s="8" t="inlineStr">
        <is>
          <t>195-200</t>
        </is>
      </c>
      <c r="E133" s="8" t="inlineStr">
        <is>
          <t>医療・介護連携</t>
        </is>
      </c>
      <c r="F133" s="8" t="inlineStr">
        <is>
          <t>入退院支援・看取り・訪問診療・訪問看護の資源状況を確認したか</t>
        </is>
      </c>
      <c r="G133" s="8" t="inlineStr">
        <is>
          <t>医療の提供体制と介護サービスの供給・量の見込に矛盾がない</t>
        </is>
      </c>
      <c r="H133" s="8" t="inlineStr">
        <is>
          <t>県医療計画、地域医療構想、医師会・病院資料、地域包括ケア会議録</t>
        </is>
      </c>
      <c r="I133" s="8" t="inlineStr">
        <is>
          <t>2026年4～12月</t>
        </is>
      </c>
      <c r="J133" s="8" t="inlineStr">
        <is>
          <t>主管／医療連携／県</t>
        </is>
      </c>
      <c r="K133" s="8" t="inlineStr">
        <is>
          <t>A</t>
        </is>
      </c>
      <c r="L133" s="8" t="inlineStr">
        <is>
          <t>手引き</t>
        </is>
      </c>
      <c r="M133" s="8" t="str"/>
      <c r="N133" s="8" t="str"/>
      <c r="O133" s="81" t="inlineStr">
        <is>
          <t>確認中</t>
        </is>
      </c>
      <c r="P133" s="80" t="inlineStr">
        <is>
          <t>入退院支援・看取り・訪問看護の状況（加算の算定割合）を記載。訪問診療の資源は未記載</t>
        </is>
      </c>
      <c r="Q133" s="80" t="n"/>
    </row>
    <row r="134" ht="62" customHeight="1">
      <c r="A134" s="8" t="inlineStr">
        <is>
          <t>C133</t>
        </is>
      </c>
      <c r="B134" s="8" t="inlineStr">
        <is>
          <t>Ⅳ</t>
        </is>
      </c>
      <c r="C134" s="8" t="inlineStr">
        <is>
          <t>10 在宅医療・介護連携</t>
        </is>
      </c>
      <c r="D134" s="8" t="inlineStr">
        <is>
          <t>195-200</t>
        </is>
      </c>
      <c r="E134" s="8" t="inlineStr">
        <is>
          <t>医療・介護連携</t>
        </is>
      </c>
      <c r="F134" s="8" t="inlineStr">
        <is>
          <t>県医療計画・地域医療構想と在宅サービス推計を照合したか</t>
        </is>
      </c>
      <c r="G134" s="8" t="inlineStr">
        <is>
          <t>医療の提供体制と介護サービスの供給・量の見込に矛盾がない</t>
        </is>
      </c>
      <c r="H134" s="8" t="inlineStr">
        <is>
          <t>県医療計画、地域医療構想、医師会・病院資料、地域包括ケア会議録</t>
        </is>
      </c>
      <c r="I134" s="8" t="inlineStr">
        <is>
          <t>2026年4～12月</t>
        </is>
      </c>
      <c r="J134" s="8" t="inlineStr">
        <is>
          <t>主管／医療連携／県</t>
        </is>
      </c>
      <c r="K134" s="8" t="inlineStr">
        <is>
          <t>A</t>
        </is>
      </c>
      <c r="L134" s="8" t="inlineStr">
        <is>
          <t>手引き</t>
        </is>
      </c>
      <c r="M134" s="8" t="str"/>
      <c r="N134" s="8" t="str"/>
      <c r="O134" s="81" t="inlineStr">
        <is>
          <t>確認中</t>
        </is>
      </c>
      <c r="P134" s="80" t="inlineStr">
        <is>
          <t>県保健医療計画との照合済み。在宅サービス推計との数値照合は一部</t>
        </is>
      </c>
      <c r="Q134" s="80" t="n"/>
    </row>
    <row r="135" ht="62" customHeight="1">
      <c r="A135" s="8" t="inlineStr">
        <is>
          <t>C134</t>
        </is>
      </c>
      <c r="B135" s="8" t="inlineStr">
        <is>
          <t>Ⅳ</t>
        </is>
      </c>
      <c r="C135" s="8" t="inlineStr">
        <is>
          <t>10 在宅医療・介護連携</t>
        </is>
      </c>
      <c r="D135" s="8" t="inlineStr">
        <is>
          <t>195-200</t>
        </is>
      </c>
      <c r="E135" s="8" t="inlineStr">
        <is>
          <t>医療・介護連携</t>
        </is>
      </c>
      <c r="F135" s="8" t="inlineStr">
        <is>
          <t>医師会等との協議体、入退院調整ルールを確認したか</t>
        </is>
      </c>
      <c r="G135" s="8" t="inlineStr">
        <is>
          <t>医療の提供体制と介護サービスの供給・量の見込に矛盾がない</t>
        </is>
      </c>
      <c r="H135" s="8" t="inlineStr">
        <is>
          <t>県医療計画、地域医療構想、医師会・病院資料、地域包括ケア会議録</t>
        </is>
      </c>
      <c r="I135" s="8" t="inlineStr">
        <is>
          <t>2026年4～12月</t>
        </is>
      </c>
      <c r="J135" s="8" t="inlineStr">
        <is>
          <t>主管／医療連携／県</t>
        </is>
      </c>
      <c r="K135" s="8" t="inlineStr">
        <is>
          <t>A</t>
        </is>
      </c>
      <c r="L135" s="8" t="inlineStr">
        <is>
          <t>手引き</t>
        </is>
      </c>
      <c r="M135" s="8" t="str"/>
      <c r="N135" s="8" t="str"/>
      <c r="O135" s="81" t="inlineStr">
        <is>
          <t>確認中</t>
        </is>
      </c>
      <c r="P135" s="80" t="inlineStr">
        <is>
          <t>医師会・病院との連携を4つの場面で記載。入退院調整ルールの有無は未確認</t>
        </is>
      </c>
      <c r="Q135" s="80" t="n"/>
    </row>
    <row r="136" ht="62" customHeight="1">
      <c r="A136" s="8" t="inlineStr">
        <is>
          <t>C135</t>
        </is>
      </c>
      <c r="B136" s="8" t="inlineStr">
        <is>
          <t>Ⅳ</t>
        </is>
      </c>
      <c r="C136" s="8" t="inlineStr">
        <is>
          <t>10 在宅医療・介護連携</t>
        </is>
      </c>
      <c r="D136" s="8" t="inlineStr">
        <is>
          <t>195-200</t>
        </is>
      </c>
      <c r="E136" s="8" t="inlineStr">
        <is>
          <t>医療・介護連携</t>
        </is>
      </c>
      <c r="F136" s="8" t="inlineStr">
        <is>
          <t>医療と介護の両ニーズをもつ高齢者の課題を調査・協議から整理したか</t>
        </is>
      </c>
      <c r="G136" s="8" t="inlineStr">
        <is>
          <t>医療の提供体制と介護サービスの供給・量の見込に矛盾がない</t>
        </is>
      </c>
      <c r="H136" s="8" t="inlineStr">
        <is>
          <t>県医療計画、地域医療構想、医師会・病院資料、地域包括ケア会議録</t>
        </is>
      </c>
      <c r="I136" s="8" t="inlineStr">
        <is>
          <t>2026年4～12月</t>
        </is>
      </c>
      <c r="J136" s="8" t="inlineStr">
        <is>
          <t>主管／医療連携／県</t>
        </is>
      </c>
      <c r="K136" s="8" t="inlineStr">
        <is>
          <t>A</t>
        </is>
      </c>
      <c r="L136" s="8" t="inlineStr">
        <is>
          <t>手引き</t>
        </is>
      </c>
      <c r="M136" s="8" t="str"/>
      <c r="N136" s="8" t="str"/>
      <c r="O136" s="81" t="inlineStr">
        <is>
          <t>確認中</t>
        </is>
      </c>
      <c r="P136" s="80" t="inlineStr">
        <is>
          <t>医療と介護の両方のニーズの整理は一部</t>
        </is>
      </c>
      <c r="Q136" s="80" t="n"/>
    </row>
    <row r="137" ht="62" customHeight="1">
      <c r="A137" s="8" t="inlineStr">
        <is>
          <t>C136</t>
        </is>
      </c>
      <c r="B137" s="8" t="inlineStr">
        <is>
          <t>Ⅳ</t>
        </is>
      </c>
      <c r="C137" s="8" t="inlineStr">
        <is>
          <t>10 在宅医療・介護連携</t>
        </is>
      </c>
      <c r="D137" s="8" t="inlineStr">
        <is>
          <t>195-200</t>
        </is>
      </c>
      <c r="E137" s="8" t="inlineStr">
        <is>
          <t>医療・介護連携</t>
        </is>
      </c>
      <c r="F137" s="8" t="inlineStr">
        <is>
          <t>在宅医療・介護連携推進事業のアウトカム・目標を設定したか</t>
        </is>
      </c>
      <c r="G137" s="8" t="inlineStr">
        <is>
          <t>医療の提供体制と介護サービスの供給・量の見込に矛盾がない</t>
        </is>
      </c>
      <c r="H137" s="8" t="inlineStr">
        <is>
          <t>県医療計画、地域医療構想、医師会・病院資料、地域包括ケア会議録</t>
        </is>
      </c>
      <c r="I137" s="8" t="inlineStr">
        <is>
          <t>2026年4～12月</t>
        </is>
      </c>
      <c r="J137" s="8" t="inlineStr">
        <is>
          <t>主管／医療連携／県</t>
        </is>
      </c>
      <c r="K137" s="8" t="inlineStr">
        <is>
          <t>A</t>
        </is>
      </c>
      <c r="L137" s="8" t="inlineStr">
        <is>
          <t>手引き</t>
        </is>
      </c>
      <c r="M137" s="8" t="str"/>
      <c r="N137" s="8" t="str"/>
      <c r="O137" s="84" t="inlineStr">
        <is>
          <t>要協議</t>
        </is>
      </c>
      <c r="P137" s="80" t="inlineStr">
        <is>
          <t>4つの場面の目指すべき姿の設定を町・関係機関に依頼中（確認事項№39、11月6日まで）</t>
        </is>
      </c>
      <c r="Q137" s="80" t="n"/>
    </row>
    <row r="138" ht="62" customHeight="1">
      <c r="A138" s="8" t="inlineStr">
        <is>
          <t>C137</t>
        </is>
      </c>
      <c r="B138" s="8" t="inlineStr">
        <is>
          <t>Ⅳ</t>
        </is>
      </c>
      <c r="C138" s="8" t="inlineStr">
        <is>
          <t>11 認知症施策</t>
        </is>
      </c>
      <c r="D138" s="8" t="inlineStr">
        <is>
          <t>201-204</t>
        </is>
      </c>
      <c r="E138" s="8" t="inlineStr">
        <is>
          <t>認知症・本人参画</t>
        </is>
      </c>
      <c r="F138" s="8" t="inlineStr">
        <is>
          <t>認知症基本法・国基本計画・都道府県計画の内容を確認したか</t>
        </is>
      </c>
      <c r="G138" s="8" t="inlineStr">
        <is>
          <t>本人の尊厳・社会参加と施策効果を評価</t>
        </is>
      </c>
      <c r="H138" s="8" t="inlineStr">
        <is>
          <t>認知症施策推進基本計画、県計画、当事者意見、相談実績、地域包括資料</t>
        </is>
      </c>
      <c r="I138" s="8" t="inlineStr">
        <is>
          <t>2026年4～12月</t>
        </is>
      </c>
      <c r="J138" s="8" t="inlineStr">
        <is>
          <t>主管／認知症担当</t>
        </is>
      </c>
      <c r="K138" s="8" t="inlineStr">
        <is>
          <t>A</t>
        </is>
      </c>
      <c r="L138" s="8" t="inlineStr">
        <is>
          <t>手引き</t>
        </is>
      </c>
      <c r="M138" s="8" t="str"/>
      <c r="N138" s="8" t="str"/>
      <c r="O138" s="79" t="inlineStr">
        <is>
          <t>完了</t>
        </is>
      </c>
      <c r="P138" s="80" t="inlineStr">
        <is>
          <t>認知症基本法・国の基本計画・県の計画を確認し、基本法の条立てで施策を構成</t>
        </is>
      </c>
      <c r="Q138" s="80" t="n"/>
    </row>
    <row r="139" ht="62" customHeight="1">
      <c r="A139" s="8" t="inlineStr">
        <is>
          <t>C138</t>
        </is>
      </c>
      <c r="B139" s="8" t="inlineStr">
        <is>
          <t>Ⅳ</t>
        </is>
      </c>
      <c r="C139" s="8" t="inlineStr">
        <is>
          <t>11 認知症施策</t>
        </is>
      </c>
      <c r="D139" s="8" t="inlineStr">
        <is>
          <t>201-204</t>
        </is>
      </c>
      <c r="E139" s="8" t="inlineStr">
        <is>
          <t>認知症・本人参画</t>
        </is>
      </c>
      <c r="F139" s="8" t="inlineStr">
        <is>
          <t>認知症の人と家族の意向を把握し施策形成に反映したか</t>
        </is>
      </c>
      <c r="G139" s="8" t="inlineStr">
        <is>
          <t>本人の尊厳・社会参加と施策効果を評価</t>
        </is>
      </c>
      <c r="H139" s="8" t="inlineStr">
        <is>
          <t>認知症施策推進基本計画、県計画、当事者意見、相談実績、地域包括資料</t>
        </is>
      </c>
      <c r="I139" s="8" t="inlineStr">
        <is>
          <t>2026年4～12月</t>
        </is>
      </c>
      <c r="J139" s="8" t="inlineStr">
        <is>
          <t>主管／認知症担当</t>
        </is>
      </c>
      <c r="K139" s="8" t="inlineStr">
        <is>
          <t>A</t>
        </is>
      </c>
      <c r="L139" s="8" t="inlineStr">
        <is>
          <t>手引き</t>
        </is>
      </c>
      <c r="M139" s="8" t="str"/>
      <c r="N139" s="8" t="str"/>
      <c r="O139" s="84" t="inlineStr">
        <is>
          <t>要協議</t>
        </is>
      </c>
      <c r="P139" s="80" t="inlineStr">
        <is>
          <t>認知症の人と家族の意見を聴く方法は町の判断待ち（確認事項№38）</t>
        </is>
      </c>
      <c r="Q139" s="80" t="n"/>
    </row>
    <row r="140" ht="62" customHeight="1">
      <c r="A140" s="8" t="inlineStr">
        <is>
          <t>C139</t>
        </is>
      </c>
      <c r="B140" s="8" t="inlineStr">
        <is>
          <t>Ⅳ</t>
        </is>
      </c>
      <c r="C140" s="8" t="inlineStr">
        <is>
          <t>11 認知症施策</t>
        </is>
      </c>
      <c r="D140" s="8" t="inlineStr">
        <is>
          <t>201-204</t>
        </is>
      </c>
      <c r="E140" s="8" t="inlineStr">
        <is>
          <t>認知症・本人参画</t>
        </is>
      </c>
      <c r="F140" s="8" t="inlineStr">
        <is>
          <t>早期相談・医療・ケア連携と地域支援を整理したか</t>
        </is>
      </c>
      <c r="G140" s="8" t="inlineStr">
        <is>
          <t>本人の尊厳・社会参加と施策効果を評価</t>
        </is>
      </c>
      <c r="H140" s="8" t="inlineStr">
        <is>
          <t>認知症施策推進基本計画、県計画、当事者意見、相談実績、地域包括資料</t>
        </is>
      </c>
      <c r="I140" s="8" t="inlineStr">
        <is>
          <t>2026年4～12月</t>
        </is>
      </c>
      <c r="J140" s="8" t="inlineStr">
        <is>
          <t>主管／認知症担当</t>
        </is>
      </c>
      <c r="K140" s="8" t="inlineStr">
        <is>
          <t>A</t>
        </is>
      </c>
      <c r="L140" s="8" t="inlineStr">
        <is>
          <t>手引き</t>
        </is>
      </c>
      <c r="M140" s="8" t="str"/>
      <c r="N140" s="8" t="str"/>
      <c r="O140" s="81" t="inlineStr">
        <is>
          <t>確認中</t>
        </is>
      </c>
      <c r="P140" s="80" t="inlineStr">
        <is>
          <t>早期相談・医療連携を記載。初期集中支援推進事業は交付金実績で0円（確認事項№41）</t>
        </is>
      </c>
      <c r="Q140" s="80" t="n"/>
    </row>
    <row r="141" ht="62" customHeight="1">
      <c r="A141" s="8" t="inlineStr">
        <is>
          <t>C140</t>
        </is>
      </c>
      <c r="B141" s="8" t="inlineStr">
        <is>
          <t>Ⅳ</t>
        </is>
      </c>
      <c r="C141" s="8" t="inlineStr">
        <is>
          <t>11 認知症施策</t>
        </is>
      </c>
      <c r="D141" s="8" t="inlineStr">
        <is>
          <t>201-204</t>
        </is>
      </c>
      <c r="E141" s="8" t="inlineStr">
        <is>
          <t>認知症・本人参画</t>
        </is>
      </c>
      <c r="F141" s="8" t="inlineStr">
        <is>
          <t>若年性認知症の相談支援・就労・障害福祉との連携を確認したか</t>
        </is>
      </c>
      <c r="G141" s="8" t="inlineStr">
        <is>
          <t>本人の尊厳・社会参加と施策効果を評価</t>
        </is>
      </c>
      <c r="H141" s="8" t="inlineStr">
        <is>
          <t>認知症施策推進基本計画、県計画、当事者意見、相談実績、地域包括資料</t>
        </is>
      </c>
      <c r="I141" s="8" t="inlineStr">
        <is>
          <t>2026年4～12月</t>
        </is>
      </c>
      <c r="J141" s="8" t="inlineStr">
        <is>
          <t>主管／認知症担当</t>
        </is>
      </c>
      <c r="K141" s="8" t="inlineStr">
        <is>
          <t>A</t>
        </is>
      </c>
      <c r="L141" s="8" t="inlineStr">
        <is>
          <t>手引き</t>
        </is>
      </c>
      <c r="M141" s="8" t="str"/>
      <c r="N141" s="8" t="str"/>
      <c r="O141" s="81" t="inlineStr">
        <is>
          <t>確認中</t>
        </is>
      </c>
      <c r="P141" s="80" t="inlineStr">
        <is>
          <t>若年性認知症の人への支援を記載。把握状況は町データ待ち（確認事項№47）</t>
        </is>
      </c>
      <c r="Q141" s="80" t="n"/>
    </row>
    <row r="142" ht="62" customHeight="1">
      <c r="A142" s="8" t="inlineStr">
        <is>
          <t>C141</t>
        </is>
      </c>
      <c r="B142" s="8" t="inlineStr">
        <is>
          <t>Ⅳ</t>
        </is>
      </c>
      <c r="C142" s="8" t="inlineStr">
        <is>
          <t>11 認知症施策</t>
        </is>
      </c>
      <c r="D142" s="8" t="inlineStr">
        <is>
          <t>201-204</t>
        </is>
      </c>
      <c r="E142" s="8" t="inlineStr">
        <is>
          <t>認知症・本人参画</t>
        </is>
      </c>
      <c r="F142" s="8" t="inlineStr">
        <is>
          <t>認知症施策の評価指標を設定したか</t>
        </is>
      </c>
      <c r="G142" s="8" t="inlineStr">
        <is>
          <t>本人の尊厳・社会参加と施策効果を評価</t>
        </is>
      </c>
      <c r="H142" s="8" t="inlineStr">
        <is>
          <t>認知症施策推進基本計画、県計画、当事者意見、相談実績、地域包括資料</t>
        </is>
      </c>
      <c r="I142" s="8" t="inlineStr">
        <is>
          <t>2026年4～12月</t>
        </is>
      </c>
      <c r="J142" s="8" t="inlineStr">
        <is>
          <t>主管／認知症担当</t>
        </is>
      </c>
      <c r="K142" s="8" t="inlineStr">
        <is>
          <t>A</t>
        </is>
      </c>
      <c r="L142" s="8" t="inlineStr">
        <is>
          <t>手引き</t>
        </is>
      </c>
      <c r="M142" s="8" t="str"/>
      <c r="N142" s="8" t="str"/>
      <c r="O142" s="81" t="inlineStr">
        <is>
          <t>確認中</t>
        </is>
      </c>
      <c r="P142" s="80" t="inlineStr">
        <is>
          <t>認知症施策の成果指標を定義。目標値は協議会で設定</t>
        </is>
      </c>
      <c r="Q142" s="80" t="n"/>
    </row>
    <row r="143" ht="62" customHeight="1">
      <c r="A143" s="8" t="inlineStr">
        <is>
          <t>C142</t>
        </is>
      </c>
      <c r="B143" s="8" t="inlineStr">
        <is>
          <t>Ⅳ</t>
        </is>
      </c>
      <c r="C143" s="8" t="inlineStr">
        <is>
          <t>12 地域支援事業の連動</t>
        </is>
      </c>
      <c r="D143" s="8" t="inlineStr">
        <is>
          <t>205-208</t>
        </is>
      </c>
      <c r="E143" s="8" t="inlineStr">
        <is>
          <t>地域支援事業の整合</t>
        </is>
      </c>
      <c r="F143" s="8" t="inlineStr">
        <is>
          <t>地域包括支援事業と総合事業・任意事業を一覧化したか</t>
        </is>
      </c>
      <c r="G143" s="8" t="inlineStr">
        <is>
          <t>事業間で費用・実施主体・指標が二重計上されない</t>
        </is>
      </c>
      <c r="H143" s="8" t="inlineStr">
        <is>
          <t>地域支援事業決算・実績、国保連資料、地域ケア会議録、実施要綱</t>
        </is>
      </c>
      <c r="I143" s="8" t="inlineStr">
        <is>
          <t>2026年7月～2027年1月</t>
        </is>
      </c>
      <c r="J143" s="8" t="inlineStr">
        <is>
          <t>主管／包括／財政</t>
        </is>
      </c>
      <c r="K143" s="8" t="inlineStr">
        <is>
          <t>A</t>
        </is>
      </c>
      <c r="L143" s="8" t="inlineStr">
        <is>
          <t>手引き</t>
        </is>
      </c>
      <c r="M143" s="8" t="str"/>
      <c r="N143" s="8" t="str"/>
      <c r="O143" s="79" t="inlineStr">
        <is>
          <t>完了</t>
        </is>
      </c>
      <c r="P143" s="80" t="inlineStr">
        <is>
          <t>第6章4に総合事業・包括的支援事業・任意事業を一覧化</t>
        </is>
      </c>
      <c r="Q143" s="80" t="n"/>
    </row>
    <row r="144" ht="62" customHeight="1">
      <c r="A144" s="8" t="inlineStr">
        <is>
          <t>C143</t>
        </is>
      </c>
      <c r="B144" s="8" t="inlineStr">
        <is>
          <t>Ⅳ</t>
        </is>
      </c>
      <c r="C144" s="8" t="inlineStr">
        <is>
          <t>12 地域支援事業の連動</t>
        </is>
      </c>
      <c r="D144" s="8" t="inlineStr">
        <is>
          <t>205-208</t>
        </is>
      </c>
      <c r="E144" s="8" t="inlineStr">
        <is>
          <t>地域支援事業の整合</t>
        </is>
      </c>
      <c r="F144" s="8" t="inlineStr">
        <is>
          <t>地域ケア会議の課題抽出と生活支援協議体の対応を連動させたか</t>
        </is>
      </c>
      <c r="G144" s="8" t="inlineStr">
        <is>
          <t>事業間で費用・実施主体・指標が二重計上されない</t>
        </is>
      </c>
      <c r="H144" s="8" t="inlineStr">
        <is>
          <t>地域支援事業決算・実績、国保連資料、地域ケア会議録、実施要綱</t>
        </is>
      </c>
      <c r="I144" s="8" t="inlineStr">
        <is>
          <t>2026年7月～2027年1月</t>
        </is>
      </c>
      <c r="J144" s="8" t="inlineStr">
        <is>
          <t>主管／包括／財政</t>
        </is>
      </c>
      <c r="K144" s="8" t="inlineStr">
        <is>
          <t>A</t>
        </is>
      </c>
      <c r="L144" s="8" t="inlineStr">
        <is>
          <t>手引き</t>
        </is>
      </c>
      <c r="M144" s="8" t="str"/>
      <c r="N144" s="8" t="str"/>
      <c r="O144" s="81" t="inlineStr">
        <is>
          <t>確認中</t>
        </is>
      </c>
      <c r="P144" s="80" t="inlineStr">
        <is>
          <t>地域ケア会議と協議体の連動は一部</t>
        </is>
      </c>
      <c r="Q144" s="80" t="n"/>
    </row>
    <row r="145" ht="62" customHeight="1">
      <c r="A145" s="8" t="inlineStr">
        <is>
          <t>C144</t>
        </is>
      </c>
      <c r="B145" s="8" t="inlineStr">
        <is>
          <t>Ⅳ</t>
        </is>
      </c>
      <c r="C145" s="8" t="inlineStr">
        <is>
          <t>12 地域支援事業の連動</t>
        </is>
      </c>
      <c r="D145" s="8" t="inlineStr">
        <is>
          <t>205-208</t>
        </is>
      </c>
      <c r="E145" s="8" t="inlineStr">
        <is>
          <t>地域支援事業の整合</t>
        </is>
      </c>
      <c r="F145" s="8" t="inlineStr">
        <is>
          <t>地域支援事業費の見込量・補助上限等を確認したか</t>
        </is>
      </c>
      <c r="G145" s="8" t="inlineStr">
        <is>
          <t>事業間で費用・実施主体・指標が二重計上されない</t>
        </is>
      </c>
      <c r="H145" s="8" t="inlineStr">
        <is>
          <t>地域支援事業決算・実績、国保連資料、地域ケア会議録、実施要綱</t>
        </is>
      </c>
      <c r="I145" s="8" t="inlineStr">
        <is>
          <t>2026年7月～2027年1月</t>
        </is>
      </c>
      <c r="J145" s="8" t="inlineStr">
        <is>
          <t>主管／包括／財政</t>
        </is>
      </c>
      <c r="K145" s="8" t="inlineStr">
        <is>
          <t>A</t>
        </is>
      </c>
      <c r="L145" s="8" t="inlineStr">
        <is>
          <t>手引き</t>
        </is>
      </c>
      <c r="M145" s="8" t="str"/>
      <c r="N145" s="8" t="str"/>
      <c r="O145" s="79" t="inlineStr">
        <is>
          <t>完了</t>
        </is>
      </c>
      <c r="P145" s="80" t="inlineStr">
        <is>
          <t>地域支援事業費を交付金実績報告と照合。上限は施行令第37条の13（条ずれの注記あり）</t>
        </is>
      </c>
      <c r="Q145" s="80" t="n"/>
    </row>
    <row r="146" ht="62" customHeight="1">
      <c r="A146" s="8" t="inlineStr">
        <is>
          <t>C145</t>
        </is>
      </c>
      <c r="B146" s="8" t="inlineStr">
        <is>
          <t>Ⅳ</t>
        </is>
      </c>
      <c r="C146" s="8" t="inlineStr">
        <is>
          <t>12 地域支援事業の連動</t>
        </is>
      </c>
      <c r="D146" s="8" t="inlineStr">
        <is>
          <t>205-208</t>
        </is>
      </c>
      <c r="E146" s="8" t="inlineStr">
        <is>
          <t>地域支援事業の整合</t>
        </is>
      </c>
      <c r="F146" s="8" t="inlineStr">
        <is>
          <t>地域支援事業が介護サービス量の見込に与える影響を検討したか</t>
        </is>
      </c>
      <c r="G146" s="8" t="inlineStr">
        <is>
          <t>事業間で費用・実施主体・指標が二重計上されない</t>
        </is>
      </c>
      <c r="H146" s="8" t="inlineStr">
        <is>
          <t>地域支援事業決算・実績、国保連資料、地域ケア会議録、実施要綱</t>
        </is>
      </c>
      <c r="I146" s="8" t="inlineStr">
        <is>
          <t>2026年7月～2027年1月</t>
        </is>
      </c>
      <c r="J146" s="8" t="inlineStr">
        <is>
          <t>主管／包括／財政</t>
        </is>
      </c>
      <c r="K146" s="8" t="inlineStr">
        <is>
          <t>A</t>
        </is>
      </c>
      <c r="L146" s="8" t="inlineStr">
        <is>
          <t>手引き</t>
        </is>
      </c>
      <c r="M146" s="8" t="str"/>
      <c r="N146" s="8" t="str"/>
      <c r="O146" s="81" t="inlineStr">
        <is>
          <t>確認中</t>
        </is>
      </c>
      <c r="P146" s="80" t="inlineStr">
        <is>
          <t>特定地域居宅サービス等事業（令和9年4月新設）が費用に与える影響を参考として記載</t>
        </is>
      </c>
      <c r="Q146" s="80" t="n"/>
    </row>
    <row r="147" ht="62" customHeight="1">
      <c r="A147" s="8" t="inlineStr">
        <is>
          <t>C146</t>
        </is>
      </c>
      <c r="B147" s="8" t="inlineStr">
        <is>
          <t>Ⅳ</t>
        </is>
      </c>
      <c r="C147" s="8" t="inlineStr">
        <is>
          <t>14 自然災害・感染症</t>
        </is>
      </c>
      <c r="D147" s="8" t="inlineStr">
        <is>
          <t>224-228</t>
        </is>
      </c>
      <c r="E147" s="8" t="inlineStr">
        <is>
          <t>BCP・防災</t>
        </is>
      </c>
      <c r="F147" s="8" t="inlineStr">
        <is>
          <t>災害時要配慮者支援計画と介護事業所BCPの実施状況を確認したか</t>
        </is>
      </c>
      <c r="G147" s="8" t="inlineStr">
        <is>
          <t>サービス休止リスクと代替体制が具体化されている</t>
        </is>
      </c>
      <c r="H147" s="8" t="inlineStr">
        <is>
          <t>地域防災計画、災害時個別避難計画、事業所BCP、訓練実績</t>
        </is>
      </c>
      <c r="I147" s="8" t="inlineStr">
        <is>
          <t>2026年4～12月</t>
        </is>
      </c>
      <c r="J147" s="8" t="inlineStr">
        <is>
          <t>防災／主管／事業者</t>
        </is>
      </c>
      <c r="K147" s="8" t="inlineStr">
        <is>
          <t>A</t>
        </is>
      </c>
      <c r="L147" s="8" t="inlineStr">
        <is>
          <t>手引き</t>
        </is>
      </c>
      <c r="M147" s="8" t="str"/>
      <c r="N147" s="8" t="str"/>
      <c r="O147" s="81" t="inlineStr">
        <is>
          <t>確認中</t>
        </is>
      </c>
      <c r="P147" s="80" t="inlineStr">
        <is>
          <t>避難行動要支援者名簿・個別避難計画・事業所の業務継続計画を記載</t>
        </is>
      </c>
      <c r="Q147" s="80" t="n"/>
    </row>
    <row r="148" ht="62" customHeight="1">
      <c r="A148" s="8" t="inlineStr">
        <is>
          <t>C147</t>
        </is>
      </c>
      <c r="B148" s="8" t="inlineStr">
        <is>
          <t>Ⅳ</t>
        </is>
      </c>
      <c r="C148" s="8" t="inlineStr">
        <is>
          <t>14 自然災害・感染症</t>
        </is>
      </c>
      <c r="D148" s="8" t="inlineStr">
        <is>
          <t>224-228</t>
        </is>
      </c>
      <c r="E148" s="8" t="inlineStr">
        <is>
          <t>BCP・防災</t>
        </is>
      </c>
      <c r="F148" s="8" t="inlineStr">
        <is>
          <t>感染症流行時のサービス継続・代替提供・連絡経路を把握したか</t>
        </is>
      </c>
      <c r="G148" s="8" t="inlineStr">
        <is>
          <t>サービス休止リスクと代替体制が具体化されている</t>
        </is>
      </c>
      <c r="H148" s="8" t="inlineStr">
        <is>
          <t>地域防災計画、災害時個別避難計画、事業所BCP、訓練実績</t>
        </is>
      </c>
      <c r="I148" s="8" t="inlineStr">
        <is>
          <t>2026年4～12月</t>
        </is>
      </c>
      <c r="J148" s="8" t="inlineStr">
        <is>
          <t>防災／主管／事業者</t>
        </is>
      </c>
      <c r="K148" s="8" t="inlineStr">
        <is>
          <t>A</t>
        </is>
      </c>
      <c r="L148" s="8" t="inlineStr">
        <is>
          <t>手引き</t>
        </is>
      </c>
      <c r="M148" s="8" t="str"/>
      <c r="N148" s="8" t="str"/>
      <c r="O148" s="81" t="inlineStr">
        <is>
          <t>確認中</t>
        </is>
      </c>
      <c r="P148" s="80" t="inlineStr">
        <is>
          <t>感染症流行時のサービス継続・代替は一部</t>
        </is>
      </c>
      <c r="Q148" s="80" t="n"/>
    </row>
    <row r="149" ht="62" customHeight="1">
      <c r="A149" s="8" t="inlineStr">
        <is>
          <t>C148</t>
        </is>
      </c>
      <c r="B149" s="8" t="inlineStr">
        <is>
          <t>Ⅳ</t>
        </is>
      </c>
      <c r="C149" s="8" t="inlineStr">
        <is>
          <t>14 自然災害・感染症</t>
        </is>
      </c>
      <c r="D149" s="8" t="inlineStr">
        <is>
          <t>224-228</t>
        </is>
      </c>
      <c r="E149" s="8" t="inlineStr">
        <is>
          <t>BCP・防災</t>
        </is>
      </c>
      <c r="F149" s="8" t="inlineStr">
        <is>
          <t>ハザードと事業所立地・在宅利用者の支援体制を照合したか</t>
        </is>
      </c>
      <c r="G149" s="8" t="inlineStr">
        <is>
          <t>サービス休止リスクと代替体制が具体化されている</t>
        </is>
      </c>
      <c r="H149" s="8" t="inlineStr">
        <is>
          <t>地域防災計画、災害時個別避難計画、事業所BCP、訓練実績</t>
        </is>
      </c>
      <c r="I149" s="8" t="inlineStr">
        <is>
          <t>2026年4～12月</t>
        </is>
      </c>
      <c r="J149" s="8" t="inlineStr">
        <is>
          <t>防災／主管／事業者</t>
        </is>
      </c>
      <c r="K149" s="8" t="inlineStr">
        <is>
          <t>A</t>
        </is>
      </c>
      <c r="L149" s="8" t="inlineStr">
        <is>
          <t>手引き</t>
        </is>
      </c>
      <c r="M149" s="8" t="str"/>
      <c r="N149" s="8" t="str"/>
      <c r="O149" s="83" t="inlineStr">
        <is>
          <t>未確認</t>
        </is>
      </c>
      <c r="P149" s="80" t="inlineStr">
        <is>
          <t>ハザードと事業所立地・在宅利用者の照合は未実施</t>
        </is>
      </c>
      <c r="Q149" s="80" t="n"/>
    </row>
    <row r="150" ht="62" customHeight="1">
      <c r="A150" s="8" t="inlineStr">
        <is>
          <t>C149</t>
        </is>
      </c>
      <c r="B150" s="8" t="inlineStr">
        <is>
          <t>Ⅳ</t>
        </is>
      </c>
      <c r="C150" s="8" t="inlineStr">
        <is>
          <t>15 目標設定・評価</t>
        </is>
      </c>
      <c r="D150" s="8" t="inlineStr">
        <is>
          <t>229-235</t>
        </is>
      </c>
      <c r="E150" s="8" t="inlineStr">
        <is>
          <t>KPI・評価・リハビリ</t>
        </is>
      </c>
      <c r="F150" s="8" t="inlineStr">
        <is>
          <t>第９期計画の目標と実績の評価を次期に反映したか</t>
        </is>
      </c>
      <c r="G150" s="8" t="inlineStr">
        <is>
          <t>定量・定性両面の指標をPDCAで使える</t>
        </is>
      </c>
      <c r="H150" s="8" t="inlineStr">
        <is>
          <t>取組・目標自己評価シート、総合事業評価、介護サービスデータ、リハビリ指標</t>
        </is>
      </c>
      <c r="I150" s="8" t="inlineStr">
        <is>
          <t>2026年7月～2027年3月</t>
        </is>
      </c>
      <c r="J150" s="8" t="inlineStr">
        <is>
          <t>主管／介護予防</t>
        </is>
      </c>
      <c r="K150" s="8" t="inlineStr">
        <is>
          <t>A</t>
        </is>
      </c>
      <c r="L150" s="8" t="inlineStr">
        <is>
          <t>手引き</t>
        </is>
      </c>
      <c r="M150" s="8" t="str"/>
      <c r="N150" s="8" t="str"/>
      <c r="O150" s="79" t="inlineStr">
        <is>
          <t>完了</t>
        </is>
      </c>
      <c r="P150" s="80" t="inlineStr">
        <is>
          <t>第3章で第9期の目標と実績を評価し第10期に反映</t>
        </is>
      </c>
      <c r="Q150" s="80" t="n"/>
    </row>
    <row r="151" ht="62" customHeight="1">
      <c r="A151" s="8" t="inlineStr">
        <is>
          <t>C150</t>
        </is>
      </c>
      <c r="B151" s="8" t="inlineStr">
        <is>
          <t>Ⅳ</t>
        </is>
      </c>
      <c r="C151" s="8" t="inlineStr">
        <is>
          <t>15 目標設定・評価</t>
        </is>
      </c>
      <c r="D151" s="8" t="inlineStr">
        <is>
          <t>229-235</t>
        </is>
      </c>
      <c r="E151" s="8" t="inlineStr">
        <is>
          <t>KPI・評価・リハビリ</t>
        </is>
      </c>
      <c r="F151" s="8" t="inlineStr">
        <is>
          <t>総合事業の評価を取組・量・成果で区分したか</t>
        </is>
      </c>
      <c r="G151" s="8" t="inlineStr">
        <is>
          <t>定量・定性両面の指標をPDCAで使える</t>
        </is>
      </c>
      <c r="H151" s="8" t="inlineStr">
        <is>
          <t>取組・目標自己評価シート、総合事業評価、介護サービスデータ、リハビリ指標</t>
        </is>
      </c>
      <c r="I151" s="8" t="inlineStr">
        <is>
          <t>2026年7月～2027年3月</t>
        </is>
      </c>
      <c r="J151" s="8" t="inlineStr">
        <is>
          <t>主管／介護予防</t>
        </is>
      </c>
      <c r="K151" s="8" t="inlineStr">
        <is>
          <t>A</t>
        </is>
      </c>
      <c r="L151" s="8" t="inlineStr">
        <is>
          <t>手引き</t>
        </is>
      </c>
      <c r="M151" s="8" t="str"/>
      <c r="N151" s="8" t="str"/>
      <c r="O151" s="81" t="inlineStr">
        <is>
          <t>確認中</t>
        </is>
      </c>
      <c r="P151" s="80" t="inlineStr">
        <is>
          <t>総合事業の評価を取組・量・成果に区分していない</t>
        </is>
      </c>
      <c r="Q151" s="80" t="n"/>
    </row>
    <row r="152" ht="62" customHeight="1">
      <c r="A152" s="8" t="inlineStr">
        <is>
          <t>C151</t>
        </is>
      </c>
      <c r="B152" s="8" t="inlineStr">
        <is>
          <t>Ⅳ</t>
        </is>
      </c>
      <c r="C152" s="8" t="inlineStr">
        <is>
          <t>15 目標設定・評価</t>
        </is>
      </c>
      <c r="D152" s="8" t="inlineStr">
        <is>
          <t>229-235</t>
        </is>
      </c>
      <c r="E152" s="8" t="inlineStr">
        <is>
          <t>KPI・評価・リハビリ</t>
        </is>
      </c>
      <c r="F152" s="8" t="inlineStr">
        <is>
          <t>リハビリ提供体制と関連目標を確認したか</t>
        </is>
      </c>
      <c r="G152" s="8" t="inlineStr">
        <is>
          <t>定量・定性両面の指標をPDCAで使える</t>
        </is>
      </c>
      <c r="H152" s="8" t="inlineStr">
        <is>
          <t>取組・目標自己評価シート、総合事業評価、介護サービスデータ、リハビリ指標</t>
        </is>
      </c>
      <c r="I152" s="8" t="inlineStr">
        <is>
          <t>2026年7月～2027年3月</t>
        </is>
      </c>
      <c r="J152" s="8" t="inlineStr">
        <is>
          <t>主管／介護予防</t>
        </is>
      </c>
      <c r="K152" s="8" t="inlineStr">
        <is>
          <t>A</t>
        </is>
      </c>
      <c r="L152" s="8" t="inlineStr">
        <is>
          <t>手引き</t>
        </is>
      </c>
      <c r="M152" s="8" t="str"/>
      <c r="N152" s="8" t="str"/>
      <c r="O152" s="83" t="inlineStr">
        <is>
          <t>未確認</t>
        </is>
      </c>
      <c r="P152" s="80" t="inlineStr">
        <is>
          <t>リハビリテーション提供体制の指標は未設定</t>
        </is>
      </c>
      <c r="Q152" s="80" t="inlineStr">
        <is>
          <t>見える化の指標で設定を検討</t>
        </is>
      </c>
    </row>
    <row r="153" ht="62" customHeight="1">
      <c r="A153" s="8" t="inlineStr">
        <is>
          <t>C152</t>
        </is>
      </c>
      <c r="B153" s="8" t="inlineStr">
        <is>
          <t>Ⅳ</t>
        </is>
      </c>
      <c r="C153" s="8" t="inlineStr">
        <is>
          <t>15 目標設定・評価</t>
        </is>
      </c>
      <c r="D153" s="8" t="inlineStr">
        <is>
          <t>229-235</t>
        </is>
      </c>
      <c r="E153" s="8" t="inlineStr">
        <is>
          <t>KPI・評価・リハビリ</t>
        </is>
      </c>
      <c r="F153" s="8" t="inlineStr">
        <is>
          <t>数値目標の分母・年度・算定方法・原データを定義したか</t>
        </is>
      </c>
      <c r="G153" s="8" t="inlineStr">
        <is>
          <t>定量・定性両面の指標をPDCAで使える</t>
        </is>
      </c>
      <c r="H153" s="8" t="inlineStr">
        <is>
          <t>取組・目標自己評価シート、総合事業評価、介護サービスデータ、リハビリ指標</t>
        </is>
      </c>
      <c r="I153" s="8" t="inlineStr">
        <is>
          <t>2026年7月～2027年3月</t>
        </is>
      </c>
      <c r="J153" s="8" t="inlineStr">
        <is>
          <t>主管／介護予防</t>
        </is>
      </c>
      <c r="K153" s="8" t="inlineStr">
        <is>
          <t>A</t>
        </is>
      </c>
      <c r="L153" s="8" t="inlineStr">
        <is>
          <t>手引き</t>
        </is>
      </c>
      <c r="M153" s="8" t="str"/>
      <c r="N153" s="8" t="str"/>
      <c r="O153" s="79" t="inlineStr">
        <is>
          <t>完了</t>
        </is>
      </c>
      <c r="P153" s="80" t="inlineStr">
        <is>
          <t>資料編8に分母・年度・算定方法・原データを定義</t>
        </is>
      </c>
      <c r="Q153" s="80" t="n"/>
    </row>
    <row r="154" ht="62" customHeight="1">
      <c r="A154" s="8" t="inlineStr">
        <is>
          <t>C153</t>
        </is>
      </c>
      <c r="B154" s="8" t="inlineStr">
        <is>
          <t>Ⅳ</t>
        </is>
      </c>
      <c r="C154" s="8" t="inlineStr">
        <is>
          <t>15 目標設定・評価</t>
        </is>
      </c>
      <c r="D154" s="8" t="inlineStr">
        <is>
          <t>229-235</t>
        </is>
      </c>
      <c r="E154" s="8" t="inlineStr">
        <is>
          <t>KPI・評価・リハビリ</t>
        </is>
      </c>
      <c r="F154" s="8" t="inlineStr">
        <is>
          <t>少なくとも年度ごとの評価会議と改善フローを設定したか</t>
        </is>
      </c>
      <c r="G154" s="8" t="inlineStr">
        <is>
          <t>定量・定性両面の指標をPDCAで使える</t>
        </is>
      </c>
      <c r="H154" s="8" t="inlineStr">
        <is>
          <t>取組・目標自己評価シート、総合事業評価、介護サービスデータ、リハビリ指標</t>
        </is>
      </c>
      <c r="I154" s="8" t="inlineStr">
        <is>
          <t>2026年7月～2027年3月</t>
        </is>
      </c>
      <c r="J154" s="8" t="inlineStr">
        <is>
          <t>主管／介護予防</t>
        </is>
      </c>
      <c r="K154" s="8" t="inlineStr">
        <is>
          <t>A</t>
        </is>
      </c>
      <c r="L154" s="8" t="inlineStr">
        <is>
          <t>手引き</t>
        </is>
      </c>
      <c r="M154" s="8" t="str"/>
      <c r="N154" s="8" t="str"/>
      <c r="O154" s="79" t="inlineStr">
        <is>
          <t>完了</t>
        </is>
      </c>
      <c r="P154" s="80" t="inlineStr">
        <is>
          <t>第1章6（2）毎年度の点検項目、資料編9・10（年次評価の様式・見直しの基準）</t>
        </is>
      </c>
      <c r="Q154" s="80" t="n"/>
    </row>
    <row r="155" ht="62" customHeight="1">
      <c r="A155" s="8" t="inlineStr">
        <is>
          <t>C154</t>
        </is>
      </c>
      <c r="B155" s="8" t="inlineStr">
        <is>
          <t>Ⅳ</t>
        </is>
      </c>
      <c r="C155" s="8" t="inlineStr">
        <is>
          <t>15.1／16 保険者機能強化</t>
        </is>
      </c>
      <c r="D155" s="8" t="inlineStr">
        <is>
          <t>229,236-237</t>
        </is>
      </c>
      <c r="E155" s="8" t="inlineStr">
        <is>
          <t>保険者機能強化推進交付金</t>
        </is>
      </c>
      <c r="F155" s="8" t="inlineStr">
        <is>
          <t>2026年度市町村評価指標（配点・定義・実績時点）を取得したか</t>
        </is>
      </c>
      <c r="G155" s="8" t="inlineStr">
        <is>
          <t>指標ごとの根拠が再現でき、改善施策に転換されている</t>
        </is>
      </c>
      <c r="H155" s="8" t="inlineStr">
        <is>
          <t>厚労省2026年度評価指標、市町村得点結果、自己評価回答、証跡資料、交付決定通知</t>
        </is>
      </c>
      <c r="I155" s="8" t="inlineStr">
        <is>
          <t>毎年度／2026年10月～2027年3月</t>
        </is>
      </c>
      <c r="J155" s="8" t="inlineStr">
        <is>
          <t>主管／関係部局／財政</t>
        </is>
      </c>
      <c r="K155" s="8" t="inlineStr">
        <is>
          <t>最優先</t>
        </is>
      </c>
      <c r="L155" s="8" t="inlineStr">
        <is>
          <t>手引き+2026評価指標</t>
        </is>
      </c>
      <c r="M155" s="8" t="str"/>
      <c r="N155" s="8" t="inlineStr">
        <is>
          <t>https://www.mhlw.go.jp/stf/newpage_17090.html</t>
        </is>
      </c>
      <c r="O155" s="79" t="inlineStr">
        <is>
          <t>完了</t>
        </is>
      </c>
      <c r="P155" s="80" t="inlineStr">
        <is>
          <t>令和8年度の評価指標と本町の得点を受領・整理</t>
        </is>
      </c>
      <c r="Q155" s="80" t="n"/>
    </row>
    <row r="156" ht="62" customHeight="1">
      <c r="A156" s="8" t="inlineStr">
        <is>
          <t>C155</t>
        </is>
      </c>
      <c r="B156" s="8" t="inlineStr">
        <is>
          <t>Ⅳ</t>
        </is>
      </c>
      <c r="C156" s="8" t="inlineStr">
        <is>
          <t>15.1／16 保険者機能強化</t>
        </is>
      </c>
      <c r="D156" s="8" t="inlineStr">
        <is>
          <t>229,236-237</t>
        </is>
      </c>
      <c r="E156" s="8" t="inlineStr">
        <is>
          <t>保険者機能強化推進交付金</t>
        </is>
      </c>
      <c r="F156" s="8" t="inlineStr">
        <is>
          <t>自治体の2026年度の指標別得点と根拠資料を照合したか</t>
        </is>
      </c>
      <c r="G156" s="8" t="inlineStr">
        <is>
          <t>指標ごとの根拠が再現でき、改善施策に転換されている</t>
        </is>
      </c>
      <c r="H156" s="8" t="inlineStr">
        <is>
          <t>厚労省2026年度評価指標、市町村得点結果、自己評価回答、証跡資料、交付決定通知</t>
        </is>
      </c>
      <c r="I156" s="8" t="inlineStr">
        <is>
          <t>毎年度／2026年10月～2027年3月</t>
        </is>
      </c>
      <c r="J156" s="8" t="inlineStr">
        <is>
          <t>主管／関係部局／財政</t>
        </is>
      </c>
      <c r="K156" s="8" t="inlineStr">
        <is>
          <t>最優先</t>
        </is>
      </c>
      <c r="L156" s="8" t="inlineStr">
        <is>
          <t>手引き+2026評価指標</t>
        </is>
      </c>
      <c r="M156" s="8" t="str"/>
      <c r="N156" s="8" t="inlineStr">
        <is>
          <t>https://www.mhlw.go.jp/stf/newpage_17090.html</t>
        </is>
      </c>
      <c r="O156" s="79" t="inlineStr">
        <is>
          <t>完了</t>
        </is>
      </c>
      <c r="P156" s="80" t="inlineStr">
        <is>
          <t>指標別得点と根拠を照合（県内は分布と順位のみ）</t>
        </is>
      </c>
      <c r="Q156" s="80" t="n"/>
    </row>
    <row r="157" ht="62" customHeight="1">
      <c r="A157" s="8" t="inlineStr">
        <is>
          <t>C156</t>
        </is>
      </c>
      <c r="B157" s="8" t="inlineStr">
        <is>
          <t>Ⅳ</t>
        </is>
      </c>
      <c r="C157" s="8" t="inlineStr">
        <is>
          <t>15.1／16 保険者機能強化</t>
        </is>
      </c>
      <c r="D157" s="8" t="inlineStr">
        <is>
          <t>229,236-237</t>
        </is>
      </c>
      <c r="E157" s="8" t="inlineStr">
        <is>
          <t>保険者機能強化推進交付金</t>
        </is>
      </c>
      <c r="F157" s="8" t="inlineStr">
        <is>
          <t>年度間比較は指標・配点変更を揃えて実施したか</t>
        </is>
      </c>
      <c r="G157" s="8" t="inlineStr">
        <is>
          <t>指標ごとの根拠が再現でき、改善施策に転換されている</t>
        </is>
      </c>
      <c r="H157" s="8" t="inlineStr">
        <is>
          <t>厚労省2026年度評価指標、市町村得点結果、自己評価回答、証跡資料、交付決定通知</t>
        </is>
      </c>
      <c r="I157" s="8" t="inlineStr">
        <is>
          <t>毎年度／2026年10月～2027年3月</t>
        </is>
      </c>
      <c r="J157" s="8" t="inlineStr">
        <is>
          <t>主管／関係部局／財政</t>
        </is>
      </c>
      <c r="K157" s="8" t="inlineStr">
        <is>
          <t>最優先</t>
        </is>
      </c>
      <c r="L157" s="8" t="inlineStr">
        <is>
          <t>手引き+2026評価指標</t>
        </is>
      </c>
      <c r="M157" s="8" t="str"/>
      <c r="N157" s="8" t="inlineStr">
        <is>
          <t>https://www.mhlw.go.jp/stf/newpage_17090.html</t>
        </is>
      </c>
      <c r="O157" s="81" t="inlineStr">
        <is>
          <t>確認中</t>
        </is>
      </c>
      <c r="P157" s="80" t="inlineStr">
        <is>
          <t>年度間比較で指標・配点の変更をそろえる処理は一部</t>
        </is>
      </c>
      <c r="Q157" s="80" t="n"/>
    </row>
    <row r="158" ht="62" customHeight="1">
      <c r="A158" s="8" t="inlineStr">
        <is>
          <t>C157</t>
        </is>
      </c>
      <c r="B158" s="8" t="inlineStr">
        <is>
          <t>Ⅳ</t>
        </is>
      </c>
      <c r="C158" s="8" t="inlineStr">
        <is>
          <t>15.1／16 保険者機能強化</t>
        </is>
      </c>
      <c r="D158" s="8" t="inlineStr">
        <is>
          <t>229,236-237</t>
        </is>
      </c>
      <c r="E158" s="8" t="inlineStr">
        <is>
          <t>保険者機能強化推進交付金</t>
        </is>
      </c>
      <c r="F158" s="8" t="inlineStr">
        <is>
          <t>低得点項目の原因を制度未実施・証跡不足・実績不足に区分したか</t>
        </is>
      </c>
      <c r="G158" s="8" t="inlineStr">
        <is>
          <t>指標ごとの根拠が再現でき、改善施策に転換されている</t>
        </is>
      </c>
      <c r="H158" s="8" t="inlineStr">
        <is>
          <t>厚労省2026年度評価指標、市町村得点結果、自己評価回答、証跡資料、交付決定通知</t>
        </is>
      </c>
      <c r="I158" s="8" t="inlineStr">
        <is>
          <t>毎年度／2026年10月～2027年3月</t>
        </is>
      </c>
      <c r="J158" s="8" t="inlineStr">
        <is>
          <t>主管／関係部局／財政</t>
        </is>
      </c>
      <c r="K158" s="8" t="inlineStr">
        <is>
          <t>最優先</t>
        </is>
      </c>
      <c r="L158" s="8" t="inlineStr">
        <is>
          <t>手引き+2026評価指標</t>
        </is>
      </c>
      <c r="M158" s="8" t="str"/>
      <c r="N158" s="8" t="inlineStr">
        <is>
          <t>https://www.mhlw.go.jp/stf/newpage_17090.html</t>
        </is>
      </c>
      <c r="O158" s="81" t="inlineStr">
        <is>
          <t>確認中</t>
        </is>
      </c>
      <c r="P158" s="80" t="inlineStr">
        <is>
          <t>低得点項目の原因の区分（制度未実施・証跡不足・実績不足）は一部</t>
        </is>
      </c>
      <c r="Q158" s="80" t="n"/>
    </row>
    <row r="159" ht="62" customHeight="1">
      <c r="A159" s="8" t="inlineStr">
        <is>
          <t>C158</t>
        </is>
      </c>
      <c r="B159" s="8" t="inlineStr">
        <is>
          <t>Ⅳ</t>
        </is>
      </c>
      <c r="C159" s="8" t="inlineStr">
        <is>
          <t>15.1／16 保険者機能強化</t>
        </is>
      </c>
      <c r="D159" s="8" t="inlineStr">
        <is>
          <t>229,236-237</t>
        </is>
      </c>
      <c r="E159" s="8" t="inlineStr">
        <is>
          <t>保険者機能強化推進交付金</t>
        </is>
      </c>
      <c r="F159" s="8" t="inlineStr">
        <is>
          <t>高得点項目も継続性・費用対効果を評価したか</t>
        </is>
      </c>
      <c r="G159" s="8" t="inlineStr">
        <is>
          <t>指標ごとの根拠が再現でき、改善施策に転換されている</t>
        </is>
      </c>
      <c r="H159" s="8" t="inlineStr">
        <is>
          <t>厚労省2026年度評価指標、市町村得点結果、自己評価回答、証跡資料、交付決定通知</t>
        </is>
      </c>
      <c r="I159" s="8" t="inlineStr">
        <is>
          <t>毎年度／2026年10月～2027年3月</t>
        </is>
      </c>
      <c r="J159" s="8" t="inlineStr">
        <is>
          <t>主管／関係部局／財政</t>
        </is>
      </c>
      <c r="K159" s="8" t="inlineStr">
        <is>
          <t>最優先</t>
        </is>
      </c>
      <c r="L159" s="8" t="inlineStr">
        <is>
          <t>手引き+2026評価指標</t>
        </is>
      </c>
      <c r="M159" s="8" t="str"/>
      <c r="N159" s="8" t="inlineStr">
        <is>
          <t>https://www.mhlw.go.jp/stf/newpage_17090.html</t>
        </is>
      </c>
      <c r="O159" s="83" t="inlineStr">
        <is>
          <t>未確認</t>
        </is>
      </c>
      <c r="P159" s="80" t="inlineStr">
        <is>
          <t>高得点項目の継続性・費用対効果の評価は未実施</t>
        </is>
      </c>
      <c r="Q159" s="80" t="n"/>
    </row>
    <row r="160" ht="62" customHeight="1">
      <c r="A160" s="8" t="inlineStr">
        <is>
          <t>C159</t>
        </is>
      </c>
      <c r="B160" s="8" t="inlineStr">
        <is>
          <t>Ⅳ</t>
        </is>
      </c>
      <c r="C160" s="8" t="inlineStr">
        <is>
          <t>15.1／16 保険者機能強化</t>
        </is>
      </c>
      <c r="D160" s="8" t="inlineStr">
        <is>
          <t>229,236-237</t>
        </is>
      </c>
      <c r="E160" s="8" t="inlineStr">
        <is>
          <t>保険者機能強化推進交付金</t>
        </is>
      </c>
      <c r="F160" s="8" t="inlineStr">
        <is>
          <t>評価を計画KPIと所管部局の行動計画に紐付けたか</t>
        </is>
      </c>
      <c r="G160" s="8" t="inlineStr">
        <is>
          <t>指標ごとの根拠が再現でき、改善施策に転換されている</t>
        </is>
      </c>
      <c r="H160" s="8" t="inlineStr">
        <is>
          <t>厚労省2026年度評価指標、市町村得点結果、自己評価回答、証跡資料、交付決定通知</t>
        </is>
      </c>
      <c r="I160" s="8" t="inlineStr">
        <is>
          <t>毎年度／2026年10月～2027年3月</t>
        </is>
      </c>
      <c r="J160" s="8" t="inlineStr">
        <is>
          <t>主管／関係部局／財政</t>
        </is>
      </c>
      <c r="K160" s="8" t="inlineStr">
        <is>
          <t>最優先</t>
        </is>
      </c>
      <c r="L160" s="8" t="inlineStr">
        <is>
          <t>手引き+2026評価指標</t>
        </is>
      </c>
      <c r="M160" s="8" t="str"/>
      <c r="N160" s="8" t="inlineStr">
        <is>
          <t>https://www.mhlw.go.jp/stf/newpage_17090.html</t>
        </is>
      </c>
      <c r="O160" s="81" t="inlineStr">
        <is>
          <t>確認中</t>
        </is>
      </c>
      <c r="P160" s="80" t="inlineStr">
        <is>
          <t>交付金の指標と計画の成果指標の紐付けは一部</t>
        </is>
      </c>
      <c r="Q160" s="80" t="n"/>
    </row>
    <row r="161" ht="62" customHeight="1">
      <c r="A161" s="8" t="inlineStr">
        <is>
          <t>C160</t>
        </is>
      </c>
      <c r="B161" s="8" t="inlineStr">
        <is>
          <t>Ⅳ</t>
        </is>
      </c>
      <c r="C161" s="8" t="inlineStr">
        <is>
          <t>15.1／16 保険者機能強化</t>
        </is>
      </c>
      <c r="D161" s="8" t="inlineStr">
        <is>
          <t>229,236-237</t>
        </is>
      </c>
      <c r="E161" s="8" t="inlineStr">
        <is>
          <t>保険者機能強化推進交付金</t>
        </is>
      </c>
      <c r="F161" s="8" t="inlineStr">
        <is>
          <t>自治体間順位だけで取組の優劣を判定していないか</t>
        </is>
      </c>
      <c r="G161" s="8" t="inlineStr">
        <is>
          <t>指標ごとの根拠が再現でき、改善施策に転換されている</t>
        </is>
      </c>
      <c r="H161" s="8" t="inlineStr">
        <is>
          <t>厚労省2026年度評価指標、市町村得点結果、自己評価回答、証跡資料、交付決定通知</t>
        </is>
      </c>
      <c r="I161" s="8" t="inlineStr">
        <is>
          <t>毎年度／2026年10月～2027年3月</t>
        </is>
      </c>
      <c r="J161" s="8" t="inlineStr">
        <is>
          <t>主管／関係部局／財政</t>
        </is>
      </c>
      <c r="K161" s="8" t="inlineStr">
        <is>
          <t>最優先</t>
        </is>
      </c>
      <c r="L161" s="8" t="inlineStr">
        <is>
          <t>手引き+2026評価指標</t>
        </is>
      </c>
      <c r="M161" s="8" t="str"/>
      <c r="N161" s="8" t="inlineStr">
        <is>
          <t>https://www.mhlw.go.jp/stf/newpage_17090.html</t>
        </is>
      </c>
      <c r="O161" s="79" t="inlineStr">
        <is>
          <t>完了</t>
        </is>
      </c>
      <c r="P161" s="80" t="inlineStr">
        <is>
          <t>順位だけで優劣を判定せず、分布と本町の位置で示している</t>
        </is>
      </c>
      <c r="Q161" s="80" t="n"/>
    </row>
    <row r="162" ht="62" customHeight="1">
      <c r="A162" s="8" t="inlineStr">
        <is>
          <t>C161</t>
        </is>
      </c>
      <c r="B162" s="8" t="inlineStr">
        <is>
          <t>Ⅳ</t>
        </is>
      </c>
      <c r="C162" s="8" t="inlineStr">
        <is>
          <t>15.1／16 保険者機能強化</t>
        </is>
      </c>
      <c r="D162" s="8" t="inlineStr">
        <is>
          <t>229,236-237</t>
        </is>
      </c>
      <c r="E162" s="8" t="inlineStr">
        <is>
          <t>保険者機能強化推進交付金</t>
        </is>
      </c>
      <c r="F162" s="8" t="inlineStr">
        <is>
          <t>交付金の算定・配分は評価結果だけで一律算出せず、年度要綱を確認したか</t>
        </is>
      </c>
      <c r="G162" s="8" t="inlineStr">
        <is>
          <t>指標ごとの根拠が再現でき、改善施策に転換されている</t>
        </is>
      </c>
      <c r="H162" s="8" t="inlineStr">
        <is>
          <t>厚労省2026年度評価指標、市町村得点結果、自己評価回答、証跡資料、交付決定通知</t>
        </is>
      </c>
      <c r="I162" s="8" t="inlineStr">
        <is>
          <t>毎年度／2026年10月～2027年3月</t>
        </is>
      </c>
      <c r="J162" s="8" t="inlineStr">
        <is>
          <t>主管／関係部局／財政</t>
        </is>
      </c>
      <c r="K162" s="8" t="inlineStr">
        <is>
          <t>最優先</t>
        </is>
      </c>
      <c r="L162" s="8" t="inlineStr">
        <is>
          <t>手引き+2026評価指標</t>
        </is>
      </c>
      <c r="M162" s="8" t="str"/>
      <c r="N162" s="8" t="inlineStr">
        <is>
          <t>https://www.mhlw.go.jp/stf/newpage_17090.html</t>
        </is>
      </c>
      <c r="O162" s="81" t="inlineStr">
        <is>
          <t>確認中</t>
        </is>
      </c>
      <c r="P162" s="80" t="inlineStr">
        <is>
          <t>交付額は年度要綱によることを前提とし、得点から機械的に算出していない</t>
        </is>
      </c>
      <c r="Q162" s="80" t="n"/>
    </row>
    <row r="163" ht="62" customHeight="1">
      <c r="A163" s="8" t="inlineStr">
        <is>
          <t>C162</t>
        </is>
      </c>
      <c r="B163" s="8" t="inlineStr">
        <is>
          <t>Ⅳ</t>
        </is>
      </c>
      <c r="C163" s="8" t="inlineStr">
        <is>
          <t>15.1／17 交付金の活用</t>
        </is>
      </c>
      <c r="D163" s="8" t="inlineStr">
        <is>
          <t>229,238-240</t>
        </is>
      </c>
      <c r="E163" s="8" t="inlineStr">
        <is>
          <t>努力支援交付金・使途</t>
        </is>
      </c>
      <c r="F163" s="8" t="inlineStr">
        <is>
          <t>介護保険保険者努力支援交付金の評価項目を別建てで確認したか</t>
        </is>
      </c>
      <c r="G163" s="8" t="inlineStr">
        <is>
          <t>推進交付金と努力支援交付金を別区分。使途を年度要綱で確認</t>
        </is>
      </c>
      <c r="H163" s="8" t="inlineStr">
        <is>
          <t>年度交付要綱・評価指標、交付決定、基金・財政資料、事業実績報告、決算統計</t>
        </is>
      </c>
      <c r="I163" s="8" t="inlineStr">
        <is>
          <t>毎年度／予算編成と決算時</t>
        </is>
      </c>
      <c r="J163" s="8" t="inlineStr">
        <is>
          <t>主管／財政／事業所管</t>
        </is>
      </c>
      <c r="K163" s="8" t="inlineStr">
        <is>
          <t>最優先</t>
        </is>
      </c>
      <c r="L163" s="8" t="inlineStr">
        <is>
          <t>手引き+国一次資料</t>
        </is>
      </c>
      <c r="M163" s="8" t="str"/>
      <c r="N163" s="8" t="inlineStr">
        <is>
          <t>https://www.mhlw.go.jp/stf/newpage_17527.html</t>
        </is>
      </c>
      <c r="O163" s="79" t="inlineStr">
        <is>
          <t>完了</t>
        </is>
      </c>
      <c r="P163" s="80" t="inlineStr">
        <is>
          <t>努力支援交付金を推進交付金と別建てで整理</t>
        </is>
      </c>
      <c r="Q163" s="80" t="n"/>
    </row>
    <row r="164" ht="62" customHeight="1">
      <c r="A164" s="8" t="inlineStr">
        <is>
          <t>C163</t>
        </is>
      </c>
      <c r="B164" s="8" t="inlineStr">
        <is>
          <t>Ⅳ</t>
        </is>
      </c>
      <c r="C164" s="8" t="inlineStr">
        <is>
          <t>15.1／17 交付金の活用</t>
        </is>
      </c>
      <c r="D164" s="8" t="inlineStr">
        <is>
          <t>229,238-240</t>
        </is>
      </c>
      <c r="E164" s="8" t="inlineStr">
        <is>
          <t>努力支援交付金・使途</t>
        </is>
      </c>
      <c r="F164" s="8" t="inlineStr">
        <is>
          <t>交付金ごとの使途可能事業・対象外事業を確認したか</t>
        </is>
      </c>
      <c r="G164" s="8" t="inlineStr">
        <is>
          <t>推進交付金と努力支援交付金を別区分。使途を年度要綱で確認</t>
        </is>
      </c>
      <c r="H164" s="8" t="inlineStr">
        <is>
          <t>年度交付要綱・評価指標、交付決定、基金・財政資料、事業実績報告、決算統計</t>
        </is>
      </c>
      <c r="I164" s="8" t="inlineStr">
        <is>
          <t>毎年度／予算編成と決算時</t>
        </is>
      </c>
      <c r="J164" s="8" t="inlineStr">
        <is>
          <t>主管／財政／事業所管</t>
        </is>
      </c>
      <c r="K164" s="8" t="inlineStr">
        <is>
          <t>最優先</t>
        </is>
      </c>
      <c r="L164" s="8" t="inlineStr">
        <is>
          <t>手引き+国一次資料</t>
        </is>
      </c>
      <c r="M164" s="8" t="str"/>
      <c r="N164" s="8" t="inlineStr">
        <is>
          <t>https://www.mhlw.go.jp/stf/newpage_17527.html</t>
        </is>
      </c>
      <c r="O164" s="83" t="inlineStr">
        <is>
          <t>未確認</t>
        </is>
      </c>
      <c r="P164" s="80" t="inlineStr">
        <is>
          <t>交付金ごとの使途可能事業・対象外事業は未確認</t>
        </is>
      </c>
      <c r="Q164" s="80" t="inlineStr">
        <is>
          <t>年度要綱を確認</t>
        </is>
      </c>
    </row>
    <row r="165" ht="62" customHeight="1">
      <c r="A165" s="8" t="inlineStr">
        <is>
          <t>C164</t>
        </is>
      </c>
      <c r="B165" s="8" t="inlineStr">
        <is>
          <t>Ⅳ</t>
        </is>
      </c>
      <c r="C165" s="8" t="inlineStr">
        <is>
          <t>15.1／17 交付金の活用</t>
        </is>
      </c>
      <c r="D165" s="8" t="inlineStr">
        <is>
          <t>229,238-240</t>
        </is>
      </c>
      <c r="E165" s="8" t="inlineStr">
        <is>
          <t>努力支援交付金・使途</t>
        </is>
      </c>
      <c r="F165" s="8" t="inlineStr">
        <is>
          <t>地域支援事業・独自事業への充当実績と財源内訳を確認したか</t>
        </is>
      </c>
      <c r="G165" s="8" t="inlineStr">
        <is>
          <t>推進交付金と努力支援交付金を別区分。使途を年度要綱で確認</t>
        </is>
      </c>
      <c r="H165" s="8" t="inlineStr">
        <is>
          <t>年度交付要綱・評価指標、交付決定、基金・財政資料、事業実績報告、決算統計</t>
        </is>
      </c>
      <c r="I165" s="8" t="inlineStr">
        <is>
          <t>毎年度／予算編成と決算時</t>
        </is>
      </c>
      <c r="J165" s="8" t="inlineStr">
        <is>
          <t>主管／財政／事業所管</t>
        </is>
      </c>
      <c r="K165" s="8" t="inlineStr">
        <is>
          <t>最優先</t>
        </is>
      </c>
      <c r="L165" s="8" t="inlineStr">
        <is>
          <t>手引き+国一次資料</t>
        </is>
      </c>
      <c r="M165" s="8" t="str"/>
      <c r="N165" s="8" t="inlineStr">
        <is>
          <t>https://www.mhlw.go.jp/stf/newpage_17527.html</t>
        </is>
      </c>
      <c r="O165" s="81" t="inlineStr">
        <is>
          <t>確認中</t>
        </is>
      </c>
      <c r="P165" s="80" t="inlineStr">
        <is>
          <t>地域支援事業への充当は交付金実績報告で確認。独自事業への充当は未確認</t>
        </is>
      </c>
      <c r="Q165" s="80" t="n"/>
    </row>
    <row r="166" ht="62" customHeight="1">
      <c r="A166" s="8" t="inlineStr">
        <is>
          <t>C165</t>
        </is>
      </c>
      <c r="B166" s="8" t="inlineStr">
        <is>
          <t>Ⅳ</t>
        </is>
      </c>
      <c r="C166" s="8" t="inlineStr">
        <is>
          <t>15.1／17 交付金の活用</t>
        </is>
      </c>
      <c r="D166" s="8" t="inlineStr">
        <is>
          <t>229,238-240</t>
        </is>
      </c>
      <c r="E166" s="8" t="inlineStr">
        <is>
          <t>努力支援交付金・使途</t>
        </is>
      </c>
      <c r="F166" s="8" t="inlineStr">
        <is>
          <t>事業費・交付金額・一般財源・重複補助を照合したか</t>
        </is>
      </c>
      <c r="G166" s="8" t="inlineStr">
        <is>
          <t>推進交付金と努力支援交付金を別区分。使途を年度要綱で確認</t>
        </is>
      </c>
      <c r="H166" s="8" t="inlineStr">
        <is>
          <t>年度交付要綱・評価指標、交付決定、基金・財政資料、事業実績報告、決算統計</t>
        </is>
      </c>
      <c r="I166" s="8" t="inlineStr">
        <is>
          <t>毎年度／予算編成と決算時</t>
        </is>
      </c>
      <c r="J166" s="8" t="inlineStr">
        <is>
          <t>主管／財政／事業所管</t>
        </is>
      </c>
      <c r="K166" s="8" t="inlineStr">
        <is>
          <t>最優先</t>
        </is>
      </c>
      <c r="L166" s="8" t="inlineStr">
        <is>
          <t>手引き+国一次資料</t>
        </is>
      </c>
      <c r="M166" s="8" t="str"/>
      <c r="N166" s="8" t="inlineStr">
        <is>
          <t>https://www.mhlw.go.jp/stf/newpage_17527.html</t>
        </is>
      </c>
      <c r="O166" s="81" t="inlineStr">
        <is>
          <t>確認中</t>
        </is>
      </c>
      <c r="P166" s="80" t="inlineStr">
        <is>
          <t>事業費・交付金額・一般財源の照合は一部</t>
        </is>
      </c>
      <c r="Q166" s="80" t="n"/>
    </row>
    <row r="167" ht="62" customHeight="1">
      <c r="A167" s="8" t="inlineStr">
        <is>
          <t>C166</t>
        </is>
      </c>
      <c r="B167" s="8" t="inlineStr">
        <is>
          <t>Ⅳ</t>
        </is>
      </c>
      <c r="C167" s="8" t="inlineStr">
        <is>
          <t>15.1／17 交付金の活用</t>
        </is>
      </c>
      <c r="D167" s="8" t="inlineStr">
        <is>
          <t>229,238-240</t>
        </is>
      </c>
      <c r="E167" s="8" t="inlineStr">
        <is>
          <t>努力支援交付金・使途</t>
        </is>
      </c>
      <c r="F167" s="8" t="inlineStr">
        <is>
          <t>独自事業の目標、対象者、支出根拠、実績評価を整理したか</t>
        </is>
      </c>
      <c r="G167" s="8" t="inlineStr">
        <is>
          <t>推進交付金と努力支援交付金を別区分。使途を年度要綱で確認</t>
        </is>
      </c>
      <c r="H167" s="8" t="inlineStr">
        <is>
          <t>年度交付要綱・評価指標、交付決定、基金・財政資料、事業実績報告、決算統計</t>
        </is>
      </c>
      <c r="I167" s="8" t="inlineStr">
        <is>
          <t>毎年度／予算編成と決算時</t>
        </is>
      </c>
      <c r="J167" s="8" t="inlineStr">
        <is>
          <t>主管／財政／事業所管</t>
        </is>
      </c>
      <c r="K167" s="8" t="inlineStr">
        <is>
          <t>最優先</t>
        </is>
      </c>
      <c r="L167" s="8" t="inlineStr">
        <is>
          <t>手引き+国一次資料</t>
        </is>
      </c>
      <c r="M167" s="8" t="str"/>
      <c r="N167" s="8" t="inlineStr">
        <is>
          <t>https://www.mhlw.go.jp/stf/newpage_17527.html</t>
        </is>
      </c>
      <c r="O167" s="82" t="inlineStr">
        <is>
          <t>資料徴求中</t>
        </is>
      </c>
      <c r="P167" s="80" t="inlineStr">
        <is>
          <t>町単独事業（介護用品給付券等）の財源科目と補助対象の可否は町に照会中（確認事項№46）</t>
        </is>
      </c>
      <c r="Q167" s="80" t="n"/>
    </row>
    <row r="168" ht="62" customHeight="1">
      <c r="A168" s="8" t="inlineStr">
        <is>
          <t>C167</t>
        </is>
      </c>
      <c r="B168" s="8" t="inlineStr">
        <is>
          <t>Ⅳ</t>
        </is>
      </c>
      <c r="C168" s="8" t="inlineStr">
        <is>
          <t>15.1／17 交付金の活用</t>
        </is>
      </c>
      <c r="D168" s="8" t="inlineStr">
        <is>
          <t>229,238-240</t>
        </is>
      </c>
      <c r="E168" s="8" t="inlineStr">
        <is>
          <t>努力支援交付金・使途</t>
        </is>
      </c>
      <c r="F168" s="8" t="inlineStr">
        <is>
          <t>来年度の交付見込みを前年度実績額だけで固定していないか</t>
        </is>
      </c>
      <c r="G168" s="8" t="inlineStr">
        <is>
          <t>推進交付金と努力支援交付金を別区分。使途を年度要綱で確認</t>
        </is>
      </c>
      <c r="H168" s="8" t="inlineStr">
        <is>
          <t>年度交付要綱・評価指標、交付決定、基金・財政資料、事業実績報告、決算統計</t>
        </is>
      </c>
      <c r="I168" s="8" t="inlineStr">
        <is>
          <t>毎年度／予算編成と決算時</t>
        </is>
      </c>
      <c r="J168" s="8" t="inlineStr">
        <is>
          <t>主管／財政／事業所管</t>
        </is>
      </c>
      <c r="K168" s="8" t="inlineStr">
        <is>
          <t>最優先</t>
        </is>
      </c>
      <c r="L168" s="8" t="inlineStr">
        <is>
          <t>手引き+国一次資料</t>
        </is>
      </c>
      <c r="M168" s="8" t="str"/>
      <c r="N168" s="8" t="inlineStr">
        <is>
          <t>https://www.mhlw.go.jp/stf/newpage_17527.html</t>
        </is>
      </c>
      <c r="O168" s="81" t="inlineStr">
        <is>
          <t>確認中</t>
        </is>
      </c>
      <c r="P168" s="80" t="inlineStr">
        <is>
          <t>交付見込みの置き方は一部</t>
        </is>
      </c>
      <c r="Q168" s="80" t="n"/>
    </row>
    <row r="169" ht="62" customHeight="1">
      <c r="A169" s="8" t="inlineStr">
        <is>
          <t>C168</t>
        </is>
      </c>
      <c r="B169" s="8" t="inlineStr">
        <is>
          <t>Ⅳ</t>
        </is>
      </c>
      <c r="C169" s="8" t="inlineStr">
        <is>
          <t>15.1／17 交付金の活用</t>
        </is>
      </c>
      <c r="D169" s="8" t="inlineStr">
        <is>
          <t>229,238-240</t>
        </is>
      </c>
      <c r="E169" s="8" t="inlineStr">
        <is>
          <t>努力支援交付金・使途</t>
        </is>
      </c>
      <c r="F169" s="8" t="inlineStr">
        <is>
          <t>交付決定・実績報告・目的外支出の証跡を保存したか</t>
        </is>
      </c>
      <c r="G169" s="8" t="inlineStr">
        <is>
          <t>推進交付金と努力支援交付金を別区分。使途を年度要綱で確認</t>
        </is>
      </c>
      <c r="H169" s="8" t="inlineStr">
        <is>
          <t>年度交付要綱・評価指標、交付決定、基金・財政資料、事業実績報告、決算統計</t>
        </is>
      </c>
      <c r="I169" s="8" t="inlineStr">
        <is>
          <t>毎年度／予算編成と決算時</t>
        </is>
      </c>
      <c r="J169" s="8" t="inlineStr">
        <is>
          <t>主管／財政／事業所管</t>
        </is>
      </c>
      <c r="K169" s="8" t="inlineStr">
        <is>
          <t>最優先</t>
        </is>
      </c>
      <c r="L169" s="8" t="inlineStr">
        <is>
          <t>手引き+国一次資料</t>
        </is>
      </c>
      <c r="M169" s="8" t="str"/>
      <c r="N169" s="8" t="inlineStr">
        <is>
          <t>https://www.mhlw.go.jp/stf/newpage_17527.html</t>
        </is>
      </c>
      <c r="O169" s="82" t="inlineStr">
        <is>
          <t>資料徴求中</t>
        </is>
      </c>
      <c r="P169" s="80" t="inlineStr">
        <is>
          <t>交付決定・実績報告の証跡は一部受領</t>
        </is>
      </c>
      <c r="Q169" s="80" t="n"/>
    </row>
    <row r="170" ht="62" customHeight="1">
      <c r="A170" s="8" t="inlineStr">
        <is>
          <t>C169</t>
        </is>
      </c>
      <c r="B170" s="8" t="inlineStr">
        <is>
          <t>Ⅲ／Ⅳ</t>
        </is>
      </c>
      <c r="C170" s="8" t="inlineStr">
        <is>
          <t>自然体推計から保険料へ</t>
        </is>
      </c>
      <c r="D170" s="8" t="inlineStr">
        <is>
          <t>92-99,133-138</t>
        </is>
      </c>
      <c r="E170" s="8" t="inlineStr">
        <is>
          <t>財政・保険料の整合</t>
        </is>
      </c>
      <c r="F170" s="8" t="inlineStr">
        <is>
          <t>第１号被保険者数・所得段階別人数の見込みの根拠を確認したか</t>
        </is>
      </c>
      <c r="G170" s="8" t="inlineStr">
        <is>
          <t>算定式・年度・単位・丸めの監査証跡を保存し合計差額を照合</t>
        </is>
      </c>
      <c r="H170" s="8" t="inlineStr">
        <is>
          <t>見える化出力、保険料算定ワーク、所得段階人数、財政決算、基金台帳、県通知</t>
        </is>
      </c>
      <c r="I170" s="8" t="inlineStr">
        <is>
          <t>2026年10月～2027年2月</t>
        </is>
      </c>
      <c r="J170" s="8" t="inlineStr">
        <is>
          <t>主管／財政</t>
        </is>
      </c>
      <c r="K170" s="8" t="inlineStr">
        <is>
          <t>最優先</t>
        </is>
      </c>
      <c r="L170" s="8" t="inlineStr">
        <is>
          <t>実務拡張+手引き</t>
        </is>
      </c>
      <c r="M170" s="8" t="str"/>
      <c r="N170" s="8" t="str"/>
      <c r="O170" s="79" t="inlineStr">
        <is>
          <t>完了</t>
        </is>
      </c>
      <c r="P170" s="80" t="inlineStr">
        <is>
          <t>第1号被保険者数と所得段階別人数（年報様式1）。標準乗率13件は介護保険法施行令第38条第1項と照合</t>
        </is>
      </c>
      <c r="Q170" s="80" t="n"/>
    </row>
    <row r="171" ht="62" customHeight="1">
      <c r="A171" s="8" t="inlineStr">
        <is>
          <t>C170</t>
        </is>
      </c>
      <c r="B171" s="8" t="inlineStr">
        <is>
          <t>Ⅲ／Ⅳ</t>
        </is>
      </c>
      <c r="C171" s="8" t="inlineStr">
        <is>
          <t>自然体推計から保険料へ</t>
        </is>
      </c>
      <c r="D171" s="8" t="inlineStr">
        <is>
          <t>92-99,133-138</t>
        </is>
      </c>
      <c r="E171" s="8" t="inlineStr">
        <is>
          <t>財政・保険料の整合</t>
        </is>
      </c>
      <c r="F171" s="8" t="inlineStr">
        <is>
          <t>サービス別費用＝利用量×単価等の関係を確認したか</t>
        </is>
      </c>
      <c r="G171" s="8" t="inlineStr">
        <is>
          <t>算定式・年度・単位・丸めの監査証跡を保存し合計差額を照合</t>
        </is>
      </c>
      <c r="H171" s="8" t="inlineStr">
        <is>
          <t>見える化出力、保険料算定ワーク、所得段階人数、財政決算、基金台帳、県通知</t>
        </is>
      </c>
      <c r="I171" s="8" t="inlineStr">
        <is>
          <t>2026年10月～2027年2月</t>
        </is>
      </c>
      <c r="J171" s="8" t="inlineStr">
        <is>
          <t>主管／財政</t>
        </is>
      </c>
      <c r="K171" s="8" t="inlineStr">
        <is>
          <t>最優先</t>
        </is>
      </c>
      <c r="L171" s="8" t="inlineStr">
        <is>
          <t>実務拡張+手引き</t>
        </is>
      </c>
      <c r="M171" s="8" t="str"/>
      <c r="N171" s="8" t="str"/>
      <c r="O171" s="79" t="inlineStr">
        <is>
          <t>完了</t>
        </is>
      </c>
      <c r="P171" s="80" t="inlineStr">
        <is>
          <t>サービス別費用＝利用量×単価（年報様式2）</t>
        </is>
      </c>
      <c r="Q171" s="80" t="n"/>
    </row>
    <row r="172" ht="62" customHeight="1">
      <c r="A172" s="8" t="inlineStr">
        <is>
          <t>C171</t>
        </is>
      </c>
      <c r="B172" s="8" t="inlineStr">
        <is>
          <t>Ⅲ／Ⅳ</t>
        </is>
      </c>
      <c r="C172" s="8" t="inlineStr">
        <is>
          <t>自然体推計から保険料へ</t>
        </is>
      </c>
      <c r="D172" s="8" t="inlineStr">
        <is>
          <t>92-99,133-138</t>
        </is>
      </c>
      <c r="E172" s="8" t="inlineStr">
        <is>
          <t>財政・保険料の整合</t>
        </is>
      </c>
      <c r="F172" s="8" t="inlineStr">
        <is>
          <t>制度改正・報酬改定・消費税等の推計条件と時点を保存したか</t>
        </is>
      </c>
      <c r="G172" s="8" t="inlineStr">
        <is>
          <t>算定式・年度・単位・丸めの監査証跡を保存し合計差額を照合</t>
        </is>
      </c>
      <c r="H172" s="8" t="inlineStr">
        <is>
          <t>見える化出力、保険料算定ワーク、所得段階人数、財政決算、基金台帳、県通知</t>
        </is>
      </c>
      <c r="I172" s="8" t="inlineStr">
        <is>
          <t>2026年10月～2027年2月</t>
        </is>
      </c>
      <c r="J172" s="8" t="inlineStr">
        <is>
          <t>主管／財政</t>
        </is>
      </c>
      <c r="K172" s="8" t="inlineStr">
        <is>
          <t>最優先</t>
        </is>
      </c>
      <c r="L172" s="8" t="inlineStr">
        <is>
          <t>実務拡張+手引き</t>
        </is>
      </c>
      <c r="M172" s="8" t="str"/>
      <c r="N172" s="8" t="str"/>
      <c r="O172" s="81" t="inlineStr">
        <is>
          <t>確認中</t>
        </is>
      </c>
      <c r="P172" s="80" t="inlineStr">
        <is>
          <t>介護報酬改定率は0.0％で仮置きと明記。改定率が示された段階で更新</t>
        </is>
      </c>
      <c r="Q172" s="80" t="n"/>
    </row>
    <row r="173" ht="62" customHeight="1">
      <c r="A173" s="8" t="inlineStr">
        <is>
          <t>C172</t>
        </is>
      </c>
      <c r="B173" s="8" t="inlineStr">
        <is>
          <t>Ⅲ／Ⅳ</t>
        </is>
      </c>
      <c r="C173" s="8" t="inlineStr">
        <is>
          <t>自然体推計から保険料へ</t>
        </is>
      </c>
      <c r="D173" s="8" t="inlineStr">
        <is>
          <t>92-99,133-138</t>
        </is>
      </c>
      <c r="E173" s="8" t="inlineStr">
        <is>
          <t>財政・保険料の整合</t>
        </is>
      </c>
      <c r="F173" s="8" t="inlineStr">
        <is>
          <t>標準給付費・地域支援事業費・調整交付金等の財源構成を確認したか</t>
        </is>
      </c>
      <c r="G173" s="8" t="inlineStr">
        <is>
          <t>算定式・年度・単位・丸めの監査証跡を保存し合計差額を照合</t>
        </is>
      </c>
      <c r="H173" s="8" t="inlineStr">
        <is>
          <t>見える化出力、保険料算定ワーク、所得段階人数、財政決算、基金台帳、県通知</t>
        </is>
      </c>
      <c r="I173" s="8" t="inlineStr">
        <is>
          <t>2026年10月～2027年2月</t>
        </is>
      </c>
      <c r="J173" s="8" t="inlineStr">
        <is>
          <t>主管／財政</t>
        </is>
      </c>
      <c r="K173" s="8" t="inlineStr">
        <is>
          <t>最優先</t>
        </is>
      </c>
      <c r="L173" s="8" t="inlineStr">
        <is>
          <t>実務拡張+手引き</t>
        </is>
      </c>
      <c r="M173" s="8" t="str"/>
      <c r="N173" s="8" t="str"/>
      <c r="O173" s="79" t="inlineStr">
        <is>
          <t>完了</t>
        </is>
      </c>
      <c r="P173" s="80" t="inlineStr">
        <is>
          <t>標準給付費・地域支援事業費・調整交付金の財源構成と算式を記載</t>
        </is>
      </c>
      <c r="Q173" s="80" t="n"/>
    </row>
    <row r="174" ht="62" customHeight="1">
      <c r="A174" s="8" t="inlineStr">
        <is>
          <t>C173</t>
        </is>
      </c>
      <c r="B174" s="8" t="inlineStr">
        <is>
          <t>Ⅲ／Ⅳ</t>
        </is>
      </c>
      <c r="C174" s="8" t="inlineStr">
        <is>
          <t>自然体推計から保険料へ</t>
        </is>
      </c>
      <c r="D174" s="8" t="inlineStr">
        <is>
          <t>92-99,133-138</t>
        </is>
      </c>
      <c r="E174" s="8" t="inlineStr">
        <is>
          <t>財政・保険料の整合</t>
        </is>
      </c>
      <c r="F174" s="8" t="inlineStr">
        <is>
          <t>準備基金の取崩・積立方針を確認したか</t>
        </is>
      </c>
      <c r="G174" s="8" t="inlineStr">
        <is>
          <t>算定式・年度・単位・丸めの監査証跡を保存し合計差額を照合</t>
        </is>
      </c>
      <c r="H174" s="8" t="inlineStr">
        <is>
          <t>見える化出力、保険料算定ワーク、所得段階人数、財政決算、基金台帳、県通知</t>
        </is>
      </c>
      <c r="I174" s="8" t="inlineStr">
        <is>
          <t>2026年10月～2027年2月</t>
        </is>
      </c>
      <c r="J174" s="8" t="inlineStr">
        <is>
          <t>主管／財政</t>
        </is>
      </c>
      <c r="K174" s="8" t="inlineStr">
        <is>
          <t>最優先</t>
        </is>
      </c>
      <c r="L174" s="8" t="inlineStr">
        <is>
          <t>実務拡張+手引き</t>
        </is>
      </c>
      <c r="M174" s="8" t="str"/>
      <c r="N174" s="8" t="str"/>
      <c r="O174" s="84" t="inlineStr">
        <is>
          <t>要協議</t>
        </is>
      </c>
      <c r="P174" s="80" t="inlineStr">
        <is>
          <t>準備基金の取崩方針は町の判断（確認事項№33）</t>
        </is>
      </c>
      <c r="Q174" s="80" t="n"/>
    </row>
    <row r="175" ht="62" customHeight="1">
      <c r="A175" s="8" t="inlineStr">
        <is>
          <t>C174</t>
        </is>
      </c>
      <c r="B175" s="8" t="inlineStr">
        <is>
          <t>Ⅲ／Ⅳ</t>
        </is>
      </c>
      <c r="C175" s="8" t="inlineStr">
        <is>
          <t>自然体推計から保険料へ</t>
        </is>
      </c>
      <c r="D175" s="8" t="inlineStr">
        <is>
          <t>92-99,133-138</t>
        </is>
      </c>
      <c r="E175" s="8" t="inlineStr">
        <is>
          <t>財政・保険料の整合</t>
        </is>
      </c>
      <c r="F175" s="8" t="inlineStr">
        <is>
          <t>保険料基準額と所得段階別負担割合・収納率を照合したか</t>
        </is>
      </c>
      <c r="G175" s="8" t="inlineStr">
        <is>
          <t>算定式・年度・単位・丸めの監査証跡を保存し合計差額を照合</t>
        </is>
      </c>
      <c r="H175" s="8" t="inlineStr">
        <is>
          <t>見える化出力、保険料算定ワーク、所得段階人数、財政決算、基金台帳、県通知</t>
        </is>
      </c>
      <c r="I175" s="8" t="inlineStr">
        <is>
          <t>2026年10月～2027年2月</t>
        </is>
      </c>
      <c r="J175" s="8" t="inlineStr">
        <is>
          <t>主管／財政</t>
        </is>
      </c>
      <c r="K175" s="8" t="inlineStr">
        <is>
          <t>最優先</t>
        </is>
      </c>
      <c r="L175" s="8" t="inlineStr">
        <is>
          <t>実務拡張+手引き</t>
        </is>
      </c>
      <c r="M175" s="8" t="str"/>
      <c r="N175" s="8" t="str"/>
      <c r="O175" s="81" t="inlineStr">
        <is>
          <t>確認中</t>
        </is>
      </c>
      <c r="P175" s="80" t="inlineStr">
        <is>
          <t>保険料基準額と所得段階別の負担割合・収納率の照合は算定式で記載</t>
        </is>
      </c>
      <c r="Q175" s="80" t="n"/>
    </row>
    <row r="176" ht="62" customHeight="1">
      <c r="A176" s="8" t="inlineStr">
        <is>
          <t>C175</t>
        </is>
      </c>
      <c r="B176" s="8" t="inlineStr">
        <is>
          <t>Ⅲ／Ⅳ</t>
        </is>
      </c>
      <c r="C176" s="8" t="inlineStr">
        <is>
          <t>自然体推計から保険料へ</t>
        </is>
      </c>
      <c r="D176" s="8" t="inlineStr">
        <is>
          <t>92-99,133-138</t>
        </is>
      </c>
      <c r="E176" s="8" t="inlineStr">
        <is>
          <t>財政・保険料の整合</t>
        </is>
      </c>
      <c r="F176" s="8" t="inlineStr">
        <is>
          <t>基金・繰入金等のダブルカウントと財政収支差額を点検したか</t>
        </is>
      </c>
      <c r="G176" s="8" t="inlineStr">
        <is>
          <t>算定式・年度・単位・丸めの監査証跡を保存し合計差額を照合</t>
        </is>
      </c>
      <c r="H176" s="8" t="inlineStr">
        <is>
          <t>見える化出力、保険料算定ワーク、所得段階人数、財政決算、基金台帳、県通知</t>
        </is>
      </c>
      <c r="I176" s="8" t="inlineStr">
        <is>
          <t>2026年10月～2027年2月</t>
        </is>
      </c>
      <c r="J176" s="8" t="inlineStr">
        <is>
          <t>主管／財政</t>
        </is>
      </c>
      <c r="K176" s="8" t="inlineStr">
        <is>
          <t>最優先</t>
        </is>
      </c>
      <c r="L176" s="8" t="inlineStr">
        <is>
          <t>実務拡張+手引き</t>
        </is>
      </c>
      <c r="M176" s="8" t="str"/>
      <c r="N176" s="8" t="str"/>
      <c r="O176" s="81" t="inlineStr">
        <is>
          <t>確認中</t>
        </is>
      </c>
      <c r="P176" s="80" t="inlineStr">
        <is>
          <t>基金・繰入金のダブルカウントの点検は一部</t>
        </is>
      </c>
      <c r="Q176" s="80" t="n"/>
    </row>
    <row r="177" ht="62" customHeight="1">
      <c r="A177" s="8" t="inlineStr">
        <is>
          <t>C176</t>
        </is>
      </c>
      <c r="B177" s="8" t="inlineStr">
        <is>
          <t>Ⅲ／Ⅳ</t>
        </is>
      </c>
      <c r="C177" s="8" t="inlineStr">
        <is>
          <t>自然体推計から保険料へ</t>
        </is>
      </c>
      <c r="D177" s="8" t="inlineStr">
        <is>
          <t>92-99,133-138</t>
        </is>
      </c>
      <c r="E177" s="8" t="inlineStr">
        <is>
          <t>財政・保険料の整合</t>
        </is>
      </c>
      <c r="F177" s="8" t="inlineStr">
        <is>
          <t>シナリオ別の保険料感応度（人口・給付・基金）を確認したか</t>
        </is>
      </c>
      <c r="G177" s="8" t="inlineStr">
        <is>
          <t>算定式・年度・単位・丸めの監査証跡を保存し合計差額を照合</t>
        </is>
      </c>
      <c r="H177" s="8" t="inlineStr">
        <is>
          <t>見える化出力、保険料算定ワーク、所得段階人数、財政決算、基金台帳、県通知</t>
        </is>
      </c>
      <c r="I177" s="8" t="inlineStr">
        <is>
          <t>2026年10月～2027年2月</t>
        </is>
      </c>
      <c r="J177" s="8" t="inlineStr">
        <is>
          <t>主管／財政</t>
        </is>
      </c>
      <c r="K177" s="8" t="inlineStr">
        <is>
          <t>最優先</t>
        </is>
      </c>
      <c r="L177" s="8" t="inlineStr">
        <is>
          <t>実務拡張+手引き</t>
        </is>
      </c>
      <c r="M177" s="8" t="str"/>
      <c r="N177" s="8" t="str"/>
      <c r="O177" s="79" t="inlineStr">
        <is>
          <t>完了</t>
        </is>
      </c>
      <c r="P177" s="80" t="inlineStr">
        <is>
          <t>保険料のケース比較（自然体と従前の方式、基金）</t>
        </is>
      </c>
      <c r="Q177" s="80" t="n"/>
    </row>
  </sheetData>
  <conditionalFormatting sqref="O2:O177">
    <cfRule type="expression" priority="1" dxfId="0">
      <formula>$O2="完了"</formula>
    </cfRule>
    <cfRule type="expression" priority="2" dxfId="1">
      <formula>$O2="要協議"</formula>
    </cfRule>
    <cfRule type="expression" priority="3" dxfId="2">
      <formula>$O2="差戻し"</formula>
    </cfRule>
  </conditionalFormatting>
  <conditionalFormatting sqref="K2:K177">
    <cfRule type="expression" priority="4" dxfId="3">
      <formula>$K2="最優先"</formula>
    </cfRule>
  </conditionalFormatting>
  <dataValidations count="1">
    <dataValidation sqref="O2:O177" showDropDown="0" showInputMessage="0" showErrorMessage="0" allowBlank="0" type="list">
      <formula1>"未確認,資料徴求中,確認中,要協議,差戻し,完了,該当なし"</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32"/>
  <sheetViews>
    <sheetView workbookViewId="0">
      <pane xSplit="1" ySplit="1" topLeftCell="B2" activePane="bottomRight" state="frozen"/>
      <selection activeCell="A1" sqref="A1"/>
    </sheetView>
  </sheetViews>
  <sheetFormatPr baseColWidth="8" defaultRowHeight="15"/>
  <cols>
    <col width="13" customWidth="1" min="1" max="1"/>
    <col width="30" customWidth="1" min="2" max="2"/>
    <col width="16" customWidth="1" min="3" max="3"/>
    <col width="68" customWidth="1" min="4" max="4"/>
    <col width="26" customWidth="1" min="5" max="5"/>
    <col width="46" customWidth="1" min="6" max="6"/>
  </cols>
  <sheetData>
    <row r="1" ht="42" customHeight="1">
      <c r="A1" s="12" t="inlineStr">
        <is>
          <t>章・番号</t>
        </is>
      </c>
      <c r="B1" s="12" t="inlineStr">
        <is>
          <t>手引き目次体系</t>
        </is>
      </c>
      <c r="C1" s="12" t="inlineStr">
        <is>
          <t>掲載頁（印字）</t>
        </is>
      </c>
      <c r="D1" s="12" t="inlineStr">
        <is>
          <t>主な内容</t>
        </is>
      </c>
      <c r="E1" s="12" t="inlineStr">
        <is>
          <t>接続する点検区分</t>
        </is>
      </c>
      <c r="F1" s="12" t="inlineStr">
        <is>
          <t>留意事項</t>
        </is>
      </c>
    </row>
    <row r="2" ht="53" customHeight="1">
      <c r="A2" s="8" t="inlineStr">
        <is>
          <t>Ⅰ</t>
        </is>
      </c>
      <c r="B2" s="8" t="inlineStr">
        <is>
          <t>背景・位置付け</t>
        </is>
      </c>
      <c r="C2" s="8" t="inlineStr">
        <is>
          <t>3-5</t>
        </is>
      </c>
      <c r="D2" s="8" t="inlineStr">
        <is>
          <t>計画の必要性、国の基本指針の補助資料としての位置付け</t>
        </is>
      </c>
      <c r="E2" s="8" t="inlineStr">
        <is>
          <t>計画概要・説明資料</t>
        </is>
      </c>
      <c r="F2" s="8" t="inlineStr">
        <is>
          <t>第９期指針を収録、2025年３月までの情報</t>
        </is>
      </c>
    </row>
    <row r="3" ht="53" customHeight="1">
      <c r="A3" s="8" t="inlineStr">
        <is>
          <t>Ⅱ1</t>
        </is>
      </c>
      <c r="B3" s="8" t="inlineStr">
        <is>
          <t>介護保険法上の位置付け</t>
        </is>
      </c>
      <c r="C3" s="8" t="inlineStr">
        <is>
          <t>9-12</t>
        </is>
      </c>
      <c r="D3" s="8" t="inlineStr">
        <is>
          <t>116条基本指針／117条市町村／118条県</t>
        </is>
      </c>
      <c r="E3" s="8" t="inlineStr">
        <is>
          <t>計画法定事項</t>
        </is>
      </c>
      <c r="F3" s="8" t="inlineStr">
        <is>
          <t>第10期法改正・指針を別途確認</t>
        </is>
      </c>
    </row>
    <row r="4" ht="53" customHeight="1">
      <c r="A4" s="8" t="inlineStr">
        <is>
          <t>Ⅱ2</t>
        </is>
      </c>
      <c r="B4" s="8" t="inlineStr">
        <is>
          <t>他の計画との関係</t>
        </is>
      </c>
      <c r="C4" s="8" t="inlineStr">
        <is>
          <t>13-16</t>
        </is>
      </c>
      <c r="D4" s="8" t="inlineStr">
        <is>
          <t>老人福祉・医療・地域福祉・住まい・給付適正化</t>
        </is>
      </c>
      <c r="E4" s="8" t="inlineStr">
        <is>
          <t>関連計画照合表</t>
        </is>
      </c>
      <c r="F4" s="8" t="str"/>
    </row>
    <row r="5" ht="53" customHeight="1">
      <c r="A5" s="8" t="inlineStr">
        <is>
          <t>Ⅱ3</t>
        </is>
      </c>
      <c r="B5" s="8" t="inlineStr">
        <is>
          <t>第10期に向けた動き</t>
        </is>
      </c>
      <c r="C5" s="8" t="inlineStr">
        <is>
          <t>17-32</t>
        </is>
      </c>
      <c r="D5" s="8" t="inlineStr">
        <is>
          <t>基本指針の改定見通し、制度改正の方向性</t>
        </is>
      </c>
      <c r="E5" s="8" t="inlineStr">
        <is>
          <t>国通知・工程表</t>
        </is>
      </c>
      <c r="F5" s="8" t="inlineStr">
        <is>
          <t>p17は想定であり実績ではない</t>
        </is>
      </c>
    </row>
    <row r="6" ht="53" customHeight="1">
      <c r="A6" s="8" t="inlineStr">
        <is>
          <t>Ⅲ1</t>
        </is>
      </c>
      <c r="B6" s="8" t="inlineStr">
        <is>
          <t>基本的な考え方</t>
        </is>
      </c>
      <c r="C6" s="8" t="inlineStr">
        <is>
          <t>35-44</t>
        </is>
      </c>
      <c r="D6" s="8" t="inlineStr">
        <is>
          <t>ビジョン・PDCA・自然体推計/施策反映・策定体制</t>
        </is>
      </c>
      <c r="E6" s="8" t="inlineStr">
        <is>
          <t>策定体制と評価体系</t>
        </is>
      </c>
      <c r="F6" s="8" t="str"/>
    </row>
    <row r="7" ht="53" customHeight="1">
      <c r="A7" s="8" t="inlineStr">
        <is>
          <t>Ⅲ2.1</t>
        </is>
      </c>
      <c r="B7" s="8" t="inlineStr">
        <is>
          <t>３年間を通じたスケジュール</t>
        </is>
      </c>
      <c r="C7" s="8" t="inlineStr">
        <is>
          <t>45-47</t>
        </is>
      </c>
      <c r="D7" s="8" t="inlineStr">
        <is>
          <t>毎年度の進捗管理と次期計画工程</t>
        </is>
      </c>
      <c r="E7" s="8" t="inlineStr">
        <is>
          <t>工程管理</t>
        </is>
      </c>
      <c r="F7" s="8" t="str"/>
    </row>
    <row r="8" ht="53" customHeight="1">
      <c r="A8" s="8" t="inlineStr">
        <is>
          <t>Ⅲ2.2</t>
        </is>
      </c>
      <c r="B8" s="8" t="inlineStr">
        <is>
          <t>毎年度行うこと</t>
        </is>
      </c>
      <c r="C8" s="8" t="inlineStr">
        <is>
          <t>48-62</t>
        </is>
      </c>
      <c r="D8" s="8" t="inlineStr">
        <is>
          <t>見込量、目標、地域差、地域分析</t>
        </is>
      </c>
      <c r="E8" s="8" t="inlineStr">
        <is>
          <t>現行評価・地域分析</t>
        </is>
      </c>
      <c r="F8" s="8" t="str"/>
    </row>
    <row r="9" ht="53" customHeight="1">
      <c r="A9" s="8" t="inlineStr">
        <is>
          <t>Ⅲ2.3</t>
        </is>
      </c>
      <c r="B9" s="8" t="inlineStr">
        <is>
          <t>１年目の準備</t>
        </is>
      </c>
      <c r="C9" s="8" t="inlineStr">
        <is>
          <t>63-67</t>
        </is>
      </c>
      <c r="D9" s="8" t="inlineStr">
        <is>
          <t>庁内連携・調査検討・予算要求・委託</t>
        </is>
      </c>
      <c r="E9" s="8" t="inlineStr">
        <is>
          <t>調査準備</t>
        </is>
      </c>
      <c r="F9" s="8" t="inlineStr">
        <is>
          <t>第10期では主に2024年度に該当</t>
        </is>
      </c>
    </row>
    <row r="10" ht="53" customHeight="1">
      <c r="A10" s="8" t="inlineStr">
        <is>
          <t>Ⅲ2.4</t>
        </is>
      </c>
      <c r="B10" s="8" t="inlineStr">
        <is>
          <t>２年目の実態把握</t>
        </is>
      </c>
      <c r="C10" s="8" t="inlineStr">
        <is>
          <t>68-89</t>
        </is>
      </c>
      <c r="D10" s="8" t="inlineStr">
        <is>
          <t>ビジョン、５調査、協議</t>
        </is>
      </c>
      <c r="E10" s="8" t="inlineStr">
        <is>
          <t>調査実績・分析</t>
        </is>
      </c>
      <c r="F10" s="8" t="inlineStr">
        <is>
          <t>第10期では主に2025年度に該当</t>
        </is>
      </c>
    </row>
    <row r="11" ht="53" customHeight="1">
      <c r="A11" s="8" t="inlineStr">
        <is>
          <t>Ⅲ2.5</t>
        </is>
      </c>
      <c r="B11" s="8" t="inlineStr">
        <is>
          <t>３年目の計画作成</t>
        </is>
      </c>
      <c r="C11" s="8" t="inlineStr">
        <is>
          <t>90-101</t>
        </is>
      </c>
      <c r="D11" s="8" t="inlineStr">
        <is>
          <t>施策検討、推計、保険料、KPI、パブコメ</t>
        </is>
      </c>
      <c r="E11" s="8" t="inlineStr">
        <is>
          <t>計画策定・財政</t>
        </is>
      </c>
      <c r="F11" s="8" t="inlineStr">
        <is>
          <t>第10期では主に2026年度に該当</t>
        </is>
      </c>
    </row>
    <row r="12" ht="53" customHeight="1">
      <c r="A12" s="8" t="inlineStr">
        <is>
          <t>Ⅲ3</t>
        </is>
      </c>
      <c r="B12" s="8" t="inlineStr">
        <is>
          <t>計画作成のチェックリスト</t>
        </is>
      </c>
      <c r="C12" s="8" t="inlineStr">
        <is>
          <t>102-105</t>
        </is>
      </c>
      <c r="D12" s="8" t="inlineStr">
        <is>
          <t>毎年度・１年目・２年目・３年目の作業確認</t>
        </is>
      </c>
      <c r="E12" s="8" t="inlineStr">
        <is>
          <t>全体チェックリスト</t>
        </is>
      </c>
      <c r="F12" s="8" t="inlineStr">
        <is>
          <t>本ファイルは項目を拡張</t>
        </is>
      </c>
    </row>
    <row r="13" ht="53" customHeight="1">
      <c r="A13" s="8" t="inlineStr">
        <is>
          <t>Ⅲ4</t>
        </is>
      </c>
      <c r="B13" s="8" t="inlineStr">
        <is>
          <t>計画の事例</t>
        </is>
      </c>
      <c r="C13" s="8" t="inlineStr">
        <is>
          <t>106-108</t>
        </is>
      </c>
      <c r="D13" s="8" t="inlineStr">
        <is>
          <t>第９期の参考事例</t>
        </is>
      </c>
      <c r="E13" s="8" t="inlineStr">
        <is>
          <t>任意参照</t>
        </is>
      </c>
      <c r="F13" s="8" t="inlineStr">
        <is>
          <t>内容は実施・採用判断を要する</t>
        </is>
      </c>
    </row>
    <row r="14" ht="53" customHeight="1">
      <c r="A14" s="8" t="inlineStr">
        <is>
          <t>Ⅳ冒頭</t>
        </is>
      </c>
      <c r="B14" s="8" t="inlineStr">
        <is>
          <t>重点論点の概要</t>
        </is>
      </c>
      <c r="C14" s="8" t="inlineStr">
        <is>
          <t>111-114</t>
        </is>
      </c>
      <c r="D14" s="8" t="inlineStr">
        <is>
          <t>2040年、住まい、総合事業、医療、認知症</t>
        </is>
      </c>
      <c r="E14" s="8" t="inlineStr">
        <is>
          <t>政策更新</t>
        </is>
      </c>
      <c r="F14" s="8" t="str"/>
    </row>
    <row r="15" ht="53" customHeight="1">
      <c r="A15" s="8" t="inlineStr">
        <is>
          <t>Ⅳ1</t>
        </is>
      </c>
      <c r="B15" s="8" t="inlineStr">
        <is>
          <t>地域共生社会・重層支援</t>
        </is>
      </c>
      <c r="C15" s="8" t="inlineStr">
        <is>
          <t>115-121</t>
        </is>
      </c>
      <c r="D15" s="8" t="inlineStr">
        <is>
          <t>重層的支援、精神障害にも対応した包括ケア</t>
        </is>
      </c>
      <c r="E15" s="8" t="inlineStr">
        <is>
          <t>地域福祉・相談支援</t>
        </is>
      </c>
      <c r="F15" s="8" t="str"/>
    </row>
    <row r="16" ht="53" customHeight="1">
      <c r="A16" s="8" t="inlineStr">
        <is>
          <t>Ⅳ2</t>
        </is>
      </c>
      <c r="B16" s="8" t="inlineStr">
        <is>
          <t>実態調査・データ分析</t>
        </is>
      </c>
      <c r="C16" s="8" t="inlineStr">
        <is>
          <t>124-132</t>
        </is>
      </c>
      <c r="D16" s="8" t="inlineStr">
        <is>
          <t>レセプト・認定・認知症・真の入所需要</t>
        </is>
      </c>
      <c r="E16" s="8" t="inlineStr">
        <is>
          <t>地域分析</t>
        </is>
      </c>
      <c r="F16" s="8" t="str"/>
    </row>
    <row r="17" ht="53" customHeight="1">
      <c r="A17" s="8" t="inlineStr">
        <is>
          <t>Ⅳ3</t>
        </is>
      </c>
      <c r="B17" s="8" t="inlineStr">
        <is>
          <t>中長期的サービス基盤整備</t>
        </is>
      </c>
      <c r="C17" s="8" t="inlineStr">
        <is>
          <t>133-139</t>
        </is>
      </c>
      <c r="D17" s="8" t="inlineStr">
        <is>
          <t>サービス整備、介護人材推計</t>
        </is>
      </c>
      <c r="E17" s="8" t="inlineStr">
        <is>
          <t>長期推計・人材</t>
        </is>
      </c>
      <c r="F17" s="8" t="str"/>
    </row>
    <row r="18" ht="53" customHeight="1">
      <c r="A18" s="8" t="inlineStr">
        <is>
          <t>Ⅳ4</t>
        </is>
      </c>
      <c r="B18" s="8" t="inlineStr">
        <is>
          <t>地域密着型サービス等</t>
        </is>
      </c>
      <c r="C18" s="8" t="inlineStr">
        <is>
          <t>140-143</t>
        </is>
      </c>
      <c r="D18" s="8" t="inlineStr">
        <is>
          <t>地域密着型サービス整備の検討</t>
        </is>
      </c>
      <c r="E18" s="8" t="inlineStr">
        <is>
          <t>供給体制</t>
        </is>
      </c>
      <c r="F18" s="8" t="str"/>
    </row>
    <row r="19" ht="53" customHeight="1">
      <c r="A19" s="8" t="inlineStr">
        <is>
          <t>Ⅳ5</t>
        </is>
      </c>
      <c r="B19" s="8" t="inlineStr">
        <is>
          <t>住まい</t>
        </is>
      </c>
      <c r="C19" s="8" t="inlineStr">
        <is>
          <t>144-149</t>
        </is>
      </c>
      <c r="D19" s="8" t="inlineStr">
        <is>
          <t>サ高住、有料ホーム、居住支援</t>
        </is>
      </c>
      <c r="E19" s="8" t="inlineStr">
        <is>
          <t>住宅・居住支援</t>
        </is>
      </c>
      <c r="F19" s="8" t="str"/>
    </row>
    <row r="20" ht="53" customHeight="1">
      <c r="A20" s="8" t="inlineStr">
        <is>
          <t>Ⅳ6</t>
        </is>
      </c>
      <c r="B20" s="8" t="inlineStr">
        <is>
          <t>総合事業</t>
        </is>
      </c>
      <c r="C20" s="8" t="inlineStr">
        <is>
          <t>150-164</t>
        </is>
      </c>
      <c r="D20" s="8" t="inlineStr">
        <is>
          <t>訪問・通所・一般介護予防・移動支援等</t>
        </is>
      </c>
      <c r="E20" s="8" t="inlineStr">
        <is>
          <t>介護予防・総合事業</t>
        </is>
      </c>
      <c r="F20" s="8" t="str"/>
    </row>
    <row r="21" ht="53" customHeight="1">
      <c r="A21" s="8" t="inlineStr">
        <is>
          <t>Ⅳ7</t>
        </is>
      </c>
      <c r="B21" s="8" t="inlineStr">
        <is>
          <t>生活支援体制整備</t>
        </is>
      </c>
      <c r="C21" s="8" t="inlineStr">
        <is>
          <t>165-171</t>
        </is>
      </c>
      <c r="D21" s="8" t="inlineStr">
        <is>
          <t>SC・協議体・就労的活動支援コーディネーター</t>
        </is>
      </c>
      <c r="E21" s="8" t="inlineStr">
        <is>
          <t>生活支援・配置</t>
        </is>
      </c>
      <c r="F21" s="8" t="inlineStr">
        <is>
          <t>制度正式名称の確認</t>
        </is>
      </c>
    </row>
    <row r="22" ht="53" customHeight="1">
      <c r="A22" s="8" t="inlineStr">
        <is>
          <t>Ⅳ8</t>
        </is>
      </c>
      <c r="B22" s="8" t="inlineStr">
        <is>
          <t>専門職の関与</t>
        </is>
      </c>
      <c r="C22" s="8" t="inlineStr">
        <is>
          <t>172-174</t>
        </is>
      </c>
      <c r="D22" s="8" t="inlineStr">
        <is>
          <t>ポピュレーションアプローチ</t>
        </is>
      </c>
      <c r="E22" s="8" t="inlineStr">
        <is>
          <t>保健・介護予防</t>
        </is>
      </c>
      <c r="F22" s="8" t="str"/>
    </row>
    <row r="23" ht="53" customHeight="1">
      <c r="A23" s="8" t="inlineStr">
        <is>
          <t>Ⅳ9</t>
        </is>
      </c>
      <c r="B23" s="8" t="inlineStr">
        <is>
          <t>地域包括支援センター</t>
        </is>
      </c>
      <c r="C23" s="8" t="inlineStr">
        <is>
          <t>175-194</t>
        </is>
      </c>
      <c r="D23" s="8" t="inlineStr">
        <is>
          <t>配置、機能強化、評価、家族支援</t>
        </is>
      </c>
      <c r="E23" s="8" t="inlineStr">
        <is>
          <t>包括支援</t>
        </is>
      </c>
      <c r="F23" s="8" t="str"/>
    </row>
    <row r="24" ht="53" customHeight="1">
      <c r="A24" s="8" t="inlineStr">
        <is>
          <t>Ⅳ10</t>
        </is>
      </c>
      <c r="B24" s="8" t="inlineStr">
        <is>
          <t>在宅医療・介護連携</t>
        </is>
      </c>
      <c r="C24" s="8" t="inlineStr">
        <is>
          <t>195-200</t>
        </is>
      </c>
      <c r="D24" s="8" t="inlineStr">
        <is>
          <t>在宅医療・介護の連携推進</t>
        </is>
      </c>
      <c r="E24" s="8" t="inlineStr">
        <is>
          <t>医療・介護連携</t>
        </is>
      </c>
      <c r="F24" s="8" t="str"/>
    </row>
    <row r="25" ht="53" customHeight="1">
      <c r="A25" s="8" t="inlineStr">
        <is>
          <t>Ⅳ11</t>
        </is>
      </c>
      <c r="B25" s="8" t="inlineStr">
        <is>
          <t>認知症施策</t>
        </is>
      </c>
      <c r="C25" s="8" t="inlineStr">
        <is>
          <t>201-204</t>
        </is>
      </c>
      <c r="D25" s="8" t="inlineStr">
        <is>
          <t>認知症基本法・認知症施策推進計画</t>
        </is>
      </c>
      <c r="E25" s="8" t="inlineStr">
        <is>
          <t>認知症</t>
        </is>
      </c>
      <c r="F25" s="8" t="str"/>
    </row>
    <row r="26" ht="53" customHeight="1">
      <c r="A26" s="8" t="inlineStr">
        <is>
          <t>Ⅳ12</t>
        </is>
      </c>
      <c r="B26" s="8" t="inlineStr">
        <is>
          <t>地域支援事業の連動性</t>
        </is>
      </c>
      <c r="C26" s="8" t="inlineStr">
        <is>
          <t>205-208</t>
        </is>
      </c>
      <c r="D26" s="8" t="inlineStr">
        <is>
          <t>地域支援事業間の連携</t>
        </is>
      </c>
      <c r="E26" s="8" t="inlineStr">
        <is>
          <t>事業間連動</t>
        </is>
      </c>
      <c r="F26" s="8" t="str"/>
    </row>
    <row r="27" ht="53" customHeight="1">
      <c r="A27" s="8" t="inlineStr">
        <is>
          <t>Ⅳ13</t>
        </is>
      </c>
      <c r="B27" s="8" t="inlineStr">
        <is>
          <t>人材の確保・育成／生産性</t>
        </is>
      </c>
      <c r="C27" s="8" t="inlineStr">
        <is>
          <t>209-223</t>
        </is>
      </c>
      <c r="D27" s="8" t="inlineStr">
        <is>
          <t>人材確保、ICT、文書負担、認定業務</t>
        </is>
      </c>
      <c r="E27" s="8" t="inlineStr">
        <is>
          <t>人材・生産性</t>
        </is>
      </c>
      <c r="F27" s="8" t="inlineStr">
        <is>
          <t>補助要件年度更新</t>
        </is>
      </c>
    </row>
    <row r="28" ht="53" customHeight="1">
      <c r="A28" s="8" t="inlineStr">
        <is>
          <t>Ⅳ14</t>
        </is>
      </c>
      <c r="B28" s="8" t="inlineStr">
        <is>
          <t>自然災害・感染症対策</t>
        </is>
      </c>
      <c r="C28" s="8" t="inlineStr">
        <is>
          <t>224-228</t>
        </is>
      </c>
      <c r="D28" s="8" t="inlineStr">
        <is>
          <t>BCP、感染症対策</t>
        </is>
      </c>
      <c r="E28" s="8" t="inlineStr">
        <is>
          <t>危機管理</t>
        </is>
      </c>
      <c r="F28" s="8" t="str"/>
    </row>
    <row r="29" ht="53" customHeight="1">
      <c r="A29" s="8" t="inlineStr">
        <is>
          <t>Ⅳ15</t>
        </is>
      </c>
      <c r="B29" s="8" t="inlineStr">
        <is>
          <t>目標設定・評価</t>
        </is>
      </c>
      <c r="C29" s="8" t="inlineStr">
        <is>
          <t>229-235</t>
        </is>
      </c>
      <c r="D29" s="8" t="inlineStr">
        <is>
          <t>保険者機能評価、総合事業評価、リハビリKPI</t>
        </is>
      </c>
      <c r="E29" s="8" t="inlineStr">
        <is>
          <t>PDCA・交付金</t>
        </is>
      </c>
      <c r="F29" s="8" t="inlineStr">
        <is>
          <t>2026年度評価指標に更新</t>
        </is>
      </c>
    </row>
    <row r="30" ht="53" customHeight="1">
      <c r="A30" s="8" t="inlineStr">
        <is>
          <t>Ⅳ16</t>
        </is>
      </c>
      <c r="B30" s="8" t="inlineStr">
        <is>
          <t>保険者機能の強化</t>
        </is>
      </c>
      <c r="C30" s="8" t="inlineStr">
        <is>
          <t>236-237</t>
        </is>
      </c>
      <c r="D30" s="8" t="inlineStr">
        <is>
          <t>保険者による地域課題分析と連携</t>
        </is>
      </c>
      <c r="E30" s="8" t="inlineStr">
        <is>
          <t>保険者機能</t>
        </is>
      </c>
      <c r="F30" s="8" t="str"/>
    </row>
    <row r="31" ht="53" customHeight="1">
      <c r="A31" s="8" t="inlineStr">
        <is>
          <t>Ⅳ17</t>
        </is>
      </c>
      <c r="B31" s="8" t="inlineStr">
        <is>
          <t>交付金等の独自事業への活用</t>
        </is>
      </c>
      <c r="C31" s="8" t="inlineStr">
        <is>
          <t>238-240</t>
        </is>
      </c>
      <c r="D31" s="8" t="inlineStr">
        <is>
          <t>推進交付金・努力支援交付金の施策活用</t>
        </is>
      </c>
      <c r="E31" s="8" t="inlineStr">
        <is>
          <t>交付金・財源</t>
        </is>
      </c>
      <c r="F31" s="8" t="inlineStr">
        <is>
          <t>使途・交付額は年度要綱確認</t>
        </is>
      </c>
    </row>
    <row r="32" ht="53" customHeight="1">
      <c r="A32" s="8" t="inlineStr">
        <is>
          <t>巻末</t>
        </is>
      </c>
      <c r="B32" s="8" t="inlineStr">
        <is>
          <t>基本指針（第９期）</t>
        </is>
      </c>
      <c r="C32" s="8" t="inlineStr">
        <is>
          <t>241頁以降</t>
        </is>
      </c>
      <c r="D32" s="8" t="inlineStr">
        <is>
          <t>法定記載事項等を参照</t>
        </is>
      </c>
      <c r="E32" s="8" t="inlineStr">
        <is>
          <t>法定事項レビュー</t>
        </is>
      </c>
      <c r="F32" s="8" t="inlineStr">
        <is>
          <t>第10期の最新指針とは異なる</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6"/>
  <sheetViews>
    <sheetView workbookViewId="0">
      <pane xSplit="1" ySplit="1" topLeftCell="B2" activePane="bottomRight" state="frozen"/>
      <selection activeCell="A1" sqref="A1"/>
    </sheetView>
  </sheetViews>
  <sheetFormatPr baseColWidth="8" defaultRowHeight="15"/>
  <cols>
    <col width="25" customWidth="1" min="1" max="1"/>
    <col width="22" customWidth="1" min="2" max="2"/>
    <col width="57" customWidth="1" min="3" max="3"/>
    <col width="60" customWidth="1" min="4" max="4"/>
    <col width="30" customWidth="1" min="5" max="5"/>
    <col width="40" customWidth="1" min="6" max="6"/>
    <col width="27" customWidth="1" min="7" max="7"/>
    <col width="51" customWidth="1" min="8" max="8"/>
    <col width="50" customWidth="1" min="9" max="9"/>
  </cols>
  <sheetData>
    <row r="1" ht="42" customHeight="1">
      <c r="A1" s="12" t="inlineStr">
        <is>
          <t>時期</t>
        </is>
      </c>
      <c r="B1" s="12" t="inlineStr">
        <is>
          <t>確度</t>
        </is>
      </c>
      <c r="C1" s="12" t="inlineStr">
        <is>
          <t>国の動向／工程</t>
        </is>
      </c>
      <c r="D1" s="12" t="inlineStr">
        <is>
          <t>内容確認・対応</t>
        </is>
      </c>
      <c r="E1" s="12" t="inlineStr">
        <is>
          <t>自治体側確認時期</t>
        </is>
      </c>
      <c r="F1" s="12" t="inlineStr">
        <is>
          <t>エビデンス</t>
        </is>
      </c>
      <c r="G1" s="12" t="inlineStr">
        <is>
          <t>所管（例）</t>
        </is>
      </c>
      <c r="H1" s="12" t="inlineStr">
        <is>
          <t>一次資料URL</t>
        </is>
      </c>
      <c r="I1" s="12" t="inlineStr">
        <is>
          <t>注意点</t>
        </is>
      </c>
    </row>
    <row r="2" ht="53" customHeight="1">
      <c r="A2" s="8" t="inlineStr">
        <is>
          <t>2025年8月8日</t>
        </is>
      </c>
      <c r="B2" s="8" t="inlineStr">
        <is>
          <t>確認済</t>
        </is>
      </c>
      <c r="C2" s="8" t="inlineStr">
        <is>
          <t>第10期に向けた各種調査等に関する説明会（資料公開）</t>
        </is>
      </c>
      <c r="D2" s="8" t="inlineStr">
        <is>
          <t>調査設計・入力項目・集計・検討プロセスの反映</t>
        </is>
      </c>
      <c r="E2" s="8" t="inlineStr">
        <is>
          <t>2025年度調査時、2026年10月に再確認</t>
        </is>
      </c>
      <c r="F2" s="8" t="inlineStr">
        <is>
          <t>国の公表資料・調査票改訂</t>
        </is>
      </c>
      <c r="G2" s="8" t="inlineStr">
        <is>
          <t>介護保険担当／調査担当</t>
        </is>
      </c>
      <c r="H2" s="8" t="inlineStr">
        <is>
          <t>https://www.mhlw.go.jp/stf/shingi2/0000138653_00007.html</t>
        </is>
      </c>
      <c r="I2" s="8" t="inlineStr">
        <is>
          <t>第10期向けとして明示</t>
        </is>
      </c>
    </row>
    <row r="3" ht="53" customHeight="1">
      <c r="A3" s="8" t="inlineStr">
        <is>
          <t>2025年12月頃</t>
        </is>
      </c>
      <c r="B3" s="8" t="inlineStr">
        <is>
          <t>手引き上の想定</t>
        </is>
      </c>
      <c r="C3" s="8" t="inlineStr">
        <is>
          <t>介護保険部会・制度見直しに関する意見</t>
        </is>
      </c>
      <c r="D3" s="8" t="inlineStr">
        <is>
          <t>該当する正式な報告・とりまとめの有無を確認</t>
        </is>
      </c>
      <c r="E3" s="8" t="inlineStr">
        <is>
          <t>2026年10月に再確認</t>
        </is>
      </c>
      <c r="F3" s="8" t="inlineStr">
        <is>
          <t>部会報告・議事資料</t>
        </is>
      </c>
      <c r="G3" s="8" t="inlineStr">
        <is>
          <t>介護保険担当</t>
        </is>
      </c>
      <c r="H3" s="8" t="inlineStr">
        <is>
          <t>https://www.mhlw.go.jp/stf/shingi/shingi-hosho_126713.html</t>
        </is>
      </c>
      <c r="I3" s="8" t="inlineStr">
        <is>
          <t>日付・公表有無はこの作業では未照合</t>
        </is>
      </c>
    </row>
    <row r="4" ht="53" customHeight="1">
      <c r="A4" s="8" t="inlineStr">
        <is>
          <t>2026年2月頃</t>
        </is>
      </c>
      <c r="B4" s="8" t="inlineStr">
        <is>
          <t>手引き上の想定</t>
        </is>
      </c>
      <c r="C4" s="8" t="inlineStr">
        <is>
          <t>基本指針の記載充実事項（案）・構成案</t>
        </is>
      </c>
      <c r="D4" s="8" t="inlineStr">
        <is>
          <t>要検討項目を計画章立てへ反映</t>
        </is>
      </c>
      <c r="E4" s="8" t="inlineStr">
        <is>
          <t>2026年10月に再確認</t>
        </is>
      </c>
      <c r="F4" s="8" t="inlineStr">
        <is>
          <t>介護保険部会公表資料</t>
        </is>
      </c>
      <c r="G4" s="8" t="inlineStr">
        <is>
          <t>介護保険担当</t>
        </is>
      </c>
      <c r="H4" s="8" t="inlineStr">
        <is>
          <t>https://www.mhlw.go.jp/stf/shingi/shingi-hosho_126713.html</t>
        </is>
      </c>
      <c r="I4" s="8" t="inlineStr">
        <is>
          <t>個別の公表時期は未確認</t>
        </is>
      </c>
    </row>
    <row r="5" ht="53" customHeight="1">
      <c r="A5" s="8" t="inlineStr">
        <is>
          <t>2026年3月11日</t>
        </is>
      </c>
      <c r="B5" s="8" t="inlineStr">
        <is>
          <t>確認済</t>
        </is>
      </c>
      <c r="C5" s="8" t="inlineStr">
        <is>
          <t>全国介護保険・高齢者保健福祉担当課長会議</t>
        </is>
      </c>
      <c r="D5" s="8" t="inlineStr">
        <is>
          <t>制度改正・整備方針の確認</t>
        </is>
      </c>
      <c r="E5" s="8" t="inlineStr">
        <is>
          <t>2026年10～11月</t>
        </is>
      </c>
      <c r="F5" s="8" t="inlineStr">
        <is>
          <t>担当課長会議の資料</t>
        </is>
      </c>
      <c r="G5" s="8" t="inlineStr">
        <is>
          <t>主管・関連部局</t>
        </is>
      </c>
      <c r="H5" s="8" t="inlineStr">
        <is>
          <t>https://www.mhlw.go.jp/stf/seisakunitsuite/bunya/hukushi_kaigo/kaigo_koureisha/shingi-hosho_126734_00007.html</t>
        </is>
      </c>
      <c r="I5" s="8" t="inlineStr">
        <is>
          <t>開催実績を厚労省掲載ページで確認</t>
        </is>
      </c>
    </row>
    <row r="6" ht="53" customHeight="1">
      <c r="A6" s="8" t="inlineStr">
        <is>
          <t>2026年3月31日</t>
        </is>
      </c>
      <c r="B6" s="8" t="inlineStr">
        <is>
          <t>確認済（公式新着）</t>
        </is>
      </c>
      <c r="C6" s="8" t="inlineStr">
        <is>
          <t>見える化システム第10期向け将来推計機能（暫定版）</t>
        </is>
      </c>
      <c r="D6" s="8" t="inlineStr">
        <is>
          <t>暫定版・正式版の入力様式差異を確認</t>
        </is>
      </c>
      <c r="E6" s="8" t="inlineStr">
        <is>
          <t>推計着手時／仕様変更時</t>
        </is>
      </c>
      <c r="F6" s="8" t="inlineStr">
        <is>
          <t>公式新着・システムマニュアル</t>
        </is>
      </c>
      <c r="G6" s="8" t="inlineStr">
        <is>
          <t>推計担当</t>
        </is>
      </c>
      <c r="H6" s="8" t="inlineStr">
        <is>
          <t>https://mieruka.mhlw.go.jp/</t>
        </is>
      </c>
      <c r="I6" s="8" t="inlineStr">
        <is>
          <t>外部一般アカウントでは利用不可</t>
        </is>
      </c>
    </row>
    <row r="7" ht="53" customHeight="1">
      <c r="A7" s="8" t="inlineStr">
        <is>
          <t>2026年7月15日</t>
        </is>
      </c>
      <c r="B7" s="8" t="inlineStr">
        <is>
          <t>確認済</t>
        </is>
      </c>
      <c r="C7" s="8" t="inlineStr">
        <is>
          <t>全国介護保険担当課長会議</t>
        </is>
      </c>
      <c r="D7" s="8" t="inlineStr">
        <is>
          <t>介護保険計画課資料（１）（２）を重点確認</t>
        </is>
      </c>
      <c r="E7" s="8" t="inlineStr">
        <is>
          <t>2026年10月中</t>
        </is>
      </c>
      <c r="F7" s="8" t="inlineStr">
        <is>
          <t>資料3-1／3-2等</t>
        </is>
      </c>
      <c r="G7" s="8" t="inlineStr">
        <is>
          <t>主管・財政</t>
        </is>
      </c>
      <c r="H7" s="8" t="inlineStr">
        <is>
          <t>https://www.mhlw.go.jp/stf/newpage_74620.html</t>
        </is>
      </c>
      <c r="I7" s="8" t="inlineStr">
        <is>
          <t>基本指針（案）の確定公表とは区別</t>
        </is>
      </c>
    </row>
    <row r="8" ht="53" customHeight="1">
      <c r="A8" s="8" t="inlineStr">
        <is>
          <t>2026年7月頃</t>
        </is>
      </c>
      <c r="B8" s="8" t="inlineStr">
        <is>
          <t>手引き上の想定</t>
        </is>
      </c>
      <c r="C8" s="8" t="inlineStr">
        <is>
          <t>第10期基本指針（案）の公表</t>
        </is>
      </c>
      <c r="D8" s="8" t="inlineStr">
        <is>
          <t>実際に公表された案の版・内容・日付を検証</t>
        </is>
      </c>
      <c r="E8" s="8" t="inlineStr">
        <is>
          <t>2026年10月に再確認</t>
        </is>
      </c>
      <c r="F8" s="8" t="inlineStr">
        <is>
          <t>基本指針（案）本文・議事資料</t>
        </is>
      </c>
      <c r="G8" s="8" t="inlineStr">
        <is>
          <t>主管</t>
        </is>
      </c>
      <c r="H8" s="8" t="inlineStr">
        <is>
          <t>https://www.mhlw.go.jp/stf/shingi/shingi-hosho_126713.html</t>
        </is>
      </c>
      <c r="I8" s="8" t="inlineStr">
        <is>
          <t>公表そのものはここで未確認</t>
        </is>
      </c>
    </row>
    <row r="9" ht="53" customHeight="1">
      <c r="A9" s="8" t="inlineStr">
        <is>
          <t>2026年9月18日</t>
        </is>
      </c>
      <c r="B9" s="8" t="inlineStr">
        <is>
          <t>確認済</t>
        </is>
      </c>
      <c r="C9" s="8" t="inlineStr">
        <is>
          <t>地域分析手引き（令和8年9月改訂版）の公表情報</t>
        </is>
      </c>
      <c r="D9" s="8" t="inlineStr">
        <is>
          <t>地域分析フロー・指標・新機能を反映</t>
        </is>
      </c>
      <c r="E9" s="8" t="inlineStr">
        <is>
          <t>2026年10月中</t>
        </is>
      </c>
      <c r="F9" s="8" t="inlineStr">
        <is>
          <t>手引き改訂版、リーフレット</t>
        </is>
      </c>
      <c r="G9" s="8" t="inlineStr">
        <is>
          <t>地域分析担当</t>
        </is>
      </c>
      <c r="H9" s="8" t="inlineStr">
        <is>
          <t>https://www.mhlw.go.jp/content/12301000/001751471.pdf</t>
        </is>
      </c>
      <c r="I9" s="8" t="inlineStr">
        <is>
          <t>厚労省の資料一覧で掲載確認</t>
        </is>
      </c>
    </row>
    <row r="10" ht="53" customHeight="1">
      <c r="A10" s="8" t="inlineStr">
        <is>
          <t>2026年9月30日</t>
        </is>
      </c>
      <c r="B10" s="8" t="inlineStr">
        <is>
          <t>確認済（公式新着）</t>
        </is>
      </c>
      <c r="C10" s="8" t="inlineStr">
        <is>
          <t>見える化システム第10期向け将来推計機能（都道府県版）</t>
        </is>
      </c>
      <c r="D10" s="8" t="inlineStr">
        <is>
          <t>県提出・市町村版との整合は県案内を確認</t>
        </is>
      </c>
      <c r="E10" s="8" t="inlineStr">
        <is>
          <t>推計・提出時</t>
        </is>
      </c>
      <c r="F10" s="8" t="inlineStr">
        <is>
          <t>公式システム新着、県通知</t>
        </is>
      </c>
      <c r="G10" s="8" t="inlineStr">
        <is>
          <t>推計担当</t>
        </is>
      </c>
      <c r="H10" s="8" t="inlineStr">
        <is>
          <t>https://mieruka.mhlw.go.jp/</t>
        </is>
      </c>
      <c r="I10" s="8" t="inlineStr">
        <is>
          <t>都道府県版であることに注意</t>
        </is>
      </c>
    </row>
    <row r="11" ht="53" customHeight="1">
      <c r="A11" s="8" t="inlineStr">
        <is>
          <t>2026年度</t>
        </is>
      </c>
      <c r="B11" s="8" t="inlineStr">
        <is>
          <t>確認済</t>
        </is>
      </c>
      <c r="C11" s="8" t="inlineStr">
        <is>
          <t>令和8年度（2026年度）交付金 市町村評価結果・指標</t>
        </is>
      </c>
      <c r="D11" s="8" t="inlineStr">
        <is>
          <t>取組別評価、証跡、見直し対象を一覧化</t>
        </is>
      </c>
      <c r="E11" s="8" t="inlineStr">
        <is>
          <t>2026年10～12月</t>
        </is>
      </c>
      <c r="F11" s="8" t="inlineStr">
        <is>
          <t>市町村評価指標・結果表</t>
        </is>
      </c>
      <c r="G11" s="8" t="inlineStr">
        <is>
          <t>主管／各事業担当</t>
        </is>
      </c>
      <c r="H11" s="8" t="inlineStr">
        <is>
          <t>https://www.mhlw.go.jp/stf/newpage_17090.html</t>
        </is>
      </c>
      <c r="I11" s="8" t="inlineStr">
        <is>
          <t>年度ごとの配点・構成差を確認</t>
        </is>
      </c>
    </row>
    <row r="12" ht="53" customHeight="1">
      <c r="A12" s="8" t="inlineStr">
        <is>
          <t>2026年10～12月</t>
        </is>
      </c>
      <c r="B12" s="8" t="inlineStr">
        <is>
          <t>自治体側の作業目安</t>
        </is>
      </c>
      <c r="C12" s="8" t="inlineStr">
        <is>
          <t>施策・サービス見込量・保険料試算の原案作成</t>
        </is>
      </c>
      <c r="D12" s="8" t="inlineStr">
        <is>
          <t>県調整前に仮推計・財源の整合を確認</t>
        </is>
      </c>
      <c r="E12" s="8" t="inlineStr">
        <is>
          <t>工程表で実日程確定</t>
        </is>
      </c>
      <c r="F12" s="8" t="inlineStr">
        <is>
          <t>推計ファイル、委員会資料、事業者意向</t>
        </is>
      </c>
      <c r="G12" s="8" t="inlineStr">
        <is>
          <t>主管／財政</t>
        </is>
      </c>
      <c r="H12" s="8" t="str"/>
      <c r="I12" s="8" t="inlineStr">
        <is>
          <t>国の確定期限ではない</t>
        </is>
      </c>
    </row>
    <row r="13" ht="53" customHeight="1">
      <c r="A13" s="8" t="inlineStr">
        <is>
          <t>2026年12月～2027年1月</t>
        </is>
      </c>
      <c r="B13" s="8" t="inlineStr">
        <is>
          <t>手引き例示</t>
        </is>
      </c>
      <c r="C13" s="8" t="inlineStr">
        <is>
          <t>パブリックコメント</t>
        </is>
      </c>
      <c r="D13" s="8" t="inlineStr">
        <is>
          <t>意見募集・回答・反映を管理</t>
        </is>
      </c>
      <c r="E13" s="8" t="inlineStr">
        <is>
          <t>自治体条例・規則・工程確認</t>
        </is>
      </c>
      <c r="F13" s="8" t="inlineStr">
        <is>
          <t>計画案、意見対応表</t>
        </is>
      </c>
      <c r="G13" s="8" t="inlineStr">
        <is>
          <t>主管／企画</t>
        </is>
      </c>
      <c r="H13" s="8" t="str"/>
      <c r="I13" s="8" t="inlineStr">
        <is>
          <t>手引きp101の例示。必ずしも全国一律ではない</t>
        </is>
      </c>
    </row>
    <row r="14" ht="53" customHeight="1">
      <c r="A14" s="8" t="inlineStr">
        <is>
          <t>2027年1月頃</t>
        </is>
      </c>
      <c r="B14" s="8" t="inlineStr">
        <is>
          <t>手引き上の想定</t>
        </is>
      </c>
      <c r="C14" s="8" t="inlineStr">
        <is>
          <t>改正基本指針の公表</t>
        </is>
      </c>
      <c r="D14" s="8" t="inlineStr">
        <is>
          <t>確定版・告示を確認して最終版へ反映</t>
        </is>
      </c>
      <c r="E14" s="8" t="inlineStr">
        <is>
          <t>実公表後ただちに</t>
        </is>
      </c>
      <c r="F14" s="8" t="inlineStr">
        <is>
          <t>告示・法令新旧対照表</t>
        </is>
      </c>
      <c r="G14" s="8" t="inlineStr">
        <is>
          <t>主管</t>
        </is>
      </c>
      <c r="H14" s="8" t="str"/>
      <c r="I14" s="8" t="inlineStr">
        <is>
          <t>時期は未確認。確定版未照合</t>
        </is>
      </c>
    </row>
    <row r="15" ht="53" customHeight="1">
      <c r="A15" s="8" t="inlineStr">
        <is>
          <t>2027年3月まで</t>
        </is>
      </c>
      <c r="B15" s="8" t="inlineStr">
        <is>
          <t>計画上の目安</t>
        </is>
      </c>
      <c r="C15" s="8" t="inlineStr">
        <is>
          <t>計画確定・議会報告・県報告・公表</t>
        </is>
      </c>
      <c r="D15" s="8" t="inlineStr">
        <is>
          <t>条例／保険料算定と原稿の整合確認</t>
        </is>
      </c>
      <c r="E15" s="8" t="inlineStr">
        <is>
          <t>自治体工程に従う</t>
        </is>
      </c>
      <c r="F15" s="8" t="inlineStr">
        <is>
          <t>議会資料、最終計画、報告控え</t>
        </is>
      </c>
      <c r="G15" s="8" t="inlineStr">
        <is>
          <t>主管／財政／議会対応</t>
        </is>
      </c>
      <c r="H15" s="8" t="str"/>
      <c r="I15" s="8" t="inlineStr">
        <is>
          <t>第10期開始前の工程</t>
        </is>
      </c>
    </row>
    <row r="16" ht="53" customHeight="1">
      <c r="A16" s="8" t="inlineStr">
        <is>
          <t>2027年4月</t>
        </is>
      </c>
      <c r="B16" s="8" t="inlineStr">
        <is>
          <t>第10期開始</t>
        </is>
      </c>
      <c r="C16" s="8" t="inlineStr">
        <is>
          <t>第10期（2027～2029年度）の計画期間開始</t>
        </is>
      </c>
      <c r="D16" s="8" t="inlineStr">
        <is>
          <t>年度実績管理・指標の測定を開始</t>
        </is>
      </c>
      <c r="E16" s="8" t="inlineStr">
        <is>
          <t>2027年度当初</t>
        </is>
      </c>
      <c r="F16" s="8" t="inlineStr">
        <is>
          <t>計画・評価台帳</t>
        </is>
      </c>
      <c r="G16" s="8" t="inlineStr">
        <is>
          <t>主管</t>
        </is>
      </c>
      <c r="H16" s="8" t="str"/>
      <c r="I16" s="8" t="inlineStr">
        <is>
          <t>3年一期</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3"/>
  <sheetViews>
    <sheetView workbookViewId="0">
      <pane xSplit="2" ySplit="1" topLeftCell="C2" activePane="bottomRight" state="frozen"/>
      <selection activeCell="A1" sqref="A1"/>
    </sheetView>
  </sheetViews>
  <sheetFormatPr baseColWidth="8" defaultRowHeight="15"/>
  <cols>
    <col width="12" customWidth="1" min="1" max="1"/>
    <col width="39" customWidth="1" min="2" max="2"/>
    <col width="56" customWidth="1" min="3" max="3"/>
    <col width="25" customWidth="1" min="4" max="4"/>
    <col width="18" customWidth="1" min="5" max="5"/>
    <col width="30" customWidth="1" min="6" max="6"/>
    <col width="53" customWidth="1" min="7" max="7"/>
    <col width="15" customWidth="1" min="8" max="8"/>
    <col width="27" customWidth="1" min="9" max="9"/>
    <col width="50" customWidth="1" min="10" max="10"/>
  </cols>
  <sheetData>
    <row r="1" ht="42" customHeight="1">
      <c r="A1" s="12" t="inlineStr">
        <is>
          <t>証跡ID</t>
        </is>
      </c>
      <c r="B1" s="12" t="inlineStr">
        <is>
          <t>資料・データ名</t>
        </is>
      </c>
      <c r="C1" s="12" t="inlineStr">
        <is>
          <t>主な確認用途</t>
        </is>
      </c>
      <c r="D1" s="12" t="inlineStr">
        <is>
          <t>入手先</t>
        </is>
      </c>
      <c r="E1" s="12" t="inlineStr">
        <is>
          <t>入手状況</t>
        </is>
      </c>
      <c r="F1" s="12" t="inlineStr">
        <is>
          <t>確認時期</t>
        </is>
      </c>
      <c r="G1" s="12" t="inlineStr">
        <is>
          <t>レビュー観点</t>
        </is>
      </c>
      <c r="H1" s="12" t="inlineStr">
        <is>
          <t>優先度</t>
        </is>
      </c>
      <c r="I1" s="12" t="inlineStr">
        <is>
          <t>手引き根拠</t>
        </is>
      </c>
      <c r="J1" s="12" t="inlineStr">
        <is>
          <t>一次資料URL</t>
        </is>
      </c>
    </row>
    <row r="2" ht="53" customHeight="1">
      <c r="A2" s="8" t="inlineStr">
        <is>
          <t>E01</t>
        </is>
      </c>
      <c r="B2" s="8" t="inlineStr">
        <is>
          <t>介護保険法・第10期基本指針</t>
        </is>
      </c>
      <c r="C2" s="8" t="inlineStr">
        <is>
          <t>法定の必須・努力義務記載事項／次期制度改正</t>
        </is>
      </c>
      <c r="D2" s="8" t="inlineStr">
        <is>
          <t>厚労省・e-Gov</t>
        </is>
      </c>
      <c r="E2" s="8" t="inlineStr">
        <is>
          <t>公開</t>
        </is>
      </c>
      <c r="F2" s="8" t="inlineStr">
        <is>
          <t>素案立案前／確定版公表後</t>
        </is>
      </c>
      <c r="G2" s="8" t="inlineStr">
        <is>
          <t>法令改正日・告示日を記録</t>
        </is>
      </c>
      <c r="H2" s="8" t="inlineStr">
        <is>
          <t>最優先</t>
        </is>
      </c>
      <c r="I2" s="8" t="inlineStr">
        <is>
          <t>手引きⅡ1 p9-12</t>
        </is>
      </c>
      <c r="J2" s="8" t="str"/>
    </row>
    <row r="3" ht="53" customHeight="1">
      <c r="A3" s="8" t="inlineStr">
        <is>
          <t>E02</t>
        </is>
      </c>
      <c r="B3" s="8" t="inlineStr">
        <is>
          <t>第9期介護保険事業計画・老人福祉計画</t>
        </is>
      </c>
      <c r="C3" s="8" t="inlineStr">
        <is>
          <t>現行理念・サービス目標・保険料</t>
        </is>
      </c>
      <c r="D3" s="8" t="inlineStr">
        <is>
          <t>保険者</t>
        </is>
      </c>
      <c r="E3" s="8" t="inlineStr">
        <is>
          <t>要徴求</t>
        </is>
      </c>
      <c r="F3" s="8" t="inlineStr">
        <is>
          <t>最初のキックオフ</t>
        </is>
      </c>
      <c r="G3" s="8" t="inlineStr">
        <is>
          <t>現行と次期の差分抽出</t>
        </is>
      </c>
      <c r="H3" s="8" t="inlineStr">
        <is>
          <t>最優先</t>
        </is>
      </c>
      <c r="I3" s="8" t="inlineStr">
        <is>
          <t>手引きⅢ2.3 p63-67</t>
        </is>
      </c>
      <c r="J3" s="8" t="str"/>
    </row>
    <row r="4" ht="53" customHeight="1">
      <c r="A4" s="8" t="inlineStr">
        <is>
          <t>E03</t>
        </is>
      </c>
      <c r="B4" s="8" t="inlineStr">
        <is>
          <t>第9期進捗評価・自己評価シート</t>
        </is>
      </c>
      <c r="C4" s="8" t="inlineStr">
        <is>
          <t>取組／目標・目標達成度・見込量乖離</t>
        </is>
      </c>
      <c r="D4" s="8" t="inlineStr">
        <is>
          <t>保険者・県</t>
        </is>
      </c>
      <c r="E4" s="8" t="inlineStr">
        <is>
          <t>要徴求</t>
        </is>
      </c>
      <c r="F4" s="8" t="inlineStr">
        <is>
          <t>2026年10月</t>
        </is>
      </c>
      <c r="G4" s="8" t="inlineStr">
        <is>
          <t>評価指標の分母・原データを確認</t>
        </is>
      </c>
      <c r="H4" s="8" t="inlineStr">
        <is>
          <t>最優先</t>
        </is>
      </c>
      <c r="I4" s="8" t="inlineStr">
        <is>
          <t>手引きⅢ2.2 p49-54</t>
        </is>
      </c>
      <c r="J4" s="8" t="str"/>
    </row>
    <row r="5" ht="53" customHeight="1">
      <c r="A5" s="8" t="inlineStr">
        <is>
          <t>E04</t>
        </is>
      </c>
      <c r="B5" s="8" t="inlineStr">
        <is>
          <t>県介護保険事業支援計画</t>
        </is>
      </c>
      <c r="C5" s="8" t="inlineStr">
        <is>
          <t>老人福祉圏域・サービス整備・県の支援方針</t>
        </is>
      </c>
      <c r="D5" s="8" t="inlineStr">
        <is>
          <t>都道府県</t>
        </is>
      </c>
      <c r="E5" s="8" t="inlineStr">
        <is>
          <t>県で確認</t>
        </is>
      </c>
      <c r="F5" s="8" t="inlineStr">
        <is>
          <t>2026年10月と原案調整時</t>
        </is>
      </c>
      <c r="G5" s="8" t="inlineStr">
        <is>
          <t>施設整備量・圏域整合</t>
        </is>
      </c>
      <c r="H5" s="8" t="inlineStr">
        <is>
          <t>最優先</t>
        </is>
      </c>
      <c r="I5" s="8" t="inlineStr">
        <is>
          <t>手引きⅡ2 p13-16</t>
        </is>
      </c>
      <c r="J5" s="8" t="str"/>
    </row>
    <row r="6" ht="53" customHeight="1">
      <c r="A6" s="8" t="inlineStr">
        <is>
          <t>E05</t>
        </is>
      </c>
      <c r="B6" s="8" t="inlineStr">
        <is>
          <t>県医療計画・地域医療構想資料</t>
        </is>
      </c>
      <c r="C6" s="8" t="inlineStr">
        <is>
          <t>在宅医療供給・病床再編・医療連携</t>
        </is>
      </c>
      <c r="D6" s="8" t="inlineStr">
        <is>
          <t>県医療部局</t>
        </is>
      </c>
      <c r="E6" s="8" t="inlineStr">
        <is>
          <t>県で確認</t>
        </is>
      </c>
      <c r="F6" s="8" t="inlineStr">
        <is>
          <t>2026年10～12月</t>
        </is>
      </c>
      <c r="G6" s="8" t="inlineStr">
        <is>
          <t>将来の医療需要・地域医療構想の最新動向</t>
        </is>
      </c>
      <c r="H6" s="8" t="inlineStr">
        <is>
          <t>A</t>
        </is>
      </c>
      <c r="I6" s="8" t="inlineStr">
        <is>
          <t>手引きⅡ2 p14、Ⅳ10 p195</t>
        </is>
      </c>
      <c r="J6" s="8" t="str"/>
    </row>
    <row r="7" ht="53" customHeight="1">
      <c r="A7" s="8" t="inlineStr">
        <is>
          <t>E06</t>
        </is>
      </c>
      <c r="B7" s="8" t="inlineStr">
        <is>
          <t>地域福祉計画・重層的支援体制実施計画</t>
        </is>
      </c>
      <c r="C7" s="8" t="inlineStr">
        <is>
          <t>属性横断相談・地域共生・社会参加</t>
        </is>
      </c>
      <c r="D7" s="8" t="inlineStr">
        <is>
          <t>地域福祉部局</t>
        </is>
      </c>
      <c r="E7" s="8" t="inlineStr">
        <is>
          <t>要徴求</t>
        </is>
      </c>
      <c r="F7" s="8" t="inlineStr">
        <is>
          <t>2026年10月</t>
        </is>
      </c>
      <c r="G7" s="8" t="inlineStr">
        <is>
          <t>重複役割・担当部署・制度名称</t>
        </is>
      </c>
      <c r="H7" s="8" t="inlineStr">
        <is>
          <t>A</t>
        </is>
      </c>
      <c r="I7" s="8" t="inlineStr">
        <is>
          <t>手引きⅣ1 p115-121</t>
        </is>
      </c>
      <c r="J7" s="8" t="str"/>
    </row>
    <row r="8" ht="53" customHeight="1">
      <c r="A8" s="8" t="inlineStr">
        <is>
          <t>E07</t>
        </is>
      </c>
      <c r="B8" s="8" t="inlineStr">
        <is>
          <t>障害福祉計画・障害児福祉計画</t>
        </is>
      </c>
      <c r="C8" s="8" t="inlineStr">
        <is>
          <t>高齢・障害の複合課題等との連携</t>
        </is>
      </c>
      <c r="D8" s="8" t="inlineStr">
        <is>
          <t>障害福祉部局</t>
        </is>
      </c>
      <c r="E8" s="8" t="inlineStr">
        <is>
          <t>要徴求</t>
        </is>
      </c>
      <c r="F8" s="8" t="inlineStr">
        <is>
          <t>2026年10～11月</t>
        </is>
      </c>
      <c r="G8" s="8" t="inlineStr">
        <is>
          <t>若年性認知症等も分野横断確認</t>
        </is>
      </c>
      <c r="H8" s="8" t="inlineStr">
        <is>
          <t>B</t>
        </is>
      </c>
      <c r="I8" s="8" t="inlineStr">
        <is>
          <t>手引きⅡ2 p15-16</t>
        </is>
      </c>
      <c r="J8" s="8" t="str"/>
    </row>
    <row r="9" ht="53" customHeight="1">
      <c r="A9" s="8" t="inlineStr">
        <is>
          <t>E08</t>
        </is>
      </c>
      <c r="B9" s="8" t="inlineStr">
        <is>
          <t>高齢者住まい計画・住宅施策資料</t>
        </is>
      </c>
      <c r="C9" s="8" t="inlineStr">
        <is>
          <t>サ高住・有料老人ホーム・居住支援協議会</t>
        </is>
      </c>
      <c r="D9" s="8" t="inlineStr">
        <is>
          <t>住宅部局・県</t>
        </is>
      </c>
      <c r="E9" s="8" t="inlineStr">
        <is>
          <t>要徴求</t>
        </is>
      </c>
      <c r="F9" s="8" t="inlineStr">
        <is>
          <t>2026年10～11月</t>
        </is>
      </c>
      <c r="G9" s="8" t="inlineStr">
        <is>
          <t>介護提供体制・入居定員を同時照合</t>
        </is>
      </c>
      <c r="H9" s="8" t="inlineStr">
        <is>
          <t>最優先</t>
        </is>
      </c>
      <c r="I9" s="8" t="inlineStr">
        <is>
          <t>手引きⅣ5 p144-149</t>
        </is>
      </c>
      <c r="J9" s="8" t="str"/>
    </row>
    <row r="10" ht="53" customHeight="1">
      <c r="A10" s="8" t="inlineStr">
        <is>
          <t>E09</t>
        </is>
      </c>
      <c r="B10" s="8" t="inlineStr">
        <is>
          <t>健康増進計画・保健事業計画</t>
        </is>
      </c>
      <c r="C10" s="8" t="inlineStr">
        <is>
          <t>フレイル対策・疾病管理・介護予防の連動</t>
        </is>
      </c>
      <c r="D10" s="8" t="inlineStr">
        <is>
          <t>保健部局</t>
        </is>
      </c>
      <c r="E10" s="8" t="inlineStr">
        <is>
          <t>要徴求</t>
        </is>
      </c>
      <c r="F10" s="8" t="inlineStr">
        <is>
          <t>2026年10～12月</t>
        </is>
      </c>
      <c r="G10" s="8" t="inlineStr">
        <is>
          <t>ターゲット・対象者分母を一致させる</t>
        </is>
      </c>
      <c r="H10" s="8" t="inlineStr">
        <is>
          <t>B</t>
        </is>
      </c>
      <c r="I10" s="8" t="inlineStr">
        <is>
          <t>手引きⅣ8 p172</t>
        </is>
      </c>
      <c r="J10" s="8" t="str"/>
    </row>
    <row r="11" ht="53" customHeight="1">
      <c r="A11" s="8" t="inlineStr">
        <is>
          <t>E10</t>
        </is>
      </c>
      <c r="B11" s="8" t="inlineStr">
        <is>
          <t>認知症基本法関連の国・県計画</t>
        </is>
      </c>
      <c r="C11" s="8" t="inlineStr">
        <is>
          <t>本人参画・相談・若年性認知症</t>
        </is>
      </c>
      <c r="D11" s="8" t="inlineStr">
        <is>
          <t>厚労省・県</t>
        </is>
      </c>
      <c r="E11" s="8" t="inlineStr">
        <is>
          <t>公開</t>
        </is>
      </c>
      <c r="F11" s="8" t="inlineStr">
        <is>
          <t>2026年10～11月</t>
        </is>
      </c>
      <c r="G11" s="8" t="inlineStr">
        <is>
          <t>基本法・国計画・県計画の施行状況を確認</t>
        </is>
      </c>
      <c r="H11" s="8" t="inlineStr">
        <is>
          <t>A</t>
        </is>
      </c>
      <c r="I11" s="8" t="inlineStr">
        <is>
          <t>手引きⅣ11 p201-204</t>
        </is>
      </c>
      <c r="J11" s="8" t="str"/>
    </row>
    <row r="12" ht="53" customHeight="1">
      <c r="A12" s="8" t="inlineStr">
        <is>
          <t>E11</t>
        </is>
      </c>
      <c r="B12" s="8" t="inlineStr">
        <is>
          <t>住民基本台帳・年齢階級別人口</t>
        </is>
      </c>
      <c r="C12" s="8" t="inlineStr">
        <is>
          <t>圏域別性・年齢別人口／長期推計</t>
        </is>
      </c>
      <c r="D12" s="8" t="inlineStr">
        <is>
          <t>自治体統計担当</t>
        </is>
      </c>
      <c r="E12" s="8" t="inlineStr">
        <is>
          <t>要徴求</t>
        </is>
      </c>
      <c r="F12" s="8" t="inlineStr">
        <is>
          <t>2026年10月</t>
        </is>
      </c>
      <c r="G12" s="8" t="inlineStr">
        <is>
          <t>対象年度・住基基準日を統一</t>
        </is>
      </c>
      <c r="H12" s="8" t="inlineStr">
        <is>
          <t>最優先</t>
        </is>
      </c>
      <c r="I12" s="8" t="inlineStr">
        <is>
          <t>手引きⅣ2-3 p124-138</t>
        </is>
      </c>
      <c r="J12" s="8" t="str"/>
    </row>
    <row r="13" ht="53" customHeight="1">
      <c r="A13" s="8" t="inlineStr">
        <is>
          <t>E12</t>
        </is>
      </c>
      <c r="B13" s="8" t="inlineStr">
        <is>
          <t>将来人口推計・社人研推計</t>
        </is>
      </c>
      <c r="C13" s="8" t="inlineStr">
        <is>
          <t>2027～2029・2040等の将来人口</t>
        </is>
      </c>
      <c r="D13" s="8" t="inlineStr">
        <is>
          <t>自治体・社人研</t>
        </is>
      </c>
      <c r="E13" s="8" t="inlineStr">
        <is>
          <t>公開／要徴求</t>
        </is>
      </c>
      <c r="F13" s="8" t="inlineStr">
        <is>
          <t>2026年10月</t>
        </is>
      </c>
      <c r="G13" s="8" t="inlineStr">
        <is>
          <t>推計手法・基準年・補正の根拠保存</t>
        </is>
      </c>
      <c r="H13" s="8" t="inlineStr">
        <is>
          <t>最優先</t>
        </is>
      </c>
      <c r="I13" s="8" t="inlineStr">
        <is>
          <t>手引きⅣ3 p133-138</t>
        </is>
      </c>
      <c r="J13" s="8" t="str"/>
    </row>
    <row r="14" ht="53" customHeight="1">
      <c r="A14" s="8" t="inlineStr">
        <is>
          <t>E13</t>
        </is>
      </c>
      <c r="B14" s="8" t="inlineStr">
        <is>
          <t>介護認定・給付実績・国保連請求</t>
        </is>
      </c>
      <c r="C14" s="8" t="inlineStr">
        <is>
          <t>認定率、受給率、利用率、利用回数、給付費</t>
        </is>
      </c>
      <c r="D14" s="8" t="inlineStr">
        <is>
          <t>保険者・国保連</t>
        </is>
      </c>
      <c r="E14" s="8" t="inlineStr">
        <is>
          <t>要徴求</t>
        </is>
      </c>
      <c r="F14" s="8" t="inlineStr">
        <is>
          <t>2026年10～11月</t>
        </is>
      </c>
      <c r="G14" s="8" t="inlineStr">
        <is>
          <t>年度と月報・年報の差異に注意</t>
        </is>
      </c>
      <c r="H14" s="8" t="inlineStr">
        <is>
          <t>最優先</t>
        </is>
      </c>
      <c r="I14" s="8" t="inlineStr">
        <is>
          <t>手引きⅢ2.2・Ⅳ2</t>
        </is>
      </c>
      <c r="J14" s="8" t="str"/>
    </row>
    <row r="15" ht="53" customHeight="1">
      <c r="A15" s="8" t="inlineStr">
        <is>
          <t>E14</t>
        </is>
      </c>
      <c r="B15" s="8" t="inlineStr">
        <is>
          <t>見える化現状分析／実行管理出力</t>
        </is>
      </c>
      <c r="C15" s="8" t="inlineStr">
        <is>
          <t>類似団体比較、見込量vs実績、地域差</t>
        </is>
      </c>
      <c r="D15" s="8" t="inlineStr">
        <is>
          <t>見える化システム</t>
        </is>
      </c>
      <c r="E15" s="8" t="inlineStr">
        <is>
          <t>自治体ID必要</t>
        </is>
      </c>
      <c r="F15" s="8" t="inlineStr">
        <is>
          <t>2026年10～12月</t>
        </is>
      </c>
      <c r="G15" s="8" t="inlineStr">
        <is>
          <t>エクスポート時点・人口定義を記録</t>
        </is>
      </c>
      <c r="H15" s="8" t="inlineStr">
        <is>
          <t>最優先</t>
        </is>
      </c>
      <c r="I15" s="8" t="inlineStr">
        <is>
          <t>手引きⅢ2.2 p49-62</t>
        </is>
      </c>
      <c r="J15" s="8" t="inlineStr">
        <is>
          <t>https://mieruka.mhlw.go.jp/</t>
        </is>
      </c>
    </row>
    <row r="16" ht="53" customHeight="1">
      <c r="A16" s="8" t="inlineStr">
        <is>
          <t>E15</t>
        </is>
      </c>
      <c r="B16" s="8" t="inlineStr">
        <is>
          <t>見える化第10期将来推計出力</t>
        </is>
      </c>
      <c r="C16" s="8" t="inlineStr">
        <is>
          <t>自然体・施策反映・給付費・保険料</t>
        </is>
      </c>
      <c r="D16" s="8" t="inlineStr">
        <is>
          <t>見える化システム</t>
        </is>
      </c>
      <c r="E16" s="8" t="inlineStr">
        <is>
          <t>自治体ID必要</t>
        </is>
      </c>
      <c r="F16" s="8" t="inlineStr">
        <is>
          <t>2026年10～2027年2月</t>
        </is>
      </c>
      <c r="G16" s="8" t="inlineStr">
        <is>
          <t>暫定版・正式版のバージョンを保存</t>
        </is>
      </c>
      <c r="H16" s="8" t="inlineStr">
        <is>
          <t>最優先</t>
        </is>
      </c>
      <c r="I16" s="8" t="inlineStr">
        <is>
          <t>手引きⅢ2.5 p92-99</t>
        </is>
      </c>
      <c r="J16" s="8" t="inlineStr">
        <is>
          <t>https://mieruka.mhlw.go.jp/</t>
        </is>
      </c>
    </row>
    <row r="17" ht="53" customHeight="1">
      <c r="A17" s="8" t="inlineStr">
        <is>
          <t>E16</t>
        </is>
      </c>
      <c r="B17" s="8" t="inlineStr">
        <is>
          <t>介護予防・日常生活圏域ニーズ調査</t>
        </is>
      </c>
      <c r="C17" s="8" t="inlineStr">
        <is>
          <t>フレイル、移動、社会参加、生活支援</t>
        </is>
      </c>
      <c r="D17" s="8" t="inlineStr">
        <is>
          <t>保険者・受託者</t>
        </is>
      </c>
      <c r="E17" s="8" t="inlineStr">
        <is>
          <t>要徴求</t>
        </is>
      </c>
      <c r="F17" s="8" t="inlineStr">
        <is>
          <t>集計完了次第</t>
        </is>
      </c>
      <c r="G17" s="8" t="inlineStr">
        <is>
          <t>回収率・N・圏域別精度を確認</t>
        </is>
      </c>
      <c r="H17" s="8" t="inlineStr">
        <is>
          <t>最優先</t>
        </is>
      </c>
      <c r="I17" s="8" t="inlineStr">
        <is>
          <t>手引きⅢ2.4 p78</t>
        </is>
      </c>
      <c r="J17" s="8" t="inlineStr">
        <is>
          <t>https://www.mhlw.go.jp/stf/shingi2/0000138653_00007.html</t>
        </is>
      </c>
    </row>
    <row r="18" ht="53" customHeight="1">
      <c r="A18" s="8" t="inlineStr">
        <is>
          <t>E17</t>
        </is>
      </c>
      <c r="B18" s="8" t="inlineStr">
        <is>
          <t>在宅介護実態調査</t>
        </is>
      </c>
      <c r="C18" s="8" t="inlineStr">
        <is>
          <t>家族介護・就労・介護者不安・在宅継続</t>
        </is>
      </c>
      <c r="D18" s="8" t="inlineStr">
        <is>
          <t>保険者・受託者</t>
        </is>
      </c>
      <c r="E18" s="8" t="inlineStr">
        <is>
          <t>要徴求</t>
        </is>
      </c>
      <c r="F18" s="8" t="inlineStr">
        <is>
          <t>集計完了次第</t>
        </is>
      </c>
      <c r="G18" s="8" t="inlineStr">
        <is>
          <t>認定情報との連結・抽出条件を確認</t>
        </is>
      </c>
      <c r="H18" s="8" t="inlineStr">
        <is>
          <t>最優先</t>
        </is>
      </c>
      <c r="I18" s="8" t="inlineStr">
        <is>
          <t>手引きⅢ2.4 p80</t>
        </is>
      </c>
      <c r="J18" s="8" t="inlineStr">
        <is>
          <t>https://www.mhlw.go.jp/stf/shingi2/0000138653_00007.html</t>
        </is>
      </c>
    </row>
    <row r="19" ht="53" customHeight="1">
      <c r="A19" s="8" t="inlineStr">
        <is>
          <t>E18</t>
        </is>
      </c>
      <c r="B19" s="8" t="inlineStr">
        <is>
          <t>在宅生活改善調査</t>
        </is>
      </c>
      <c r="C19" s="8" t="inlineStr">
        <is>
          <t>真に居所変更が必要な層・支援内容</t>
        </is>
      </c>
      <c r="D19" s="8" t="inlineStr">
        <is>
          <t>保険者・受託者</t>
        </is>
      </c>
      <c r="E19" s="8" t="inlineStr">
        <is>
          <t>実施有無確認</t>
        </is>
      </c>
      <c r="F19" s="8" t="inlineStr">
        <is>
          <t>2026年10月</t>
        </is>
      </c>
      <c r="G19" s="8" t="inlineStr">
        <is>
          <t>未実施なら代替情報を検討</t>
        </is>
      </c>
      <c r="H19" s="8" t="inlineStr">
        <is>
          <t>A</t>
        </is>
      </c>
      <c r="I19" s="8" t="inlineStr">
        <is>
          <t>手引きⅢ2.4 p82</t>
        </is>
      </c>
      <c r="J19" s="8" t="inlineStr">
        <is>
          <t>https://www.mhlw.go.jp/stf/shingi2/0000138653_00007.html</t>
        </is>
      </c>
    </row>
    <row r="20" ht="53" customHeight="1">
      <c r="A20" s="8" t="inlineStr">
        <is>
          <t>E19</t>
        </is>
      </c>
      <c r="B20" s="8" t="inlineStr">
        <is>
          <t>居所変更実態調査</t>
        </is>
      </c>
      <c r="C20" s="8" t="inlineStr">
        <is>
          <t>居所変更理由・移動経路・入居需要</t>
        </is>
      </c>
      <c r="D20" s="8" t="inlineStr">
        <is>
          <t>保険者・受託者</t>
        </is>
      </c>
      <c r="E20" s="8" t="inlineStr">
        <is>
          <t>実施有無確認</t>
        </is>
      </c>
      <c r="F20" s="8" t="inlineStr">
        <is>
          <t>2026年10月</t>
        </is>
      </c>
      <c r="G20" s="8" t="inlineStr">
        <is>
          <t>未実施の場合の代替資料を確認</t>
        </is>
      </c>
      <c r="H20" s="8" t="inlineStr">
        <is>
          <t>A</t>
        </is>
      </c>
      <c r="I20" s="8" t="inlineStr">
        <is>
          <t>手引きⅢ2.4 p84</t>
        </is>
      </c>
      <c r="J20" s="8" t="inlineStr">
        <is>
          <t>https://www.mhlw.go.jp/stf/shingi2/0000138653_00007.html</t>
        </is>
      </c>
    </row>
    <row r="21" ht="53" customHeight="1">
      <c r="A21" s="8" t="inlineStr">
        <is>
          <t>E20</t>
        </is>
      </c>
      <c r="B21" s="8" t="inlineStr">
        <is>
          <t>介護人材実態調査／事業所アンケート</t>
        </is>
      </c>
      <c r="C21" s="8" t="inlineStr">
        <is>
          <t>職種別需給、欠員、離職、定員・開設意向</t>
        </is>
      </c>
      <c r="D21" s="8" t="inlineStr">
        <is>
          <t>保険者・事業所</t>
        </is>
      </c>
      <c r="E21" s="8" t="inlineStr">
        <is>
          <t>実施有無確認</t>
        </is>
      </c>
      <c r="F21" s="8" t="inlineStr">
        <is>
          <t>2026年10～11月</t>
        </is>
      </c>
      <c r="G21" s="8" t="inlineStr">
        <is>
          <t>回答事業所の網羅性と実員数を確認</t>
        </is>
      </c>
      <c r="H21" s="8" t="inlineStr">
        <is>
          <t>最優先</t>
        </is>
      </c>
      <c r="I21" s="8" t="inlineStr">
        <is>
          <t>手引きⅢ2.4 p86／Ⅳ13</t>
        </is>
      </c>
      <c r="J21" s="8" t="inlineStr">
        <is>
          <t>https://www.mhlw.go.jp/stf/shingi2/0000138653_00007.html</t>
        </is>
      </c>
    </row>
    <row r="22" ht="53" customHeight="1">
      <c r="A22" s="8" t="inlineStr">
        <is>
          <t>E21</t>
        </is>
      </c>
      <c r="B22" s="8" t="inlineStr">
        <is>
          <t>介護事業所指定台帳・施設稼働</t>
        </is>
      </c>
      <c r="C22" s="8" t="inlineStr">
        <is>
          <t>施設定員・受入余力・休廃止・空白圏域</t>
        </is>
      </c>
      <c r="D22" s="8" t="inlineStr">
        <is>
          <t>指定担当・県</t>
        </is>
      </c>
      <c r="E22" s="8" t="inlineStr">
        <is>
          <t>要徴求</t>
        </is>
      </c>
      <c r="F22" s="8" t="inlineStr">
        <is>
          <t>2026年10～11月</t>
        </is>
      </c>
      <c r="G22" s="8" t="inlineStr">
        <is>
          <t>有料ホーム特定施設指定を区分</t>
        </is>
      </c>
      <c r="H22" s="8" t="inlineStr">
        <is>
          <t>最優先</t>
        </is>
      </c>
      <c r="I22" s="8" t="inlineStr">
        <is>
          <t>手引きⅣ4～5</t>
        </is>
      </c>
      <c r="J22" s="8" t="str"/>
    </row>
    <row r="23" ht="53" customHeight="1">
      <c r="A23" s="8" t="inlineStr">
        <is>
          <t>E22</t>
        </is>
      </c>
      <c r="B23" s="8" t="inlineStr">
        <is>
          <t>高齢者住宅・サ高住・居住支援資料</t>
        </is>
      </c>
      <c r="C23" s="8" t="inlineStr">
        <is>
          <t>定員総数・入居者属性・住まい困難</t>
        </is>
      </c>
      <c r="D23" s="8" t="inlineStr">
        <is>
          <t>県住宅課、国交省、自治体</t>
        </is>
      </c>
      <c r="E23" s="8" t="inlineStr">
        <is>
          <t>要徴求</t>
        </is>
      </c>
      <c r="F23" s="8" t="inlineStr">
        <is>
          <t>2026年10～11月</t>
        </is>
      </c>
      <c r="G23" s="8" t="inlineStr">
        <is>
          <t>圏域ごとの住居・介護需要を照合</t>
        </is>
      </c>
      <c r="H23" s="8" t="inlineStr">
        <is>
          <t>最優先</t>
        </is>
      </c>
      <c r="I23" s="8" t="inlineStr">
        <is>
          <t>手引きⅣ5 p144-149</t>
        </is>
      </c>
      <c r="J23" s="8" t="str"/>
    </row>
    <row r="24" ht="53" customHeight="1">
      <c r="A24" s="8" t="inlineStr">
        <is>
          <t>E23</t>
        </is>
      </c>
      <c r="B24" s="8" t="inlineStr">
        <is>
          <t>SC・協議体活動実績、委託契約</t>
        </is>
      </c>
      <c r="C24" s="8" t="inlineStr">
        <is>
          <t>第1層・第2層配置、実働・協議・資源創出</t>
        </is>
      </c>
      <c r="D24" s="8" t="inlineStr">
        <is>
          <t>地域包括・社協</t>
        </is>
      </c>
      <c r="E24" s="8" t="inlineStr">
        <is>
          <t>要徴求</t>
        </is>
      </c>
      <c r="F24" s="8" t="inlineStr">
        <is>
          <t>2026年10～11月</t>
        </is>
      </c>
      <c r="G24" s="8" t="inlineStr">
        <is>
          <t>『地域共生社会コーディネーター』名称を区別</t>
        </is>
      </c>
      <c r="H24" s="8" t="inlineStr">
        <is>
          <t>最優先</t>
        </is>
      </c>
      <c r="I24" s="8" t="inlineStr">
        <is>
          <t>手引きⅣ7 p165-171</t>
        </is>
      </c>
      <c r="J24" s="8" t="inlineStr">
        <is>
          <t>https://kouseikyoku.mhlw.go.jp/kantoshinetsu/000409256.pdf</t>
        </is>
      </c>
    </row>
    <row r="25" ht="53" customHeight="1">
      <c r="A25" s="8" t="inlineStr">
        <is>
          <t>E24</t>
        </is>
      </c>
      <c r="B25" s="8" t="inlineStr">
        <is>
          <t>地域ケア会議・包括支援センター実績</t>
        </is>
      </c>
      <c r="C25" s="8" t="inlineStr">
        <is>
          <t>相談件数、地域課題、支援体制・人員</t>
        </is>
      </c>
      <c r="D25" s="8" t="inlineStr">
        <is>
          <t>包括支援センター</t>
        </is>
      </c>
      <c r="E25" s="8" t="inlineStr">
        <is>
          <t>要徴求</t>
        </is>
      </c>
      <c r="F25" s="8" t="inlineStr">
        <is>
          <t>2026年10～11月</t>
        </is>
      </c>
      <c r="G25" s="8" t="inlineStr">
        <is>
          <t>個別支援と地域課題への昇華を確認</t>
        </is>
      </c>
      <c r="H25" s="8" t="inlineStr">
        <is>
          <t>A</t>
        </is>
      </c>
      <c r="I25" s="8" t="inlineStr">
        <is>
          <t>手引きⅣ9 p175-187</t>
        </is>
      </c>
      <c r="J25" s="8" t="str"/>
    </row>
    <row r="26" ht="53" customHeight="1">
      <c r="A26" s="8" t="inlineStr">
        <is>
          <t>E25</t>
        </is>
      </c>
      <c r="B26" s="8" t="inlineStr">
        <is>
          <t>総合事業実績・介護予防事業評価</t>
        </is>
      </c>
      <c r="C26" s="8" t="inlineStr">
        <is>
          <t>訪問・通所、通いの場、生活機能成果</t>
        </is>
      </c>
      <c r="D26" s="8" t="inlineStr">
        <is>
          <t>介護予防担当</t>
        </is>
      </c>
      <c r="E26" s="8" t="inlineStr">
        <is>
          <t>要徴求</t>
        </is>
      </c>
      <c r="F26" s="8" t="inlineStr">
        <is>
          <t>2026年10～12月</t>
        </is>
      </c>
      <c r="G26" s="8" t="inlineStr">
        <is>
          <t>事業費・利用量・成果を接続</t>
        </is>
      </c>
      <c r="H26" s="8" t="inlineStr">
        <is>
          <t>A</t>
        </is>
      </c>
      <c r="I26" s="8" t="inlineStr">
        <is>
          <t>手引きⅣ6 p150-164</t>
        </is>
      </c>
      <c r="J26" s="8" t="str"/>
    </row>
    <row r="27" ht="53" customHeight="1">
      <c r="A27" s="8" t="inlineStr">
        <is>
          <t>E26</t>
        </is>
      </c>
      <c r="B27" s="8" t="inlineStr">
        <is>
          <t>保険料算定表・財政諸表・基金台帳</t>
        </is>
      </c>
      <c r="C27" s="8" t="inlineStr">
        <is>
          <t>第1号保険料基準額・所得段階・取崩額</t>
        </is>
      </c>
      <c r="D27" s="8" t="inlineStr">
        <is>
          <t>介護保険財政担当</t>
        </is>
      </c>
      <c r="E27" s="8" t="inlineStr">
        <is>
          <t>要徴求</t>
        </is>
      </c>
      <c r="F27" s="8" t="inlineStr">
        <is>
          <t>2026年11～2027年2月</t>
        </is>
      </c>
      <c r="G27" s="8" t="inlineStr">
        <is>
          <t>所得段階人数と保険料収支を確認</t>
        </is>
      </c>
      <c r="H27" s="8" t="inlineStr">
        <is>
          <t>最優先</t>
        </is>
      </c>
      <c r="I27" s="8" t="inlineStr">
        <is>
          <t>手引きⅢ2.5 p94-99</t>
        </is>
      </c>
      <c r="J27" s="8" t="str"/>
    </row>
    <row r="28" ht="53" customHeight="1">
      <c r="A28" s="8" t="inlineStr">
        <is>
          <t>E27</t>
        </is>
      </c>
      <c r="B28" s="8" t="inlineStr">
        <is>
          <t>交付金令和8年度評価指標と結果</t>
        </is>
      </c>
      <c r="C28" s="8" t="inlineStr">
        <is>
          <t>指標別得点・配点・評価根拠</t>
        </is>
      </c>
      <c r="D28" s="8" t="inlineStr">
        <is>
          <t>厚生労働省</t>
        </is>
      </c>
      <c r="E28" s="8" t="inlineStr">
        <is>
          <t>公開</t>
        </is>
      </c>
      <c r="F28" s="8" t="inlineStr">
        <is>
          <t>2026年10月</t>
        </is>
      </c>
      <c r="G28" s="8" t="inlineStr">
        <is>
          <t>推進交付金と努力支援を分離</t>
        </is>
      </c>
      <c r="H28" s="8" t="inlineStr">
        <is>
          <t>最優先</t>
        </is>
      </c>
      <c r="I28" s="8" t="inlineStr">
        <is>
          <t>手引きⅣ15 p229</t>
        </is>
      </c>
      <c r="J28" s="8" t="inlineStr">
        <is>
          <t>https://www.mhlw.go.jp/stf/newpage_17090.html</t>
        </is>
      </c>
    </row>
    <row r="29" ht="53" customHeight="1">
      <c r="A29" s="8" t="inlineStr">
        <is>
          <t>E28</t>
        </is>
      </c>
      <c r="B29" s="8" t="inlineStr">
        <is>
          <t>交付金決定通知・事業充当・決算</t>
        </is>
      </c>
      <c r="C29" s="8" t="inlineStr">
        <is>
          <t>配分額、活用事業、財源充当、使途</t>
        </is>
      </c>
      <c r="D29" s="8" t="inlineStr">
        <is>
          <t>保険者・財政</t>
        </is>
      </c>
      <c r="E29" s="8" t="inlineStr">
        <is>
          <t>要徴求</t>
        </is>
      </c>
      <c r="F29" s="8" t="inlineStr">
        <is>
          <t>2026年予算／決算</t>
        </is>
      </c>
      <c r="G29" s="8" t="inlineStr">
        <is>
          <t>当該年度交付要綱と突合</t>
        </is>
      </c>
      <c r="H29" s="8" t="inlineStr">
        <is>
          <t>最優先</t>
        </is>
      </c>
      <c r="I29" s="8" t="inlineStr">
        <is>
          <t>手引きⅣ17 p238-240</t>
        </is>
      </c>
      <c r="J29" s="8" t="inlineStr">
        <is>
          <t>https://www.mhlw.go.jp/stf/newpage_17527.html</t>
        </is>
      </c>
    </row>
    <row r="30" ht="53" customHeight="1">
      <c r="A30" s="8" t="inlineStr">
        <is>
          <t>E29</t>
        </is>
      </c>
      <c r="B30" s="8" t="inlineStr">
        <is>
          <t>2026年3月・7月全国課長会議</t>
        </is>
      </c>
      <c r="C30" s="8" t="inlineStr">
        <is>
          <t>改正動向、制度実務、見込量推計</t>
        </is>
      </c>
      <c r="D30" s="8" t="inlineStr">
        <is>
          <t>厚労省</t>
        </is>
      </c>
      <c r="E30" s="8" t="inlineStr">
        <is>
          <t>公開</t>
        </is>
      </c>
      <c r="F30" s="8" t="inlineStr">
        <is>
          <t>直ちに／以後更新</t>
        </is>
      </c>
      <c r="G30" s="8" t="inlineStr">
        <is>
          <t>資料３介護保険計画課を重点確認</t>
        </is>
      </c>
      <c r="H30" s="8" t="inlineStr">
        <is>
          <t>最優先</t>
        </is>
      </c>
      <c r="I30" s="8" t="inlineStr">
        <is>
          <t>手引きⅡ3 p17</t>
        </is>
      </c>
      <c r="J30" s="8" t="inlineStr">
        <is>
          <t>https://www.mhlw.go.jp/stf/newpage_74620.html</t>
        </is>
      </c>
    </row>
    <row r="31" ht="53" customHeight="1">
      <c r="A31" s="8" t="inlineStr">
        <is>
          <t>E30</t>
        </is>
      </c>
      <c r="B31" s="8" t="inlineStr">
        <is>
          <t>2026年9月版地域分析の手引き</t>
        </is>
      </c>
      <c r="C31" s="8" t="inlineStr">
        <is>
          <t>地域差分析の方法と新機能</t>
        </is>
      </c>
      <c r="D31" s="8" t="inlineStr">
        <is>
          <t>厚労省</t>
        </is>
      </c>
      <c r="E31" s="8" t="inlineStr">
        <is>
          <t>公開</t>
        </is>
      </c>
      <c r="F31" s="8" t="inlineStr">
        <is>
          <t>2026年10月中</t>
        </is>
      </c>
      <c r="G31" s="8" t="inlineStr">
        <is>
          <t>旧版を上書きして分析指針を更新</t>
        </is>
      </c>
      <c r="H31" s="8" t="inlineStr">
        <is>
          <t>最優先</t>
        </is>
      </c>
      <c r="I31" s="8" t="inlineStr">
        <is>
          <t>手引きⅢ2.2 p58</t>
        </is>
      </c>
      <c r="J31" s="8" t="inlineStr">
        <is>
          <t>https://www.mhlw.go.jp/content/12301000/001751471.pdf</t>
        </is>
      </c>
    </row>
    <row r="32" ht="53" customHeight="1">
      <c r="A32" s="8" t="inlineStr">
        <is>
          <t>E31</t>
        </is>
      </c>
      <c r="B32" s="8" t="inlineStr">
        <is>
          <t>計画策定会議録・パブコメ結果</t>
        </is>
      </c>
      <c r="C32" s="8" t="inlineStr">
        <is>
          <t>協議、意見反映、確定手続</t>
        </is>
      </c>
      <c r="D32" s="8" t="inlineStr">
        <is>
          <t>保険者</t>
        </is>
      </c>
      <c r="E32" s="8" t="inlineStr">
        <is>
          <t>要徴求</t>
        </is>
      </c>
      <c r="F32" s="8" t="inlineStr">
        <is>
          <t>2026年12月～2027年3月</t>
        </is>
      </c>
      <c r="G32" s="8" t="inlineStr">
        <is>
          <t>意見対応経過・決裁版を残す</t>
        </is>
      </c>
      <c r="H32" s="8" t="inlineStr">
        <is>
          <t>A</t>
        </is>
      </c>
      <c r="I32" s="8" t="inlineStr">
        <is>
          <t>手引きⅢ2.5 p100-101</t>
        </is>
      </c>
      <c r="J32" s="8" t="str"/>
    </row>
    <row r="33" ht="53" customHeight="1">
      <c r="A33" s="8" t="inlineStr">
        <is>
          <t>E32</t>
        </is>
      </c>
      <c r="B33" s="8" t="inlineStr">
        <is>
          <t>第10期県提出様式・事務連絡</t>
        </is>
      </c>
      <c r="C33" s="8" t="inlineStr">
        <is>
          <t>提出締切・形式・圏域・見込量の調整</t>
        </is>
      </c>
      <c r="D33" s="8" t="inlineStr">
        <is>
          <t>県介護保険担当</t>
        </is>
      </c>
      <c r="E33" s="8" t="inlineStr">
        <is>
          <t>県で確認</t>
        </is>
      </c>
      <c r="F33" s="8" t="inlineStr">
        <is>
          <t>提出前に都度</t>
        </is>
      </c>
      <c r="G33" s="8" t="inlineStr">
        <is>
          <t>国の概算予定より県指示を優先</t>
        </is>
      </c>
      <c r="H33" s="8" t="inlineStr">
        <is>
          <t>最優先</t>
        </is>
      </c>
      <c r="I33" s="8" t="inlineStr">
        <is>
          <t>手引きⅢ2.5 p90-101</t>
        </is>
      </c>
      <c r="J33" s="8" t="str"/>
    </row>
  </sheetData>
  <dataValidations count="1">
    <dataValidation sqref="E2:E33" showDropDown="0" showInputMessage="0" showErrorMessage="0" allowBlank="0" type="list">
      <formula1>"要徴求,入手済,未入手,県で確認,公開,自治体ID必要,実施有無確認,該当なし"</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activeCell="A1" sqref="A1"/>
    </sheetView>
  </sheetViews>
  <sheetFormatPr baseColWidth="8" defaultRowHeight="15"/>
  <cols>
    <col width="19" customWidth="1" min="1" max="1"/>
    <col width="46" customWidth="1" min="2" max="2"/>
    <col width="54" customWidth="1" min="3" max="3"/>
    <col width="57" customWidth="1" min="4" max="4"/>
    <col width="47" customWidth="1" min="5" max="5"/>
    <col width="60" customWidth="1" min="6" max="6"/>
    <col width="48" customWidth="1" min="7" max="7"/>
  </cols>
  <sheetData>
    <row r="1" ht="42" customHeight="1">
      <c r="A1" s="12" t="inlineStr">
        <is>
          <t>論点</t>
        </is>
      </c>
      <c r="B1" s="12" t="inlineStr">
        <is>
          <t>判断の軸</t>
        </is>
      </c>
      <c r="C1" s="12" t="inlineStr">
        <is>
          <t>重大な誤り・RedTeam指摘</t>
        </is>
      </c>
      <c r="D1" s="12" t="inlineStr">
        <is>
          <t>具体的な点検方法</t>
        </is>
      </c>
      <c r="E1" s="12" t="inlineStr">
        <is>
          <t>エビデンス</t>
        </is>
      </c>
      <c r="F1" s="12" t="inlineStr">
        <is>
          <t>注意点</t>
        </is>
      </c>
      <c r="G1" s="12" t="inlineStr">
        <is>
          <t>対応方針</t>
        </is>
      </c>
    </row>
    <row r="2" ht="53" customHeight="1">
      <c r="A2" s="8" t="inlineStr">
        <is>
          <t>法定事項</t>
        </is>
      </c>
      <c r="B2" s="8" t="inlineStr">
        <is>
          <t>必須と努力義務を分ける</t>
        </is>
      </c>
      <c r="C2" s="8" t="inlineStr">
        <is>
          <t>必須記載漏れ</t>
        </is>
      </c>
      <c r="D2" s="8" t="inlineStr">
        <is>
          <t>条文・基本指針との差分がゼロか</t>
        </is>
      </c>
      <c r="E2" s="8" t="inlineStr">
        <is>
          <t>法令、基本指針、計画素案</t>
        </is>
      </c>
      <c r="F2" s="8" t="inlineStr">
        <is>
          <t>記載があっても定量計画の粒度（年度・圏域）が足りない</t>
        </is>
      </c>
      <c r="G2" s="8" t="inlineStr">
        <is>
          <t>未掲載の項目を特定し担当者修正</t>
        </is>
      </c>
    </row>
    <row r="3" ht="53" customHeight="1">
      <c r="A3" s="8" t="inlineStr">
        <is>
          <t>国の通知</t>
        </is>
      </c>
      <c r="B3" s="8" t="inlineStr">
        <is>
          <t>確定情報と見込みを混同しない</t>
        </is>
      </c>
      <c r="C3" s="8" t="inlineStr">
        <is>
          <t>古い第９期資料による判断</t>
        </is>
      </c>
      <c r="D3" s="8" t="inlineStr">
        <is>
          <t>版・通知日・施行時期・経過措置を記録</t>
        </is>
      </c>
      <c r="E3" s="8" t="inlineStr">
        <is>
          <t>国会議資料、通知、告示</t>
        </is>
      </c>
      <c r="F3" s="8" t="inlineStr">
        <is>
          <t>令和9年1月の公表は手引き上の見込み</t>
        </is>
      </c>
      <c r="G3" s="8" t="inlineStr">
        <is>
          <t>最新版公表後に差分追記</t>
        </is>
      </c>
    </row>
    <row r="4" ht="53" customHeight="1">
      <c r="A4" s="8" t="inlineStr">
        <is>
          <t>地域分析</t>
        </is>
      </c>
      <c r="B4" s="8" t="inlineStr">
        <is>
          <t>分母・比較条件を揃える</t>
        </is>
      </c>
      <c r="C4" s="8" t="inlineStr">
        <is>
          <t>粗認定率だけで優劣判断</t>
        </is>
      </c>
      <c r="D4" s="8" t="inlineStr">
        <is>
          <t>年齢調整・利用量・需要供給分解</t>
        </is>
      </c>
      <c r="E4" s="8" t="inlineStr">
        <is>
          <t>人口、認定、レセプト、地域分析手引き</t>
        </is>
      </c>
      <c r="F4" s="8" t="inlineStr">
        <is>
          <t>サービス供給量の制約で受給率が下がる場合がある</t>
        </is>
      </c>
      <c r="G4" s="8" t="inlineStr">
        <is>
          <t>類似団体・圏域比較を再計算</t>
        </is>
      </c>
    </row>
    <row r="5" ht="53" customHeight="1">
      <c r="A5" s="8" t="inlineStr">
        <is>
          <t>長期推計</t>
        </is>
      </c>
      <c r="B5" s="8" t="inlineStr">
        <is>
          <t>人口→認定→利用→費用の一連経路</t>
        </is>
      </c>
      <c r="C5" s="8" t="inlineStr">
        <is>
          <t>自然体＝必要整備量という誤解</t>
        </is>
      </c>
      <c r="D5" s="8" t="inlineStr">
        <is>
          <t>認定率、利用率、単価、供給制約、施策反映の仮定</t>
        </is>
      </c>
      <c r="E5" s="8" t="inlineStr">
        <is>
          <t>見える化出力・事業者意向</t>
        </is>
      </c>
      <c r="F5" s="8" t="inlineStr">
        <is>
          <t>供給不足・閉鎖等があれば自然体推計だけでは不足</t>
        </is>
      </c>
      <c r="G5" s="8" t="inlineStr">
        <is>
          <t>仮定を表にして複数シナリオ</t>
        </is>
      </c>
    </row>
    <row r="6" ht="53" customHeight="1">
      <c r="A6" s="8" t="inlineStr">
        <is>
          <t>住宅・居住</t>
        </is>
      </c>
      <c r="B6" s="8" t="inlineStr">
        <is>
          <t>住宅ストックとサービス供給を分ける</t>
        </is>
      </c>
      <c r="C6" s="8" t="inlineStr">
        <is>
          <t>サ高住を全数特定施設として扱う</t>
        </is>
      </c>
      <c r="D6" s="8" t="inlineStr">
        <is>
          <t>有料・サ高住の定員、指定有無、介護サービス供給</t>
        </is>
      </c>
      <c r="E6" s="8" t="inlineStr">
        <is>
          <t>住宅台帳・県計画・居所変更調査</t>
        </is>
      </c>
      <c r="F6" s="8" t="inlineStr">
        <is>
          <t>居住施設と在宅サービスは同じ集計単位でない</t>
        </is>
      </c>
      <c r="G6" s="8" t="inlineStr">
        <is>
          <t>住宅部局と共同点検</t>
        </is>
      </c>
    </row>
    <row r="7" ht="53" customHeight="1">
      <c r="A7" s="8" t="inlineStr">
        <is>
          <t>地域共生SC</t>
        </is>
      </c>
      <c r="B7" s="8" t="inlineStr">
        <is>
          <t>正式なコーディネーター職名を峻別</t>
        </is>
      </c>
      <c r="C7" s="8" t="inlineStr">
        <is>
          <t>地域共生社会コーディネーターとSCを同一視</t>
        </is>
      </c>
      <c r="D7" s="8" t="inlineStr">
        <is>
          <t>事業根拠、配置階層、機能、所属、重層事業との重複</t>
        </is>
      </c>
      <c r="E7" s="8" t="inlineStr">
        <is>
          <t>委託契約、活動実績、地域支援事業要綱</t>
        </is>
      </c>
      <c r="F7" s="8" t="inlineStr">
        <is>
          <t>就労的活動支援コーディネーターも別制度</t>
        </is>
      </c>
      <c r="G7" s="8" t="inlineStr">
        <is>
          <t>自治体独自名称の条例・要綱取得</t>
        </is>
      </c>
    </row>
    <row r="8" ht="53" customHeight="1">
      <c r="A8" s="8" t="inlineStr">
        <is>
          <t>介護人材</t>
        </is>
      </c>
      <c r="B8" s="8" t="inlineStr">
        <is>
          <t>必要定員だけでなく実働人員</t>
        </is>
      </c>
      <c r="C8" s="8" t="inlineStr">
        <is>
          <t>整備希望と人材確保を切り離す</t>
        </is>
      </c>
      <c r="D8" s="8" t="inlineStr">
        <is>
          <t>需要推計、人員配置基準、採用・離職・稼働率</t>
        </is>
      </c>
      <c r="E8" s="8" t="inlineStr">
        <is>
          <t>人材実態調査、事業者計画、県基金</t>
        </is>
      </c>
      <c r="F8" s="8" t="inlineStr">
        <is>
          <t>将来に人手不足となれば開設可能性低下</t>
        </is>
      </c>
      <c r="G8" s="8" t="inlineStr">
        <is>
          <t>事業者ヒアリングで整備量修正</t>
        </is>
      </c>
    </row>
    <row r="9" ht="53" customHeight="1">
      <c r="A9" s="8" t="inlineStr">
        <is>
          <t>交付金評価</t>
        </is>
      </c>
      <c r="B9" s="8" t="inlineStr">
        <is>
          <t>評価指標と交付額を分ける</t>
        </is>
      </c>
      <c r="C9" s="8" t="inlineStr">
        <is>
          <t>得点＝交付額と単純計算</t>
        </is>
      </c>
      <c r="D9" s="8" t="inlineStr">
        <is>
          <t>年度指標別得点・要綱・配分調整・前提条件</t>
        </is>
      </c>
      <c r="E9" s="8" t="inlineStr">
        <is>
          <t>R8評価指標・集計結果・交付決定</t>
        </is>
      </c>
      <c r="F9" s="8" t="inlineStr">
        <is>
          <t>点数は地域特性と指標変化に影響される</t>
        </is>
      </c>
      <c r="G9" s="8" t="inlineStr">
        <is>
          <t>指標差分・証跡不足・改善策を整理</t>
        </is>
      </c>
    </row>
    <row r="10" ht="53" customHeight="1">
      <c r="A10" s="8" t="inlineStr">
        <is>
          <t>交付金使途</t>
        </is>
      </c>
      <c r="B10" s="8" t="inlineStr">
        <is>
          <t>2つの交付金は別制度として管理</t>
        </is>
      </c>
      <c r="C10" s="8" t="inlineStr">
        <is>
          <t>使途・財源充当の混同</t>
        </is>
      </c>
      <c r="D10" s="8" t="inlineStr">
        <is>
          <t>費用区分・対象事業・財源重複・実績報告</t>
        </is>
      </c>
      <c r="E10" s="8" t="inlineStr">
        <is>
          <t>交付要綱・事業費・決算・基金台帳</t>
        </is>
      </c>
      <c r="F10" s="8" t="inlineStr">
        <is>
          <t>使途条件は年度要綱で最終確認</t>
        </is>
      </c>
      <c r="G10" s="8" t="inlineStr">
        <is>
          <t>財政部局と区分表整備</t>
        </is>
      </c>
    </row>
    <row r="11" ht="53" customHeight="1">
      <c r="A11" s="8" t="inlineStr">
        <is>
          <t>PDCA</t>
        </is>
      </c>
      <c r="B11" s="8" t="inlineStr">
        <is>
          <t>計画を作った後に測定可能か</t>
        </is>
      </c>
      <c r="C11" s="8" t="inlineStr">
        <is>
          <t>活動回数だけを成果と呼ぶ</t>
        </is>
      </c>
      <c r="D11" s="8" t="inlineStr">
        <is>
          <t>ベースライン・アウトプット・アウトカム・責任者</t>
        </is>
      </c>
      <c r="E11" s="8" t="inlineStr">
        <is>
          <t>計画素案、自己評価、会議録</t>
        </is>
      </c>
      <c r="F11" s="8" t="inlineStr">
        <is>
          <t>指標の分母・出典不在なら進捗管理不可</t>
        </is>
      </c>
      <c r="G11" s="8" t="inlineStr">
        <is>
          <t>数値と定性指標の両方を設定</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2026-10-20T03:56:09Z</dcterms:created>
  <dcterms:modified xmlns:dcterms="http://purl.org/dc/terms/" xmlns:xsi="http://www.w3.org/2001/XMLSchema-instance" xsi:type="dcterms:W3CDTF">2026-10-20T03:56:09Z</dcterms:modified>
</cp:coreProperties>
</file>