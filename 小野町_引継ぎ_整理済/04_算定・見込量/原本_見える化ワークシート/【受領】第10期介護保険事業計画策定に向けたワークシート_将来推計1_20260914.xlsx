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>
    <mc:Choice Requires="x15">
      <x15ac:absPath xmlns:x15ac="http://schemas.microsoft.com/office/spreadsheetml/2010/11/ac" url="C:\Users\118iryo\Work\業務\見える化\SVNJJ\ソースコード\01_画面系\mieruka\src\template\excel\"/>
    </mc:Choice>
  </mc:AlternateContent>
  <xr:revisionPtr revIDLastSave="0" documentId="13_ncr:1_{C22D8678-9BF1-4EF7-99C2-090EBFA5264F}" xr6:coauthVersionLast="47" xr6:coauthVersionMax="47" xr10:uidLastSave="{00000000-0000-0000-0000-000000000000}"/>
  <bookViews>
    <workbookView xWindow="3975" yWindow="375" windowWidth="23685" windowHeight="14700" tabRatio="705" xr2:uid="{00000000-000D-0000-FFFF-FFFF00000000}"/>
  </bookViews>
  <sheets>
    <sheet name="1_推計値サマリ" sheetId="1" r:id="rId1"/>
    <sheet name="2_サービス別給付費" sheetId="10" r:id="rId2"/>
    <sheet name="3_地域支援事業費" sheetId="11" r:id="rId3"/>
    <sheet name="4_施策反映の解説" sheetId="3" r:id="rId4"/>
    <sheet name="5_保険料推計" sheetId="8" r:id="rId5"/>
    <sheet name="(参考)保険料の推計に要する係数" sheetId="9" r:id="rId6"/>
  </sheets>
  <definedNames>
    <definedName name="_xlnm.Print_Area" localSheetId="5">'(参考)保険料の推計に要する係数'!$A$1:$L$39</definedName>
    <definedName name="_xlnm.Print_Area" localSheetId="0">'1_推計値サマリ'!$A$1:$T$163</definedName>
    <definedName name="_xlnm.Print_Area" localSheetId="1">'2_サービス別給付費'!$A$1:$U$165</definedName>
    <definedName name="_xlnm.Print_Area" localSheetId="2">'3_地域支援事業費'!$A$1:$L$57</definedName>
    <definedName name="_xlnm.Print_Area" localSheetId="3">'4_施策反映の解説'!$A$1:$L$47</definedName>
    <definedName name="_xlnm.Print_Area" localSheetId="4">'5_保険料推計'!$A$1:$Q$300</definedName>
    <definedName name="グラフ選択" localSheetId="1">#REF!</definedName>
    <definedName name="グラフ選択">#REF!</definedName>
    <definedName name="サービス" localSheetId="1">#REF!</definedName>
    <definedName name="サービス">#REF!</definedName>
    <definedName name="サービス選択" localSheetId="1">#REF!</definedName>
    <definedName name="サービス選択">#REF!</definedName>
    <definedName name="サービス名" localSheetId="1">#REF!</definedName>
    <definedName name="サービス名">#REF!</definedName>
    <definedName name="在宅サービス" localSheetId="1">#REF!</definedName>
    <definedName name="在宅サービス">#REF!</definedName>
    <definedName name="施設・居住系サービス" localSheetId="1">#REF!</definedName>
    <definedName name="施設・居住系サービス">#REF!</definedName>
    <definedName name="推計パターン名">'1_推計値サマリ'!$S$5</definedName>
    <definedName name="選択肢" localSheetId="1">#REF!</definedName>
    <definedName name="選択肢">#REF!</definedName>
    <definedName name="年度選択" localSheetId="5">#REF!</definedName>
    <definedName name="年度選択" localSheetId="1">#REF!</definedName>
    <definedName name="年度選択">#REF!</definedName>
    <definedName name="保険者番号">'1_推計値サマリ'!$S$4</definedName>
    <definedName name="保険者名">'1_推計値サマリ'!$S$3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9" i="8" l="1"/>
  <c r="M69" i="8"/>
  <c r="L69" i="8"/>
  <c r="K69" i="8"/>
  <c r="J69" i="8"/>
  <c r="I69" i="8"/>
  <c r="H69" i="8"/>
  <c r="G69" i="8"/>
  <c r="N213" i="8" l="1"/>
  <c r="M213" i="8"/>
  <c r="L213" i="8"/>
  <c r="K213" i="8"/>
  <c r="J213" i="8"/>
  <c r="I213" i="8"/>
  <c r="H213" i="8"/>
  <c r="G213" i="8"/>
  <c r="G70" i="8"/>
  <c r="F73" i="8"/>
  <c r="F72" i="8"/>
  <c r="B55" i="11"/>
  <c r="B54" i="11"/>
  <c r="B53" i="11"/>
  <c r="E52" i="11"/>
  <c r="B52" i="11"/>
  <c r="F74" i="8" l="1"/>
  <c r="F71" i="8"/>
  <c r="G211" i="8"/>
  <c r="F202" i="8"/>
  <c r="F208" i="8"/>
  <c r="F204" i="8"/>
  <c r="J218" i="8"/>
  <c r="H218" i="8"/>
  <c r="I218" i="8"/>
  <c r="K218" i="8"/>
  <c r="L218" i="8"/>
  <c r="M218" i="8"/>
  <c r="N218" i="8"/>
  <c r="G218" i="8"/>
  <c r="H212" i="8"/>
  <c r="G212" i="8"/>
  <c r="N211" i="8"/>
  <c r="M211" i="8"/>
  <c r="L211" i="8"/>
  <c r="K211" i="8"/>
  <c r="J211" i="8"/>
  <c r="I211" i="8"/>
  <c r="H211" i="8"/>
  <c r="K271" i="8"/>
  <c r="L271" i="8" s="1"/>
  <c r="M271" i="8" s="1"/>
  <c r="N271" i="8" s="1"/>
  <c r="K270" i="8"/>
  <c r="L270" i="8" s="1"/>
  <c r="M270" i="8" s="1"/>
  <c r="N270" i="8" s="1"/>
  <c r="K269" i="8"/>
  <c r="L269" i="8" s="1"/>
  <c r="M269" i="8" s="1"/>
  <c r="N269" i="8" s="1"/>
  <c r="K268" i="8"/>
  <c r="L268" i="8" s="1"/>
  <c r="M268" i="8" s="1"/>
  <c r="N268" i="8" s="1"/>
  <c r="K267" i="8"/>
  <c r="L267" i="8" s="1"/>
  <c r="M267" i="8" s="1"/>
  <c r="N267" i="8" s="1"/>
  <c r="F210" i="8"/>
  <c r="F209" i="8"/>
  <c r="F207" i="8"/>
  <c r="F206" i="8"/>
  <c r="L144" i="1" l="1"/>
  <c r="T2" i="10"/>
  <c r="S62" i="1"/>
  <c r="Q62" i="1"/>
  <c r="O62" i="1"/>
  <c r="M62" i="1"/>
  <c r="K62" i="1"/>
  <c r="I62" i="1"/>
  <c r="H62" i="1"/>
  <c r="G62" i="1"/>
  <c r="N109" i="8" l="1"/>
  <c r="N212" i="8"/>
  <c r="M212" i="8"/>
  <c r="L212" i="8"/>
  <c r="K212" i="8"/>
  <c r="J212" i="8"/>
  <c r="I212" i="8"/>
  <c r="F212" i="8" s="1"/>
  <c r="G147" i="10"/>
  <c r="H147" i="10"/>
  <c r="I147" i="10"/>
  <c r="J147" i="10"/>
  <c r="K147" i="10"/>
  <c r="L147" i="10"/>
  <c r="M147" i="10"/>
  <c r="N147" i="10"/>
  <c r="D147" i="10"/>
  <c r="Q5" i="8"/>
  <c r="Q4" i="8"/>
  <c r="Q3" i="8"/>
  <c r="K5" i="3"/>
  <c r="K4" i="3"/>
  <c r="K3" i="3"/>
  <c r="L5" i="11"/>
  <c r="L4" i="11"/>
  <c r="L3" i="11"/>
  <c r="S5" i="10"/>
  <c r="S4" i="10"/>
  <c r="S3" i="10"/>
  <c r="K250" i="8"/>
  <c r="L250" i="8" s="1"/>
  <c r="M250" i="8" s="1"/>
  <c r="N250" i="8" s="1"/>
  <c r="K251" i="8"/>
  <c r="L251" i="8" s="1"/>
  <c r="M251" i="8" s="1"/>
  <c r="N251" i="8" s="1"/>
  <c r="K252" i="8"/>
  <c r="L252" i="8" s="1"/>
  <c r="M252" i="8" s="1"/>
  <c r="N252" i="8" s="1"/>
  <c r="K253" i="8"/>
  <c r="L253" i="8" s="1"/>
  <c r="M253" i="8" s="1"/>
  <c r="N253" i="8" s="1"/>
  <c r="K254" i="8"/>
  <c r="L254" i="8" s="1"/>
  <c r="M254" i="8" s="1"/>
  <c r="N254" i="8" s="1"/>
  <c r="K255" i="8"/>
  <c r="L255" i="8" s="1"/>
  <c r="M255" i="8" s="1"/>
  <c r="N255" i="8" s="1"/>
  <c r="K256" i="8"/>
  <c r="L256" i="8" s="1"/>
  <c r="M256" i="8" s="1"/>
  <c r="N256" i="8" s="1"/>
  <c r="K257" i="8"/>
  <c r="L257" i="8" s="1"/>
  <c r="M257" i="8" s="1"/>
  <c r="N257" i="8" s="1"/>
  <c r="K258" i="8"/>
  <c r="L258" i="8" s="1"/>
  <c r="M258" i="8" s="1"/>
  <c r="N258" i="8" s="1"/>
  <c r="K259" i="8"/>
  <c r="L259" i="8" s="1"/>
  <c r="M259" i="8" s="1"/>
  <c r="N259" i="8" s="1"/>
  <c r="K260" i="8"/>
  <c r="L260" i="8" s="1"/>
  <c r="M260" i="8" s="1"/>
  <c r="N260" i="8" s="1"/>
  <c r="K261" i="8"/>
  <c r="L261" i="8" s="1"/>
  <c r="M261" i="8" s="1"/>
  <c r="N261" i="8" s="1"/>
  <c r="K262" i="8"/>
  <c r="L262" i="8" s="1"/>
  <c r="M262" i="8" s="1"/>
  <c r="N262" i="8" s="1"/>
  <c r="K263" i="8"/>
  <c r="L263" i="8" s="1"/>
  <c r="M263" i="8" s="1"/>
  <c r="N263" i="8" s="1"/>
  <c r="K264" i="8"/>
  <c r="L264" i="8" s="1"/>
  <c r="M264" i="8" s="1"/>
  <c r="N264" i="8" s="1"/>
  <c r="K265" i="8"/>
  <c r="L265" i="8" s="1"/>
  <c r="M265" i="8" s="1"/>
  <c r="N265" i="8" s="1"/>
  <c r="K266" i="8"/>
  <c r="L266" i="8" s="1"/>
  <c r="M266" i="8" s="1"/>
  <c r="N266" i="8" s="1"/>
  <c r="K272" i="8"/>
  <c r="L272" i="8" s="1"/>
  <c r="M272" i="8" s="1"/>
  <c r="N272" i="8" s="1"/>
  <c r="K249" i="8"/>
  <c r="L249" i="8" s="1"/>
  <c r="M249" i="8" s="1"/>
  <c r="N249" i="8" s="1"/>
  <c r="N78" i="8"/>
  <c r="M78" i="8"/>
  <c r="L78" i="8"/>
  <c r="K78" i="8"/>
  <c r="J78" i="8"/>
  <c r="I78" i="8"/>
  <c r="H78" i="8"/>
  <c r="G78" i="8"/>
  <c r="N75" i="8"/>
  <c r="M75" i="8"/>
  <c r="L75" i="8"/>
  <c r="K75" i="8"/>
  <c r="J75" i="8"/>
  <c r="I75" i="8"/>
  <c r="H75" i="8"/>
  <c r="G75" i="8"/>
  <c r="F75" i="8" l="1"/>
  <c r="N175" i="8"/>
  <c r="N178" i="8"/>
  <c r="N176" i="8"/>
  <c r="N179" i="8"/>
  <c r="N177" i="8"/>
  <c r="N174" i="8"/>
  <c r="N147" i="8"/>
  <c r="N99" i="8" s="1"/>
  <c r="N95" i="8" s="1"/>
  <c r="G147" i="8"/>
  <c r="G99" i="8" s="1"/>
  <c r="F146" i="8"/>
  <c r="F145" i="8"/>
  <c r="F144" i="8"/>
  <c r="F143" i="8"/>
  <c r="F142" i="8"/>
  <c r="S140" i="10" l="1"/>
  <c r="Q140" i="10"/>
  <c r="O140" i="10"/>
  <c r="M140" i="10"/>
  <c r="K140" i="10"/>
  <c r="H140" i="10"/>
  <c r="I140" i="10"/>
  <c r="G140" i="10"/>
  <c r="S41" i="1" l="1"/>
  <c r="S40" i="1"/>
  <c r="S64" i="1" l="1"/>
  <c r="S63" i="1"/>
  <c r="F161" i="10" l="1"/>
  <c r="E161" i="10"/>
  <c r="D161" i="10"/>
  <c r="I161" i="10"/>
  <c r="H161" i="10"/>
  <c r="G161" i="10"/>
  <c r="K161" i="10" s="1"/>
  <c r="H147" i="8" l="1"/>
  <c r="H99" i="8" s="1"/>
  <c r="I147" i="8"/>
  <c r="I99" i="8" s="1"/>
  <c r="J147" i="8"/>
  <c r="J99" i="8" s="1"/>
  <c r="K147" i="8"/>
  <c r="K99" i="8" s="1"/>
  <c r="K95" i="8" s="1"/>
  <c r="L147" i="8"/>
  <c r="L99" i="8" s="1"/>
  <c r="L95" i="8" s="1"/>
  <c r="M147" i="8"/>
  <c r="M99" i="8" s="1"/>
  <c r="M95" i="8" s="1"/>
  <c r="F141" i="8"/>
  <c r="J128" i="10"/>
  <c r="J127" i="10"/>
  <c r="T128" i="10"/>
  <c r="R128" i="10"/>
  <c r="P128" i="10"/>
  <c r="N128" i="10"/>
  <c r="L128" i="10"/>
  <c r="T127" i="10"/>
  <c r="R127" i="10"/>
  <c r="P127" i="10"/>
  <c r="N127" i="10"/>
  <c r="L127" i="10"/>
  <c r="K85" i="8" l="1"/>
  <c r="K82" i="8" s="1"/>
  <c r="L85" i="8"/>
  <c r="L82" i="8" s="1"/>
  <c r="M85" i="8"/>
  <c r="M82" i="8" s="1"/>
  <c r="N85" i="8"/>
  <c r="N82" i="8" s="1"/>
  <c r="J85" i="8"/>
  <c r="J82" i="8" s="1"/>
  <c r="H85" i="8"/>
  <c r="H82" i="8" s="1"/>
  <c r="I85" i="8"/>
  <c r="I82" i="8" s="1"/>
  <c r="G85" i="8"/>
  <c r="G82" i="8" s="1"/>
  <c r="F100" i="8"/>
  <c r="F84" i="8"/>
  <c r="F81" i="8"/>
  <c r="F80" i="8"/>
  <c r="F79" i="8"/>
  <c r="F77" i="8"/>
  <c r="F76" i="8"/>
  <c r="L54" i="11"/>
  <c r="N89" i="8" s="1"/>
  <c r="L53" i="11"/>
  <c r="N88" i="8" s="1"/>
  <c r="L52" i="11"/>
  <c r="N153" i="10"/>
  <c r="N155" i="10" s="1"/>
  <c r="N149" i="10"/>
  <c r="N148" i="10"/>
  <c r="T139" i="10"/>
  <c r="T138" i="10"/>
  <c r="T131" i="10"/>
  <c r="T132" i="10"/>
  <c r="T133" i="10"/>
  <c r="T134" i="10"/>
  <c r="T135" i="10"/>
  <c r="T130" i="10"/>
  <c r="T126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07" i="10"/>
  <c r="T105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66" i="10"/>
  <c r="T58" i="10"/>
  <c r="T57" i="10"/>
  <c r="T56" i="10"/>
  <c r="T52" i="10"/>
  <c r="T53" i="10"/>
  <c r="T54" i="10"/>
  <c r="T55" i="10"/>
  <c r="T51" i="10"/>
  <c r="T50" i="10"/>
  <c r="T48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14" i="10"/>
  <c r="S59" i="10"/>
  <c r="Q161" i="1"/>
  <c r="Q160" i="1"/>
  <c r="Q159" i="1"/>
  <c r="Q158" i="1"/>
  <c r="Q157" i="1"/>
  <c r="Q156" i="1"/>
  <c r="Q155" i="1"/>
  <c r="Q154" i="1"/>
  <c r="Q153" i="1"/>
  <c r="Q152" i="1"/>
  <c r="Q151" i="1"/>
  <c r="T28" i="1"/>
  <c r="T29" i="1"/>
  <c r="T30" i="1"/>
  <c r="T31" i="1"/>
  <c r="T32" i="1"/>
  <c r="T33" i="1"/>
  <c r="T34" i="1"/>
  <c r="T21" i="1"/>
  <c r="T22" i="1"/>
  <c r="T23" i="1"/>
  <c r="T24" i="1"/>
  <c r="T25" i="1"/>
  <c r="T26" i="1"/>
  <c r="T20" i="1"/>
  <c r="S27" i="1"/>
  <c r="S19" i="1"/>
  <c r="T13" i="1"/>
  <c r="T12" i="1"/>
  <c r="S11" i="1"/>
  <c r="N126" i="8" l="1"/>
  <c r="N119" i="8"/>
  <c r="N121" i="8"/>
  <c r="N122" i="8"/>
  <c r="N123" i="8"/>
  <c r="N124" i="8"/>
  <c r="N130" i="8"/>
  <c r="N127" i="8"/>
  <c r="N125" i="8"/>
  <c r="N128" i="8"/>
  <c r="N115" i="8"/>
  <c r="N116" i="8"/>
  <c r="N117" i="8"/>
  <c r="N118" i="8"/>
  <c r="N120" i="8"/>
  <c r="N129" i="8"/>
  <c r="F78" i="8"/>
  <c r="L55" i="11"/>
  <c r="N87" i="8"/>
  <c r="N86" i="8" s="1"/>
  <c r="F85" i="8"/>
  <c r="N146" i="10"/>
  <c r="N70" i="8" s="1"/>
  <c r="S65" i="1"/>
  <c r="F82" i="8"/>
  <c r="S42" i="1"/>
  <c r="H16" i="8"/>
  <c r="I16" i="8"/>
  <c r="J16" i="8"/>
  <c r="K16" i="8"/>
  <c r="K45" i="8"/>
  <c r="N111" i="8"/>
  <c r="N96" i="8" s="1"/>
  <c r="N173" i="8"/>
  <c r="K46" i="8" l="1"/>
  <c r="K60" i="8"/>
  <c r="K62" i="8"/>
  <c r="K57" i="8"/>
  <c r="K48" i="8"/>
  <c r="K50" i="8"/>
  <c r="K58" i="8"/>
  <c r="S85" i="1"/>
  <c r="N150" i="8"/>
  <c r="N154" i="8"/>
  <c r="N158" i="8"/>
  <c r="N162" i="8"/>
  <c r="N166" i="8"/>
  <c r="N170" i="8"/>
  <c r="N151" i="8"/>
  <c r="N155" i="8"/>
  <c r="N159" i="8"/>
  <c r="N163" i="8"/>
  <c r="N167" i="8"/>
  <c r="N171" i="8"/>
  <c r="N152" i="8"/>
  <c r="N156" i="8"/>
  <c r="N160" i="8"/>
  <c r="N164" i="8"/>
  <c r="N168" i="8"/>
  <c r="N172" i="8"/>
  <c r="N149" i="8"/>
  <c r="N153" i="8"/>
  <c r="N157" i="8"/>
  <c r="N161" i="8"/>
  <c r="N165" i="8"/>
  <c r="N169" i="8"/>
  <c r="I41" i="1"/>
  <c r="M161" i="10" l="1"/>
  <c r="L161" i="10"/>
  <c r="D54" i="11" l="1"/>
  <c r="C54" i="11"/>
  <c r="D53" i="11"/>
  <c r="C53" i="11"/>
  <c r="D52" i="11"/>
  <c r="C52" i="11"/>
  <c r="D55" i="11" l="1"/>
  <c r="C55" i="11"/>
  <c r="K52" i="11"/>
  <c r="M87" i="8" s="1"/>
  <c r="E54" i="11"/>
  <c r="G89" i="8" s="1"/>
  <c r="E53" i="11"/>
  <c r="G88" i="8" s="1"/>
  <c r="J52" i="11"/>
  <c r="L87" i="8" s="1"/>
  <c r="I52" i="11"/>
  <c r="K87" i="8" s="1"/>
  <c r="H52" i="11"/>
  <c r="J87" i="8" s="1"/>
  <c r="G52" i="11"/>
  <c r="I87" i="8" s="1"/>
  <c r="F52" i="11"/>
  <c r="H87" i="8" s="1"/>
  <c r="G87" i="8"/>
  <c r="G86" i="8" l="1"/>
  <c r="F87" i="8"/>
  <c r="K54" i="11"/>
  <c r="M89" i="8" s="1"/>
  <c r="K53" i="11"/>
  <c r="M88" i="8" s="1"/>
  <c r="J54" i="11"/>
  <c r="L89" i="8" s="1"/>
  <c r="J53" i="11"/>
  <c r="L88" i="8" s="1"/>
  <c r="I54" i="11"/>
  <c r="K89" i="8" s="1"/>
  <c r="I53" i="11"/>
  <c r="K88" i="8" s="1"/>
  <c r="H54" i="11"/>
  <c r="J89" i="8" s="1"/>
  <c r="H53" i="11"/>
  <c r="J88" i="8" s="1"/>
  <c r="G54" i="11"/>
  <c r="I89" i="8" s="1"/>
  <c r="G53" i="11"/>
  <c r="I88" i="8" s="1"/>
  <c r="F54" i="11"/>
  <c r="H89" i="8" s="1"/>
  <c r="F53" i="11"/>
  <c r="H88" i="8" s="1"/>
  <c r="H86" i="8" l="1"/>
  <c r="I86" i="8"/>
  <c r="K86" i="8"/>
  <c r="M86" i="8"/>
  <c r="J86" i="8"/>
  <c r="L86" i="8"/>
  <c r="F89" i="8"/>
  <c r="F88" i="8"/>
  <c r="F55" i="11"/>
  <c r="G55" i="11"/>
  <c r="K55" i="11"/>
  <c r="J55" i="11"/>
  <c r="F86" i="8" l="1"/>
  <c r="H55" i="11"/>
  <c r="I55" i="11"/>
  <c r="E55" i="11" l="1"/>
  <c r="L2" i="3" l="1"/>
  <c r="M109" i="8"/>
  <c r="L109" i="8"/>
  <c r="K109" i="8"/>
  <c r="K174" i="8" l="1"/>
  <c r="K178" i="8"/>
  <c r="K175" i="8"/>
  <c r="K176" i="8"/>
  <c r="K177" i="8"/>
  <c r="L177" i="8"/>
  <c r="L174" i="8"/>
  <c r="L178" i="8"/>
  <c r="L175" i="8"/>
  <c r="L176" i="8"/>
  <c r="M176" i="8"/>
  <c r="M177" i="8"/>
  <c r="M174" i="8"/>
  <c r="M178" i="8"/>
  <c r="M175" i="8"/>
  <c r="M125" i="8"/>
  <c r="M128" i="8"/>
  <c r="M129" i="8"/>
  <c r="M126" i="8"/>
  <c r="M115" i="8"/>
  <c r="M116" i="8"/>
  <c r="M117" i="8"/>
  <c r="M118" i="8"/>
  <c r="M119" i="8"/>
  <c r="M120" i="8"/>
  <c r="M121" i="8"/>
  <c r="M122" i="8"/>
  <c r="M123" i="8"/>
  <c r="M124" i="8"/>
  <c r="M130" i="8"/>
  <c r="M127" i="8"/>
  <c r="K128" i="8"/>
  <c r="K129" i="8"/>
  <c r="K125" i="8"/>
  <c r="K115" i="8"/>
  <c r="K116" i="8"/>
  <c r="K117" i="8"/>
  <c r="K118" i="8"/>
  <c r="K123" i="8"/>
  <c r="K124" i="8"/>
  <c r="K130" i="8"/>
  <c r="K127" i="8"/>
  <c r="K126" i="8"/>
  <c r="K119" i="8"/>
  <c r="K120" i="8"/>
  <c r="K121" i="8"/>
  <c r="K122" i="8"/>
  <c r="L115" i="8"/>
  <c r="L116" i="8"/>
  <c r="L117" i="8"/>
  <c r="L118" i="8"/>
  <c r="L119" i="8"/>
  <c r="L120" i="8"/>
  <c r="L121" i="8"/>
  <c r="L122" i="8"/>
  <c r="L123" i="8"/>
  <c r="L124" i="8"/>
  <c r="L130" i="8"/>
  <c r="L125" i="8"/>
  <c r="L127" i="8"/>
  <c r="L129" i="8"/>
  <c r="L126" i="8"/>
  <c r="L128" i="8"/>
  <c r="M179" i="8"/>
  <c r="M171" i="8"/>
  <c r="M167" i="8"/>
  <c r="M163" i="8"/>
  <c r="M159" i="8"/>
  <c r="M155" i="8"/>
  <c r="M151" i="8"/>
  <c r="M111" i="8"/>
  <c r="M96" i="8" s="1"/>
  <c r="L179" i="8"/>
  <c r="L171" i="8"/>
  <c r="L167" i="8"/>
  <c r="L163" i="8"/>
  <c r="L159" i="8"/>
  <c r="L155" i="8"/>
  <c r="L151" i="8"/>
  <c r="L111" i="8"/>
  <c r="L96" i="8" s="1"/>
  <c r="K179" i="8"/>
  <c r="K171" i="8"/>
  <c r="K167" i="8"/>
  <c r="K163" i="8"/>
  <c r="K159" i="8"/>
  <c r="K155" i="8"/>
  <c r="K151" i="8"/>
  <c r="K111" i="8"/>
  <c r="K96" i="8" s="1"/>
  <c r="M153" i="10"/>
  <c r="M155" i="10" s="1"/>
  <c r="L153" i="10"/>
  <c r="L155" i="10" s="1"/>
  <c r="K153" i="10"/>
  <c r="K155" i="10" s="1"/>
  <c r="M149" i="10"/>
  <c r="M148" i="10"/>
  <c r="L149" i="10"/>
  <c r="L148" i="10"/>
  <c r="K149" i="10"/>
  <c r="K148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30" i="10"/>
  <c r="R131" i="10"/>
  <c r="R132" i="10"/>
  <c r="R133" i="10"/>
  <c r="R134" i="10"/>
  <c r="R135" i="10"/>
  <c r="R138" i="10"/>
  <c r="R139" i="10"/>
  <c r="R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30" i="10"/>
  <c r="P131" i="10"/>
  <c r="P132" i="10"/>
  <c r="P133" i="10"/>
  <c r="P134" i="10"/>
  <c r="P135" i="10"/>
  <c r="P138" i="10"/>
  <c r="P139" i="10"/>
  <c r="P66" i="10"/>
  <c r="N132" i="10"/>
  <c r="N133" i="10"/>
  <c r="N134" i="10"/>
  <c r="N135" i="10"/>
  <c r="N138" i="10"/>
  <c r="N139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30" i="10"/>
  <c r="N131" i="10"/>
  <c r="N66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50" i="10"/>
  <c r="R51" i="10"/>
  <c r="R52" i="10"/>
  <c r="R53" i="10"/>
  <c r="R54" i="10"/>
  <c r="R55" i="10"/>
  <c r="R56" i="10"/>
  <c r="R57" i="10"/>
  <c r="R58" i="10"/>
  <c r="R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50" i="10"/>
  <c r="P51" i="10"/>
  <c r="P52" i="10"/>
  <c r="P53" i="10"/>
  <c r="P54" i="10"/>
  <c r="P55" i="10"/>
  <c r="P56" i="10"/>
  <c r="P57" i="10"/>
  <c r="P58" i="10"/>
  <c r="P14" i="10"/>
  <c r="N51" i="10"/>
  <c r="N52" i="10"/>
  <c r="N53" i="10"/>
  <c r="N54" i="10"/>
  <c r="N55" i="10"/>
  <c r="N56" i="10"/>
  <c r="N57" i="10"/>
  <c r="N58" i="10"/>
  <c r="N50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14" i="10"/>
  <c r="Q59" i="10"/>
  <c r="O59" i="10"/>
  <c r="M59" i="10"/>
  <c r="O161" i="1"/>
  <c r="O160" i="1"/>
  <c r="O159" i="1"/>
  <c r="O158" i="1"/>
  <c r="O157" i="1"/>
  <c r="O156" i="1"/>
  <c r="O155" i="1"/>
  <c r="O154" i="1"/>
  <c r="O153" i="1"/>
  <c r="O152" i="1"/>
  <c r="O151" i="1"/>
  <c r="M161" i="1"/>
  <c r="M160" i="1"/>
  <c r="M159" i="1"/>
  <c r="M158" i="1"/>
  <c r="M157" i="1"/>
  <c r="M156" i="1"/>
  <c r="M155" i="1"/>
  <c r="M154" i="1"/>
  <c r="M153" i="1"/>
  <c r="M152" i="1"/>
  <c r="M151" i="1"/>
  <c r="K161" i="1"/>
  <c r="K160" i="1"/>
  <c r="K159" i="1"/>
  <c r="K158" i="1"/>
  <c r="K157" i="1"/>
  <c r="K156" i="1"/>
  <c r="K155" i="1"/>
  <c r="K154" i="1"/>
  <c r="K153" i="1"/>
  <c r="K152" i="1"/>
  <c r="K151" i="1"/>
  <c r="K144" i="1"/>
  <c r="J144" i="1"/>
  <c r="I144" i="1"/>
  <c r="Q64" i="1"/>
  <c r="Q63" i="1"/>
  <c r="O64" i="1"/>
  <c r="O63" i="1"/>
  <c r="M64" i="1"/>
  <c r="M63" i="1"/>
  <c r="I48" i="8" l="1"/>
  <c r="I50" i="8"/>
  <c r="I45" i="8"/>
  <c r="I46" i="8"/>
  <c r="I60" i="8"/>
  <c r="I62" i="8"/>
  <c r="I57" i="8"/>
  <c r="I58" i="8"/>
  <c r="H48" i="8"/>
  <c r="H50" i="8"/>
  <c r="H45" i="8"/>
  <c r="H46" i="8"/>
  <c r="J48" i="8"/>
  <c r="J50" i="8"/>
  <c r="J45" i="8"/>
  <c r="J46" i="8"/>
  <c r="H62" i="8"/>
  <c r="H60" i="8"/>
  <c r="H57" i="8"/>
  <c r="H58" i="8"/>
  <c r="J60" i="8"/>
  <c r="J62" i="8"/>
  <c r="J58" i="8"/>
  <c r="J57" i="8"/>
  <c r="K146" i="10"/>
  <c r="K70" i="8" s="1"/>
  <c r="M146" i="10"/>
  <c r="M70" i="8" s="1"/>
  <c r="L146" i="10"/>
  <c r="L70" i="8" s="1"/>
  <c r="O65" i="1"/>
  <c r="M152" i="8"/>
  <c r="M156" i="8"/>
  <c r="M160" i="8"/>
  <c r="M164" i="8"/>
  <c r="M168" i="8"/>
  <c r="M172" i="8"/>
  <c r="M149" i="8"/>
  <c r="M153" i="8"/>
  <c r="M157" i="8"/>
  <c r="M161" i="8"/>
  <c r="M165" i="8"/>
  <c r="M169" i="8"/>
  <c r="M173" i="8"/>
  <c r="M150" i="8"/>
  <c r="M154" i="8"/>
  <c r="M158" i="8"/>
  <c r="M162" i="8"/>
  <c r="M166" i="8"/>
  <c r="M170" i="8"/>
  <c r="L152" i="8"/>
  <c r="L156" i="8"/>
  <c r="L160" i="8"/>
  <c r="L164" i="8"/>
  <c r="L168" i="8"/>
  <c r="L172" i="8"/>
  <c r="L149" i="8"/>
  <c r="L153" i="8"/>
  <c r="L157" i="8"/>
  <c r="L161" i="8"/>
  <c r="L165" i="8"/>
  <c r="L169" i="8"/>
  <c r="L173" i="8"/>
  <c r="L150" i="8"/>
  <c r="L154" i="8"/>
  <c r="L158" i="8"/>
  <c r="L162" i="8"/>
  <c r="L166" i="8"/>
  <c r="L170" i="8"/>
  <c r="K152" i="8"/>
  <c r="K156" i="8"/>
  <c r="K160" i="8"/>
  <c r="K164" i="8"/>
  <c r="K168" i="8"/>
  <c r="K172" i="8"/>
  <c r="K149" i="8"/>
  <c r="K153" i="8"/>
  <c r="K157" i="8"/>
  <c r="K161" i="8"/>
  <c r="K165" i="8"/>
  <c r="K169" i="8"/>
  <c r="K173" i="8"/>
  <c r="K150" i="8"/>
  <c r="K154" i="8"/>
  <c r="K158" i="8"/>
  <c r="K162" i="8"/>
  <c r="K166" i="8"/>
  <c r="K170" i="8"/>
  <c r="Q65" i="1"/>
  <c r="M65" i="1"/>
  <c r="K68" i="8" l="1"/>
  <c r="K90" i="8" s="1"/>
  <c r="L68" i="8"/>
  <c r="L90" i="8" s="1"/>
  <c r="M68" i="8"/>
  <c r="M90" i="8" s="1"/>
  <c r="N68" i="8"/>
  <c r="N90" i="8" s="1"/>
  <c r="L92" i="8" l="1"/>
  <c r="L91" i="8"/>
  <c r="M92" i="8"/>
  <c r="J18" i="8"/>
  <c r="M91" i="8"/>
  <c r="K91" i="8"/>
  <c r="K92" i="8"/>
  <c r="K18" i="8"/>
  <c r="K59" i="8" s="1"/>
  <c r="N91" i="8"/>
  <c r="N92" i="8"/>
  <c r="H18" i="8"/>
  <c r="I18" i="8"/>
  <c r="N103" i="8" l="1"/>
  <c r="K47" i="8"/>
  <c r="M103" i="8"/>
  <c r="J12" i="8" s="1"/>
  <c r="J22" i="8" s="1"/>
  <c r="I53" i="8"/>
  <c r="I41" i="8"/>
  <c r="J53" i="8"/>
  <c r="J41" i="8"/>
  <c r="H41" i="8"/>
  <c r="H53" i="8"/>
  <c r="J47" i="8"/>
  <c r="J59" i="8"/>
  <c r="I47" i="8"/>
  <c r="I59" i="8"/>
  <c r="H59" i="8"/>
  <c r="H47" i="8"/>
  <c r="K53" i="8"/>
  <c r="K41" i="8"/>
  <c r="L103" i="8"/>
  <c r="K103" i="8"/>
  <c r="H43" i="8" l="1"/>
  <c r="H42" i="8"/>
  <c r="H44" i="8"/>
  <c r="K49" i="8"/>
  <c r="K51" i="8" s="1"/>
  <c r="K43" i="8"/>
  <c r="K42" i="8"/>
  <c r="K44" i="8"/>
  <c r="J43" i="8"/>
  <c r="J42" i="8"/>
  <c r="J44" i="8"/>
  <c r="I44" i="8"/>
  <c r="I43" i="8"/>
  <c r="I42" i="8"/>
  <c r="I61" i="8"/>
  <c r="I63" i="8" s="1"/>
  <c r="J56" i="8"/>
  <c r="J61" i="8"/>
  <c r="P59" i="8" s="1"/>
  <c r="J54" i="8"/>
  <c r="J55" i="8"/>
  <c r="H54" i="8"/>
  <c r="H56" i="8"/>
  <c r="H55" i="8"/>
  <c r="I49" i="8"/>
  <c r="O41" i="8" s="1"/>
  <c r="H61" i="8"/>
  <c r="H63" i="8" s="1"/>
  <c r="H49" i="8"/>
  <c r="N47" i="8" s="1"/>
  <c r="I55" i="8"/>
  <c r="I56" i="8"/>
  <c r="I54" i="8"/>
  <c r="J49" i="8"/>
  <c r="P47" i="8" s="1"/>
  <c r="J26" i="8"/>
  <c r="J36" i="8" s="1"/>
  <c r="K55" i="8"/>
  <c r="K56" i="8"/>
  <c r="K54" i="8"/>
  <c r="K61" i="8"/>
  <c r="K63" i="8" s="1"/>
  <c r="K26" i="8"/>
  <c r="K36" i="8" s="1"/>
  <c r="J17" i="8"/>
  <c r="J20" i="8"/>
  <c r="H26" i="8"/>
  <c r="H12" i="8"/>
  <c r="H22" i="8" s="1"/>
  <c r="I12" i="8"/>
  <c r="K12" i="8"/>
  <c r="J13" i="8"/>
  <c r="I26" i="8"/>
  <c r="Q41" i="1"/>
  <c r="Q40" i="1"/>
  <c r="O41" i="1"/>
  <c r="O40" i="1"/>
  <c r="M41" i="1"/>
  <c r="M40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P20" i="1"/>
  <c r="P21" i="1"/>
  <c r="P22" i="1"/>
  <c r="P23" i="1"/>
  <c r="P24" i="1"/>
  <c r="P25" i="1"/>
  <c r="P26" i="1"/>
  <c r="P28" i="1"/>
  <c r="P29" i="1"/>
  <c r="P30" i="1"/>
  <c r="P31" i="1"/>
  <c r="P32" i="1"/>
  <c r="P33" i="1"/>
  <c r="P34" i="1"/>
  <c r="N20" i="1"/>
  <c r="N21" i="1"/>
  <c r="N22" i="1"/>
  <c r="N23" i="1"/>
  <c r="N24" i="1"/>
  <c r="N25" i="1"/>
  <c r="N26" i="1"/>
  <c r="N28" i="1"/>
  <c r="N29" i="1"/>
  <c r="N30" i="1"/>
  <c r="N31" i="1"/>
  <c r="N32" i="1"/>
  <c r="N33" i="1"/>
  <c r="N34" i="1"/>
  <c r="Q27" i="1"/>
  <c r="Q19" i="1"/>
  <c r="O27" i="1"/>
  <c r="O19" i="1"/>
  <c r="M27" i="1"/>
  <c r="M19" i="1"/>
  <c r="R13" i="1"/>
  <c r="R12" i="1"/>
  <c r="P13" i="1"/>
  <c r="P12" i="1"/>
  <c r="N13" i="1"/>
  <c r="N12" i="1"/>
  <c r="Q11" i="1"/>
  <c r="O11" i="1"/>
  <c r="M11" i="1"/>
  <c r="K20" i="8" l="1"/>
  <c r="K22" i="8"/>
  <c r="I20" i="8"/>
  <c r="I22" i="8"/>
  <c r="H28" i="8"/>
  <c r="H36" i="8"/>
  <c r="I28" i="8"/>
  <c r="I36" i="8"/>
  <c r="Q41" i="8"/>
  <c r="N53" i="8"/>
  <c r="O53" i="8"/>
  <c r="P54" i="8"/>
  <c r="P55" i="8"/>
  <c r="P56" i="8"/>
  <c r="N41" i="8"/>
  <c r="I51" i="8"/>
  <c r="O51" i="8" s="1"/>
  <c r="O49" i="8"/>
  <c r="O46" i="8"/>
  <c r="O50" i="8"/>
  <c r="O45" i="8"/>
  <c r="O48" i="8"/>
  <c r="J63" i="8"/>
  <c r="P63" i="8" s="1"/>
  <c r="P60" i="8"/>
  <c r="P62" i="8"/>
  <c r="P58" i="8"/>
  <c r="P61" i="8"/>
  <c r="P57" i="8"/>
  <c r="J29" i="8"/>
  <c r="J28" i="8"/>
  <c r="J32" i="8"/>
  <c r="J31" i="8" s="1"/>
  <c r="J33" i="8"/>
  <c r="J35" i="8"/>
  <c r="J34" i="8" s="1"/>
  <c r="H51" i="8"/>
  <c r="N51" i="8" s="1"/>
  <c r="N45" i="8"/>
  <c r="N48" i="8"/>
  <c r="N46" i="8"/>
  <c r="N50" i="8"/>
  <c r="N49" i="8"/>
  <c r="P41" i="8"/>
  <c r="P53" i="8"/>
  <c r="J51" i="8"/>
  <c r="P51" i="8" s="1"/>
  <c r="P50" i="8"/>
  <c r="P49" i="8"/>
  <c r="P45" i="8"/>
  <c r="P48" i="8"/>
  <c r="P46" i="8"/>
  <c r="O47" i="8"/>
  <c r="Q54" i="8"/>
  <c r="Q63" i="8"/>
  <c r="Q60" i="8"/>
  <c r="Q62" i="8"/>
  <c r="Q57" i="8"/>
  <c r="Q61" i="8"/>
  <c r="Q58" i="8"/>
  <c r="Q59" i="8"/>
  <c r="Q55" i="8"/>
  <c r="Q56" i="8"/>
  <c r="Q51" i="8"/>
  <c r="Q45" i="8"/>
  <c r="Q49" i="8"/>
  <c r="Q46" i="8"/>
  <c r="Q50" i="8"/>
  <c r="Q48" i="8"/>
  <c r="Q47" i="8"/>
  <c r="K33" i="8"/>
  <c r="K29" i="8"/>
  <c r="K32" i="8"/>
  <c r="K31" i="8" s="1"/>
  <c r="K28" i="8"/>
  <c r="K35" i="8"/>
  <c r="K34" i="8" s="1"/>
  <c r="K13" i="8"/>
  <c r="K17" i="8"/>
  <c r="H32" i="8"/>
  <c r="H31" i="8" s="1"/>
  <c r="H35" i="8"/>
  <c r="H34" i="8" s="1"/>
  <c r="I17" i="8"/>
  <c r="H33" i="8"/>
  <c r="H29" i="8"/>
  <c r="I13" i="8"/>
  <c r="H20" i="8"/>
  <c r="H17" i="8"/>
  <c r="H13" i="8"/>
  <c r="I35" i="8"/>
  <c r="I34" i="8" s="1"/>
  <c r="I29" i="8"/>
  <c r="I27" i="8" s="1"/>
  <c r="I33" i="8"/>
  <c r="I32" i="8" s="1"/>
  <c r="I31" i="8" s="1"/>
  <c r="O54" i="8"/>
  <c r="N54" i="8"/>
  <c r="O61" i="8"/>
  <c r="O60" i="8"/>
  <c r="O62" i="8"/>
  <c r="O58" i="8"/>
  <c r="O57" i="8"/>
  <c r="O59" i="8"/>
  <c r="Q53" i="8"/>
  <c r="N61" i="8"/>
  <c r="N62" i="8"/>
  <c r="N58" i="8"/>
  <c r="N57" i="8"/>
  <c r="N60" i="8"/>
  <c r="N59" i="8"/>
  <c r="O63" i="8"/>
  <c r="N63" i="8"/>
  <c r="Q42" i="1"/>
  <c r="O42" i="1"/>
  <c r="M42" i="1"/>
  <c r="F62" i="1"/>
  <c r="T62" i="1" s="1"/>
  <c r="E62" i="1"/>
  <c r="D62" i="1"/>
  <c r="H30" i="8" l="1"/>
  <c r="J30" i="8"/>
  <c r="J27" i="8"/>
  <c r="H27" i="8"/>
  <c r="K30" i="8"/>
  <c r="K27" i="8"/>
  <c r="I30" i="8"/>
  <c r="R62" i="1"/>
  <c r="P62" i="1"/>
  <c r="N62" i="1"/>
  <c r="Q85" i="1"/>
  <c r="O85" i="1"/>
  <c r="M85" i="1"/>
  <c r="I117" i="1" l="1"/>
  <c r="H117" i="1"/>
  <c r="G117" i="1"/>
  <c r="F117" i="1"/>
  <c r="E117" i="1"/>
  <c r="D117" i="1"/>
  <c r="I116" i="1"/>
  <c r="H116" i="1"/>
  <c r="G116" i="1"/>
  <c r="F116" i="1"/>
  <c r="E116" i="1"/>
  <c r="D116" i="1"/>
  <c r="D40" i="1" l="1"/>
  <c r="D91" i="1" s="1"/>
  <c r="E40" i="1"/>
  <c r="E91" i="1" s="1"/>
  <c r="F40" i="1"/>
  <c r="T40" i="1" s="1"/>
  <c r="G40" i="1"/>
  <c r="G91" i="1" s="1"/>
  <c r="H40" i="1"/>
  <c r="H91" i="1" s="1"/>
  <c r="I40" i="1"/>
  <c r="I91" i="1" s="1"/>
  <c r="D41" i="1"/>
  <c r="E41" i="1"/>
  <c r="F41" i="1"/>
  <c r="T41" i="1" s="1"/>
  <c r="G41" i="1"/>
  <c r="H41" i="1"/>
  <c r="K40" i="1"/>
  <c r="K41" i="1"/>
  <c r="P41" i="1" l="1"/>
  <c r="R41" i="1"/>
  <c r="N41" i="1"/>
  <c r="N40" i="1"/>
  <c r="P40" i="1"/>
  <c r="R40" i="1"/>
  <c r="F91" i="1"/>
  <c r="J28" i="1"/>
  <c r="J29" i="1"/>
  <c r="J30" i="1"/>
  <c r="J31" i="1"/>
  <c r="J32" i="1"/>
  <c r="J33" i="1"/>
  <c r="J34" i="1"/>
  <c r="J20" i="1"/>
  <c r="J21" i="1"/>
  <c r="J22" i="1"/>
  <c r="J23" i="1"/>
  <c r="J24" i="1"/>
  <c r="J25" i="1"/>
  <c r="J26" i="1"/>
  <c r="F27" i="1" l="1"/>
  <c r="T27" i="1" s="1"/>
  <c r="G27" i="1"/>
  <c r="H27" i="1"/>
  <c r="I27" i="1"/>
  <c r="R27" i="1" l="1"/>
  <c r="N27" i="1"/>
  <c r="P27" i="1"/>
  <c r="G153" i="10" l="1"/>
  <c r="D153" i="10"/>
  <c r="D155" i="10" s="1"/>
  <c r="D149" i="10"/>
  <c r="D148" i="10"/>
  <c r="D140" i="10"/>
  <c r="D59" i="10"/>
  <c r="K64" i="1"/>
  <c r="I64" i="1"/>
  <c r="I92" i="1" s="1"/>
  <c r="H64" i="1"/>
  <c r="H92" i="1" s="1"/>
  <c r="G64" i="1"/>
  <c r="G92" i="1" s="1"/>
  <c r="F64" i="1"/>
  <c r="T64" i="1" s="1"/>
  <c r="E64" i="1"/>
  <c r="E92" i="1" s="1"/>
  <c r="D64" i="1"/>
  <c r="D92" i="1" s="1"/>
  <c r="K63" i="1"/>
  <c r="I63" i="1"/>
  <c r="H63" i="1"/>
  <c r="G63" i="1"/>
  <c r="F63" i="1"/>
  <c r="T63" i="1" s="1"/>
  <c r="E63" i="1"/>
  <c r="D63" i="1"/>
  <c r="R64" i="1" l="1"/>
  <c r="P64" i="1"/>
  <c r="N64" i="1"/>
  <c r="F92" i="1"/>
  <c r="P63" i="1"/>
  <c r="N63" i="1"/>
  <c r="R63" i="1"/>
  <c r="J153" i="10" l="1"/>
  <c r="J155" i="10" s="1"/>
  <c r="I153" i="10"/>
  <c r="I155" i="10" s="1"/>
  <c r="H153" i="10"/>
  <c r="H155" i="10" s="1"/>
  <c r="G155" i="10"/>
  <c r="F153" i="10"/>
  <c r="E153" i="10"/>
  <c r="E155" i="10" s="1"/>
  <c r="J149" i="10"/>
  <c r="I149" i="10"/>
  <c r="H149" i="10"/>
  <c r="G149" i="10"/>
  <c r="F149" i="10"/>
  <c r="E149" i="10"/>
  <c r="J148" i="10"/>
  <c r="I148" i="10"/>
  <c r="H148" i="10"/>
  <c r="G148" i="10"/>
  <c r="F148" i="10"/>
  <c r="E148" i="10"/>
  <c r="F147" i="10"/>
  <c r="E147" i="10"/>
  <c r="F140" i="10"/>
  <c r="T140" i="10" s="1"/>
  <c r="E140" i="10"/>
  <c r="K59" i="10"/>
  <c r="I59" i="10"/>
  <c r="H59" i="10"/>
  <c r="G59" i="10"/>
  <c r="F59" i="10"/>
  <c r="T59" i="10" s="1"/>
  <c r="E59" i="10"/>
  <c r="D146" i="10"/>
  <c r="L97" i="10"/>
  <c r="J97" i="10"/>
  <c r="L96" i="10"/>
  <c r="J96" i="10"/>
  <c r="L95" i="10"/>
  <c r="J95" i="10"/>
  <c r="L40" i="10"/>
  <c r="J40" i="10"/>
  <c r="L39" i="10"/>
  <c r="J39" i="10"/>
  <c r="L38" i="10"/>
  <c r="J38" i="10"/>
  <c r="F155" i="10"/>
  <c r="L139" i="10"/>
  <c r="J139" i="10"/>
  <c r="L138" i="10"/>
  <c r="J138" i="10"/>
  <c r="L135" i="10"/>
  <c r="J135" i="10"/>
  <c r="L134" i="10"/>
  <c r="J134" i="10"/>
  <c r="L133" i="10"/>
  <c r="J133" i="10"/>
  <c r="L132" i="10"/>
  <c r="J132" i="10"/>
  <c r="L131" i="10"/>
  <c r="J131" i="10"/>
  <c r="L130" i="10"/>
  <c r="J130" i="10"/>
  <c r="L113" i="10"/>
  <c r="J113" i="10"/>
  <c r="L112" i="10"/>
  <c r="J112" i="10"/>
  <c r="L111" i="10"/>
  <c r="J111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5" i="10"/>
  <c r="J115" i="10"/>
  <c r="L114" i="10"/>
  <c r="J114" i="10"/>
  <c r="L110" i="10"/>
  <c r="J110" i="10"/>
  <c r="L109" i="10"/>
  <c r="J109" i="10"/>
  <c r="L108" i="10"/>
  <c r="J108" i="10"/>
  <c r="L107" i="10"/>
  <c r="J107" i="10"/>
  <c r="L105" i="10"/>
  <c r="J105" i="10"/>
  <c r="L104" i="10"/>
  <c r="J104" i="10"/>
  <c r="L103" i="10"/>
  <c r="J103" i="10"/>
  <c r="L102" i="10"/>
  <c r="J102" i="10"/>
  <c r="L101" i="10"/>
  <c r="J101" i="10"/>
  <c r="L100" i="10"/>
  <c r="J100" i="10"/>
  <c r="L99" i="10"/>
  <c r="J99" i="10"/>
  <c r="L98" i="10"/>
  <c r="J98" i="10"/>
  <c r="L94" i="10"/>
  <c r="J94" i="10"/>
  <c r="L93" i="10"/>
  <c r="J93" i="10"/>
  <c r="L92" i="10"/>
  <c r="J92" i="10"/>
  <c r="L91" i="10"/>
  <c r="J91" i="10"/>
  <c r="L90" i="10"/>
  <c r="J90" i="10"/>
  <c r="L89" i="10"/>
  <c r="J89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67" i="10"/>
  <c r="J67" i="10"/>
  <c r="L66" i="10"/>
  <c r="J66" i="10"/>
  <c r="L58" i="10"/>
  <c r="J58" i="10"/>
  <c r="L57" i="10"/>
  <c r="J57" i="10"/>
  <c r="L56" i="10"/>
  <c r="J56" i="10"/>
  <c r="L55" i="10"/>
  <c r="J55" i="10"/>
  <c r="L54" i="10"/>
  <c r="J54" i="10"/>
  <c r="L53" i="10"/>
  <c r="J53" i="10"/>
  <c r="L52" i="10"/>
  <c r="J52" i="10"/>
  <c r="L51" i="10"/>
  <c r="J51" i="10"/>
  <c r="L50" i="10"/>
  <c r="J50" i="10"/>
  <c r="L48" i="10"/>
  <c r="J48" i="10"/>
  <c r="L47" i="10"/>
  <c r="J47" i="10"/>
  <c r="L46" i="10"/>
  <c r="J46" i="10"/>
  <c r="L45" i="10"/>
  <c r="J45" i="10"/>
  <c r="L44" i="10"/>
  <c r="J44" i="10"/>
  <c r="L43" i="10"/>
  <c r="J43" i="10"/>
  <c r="L42" i="10"/>
  <c r="J42" i="10"/>
  <c r="L41" i="10"/>
  <c r="J41" i="10"/>
  <c r="L37" i="10"/>
  <c r="J37" i="10"/>
  <c r="L36" i="10"/>
  <c r="J36" i="10"/>
  <c r="L35" i="10"/>
  <c r="J35" i="10"/>
  <c r="L34" i="10"/>
  <c r="J34" i="10"/>
  <c r="L33" i="10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L24" i="10"/>
  <c r="J24" i="10"/>
  <c r="L23" i="10"/>
  <c r="J23" i="10"/>
  <c r="L22" i="10"/>
  <c r="J22" i="10"/>
  <c r="L21" i="10"/>
  <c r="J21" i="10"/>
  <c r="L20" i="10"/>
  <c r="J20" i="10"/>
  <c r="L19" i="10"/>
  <c r="J19" i="10"/>
  <c r="L18" i="10"/>
  <c r="J18" i="10"/>
  <c r="L17" i="10"/>
  <c r="J17" i="10"/>
  <c r="L16" i="10"/>
  <c r="J16" i="10"/>
  <c r="L15" i="10"/>
  <c r="J15" i="10"/>
  <c r="L14" i="10"/>
  <c r="J14" i="10"/>
  <c r="N140" i="10" l="1"/>
  <c r="P140" i="10"/>
  <c r="R140" i="10"/>
  <c r="P59" i="10"/>
  <c r="R59" i="10"/>
  <c r="N59" i="10"/>
  <c r="F146" i="10"/>
  <c r="I146" i="10"/>
  <c r="H146" i="10"/>
  <c r="E146" i="10"/>
  <c r="L59" i="10"/>
  <c r="L140" i="10"/>
  <c r="J59" i="10"/>
  <c r="J146" i="10"/>
  <c r="J70" i="8" s="1"/>
  <c r="J140" i="10"/>
  <c r="G146" i="10"/>
  <c r="G95" i="8"/>
  <c r="I70" i="8" l="1"/>
  <c r="H70" i="8"/>
  <c r="J68" i="8"/>
  <c r="O56" i="8"/>
  <c r="N55" i="8"/>
  <c r="N56" i="8"/>
  <c r="O55" i="8"/>
  <c r="F205" i="8"/>
  <c r="F69" i="8" l="1"/>
  <c r="H68" i="8"/>
  <c r="I68" i="8"/>
  <c r="F70" i="8"/>
  <c r="G68" i="8"/>
  <c r="G90" i="8" s="1"/>
  <c r="J90" i="8"/>
  <c r="J91" i="8"/>
  <c r="G111" i="8"/>
  <c r="G96" i="8" s="1"/>
  <c r="G109" i="8"/>
  <c r="J111" i="8"/>
  <c r="J96" i="8" s="1"/>
  <c r="I111" i="8"/>
  <c r="I96" i="8" s="1"/>
  <c r="H111" i="8"/>
  <c r="H96" i="8" s="1"/>
  <c r="G174" i="8" l="1"/>
  <c r="G178" i="8"/>
  <c r="G175" i="8"/>
  <c r="G176" i="8"/>
  <c r="G179" i="8"/>
  <c r="G177" i="8"/>
  <c r="I91" i="8"/>
  <c r="I90" i="8"/>
  <c r="H90" i="8"/>
  <c r="H91" i="8"/>
  <c r="G130" i="8"/>
  <c r="G128" i="8"/>
  <c r="G126" i="8"/>
  <c r="G115" i="8"/>
  <c r="G116" i="8"/>
  <c r="G118" i="8"/>
  <c r="G119" i="8"/>
  <c r="G120" i="8"/>
  <c r="G121" i="8"/>
  <c r="G122" i="8"/>
  <c r="G129" i="8"/>
  <c r="G127" i="8"/>
  <c r="G117" i="8"/>
  <c r="G123" i="8"/>
  <c r="G124" i="8"/>
  <c r="G125" i="8"/>
  <c r="G92" i="8"/>
  <c r="F68" i="8"/>
  <c r="G91" i="8"/>
  <c r="G16" i="8"/>
  <c r="F16" i="8"/>
  <c r="F90" i="8" l="1"/>
  <c r="F91" i="8"/>
  <c r="J109" i="8"/>
  <c r="I109" i="8"/>
  <c r="H109" i="8"/>
  <c r="F203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J95" i="8"/>
  <c r="J92" i="8" s="1"/>
  <c r="I95" i="8"/>
  <c r="I92" i="8" s="1"/>
  <c r="H95" i="8"/>
  <c r="H92" i="8" s="1"/>
  <c r="F140" i="8"/>
  <c r="F139" i="8"/>
  <c r="F138" i="8"/>
  <c r="F137" i="8"/>
  <c r="F136" i="8"/>
  <c r="F135" i="8"/>
  <c r="F134" i="8"/>
  <c r="F133" i="8"/>
  <c r="F132" i="8"/>
  <c r="F113" i="8"/>
  <c r="F112" i="8"/>
  <c r="F110" i="8"/>
  <c r="F211" i="8" l="1"/>
  <c r="I176" i="8"/>
  <c r="I177" i="8"/>
  <c r="I174" i="8"/>
  <c r="I178" i="8"/>
  <c r="I175" i="8"/>
  <c r="J175" i="8"/>
  <c r="J176" i="8"/>
  <c r="J177" i="8"/>
  <c r="J174" i="8"/>
  <c r="J178" i="8"/>
  <c r="H177" i="8"/>
  <c r="H174" i="8"/>
  <c r="H178" i="8"/>
  <c r="H175" i="8"/>
  <c r="H176" i="8"/>
  <c r="F147" i="8"/>
  <c r="H115" i="8"/>
  <c r="H116" i="8"/>
  <c r="H117" i="8"/>
  <c r="H118" i="8"/>
  <c r="H119" i="8"/>
  <c r="H120" i="8"/>
  <c r="H121" i="8"/>
  <c r="H122" i="8"/>
  <c r="H123" i="8"/>
  <c r="H124" i="8"/>
  <c r="H125" i="8"/>
  <c r="H128" i="8"/>
  <c r="H130" i="8"/>
  <c r="H127" i="8"/>
  <c r="H129" i="8"/>
  <c r="H126" i="8"/>
  <c r="I126" i="8"/>
  <c r="I129" i="8"/>
  <c r="I115" i="8"/>
  <c r="I116" i="8"/>
  <c r="I117" i="8"/>
  <c r="I118" i="8"/>
  <c r="I119" i="8"/>
  <c r="I120" i="8"/>
  <c r="I121" i="8"/>
  <c r="I122" i="8"/>
  <c r="I123" i="8"/>
  <c r="I124" i="8"/>
  <c r="I125" i="8"/>
  <c r="I128" i="8"/>
  <c r="I130" i="8"/>
  <c r="I127" i="8"/>
  <c r="J127" i="8"/>
  <c r="J129" i="8"/>
  <c r="J116" i="8"/>
  <c r="J117" i="8"/>
  <c r="J118" i="8"/>
  <c r="J128" i="8"/>
  <c r="J126" i="8"/>
  <c r="J115" i="8"/>
  <c r="J119" i="8"/>
  <c r="J120" i="8"/>
  <c r="J121" i="8"/>
  <c r="J122" i="8"/>
  <c r="J123" i="8"/>
  <c r="J124" i="8"/>
  <c r="J125" i="8"/>
  <c r="J130" i="8"/>
  <c r="F92" i="8"/>
  <c r="F41" i="8" s="1"/>
  <c r="F109" i="8"/>
  <c r="F178" i="8" s="1"/>
  <c r="F50" i="8"/>
  <c r="F48" i="8"/>
  <c r="F45" i="8"/>
  <c r="F46" i="8"/>
  <c r="G60" i="8"/>
  <c r="G62" i="8"/>
  <c r="G57" i="8"/>
  <c r="G58" i="8"/>
  <c r="G48" i="8"/>
  <c r="G50" i="8"/>
  <c r="G45" i="8"/>
  <c r="G46" i="8"/>
  <c r="G41" i="8"/>
  <c r="G53" i="8"/>
  <c r="F111" i="8"/>
  <c r="H149" i="8"/>
  <c r="I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9" i="8"/>
  <c r="H151" i="8"/>
  <c r="H153" i="8"/>
  <c r="H155" i="8"/>
  <c r="H157" i="8"/>
  <c r="H159" i="8"/>
  <c r="H161" i="8"/>
  <c r="H163" i="8"/>
  <c r="H165" i="8"/>
  <c r="H167" i="8"/>
  <c r="H169" i="8"/>
  <c r="H171" i="8"/>
  <c r="H173" i="8"/>
  <c r="H150" i="8"/>
  <c r="H152" i="8"/>
  <c r="H154" i="8"/>
  <c r="H156" i="8"/>
  <c r="H158" i="8"/>
  <c r="H160" i="8"/>
  <c r="H162" i="8"/>
  <c r="H164" i="8"/>
  <c r="H166" i="8"/>
  <c r="H168" i="8"/>
  <c r="H170" i="8"/>
  <c r="H172" i="8"/>
  <c r="H179" i="8"/>
  <c r="G151" i="8"/>
  <c r="G157" i="8"/>
  <c r="G160" i="8"/>
  <c r="G162" i="8"/>
  <c r="G164" i="8"/>
  <c r="G166" i="8"/>
  <c r="G168" i="8"/>
  <c r="G170" i="8"/>
  <c r="G172" i="8"/>
  <c r="G150" i="8"/>
  <c r="G152" i="8"/>
  <c r="G153" i="8"/>
  <c r="G154" i="8"/>
  <c r="G155" i="8"/>
  <c r="G156" i="8"/>
  <c r="G158" i="8"/>
  <c r="G159" i="8"/>
  <c r="G161" i="8"/>
  <c r="G163" i="8"/>
  <c r="G165" i="8"/>
  <c r="G167" i="8"/>
  <c r="G169" i="8"/>
  <c r="G171" i="8"/>
  <c r="G173" i="8"/>
  <c r="J149" i="8"/>
  <c r="F213" i="8"/>
  <c r="G149" i="8"/>
  <c r="F53" i="8" l="1"/>
  <c r="F54" i="8" s="1"/>
  <c r="F175" i="8"/>
  <c r="F176" i="8"/>
  <c r="F177" i="8"/>
  <c r="F174" i="8"/>
  <c r="F129" i="8"/>
  <c r="F125" i="8"/>
  <c r="F121" i="8"/>
  <c r="F117" i="8"/>
  <c r="F123" i="8"/>
  <c r="F126" i="8"/>
  <c r="F118" i="8"/>
  <c r="F128" i="8"/>
  <c r="F124" i="8"/>
  <c r="F120" i="8"/>
  <c r="F116" i="8"/>
  <c r="F127" i="8"/>
  <c r="F119" i="8"/>
  <c r="F130" i="8"/>
  <c r="F122" i="8"/>
  <c r="G56" i="8"/>
  <c r="G55" i="8"/>
  <c r="G54" i="8"/>
  <c r="F62" i="8"/>
  <c r="F60" i="8"/>
  <c r="F57" i="8"/>
  <c r="F58" i="8"/>
  <c r="F149" i="8"/>
  <c r="Q43" i="8"/>
  <c r="Q44" i="8"/>
  <c r="G42" i="8"/>
  <c r="P42" i="8"/>
  <c r="P44" i="8"/>
  <c r="G43" i="8"/>
  <c r="G44" i="8"/>
  <c r="N43" i="8"/>
  <c r="N44" i="8"/>
  <c r="G49" i="8"/>
  <c r="M48" i="8" s="1"/>
  <c r="O42" i="8"/>
  <c r="P43" i="8"/>
  <c r="O43" i="8"/>
  <c r="O44" i="8"/>
  <c r="N42" i="8"/>
  <c r="Q42" i="8"/>
  <c r="F43" i="8"/>
  <c r="F42" i="8"/>
  <c r="F44" i="8"/>
  <c r="F49" i="8"/>
  <c r="L50" i="8" s="1"/>
  <c r="F115" i="8"/>
  <c r="F153" i="8"/>
  <c r="F157" i="8"/>
  <c r="F161" i="8"/>
  <c r="F165" i="8"/>
  <c r="F169" i="8"/>
  <c r="F173" i="8"/>
  <c r="F172" i="8"/>
  <c r="F151" i="8"/>
  <c r="F159" i="8"/>
  <c r="F163" i="8"/>
  <c r="F171" i="8"/>
  <c r="F154" i="8"/>
  <c r="F166" i="8"/>
  <c r="F179" i="8"/>
  <c r="F152" i="8"/>
  <c r="F156" i="8"/>
  <c r="F160" i="8"/>
  <c r="F164" i="8"/>
  <c r="F168" i="8"/>
  <c r="F155" i="8"/>
  <c r="F167" i="8"/>
  <c r="F150" i="8"/>
  <c r="F158" i="8"/>
  <c r="F162" i="8"/>
  <c r="F170" i="8"/>
  <c r="F55" i="8" l="1"/>
  <c r="F56" i="8"/>
  <c r="M44" i="8"/>
  <c r="M42" i="8"/>
  <c r="M41" i="8"/>
  <c r="L49" i="8"/>
  <c r="F51" i="8"/>
  <c r="L51" i="8" s="1"/>
  <c r="L44" i="8"/>
  <c r="L42" i="8"/>
  <c r="L41" i="8"/>
  <c r="L43" i="8"/>
  <c r="M49" i="8"/>
  <c r="M45" i="8"/>
  <c r="M50" i="8"/>
  <c r="M46" i="8"/>
  <c r="G51" i="8"/>
  <c r="M51" i="8" s="1"/>
  <c r="M43" i="8"/>
  <c r="L48" i="8"/>
  <c r="L45" i="8"/>
  <c r="L46" i="8"/>
  <c r="I161" i="1"/>
  <c r="I160" i="1"/>
  <c r="I159" i="1"/>
  <c r="I158" i="1"/>
  <c r="I157" i="1"/>
  <c r="I156" i="1"/>
  <c r="I155" i="1"/>
  <c r="I154" i="1"/>
  <c r="I153" i="1"/>
  <c r="I152" i="1"/>
  <c r="I151" i="1"/>
  <c r="G161" i="1"/>
  <c r="G160" i="1"/>
  <c r="G159" i="1"/>
  <c r="G158" i="1"/>
  <c r="G157" i="1"/>
  <c r="G156" i="1"/>
  <c r="G155" i="1"/>
  <c r="G154" i="1"/>
  <c r="G153" i="1"/>
  <c r="G152" i="1"/>
  <c r="G151" i="1"/>
  <c r="E161" i="1"/>
  <c r="E160" i="1"/>
  <c r="E159" i="1"/>
  <c r="E158" i="1"/>
  <c r="E157" i="1"/>
  <c r="E156" i="1"/>
  <c r="E155" i="1"/>
  <c r="E154" i="1"/>
  <c r="E153" i="1"/>
  <c r="E152" i="1"/>
  <c r="E151" i="1"/>
  <c r="H144" i="1"/>
  <c r="G144" i="1"/>
  <c r="L13" i="1"/>
  <c r="L12" i="1"/>
  <c r="L34" i="1"/>
  <c r="L33" i="1"/>
  <c r="L32" i="1"/>
  <c r="L31" i="1"/>
  <c r="L30" i="1"/>
  <c r="L29" i="1"/>
  <c r="L28" i="1"/>
  <c r="L26" i="1"/>
  <c r="L25" i="1"/>
  <c r="L24" i="1"/>
  <c r="L23" i="1"/>
  <c r="L22" i="1"/>
  <c r="L21" i="1"/>
  <c r="L20" i="1"/>
  <c r="J13" i="1"/>
  <c r="J12" i="1"/>
  <c r="J63" i="1" l="1"/>
  <c r="J62" i="1"/>
  <c r="L62" i="1"/>
  <c r="L63" i="1"/>
  <c r="J64" i="1"/>
  <c r="L64" i="1"/>
  <c r="J41" i="1" l="1"/>
  <c r="J40" i="1"/>
  <c r="L41" i="1"/>
  <c r="L40" i="1"/>
  <c r="K42" i="1" l="1"/>
  <c r="I42" i="1"/>
  <c r="H42" i="1"/>
  <c r="G42" i="1"/>
  <c r="F42" i="1"/>
  <c r="T42" i="1" s="1"/>
  <c r="E42" i="1"/>
  <c r="D42" i="1"/>
  <c r="R42" i="1" l="1"/>
  <c r="N42" i="1"/>
  <c r="P42" i="1"/>
  <c r="J42" i="1"/>
  <c r="L42" i="1"/>
  <c r="I11" i="1"/>
  <c r="H11" i="1"/>
  <c r="G11" i="1"/>
  <c r="F11" i="1"/>
  <c r="E11" i="1"/>
  <c r="D11" i="1"/>
  <c r="N11" i="1" l="1"/>
  <c r="T11" i="1"/>
  <c r="R11" i="1"/>
  <c r="P11" i="1"/>
  <c r="J11" i="1"/>
  <c r="F65" i="1"/>
  <c r="T65" i="1" s="1"/>
  <c r="K65" i="1"/>
  <c r="K85" i="1" s="1"/>
  <c r="I65" i="1"/>
  <c r="I85" i="1" s="1"/>
  <c r="H65" i="1"/>
  <c r="H85" i="1" s="1"/>
  <c r="G65" i="1"/>
  <c r="G85" i="1" s="1"/>
  <c r="E65" i="1"/>
  <c r="E85" i="1" s="1"/>
  <c r="D65" i="1"/>
  <c r="D85" i="1" s="1"/>
  <c r="R65" i="1" l="1"/>
  <c r="P65" i="1"/>
  <c r="N65" i="1"/>
  <c r="L65" i="1"/>
  <c r="F85" i="1"/>
  <c r="T85" i="1" s="1"/>
  <c r="J65" i="1"/>
  <c r="J85" i="1" l="1"/>
  <c r="R85" i="1"/>
  <c r="N85" i="1"/>
  <c r="P85" i="1"/>
  <c r="L85" i="1"/>
  <c r="K27" i="1"/>
  <c r="K19" i="1"/>
  <c r="E27" i="1"/>
  <c r="D27" i="1"/>
  <c r="I19" i="1"/>
  <c r="H19" i="1"/>
  <c r="G19" i="1"/>
  <c r="F19" i="1"/>
  <c r="T19" i="1" s="1"/>
  <c r="E19" i="1"/>
  <c r="D19" i="1"/>
  <c r="K11" i="1"/>
  <c r="L11" i="1" s="1"/>
  <c r="P19" i="1" l="1"/>
  <c r="N19" i="1"/>
  <c r="R19" i="1"/>
  <c r="F18" i="8"/>
  <c r="J27" i="1"/>
  <c r="L19" i="1"/>
  <c r="G18" i="8"/>
  <c r="J19" i="1"/>
  <c r="L27" i="1"/>
  <c r="G47" i="8" l="1"/>
  <c r="M47" i="8" s="1"/>
  <c r="G59" i="8"/>
  <c r="G61" i="8" s="1"/>
  <c r="G63" i="8" s="1"/>
  <c r="F47" i="8"/>
  <c r="L47" i="8" s="1"/>
  <c r="F59" i="8"/>
  <c r="F61" i="8" s="1"/>
  <c r="F63" i="8" s="1"/>
  <c r="F103" i="8"/>
  <c r="F12" i="8" s="1"/>
  <c r="F22" i="8" s="1"/>
  <c r="J103" i="8"/>
  <c r="G12" i="8" s="1"/>
  <c r="G22" i="8" s="1"/>
  <c r="G26" i="8" l="1"/>
  <c r="G36" i="8" s="1"/>
  <c r="M54" i="8" l="1"/>
  <c r="M55" i="8"/>
  <c r="M56" i="8"/>
  <c r="M61" i="8"/>
  <c r="M58" i="8"/>
  <c r="M62" i="8"/>
  <c r="M57" i="8"/>
  <c r="M60" i="8"/>
  <c r="M59" i="8"/>
  <c r="F26" i="8"/>
  <c r="F36" i="8" s="1"/>
  <c r="G17" i="8"/>
  <c r="G20" i="8"/>
  <c r="G13" i="8"/>
  <c r="M53" i="8"/>
  <c r="M63" i="8"/>
  <c r="G33" i="8"/>
  <c r="G32" i="8" s="1"/>
  <c r="G31" i="8" s="1"/>
  <c r="G28" i="8"/>
  <c r="G35" i="8"/>
  <c r="G34" i="8" s="1"/>
  <c r="G29" i="8"/>
  <c r="F35" i="8" l="1"/>
  <c r="F34" i="8" s="1"/>
  <c r="F13" i="8"/>
  <c r="F17" i="8"/>
  <c r="F20" i="8"/>
  <c r="L54" i="8"/>
  <c r="F29" i="8"/>
  <c r="F27" i="8" s="1"/>
  <c r="F28" i="8"/>
  <c r="F33" i="8"/>
  <c r="F32" i="8" s="1"/>
  <c r="F31" i="8" s="1"/>
  <c r="G30" i="8"/>
  <c r="G27" i="8"/>
  <c r="L56" i="8" l="1"/>
  <c r="L63" i="8"/>
  <c r="L61" i="8"/>
  <c r="L62" i="8"/>
  <c r="L57" i="8"/>
  <c r="L60" i="8"/>
  <c r="L59" i="8"/>
  <c r="L55" i="8"/>
  <c r="L58" i="8"/>
  <c r="L53" i="8"/>
  <c r="F30" i="8"/>
</calcChain>
</file>

<file path=xl/sharedStrings.xml><?xml version="1.0" encoding="utf-8"?>
<sst xmlns="http://schemas.openxmlformats.org/spreadsheetml/2006/main" count="1171" uniqueCount="442">
  <si>
    <t>１．被保険者数（年度別）</t>
    <rPh sb="2" eb="6">
      <t>ヒホケンシャ</t>
    </rPh>
    <rPh sb="6" eb="7">
      <t>スウ</t>
    </rPh>
    <rPh sb="8" eb="10">
      <t>ネンド</t>
    </rPh>
    <rPh sb="10" eb="11">
      <t>ベツ</t>
    </rPh>
    <phoneticPr fontId="3"/>
  </si>
  <si>
    <t>総数</t>
    <rPh sb="0" eb="2">
      <t>ソウスウ</t>
    </rPh>
    <phoneticPr fontId="8"/>
  </si>
  <si>
    <t>第1号被保険者数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</si>
  <si>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第2号被保険者数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</si>
  <si>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２．要介護（支援）認定者数</t>
    <rPh sb="2" eb="5">
      <t>ヨウカイゴ</t>
    </rPh>
    <rPh sb="6" eb="8">
      <t>シエン</t>
    </rPh>
    <rPh sb="9" eb="11">
      <t>ニンテイ</t>
    </rPh>
    <rPh sb="11" eb="12">
      <t>シャ</t>
    </rPh>
    <rPh sb="12" eb="13">
      <t>スウ</t>
    </rPh>
    <phoneticPr fontId="3"/>
  </si>
  <si>
    <t>総数</t>
    <rPh sb="0" eb="2">
      <t>ソウスウ</t>
    </rPh>
    <phoneticPr fontId="3"/>
  </si>
  <si>
    <t>要支援1</t>
    <rPh sb="0" eb="3">
      <t>ヨウシエン</t>
    </rPh>
    <phoneticPr fontId="8"/>
  </si>
  <si>
    <t>要支援2</t>
    <rPh sb="0" eb="3">
      <t>ヨウシエン</t>
    </rPh>
    <phoneticPr fontId="8"/>
  </si>
  <si>
    <t>要介護1</t>
    <rPh sb="0" eb="3">
      <t>ヨウカイゴ</t>
    </rPh>
    <phoneticPr fontId="8"/>
  </si>
  <si>
    <t>要介護2</t>
    <rPh sb="0" eb="3">
      <t>ヨウカイゴ</t>
    </rPh>
    <phoneticPr fontId="8"/>
  </si>
  <si>
    <t>要介護3</t>
    <rPh sb="0" eb="3">
      <t>ヨウカイゴ</t>
    </rPh>
    <phoneticPr fontId="8"/>
  </si>
  <si>
    <t>要介護4</t>
    <rPh sb="0" eb="3">
      <t>ヨウカイゴ</t>
    </rPh>
    <phoneticPr fontId="8"/>
  </si>
  <si>
    <t>要介護5</t>
    <rPh sb="0" eb="3">
      <t>ヨウカイゴ</t>
    </rPh>
    <phoneticPr fontId="8"/>
  </si>
  <si>
    <t>うち第1号被保険者数</t>
    <rPh sb="2" eb="3">
      <t>ダイ</t>
    </rPh>
    <rPh sb="4" eb="5">
      <t>ゴウ</t>
    </rPh>
    <rPh sb="5" eb="9">
      <t>ヒホケンシャ</t>
    </rPh>
    <rPh sb="9" eb="10">
      <t>スウ</t>
    </rPh>
    <phoneticPr fontId="8"/>
  </si>
  <si>
    <t>３．介護予防サービス見込量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</si>
  <si>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（１）介護予防サービス</t>
    <rPh sb="3" eb="5">
      <t>カイゴ</t>
    </rPh>
    <rPh sb="5" eb="7">
      <t>ヨボウ</t>
    </rPh>
    <phoneticPr fontId="8"/>
  </si>
  <si>
    <t>給付費（千円）</t>
    <rPh sb="0" eb="2">
      <t>キュウフ</t>
    </rPh>
    <rPh sb="2" eb="3">
      <t>ヒ</t>
    </rPh>
    <phoneticPr fontId="8"/>
  </si>
  <si>
    <t>人数（人）</t>
    <rPh sb="0" eb="2">
      <t>ニンズ</t>
    </rPh>
    <rPh sb="3" eb="4">
      <t>ニン</t>
    </rPh>
    <phoneticPr fontId="8"/>
  </si>
  <si>
    <t>介護予防訪問入浴介護</t>
    <rPh sb="4" eb="6">
      <t>ホウモン</t>
    </rPh>
    <rPh sb="6" eb="8">
      <t>ニュウヨク</t>
    </rPh>
    <rPh sb="8" eb="10">
      <t>カイゴ</t>
    </rPh>
    <phoneticPr fontId="8"/>
  </si>
  <si>
    <t>回数（回）</t>
    <rPh sb="0" eb="2">
      <t>カイスウ</t>
    </rPh>
    <rPh sb="3" eb="4">
      <t>カイ</t>
    </rPh>
    <phoneticPr fontId="8"/>
  </si>
  <si>
    <t>介護予防訪問看護</t>
    <rPh sb="4" eb="6">
      <t>ホウモン</t>
    </rPh>
    <rPh sb="6" eb="8">
      <t>カンゴ</t>
    </rPh>
    <phoneticPr fontId="8"/>
  </si>
  <si>
    <t>介護予防訪問リハビリテーション</t>
    <rPh sb="4" eb="6">
      <t>ホウモン</t>
    </rPh>
    <phoneticPr fontId="8"/>
  </si>
  <si>
    <t>介護予防居宅療養管理指導</t>
    <rPh sb="4" eb="6">
      <t>キョタク</t>
    </rPh>
    <rPh sb="6" eb="8">
      <t>リョウヨウ</t>
    </rPh>
    <rPh sb="8" eb="10">
      <t>カンリ</t>
    </rPh>
    <rPh sb="10" eb="12">
      <t>シドウ</t>
    </rPh>
    <phoneticPr fontId="8"/>
  </si>
  <si>
    <t>介護予防通所リハビリテーション</t>
    <rPh sb="4" eb="6">
      <t>ツウショ</t>
    </rPh>
    <phoneticPr fontId="8"/>
  </si>
  <si>
    <t>介護予防短期入所生活介護</t>
    <rPh sb="4" eb="6">
      <t>タンキ</t>
    </rPh>
    <rPh sb="6" eb="8">
      <t>ニュウショ</t>
    </rPh>
    <rPh sb="8" eb="10">
      <t>セイカツ</t>
    </rPh>
    <rPh sb="10" eb="12">
      <t>カイゴ</t>
    </rPh>
    <phoneticPr fontId="8"/>
  </si>
  <si>
    <t>日数（日）</t>
    <rPh sb="0" eb="2">
      <t>ニッスウ</t>
    </rPh>
    <rPh sb="3" eb="4">
      <t>ニチ</t>
    </rPh>
    <phoneticPr fontId="8"/>
  </si>
  <si>
    <t>介護予防短期入所療養介護（老健）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ロウケン</t>
    </rPh>
    <phoneticPr fontId="8"/>
  </si>
  <si>
    <t>介護予防短期入所療養介護（病院等）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ビョウイン</t>
    </rPh>
    <rPh sb="15" eb="16">
      <t>トウ</t>
    </rPh>
    <phoneticPr fontId="8"/>
  </si>
  <si>
    <t>介護予防福祉用具貸与</t>
    <rPh sb="4" eb="6">
      <t>フクシ</t>
    </rPh>
    <rPh sb="6" eb="8">
      <t>ヨウグ</t>
    </rPh>
    <rPh sb="8" eb="10">
      <t>タイヨ</t>
    </rPh>
    <phoneticPr fontId="8"/>
  </si>
  <si>
    <t>特定介護予防福祉用具購入費</t>
    <rPh sb="0" eb="2">
      <t>トクテイ</t>
    </rPh>
    <rPh sb="2" eb="4">
      <t>カイゴ</t>
    </rPh>
    <rPh sb="4" eb="6">
      <t>ヨボウ</t>
    </rPh>
    <rPh sb="6" eb="8">
      <t>フクシ</t>
    </rPh>
    <rPh sb="8" eb="10">
      <t>ヨウグ</t>
    </rPh>
    <rPh sb="10" eb="13">
      <t>コウニュウヒ</t>
    </rPh>
    <phoneticPr fontId="8"/>
  </si>
  <si>
    <t>介護予防住宅改修</t>
    <rPh sb="4" eb="6">
      <t>ジュウタク</t>
    </rPh>
    <rPh sb="6" eb="8">
      <t>カイシュウ</t>
    </rPh>
    <phoneticPr fontId="8"/>
  </si>
  <si>
    <t>介護予防特定施設入居者生活介護</t>
    <rPh sb="4" eb="6">
      <t>トクテイ</t>
    </rPh>
    <rPh sb="6" eb="8">
      <t>シセツ</t>
    </rPh>
    <rPh sb="8" eb="11">
      <t>ニュウキョシャ</t>
    </rPh>
    <rPh sb="11" eb="13">
      <t>セイカツ</t>
    </rPh>
    <rPh sb="13" eb="15">
      <t>カイゴ</t>
    </rPh>
    <phoneticPr fontId="8"/>
  </si>
  <si>
    <t>（２）地域密着型介護予防サービス</t>
    <rPh sb="3" eb="5">
      <t>チイキ</t>
    </rPh>
    <rPh sb="5" eb="8">
      <t>ミッチャクガタ</t>
    </rPh>
    <rPh sb="8" eb="10">
      <t>カイゴ</t>
    </rPh>
    <rPh sb="10" eb="12">
      <t>ヨボウ</t>
    </rPh>
    <phoneticPr fontId="8"/>
  </si>
  <si>
    <t>介護予防認知症対応型通所介護</t>
    <rPh sb="4" eb="6">
      <t>ニンチ</t>
    </rPh>
    <rPh sb="6" eb="7">
      <t>ショウ</t>
    </rPh>
    <rPh sb="7" eb="10">
      <t>タイオウガタ</t>
    </rPh>
    <rPh sb="10" eb="11">
      <t>ツウ</t>
    </rPh>
    <rPh sb="11" eb="12">
      <t>ショ</t>
    </rPh>
    <rPh sb="12" eb="14">
      <t>カイゴ</t>
    </rPh>
    <phoneticPr fontId="8"/>
  </si>
  <si>
    <t>介護予防小規模多機能型居宅介護</t>
    <rPh sb="4" eb="7">
      <t>ショウキボ</t>
    </rPh>
    <rPh sb="7" eb="11">
      <t>タキノウガタ</t>
    </rPh>
    <rPh sb="11" eb="13">
      <t>キョタク</t>
    </rPh>
    <rPh sb="13" eb="15">
      <t>カイゴ</t>
    </rPh>
    <phoneticPr fontId="8"/>
  </si>
  <si>
    <t>介護予防認知症対応型共同生活介護</t>
    <rPh sb="4" eb="6">
      <t>ニンチ</t>
    </rPh>
    <rPh sb="6" eb="7">
      <t>ショウ</t>
    </rPh>
    <rPh sb="7" eb="10">
      <t>タイオウガタ</t>
    </rPh>
    <rPh sb="10" eb="12">
      <t>キョウドウ</t>
    </rPh>
    <rPh sb="12" eb="14">
      <t>セイカツ</t>
    </rPh>
    <rPh sb="14" eb="16">
      <t>カイゴ</t>
    </rPh>
    <phoneticPr fontId="8"/>
  </si>
  <si>
    <t>合計</t>
    <rPh sb="0" eb="2">
      <t>ゴウケイ</t>
    </rPh>
    <phoneticPr fontId="8"/>
  </si>
  <si>
    <t>４．介護サービス見込量</t>
    <rPh sb="2" eb="4">
      <t>カイゴ</t>
    </rPh>
    <rPh sb="8" eb="10">
      <t>ミコミ</t>
    </rPh>
    <rPh sb="10" eb="11">
      <t>リョウ</t>
    </rPh>
    <phoneticPr fontId="3"/>
  </si>
  <si>
    <t>（１）居宅サービス</t>
    <rPh sb="3" eb="5">
      <t>キョタク</t>
    </rPh>
    <phoneticPr fontId="8"/>
  </si>
  <si>
    <t>訪問介護</t>
    <rPh sb="0" eb="2">
      <t>ホウモン</t>
    </rPh>
    <rPh sb="2" eb="4">
      <t>カイゴ</t>
    </rPh>
    <phoneticPr fontId="8"/>
  </si>
  <si>
    <t>訪問入浴介護</t>
    <rPh sb="0" eb="2">
      <t>ホウモン</t>
    </rPh>
    <rPh sb="2" eb="4">
      <t>ニュウヨク</t>
    </rPh>
    <rPh sb="4" eb="6">
      <t>カイゴ</t>
    </rPh>
    <phoneticPr fontId="8"/>
  </si>
  <si>
    <t>訪問看護</t>
    <rPh sb="0" eb="2">
      <t>ホウモン</t>
    </rPh>
    <rPh sb="2" eb="4">
      <t>カンゴ</t>
    </rPh>
    <phoneticPr fontId="8"/>
  </si>
  <si>
    <t>訪問リハビリテーション</t>
    <rPh sb="0" eb="2">
      <t>ホウモン</t>
    </rPh>
    <phoneticPr fontId="8"/>
  </si>
  <si>
    <t>居宅療養管理指導</t>
    <rPh sb="0" eb="2">
      <t>キョタク</t>
    </rPh>
    <rPh sb="2" eb="4">
      <t>リョウヨウ</t>
    </rPh>
    <rPh sb="4" eb="6">
      <t>カンリ</t>
    </rPh>
    <rPh sb="6" eb="8">
      <t>シドウ</t>
    </rPh>
    <phoneticPr fontId="8"/>
  </si>
  <si>
    <t>通所介護</t>
    <rPh sb="0" eb="2">
      <t>ツウショ</t>
    </rPh>
    <rPh sb="2" eb="4">
      <t>カイゴ</t>
    </rPh>
    <phoneticPr fontId="8"/>
  </si>
  <si>
    <t>通所リハビリテーション</t>
    <rPh sb="0" eb="2">
      <t>ツウショ</t>
    </rPh>
    <phoneticPr fontId="8"/>
  </si>
  <si>
    <t>短期入所生活介護</t>
    <rPh sb="0" eb="2">
      <t>タンキ</t>
    </rPh>
    <rPh sb="2" eb="4">
      <t>ニュウショ</t>
    </rPh>
    <rPh sb="4" eb="6">
      <t>セイカツ</t>
    </rPh>
    <rPh sb="6" eb="8">
      <t>カイゴ</t>
    </rPh>
    <phoneticPr fontId="8"/>
  </si>
  <si>
    <t>短期入所療養介護（老健）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ロウケン</t>
    </rPh>
    <phoneticPr fontId="8"/>
  </si>
  <si>
    <t>短期入所療養介護（病院等）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ビョウイン</t>
    </rPh>
    <rPh sb="11" eb="12">
      <t>トウ</t>
    </rPh>
    <phoneticPr fontId="8"/>
  </si>
  <si>
    <t>福祉用具貸与</t>
    <rPh sb="0" eb="2">
      <t>フクシ</t>
    </rPh>
    <rPh sb="2" eb="4">
      <t>ヨウグ</t>
    </rPh>
    <rPh sb="4" eb="6">
      <t>タイヨ</t>
    </rPh>
    <phoneticPr fontId="8"/>
  </si>
  <si>
    <t>特定福祉用具購入費</t>
    <rPh sb="0" eb="2">
      <t>トクテイ</t>
    </rPh>
    <rPh sb="2" eb="4">
      <t>フクシ</t>
    </rPh>
    <rPh sb="4" eb="6">
      <t>ヨウグ</t>
    </rPh>
    <rPh sb="6" eb="9">
      <t>コウニュウヒ</t>
    </rPh>
    <phoneticPr fontId="8"/>
  </si>
  <si>
    <t>住宅改修費</t>
    <rPh sb="0" eb="2">
      <t>ジュウタク</t>
    </rPh>
    <rPh sb="2" eb="5">
      <t>カイシュウヒ</t>
    </rPh>
    <phoneticPr fontId="8"/>
  </si>
  <si>
    <t>特定施設入居者生活介護</t>
    <rPh sb="0" eb="2">
      <t>トクテイ</t>
    </rPh>
    <rPh sb="2" eb="4">
      <t>シセツ</t>
    </rPh>
    <rPh sb="4" eb="7">
      <t>ニュウキョシャ</t>
    </rPh>
    <rPh sb="7" eb="9">
      <t>セイカツ</t>
    </rPh>
    <rPh sb="9" eb="11">
      <t>カイゴ</t>
    </rPh>
    <phoneticPr fontId="8"/>
  </si>
  <si>
    <t>（２）地域密着型サービス</t>
    <rPh sb="3" eb="5">
      <t>チイキ</t>
    </rPh>
    <rPh sb="5" eb="8">
      <t>ミッチャクガタ</t>
    </rPh>
    <phoneticPr fontId="8"/>
  </si>
  <si>
    <t>定期巡回・随時対応型訪問介護看護</t>
    <rPh sb="0" eb="2">
      <t>テイキ</t>
    </rPh>
    <rPh sb="2" eb="4">
      <t>ジュンカイ</t>
    </rPh>
    <rPh sb="5" eb="7">
      <t>ズイジ</t>
    </rPh>
    <rPh sb="7" eb="10">
      <t>タイオウガタ</t>
    </rPh>
    <rPh sb="10" eb="12">
      <t>ホウモン</t>
    </rPh>
    <rPh sb="12" eb="14">
      <t>カイゴ</t>
    </rPh>
    <rPh sb="14" eb="16">
      <t>カンゴ</t>
    </rPh>
    <phoneticPr fontId="8"/>
  </si>
  <si>
    <t>夜間対応型訪問介護</t>
    <rPh sb="0" eb="2">
      <t>ヤカン</t>
    </rPh>
    <rPh sb="2" eb="5">
      <t>タイオウガタ</t>
    </rPh>
    <rPh sb="5" eb="7">
      <t>ホウモン</t>
    </rPh>
    <rPh sb="7" eb="9">
      <t>カイゴ</t>
    </rPh>
    <phoneticPr fontId="8"/>
  </si>
  <si>
    <t>認知症対応型通所介護</t>
    <rPh sb="0" eb="2">
      <t>ニンチ</t>
    </rPh>
    <rPh sb="2" eb="3">
      <t>ショウ</t>
    </rPh>
    <rPh sb="3" eb="6">
      <t>タイオウガタ</t>
    </rPh>
    <rPh sb="6" eb="7">
      <t>ツウ</t>
    </rPh>
    <rPh sb="7" eb="8">
      <t>ショ</t>
    </rPh>
    <rPh sb="8" eb="10">
      <t>カイゴ</t>
    </rPh>
    <phoneticPr fontId="8"/>
  </si>
  <si>
    <t>小規模多機能型居宅介護</t>
    <rPh sb="0" eb="3">
      <t>ショウキボ</t>
    </rPh>
    <rPh sb="3" eb="7">
      <t>タキノウガタ</t>
    </rPh>
    <rPh sb="7" eb="9">
      <t>キョタク</t>
    </rPh>
    <rPh sb="9" eb="11">
      <t>カイゴ</t>
    </rPh>
    <phoneticPr fontId="8"/>
  </si>
  <si>
    <t>認知症対応型共同生活介護</t>
    <rPh sb="0" eb="2">
      <t>ニンチ</t>
    </rPh>
    <rPh sb="2" eb="3">
      <t>ショウ</t>
    </rPh>
    <rPh sb="3" eb="6">
      <t>タイオウガタ</t>
    </rPh>
    <rPh sb="6" eb="8">
      <t>キョウドウ</t>
    </rPh>
    <rPh sb="8" eb="10">
      <t>セイカツ</t>
    </rPh>
    <rPh sb="10" eb="12">
      <t>カイゴ</t>
    </rPh>
    <phoneticPr fontId="8"/>
  </si>
  <si>
    <t>地域密着型特定施設入居者生活介護</t>
    <rPh sb="0" eb="2">
      <t>チイキ</t>
    </rPh>
    <rPh sb="2" eb="5">
      <t>ミッチャクガタ</t>
    </rPh>
    <rPh sb="5" eb="7">
      <t>トクテイ</t>
    </rPh>
    <rPh sb="7" eb="9">
      <t>シセツ</t>
    </rPh>
    <rPh sb="9" eb="12">
      <t>ニュウキョシャ</t>
    </rPh>
    <rPh sb="12" eb="14">
      <t>セイカツ</t>
    </rPh>
    <rPh sb="14" eb="16">
      <t>カイゴ</t>
    </rPh>
    <phoneticPr fontId="8"/>
  </si>
  <si>
    <t>地域密着型介護老人福祉施設入所者生活介護</t>
  </si>
  <si>
    <t>（３）施設サービス</t>
    <rPh sb="3" eb="5">
      <t>シセツ</t>
    </rPh>
    <phoneticPr fontId="8"/>
  </si>
  <si>
    <t>介護老人福祉施設</t>
    <rPh sb="0" eb="2">
      <t>カイゴ</t>
    </rPh>
    <rPh sb="2" eb="4">
      <t>ロウジン</t>
    </rPh>
    <rPh sb="4" eb="6">
      <t>フクシ</t>
    </rPh>
    <rPh sb="6" eb="8">
      <t>シセツ</t>
    </rPh>
    <phoneticPr fontId="8"/>
  </si>
  <si>
    <t>単位：千円</t>
    <rPh sb="3" eb="4">
      <t>セン</t>
    </rPh>
    <phoneticPr fontId="3"/>
  </si>
  <si>
    <t>総給付費</t>
    <rPh sb="0" eb="1">
      <t>ソウ</t>
    </rPh>
    <rPh sb="1" eb="3">
      <t>キュウフ</t>
    </rPh>
    <rPh sb="3" eb="4">
      <t>ヒ</t>
    </rPh>
    <phoneticPr fontId="8"/>
  </si>
  <si>
    <t>介護老人保健施設</t>
  </si>
  <si>
    <t>（４）居宅介護支援</t>
  </si>
  <si>
    <t>保険者名</t>
    <rPh sb="0" eb="3">
      <t>ホケンシャ</t>
    </rPh>
    <rPh sb="3" eb="4">
      <t>メイ</t>
    </rPh>
    <phoneticPr fontId="3"/>
  </si>
  <si>
    <t>保険者番号</t>
    <rPh sb="0" eb="3">
      <t>ホケンシャ</t>
    </rPh>
    <rPh sb="3" eb="5">
      <t>バンゴウ</t>
    </rPh>
    <phoneticPr fontId="3"/>
  </si>
  <si>
    <t>単位：千円</t>
    <rPh sb="0" eb="2">
      <t>タンイ</t>
    </rPh>
    <phoneticPr fontId="3"/>
  </si>
  <si>
    <t>在宅サービス</t>
    <rPh sb="0" eb="2">
      <t>ザイタク</t>
    </rPh>
    <phoneticPr fontId="8"/>
  </si>
  <si>
    <t>施設サービス</t>
    <rPh sb="0" eb="2">
      <t>シセツ</t>
    </rPh>
    <phoneticPr fontId="8"/>
  </si>
  <si>
    <t>（１）推計値サマリ</t>
    <rPh sb="3" eb="6">
      <t>スイケイチ</t>
    </rPh>
    <phoneticPr fontId="3"/>
  </si>
  <si>
    <t>（２）サービス別給付費</t>
    <rPh sb="7" eb="8">
      <t>ベツ</t>
    </rPh>
    <rPh sb="8" eb="10">
      <t>キュウフ</t>
    </rPh>
    <rPh sb="10" eb="11">
      <t>ヒ</t>
    </rPh>
    <phoneticPr fontId="3"/>
  </si>
  <si>
    <t>認定者数</t>
    <rPh sb="0" eb="3">
      <t>ニンテイシャ</t>
    </rPh>
    <rPh sb="3" eb="4">
      <t>スウ</t>
    </rPh>
    <phoneticPr fontId="1"/>
  </si>
  <si>
    <t>施策反映の全体方針</t>
    <rPh sb="0" eb="2">
      <t>シサク</t>
    </rPh>
    <rPh sb="2" eb="4">
      <t>ハンエイ</t>
    </rPh>
    <rPh sb="5" eb="7">
      <t>ゼンタイ</t>
    </rPh>
    <rPh sb="7" eb="9">
      <t>ホウシン</t>
    </rPh>
    <phoneticPr fontId="3"/>
  </si>
  <si>
    <t>（１）在宅サービス</t>
    <rPh sb="3" eb="5">
      <t>ザイタク</t>
    </rPh>
    <phoneticPr fontId="3"/>
  </si>
  <si>
    <t>（２）居住系サービス</t>
    <rPh sb="3" eb="5">
      <t>キョジュウ</t>
    </rPh>
    <rPh sb="5" eb="6">
      <t>ケイ</t>
    </rPh>
    <phoneticPr fontId="8"/>
  </si>
  <si>
    <t>（２）居住系サービス</t>
    <rPh sb="5" eb="6">
      <t>ケイ</t>
    </rPh>
    <phoneticPr fontId="3"/>
  </si>
  <si>
    <t>保険料基準額（月額）</t>
    <rPh sb="0" eb="3">
      <t>ホケンリョウ</t>
    </rPh>
    <rPh sb="3" eb="5">
      <t>キジュン</t>
    </rPh>
    <rPh sb="5" eb="6">
      <t>ガク</t>
    </rPh>
    <rPh sb="7" eb="9">
      <t>ゲツガク</t>
    </rPh>
    <phoneticPr fontId="8"/>
  </si>
  <si>
    <t>金額</t>
    <rPh sb="0" eb="2">
      <t>キンガク</t>
    </rPh>
    <phoneticPr fontId="8"/>
  </si>
  <si>
    <t>居住系サービス</t>
    <rPh sb="0" eb="2">
      <t>キョジュウ</t>
    </rPh>
    <rPh sb="2" eb="3">
      <t>ケイ</t>
    </rPh>
    <phoneticPr fontId="8"/>
  </si>
  <si>
    <t>その他給付費</t>
    <rPh sb="2" eb="3">
      <t>タ</t>
    </rPh>
    <rPh sb="3" eb="5">
      <t>キュウフ</t>
    </rPh>
    <rPh sb="5" eb="6">
      <t>ヒ</t>
    </rPh>
    <phoneticPr fontId="8"/>
  </si>
  <si>
    <t>地域支援事業費</t>
    <rPh sb="0" eb="2">
      <t>チイキ</t>
    </rPh>
    <rPh sb="2" eb="4">
      <t>シエン</t>
    </rPh>
    <rPh sb="4" eb="7">
      <t>ジギョウヒ</t>
    </rPh>
    <phoneticPr fontId="8"/>
  </si>
  <si>
    <t>財政安定化基金（拠出金見込額＋償還金）</t>
    <rPh sb="0" eb="2">
      <t>ザイセイ</t>
    </rPh>
    <rPh sb="2" eb="5">
      <t>アンテイカ</t>
    </rPh>
    <rPh sb="5" eb="7">
      <t>キキン</t>
    </rPh>
    <rPh sb="8" eb="11">
      <t>キョシュツキン</t>
    </rPh>
    <rPh sb="11" eb="13">
      <t>ミコミ</t>
    </rPh>
    <rPh sb="13" eb="14">
      <t>ガク</t>
    </rPh>
    <rPh sb="15" eb="18">
      <t>ショウカンキン</t>
    </rPh>
    <phoneticPr fontId="8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</si>
  <si>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トウ</t>
    </rPh>
    <phoneticPr fontId="8"/>
  </si>
  <si>
    <t>保険料収納必要額（月額）</t>
    <rPh sb="0" eb="3">
      <t>ホケンリョウ</t>
    </rPh>
    <rPh sb="3" eb="5">
      <t>シュウノウ</t>
    </rPh>
    <rPh sb="5" eb="7">
      <t>ヒツヨウ</t>
    </rPh>
    <rPh sb="7" eb="8">
      <t>ガク</t>
    </rPh>
    <rPh sb="9" eb="11">
      <t>ゲツガク</t>
    </rPh>
    <phoneticPr fontId="8"/>
  </si>
  <si>
    <t>準備基金取崩額</t>
    <rPh sb="0" eb="2">
      <t>ジュンビ</t>
    </rPh>
    <rPh sb="2" eb="4">
      <t>キキン</t>
    </rPh>
    <rPh sb="4" eb="6">
      <t>トリクズシ</t>
    </rPh>
    <rPh sb="6" eb="7">
      <t>ガク</t>
    </rPh>
    <phoneticPr fontId="8"/>
  </si>
  <si>
    <t>単位：円</t>
    <phoneticPr fontId="3"/>
  </si>
  <si>
    <t>１．介護予防サービス見込量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</si>
  <si>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２．介護サービス見込量</t>
    <rPh sb="2" eb="4">
      <t>カイゴ</t>
    </rPh>
    <rPh sb="8" eb="10">
      <t>ミコミ</t>
    </rPh>
    <rPh sb="10" eb="11">
      <t>リョウ</t>
    </rPh>
    <phoneticPr fontId="3"/>
  </si>
  <si>
    <t>看護小規模多機能型居宅介護</t>
    <rPh sb="0" eb="2">
      <t>カンゴ</t>
    </rPh>
    <rPh sb="2" eb="5">
      <t>ショウキボ</t>
    </rPh>
    <rPh sb="5" eb="9">
      <t>タキノウガタ</t>
    </rPh>
    <rPh sb="9" eb="11">
      <t>キョタク</t>
    </rPh>
    <rPh sb="11" eb="13">
      <t>カイゴ</t>
    </rPh>
    <phoneticPr fontId="8"/>
  </si>
  <si>
    <t>施策反映内容</t>
    <rPh sb="0" eb="2">
      <t>シサク</t>
    </rPh>
    <rPh sb="2" eb="4">
      <t>ハンエイ</t>
    </rPh>
    <rPh sb="4" eb="6">
      <t>ナイヨウ</t>
    </rPh>
    <phoneticPr fontId="3"/>
  </si>
  <si>
    <t>補足．在宅サービス・施設サービスのバランス（第1号被保険者1人あたりの給付月額）</t>
    <rPh sb="0" eb="2">
      <t>ホソク</t>
    </rPh>
    <rPh sb="3" eb="5">
      <t>ザイタク</t>
    </rPh>
    <rPh sb="10" eb="12">
      <t>シセツ</t>
    </rPh>
    <rPh sb="22" eb="23">
      <t>ダイ</t>
    </rPh>
    <rPh sb="24" eb="25">
      <t>ゴウ</t>
    </rPh>
    <rPh sb="25" eb="29">
      <t>ヒホケンジャ</t>
    </rPh>
    <rPh sb="30" eb="31">
      <t>ニン</t>
    </rPh>
    <rPh sb="35" eb="37">
      <t>キュウフ</t>
    </rPh>
    <rPh sb="37" eb="39">
      <t>ゲツガク</t>
    </rPh>
    <phoneticPr fontId="3"/>
  </si>
  <si>
    <t>地域密着型通所介護</t>
    <rPh sb="0" eb="2">
      <t>チイキ</t>
    </rPh>
    <rPh sb="2" eb="5">
      <t>ミッチャクガタ</t>
    </rPh>
    <rPh sb="5" eb="9">
      <t>ツウショカイゴ</t>
    </rPh>
    <phoneticPr fontId="8"/>
  </si>
  <si>
    <t>（３）施設サービス</t>
    <phoneticPr fontId="3"/>
  </si>
  <si>
    <t>（２）地域密着型サービス</t>
    <phoneticPr fontId="3"/>
  </si>
  <si>
    <t>（１）居宅サービス</t>
    <phoneticPr fontId="3"/>
  </si>
  <si>
    <t>出力日：</t>
    <rPh sb="0" eb="2">
      <t>シュツリョク</t>
    </rPh>
    <rPh sb="2" eb="3">
      <t>ビ</t>
    </rPh>
    <phoneticPr fontId="8"/>
  </si>
  <si>
    <t>推計に用いた1人1月あたり利用回（日）数の伸び</t>
    <rPh sb="0" eb="2">
      <t>スイケイ</t>
    </rPh>
    <rPh sb="3" eb="4">
      <t>モチ</t>
    </rPh>
    <phoneticPr fontId="3"/>
  </si>
  <si>
    <t>推計に用いた利用率の伸び</t>
    <rPh sb="0" eb="2">
      <t>スイケイ</t>
    </rPh>
    <rPh sb="3" eb="4">
      <t>モチ</t>
    </rPh>
    <rPh sb="6" eb="9">
      <t>リヨウリツ</t>
    </rPh>
    <rPh sb="10" eb="11">
      <t>ノ</t>
    </rPh>
    <phoneticPr fontId="3"/>
  </si>
  <si>
    <t>推計に用いた認定率の伸び</t>
    <rPh sb="0" eb="2">
      <t>スイケイ</t>
    </rPh>
    <rPh sb="3" eb="4">
      <t>モチ</t>
    </rPh>
    <rPh sb="6" eb="8">
      <t>ニンテイ</t>
    </rPh>
    <rPh sb="8" eb="9">
      <t>リツ</t>
    </rPh>
    <rPh sb="10" eb="11">
      <t>ノ</t>
    </rPh>
    <phoneticPr fontId="3"/>
  </si>
  <si>
    <t>推計に用いた1人1月あたりの給付費の実績値</t>
    <rPh sb="0" eb="2">
      <t>スイケイ</t>
    </rPh>
    <rPh sb="3" eb="4">
      <t>モチ</t>
    </rPh>
    <rPh sb="7" eb="8">
      <t>ニン</t>
    </rPh>
    <rPh sb="9" eb="10">
      <t>ゲツ</t>
    </rPh>
    <rPh sb="14" eb="16">
      <t>キュウフ</t>
    </rPh>
    <rPh sb="16" eb="17">
      <t>ヒ</t>
    </rPh>
    <rPh sb="18" eb="21">
      <t>ジッセキチ</t>
    </rPh>
    <phoneticPr fontId="3"/>
  </si>
  <si>
    <t>推計パターン名</t>
    <rPh sb="0" eb="2">
      <t>スイケイ</t>
    </rPh>
    <rPh sb="6" eb="7">
      <t>メイ</t>
    </rPh>
    <phoneticPr fontId="3"/>
  </si>
  <si>
    <r>
      <t xml:space="preserve">伸び率①
</t>
    </r>
    <r>
      <rPr>
        <sz val="8"/>
        <rFont val="ＭＳ Ｐゴシック"/>
        <family val="3"/>
        <charset val="128"/>
      </rPr>
      <t>※１</t>
    </r>
    <rPh sb="0" eb="1">
      <t>ノ</t>
    </rPh>
    <rPh sb="2" eb="3">
      <t>リツ</t>
    </rPh>
    <phoneticPr fontId="8"/>
  </si>
  <si>
    <r>
      <t xml:space="preserve">伸び率①
</t>
    </r>
    <r>
      <rPr>
        <sz val="8"/>
        <rFont val="ＭＳ Ｐゴシック"/>
        <family val="3"/>
        <charset val="128"/>
      </rPr>
      <t>※２</t>
    </r>
    <rPh sb="0" eb="1">
      <t>ノ</t>
    </rPh>
    <rPh sb="2" eb="3">
      <t>リツ</t>
    </rPh>
    <phoneticPr fontId="8"/>
  </si>
  <si>
    <t>５．総給付費　（３．＋４．）</t>
    <rPh sb="2" eb="3">
      <t>ソウ</t>
    </rPh>
    <rPh sb="3" eb="5">
      <t>キュウフ</t>
    </rPh>
    <rPh sb="5" eb="6">
      <t>ヒ</t>
    </rPh>
    <phoneticPr fontId="3"/>
  </si>
  <si>
    <t>構成比(%)</t>
    <rPh sb="0" eb="3">
      <t>コウセイヒ</t>
    </rPh>
    <phoneticPr fontId="8"/>
  </si>
  <si>
    <t>単位：各項目の（）内</t>
    <rPh sb="3" eb="6">
      <t>カクコウモク</t>
    </rPh>
    <rPh sb="9" eb="10">
      <t>ナイ</t>
    </rPh>
    <phoneticPr fontId="3"/>
  </si>
  <si>
    <t>※給付費は年間累計の金額、回（日）数は１月当たりの数、人数は１月当たりの利用者数。</t>
    <rPh sb="1" eb="4">
      <t>キュウフヒ</t>
    </rPh>
    <rPh sb="5" eb="7">
      <t>ネンカン</t>
    </rPh>
    <rPh sb="7" eb="9">
      <t>ルイケイ</t>
    </rPh>
    <rPh sb="10" eb="12">
      <t>キンガク</t>
    </rPh>
    <rPh sb="13" eb="14">
      <t>カイ</t>
    </rPh>
    <rPh sb="15" eb="16">
      <t>ヒ</t>
    </rPh>
    <rPh sb="17" eb="18">
      <t>スウ</t>
    </rPh>
    <rPh sb="20" eb="21">
      <t>ツキ</t>
    </rPh>
    <rPh sb="21" eb="22">
      <t>ア</t>
    </rPh>
    <rPh sb="25" eb="26">
      <t>カズ</t>
    </rPh>
    <rPh sb="27" eb="29">
      <t>ニンズウ</t>
    </rPh>
    <rPh sb="31" eb="33">
      <t>ツキア</t>
    </rPh>
    <rPh sb="36" eb="39">
      <t>リヨウシャ</t>
    </rPh>
    <rPh sb="39" eb="40">
      <t>スウ</t>
    </rPh>
    <phoneticPr fontId="1"/>
  </si>
  <si>
    <t>※給付費は年間累計の金額</t>
    <phoneticPr fontId="8"/>
  </si>
  <si>
    <t>（３）介護予防支援</t>
    <phoneticPr fontId="3"/>
  </si>
  <si>
    <t>保険料基準額（月額）</t>
    <rPh sb="0" eb="3">
      <t>ホケンリョウ</t>
    </rPh>
    <rPh sb="5" eb="6">
      <t>ガク</t>
    </rPh>
    <rPh sb="7" eb="9">
      <t>ゲツガク</t>
    </rPh>
    <phoneticPr fontId="8"/>
  </si>
  <si>
    <t>１．自然体推計手法</t>
    <phoneticPr fontId="3"/>
  </si>
  <si>
    <t>認定者数の自然体推計手法</t>
    <phoneticPr fontId="3"/>
  </si>
  <si>
    <t>介護サービス利用者数の自然体推計手法</t>
    <rPh sb="0" eb="2">
      <t>カイゴ</t>
    </rPh>
    <rPh sb="6" eb="8">
      <t>リヨウ</t>
    </rPh>
    <rPh sb="8" eb="9">
      <t>シャ</t>
    </rPh>
    <rPh sb="9" eb="10">
      <t>スウ</t>
    </rPh>
    <rPh sb="11" eb="14">
      <t>シゼンタイ</t>
    </rPh>
    <rPh sb="14" eb="16">
      <t>スイケイ</t>
    </rPh>
    <rPh sb="16" eb="18">
      <t>シュホウ</t>
    </rPh>
    <phoneticPr fontId="3"/>
  </si>
  <si>
    <t>２．要介護(支援)認定者数</t>
    <phoneticPr fontId="3"/>
  </si>
  <si>
    <t>給付費の設定内容</t>
    <rPh sb="0" eb="2">
      <t>キュウフ</t>
    </rPh>
    <rPh sb="2" eb="3">
      <t>ヒ</t>
    </rPh>
    <rPh sb="4" eb="6">
      <t>セッテイ</t>
    </rPh>
    <rPh sb="6" eb="8">
      <t>ナイヨウ</t>
    </rPh>
    <phoneticPr fontId="3"/>
  </si>
  <si>
    <t>1人1月あたり給付費</t>
    <phoneticPr fontId="3"/>
  </si>
  <si>
    <t>(参考)保険料の推計に要する係数</t>
    <rPh sb="1" eb="3">
      <t>サンコウ</t>
    </rPh>
    <phoneticPr fontId="3"/>
  </si>
  <si>
    <t>前期高齢者加入割合</t>
  </si>
  <si>
    <t>第1段階</t>
  </si>
  <si>
    <t>第2段階</t>
  </si>
  <si>
    <t>第3段階</t>
  </si>
  <si>
    <t>第4段階</t>
  </si>
  <si>
    <t>第5段階</t>
  </si>
  <si>
    <t>第6段階</t>
  </si>
  <si>
    <t>第7段階</t>
  </si>
  <si>
    <t>第8段階</t>
  </si>
  <si>
    <t>第9段階</t>
  </si>
  <si>
    <t>国庫負担金等の算定の基準となる算定対象審査支払手数料単価（上限）（円）</t>
    <rPh sb="0" eb="2">
      <t>コッコ</t>
    </rPh>
    <rPh sb="2" eb="6">
      <t>フタンキントウ</t>
    </rPh>
    <rPh sb="7" eb="9">
      <t>サンテイ</t>
    </rPh>
    <rPh sb="10" eb="12">
      <t>キジュン</t>
    </rPh>
    <rPh sb="15" eb="17">
      <t>サンテイ</t>
    </rPh>
    <rPh sb="17" eb="19">
      <t>タイショウ</t>
    </rPh>
    <rPh sb="19" eb="21">
      <t>シンサ</t>
    </rPh>
    <rPh sb="21" eb="23">
      <t>シハライ</t>
    </rPh>
    <rPh sb="23" eb="26">
      <t>テスウリョウ</t>
    </rPh>
    <rPh sb="26" eb="28">
      <t>タンカ</t>
    </rPh>
    <rPh sb="29" eb="31">
      <t>ジョウゲン</t>
    </rPh>
    <rPh sb="33" eb="34">
      <t>エン</t>
    </rPh>
    <phoneticPr fontId="8"/>
  </si>
  <si>
    <t>２．保険料基準額の指標</t>
    <rPh sb="2" eb="5">
      <t>ホケンリョウ</t>
    </rPh>
    <rPh sb="5" eb="7">
      <t>キジュン</t>
    </rPh>
    <rPh sb="7" eb="8">
      <t>ガク</t>
    </rPh>
    <rPh sb="9" eb="11">
      <t>シヒョウ</t>
    </rPh>
    <phoneticPr fontId="3"/>
  </si>
  <si>
    <t>準備基金取崩額の影響額</t>
    <rPh sb="0" eb="2">
      <t>ジュンビ</t>
    </rPh>
    <rPh sb="2" eb="4">
      <t>キキン</t>
    </rPh>
    <rPh sb="4" eb="6">
      <t>トリクズシ</t>
    </rPh>
    <rPh sb="6" eb="7">
      <t>ガク</t>
    </rPh>
    <rPh sb="8" eb="11">
      <t>エイキョウガク</t>
    </rPh>
    <phoneticPr fontId="8"/>
  </si>
  <si>
    <t>準備基金の残高（前年度末の見込額）</t>
    <rPh sb="0" eb="2">
      <t>ジュンビ</t>
    </rPh>
    <rPh sb="2" eb="4">
      <t>キキン</t>
    </rPh>
    <rPh sb="5" eb="7">
      <t>ザンダカ</t>
    </rPh>
    <rPh sb="8" eb="9">
      <t>ゼン</t>
    </rPh>
    <rPh sb="9" eb="12">
      <t>ネンドマツ</t>
    </rPh>
    <rPh sb="13" eb="15">
      <t>ミコミ</t>
    </rPh>
    <rPh sb="15" eb="16">
      <t>ガク</t>
    </rPh>
    <phoneticPr fontId="8"/>
  </si>
  <si>
    <t>準備基金取崩額</t>
    <rPh sb="0" eb="2">
      <t>ジュンビ</t>
    </rPh>
    <rPh sb="2" eb="4">
      <t>キキン</t>
    </rPh>
    <rPh sb="4" eb="5">
      <t>ト</t>
    </rPh>
    <rPh sb="5" eb="6">
      <t>クズ</t>
    </rPh>
    <rPh sb="6" eb="7">
      <t>ガク</t>
    </rPh>
    <phoneticPr fontId="8"/>
  </si>
  <si>
    <t>準備基金取崩割合</t>
    <rPh sb="0" eb="2">
      <t>ジュンビ</t>
    </rPh>
    <rPh sb="2" eb="4">
      <t>キキン</t>
    </rPh>
    <rPh sb="4" eb="5">
      <t>ト</t>
    </rPh>
    <rPh sb="5" eb="6">
      <t>クズ</t>
    </rPh>
    <rPh sb="6" eb="8">
      <t>ワリアイ</t>
    </rPh>
    <phoneticPr fontId="8"/>
  </si>
  <si>
    <t>財政安定化基金拠出金見込額の影響額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</t>
    </rPh>
    <rPh sb="12" eb="13">
      <t>ガク</t>
    </rPh>
    <rPh sb="14" eb="17">
      <t>エイキョウガク</t>
    </rPh>
    <phoneticPr fontId="8"/>
  </si>
  <si>
    <t>財政安定化基金拠出金見込額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ミコミ</t>
    </rPh>
    <rPh sb="12" eb="13">
      <t>ガク</t>
    </rPh>
    <phoneticPr fontId="8"/>
  </si>
  <si>
    <t>財政安定化基金拠出率</t>
    <rPh sb="0" eb="2">
      <t>ザイセイ</t>
    </rPh>
    <rPh sb="2" eb="5">
      <t>アンテイカ</t>
    </rPh>
    <rPh sb="5" eb="7">
      <t>キキン</t>
    </rPh>
    <rPh sb="7" eb="9">
      <t>キョシュツ</t>
    </rPh>
    <rPh sb="9" eb="10">
      <t>リツ</t>
    </rPh>
    <phoneticPr fontId="3"/>
  </si>
  <si>
    <t>財政安定化基金償還金の影響額</t>
    <rPh sb="0" eb="2">
      <t>ザイセイ</t>
    </rPh>
    <rPh sb="2" eb="5">
      <t>アンテイカ</t>
    </rPh>
    <rPh sb="5" eb="7">
      <t>キキン</t>
    </rPh>
    <rPh sb="7" eb="10">
      <t>ショウカンキン</t>
    </rPh>
    <rPh sb="11" eb="14">
      <t>エイキョウガク</t>
    </rPh>
    <phoneticPr fontId="8"/>
  </si>
  <si>
    <t>財政安定化基金償還金</t>
    <rPh sb="0" eb="2">
      <t>ザイセイ</t>
    </rPh>
    <rPh sb="2" eb="5">
      <t>アンテイカ</t>
    </rPh>
    <rPh sb="5" eb="7">
      <t>キキン</t>
    </rPh>
    <rPh sb="7" eb="10">
      <t>ショウカンキン</t>
    </rPh>
    <phoneticPr fontId="8"/>
  </si>
  <si>
    <t>３．保険料設定を弾力化した場合の保険料額の指標</t>
    <rPh sb="2" eb="5">
      <t>ホケンリョウ</t>
    </rPh>
    <rPh sb="5" eb="7">
      <t>セッテイ</t>
    </rPh>
    <rPh sb="8" eb="11">
      <t>ダンリョクカ</t>
    </rPh>
    <rPh sb="13" eb="15">
      <t>バアイ</t>
    </rPh>
    <rPh sb="16" eb="19">
      <t>ホケンリョウ</t>
    </rPh>
    <rPh sb="19" eb="20">
      <t>ガク</t>
    </rPh>
    <rPh sb="21" eb="23">
      <t>シヒョウ</t>
    </rPh>
    <phoneticPr fontId="3"/>
  </si>
  <si>
    <t>４　介護保険料基準額（月額）の内訳</t>
    <rPh sb="2" eb="4">
      <t>カイゴ</t>
    </rPh>
    <rPh sb="4" eb="6">
      <t>ホケン</t>
    </rPh>
    <rPh sb="6" eb="7">
      <t>リョウ</t>
    </rPh>
    <rPh sb="7" eb="10">
      <t>キジュンガク</t>
    </rPh>
    <rPh sb="11" eb="12">
      <t>ガツ</t>
    </rPh>
    <rPh sb="12" eb="13">
      <t>ガク</t>
    </rPh>
    <rPh sb="15" eb="17">
      <t>ウチワケ</t>
    </rPh>
    <phoneticPr fontId="3"/>
  </si>
  <si>
    <t>構成比</t>
    <rPh sb="0" eb="3">
      <t>コウセイヒ</t>
    </rPh>
    <phoneticPr fontId="8"/>
  </si>
  <si>
    <t>在宅サービス</t>
    <rPh sb="0" eb="2">
      <t>ザイタク</t>
    </rPh>
    <phoneticPr fontId="3"/>
  </si>
  <si>
    <t>居住系サービス</t>
    <rPh sb="0" eb="2">
      <t>キョジュウ</t>
    </rPh>
    <rPh sb="2" eb="3">
      <t>ケイ</t>
    </rPh>
    <phoneticPr fontId="3"/>
  </si>
  <si>
    <t>施設サービス</t>
    <rPh sb="0" eb="2">
      <t>シセツ</t>
    </rPh>
    <phoneticPr fontId="3"/>
  </si>
  <si>
    <t>基準保険料額（月額）</t>
    <rPh sb="0" eb="2">
      <t>キジュン</t>
    </rPh>
    <rPh sb="2" eb="5">
      <t>ホケンリョウ</t>
    </rPh>
    <rPh sb="5" eb="6">
      <t>ガク</t>
    </rPh>
    <rPh sb="7" eb="9">
      <t>ゲツガク</t>
    </rPh>
    <phoneticPr fontId="8"/>
  </si>
  <si>
    <t>（弾力化した場合）</t>
    <rPh sb="1" eb="4">
      <t>ダンリョクカ</t>
    </rPh>
    <rPh sb="6" eb="8">
      <t>バアイ</t>
    </rPh>
    <phoneticPr fontId="3"/>
  </si>
  <si>
    <t>５．保険料収納必要額関係</t>
    <rPh sb="2" eb="5">
      <t>ホケンリョウ</t>
    </rPh>
    <rPh sb="5" eb="7">
      <t>シュウノウ</t>
    </rPh>
    <rPh sb="7" eb="9">
      <t>ヒツヨウ</t>
    </rPh>
    <rPh sb="9" eb="10">
      <t>ガク</t>
    </rPh>
    <rPh sb="10" eb="12">
      <t>カンケイ</t>
    </rPh>
    <phoneticPr fontId="3"/>
  </si>
  <si>
    <t>合計</t>
    <rPh sb="0" eb="2">
      <t>ゴウケイ</t>
    </rPh>
    <phoneticPr fontId="3"/>
  </si>
  <si>
    <t>高額医療合算介護サービス費等給付額</t>
    <rPh sb="0" eb="2">
      <t>コウガク</t>
    </rPh>
    <rPh sb="2" eb="4">
      <t>イリョウ</t>
    </rPh>
    <rPh sb="4" eb="6">
      <t>ガッサン</t>
    </rPh>
    <rPh sb="6" eb="8">
      <t>カイゴ</t>
    </rPh>
    <rPh sb="12" eb="14">
      <t>ヒトウ</t>
    </rPh>
    <rPh sb="14" eb="16">
      <t>キュウフ</t>
    </rPh>
    <rPh sb="16" eb="17">
      <t>ガク</t>
    </rPh>
    <phoneticPr fontId="8"/>
  </si>
  <si>
    <t>算定対象審査支払手数料</t>
    <rPh sb="0" eb="2">
      <t>サンテイ</t>
    </rPh>
    <rPh sb="2" eb="4">
      <t>タイショウ</t>
    </rPh>
    <rPh sb="4" eb="6">
      <t>シンサ</t>
    </rPh>
    <rPh sb="6" eb="8">
      <t>シハライ</t>
    </rPh>
    <rPh sb="8" eb="11">
      <t>テスウリョウ</t>
    </rPh>
    <phoneticPr fontId="8"/>
  </si>
  <si>
    <t>介護予防・日常生活支援総合事業費</t>
    <rPh sb="0" eb="2">
      <t>カイゴ</t>
    </rPh>
    <rPh sb="2" eb="4">
      <t>ヨボウ</t>
    </rPh>
    <rPh sb="5" eb="7">
      <t>ニチジョウ</t>
    </rPh>
    <rPh sb="7" eb="9">
      <t>セイカツ</t>
    </rPh>
    <rPh sb="9" eb="11">
      <t>シエン</t>
    </rPh>
    <rPh sb="11" eb="13">
      <t>ソウゴウ</t>
    </rPh>
    <rPh sb="13" eb="15">
      <t>ジギョウ</t>
    </rPh>
    <rPh sb="15" eb="16">
      <t>ヒ</t>
    </rPh>
    <phoneticPr fontId="3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</si>
  <si>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ナド</t>
    </rPh>
    <phoneticPr fontId="8"/>
  </si>
  <si>
    <t>市町村相互財政安定化事業負担額</t>
    <rPh sb="0" eb="3">
      <t>シチョウソン</t>
    </rPh>
    <rPh sb="3" eb="5">
      <t>ソウゴ</t>
    </rPh>
    <rPh sb="5" eb="7">
      <t>ザイセイ</t>
    </rPh>
    <rPh sb="7" eb="10">
      <t>アンテイカ</t>
    </rPh>
    <rPh sb="10" eb="12">
      <t>ジギョウ</t>
    </rPh>
    <rPh sb="12" eb="14">
      <t>フタン</t>
    </rPh>
    <rPh sb="14" eb="15">
      <t>ガク</t>
    </rPh>
    <phoneticPr fontId="8"/>
  </si>
  <si>
    <t>予定保険料収納率</t>
    <rPh sb="0" eb="2">
      <t>ヨテイ</t>
    </rPh>
    <rPh sb="2" eb="5">
      <t>ホケンリョウ</t>
    </rPh>
    <rPh sb="5" eb="8">
      <t>シュウノウリツ</t>
    </rPh>
    <phoneticPr fontId="8"/>
  </si>
  <si>
    <t>６．第１号被保険者数関係</t>
    <rPh sb="2" eb="3">
      <t>ダイ</t>
    </rPh>
    <rPh sb="4" eb="5">
      <t>ゴウ</t>
    </rPh>
    <rPh sb="5" eb="9">
      <t>ヒホケンシャ</t>
    </rPh>
    <rPh sb="9" eb="10">
      <t>スウ</t>
    </rPh>
    <rPh sb="10" eb="12">
      <t>カンケイ</t>
    </rPh>
    <phoneticPr fontId="3"/>
  </si>
  <si>
    <t>第1号被保険者数</t>
    <rPh sb="0" eb="3">
      <t>ダイ１ゴウ</t>
    </rPh>
    <rPh sb="3" eb="7">
      <t>ヒホケンシャ</t>
    </rPh>
    <rPh sb="7" eb="8">
      <t>スウ</t>
    </rPh>
    <phoneticPr fontId="8"/>
  </si>
  <si>
    <t>前期(65～74歳)</t>
    <rPh sb="0" eb="2">
      <t>ゼンキ</t>
    </rPh>
    <rPh sb="8" eb="9">
      <t>サイ</t>
    </rPh>
    <phoneticPr fontId="8"/>
  </si>
  <si>
    <t>所得段階別加入割合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phoneticPr fontId="8"/>
  </si>
  <si>
    <t>第1段階</t>
    <rPh sb="0" eb="4">
      <t>ダイ１ダンカイ</t>
    </rPh>
    <phoneticPr fontId="8"/>
  </si>
  <si>
    <t>第2段階</t>
    <rPh sb="0" eb="4">
      <t>ダイ２ダンカイ</t>
    </rPh>
    <phoneticPr fontId="8"/>
  </si>
  <si>
    <t>所得段階別被保険者数</t>
    <rPh sb="0" eb="2">
      <t>ショトク</t>
    </rPh>
    <rPh sb="2" eb="4">
      <t>ダンカイ</t>
    </rPh>
    <rPh sb="4" eb="5">
      <t>ベツ</t>
    </rPh>
    <rPh sb="5" eb="9">
      <t>ヒホケンシャ</t>
    </rPh>
    <rPh sb="9" eb="10">
      <t>スウ</t>
    </rPh>
    <phoneticPr fontId="8"/>
  </si>
  <si>
    <t>保険料設定を弾力化した場合の所得段階別加入割合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1">
      <t>カニュウ</t>
    </rPh>
    <rPh sb="21" eb="23">
      <t>ワリアイ</t>
    </rPh>
    <phoneticPr fontId="8"/>
  </si>
  <si>
    <t>第10段階</t>
    <rPh sb="0" eb="1">
      <t>ダイ</t>
    </rPh>
    <rPh sb="3" eb="5">
      <t>ダンカイ</t>
    </rPh>
    <phoneticPr fontId="8"/>
  </si>
  <si>
    <t>第11段階</t>
    <rPh sb="0" eb="1">
      <t>ダイ</t>
    </rPh>
    <rPh sb="3" eb="5">
      <t>ダンカイ</t>
    </rPh>
    <phoneticPr fontId="8"/>
  </si>
  <si>
    <t>第12段階</t>
    <rPh sb="0" eb="1">
      <t>ダイ</t>
    </rPh>
    <rPh sb="3" eb="5">
      <t>ダンカイ</t>
    </rPh>
    <phoneticPr fontId="8"/>
  </si>
  <si>
    <t>第13段階</t>
    <rPh sb="0" eb="1">
      <t>ダイ</t>
    </rPh>
    <rPh sb="3" eb="5">
      <t>ダンカイ</t>
    </rPh>
    <phoneticPr fontId="8"/>
  </si>
  <si>
    <t>第14段階</t>
    <rPh sb="0" eb="1">
      <t>ダイ</t>
    </rPh>
    <rPh sb="3" eb="5">
      <t>ダンカイ</t>
    </rPh>
    <phoneticPr fontId="8"/>
  </si>
  <si>
    <t>第15段階</t>
    <rPh sb="0" eb="1">
      <t>ダイ</t>
    </rPh>
    <rPh sb="3" eb="5">
      <t>ダンカイ</t>
    </rPh>
    <phoneticPr fontId="8"/>
  </si>
  <si>
    <t>第16段階</t>
    <rPh sb="0" eb="1">
      <t>ダイ</t>
    </rPh>
    <rPh sb="3" eb="5">
      <t>ダンカイ</t>
    </rPh>
    <phoneticPr fontId="8"/>
  </si>
  <si>
    <t>第17段階</t>
    <rPh sb="0" eb="1">
      <t>ダイ</t>
    </rPh>
    <rPh sb="3" eb="5">
      <t>ダンカイ</t>
    </rPh>
    <phoneticPr fontId="8"/>
  </si>
  <si>
    <t>第18段階</t>
    <rPh sb="0" eb="1">
      <t>ダイ</t>
    </rPh>
    <rPh sb="3" eb="5">
      <t>ダンカイ</t>
    </rPh>
    <phoneticPr fontId="8"/>
  </si>
  <si>
    <t>第19段階</t>
    <rPh sb="0" eb="1">
      <t>ダイ</t>
    </rPh>
    <rPh sb="3" eb="5">
      <t>ダンカイ</t>
    </rPh>
    <phoneticPr fontId="3"/>
  </si>
  <si>
    <t>第20段階</t>
    <rPh sb="0" eb="1">
      <t>ダイ</t>
    </rPh>
    <rPh sb="3" eb="5">
      <t>ダンカイ</t>
    </rPh>
    <phoneticPr fontId="3"/>
  </si>
  <si>
    <t>第21段階</t>
    <rPh sb="0" eb="1">
      <t>ダイ</t>
    </rPh>
    <rPh sb="3" eb="5">
      <t>ダンカイ</t>
    </rPh>
    <phoneticPr fontId="3"/>
  </si>
  <si>
    <t>第22段階</t>
    <rPh sb="0" eb="1">
      <t>ダイ</t>
    </rPh>
    <rPh sb="3" eb="5">
      <t>ダンカイ</t>
    </rPh>
    <phoneticPr fontId="3"/>
  </si>
  <si>
    <t>第23段階</t>
    <rPh sb="0" eb="1">
      <t>ダイ</t>
    </rPh>
    <rPh sb="3" eb="5">
      <t>ダンカイ</t>
    </rPh>
    <phoneticPr fontId="3"/>
  </si>
  <si>
    <t>第24段階</t>
    <rPh sb="0" eb="1">
      <t>ダイ</t>
    </rPh>
    <rPh sb="3" eb="5">
      <t>ダンカイ</t>
    </rPh>
    <phoneticPr fontId="3"/>
  </si>
  <si>
    <t>第25段階</t>
    <rPh sb="0" eb="1">
      <t>ダイ</t>
    </rPh>
    <rPh sb="3" eb="5">
      <t>ダンカイ</t>
    </rPh>
    <phoneticPr fontId="3"/>
  </si>
  <si>
    <t>保険料設定を弾力化した場合の所得段階別被保険者数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3">
      <t>ヒホケンシャ</t>
    </rPh>
    <rPh sb="23" eb="24">
      <t>スウ</t>
    </rPh>
    <phoneticPr fontId="8"/>
  </si>
  <si>
    <t>７．保険料弾力化関係係数</t>
    <rPh sb="2" eb="5">
      <t>ホケンリョウ</t>
    </rPh>
    <rPh sb="5" eb="8">
      <t>ダンリョクカ</t>
    </rPh>
    <rPh sb="8" eb="10">
      <t>カンケイ</t>
    </rPh>
    <rPh sb="10" eb="12">
      <t>ケイスウ</t>
    </rPh>
    <phoneticPr fontId="8"/>
  </si>
  <si>
    <t>保険料段階設定数</t>
    <rPh sb="0" eb="3">
      <t>ホケンリョウ</t>
    </rPh>
    <rPh sb="3" eb="5">
      <t>ダンカイ</t>
    </rPh>
    <rPh sb="5" eb="7">
      <t>セッテイ</t>
    </rPh>
    <rPh sb="7" eb="8">
      <t>スウ</t>
    </rPh>
    <phoneticPr fontId="8"/>
  </si>
  <si>
    <t>基準額に対する割合</t>
    <rPh sb="0" eb="3">
      <t>キジュンガク</t>
    </rPh>
    <rPh sb="4" eb="5">
      <t>タイ</t>
    </rPh>
    <rPh sb="7" eb="9">
      <t>ワリアイ</t>
    </rPh>
    <phoneticPr fontId="8"/>
  </si>
  <si>
    <t>第1段階</t>
    <rPh sb="0" eb="1">
      <t>ダイ</t>
    </rPh>
    <rPh sb="2" eb="4">
      <t>ダンカイ</t>
    </rPh>
    <phoneticPr fontId="8"/>
  </si>
  <si>
    <t>第2段階</t>
    <rPh sb="0" eb="1">
      <t>ダイ</t>
    </rPh>
    <rPh sb="2" eb="4">
      <t>ダンカイ</t>
    </rPh>
    <phoneticPr fontId="8"/>
  </si>
  <si>
    <t>第3段階</t>
    <rPh sb="0" eb="1">
      <t>ダイ</t>
    </rPh>
    <rPh sb="2" eb="4">
      <t>ダンカイ</t>
    </rPh>
    <phoneticPr fontId="8"/>
  </si>
  <si>
    <t>第4段階</t>
    <rPh sb="0" eb="1">
      <t>ダイ</t>
    </rPh>
    <rPh sb="2" eb="4">
      <t>ダンカイ</t>
    </rPh>
    <phoneticPr fontId="8"/>
  </si>
  <si>
    <t>第5段階</t>
    <rPh sb="0" eb="1">
      <t>ダイ</t>
    </rPh>
    <rPh sb="2" eb="4">
      <t>ダンカイ</t>
    </rPh>
    <phoneticPr fontId="8"/>
  </si>
  <si>
    <t>第6段階</t>
    <rPh sb="0" eb="1">
      <t>ダイ</t>
    </rPh>
    <rPh sb="2" eb="4">
      <t>ダンカイ</t>
    </rPh>
    <phoneticPr fontId="8"/>
  </si>
  <si>
    <t>第7段階</t>
    <rPh sb="0" eb="1">
      <t>ダイ</t>
    </rPh>
    <rPh sb="2" eb="4">
      <t>ダンカイ</t>
    </rPh>
    <phoneticPr fontId="8"/>
  </si>
  <si>
    <t>第8段階</t>
    <rPh sb="0" eb="1">
      <t>ダイ</t>
    </rPh>
    <rPh sb="2" eb="4">
      <t>ダンカイ</t>
    </rPh>
    <phoneticPr fontId="8"/>
  </si>
  <si>
    <t>第9段階</t>
    <rPh sb="0" eb="1">
      <t>ダイ</t>
    </rPh>
    <rPh sb="2" eb="4">
      <t>ダンカイ</t>
    </rPh>
    <phoneticPr fontId="8"/>
  </si>
  <si>
    <t>基準所得金額</t>
    <rPh sb="0" eb="2">
      <t>キジュン</t>
    </rPh>
    <rPh sb="2" eb="4">
      <t>ショトク</t>
    </rPh>
    <rPh sb="4" eb="6">
      <t>キンガク</t>
    </rPh>
    <phoneticPr fontId="8"/>
  </si>
  <si>
    <t>第6段階と第7段階を区分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</si>
  <si>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第7段階と第8段階を区分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</si>
  <si>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第8段階と第9段階を区分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</si>
  <si>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第9段階と第10段階を区分</t>
    <rPh sb="0" eb="1">
      <t>ダイ</t>
    </rPh>
    <rPh sb="2" eb="4">
      <t>ダンカイ</t>
    </rPh>
    <rPh sb="5" eb="6">
      <t>ダイ</t>
    </rPh>
    <rPh sb="8" eb="10">
      <t>ダンカイ</t>
    </rPh>
    <rPh sb="11" eb="13">
      <t>クブン</t>
    </rPh>
    <phoneticPr fontId="8"/>
  </si>
  <si>
    <t>第10段階と第11段階を区分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</si>
  <si>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第11段階と第12段階を区分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</si>
  <si>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第12段階と第13段階を区分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</si>
  <si>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第13段階と第14段階を区分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</si>
  <si>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第14段階と第15段階を区分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</si>
  <si>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第15段階と第16段階を区分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</si>
  <si>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第16段階と第17段階を区分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</si>
  <si>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第17段階と第18段階を区分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</si>
  <si>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第18段階と第19段階を区分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</si>
  <si>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第19段階と第20段階を区分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</si>
  <si>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第20段階と第21段階を区分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</si>
  <si>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第21段階と第22段階を区分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</si>
  <si>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第22段階と第23段階を区分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</si>
  <si>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第23段階と第24段階を区分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</si>
  <si>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（参考）標準段階区分</t>
    <rPh sb="1" eb="3">
      <t>サンコウ</t>
    </rPh>
    <rPh sb="4" eb="6">
      <t>ヒョウジュン</t>
    </rPh>
    <rPh sb="6" eb="8">
      <t>ダンカイ</t>
    </rPh>
    <rPh sb="8" eb="10">
      <t>クブン</t>
    </rPh>
    <phoneticPr fontId="8"/>
  </si>
  <si>
    <t>３．総給付費</t>
    <rPh sb="2" eb="3">
      <t>ソウ</t>
    </rPh>
    <rPh sb="3" eb="5">
      <t>キュウフ</t>
    </rPh>
    <rPh sb="5" eb="6">
      <t>ヒ</t>
    </rPh>
    <phoneticPr fontId="3"/>
  </si>
  <si>
    <t>介護医療院</t>
    <phoneticPr fontId="8"/>
  </si>
  <si>
    <t>介護療養型医療施設</t>
    <rPh sb="0" eb="2">
      <t>カイゴ</t>
    </rPh>
    <rPh sb="2" eb="5">
      <t>リョウヨウガタ</t>
    </rPh>
    <rPh sb="5" eb="7">
      <t>イリョウ</t>
    </rPh>
    <rPh sb="7" eb="9">
      <t>シセツ</t>
    </rPh>
    <phoneticPr fontId="8"/>
  </si>
  <si>
    <t>給付費（千円）</t>
    <phoneticPr fontId="8"/>
  </si>
  <si>
    <t>人数（人）</t>
    <phoneticPr fontId="8"/>
  </si>
  <si>
    <t>４．施設サービス利用者数</t>
    <rPh sb="2" eb="4">
      <t>シセツ</t>
    </rPh>
    <rPh sb="8" eb="10">
      <t>リヨウ</t>
    </rPh>
    <rPh sb="10" eb="11">
      <t>シャ</t>
    </rPh>
    <rPh sb="11" eb="12">
      <t>スウ</t>
    </rPh>
    <phoneticPr fontId="3"/>
  </si>
  <si>
    <t>うち要介護4・5（人）</t>
    <rPh sb="2" eb="5">
      <t>ヨウカイゴ</t>
    </rPh>
    <rPh sb="9" eb="10">
      <t>ニン</t>
    </rPh>
    <phoneticPr fontId="8"/>
  </si>
  <si>
    <t>うち要介護4・5の割合（％）</t>
    <rPh sb="2" eb="5">
      <t>ヨウカイゴ</t>
    </rPh>
    <rPh sb="9" eb="11">
      <t>ワリアイ</t>
    </rPh>
    <phoneticPr fontId="8"/>
  </si>
  <si>
    <t>後期(85歳～)</t>
  </si>
  <si>
    <t>第１号被保険者負担割合（%）</t>
    <phoneticPr fontId="3"/>
  </si>
  <si>
    <t>費用負担の見直しに伴う調整に係る係数（参考値）（未定）</t>
    <phoneticPr fontId="3"/>
  </si>
  <si>
    <t>後期(75歳～84歳)</t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</si>
  <si>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</si>
  <si>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</si>
  <si>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</si>
  <si>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</si>
  <si>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保険料基準額（月額）</t>
    <phoneticPr fontId="3"/>
  </si>
  <si>
    <t>審査支払手数料一件あたり単価</t>
    <phoneticPr fontId="4"/>
  </si>
  <si>
    <t>審査支払手数料支払件数</t>
    <phoneticPr fontId="3"/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</si>
  <si>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</si>
  <si>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</si>
  <si>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</si>
  <si>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</si>
  <si>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４．在宅サービス利用者数</t>
    <rPh sb="8" eb="10">
      <t>リヨウ</t>
    </rPh>
    <rPh sb="10" eb="11">
      <t>シャ</t>
    </rPh>
    <rPh sb="11" eb="12">
      <t>スウ</t>
    </rPh>
    <phoneticPr fontId="3"/>
  </si>
  <si>
    <t>後期(75歳～)</t>
    <phoneticPr fontId="3"/>
  </si>
  <si>
    <t>短期入所療養介護(介護医療院)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カイゴ</t>
    </rPh>
    <rPh sb="11" eb="13">
      <t>イリョウ</t>
    </rPh>
    <rPh sb="13" eb="14">
      <t>イン</t>
    </rPh>
    <phoneticPr fontId="8"/>
  </si>
  <si>
    <t>調整交付金見込額の調整理由</t>
    <rPh sb="0" eb="2">
      <t>チョウセイ</t>
    </rPh>
    <rPh sb="2" eb="5">
      <t>コウフキン</t>
    </rPh>
    <rPh sb="5" eb="7">
      <t>ミコ</t>
    </rPh>
    <rPh sb="7" eb="8">
      <t>ガク</t>
    </rPh>
    <rPh sb="9" eb="11">
      <t>チョウセイ</t>
    </rPh>
    <rPh sb="11" eb="13">
      <t>リユウ</t>
    </rPh>
    <phoneticPr fontId="3"/>
  </si>
  <si>
    <t>認定者数</t>
    <phoneticPr fontId="3"/>
  </si>
  <si>
    <t>３．施設・居住系サービス利用者数</t>
    <phoneticPr fontId="3"/>
  </si>
  <si>
    <t>利用者数の設定内容</t>
    <rPh sb="0" eb="2">
      <t>リヨウ</t>
    </rPh>
    <rPh sb="2" eb="3">
      <t>シャ</t>
    </rPh>
    <rPh sb="3" eb="4">
      <t>スウ</t>
    </rPh>
    <rPh sb="5" eb="7">
      <t>セッテイ</t>
    </rPh>
    <rPh sb="7" eb="9">
      <t>ナイヨウ</t>
    </rPh>
    <phoneticPr fontId="3"/>
  </si>
  <si>
    <t>利用回(日)数の設定内容</t>
    <rPh sb="0" eb="2">
      <t>リヨウ</t>
    </rPh>
    <rPh sb="2" eb="3">
      <t>カイ</t>
    </rPh>
    <rPh sb="3" eb="6">
      <t>ニチ</t>
    </rPh>
    <rPh sb="6" eb="7">
      <t>カズ</t>
    </rPh>
    <rPh sb="8" eb="10">
      <t>セッテイ</t>
    </rPh>
    <rPh sb="10" eb="12">
      <t>ナイヨウ</t>
    </rPh>
    <phoneticPr fontId="3"/>
  </si>
  <si>
    <t>認定者数の設定内容</t>
    <phoneticPr fontId="3"/>
  </si>
  <si>
    <t>施設・居住系サービス利用者数</t>
    <phoneticPr fontId="3"/>
  </si>
  <si>
    <t>1人1月あたり給付費</t>
    <phoneticPr fontId="3"/>
  </si>
  <si>
    <t>在宅サービス利用者数</t>
    <phoneticPr fontId="3"/>
  </si>
  <si>
    <t>在宅サービス利用回(日)数</t>
    <phoneticPr fontId="3"/>
  </si>
  <si>
    <t>在宅サービス利用者数(利用率)</t>
    <phoneticPr fontId="3"/>
  </si>
  <si>
    <t>在宅サービス利用回(日)数</t>
    <phoneticPr fontId="3"/>
  </si>
  <si>
    <t>６．受給率</t>
    <rPh sb="2" eb="3">
      <t>ウ</t>
    </rPh>
    <rPh sb="3" eb="4">
      <t>キュウ</t>
    </rPh>
    <rPh sb="4" eb="5">
      <t>リツ</t>
    </rPh>
    <phoneticPr fontId="3"/>
  </si>
  <si>
    <t>在宅サービス受給率</t>
    <rPh sb="0" eb="2">
      <t>ザイタク</t>
    </rPh>
    <phoneticPr fontId="8"/>
  </si>
  <si>
    <t>施設・居住系サービス受給率</t>
    <rPh sb="0" eb="2">
      <t>シセツ</t>
    </rPh>
    <rPh sb="3" eb="5">
      <t>キョジュウ</t>
    </rPh>
    <rPh sb="5" eb="6">
      <t>ケイ</t>
    </rPh>
    <rPh sb="10" eb="12">
      <t>ジュキュウ</t>
    </rPh>
    <rPh sb="12" eb="13">
      <t>リツ</t>
    </rPh>
    <phoneticPr fontId="8"/>
  </si>
  <si>
    <t>　　　　　　　　　　　　　　　　　（補足）　在宅サービス受給率＝在宅サービス利用者数÷第1号被保険者数</t>
    <rPh sb="18" eb="20">
      <t>ホソク</t>
    </rPh>
    <rPh sb="38" eb="40">
      <t>リヨウ</t>
    </rPh>
    <rPh sb="40" eb="41">
      <t>シャ</t>
    </rPh>
    <rPh sb="41" eb="42">
      <t>スウ</t>
    </rPh>
    <rPh sb="43" eb="44">
      <t>ダイ</t>
    </rPh>
    <rPh sb="45" eb="46">
      <t>ゴウ</t>
    </rPh>
    <rPh sb="46" eb="50">
      <t>ヒホケンシャ</t>
    </rPh>
    <rPh sb="50" eb="51">
      <t>スウ</t>
    </rPh>
    <phoneticPr fontId="8"/>
  </si>
  <si>
    <t>　　　　　　　　　　　　                   　施設・居住系サービス受給率＝施設・居住系サービス利用者数÷第1号被保険者数</t>
    <rPh sb="56" eb="58">
      <t>リヨウ</t>
    </rPh>
    <rPh sb="58" eb="59">
      <t>シャ</t>
    </rPh>
    <rPh sb="59" eb="60">
      <t>スウ</t>
    </rPh>
    <rPh sb="61" eb="62">
      <t>ダイ</t>
    </rPh>
    <rPh sb="63" eb="64">
      <t>ゴウ</t>
    </rPh>
    <rPh sb="64" eb="68">
      <t>ヒホケンシャ</t>
    </rPh>
    <rPh sb="68" eb="69">
      <t>スウ</t>
    </rPh>
    <phoneticPr fontId="8"/>
  </si>
  <si>
    <t>７．介護保険料基準額（月額）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phoneticPr fontId="3"/>
  </si>
  <si>
    <t>８．介護保険料基準額（月額）の内訳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rPh sb="15" eb="17">
      <t>ウチワケ</t>
    </rPh>
    <phoneticPr fontId="3"/>
  </si>
  <si>
    <t>85歳未満後期高齢者加入割合</t>
    <phoneticPr fontId="3"/>
  </si>
  <si>
    <t>85歳以上後期高齢者加入割合</t>
    <phoneticPr fontId="3"/>
  </si>
  <si>
    <t>調整率</t>
    <rPh sb="0" eb="2">
      <t>チョウセイ</t>
    </rPh>
    <rPh sb="2" eb="3">
      <t>リツ</t>
    </rPh>
    <phoneticPr fontId="2"/>
  </si>
  <si>
    <t>特別調整交付金の交付見込額</t>
  </si>
  <si>
    <t>未使用</t>
    <rPh sb="0" eb="3">
      <t>ミシヨウ</t>
    </rPh>
    <phoneticPr fontId="8"/>
  </si>
  <si>
    <t>出力後に入力</t>
    <phoneticPr fontId="3"/>
  </si>
  <si>
    <t>介護予防短期入所療養介護(介護医療院)</t>
    <phoneticPr fontId="8"/>
  </si>
  <si>
    <t>2020/03/26</t>
  </si>
  <si>
    <t>前期高齢者の1人あたり給付費</t>
    <phoneticPr fontId="3"/>
  </si>
  <si>
    <t>85歳未満後期高齢者の1人あたり給付費</t>
    <phoneticPr fontId="3"/>
  </si>
  <si>
    <t>85歳以上後期高齢者の1人あたり給付費</t>
    <phoneticPr fontId="3"/>
  </si>
  <si>
    <t>特定入所者介護サービス費等給付額</t>
    <phoneticPr fontId="3"/>
  </si>
  <si>
    <t>特定入所者介護サービス費等給付額（財政影響額調整後）</t>
    <phoneticPr fontId="8"/>
  </si>
  <si>
    <t>高額介護サービス費等給付額</t>
    <phoneticPr fontId="3"/>
  </si>
  <si>
    <t>高額介護サービス費等給付額（財政影響額調整後）</t>
    <rPh sb="0" eb="2">
      <t>コウガク</t>
    </rPh>
    <rPh sb="2" eb="4">
      <t>カイゴ</t>
    </rPh>
    <rPh sb="8" eb="9">
      <t>ヒ</t>
    </rPh>
    <rPh sb="9" eb="10">
      <t>トウ</t>
    </rPh>
    <rPh sb="10" eb="13">
      <t>キュウフガク</t>
    </rPh>
    <rPh sb="14" eb="16">
      <t>ザイセイ</t>
    </rPh>
    <rPh sb="16" eb="19">
      <t>エイキョウガク</t>
    </rPh>
    <rPh sb="19" eb="22">
      <t>チョウセイゴ</t>
    </rPh>
    <phoneticPr fontId="8"/>
  </si>
  <si>
    <t>サービス種別・項目</t>
    <rPh sb="4" eb="6">
      <t>シュベツ</t>
    </rPh>
    <rPh sb="7" eb="9">
      <t>コウモク</t>
    </rPh>
    <phoneticPr fontId="3"/>
  </si>
  <si>
    <t>訪問介護相当サービス</t>
    <rPh sb="0" eb="2">
      <t>ホウモン</t>
    </rPh>
    <rPh sb="2" eb="4">
      <t>カイゴ</t>
    </rPh>
    <rPh sb="4" eb="6">
      <t>ソウトウ</t>
    </rPh>
    <phoneticPr fontId="3"/>
  </si>
  <si>
    <t>訪問型サービスA</t>
    <rPh sb="0" eb="2">
      <t>ホウモン</t>
    </rPh>
    <rPh sb="2" eb="3">
      <t>ガタ</t>
    </rPh>
    <phoneticPr fontId="3"/>
  </si>
  <si>
    <t>訪問型サービスB</t>
    <rPh sb="0" eb="2">
      <t>ホウモン</t>
    </rPh>
    <rPh sb="2" eb="3">
      <t>ガタ</t>
    </rPh>
    <phoneticPr fontId="3"/>
  </si>
  <si>
    <t>訪問型サービスC</t>
    <rPh sb="0" eb="2">
      <t>ホウモン</t>
    </rPh>
    <rPh sb="2" eb="3">
      <t>ガタ</t>
    </rPh>
    <phoneticPr fontId="3"/>
  </si>
  <si>
    <t>訪問型サービスD</t>
    <rPh sb="0" eb="2">
      <t>ホウモン</t>
    </rPh>
    <rPh sb="2" eb="3">
      <t>ガタ</t>
    </rPh>
    <phoneticPr fontId="3"/>
  </si>
  <si>
    <t>訪問型サービス(その他)</t>
    <rPh sb="0" eb="2">
      <t>ホウモン</t>
    </rPh>
    <rPh sb="2" eb="3">
      <t>ガタ</t>
    </rPh>
    <rPh sb="10" eb="11">
      <t>タ</t>
    </rPh>
    <phoneticPr fontId="3"/>
  </si>
  <si>
    <t>通所介護相当サービス</t>
    <rPh sb="2" eb="4">
      <t>カイゴ</t>
    </rPh>
    <rPh sb="4" eb="6">
      <t>ソウトウ</t>
    </rPh>
    <phoneticPr fontId="3"/>
  </si>
  <si>
    <t>通所型サービスA</t>
    <rPh sb="2" eb="3">
      <t>ガタ</t>
    </rPh>
    <phoneticPr fontId="3"/>
  </si>
  <si>
    <t>通所型サービスB</t>
    <rPh sb="2" eb="3">
      <t>ガタ</t>
    </rPh>
    <phoneticPr fontId="3"/>
  </si>
  <si>
    <t>通所型サービスC</t>
    <rPh sb="2" eb="3">
      <t>ガタ</t>
    </rPh>
    <phoneticPr fontId="3"/>
  </si>
  <si>
    <t>通所型サービス(その他)</t>
    <rPh sb="0" eb="2">
      <t>ツウショ</t>
    </rPh>
    <rPh sb="2" eb="3">
      <t>ガタ</t>
    </rPh>
    <rPh sb="10" eb="11">
      <t>タ</t>
    </rPh>
    <phoneticPr fontId="3"/>
  </si>
  <si>
    <t>栄養改善や見守りを目的とした配食</t>
    <rPh sb="0" eb="2">
      <t>エイヨウ</t>
    </rPh>
    <rPh sb="2" eb="4">
      <t>カイゼン</t>
    </rPh>
    <rPh sb="5" eb="7">
      <t>ミマモ</t>
    </rPh>
    <rPh sb="9" eb="11">
      <t>モクテキ</t>
    </rPh>
    <rPh sb="14" eb="16">
      <t>ハイショク</t>
    </rPh>
    <phoneticPr fontId="3"/>
  </si>
  <si>
    <t>定期的な安否確認、緊急時の対応、住民ボランティア等の見守り</t>
    <rPh sb="0" eb="3">
      <t>テイキテキ</t>
    </rPh>
    <rPh sb="4" eb="6">
      <t>アンピ</t>
    </rPh>
    <rPh sb="6" eb="8">
      <t>カクニン</t>
    </rPh>
    <rPh sb="9" eb="12">
      <t>キンキュウジ</t>
    </rPh>
    <rPh sb="13" eb="15">
      <t>タイオウ</t>
    </rPh>
    <rPh sb="16" eb="18">
      <t>ジュウミン</t>
    </rPh>
    <rPh sb="24" eb="25">
      <t>トウ</t>
    </rPh>
    <rPh sb="26" eb="28">
      <t>ミマモ</t>
    </rPh>
    <phoneticPr fontId="3"/>
  </si>
  <si>
    <t>その他、訪問型サービス・通所型サービスの一体的提供等</t>
    <rPh sb="2" eb="3">
      <t>タ</t>
    </rPh>
    <rPh sb="4" eb="6">
      <t>ホウモン</t>
    </rPh>
    <rPh sb="6" eb="7">
      <t>ガタ</t>
    </rPh>
    <rPh sb="12" eb="14">
      <t>ツウショ</t>
    </rPh>
    <rPh sb="14" eb="15">
      <t>ガタ</t>
    </rPh>
    <rPh sb="20" eb="23">
      <t>イッタイテキ</t>
    </rPh>
    <rPh sb="23" eb="25">
      <t>テイキョウ</t>
    </rPh>
    <rPh sb="25" eb="26">
      <t>ナド</t>
    </rPh>
    <phoneticPr fontId="3"/>
  </si>
  <si>
    <t>介護予防ケアマネジメント</t>
    <rPh sb="0" eb="2">
      <t>カイゴ</t>
    </rPh>
    <rPh sb="2" eb="4">
      <t>ヨボウ</t>
    </rPh>
    <phoneticPr fontId="3"/>
  </si>
  <si>
    <t>介護予防把握事業</t>
    <rPh sb="0" eb="2">
      <t>カイゴ</t>
    </rPh>
    <rPh sb="2" eb="4">
      <t>ヨボウ</t>
    </rPh>
    <rPh sb="4" eb="6">
      <t>ハアク</t>
    </rPh>
    <rPh sb="6" eb="8">
      <t>ジギョウ</t>
    </rPh>
    <phoneticPr fontId="3"/>
  </si>
  <si>
    <t>介護予防普及啓発事業</t>
    <rPh sb="0" eb="2">
      <t>カイゴ</t>
    </rPh>
    <rPh sb="2" eb="4">
      <t>ヨボウ</t>
    </rPh>
    <rPh sb="4" eb="6">
      <t>フキュウ</t>
    </rPh>
    <rPh sb="6" eb="8">
      <t>ケイハツ</t>
    </rPh>
    <rPh sb="8" eb="10">
      <t>ジギョウ</t>
    </rPh>
    <phoneticPr fontId="3"/>
  </si>
  <si>
    <t>地域介護予防活動支援事業</t>
    <rPh sb="0" eb="2">
      <t>チイキ</t>
    </rPh>
    <rPh sb="2" eb="4">
      <t>カイゴ</t>
    </rPh>
    <rPh sb="4" eb="6">
      <t>ヨボウ</t>
    </rPh>
    <rPh sb="6" eb="8">
      <t>カツドウ</t>
    </rPh>
    <rPh sb="8" eb="10">
      <t>シエン</t>
    </rPh>
    <rPh sb="10" eb="12">
      <t>ジギョウ</t>
    </rPh>
    <phoneticPr fontId="3"/>
  </si>
  <si>
    <t>一般介護予防事業評価事業</t>
    <rPh sb="0" eb="2">
      <t>イッパン</t>
    </rPh>
    <rPh sb="2" eb="4">
      <t>カイゴ</t>
    </rPh>
    <rPh sb="4" eb="6">
      <t>ヨボウ</t>
    </rPh>
    <rPh sb="6" eb="8">
      <t>ジギョウ</t>
    </rPh>
    <rPh sb="8" eb="10">
      <t>ヒョウカ</t>
    </rPh>
    <rPh sb="10" eb="12">
      <t>ジギョウ</t>
    </rPh>
    <phoneticPr fontId="3"/>
  </si>
  <si>
    <t>地域リハビリテーション活動支援事業</t>
    <rPh sb="0" eb="2">
      <t>チイキ</t>
    </rPh>
    <rPh sb="11" eb="13">
      <t>カツドウ</t>
    </rPh>
    <rPh sb="13" eb="15">
      <t>シエン</t>
    </rPh>
    <rPh sb="15" eb="17">
      <t>ジギョウ</t>
    </rPh>
    <phoneticPr fontId="3"/>
  </si>
  <si>
    <t>包括的支援事業(地域包括支援センターの運営)</t>
    <rPh sb="0" eb="2">
      <t>ホウカツ</t>
    </rPh>
    <rPh sb="2" eb="3">
      <t>テキ</t>
    </rPh>
    <rPh sb="3" eb="5">
      <t>シエン</t>
    </rPh>
    <rPh sb="5" eb="7">
      <t>ジギョウ</t>
    </rPh>
    <rPh sb="8" eb="10">
      <t>チイキ</t>
    </rPh>
    <rPh sb="10" eb="12">
      <t>ホウカツ</t>
    </rPh>
    <rPh sb="12" eb="14">
      <t>シエン</t>
    </rPh>
    <rPh sb="19" eb="21">
      <t>ウンエイ</t>
    </rPh>
    <phoneticPr fontId="3"/>
  </si>
  <si>
    <t>任意事業</t>
    <rPh sb="0" eb="2">
      <t>ニンイ</t>
    </rPh>
    <rPh sb="2" eb="4">
      <t>ジギョウ</t>
    </rPh>
    <phoneticPr fontId="3"/>
  </si>
  <si>
    <t>在宅医療・介護連携推進事業</t>
    <rPh sb="0" eb="2">
      <t>ザイタク</t>
    </rPh>
    <rPh sb="2" eb="4">
      <t>イリョウ</t>
    </rPh>
    <rPh sb="5" eb="7">
      <t>カイゴ</t>
    </rPh>
    <rPh sb="7" eb="9">
      <t>レンケイ</t>
    </rPh>
    <rPh sb="9" eb="11">
      <t>スイシン</t>
    </rPh>
    <rPh sb="11" eb="13">
      <t>ジギョウ</t>
    </rPh>
    <phoneticPr fontId="3"/>
  </si>
  <si>
    <t>生活支援体制整備事業</t>
    <rPh sb="0" eb="2">
      <t>セイカツ</t>
    </rPh>
    <rPh sb="2" eb="4">
      <t>シエン</t>
    </rPh>
    <rPh sb="4" eb="6">
      <t>タイセイ</t>
    </rPh>
    <rPh sb="6" eb="8">
      <t>セイビ</t>
    </rPh>
    <rPh sb="8" eb="10">
      <t>ジギョウ</t>
    </rPh>
    <phoneticPr fontId="3"/>
  </si>
  <si>
    <t>認知症初期集中支援推進事業</t>
    <rPh sb="0" eb="3">
      <t>ニンチショウ</t>
    </rPh>
    <rPh sb="3" eb="5">
      <t>ショキ</t>
    </rPh>
    <rPh sb="5" eb="7">
      <t>シュウチュウ</t>
    </rPh>
    <rPh sb="7" eb="9">
      <t>シエン</t>
    </rPh>
    <rPh sb="9" eb="11">
      <t>スイシン</t>
    </rPh>
    <rPh sb="11" eb="13">
      <t>ジギョウ</t>
    </rPh>
    <phoneticPr fontId="3"/>
  </si>
  <si>
    <t>認知症地域支援・ケア向上事業</t>
    <rPh sb="0" eb="3">
      <t>ニンチショウ</t>
    </rPh>
    <rPh sb="3" eb="5">
      <t>チイキ</t>
    </rPh>
    <rPh sb="5" eb="7">
      <t>シエン</t>
    </rPh>
    <rPh sb="10" eb="12">
      <t>コウジョウ</t>
    </rPh>
    <rPh sb="12" eb="14">
      <t>ジギョウ</t>
    </rPh>
    <phoneticPr fontId="3"/>
  </si>
  <si>
    <t>地域ケア会議推進事業</t>
    <rPh sb="0" eb="2">
      <t>チイキ</t>
    </rPh>
    <rPh sb="4" eb="6">
      <t>カイギ</t>
    </rPh>
    <rPh sb="6" eb="8">
      <t>スイシン</t>
    </rPh>
    <rPh sb="8" eb="10">
      <t>ジギョウ</t>
    </rPh>
    <phoneticPr fontId="3"/>
  </si>
  <si>
    <t>介護予防・日常生活支援総合事業費</t>
    <phoneticPr fontId="3"/>
  </si>
  <si>
    <t>包括的支援事業（社会保障充実分）</t>
    <phoneticPr fontId="3"/>
  </si>
  <si>
    <t>地域支援事業費</t>
    <rPh sb="0" eb="2">
      <t>チイキ</t>
    </rPh>
    <rPh sb="2" eb="4">
      <t>シエン</t>
    </rPh>
    <rPh sb="4" eb="7">
      <t>ジギョウヒ</t>
    </rPh>
    <phoneticPr fontId="3"/>
  </si>
  <si>
    <t>１．介護予防・日常生活支援総合事業</t>
    <rPh sb="2" eb="4">
      <t>カイゴ</t>
    </rPh>
    <rPh sb="4" eb="6">
      <t>ヨボウ</t>
    </rPh>
    <rPh sb="7" eb="9">
      <t>ニチジョウ</t>
    </rPh>
    <rPh sb="9" eb="11">
      <t>セイカツ</t>
    </rPh>
    <rPh sb="11" eb="13">
      <t>シエン</t>
    </rPh>
    <rPh sb="13" eb="15">
      <t>ソウゴウ</t>
    </rPh>
    <rPh sb="15" eb="17">
      <t>ジギョウ</t>
    </rPh>
    <phoneticPr fontId="3"/>
  </si>
  <si>
    <t>３．包括的支援事業（社会保障充実分）</t>
    <rPh sb="2" eb="5">
      <t>ホウカツテキ</t>
    </rPh>
    <rPh sb="5" eb="7">
      <t>シエン</t>
    </rPh>
    <rPh sb="7" eb="9">
      <t>ジギョウ</t>
    </rPh>
    <rPh sb="10" eb="12">
      <t>シャカイ</t>
    </rPh>
    <rPh sb="12" eb="14">
      <t>ホショウ</t>
    </rPh>
    <rPh sb="14" eb="16">
      <t>ジュウジツ</t>
    </rPh>
    <rPh sb="16" eb="17">
      <t>ブン</t>
    </rPh>
    <phoneticPr fontId="3"/>
  </si>
  <si>
    <t>４．地域支援事業費計</t>
    <rPh sb="2" eb="4">
      <t>チイキ</t>
    </rPh>
    <rPh sb="4" eb="6">
      <t>シエン</t>
    </rPh>
    <rPh sb="6" eb="9">
      <t>ジギョウヒ</t>
    </rPh>
    <rPh sb="9" eb="10">
      <t>ケイ</t>
    </rPh>
    <phoneticPr fontId="3"/>
  </si>
  <si>
    <t>包括的支援事業（社会保障充実分）</t>
    <rPh sb="0" eb="3">
      <t>ホウカツテキ</t>
    </rPh>
    <rPh sb="3" eb="5">
      <t>シエン</t>
    </rPh>
    <rPh sb="5" eb="7">
      <t>ジギョウ</t>
    </rPh>
    <rPh sb="8" eb="10">
      <t>シャカイ</t>
    </rPh>
    <rPh sb="10" eb="12">
      <t>ホショウ</t>
    </rPh>
    <rPh sb="12" eb="14">
      <t>ジュウジツ</t>
    </rPh>
    <rPh sb="14" eb="15">
      <t>ブン</t>
    </rPh>
    <phoneticPr fontId="3"/>
  </si>
  <si>
    <t>地域支援事業の施策反映の経緯</t>
    <rPh sb="7" eb="9">
      <t>シサク</t>
    </rPh>
    <rPh sb="9" eb="11">
      <t>ハンエイ</t>
    </rPh>
    <rPh sb="12" eb="14">
      <t>ケイイ</t>
    </rPh>
    <phoneticPr fontId="3"/>
  </si>
  <si>
    <t>５．地域支援事業の見込み量推計</t>
    <rPh sb="2" eb="4">
      <t>チイキ</t>
    </rPh>
    <rPh sb="4" eb="6">
      <t>シエン</t>
    </rPh>
    <rPh sb="6" eb="8">
      <t>ジギョウ</t>
    </rPh>
    <rPh sb="9" eb="11">
      <t>ミコ</t>
    </rPh>
    <rPh sb="12" eb="13">
      <t>リョウ</t>
    </rPh>
    <rPh sb="13" eb="15">
      <t>スイケイ</t>
    </rPh>
    <phoneticPr fontId="3"/>
  </si>
  <si>
    <t>（３）地域支援事業費</t>
    <rPh sb="3" eb="5">
      <t>チイキ</t>
    </rPh>
    <rPh sb="5" eb="7">
      <t>シエン</t>
    </rPh>
    <rPh sb="7" eb="10">
      <t>ジギョウヒ</t>
    </rPh>
    <phoneticPr fontId="8"/>
  </si>
  <si>
    <t>（４）施策反映の内容</t>
    <rPh sb="3" eb="5">
      <t>シサク</t>
    </rPh>
    <rPh sb="5" eb="7">
      <t>ハンエイ</t>
    </rPh>
    <rPh sb="8" eb="10">
      <t>ナイヨウ</t>
    </rPh>
    <phoneticPr fontId="3"/>
  </si>
  <si>
    <t>（５）第１号被保険者の保険料推計</t>
    <rPh sb="3" eb="4">
      <t>ダイ</t>
    </rPh>
    <rPh sb="5" eb="6">
      <t>ゴウ</t>
    </rPh>
    <rPh sb="6" eb="10">
      <t>ヒホケンシャ</t>
    </rPh>
    <rPh sb="11" eb="14">
      <t>ホケンリョウ</t>
    </rPh>
    <rPh sb="14" eb="16">
      <t>スイケイ</t>
    </rPh>
    <phoneticPr fontId="8"/>
  </si>
  <si>
    <t>(利用者数：人)</t>
  </si>
  <si>
    <t>(利用者数：人)</t>
    <rPh sb="1" eb="3">
      <t>リヨウ</t>
    </rPh>
    <rPh sb="3" eb="4">
      <t>シャ</t>
    </rPh>
    <rPh sb="4" eb="5">
      <t>スウ</t>
    </rPh>
    <rPh sb="6" eb="7">
      <t>ニン</t>
    </rPh>
    <phoneticPr fontId="3"/>
  </si>
  <si>
    <t>単位：円</t>
    <rPh sb="3" eb="4">
      <t>エン</t>
    </rPh>
    <phoneticPr fontId="3"/>
  </si>
  <si>
    <t>単位：円(括弧書きの数値を除く)</t>
    <rPh sb="3" eb="4">
      <t>エン</t>
    </rPh>
    <rPh sb="5" eb="7">
      <t>カッコ</t>
    </rPh>
    <rPh sb="7" eb="8">
      <t>ガ</t>
    </rPh>
    <rPh sb="10" eb="12">
      <t>スウチ</t>
    </rPh>
    <rPh sb="13" eb="14">
      <t>ノゾ</t>
    </rPh>
    <phoneticPr fontId="3"/>
  </si>
  <si>
    <t>５．介護離職ゼロサービスのサービス見込量と必要整備量（参考）</t>
    <rPh sb="2" eb="4">
      <t>カイゴ</t>
    </rPh>
    <rPh sb="4" eb="6">
      <t>リショク</t>
    </rPh>
    <rPh sb="17" eb="19">
      <t>ミコミ</t>
    </rPh>
    <rPh sb="19" eb="20">
      <t>リョウ</t>
    </rPh>
    <rPh sb="21" eb="23">
      <t>ヒツヨウ</t>
    </rPh>
    <rPh sb="23" eb="25">
      <t>セイビ</t>
    </rPh>
    <rPh sb="25" eb="26">
      <t>リョウ</t>
    </rPh>
    <rPh sb="27" eb="29">
      <t>サンコウ</t>
    </rPh>
    <phoneticPr fontId="3"/>
  </si>
  <si>
    <t>実績及びサービス見込量</t>
    <rPh sb="0" eb="2">
      <t>ジッセキ</t>
    </rPh>
    <rPh sb="2" eb="3">
      <t>オヨ</t>
    </rPh>
    <rPh sb="8" eb="10">
      <t>ミコミ</t>
    </rPh>
    <rPh sb="10" eb="11">
      <t>リョウ</t>
    </rPh>
    <phoneticPr fontId="3"/>
  </si>
  <si>
    <t>必要整備量</t>
    <rPh sb="0" eb="2">
      <t>ヒツヨウ</t>
    </rPh>
    <rPh sb="2" eb="4">
      <t>セイビ</t>
    </rPh>
    <rPh sb="4" eb="5">
      <t>リョウ</t>
    </rPh>
    <phoneticPr fontId="3"/>
  </si>
  <si>
    <t>介護離職ゼロサービス※３</t>
    <rPh sb="0" eb="2">
      <t>カイゴ</t>
    </rPh>
    <rPh sb="2" eb="4">
      <t>リショク</t>
    </rPh>
    <phoneticPr fontId="3"/>
  </si>
  <si>
    <t>※５：サービス見込量×最大利用月比率</t>
    <phoneticPr fontId="3"/>
  </si>
  <si>
    <t>※事業費は年間累計の金額。人数は１月当たりの利用者数。</t>
    <rPh sb="1" eb="3">
      <t>ジギョウ</t>
    </rPh>
    <phoneticPr fontId="3"/>
  </si>
  <si>
    <r>
      <t>最大利用月比率</t>
    </r>
    <r>
      <rPr>
        <sz val="10"/>
        <rFont val="ＭＳ Ｐゴシック"/>
        <family val="3"/>
        <charset val="128"/>
        <scheme val="minor"/>
      </rPr>
      <t>（年度平均に対する最大利用月の比率）※４</t>
    </r>
    <rPh sb="0" eb="2">
      <t>サイダイ</t>
    </rPh>
    <rPh sb="2" eb="4">
      <t>リヨウ</t>
    </rPh>
    <rPh sb="4" eb="5">
      <t>ツキ</t>
    </rPh>
    <rPh sb="5" eb="6">
      <t>ヒ</t>
    </rPh>
    <rPh sb="6" eb="7">
      <t>リツ</t>
    </rPh>
    <rPh sb="13" eb="14">
      <t>タイ</t>
    </rPh>
    <rPh sb="22" eb="23">
      <t>ヒ</t>
    </rPh>
    <rPh sb="23" eb="24">
      <t>リツ</t>
    </rPh>
    <phoneticPr fontId="3"/>
  </si>
  <si>
    <t>２．包括的支援事業（地域包括支援センターの運営）及び任意事業</t>
    <rPh sb="2" eb="5">
      <t>ホウカツテキ</t>
    </rPh>
    <rPh sb="5" eb="7">
      <t>シエン</t>
    </rPh>
    <rPh sb="7" eb="9">
      <t>ジギョウ</t>
    </rPh>
    <rPh sb="24" eb="25">
      <t>オヨ</t>
    </rPh>
    <rPh sb="26" eb="28">
      <t>ニンイ</t>
    </rPh>
    <rPh sb="28" eb="30">
      <t>ジギョウ</t>
    </rPh>
    <phoneticPr fontId="3"/>
  </si>
  <si>
    <t>包括的支援事業（地域包括支援センターの運営）及び任意事業費</t>
    <phoneticPr fontId="3"/>
  </si>
  <si>
    <r>
      <t>包括的支援事業</t>
    </r>
    <r>
      <rPr>
        <sz val="11"/>
        <rFont val="ＭＳ Ｐゴシック"/>
        <family val="3"/>
        <charset val="128"/>
        <scheme val="minor"/>
      </rPr>
      <t>（地域包括支援センターの運営）及び</t>
    </r>
    <r>
      <rPr>
        <sz val="11"/>
        <rFont val="ＭＳ Ｐゴシック"/>
        <family val="2"/>
        <charset val="128"/>
        <scheme val="minor"/>
      </rPr>
      <t>任意事業費</t>
    </r>
    <rPh sb="0" eb="3">
      <t>ホウカツテキ</t>
    </rPh>
    <rPh sb="3" eb="5">
      <t>シエン</t>
    </rPh>
    <rPh sb="5" eb="7">
      <t>ジギョウ</t>
    </rPh>
    <rPh sb="24" eb="26">
      <t>ニンイ</t>
    </rPh>
    <rPh sb="26" eb="29">
      <t>ジギョウヒ</t>
    </rPh>
    <phoneticPr fontId="3"/>
  </si>
  <si>
    <t>６．調整交付金見込額</t>
    <rPh sb="2" eb="4">
      <t>チョウセイ</t>
    </rPh>
    <rPh sb="4" eb="7">
      <t>コウフキン</t>
    </rPh>
    <rPh sb="7" eb="9">
      <t>ミコミ</t>
    </rPh>
    <rPh sb="9" eb="10">
      <t>ガク</t>
    </rPh>
    <phoneticPr fontId="3"/>
  </si>
  <si>
    <t>認知症サポーター活動促進・地域づくり推進事業</t>
    <phoneticPr fontId="3"/>
  </si>
  <si>
    <t>保険者機能強化推進交付金等の交付見込額</t>
  </si>
  <si>
    <t>単位：人</t>
    <phoneticPr fontId="8"/>
  </si>
  <si>
    <t>第10段階</t>
  </si>
  <si>
    <t>第11段階</t>
  </si>
  <si>
    <t>第12段階</t>
  </si>
  <si>
    <t>第8段階と第9段階を区分</t>
    <phoneticPr fontId="8"/>
  </si>
  <si>
    <t>第10段階と第11段階を区分</t>
    <phoneticPr fontId="3"/>
  </si>
  <si>
    <t>総給付費</t>
    <phoneticPr fontId="3"/>
  </si>
  <si>
    <t>総給付費（財政影響額調整後）</t>
    <rPh sb="5" eb="10">
      <t>ザイセイエイキョウガク</t>
    </rPh>
    <rPh sb="10" eb="13">
      <t>チョウセイゴ</t>
    </rPh>
    <phoneticPr fontId="8"/>
  </si>
  <si>
    <t>制度改正に伴う財政影響額</t>
    <rPh sb="0" eb="4">
      <t>セイドカイセイ</t>
    </rPh>
    <rPh sb="5" eb="6">
      <t>トモナ</t>
    </rPh>
    <phoneticPr fontId="3"/>
  </si>
  <si>
    <t>複合型サービス（新設）</t>
    <phoneticPr fontId="8"/>
  </si>
  <si>
    <t>利用者負担の見直し等に伴う財政影響補正係数</t>
    <rPh sb="0" eb="3">
      <t>リヨウシャ</t>
    </rPh>
    <rPh sb="3" eb="5">
      <t>フタン</t>
    </rPh>
    <rPh sb="6" eb="8">
      <t>ミナオ</t>
    </rPh>
    <rPh sb="9" eb="10">
      <t>トウ</t>
    </rPh>
    <rPh sb="11" eb="12">
      <t>トモナ</t>
    </rPh>
    <rPh sb="13" eb="15">
      <t>ザイセイ</t>
    </rPh>
    <rPh sb="15" eb="17">
      <t>エイキョウ</t>
    </rPh>
    <rPh sb="17" eb="19">
      <t>ホセイ</t>
    </rPh>
    <rPh sb="19" eb="21">
      <t>ケイスウ</t>
    </rPh>
    <phoneticPr fontId="1"/>
  </si>
  <si>
    <t>特定入所者介護サービス費等に係る制度改正に伴う財政影響補正係数</t>
  </si>
  <si>
    <t>第13段階</t>
    <phoneticPr fontId="3"/>
  </si>
  <si>
    <t>第12段階</t>
    <phoneticPr fontId="3"/>
  </si>
  <si>
    <t>第10期介護保険事業（支援）計画策定に向けたワークシート
【総括表】</t>
    <rPh sb="30" eb="33">
      <t>ソウカツヒョウ</t>
    </rPh>
    <phoneticPr fontId="3"/>
  </si>
  <si>
    <t>第10期</t>
  </si>
  <si>
    <t>第10期</t>
    <rPh sb="0" eb="1">
      <t>ダイ</t>
    </rPh>
    <phoneticPr fontId="8"/>
  </si>
  <si>
    <t>第10期</t>
    <rPh sb="0" eb="1">
      <t>ダイ</t>
    </rPh>
    <phoneticPr fontId="3"/>
  </si>
  <si>
    <t>第9期</t>
    <rPh sb="0" eb="1">
      <t>ダイ</t>
    </rPh>
    <phoneticPr fontId="3"/>
  </si>
  <si>
    <t>保険料基準額の伸び率（％） （※当該保険料基準額/第9期保険料*100）</t>
    <rPh sb="16" eb="18">
      <t>トウガイ</t>
    </rPh>
    <rPh sb="18" eb="21">
      <t>ホケンリョウ</t>
    </rPh>
    <rPh sb="21" eb="24">
      <t>キジュンガク</t>
    </rPh>
    <rPh sb="25" eb="26">
      <t>ダイ</t>
    </rPh>
    <phoneticPr fontId="3"/>
  </si>
  <si>
    <t>１．９期保険料基準額</t>
    <rPh sb="4" eb="7">
      <t>ホケンリョウ</t>
    </rPh>
    <rPh sb="7" eb="10">
      <t>キジュンガク</t>
    </rPh>
    <phoneticPr fontId="3"/>
  </si>
  <si>
    <t>第９期保険料の基準額（月額）</t>
    <rPh sb="0" eb="1">
      <t>ダイ</t>
    </rPh>
    <rPh sb="3" eb="6">
      <t>ホケンリョウ</t>
    </rPh>
    <rPh sb="7" eb="9">
      <t>キジュン</t>
    </rPh>
    <rPh sb="9" eb="10">
      <t>ガク</t>
    </rPh>
    <rPh sb="11" eb="13">
      <t>ゲツガク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</si>
  <si>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rPh sb="15" eb="16">
      <t>タイ</t>
    </rPh>
    <rPh sb="18" eb="21">
      <t>ホケンリョウ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</si>
  <si>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phoneticPr fontId="8"/>
  </si>
  <si>
    <t>令和11年度</t>
    <rPh sb="0" eb="2">
      <t>レイワ</t>
    </rPh>
    <phoneticPr fontId="8"/>
  </si>
  <si>
    <t>令和11年度
※５</t>
    <rPh sb="0" eb="2">
      <t>レイワ</t>
    </rPh>
    <phoneticPr fontId="8"/>
  </si>
  <si>
    <t>令和10年度</t>
    <rPh sb="0" eb="2">
      <t>レイワ</t>
    </rPh>
    <phoneticPr fontId="8"/>
  </si>
  <si>
    <t>令和10年度
※５</t>
    <rPh sb="0" eb="2">
      <t>レイワ</t>
    </rPh>
    <phoneticPr fontId="8"/>
  </si>
  <si>
    <t>令和9年度</t>
    <rPh sb="0" eb="2">
      <t>レイワ</t>
    </rPh>
    <phoneticPr fontId="8"/>
  </si>
  <si>
    <t>令和9年度
※５</t>
    <rPh sb="0" eb="2">
      <t>レイワ</t>
    </rPh>
    <phoneticPr fontId="8"/>
  </si>
  <si>
    <t>令和8年度</t>
    <rPh sb="0" eb="2">
      <t>レイワ</t>
    </rPh>
    <phoneticPr fontId="8"/>
  </si>
  <si>
    <t>※１：第10期平均値/令和8年度の値*100</t>
  </si>
  <si>
    <t>※１：第10期平均値/令和8年度の値*100</t>
    <rPh sb="3" eb="4">
      <t>ダイ</t>
    </rPh>
    <rPh sb="7" eb="10">
      <t>ヘイキンチ</t>
    </rPh>
    <rPh sb="11" eb="13">
      <t>レイワ</t>
    </rPh>
    <rPh sb="17" eb="18">
      <t>アタイ</t>
    </rPh>
    <phoneticPr fontId="8"/>
  </si>
  <si>
    <t>令和7年度</t>
    <rPh sb="0" eb="1">
      <t>レイ</t>
    </rPh>
    <rPh sb="1" eb="2">
      <t>カズ</t>
    </rPh>
    <phoneticPr fontId="8"/>
  </si>
  <si>
    <t>※４：介護離職ゼロサービスの令和7年度平均利用者数（令和7年3月サービス～令和8年2月サービス/12ヶ月）に対する令和7年度の最大月の利用者数（令和7年3月サービス～令和8年2月サービスのうち最大月）の比率</t>
    <rPh sb="14" eb="16">
      <t>レイワ</t>
    </rPh>
    <rPh sb="19" eb="21">
      <t>ヘイキン</t>
    </rPh>
    <rPh sb="21" eb="24">
      <t>リヨウシャ</t>
    </rPh>
    <rPh sb="24" eb="25">
      <t>スウ</t>
    </rPh>
    <rPh sb="26" eb="28">
      <t>レイワ</t>
    </rPh>
    <rPh sb="37" eb="39">
      <t>レイワ</t>
    </rPh>
    <rPh sb="57" eb="59">
      <t>レイワ</t>
    </rPh>
    <rPh sb="67" eb="70">
      <t>リヨウシャ</t>
    </rPh>
    <rPh sb="70" eb="71">
      <t>スウ</t>
    </rPh>
    <rPh sb="72" eb="74">
      <t>レイワ</t>
    </rPh>
    <rPh sb="83" eb="85">
      <t>レイワ</t>
    </rPh>
    <phoneticPr fontId="3"/>
  </si>
  <si>
    <t>令和6年度</t>
    <rPh sb="0" eb="2">
      <t>レイワ</t>
    </rPh>
    <phoneticPr fontId="8"/>
  </si>
  <si>
    <t>※左記グラフでは、在宅サービスおよび施設サービスの第1号被保険者1人あたりの給付月額のバランスについて、令和6年度～令和11年度の時系列推移を確認できます。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5" eb="26">
      <t>ダイ</t>
    </rPh>
    <rPh sb="27" eb="28">
      <t>ゴウ</t>
    </rPh>
    <rPh sb="28" eb="32">
      <t>ヒホケンジャ</t>
    </rPh>
    <rPh sb="33" eb="34">
      <t>ヒト</t>
    </rPh>
    <rPh sb="38" eb="42">
      <t>キュウフゲツガク</t>
    </rPh>
    <rPh sb="52" eb="54">
      <t>レイワ</t>
    </rPh>
    <rPh sb="58" eb="60">
      <t>レイワ</t>
    </rPh>
    <rPh sb="65" eb="70">
      <t>ジケイレツスイイ</t>
    </rPh>
    <rPh sb="71" eb="73">
      <t>カクニン</t>
    </rPh>
    <phoneticPr fontId="8"/>
  </si>
  <si>
    <t>※左記グラフでは、在宅サービスおよび施設・居住系サービス受給率のバランスについて、令和6年度～令和11年度の時系列推移を確認できます。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1" eb="23">
      <t>キョジュウ</t>
    </rPh>
    <rPh sb="23" eb="24">
      <t>ケイ</t>
    </rPh>
    <rPh sb="28" eb="30">
      <t>ジュキュウ</t>
    </rPh>
    <rPh sb="30" eb="31">
      <t>リツ</t>
    </rPh>
    <rPh sb="41" eb="43">
      <t>レイワ</t>
    </rPh>
    <rPh sb="47" eb="49">
      <t>レイワ</t>
    </rPh>
    <rPh sb="54" eb="59">
      <t>ジケイレツスイイ</t>
    </rPh>
    <rPh sb="60" eb="62">
      <t>カクニン</t>
    </rPh>
    <phoneticPr fontId="8"/>
  </si>
  <si>
    <t>第26段階</t>
    <rPh sb="0" eb="1">
      <t>ダイ</t>
    </rPh>
    <rPh sb="3" eb="5">
      <t>ダンカイ</t>
    </rPh>
    <phoneticPr fontId="3"/>
  </si>
  <si>
    <t>第27段階</t>
    <rPh sb="0" eb="1">
      <t>ダイ</t>
    </rPh>
    <rPh sb="3" eb="5">
      <t>ダンカイ</t>
    </rPh>
    <phoneticPr fontId="3"/>
  </si>
  <si>
    <t>第28段階</t>
    <rPh sb="0" eb="1">
      <t>ダイ</t>
    </rPh>
    <rPh sb="3" eb="5">
      <t>ダンカイ</t>
    </rPh>
    <phoneticPr fontId="3"/>
  </si>
  <si>
    <t>第29段階</t>
    <rPh sb="0" eb="1">
      <t>ダイ</t>
    </rPh>
    <rPh sb="3" eb="5">
      <t>ダンカイ</t>
    </rPh>
    <phoneticPr fontId="3"/>
  </si>
  <si>
    <t>第30段階</t>
    <rPh sb="0" eb="1">
      <t>ダイ</t>
    </rPh>
    <rPh sb="3" eb="5">
      <t>ダンカイ</t>
    </rPh>
    <phoneticPr fontId="3"/>
  </si>
  <si>
    <t>第24段階と第25段階を区分</t>
    <phoneticPr fontId="3"/>
  </si>
  <si>
    <t>第25段階と第26段階を区分</t>
    <phoneticPr fontId="3"/>
  </si>
  <si>
    <t>第26段階と第27段階を区分</t>
    <phoneticPr fontId="3"/>
  </si>
  <si>
    <t>第27段階と第28段階を区分</t>
    <phoneticPr fontId="3"/>
  </si>
  <si>
    <t>第28段階と第29段階を区分</t>
    <phoneticPr fontId="3"/>
  </si>
  <si>
    <t>第29段階と第30段階を区分</t>
    <phoneticPr fontId="3"/>
  </si>
  <si>
    <t>高額介護予防サービス相当事業等</t>
    <rPh sb="0" eb="2">
      <t>コウガク</t>
    </rPh>
    <rPh sb="2" eb="4">
      <t>カイゴ</t>
    </rPh>
    <rPh sb="4" eb="6">
      <t>ヨボウ</t>
    </rPh>
    <rPh sb="10" eb="12">
      <t>ソウトウ</t>
    </rPh>
    <rPh sb="12" eb="14">
      <t>ジギョウ</t>
    </rPh>
    <rPh sb="14" eb="15">
      <t>トウ</t>
    </rPh>
    <phoneticPr fontId="3"/>
  </si>
  <si>
    <t>審査支払手数料</t>
    <phoneticPr fontId="3"/>
  </si>
  <si>
    <t>令和12年度</t>
    <phoneticPr fontId="8"/>
  </si>
  <si>
    <t>令和12年度</t>
    <rPh sb="5" eb="6">
      <t>ド</t>
    </rPh>
    <phoneticPr fontId="3"/>
  </si>
  <si>
    <t>令和12年度</t>
    <phoneticPr fontId="3"/>
  </si>
  <si>
    <t>令和17年度</t>
    <phoneticPr fontId="8"/>
  </si>
  <si>
    <t>令和17年度</t>
    <rPh sb="5" eb="6">
      <t>ド</t>
    </rPh>
    <phoneticPr fontId="3"/>
  </si>
  <si>
    <t>令和17年度</t>
    <phoneticPr fontId="3"/>
  </si>
  <si>
    <t>令和22年度</t>
    <phoneticPr fontId="8"/>
  </si>
  <si>
    <t>令和22年度</t>
    <rPh sb="5" eb="6">
      <t>ド</t>
    </rPh>
    <phoneticPr fontId="3"/>
  </si>
  <si>
    <t>令和22年度</t>
    <phoneticPr fontId="3"/>
  </si>
  <si>
    <t>令和27年度</t>
    <phoneticPr fontId="8"/>
  </si>
  <si>
    <t>令和27年度</t>
    <rPh sb="5" eb="6">
      <t>ド</t>
    </rPh>
    <phoneticPr fontId="3"/>
  </si>
  <si>
    <t>令和27年度</t>
    <phoneticPr fontId="3"/>
  </si>
  <si>
    <t>令和32年度</t>
    <phoneticPr fontId="8"/>
  </si>
  <si>
    <t>令和32年度</t>
    <rPh sb="5" eb="6">
      <t>ド</t>
    </rPh>
    <phoneticPr fontId="3"/>
  </si>
  <si>
    <t>令和32年度</t>
    <phoneticPr fontId="3"/>
  </si>
  <si>
    <t>※３：介護離職ゼロサービスは、介護老人福祉施設（地域密着含む。）、介護老人保健施設、介護医療院、小規模多機能型居宅介護（介護予防含む。）、看護小規模多機能型居宅介護、複合型サービス（新設）、定期巡回・随時対応型訪問介護看護、認知症対応型共同生活介護（介護予防含む。）及び特定施設入居者生活介護（地域密着、介護予防含む。）。</t>
    <rPh sb="3" eb="5">
      <t>カイゴ</t>
    </rPh>
    <rPh sb="5" eb="7">
      <t>リショク</t>
    </rPh>
    <rPh sb="15" eb="17">
      <t>カイゴ</t>
    </rPh>
    <rPh sb="17" eb="19">
      <t>ロウジン</t>
    </rPh>
    <rPh sb="19" eb="21">
      <t>フクシ</t>
    </rPh>
    <rPh sb="21" eb="23">
      <t>シセツ</t>
    </rPh>
    <rPh sb="24" eb="26">
      <t>チイキ</t>
    </rPh>
    <rPh sb="26" eb="28">
      <t>ミッチャク</t>
    </rPh>
    <rPh sb="28" eb="29">
      <t>フク</t>
    </rPh>
    <rPh sb="33" eb="35">
      <t>カイゴ</t>
    </rPh>
    <rPh sb="35" eb="37">
      <t>ロウジン</t>
    </rPh>
    <rPh sb="37" eb="39">
      <t>ホケン</t>
    </rPh>
    <rPh sb="39" eb="41">
      <t>シセツ</t>
    </rPh>
    <rPh sb="42" eb="44">
      <t>カイゴ</t>
    </rPh>
    <rPh sb="44" eb="46">
      <t>イリョウ</t>
    </rPh>
    <rPh sb="46" eb="47">
      <t>イン</t>
    </rPh>
    <rPh sb="125" eb="127">
      <t>カイゴ</t>
    </rPh>
    <rPh sb="127" eb="129">
      <t>ヨボウ</t>
    </rPh>
    <rPh sb="129" eb="130">
      <t>フク</t>
    </rPh>
    <rPh sb="133" eb="134">
      <t>オヨ</t>
    </rPh>
    <rPh sb="147" eb="149">
      <t>チイキ</t>
    </rPh>
    <rPh sb="149" eb="151">
      <t>ミッチャク</t>
    </rPh>
    <rPh sb="152" eb="154">
      <t>カイゴ</t>
    </rPh>
    <rPh sb="154" eb="156">
      <t>ヨボウ</t>
    </rPh>
    <rPh sb="156" eb="157">
      <t>フク</t>
    </rPh>
    <phoneticPr fontId="3"/>
  </si>
  <si>
    <t>制度改正に伴う財政影響額　※減額</t>
    <phoneticPr fontId="3"/>
  </si>
  <si>
    <t>介護予防等の取組による減少分　※減額</t>
    <phoneticPr fontId="3"/>
  </si>
  <si>
    <t>適正化事業による保険料減少分（影響額）　※減額</t>
    <phoneticPr fontId="3"/>
  </si>
  <si>
    <t>不正・不当利得返還金　※減額</t>
    <phoneticPr fontId="3"/>
  </si>
  <si>
    <t>※２：令和12（17,22,27,32）年度の値/令和8年度の値*100</t>
  </si>
  <si>
    <t>※２：令和12（17,22,27,32）年度の値/令和8年度の値*100</t>
    <rPh sb="20" eb="22">
      <t>ネンド</t>
    </rPh>
    <rPh sb="23" eb="24">
      <t>アタイ</t>
    </rPh>
    <rPh sb="25" eb="27">
      <t>レイワ</t>
    </rPh>
    <rPh sb="31" eb="32">
      <t>アタイ</t>
    </rPh>
    <phoneticPr fontId="8"/>
  </si>
  <si>
    <t>標準給付費見込額</t>
    <rPh sb="0" eb="2">
      <t>ヒョウジュン</t>
    </rPh>
    <rPh sb="2" eb="5">
      <t>キュウフヒ</t>
    </rPh>
    <rPh sb="5" eb="8">
      <t>ミコミガク</t>
    </rPh>
    <phoneticPr fontId="8"/>
  </si>
  <si>
    <t>審査支払手数料差引額</t>
    <rPh sb="7" eb="9">
      <t>サシヒキ</t>
    </rPh>
    <rPh sb="9" eb="10">
      <t>ガク</t>
    </rPh>
    <phoneticPr fontId="3"/>
  </si>
  <si>
    <t>第1号被保険者負担分相当額</t>
    <rPh sb="0" eb="1">
      <t>ダイ</t>
    </rPh>
    <rPh sb="2" eb="3">
      <t>ゴウ</t>
    </rPh>
    <rPh sb="3" eb="7">
      <t>ヒホケンシャ</t>
    </rPh>
    <rPh sb="7" eb="10">
      <t>フタンブン</t>
    </rPh>
    <rPh sb="10" eb="12">
      <t>ソウトウ</t>
    </rPh>
    <rPh sb="12" eb="13">
      <t>ガク</t>
    </rPh>
    <phoneticPr fontId="8"/>
  </si>
  <si>
    <t>調整交付金相当額</t>
    <rPh sb="0" eb="2">
      <t>チョウセイ</t>
    </rPh>
    <rPh sb="2" eb="5">
      <t>コウフキン</t>
    </rPh>
    <rPh sb="5" eb="7">
      <t>ソウトウ</t>
    </rPh>
    <rPh sb="7" eb="8">
      <t>ガク</t>
    </rPh>
    <phoneticPr fontId="8"/>
  </si>
  <si>
    <t>調整交付金見込額</t>
    <phoneticPr fontId="3"/>
  </si>
  <si>
    <t>調整交付金見込交付割合</t>
    <phoneticPr fontId="3"/>
  </si>
  <si>
    <t>後期高齢者加入割合補正係数</t>
    <phoneticPr fontId="3"/>
  </si>
  <si>
    <t>所得段階別加入割合補正係数</t>
    <phoneticPr fontId="3"/>
  </si>
  <si>
    <t>保険料収納必要額</t>
    <rPh sb="0" eb="3">
      <t>ホケンリョウ</t>
    </rPh>
    <rPh sb="3" eb="5">
      <t>シュウノウ</t>
    </rPh>
    <rPh sb="5" eb="8">
      <t>ヒツヨウガク</t>
    </rPh>
    <phoneticPr fontId="8"/>
  </si>
  <si>
    <t>所得段階別加入割合補正後被保険者数</t>
    <rPh sb="2" eb="5">
      <t>ダンカイベツ</t>
    </rPh>
    <rPh sb="5" eb="7">
      <t>カニュウ</t>
    </rPh>
    <rPh sb="7" eb="9">
      <t>ワリアイ</t>
    </rPh>
    <phoneticPr fontId="8"/>
  </si>
  <si>
    <t>弾力化をした場合の所得段階別加入割合補正後被保険者数</t>
    <rPh sb="0" eb="3">
      <t>ダンリョクカ</t>
    </rPh>
    <rPh sb="6" eb="8">
      <t>バアイ</t>
    </rPh>
    <rPh sb="11" eb="14">
      <t>ダンカイベツ</t>
    </rPh>
    <rPh sb="14" eb="16">
      <t>カニュウ</t>
    </rPh>
    <rPh sb="16" eb="18">
      <t>ワリアイ</t>
    </rPh>
    <phoneticPr fontId="8"/>
  </si>
  <si>
    <t>後期高齢者加入割合補正係数の算出に係る係数（全国値）　（仮置値）</t>
    <phoneticPr fontId="3"/>
  </si>
  <si>
    <t>所得段階別加入割合補正係数の算出に係る係数（全国値）（％）　（仮置値）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rPh sb="9" eb="11">
      <t>ホセイ</t>
    </rPh>
    <rPh sb="11" eb="13">
      <t>ケイスウ</t>
    </rPh>
    <rPh sb="14" eb="16">
      <t>サンシュツ</t>
    </rPh>
    <rPh sb="17" eb="18">
      <t>カカ</t>
    </rPh>
    <rPh sb="19" eb="21">
      <t>ケイスウ</t>
    </rPh>
    <rPh sb="22" eb="24">
      <t>ゼンコク</t>
    </rPh>
    <rPh sb="24" eb="25">
      <t>チ</t>
    </rPh>
    <phoneticPr fontId="3"/>
  </si>
  <si>
    <t>第9期</t>
    <rPh sb="0" eb="1">
      <t>ダイ</t>
    </rPh>
    <rPh sb="2" eb="3">
      <t>キ</t>
    </rPh>
    <phoneticPr fontId="8"/>
  </si>
  <si>
    <t>第10期</t>
    <rPh sb="0" eb="1">
      <t>ダイ</t>
    </rPh>
    <rPh sb="3" eb="4">
      <t>キ</t>
    </rPh>
    <phoneticPr fontId="8"/>
  </si>
  <si>
    <t>第11期</t>
    <rPh sb="0" eb="1">
      <t>ダイ</t>
    </rPh>
    <rPh sb="3" eb="4">
      <t>キ</t>
    </rPh>
    <phoneticPr fontId="8"/>
  </si>
  <si>
    <t>第12期</t>
    <rPh sb="0" eb="1">
      <t>ダイ</t>
    </rPh>
    <rPh sb="3" eb="4">
      <t>キ</t>
    </rPh>
    <phoneticPr fontId="8"/>
  </si>
  <si>
    <t>第14期</t>
    <rPh sb="0" eb="1">
      <t>ダイ</t>
    </rPh>
    <rPh sb="3" eb="4">
      <t>キ</t>
    </rPh>
    <phoneticPr fontId="8"/>
  </si>
  <si>
    <t>第16期</t>
    <rPh sb="0" eb="1">
      <t>ダイ</t>
    </rPh>
    <rPh sb="3" eb="4">
      <t>キ</t>
    </rPh>
    <phoneticPr fontId="8"/>
  </si>
  <si>
    <t>第17期</t>
    <phoneticPr fontId="8"/>
  </si>
  <si>
    <t>第11期</t>
    <phoneticPr fontId="8"/>
  </si>
  <si>
    <t>第12期</t>
    <phoneticPr fontId="8"/>
  </si>
  <si>
    <t>第14期</t>
    <phoneticPr fontId="8"/>
  </si>
  <si>
    <t>第16期</t>
    <phoneticPr fontId="8"/>
  </si>
  <si>
    <t>第10期</t>
    <phoneticPr fontId="8"/>
  </si>
  <si>
    <t>令和9年度</t>
    <phoneticPr fontId="8"/>
  </si>
  <si>
    <t>令和10年度</t>
    <phoneticPr fontId="8"/>
  </si>
  <si>
    <t>令和11年度</t>
    <phoneticPr fontId="8"/>
  </si>
  <si>
    <t>令和9～11年度</t>
    <phoneticPr fontId="3"/>
  </si>
  <si>
    <t>2026/09/15</t>
  </si>
  <si>
    <t>小野町</t>
  </si>
  <si>
    <t>07522</t>
  </si>
  <si>
    <t>将来推計1</t>
  </si>
  <si>
    <t>性別／年齢５歳階級別／要介護度別に推計する　※初期値</t>
  </si>
  <si>
    <t>サービス別／要介護度別に推計する　※初期値</t>
  </si>
  <si>
    <t>当該市町村における令和６年度→令和７年度の伸び</t>
  </si>
  <si>
    <t>０（ゼロ）</t>
  </si>
  <si>
    <t>令和8年度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</si>
</sst>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#,##0_ "/>
    <numFmt numFmtId="177" formatCode="#,##0.0_ "/>
    <numFmt numFmtId="178" formatCode="0.000_);[Red]\(0.000\)"/>
    <numFmt numFmtId="179" formatCode="&quot;¥&quot;#,##0_);[Red]\(&quot;¥&quot;#,##0\)"/>
    <numFmt numFmtId="180" formatCode="0.0%"/>
    <numFmt numFmtId="181" formatCode="#,###&quot;円&quot;"/>
    <numFmt numFmtId="182" formatCode="#,##0_);[Red]\(#,##0\)"/>
    <numFmt numFmtId="183" formatCode="0.0000_);[Red]\(0.0000\)"/>
    <numFmt numFmtId="184" formatCode="#,##0.0000_ "/>
    <numFmt numFmtId="185" formatCode="0.00_ "/>
    <numFmt numFmtId="186" formatCode="0.000_ "/>
    <numFmt numFmtId="187" formatCode="#,##0.000000000_ "/>
    <numFmt numFmtId="188" formatCode="0.0000%"/>
    <numFmt numFmtId="189" formatCode="0.0_ "/>
    <numFmt numFmtId="190" formatCode="&quot;(&quot;#,##0_ &quot;)&quot;"/>
    <numFmt numFmtId="191" formatCode="#,##0.00_ "/>
    <numFmt numFmtId="192" formatCode="#,##0_ ;[Red]\-#,##0\ "/>
    <numFmt numFmtId="193" formatCode="0.0000_ "/>
  </numFmts>
  <fonts count="47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17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ＤＦ特太ゴシック体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Meiryo UI"/>
      <family val="3"/>
      <charset val="128"/>
    </font>
    <font>
      <sz val="12"/>
      <name val="ＭＳ Ｐゴシック"/>
      <family val="3"/>
      <charset val="128"/>
      <scheme val="minor"/>
    </font>
    <font>
      <sz val="14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ajor"/>
    </font>
    <font>
      <b/>
      <sz val="12"/>
      <name val="ＭＳ Ｐゴシック"/>
      <family val="3"/>
      <charset val="128"/>
      <scheme val="major"/>
    </font>
    <font>
      <b/>
      <sz val="11"/>
      <name val="ＭＳ Ｐゴシック"/>
      <family val="3"/>
      <charset val="128"/>
      <scheme val="major"/>
    </font>
    <font>
      <b/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AEEF3"/>
        <bgColor indexed="64"/>
      </patternFill>
    </fill>
  </fills>
  <borders count="2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/>
      <right style="medium">
        <color indexed="64"/>
      </right>
      <top style="dotted">
        <color indexed="64"/>
      </top>
      <bottom style="thin">
        <color auto="1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 diagonalUp="1"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 diagonalUp="1"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/>
      <top style="thin">
        <color indexed="64"/>
      </top>
      <bottom style="thin">
        <color theme="1"/>
      </bottom>
      <diagonal/>
    </border>
    <border diagonalUp="1">
      <left style="medium">
        <color theme="1"/>
      </left>
      <right/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/>
    </border>
    <border diagonalUp="1"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hair">
        <color theme="1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hair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 diagonalUp="1"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theme="1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theme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theme="1"/>
      </bottom>
      <diagonal/>
    </border>
  </borders>
  <cellStyleXfs count="89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0" fontId="6" fillId="23" borderId="57" applyNumberFormat="0" applyFont="0" applyAlignment="0" applyProtection="0">
      <alignment vertical="center"/>
    </xf>
    <xf numFmtId="0" fontId="15" fillId="0" borderId="5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4" borderId="59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8" fillId="0" borderId="60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3" applyNumberFormat="0" applyFill="0" applyAlignment="0" applyProtection="0">
      <alignment vertical="center"/>
    </xf>
    <xf numFmtId="0" fontId="22" fillId="24" borderId="6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3" fillId="8" borderId="59" applyNumberFormat="0" applyAlignment="0" applyProtection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10" fillId="0" borderId="0">
      <alignment vertical="center"/>
    </xf>
    <xf numFmtId="0" fontId="24" fillId="0" borderId="0">
      <alignment vertical="center"/>
    </xf>
    <xf numFmtId="0" fontId="6" fillId="0" borderId="0"/>
    <xf numFmtId="0" fontId="25" fillId="5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3" fillId="21" borderId="56" applyNumberFormat="0" applyAlignment="0" applyProtection="0">
      <alignment vertical="center"/>
    </xf>
    <xf numFmtId="0" fontId="6" fillId="23" borderId="80" applyNumberFormat="0" applyFont="0" applyAlignment="0" applyProtection="0">
      <alignment vertical="center"/>
    </xf>
    <xf numFmtId="0" fontId="17" fillId="24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23" fillId="8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7" applyNumberFormat="0" applyAlignment="0" applyProtection="0">
      <alignment vertical="center"/>
    </xf>
    <xf numFmtId="0" fontId="26" fillId="0" borderId="0"/>
    <xf numFmtId="0" fontId="13" fillId="21" borderId="86" applyNumberFormat="0" applyAlignment="0" applyProtection="0">
      <alignment vertical="center"/>
    </xf>
    <xf numFmtId="0" fontId="13" fillId="21" borderId="86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52">
    <xf numFmtId="0" fontId="0" fillId="0" borderId="0" xfId="0">
      <alignment vertical="center"/>
    </xf>
    <xf numFmtId="0" fontId="6" fillId="2" borderId="0" xfId="2" applyFill="1" applyAlignment="1">
      <alignment vertical="center"/>
    </xf>
    <xf numFmtId="0" fontId="7" fillId="2" borderId="0" xfId="2" applyFont="1" applyFill="1" applyAlignment="1">
      <alignment horizontal="right" vertical="center"/>
    </xf>
    <xf numFmtId="0" fontId="6" fillId="2" borderId="6" xfId="2" applyFill="1" applyBorder="1" applyAlignment="1">
      <alignment horizontal="left" vertical="top"/>
    </xf>
    <xf numFmtId="0" fontId="6" fillId="2" borderId="7" xfId="2" applyFill="1" applyBorder="1" applyAlignment="1">
      <alignment vertical="center"/>
    </xf>
    <xf numFmtId="0" fontId="6" fillId="2" borderId="12" xfId="2" applyFill="1" applyBorder="1" applyAlignment="1">
      <alignment vertical="center"/>
    </xf>
    <xf numFmtId="0" fontId="6" fillId="2" borderId="13" xfId="2" applyFill="1" applyBorder="1" applyAlignment="1">
      <alignment horizontal="left" vertical="center"/>
    </xf>
    <xf numFmtId="0" fontId="6" fillId="2" borderId="23" xfId="2" applyFill="1" applyBorder="1" applyAlignment="1">
      <alignment horizontal="left" vertical="top"/>
    </xf>
    <xf numFmtId="0" fontId="6" fillId="2" borderId="24" xfId="2" applyFill="1" applyBorder="1" applyAlignment="1">
      <alignment vertical="center"/>
    </xf>
    <xf numFmtId="0" fontId="6" fillId="2" borderId="13" xfId="2" applyFill="1" applyBorder="1" applyAlignment="1">
      <alignment horizontal="left" vertical="top"/>
    </xf>
    <xf numFmtId="0" fontId="6" fillId="2" borderId="28" xfId="2" applyFill="1" applyBorder="1" applyAlignment="1">
      <alignment vertical="center"/>
    </xf>
    <xf numFmtId="0" fontId="6" fillId="2" borderId="29" xfId="2" applyFill="1" applyBorder="1" applyAlignment="1">
      <alignment horizontal="left" vertical="top"/>
    </xf>
    <xf numFmtId="0" fontId="6" fillId="2" borderId="18" xfId="2" applyFill="1" applyBorder="1" applyAlignment="1">
      <alignment vertical="center"/>
    </xf>
    <xf numFmtId="0" fontId="6" fillId="2" borderId="5" xfId="2" applyFill="1" applyBorder="1" applyAlignment="1">
      <alignment vertical="center"/>
    </xf>
    <xf numFmtId="0" fontId="6" fillId="2" borderId="51" xfId="2" applyFill="1" applyBorder="1" applyAlignment="1">
      <alignment horizontal="left" vertical="top"/>
    </xf>
    <xf numFmtId="0" fontId="6" fillId="2" borderId="0" xfId="3" applyFill="1" applyAlignment="1">
      <alignment horizontal="left" vertical="top" wrapText="1"/>
    </xf>
    <xf numFmtId="0" fontId="6" fillId="2" borderId="74" xfId="3" applyFill="1" applyBorder="1">
      <alignment vertical="center"/>
    </xf>
    <xf numFmtId="0" fontId="6" fillId="2" borderId="10" xfId="3" applyFill="1" applyBorder="1">
      <alignment vertical="center"/>
    </xf>
    <xf numFmtId="0" fontId="6" fillId="2" borderId="36" xfId="3" applyFill="1" applyBorder="1">
      <alignment vertical="center"/>
    </xf>
    <xf numFmtId="0" fontId="6" fillId="2" borderId="12" xfId="3" applyFill="1" applyBorder="1">
      <alignment vertical="center"/>
    </xf>
    <xf numFmtId="0" fontId="6" fillId="2" borderId="43" xfId="3" applyFill="1" applyBorder="1">
      <alignment vertical="center"/>
    </xf>
    <xf numFmtId="0" fontId="6" fillId="2" borderId="46" xfId="3" applyFill="1" applyBorder="1">
      <alignment vertical="center"/>
    </xf>
    <xf numFmtId="0" fontId="7" fillId="2" borderId="0" xfId="3" applyFont="1" applyFill="1">
      <alignment vertical="center"/>
    </xf>
    <xf numFmtId="178" fontId="7" fillId="2" borderId="0" xfId="4" applyNumberFormat="1" applyFont="1" applyFill="1" applyAlignment="1">
      <alignment vertical="center"/>
    </xf>
    <xf numFmtId="0" fontId="6" fillId="2" borderId="5" xfId="3" applyFill="1" applyBorder="1">
      <alignment vertical="center"/>
    </xf>
    <xf numFmtId="0" fontId="6" fillId="2" borderId="17" xfId="3" applyFill="1" applyBorder="1">
      <alignment vertical="center"/>
    </xf>
    <xf numFmtId="176" fontId="6" fillId="2" borderId="0" xfId="2" applyNumberFormat="1" applyFill="1" applyAlignment="1">
      <alignment vertical="center"/>
    </xf>
    <xf numFmtId="176" fontId="6" fillId="2" borderId="0" xfId="2" applyNumberFormat="1" applyFill="1" applyAlignment="1" applyProtection="1">
      <alignment vertical="center"/>
      <protection locked="0"/>
    </xf>
    <xf numFmtId="0" fontId="6" fillId="2" borderId="10" xfId="3" applyFill="1" applyBorder="1" applyAlignment="1">
      <alignment horizontal="left" vertical="top"/>
    </xf>
    <xf numFmtId="0" fontId="6" fillId="2" borderId="31" xfId="3" applyFill="1" applyBorder="1">
      <alignment vertical="center"/>
    </xf>
    <xf numFmtId="0" fontId="26" fillId="2" borderId="73" xfId="81" applyFill="1" applyBorder="1" applyAlignment="1">
      <alignment vertical="center"/>
    </xf>
    <xf numFmtId="0" fontId="26" fillId="2" borderId="8" xfId="81" applyFill="1" applyBorder="1" applyAlignment="1">
      <alignment vertical="center"/>
    </xf>
    <xf numFmtId="0" fontId="26" fillId="2" borderId="67" xfId="81" applyFill="1" applyBorder="1" applyAlignment="1">
      <alignment vertical="center"/>
    </xf>
    <xf numFmtId="0" fontId="26" fillId="2" borderId="12" xfId="81" applyFill="1" applyBorder="1" applyAlignment="1">
      <alignment vertical="center"/>
    </xf>
    <xf numFmtId="0" fontId="26" fillId="2" borderId="0" xfId="81" applyFill="1" applyAlignment="1">
      <alignment vertical="center"/>
    </xf>
    <xf numFmtId="0" fontId="26" fillId="2" borderId="71" xfId="81" applyFill="1" applyBorder="1" applyAlignment="1">
      <alignment vertical="center"/>
    </xf>
    <xf numFmtId="0" fontId="26" fillId="2" borderId="65" xfId="81" applyFill="1" applyBorder="1" applyAlignment="1">
      <alignment vertical="center"/>
    </xf>
    <xf numFmtId="0" fontId="6" fillId="2" borderId="73" xfId="3" applyFill="1" applyBorder="1">
      <alignment vertical="center"/>
    </xf>
    <xf numFmtId="176" fontId="6" fillId="27" borderId="25" xfId="2" applyNumberFormat="1" applyFill="1" applyBorder="1" applyAlignment="1">
      <alignment vertical="center"/>
    </xf>
    <xf numFmtId="176" fontId="6" fillId="27" borderId="24" xfId="2" applyNumberFormat="1" applyFill="1" applyBorder="1" applyAlignment="1" applyProtection="1">
      <alignment vertical="center"/>
      <protection locked="0"/>
    </xf>
    <xf numFmtId="176" fontId="6" fillId="27" borderId="26" xfId="2" applyNumberFormat="1" applyFill="1" applyBorder="1" applyAlignment="1" applyProtection="1">
      <alignment vertical="center"/>
      <protection locked="0"/>
    </xf>
    <xf numFmtId="176" fontId="6" fillId="27" borderId="20" xfId="2" applyNumberFormat="1" applyFill="1" applyBorder="1" applyAlignment="1">
      <alignment vertical="center"/>
    </xf>
    <xf numFmtId="176" fontId="6" fillId="27" borderId="21" xfId="2" applyNumberFormat="1" applyFill="1" applyBorder="1" applyAlignment="1" applyProtection="1">
      <alignment vertical="center"/>
      <protection locked="0"/>
    </xf>
    <xf numFmtId="176" fontId="6" fillId="27" borderId="18" xfId="2" applyNumberFormat="1" applyFill="1" applyBorder="1" applyAlignment="1" applyProtection="1">
      <alignment vertical="center"/>
      <protection locked="0"/>
    </xf>
    <xf numFmtId="176" fontId="6" fillId="27" borderId="73" xfId="2" applyNumberFormat="1" applyFill="1" applyBorder="1" applyAlignment="1" applyProtection="1">
      <alignment vertical="center"/>
      <protection locked="0"/>
    </xf>
    <xf numFmtId="176" fontId="6" fillId="27" borderId="67" xfId="2" applyNumberFormat="1" applyFill="1" applyBorder="1" applyAlignment="1" applyProtection="1">
      <alignment vertical="center"/>
      <protection locked="0"/>
    </xf>
    <xf numFmtId="176" fontId="6" fillId="28" borderId="10" xfId="2" applyNumberFormat="1" applyFill="1" applyBorder="1" applyAlignment="1">
      <alignment vertical="center"/>
    </xf>
    <xf numFmtId="176" fontId="6" fillId="28" borderId="24" xfId="2" applyNumberFormat="1" applyFill="1" applyBorder="1" applyAlignment="1">
      <alignment vertical="center"/>
    </xf>
    <xf numFmtId="176" fontId="29" fillId="27" borderId="75" xfId="2" applyNumberFormat="1" applyFont="1" applyFill="1" applyBorder="1" applyAlignment="1" applyProtection="1">
      <alignment vertical="center"/>
      <protection locked="0"/>
    </xf>
    <xf numFmtId="176" fontId="29" fillId="27" borderId="79" xfId="2" applyNumberFormat="1" applyFont="1" applyFill="1" applyBorder="1" applyAlignment="1" applyProtection="1">
      <alignment vertical="center"/>
      <protection locked="0"/>
    </xf>
    <xf numFmtId="176" fontId="29" fillId="27" borderId="15" xfId="2" applyNumberFormat="1" applyFont="1" applyFill="1" applyBorder="1" applyAlignment="1" applyProtection="1">
      <alignment vertical="center"/>
      <protection locked="0"/>
    </xf>
    <xf numFmtId="176" fontId="29" fillId="27" borderId="16" xfId="2" applyNumberFormat="1" applyFont="1" applyFill="1" applyBorder="1" applyAlignment="1" applyProtection="1">
      <alignment vertical="center"/>
      <protection locked="0"/>
    </xf>
    <xf numFmtId="176" fontId="29" fillId="27" borderId="13" xfId="2" applyNumberFormat="1" applyFont="1" applyFill="1" applyBorder="1" applyAlignment="1" applyProtection="1">
      <alignment vertical="center"/>
      <protection locked="0"/>
    </xf>
    <xf numFmtId="176" fontId="28" fillId="27" borderId="85" xfId="0" applyNumberFormat="1" applyFont="1" applyFill="1" applyBorder="1">
      <alignment vertical="center"/>
    </xf>
    <xf numFmtId="176" fontId="6" fillId="28" borderId="52" xfId="2" applyNumberFormat="1" applyFill="1" applyBorder="1" applyAlignment="1">
      <alignment vertical="center"/>
    </xf>
    <xf numFmtId="176" fontId="6" fillId="28" borderId="39" xfId="2" applyNumberFormat="1" applyFill="1" applyBorder="1" applyAlignment="1">
      <alignment vertical="center"/>
    </xf>
    <xf numFmtId="176" fontId="6" fillId="28" borderId="27" xfId="2" applyNumberFormat="1" applyFill="1" applyBorder="1" applyAlignment="1">
      <alignment vertical="center"/>
    </xf>
    <xf numFmtId="176" fontId="6" fillId="28" borderId="8" xfId="2" applyNumberFormat="1" applyFill="1" applyBorder="1" applyAlignment="1">
      <alignment vertical="center"/>
    </xf>
    <xf numFmtId="176" fontId="6" fillId="28" borderId="9" xfId="2" applyNumberFormat="1" applyFill="1" applyBorder="1" applyAlignment="1">
      <alignment vertical="center"/>
    </xf>
    <xf numFmtId="176" fontId="6" fillId="27" borderId="77" xfId="2" applyNumberFormat="1" applyFill="1" applyBorder="1" applyAlignment="1" applyProtection="1">
      <alignment vertical="center"/>
      <protection locked="0"/>
    </xf>
    <xf numFmtId="0" fontId="6" fillId="2" borderId="74" xfId="2" applyFill="1" applyBorder="1" applyAlignment="1">
      <alignment horizontal="left" vertical="center"/>
    </xf>
    <xf numFmtId="176" fontId="29" fillId="27" borderId="77" xfId="2" applyNumberFormat="1" applyFont="1" applyFill="1" applyBorder="1" applyAlignment="1" applyProtection="1">
      <alignment vertical="center"/>
      <protection locked="0"/>
    </xf>
    <xf numFmtId="176" fontId="29" fillId="27" borderId="74" xfId="2" applyNumberFormat="1" applyFont="1" applyFill="1" applyBorder="1" applyAlignment="1" applyProtection="1">
      <alignment vertical="center"/>
      <protection locked="0"/>
    </xf>
    <xf numFmtId="176" fontId="6" fillId="28" borderId="25" xfId="2" applyNumberFormat="1" applyFill="1" applyBorder="1" applyAlignment="1">
      <alignment vertical="center"/>
    </xf>
    <xf numFmtId="176" fontId="6" fillId="28" borderId="26" xfId="2" applyNumberFormat="1" applyFill="1" applyBorder="1" applyAlignment="1">
      <alignment vertical="center"/>
    </xf>
    <xf numFmtId="176" fontId="6" fillId="28" borderId="73" xfId="2" applyNumberFormat="1" applyFill="1" applyBorder="1" applyAlignment="1">
      <alignment vertical="center"/>
    </xf>
    <xf numFmtId="176" fontId="28" fillId="27" borderId="39" xfId="0" applyNumberFormat="1" applyFont="1" applyFill="1" applyBorder="1">
      <alignment vertical="center"/>
    </xf>
    <xf numFmtId="176" fontId="28" fillId="27" borderId="41" xfId="0" applyNumberFormat="1" applyFont="1" applyFill="1" applyBorder="1">
      <alignment vertical="center"/>
    </xf>
    <xf numFmtId="176" fontId="28" fillId="27" borderId="38" xfId="0" applyNumberFormat="1" applyFont="1" applyFill="1" applyBorder="1">
      <alignment vertical="center"/>
    </xf>
    <xf numFmtId="176" fontId="28" fillId="27" borderId="67" xfId="0" applyNumberFormat="1" applyFont="1" applyFill="1" applyBorder="1">
      <alignment vertical="center"/>
    </xf>
    <xf numFmtId="176" fontId="28" fillId="27" borderId="66" xfId="0" applyNumberFormat="1" applyFont="1" applyFill="1" applyBorder="1">
      <alignment vertical="center"/>
    </xf>
    <xf numFmtId="176" fontId="28" fillId="27" borderId="76" xfId="0" applyNumberFormat="1" applyFont="1" applyFill="1" applyBorder="1">
      <alignment vertical="center"/>
    </xf>
    <xf numFmtId="176" fontId="28" fillId="27" borderId="73" xfId="0" applyNumberFormat="1" applyFont="1" applyFill="1" applyBorder="1" applyAlignment="1">
      <alignment vertical="center" shrinkToFit="1"/>
    </xf>
    <xf numFmtId="176" fontId="28" fillId="27" borderId="72" xfId="0" applyNumberFormat="1" applyFont="1" applyFill="1" applyBorder="1" applyAlignment="1">
      <alignment vertical="center" shrinkToFit="1"/>
    </xf>
    <xf numFmtId="176" fontId="28" fillId="27" borderId="69" xfId="0" applyNumberFormat="1" applyFont="1" applyFill="1" applyBorder="1" applyAlignment="1">
      <alignment vertical="center" shrinkToFit="1"/>
    </xf>
    <xf numFmtId="176" fontId="28" fillId="27" borderId="71" xfId="0" applyNumberFormat="1" applyFont="1" applyFill="1" applyBorder="1" applyAlignment="1">
      <alignment vertical="center" shrinkToFit="1"/>
    </xf>
    <xf numFmtId="176" fontId="28" fillId="28" borderId="1" xfId="0" applyNumberFormat="1" applyFont="1" applyFill="1" applyBorder="1" applyAlignment="1">
      <alignment vertical="center" shrinkToFit="1"/>
    </xf>
    <xf numFmtId="176" fontId="28" fillId="28" borderId="2" xfId="0" applyNumberFormat="1" applyFont="1" applyFill="1" applyBorder="1" applyAlignment="1">
      <alignment vertical="center" shrinkToFit="1"/>
    </xf>
    <xf numFmtId="176" fontId="28" fillId="28" borderId="3" xfId="0" applyNumberFormat="1" applyFont="1" applyFill="1" applyBorder="1" applyAlignment="1">
      <alignment vertical="center" shrinkToFit="1"/>
    </xf>
    <xf numFmtId="176" fontId="28" fillId="28" borderId="34" xfId="0" applyNumberFormat="1" applyFont="1" applyFill="1" applyBorder="1" applyAlignment="1">
      <alignment vertical="center" shrinkToFit="1"/>
    </xf>
    <xf numFmtId="176" fontId="28" fillId="27" borderId="48" xfId="0" applyNumberFormat="1" applyFont="1" applyFill="1" applyBorder="1">
      <alignment vertical="center"/>
    </xf>
    <xf numFmtId="176" fontId="28" fillId="27" borderId="50" xfId="0" applyNumberFormat="1" applyFont="1" applyFill="1" applyBorder="1">
      <alignment vertical="center"/>
    </xf>
    <xf numFmtId="0" fontId="26" fillId="2" borderId="5" xfId="81" applyFill="1" applyBorder="1" applyAlignment="1">
      <alignment vertical="center"/>
    </xf>
    <xf numFmtId="0" fontId="26" fillId="2" borderId="6" xfId="81" applyFill="1" applyBorder="1" applyAlignment="1">
      <alignment vertical="center"/>
    </xf>
    <xf numFmtId="180" fontId="6" fillId="28" borderId="10" xfId="86" applyNumberFormat="1" applyFont="1" applyFill="1" applyBorder="1" applyAlignment="1" applyProtection="1">
      <alignment horizontal="right" vertical="center"/>
    </xf>
    <xf numFmtId="180" fontId="6" fillId="28" borderId="22" xfId="86" applyNumberFormat="1" applyFont="1" applyFill="1" applyBorder="1" applyAlignment="1" applyProtection="1">
      <alignment horizontal="right" vertical="center"/>
    </xf>
    <xf numFmtId="180" fontId="6" fillId="28" borderId="11" xfId="86" applyNumberFormat="1" applyFont="1" applyFill="1" applyBorder="1" applyAlignment="1" applyProtection="1">
      <alignment horizontal="right" vertical="center"/>
    </xf>
    <xf numFmtId="180" fontId="6" fillId="28" borderId="50" xfId="86" applyNumberFormat="1" applyFont="1" applyFill="1" applyBorder="1" applyAlignment="1" applyProtection="1">
      <alignment horizontal="right" vertical="center"/>
    </xf>
    <xf numFmtId="180" fontId="6" fillId="28" borderId="70" xfId="86" applyNumberFormat="1" applyFont="1" applyFill="1" applyBorder="1" applyAlignment="1" applyProtection="1">
      <alignment horizontal="right" vertical="center"/>
      <protection locked="0"/>
    </xf>
    <xf numFmtId="180" fontId="6" fillId="28" borderId="70" xfId="86" applyNumberFormat="1" applyFont="1" applyFill="1" applyBorder="1" applyAlignment="1" applyProtection="1">
      <alignment horizontal="right" vertical="center"/>
    </xf>
    <xf numFmtId="180" fontId="6" fillId="28" borderId="68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</xf>
    <xf numFmtId="180" fontId="6" fillId="28" borderId="18" xfId="86" applyNumberFormat="1" applyFont="1" applyFill="1" applyBorder="1" applyAlignment="1" applyProtection="1">
      <alignment horizontal="right" vertical="center"/>
      <protection locked="0"/>
    </xf>
    <xf numFmtId="180" fontId="28" fillId="28" borderId="42" xfId="86" applyNumberFormat="1" applyFont="1" applyFill="1" applyBorder="1" applyAlignment="1">
      <alignment horizontal="right" vertical="center"/>
    </xf>
    <xf numFmtId="180" fontId="28" fillId="28" borderId="68" xfId="86" applyNumberFormat="1" applyFont="1" applyFill="1" applyBorder="1" applyAlignment="1">
      <alignment horizontal="right" vertical="center"/>
    </xf>
    <xf numFmtId="180" fontId="28" fillId="28" borderId="4" xfId="86" applyNumberFormat="1" applyFont="1" applyFill="1" applyBorder="1" applyAlignment="1">
      <alignment horizontal="right" vertical="center" shrinkToFit="1"/>
    </xf>
    <xf numFmtId="180" fontId="28" fillId="28" borderId="11" xfId="86" applyNumberFormat="1" applyFont="1" applyFill="1" applyBorder="1" applyAlignment="1">
      <alignment horizontal="right" vertical="center"/>
    </xf>
    <xf numFmtId="180" fontId="28" fillId="28" borderId="70" xfId="86" applyNumberFormat="1" applyFont="1" applyFill="1" applyBorder="1" applyAlignment="1">
      <alignment horizontal="right" vertical="center" shrinkToFit="1"/>
    </xf>
    <xf numFmtId="180" fontId="28" fillId="28" borderId="78" xfId="86" applyNumberFormat="1" applyFont="1" applyFill="1" applyBorder="1" applyAlignment="1">
      <alignment horizontal="right" vertical="center"/>
    </xf>
    <xf numFmtId="180" fontId="28" fillId="28" borderId="78" xfId="86" applyNumberFormat="1" applyFont="1" applyFill="1" applyBorder="1" applyAlignment="1">
      <alignment horizontal="right" vertical="center" shrinkToFit="1"/>
    </xf>
    <xf numFmtId="176" fontId="28" fillId="28" borderId="41" xfId="0" applyNumberFormat="1" applyFont="1" applyFill="1" applyBorder="1" applyAlignment="1">
      <alignment horizontal="right" vertical="center"/>
    </xf>
    <xf numFmtId="176" fontId="28" fillId="28" borderId="39" xfId="0" applyNumberFormat="1" applyFont="1" applyFill="1" applyBorder="1" applyAlignment="1">
      <alignment horizontal="right" vertical="center"/>
    </xf>
    <xf numFmtId="176" fontId="28" fillId="28" borderId="42" xfId="0" applyNumberFormat="1" applyFont="1" applyFill="1" applyBorder="1" applyAlignment="1">
      <alignment horizontal="right" vertical="center"/>
    </xf>
    <xf numFmtId="176" fontId="28" fillId="28" borderId="67" xfId="0" applyNumberFormat="1" applyFont="1" applyFill="1" applyBorder="1" applyAlignment="1">
      <alignment horizontal="right" vertical="center"/>
    </xf>
    <xf numFmtId="176" fontId="28" fillId="28" borderId="66" xfId="0" applyNumberFormat="1" applyFont="1" applyFill="1" applyBorder="1" applyAlignment="1">
      <alignment horizontal="right" vertical="center"/>
    </xf>
    <xf numFmtId="176" fontId="28" fillId="28" borderId="68" xfId="0" applyNumberFormat="1" applyFont="1" applyFill="1" applyBorder="1" applyAlignment="1">
      <alignment horizontal="right" vertical="center"/>
    </xf>
    <xf numFmtId="180" fontId="28" fillId="28" borderId="33" xfId="0" applyNumberFormat="1" applyFont="1" applyFill="1" applyBorder="1" applyAlignment="1">
      <alignment horizontal="right" vertical="center"/>
    </xf>
    <xf numFmtId="180" fontId="28" fillId="28" borderId="4" xfId="0" applyNumberFormat="1" applyFont="1" applyFill="1" applyBorder="1" applyAlignment="1">
      <alignment horizontal="right" vertical="center"/>
    </xf>
    <xf numFmtId="0" fontId="31" fillId="2" borderId="33" xfId="2" applyFont="1" applyFill="1" applyBorder="1" applyAlignment="1">
      <alignment horizontal="left" vertical="center"/>
    </xf>
    <xf numFmtId="10" fontId="31" fillId="28" borderId="17" xfId="2" applyNumberFormat="1" applyFont="1" applyFill="1" applyBorder="1" applyAlignment="1">
      <alignment vertical="center"/>
    </xf>
    <xf numFmtId="10" fontId="31" fillId="28" borderId="50" xfId="2" applyNumberFormat="1" applyFont="1" applyFill="1" applyBorder="1" applyAlignment="1">
      <alignment vertical="center"/>
    </xf>
    <xf numFmtId="176" fontId="31" fillId="2" borderId="0" xfId="2" applyNumberFormat="1" applyFont="1" applyFill="1" applyAlignment="1">
      <alignment vertical="center"/>
    </xf>
    <xf numFmtId="0" fontId="31" fillId="2" borderId="108" xfId="2" applyFont="1" applyFill="1" applyBorder="1" applyAlignment="1">
      <alignment horizontal="left" vertical="center"/>
    </xf>
    <xf numFmtId="183" fontId="31" fillId="28" borderId="109" xfId="2" applyNumberFormat="1" applyFont="1" applyFill="1" applyBorder="1" applyAlignment="1">
      <alignment vertical="center"/>
    </xf>
    <xf numFmtId="0" fontId="31" fillId="2" borderId="110" xfId="2" applyFont="1" applyFill="1" applyBorder="1" applyAlignment="1">
      <alignment horizontal="left" vertical="center"/>
    </xf>
    <xf numFmtId="0" fontId="31" fillId="2" borderId="111" xfId="2" applyFont="1" applyFill="1" applyBorder="1" applyAlignment="1">
      <alignment horizontal="left" vertical="center"/>
    </xf>
    <xf numFmtId="0" fontId="31" fillId="2" borderId="43" xfId="2" applyFont="1" applyFill="1" applyBorder="1" applyAlignment="1">
      <alignment horizontal="left" vertical="center" wrapText="1"/>
    </xf>
    <xf numFmtId="184" fontId="31" fillId="28" borderId="104" xfId="2" applyNumberFormat="1" applyFont="1" applyFill="1" applyBorder="1" applyAlignment="1">
      <alignment vertical="center"/>
    </xf>
    <xf numFmtId="0" fontId="31" fillId="2" borderId="96" xfId="2" applyFont="1" applyFill="1" applyBorder="1" applyAlignment="1">
      <alignment horizontal="left" vertical="center"/>
    </xf>
    <xf numFmtId="184" fontId="31" fillId="28" borderId="107" xfId="2" applyNumberFormat="1" applyFont="1" applyFill="1" applyBorder="1" applyAlignment="1">
      <alignment vertical="center"/>
    </xf>
    <xf numFmtId="0" fontId="31" fillId="2" borderId="33" xfId="2" applyFont="1" applyFill="1" applyBorder="1" applyAlignment="1">
      <alignment horizontal="left" vertical="center" wrapText="1"/>
    </xf>
    <xf numFmtId="176" fontId="31" fillId="28" borderId="33" xfId="2" applyNumberFormat="1" applyFont="1" applyFill="1" applyBorder="1" applyAlignment="1">
      <alignment vertical="center"/>
    </xf>
    <xf numFmtId="0" fontId="6" fillId="2" borderId="43" xfId="87" applyFill="1" applyBorder="1">
      <alignment vertical="center"/>
    </xf>
    <xf numFmtId="0" fontId="26" fillId="2" borderId="85" xfId="81" applyFill="1" applyBorder="1" applyAlignment="1">
      <alignment vertical="center"/>
    </xf>
    <xf numFmtId="0" fontId="26" fillId="2" borderId="98" xfId="81" applyFill="1" applyBorder="1" applyAlignment="1">
      <alignment vertical="center"/>
    </xf>
    <xf numFmtId="0" fontId="26" fillId="2" borderId="95" xfId="81" applyFill="1" applyBorder="1" applyAlignment="1">
      <alignment vertical="center"/>
    </xf>
    <xf numFmtId="0" fontId="26" fillId="2" borderId="96" xfId="81" applyFill="1" applyBorder="1" applyAlignment="1">
      <alignment vertical="center"/>
    </xf>
    <xf numFmtId="0" fontId="26" fillId="2" borderId="94" xfId="81" applyFill="1" applyBorder="1" applyAlignment="1">
      <alignment vertical="center"/>
    </xf>
    <xf numFmtId="0" fontId="26" fillId="2" borderId="37" xfId="81" applyFill="1" applyBorder="1" applyAlignment="1">
      <alignment vertical="center"/>
    </xf>
    <xf numFmtId="0" fontId="26" fillId="2" borderId="22" xfId="81" applyFill="1" applyBorder="1" applyAlignment="1">
      <alignment vertical="center"/>
    </xf>
    <xf numFmtId="0" fontId="26" fillId="2" borderId="10" xfId="81" applyFill="1" applyBorder="1" applyAlignment="1">
      <alignment vertical="center"/>
    </xf>
    <xf numFmtId="0" fontId="26" fillId="27" borderId="71" xfId="81" applyFill="1" applyBorder="1" applyAlignment="1">
      <alignment vertical="center"/>
    </xf>
    <xf numFmtId="0" fontId="26" fillId="27" borderId="98" xfId="81" applyFill="1" applyBorder="1" applyAlignment="1">
      <alignment vertical="center"/>
    </xf>
    <xf numFmtId="0" fontId="32" fillId="2" borderId="8" xfId="87" applyFont="1" applyFill="1" applyBorder="1">
      <alignment vertical="center"/>
    </xf>
    <xf numFmtId="0" fontId="32" fillId="2" borderId="10" xfId="87" applyFont="1" applyFill="1" applyBorder="1">
      <alignment vertical="center"/>
    </xf>
    <xf numFmtId="0" fontId="26" fillId="2" borderId="28" xfId="81" applyFill="1" applyBorder="1" applyAlignment="1">
      <alignment vertical="center"/>
    </xf>
    <xf numFmtId="0" fontId="26" fillId="2" borderId="75" xfId="81" applyFill="1" applyBorder="1" applyAlignment="1">
      <alignment vertical="center"/>
    </xf>
    <xf numFmtId="0" fontId="26" fillId="27" borderId="28" xfId="81" applyFill="1" applyBorder="1" applyAlignment="1">
      <alignment vertical="center"/>
    </xf>
    <xf numFmtId="0" fontId="26" fillId="27" borderId="85" xfId="81" applyFill="1" applyBorder="1" applyAlignment="1">
      <alignment vertical="center"/>
    </xf>
    <xf numFmtId="0" fontId="26" fillId="27" borderId="14" xfId="81" applyFill="1" applyBorder="1" applyAlignment="1">
      <alignment vertical="center"/>
    </xf>
    <xf numFmtId="0" fontId="6" fillId="2" borderId="122" xfId="2" applyFill="1" applyBorder="1" applyAlignment="1">
      <alignment vertical="center"/>
    </xf>
    <xf numFmtId="176" fontId="6" fillId="2" borderId="8" xfId="2" applyNumberFormat="1" applyFill="1" applyBorder="1" applyAlignment="1">
      <alignment vertical="center"/>
    </xf>
    <xf numFmtId="176" fontId="6" fillId="2" borderId="9" xfId="2" applyNumberFormat="1" applyFill="1" applyBorder="1" applyAlignment="1">
      <alignment vertical="center"/>
    </xf>
    <xf numFmtId="176" fontId="6" fillId="2" borderId="10" xfId="2" applyNumberFormat="1" applyFill="1" applyBorder="1" applyAlignment="1">
      <alignment vertical="center"/>
    </xf>
    <xf numFmtId="0" fontId="6" fillId="2" borderId="71" xfId="2" applyFill="1" applyBorder="1" applyAlignment="1">
      <alignment vertical="center"/>
    </xf>
    <xf numFmtId="176" fontId="6" fillId="27" borderId="69" xfId="2" applyNumberFormat="1" applyFill="1" applyBorder="1" applyAlignment="1" applyProtection="1">
      <alignment vertical="center"/>
      <protection locked="0"/>
    </xf>
    <xf numFmtId="0" fontId="6" fillId="2" borderId="17" xfId="2" applyFill="1" applyBorder="1" applyAlignment="1">
      <alignment vertical="center"/>
    </xf>
    <xf numFmtId="0" fontId="6" fillId="2" borderId="65" xfId="2" applyFill="1" applyBorder="1" applyAlignment="1">
      <alignment vertical="center"/>
    </xf>
    <xf numFmtId="176" fontId="6" fillId="2" borderId="148" xfId="2" applyNumberFormat="1" applyFill="1" applyBorder="1" applyAlignment="1">
      <alignment vertical="center"/>
    </xf>
    <xf numFmtId="176" fontId="6" fillId="27" borderId="106" xfId="2" applyNumberFormat="1" applyFill="1" applyBorder="1" applyAlignment="1" applyProtection="1">
      <alignment vertical="center"/>
      <protection locked="0"/>
    </xf>
    <xf numFmtId="183" fontId="31" fillId="28" borderId="151" xfId="2" applyNumberFormat="1" applyFont="1" applyFill="1" applyBorder="1" applyAlignment="1">
      <alignment horizontal="right" vertical="center"/>
    </xf>
    <xf numFmtId="176" fontId="6" fillId="29" borderId="35" xfId="81" applyNumberFormat="1" applyFont="1" applyFill="1" applyBorder="1" applyAlignment="1">
      <alignment vertical="center" shrinkToFit="1"/>
    </xf>
    <xf numFmtId="176" fontId="6" fillId="29" borderId="127" xfId="81" applyNumberFormat="1" applyFont="1" applyFill="1" applyBorder="1" applyAlignment="1">
      <alignment vertical="center" shrinkToFit="1"/>
    </xf>
    <xf numFmtId="0" fontId="26" fillId="27" borderId="160" xfId="81" applyFill="1" applyBorder="1" applyAlignment="1">
      <alignment vertical="center"/>
    </xf>
    <xf numFmtId="0" fontId="26" fillId="27" borderId="29" xfId="81" applyFill="1" applyBorder="1" applyAlignment="1">
      <alignment vertical="center"/>
    </xf>
    <xf numFmtId="0" fontId="26" fillId="27" borderId="9" xfId="81" applyFill="1" applyBorder="1" applyAlignment="1">
      <alignment vertical="center"/>
    </xf>
    <xf numFmtId="176" fontId="6" fillId="28" borderId="163" xfId="0" applyNumberFormat="1" applyFont="1" applyFill="1" applyBorder="1">
      <alignment vertical="center"/>
    </xf>
    <xf numFmtId="0" fontId="6" fillId="2" borderId="169" xfId="0" applyFont="1" applyFill="1" applyBorder="1">
      <alignment vertical="center"/>
    </xf>
    <xf numFmtId="0" fontId="6" fillId="2" borderId="158" xfId="0" applyFont="1" applyFill="1" applyBorder="1">
      <alignment vertical="center"/>
    </xf>
    <xf numFmtId="0" fontId="6" fillId="2" borderId="153" xfId="0" applyFont="1" applyFill="1" applyBorder="1">
      <alignment vertical="center"/>
    </xf>
    <xf numFmtId="0" fontId="6" fillId="2" borderId="160" xfId="0" applyFont="1" applyFill="1" applyBorder="1">
      <alignment vertical="center"/>
    </xf>
    <xf numFmtId="0" fontId="6" fillId="2" borderId="154" xfId="0" applyFont="1" applyFill="1" applyBorder="1">
      <alignment vertical="center"/>
    </xf>
    <xf numFmtId="0" fontId="6" fillId="2" borderId="166" xfId="0" applyFont="1" applyFill="1" applyBorder="1">
      <alignment vertical="center"/>
    </xf>
    <xf numFmtId="0" fontId="6" fillId="2" borderId="168" xfId="0" applyFont="1" applyFill="1" applyBorder="1">
      <alignment vertical="center"/>
    </xf>
    <xf numFmtId="0" fontId="6" fillId="2" borderId="167" xfId="0" applyFont="1" applyFill="1" applyBorder="1">
      <alignment vertical="center"/>
    </xf>
    <xf numFmtId="0" fontId="6" fillId="2" borderId="171" xfId="0" applyFont="1" applyFill="1" applyBorder="1">
      <alignment vertical="center"/>
    </xf>
    <xf numFmtId="0" fontId="6" fillId="2" borderId="174" xfId="0" applyFont="1" applyFill="1" applyBorder="1">
      <alignment vertical="center"/>
    </xf>
    <xf numFmtId="10" fontId="6" fillId="28" borderId="163" xfId="0" applyNumberFormat="1" applyFont="1" applyFill="1" applyBorder="1" applyAlignment="1">
      <alignment vertical="center" shrinkToFit="1"/>
    </xf>
    <xf numFmtId="176" fontId="6" fillId="29" borderId="152" xfId="81" applyNumberFormat="1" applyFont="1" applyFill="1" applyBorder="1" applyAlignment="1">
      <alignment vertical="center" shrinkToFit="1"/>
    </xf>
    <xf numFmtId="187" fontId="6" fillId="27" borderId="163" xfId="0" applyNumberFormat="1" applyFont="1" applyFill="1" applyBorder="1" applyAlignment="1">
      <alignment vertical="center" shrinkToFit="1"/>
    </xf>
    <xf numFmtId="187" fontId="6" fillId="27" borderId="164" xfId="0" applyNumberFormat="1" applyFont="1" applyFill="1" applyBorder="1" applyAlignment="1">
      <alignment vertical="center" shrinkToFit="1"/>
    </xf>
    <xf numFmtId="176" fontId="6" fillId="27" borderId="163" xfId="0" applyNumberFormat="1" applyFont="1" applyFill="1" applyBorder="1" applyAlignment="1">
      <alignment vertical="center" shrinkToFit="1"/>
    </xf>
    <xf numFmtId="176" fontId="6" fillId="27" borderId="164" xfId="0" applyNumberFormat="1" applyFont="1" applyFill="1" applyBorder="1" applyAlignment="1">
      <alignment vertical="center" shrinkToFit="1"/>
    </xf>
    <xf numFmtId="176" fontId="6" fillId="27" borderId="158" xfId="2" applyNumberFormat="1" applyFill="1" applyBorder="1" applyAlignment="1" applyProtection="1">
      <alignment vertical="center"/>
      <protection locked="0"/>
    </xf>
    <xf numFmtId="176" fontId="28" fillId="27" borderId="42" xfId="0" applyNumberFormat="1" applyFont="1" applyFill="1" applyBorder="1">
      <alignment vertical="center"/>
    </xf>
    <xf numFmtId="176" fontId="28" fillId="27" borderId="68" xfId="0" applyNumberFormat="1" applyFont="1" applyFill="1" applyBorder="1">
      <alignment vertical="center"/>
    </xf>
    <xf numFmtId="176" fontId="28" fillId="28" borderId="4" xfId="0" applyNumberFormat="1" applyFont="1" applyFill="1" applyBorder="1" applyAlignment="1">
      <alignment vertical="center" shrinkToFit="1"/>
    </xf>
    <xf numFmtId="176" fontId="28" fillId="27" borderId="8" xfId="0" applyNumberFormat="1" applyFont="1" applyFill="1" applyBorder="1" applyAlignment="1">
      <alignment vertical="center" shrinkToFit="1"/>
    </xf>
    <xf numFmtId="176" fontId="28" fillId="27" borderId="9" xfId="0" applyNumberFormat="1" applyFont="1" applyFill="1" applyBorder="1" applyAlignment="1">
      <alignment vertical="center" shrinkToFit="1"/>
    </xf>
    <xf numFmtId="176" fontId="28" fillId="27" borderId="10" xfId="0" applyNumberFormat="1" applyFont="1" applyFill="1" applyBorder="1" applyAlignment="1">
      <alignment vertical="center" shrinkToFit="1"/>
    </xf>
    <xf numFmtId="176" fontId="28" fillId="27" borderId="27" xfId="0" applyNumberFormat="1" applyFont="1" applyFill="1" applyBorder="1" applyAlignment="1">
      <alignment vertical="center" shrinkToFit="1"/>
    </xf>
    <xf numFmtId="176" fontId="28" fillId="27" borderId="77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vertical="center" shrinkToFit="1"/>
    </xf>
    <xf numFmtId="176" fontId="28" fillId="27" borderId="74" xfId="0" applyNumberFormat="1" applyFont="1" applyFill="1" applyBorder="1" applyAlignment="1">
      <alignment vertical="center" shrinkToFit="1"/>
    </xf>
    <xf numFmtId="176" fontId="28" fillId="27" borderId="79" xfId="0" applyNumberFormat="1" applyFont="1" applyFill="1" applyBorder="1" applyAlignment="1">
      <alignment vertical="center" shrinkToFit="1"/>
    </xf>
    <xf numFmtId="0" fontId="6" fillId="2" borderId="0" xfId="3" applyFill="1" applyAlignment="1">
      <alignment horizontal="left" vertical="top"/>
    </xf>
    <xf numFmtId="0" fontId="28" fillId="2" borderId="0" xfId="0" applyFont="1" applyFill="1">
      <alignment vertical="center"/>
    </xf>
    <xf numFmtId="0" fontId="34" fillId="2" borderId="0" xfId="0" applyFont="1" applyFill="1">
      <alignment vertical="center"/>
    </xf>
    <xf numFmtId="0" fontId="2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left" vertical="top"/>
    </xf>
    <xf numFmtId="0" fontId="28" fillId="2" borderId="104" xfId="0" applyFont="1" applyFill="1" applyBorder="1">
      <alignment vertical="center"/>
    </xf>
    <xf numFmtId="49" fontId="28" fillId="2" borderId="104" xfId="0" applyNumberFormat="1" applyFont="1" applyFill="1" applyBorder="1">
      <alignment vertical="center"/>
    </xf>
    <xf numFmtId="0" fontId="28" fillId="2" borderId="46" xfId="0" applyFont="1" applyFill="1" applyBorder="1" applyAlignment="1">
      <alignment horizontal="center" vertical="center"/>
    </xf>
    <xf numFmtId="49" fontId="28" fillId="2" borderId="33" xfId="0" applyNumberFormat="1" applyFont="1" applyFill="1" applyBorder="1" applyAlignment="1">
      <alignment vertical="center" shrinkToFit="1"/>
    </xf>
    <xf numFmtId="0" fontId="33" fillId="2" borderId="0" xfId="0" applyFont="1" applyFill="1" applyAlignment="1">
      <alignment vertical="top"/>
    </xf>
    <xf numFmtId="0" fontId="28" fillId="27" borderId="31" xfId="0" applyFont="1" applyFill="1" applyBorder="1">
      <alignment vertical="center"/>
    </xf>
    <xf numFmtId="0" fontId="28" fillId="27" borderId="32" xfId="0" applyFont="1" applyFill="1" applyBorder="1">
      <alignment vertical="center"/>
    </xf>
    <xf numFmtId="0" fontId="28" fillId="2" borderId="0" xfId="0" applyFont="1" applyFill="1" applyAlignment="1">
      <alignment vertical="top"/>
    </xf>
    <xf numFmtId="0" fontId="28" fillId="2" borderId="31" xfId="0" applyFont="1" applyFill="1" applyBorder="1">
      <alignment vertical="center"/>
    </xf>
    <xf numFmtId="0" fontId="28" fillId="2" borderId="32" xfId="0" applyFont="1" applyFill="1" applyBorder="1">
      <alignment vertical="center"/>
    </xf>
    <xf numFmtId="0" fontId="28" fillId="2" borderId="95" xfId="0" applyFont="1" applyFill="1" applyBorder="1">
      <alignment vertical="center"/>
    </xf>
    <xf numFmtId="0" fontId="28" fillId="2" borderId="98" xfId="0" applyFont="1" applyFill="1" applyBorder="1">
      <alignment vertical="center"/>
    </xf>
    <xf numFmtId="0" fontId="28" fillId="2" borderId="93" xfId="0" applyFont="1" applyFill="1" applyBorder="1">
      <alignment vertical="center"/>
    </xf>
    <xf numFmtId="0" fontId="28" fillId="2" borderId="12" xfId="0" applyFont="1" applyFill="1" applyBorder="1">
      <alignment vertical="center"/>
    </xf>
    <xf numFmtId="0" fontId="28" fillId="27" borderId="98" xfId="0" applyFont="1" applyFill="1" applyBorder="1">
      <alignment vertical="center"/>
    </xf>
    <xf numFmtId="0" fontId="28" fillId="2" borderId="8" xfId="0" applyFont="1" applyFill="1" applyBorder="1">
      <alignment vertical="center"/>
    </xf>
    <xf numFmtId="0" fontId="28" fillId="2" borderId="35" xfId="0" applyFont="1" applyFill="1" applyBorder="1">
      <alignment vertical="center"/>
    </xf>
    <xf numFmtId="0" fontId="28" fillId="27" borderId="71" xfId="0" applyFont="1" applyFill="1" applyBorder="1">
      <alignment vertical="center"/>
    </xf>
    <xf numFmtId="0" fontId="28" fillId="2" borderId="96" xfId="0" applyFont="1" applyFill="1" applyBorder="1">
      <alignment vertical="center"/>
    </xf>
    <xf numFmtId="0" fontId="28" fillId="2" borderId="94" xfId="0" applyFont="1" applyFill="1" applyBorder="1">
      <alignment vertical="center"/>
    </xf>
    <xf numFmtId="176" fontId="28" fillId="2" borderId="0" xfId="0" applyNumberFormat="1" applyFont="1" applyFill="1">
      <alignment vertical="center"/>
    </xf>
    <xf numFmtId="0" fontId="28" fillId="2" borderId="71" xfId="0" applyFont="1" applyFill="1" applyBorder="1">
      <alignment vertical="center"/>
    </xf>
    <xf numFmtId="0" fontId="26" fillId="2" borderId="51" xfId="81" applyFill="1" applyBorder="1" applyAlignment="1">
      <alignment vertical="center"/>
    </xf>
    <xf numFmtId="0" fontId="28" fillId="2" borderId="51" xfId="0" applyFont="1" applyFill="1" applyBorder="1" applyAlignment="1">
      <alignment vertical="top"/>
    </xf>
    <xf numFmtId="0" fontId="35" fillId="2" borderId="35" xfId="55" applyFont="1" applyFill="1" applyBorder="1">
      <alignment vertical="center"/>
    </xf>
    <xf numFmtId="0" fontId="35" fillId="2" borderId="52" xfId="55" applyFont="1" applyFill="1" applyBorder="1">
      <alignment vertical="center"/>
    </xf>
    <xf numFmtId="0" fontId="28" fillId="2" borderId="52" xfId="0" applyFont="1" applyFill="1" applyBorder="1" applyAlignment="1">
      <alignment vertical="top"/>
    </xf>
    <xf numFmtId="0" fontId="28" fillId="2" borderId="85" xfId="0" applyFont="1" applyFill="1" applyBorder="1" applyAlignment="1">
      <alignment vertical="top"/>
    </xf>
    <xf numFmtId="0" fontId="35" fillId="2" borderId="98" xfId="55" applyFont="1" applyFill="1" applyBorder="1">
      <alignment vertical="center"/>
    </xf>
    <xf numFmtId="0" fontId="28" fillId="2" borderId="98" xfId="0" applyFont="1" applyFill="1" applyBorder="1" applyAlignment="1">
      <alignment vertical="top"/>
    </xf>
    <xf numFmtId="0" fontId="35" fillId="2" borderId="85" xfId="55" applyFont="1" applyFill="1" applyBorder="1">
      <alignment vertical="center"/>
    </xf>
    <xf numFmtId="0" fontId="35" fillId="2" borderId="95" xfId="55" applyFont="1" applyFill="1" applyBorder="1">
      <alignment vertical="center"/>
    </xf>
    <xf numFmtId="0" fontId="28" fillId="2" borderId="94" xfId="0" applyFont="1" applyFill="1" applyBorder="1" applyAlignment="1">
      <alignment vertical="top"/>
    </xf>
    <xf numFmtId="0" fontId="33" fillId="2" borderId="37" xfId="0" applyFont="1" applyFill="1" applyBorder="1" applyAlignment="1">
      <alignment vertical="top"/>
    </xf>
    <xf numFmtId="0" fontId="28" fillId="2" borderId="6" xfId="0" applyFont="1" applyFill="1" applyBorder="1" applyAlignment="1">
      <alignment vertical="top"/>
    </xf>
    <xf numFmtId="0" fontId="28" fillId="2" borderId="43" xfId="0" applyFont="1" applyFill="1" applyBorder="1">
      <alignment vertical="center"/>
    </xf>
    <xf numFmtId="0" fontId="28" fillId="2" borderId="51" xfId="0" applyFont="1" applyFill="1" applyBorder="1">
      <alignment vertical="center"/>
    </xf>
    <xf numFmtId="0" fontId="28" fillId="2" borderId="5" xfId="0" applyFont="1" applyFill="1" applyBorder="1">
      <alignment vertical="center"/>
    </xf>
    <xf numFmtId="0" fontId="28" fillId="2" borderId="46" xfId="0" applyFont="1" applyFill="1" applyBorder="1" applyAlignment="1">
      <alignment horizontal="center" vertical="top"/>
    </xf>
    <xf numFmtId="0" fontId="36" fillId="2" borderId="123" xfId="0" applyFont="1" applyFill="1" applyBorder="1" applyAlignment="1">
      <alignment horizontal="center" vertical="center" wrapText="1"/>
    </xf>
    <xf numFmtId="0" fontId="37" fillId="2" borderId="123" xfId="0" applyFont="1" applyFill="1" applyBorder="1" applyAlignment="1">
      <alignment horizontal="center" vertical="center" wrapText="1"/>
    </xf>
    <xf numFmtId="176" fontId="28" fillId="29" borderId="124" xfId="0" applyNumberFormat="1" applyFont="1" applyFill="1" applyBorder="1" applyAlignment="1">
      <alignment vertical="center" shrinkToFit="1"/>
    </xf>
    <xf numFmtId="176" fontId="28" fillId="29" borderId="124" xfId="0" applyNumberFormat="1" applyFont="1" applyFill="1" applyBorder="1" applyAlignment="1">
      <alignment horizontal="right" vertical="center" shrinkToFit="1"/>
    </xf>
    <xf numFmtId="176" fontId="28" fillId="29" borderId="125" xfId="0" applyNumberFormat="1" applyFont="1" applyFill="1" applyBorder="1" applyAlignment="1">
      <alignment horizontal="right" vertical="center" shrinkToFit="1"/>
    </xf>
    <xf numFmtId="0" fontId="35" fillId="2" borderId="5" xfId="55" applyFont="1" applyFill="1" applyBorder="1">
      <alignment vertical="center"/>
    </xf>
    <xf numFmtId="0" fontId="26" fillId="2" borderId="153" xfId="81" applyFill="1" applyBorder="1" applyAlignment="1">
      <alignment vertical="center"/>
    </xf>
    <xf numFmtId="176" fontId="28" fillId="29" borderId="155" xfId="0" applyNumberFormat="1" applyFont="1" applyFill="1" applyBorder="1" applyAlignment="1">
      <alignment vertical="center" shrinkToFit="1"/>
    </xf>
    <xf numFmtId="0" fontId="26" fillId="2" borderId="158" xfId="81" applyFill="1" applyBorder="1" applyAlignment="1">
      <alignment vertical="center"/>
    </xf>
    <xf numFmtId="0" fontId="28" fillId="2" borderId="153" xfId="0" applyFont="1" applyFill="1" applyBorder="1">
      <alignment vertical="center"/>
    </xf>
    <xf numFmtId="176" fontId="6" fillId="29" borderId="152" xfId="0" applyNumberFormat="1" applyFont="1" applyFill="1" applyBorder="1">
      <alignment vertical="center"/>
    </xf>
    <xf numFmtId="176" fontId="28" fillId="29" borderId="155" xfId="0" applyNumberFormat="1" applyFont="1" applyFill="1" applyBorder="1">
      <alignment vertical="center"/>
    </xf>
    <xf numFmtId="176" fontId="28" fillId="29" borderId="155" xfId="0" applyNumberFormat="1" applyFont="1" applyFill="1" applyBorder="1" applyAlignment="1">
      <alignment horizontal="right" vertical="center" shrinkToFit="1"/>
    </xf>
    <xf numFmtId="176" fontId="28" fillId="29" borderId="156" xfId="0" applyNumberFormat="1" applyFont="1" applyFill="1" applyBorder="1" applyAlignment="1">
      <alignment horizontal="right" vertical="center" shrinkToFit="1"/>
    </xf>
    <xf numFmtId="176" fontId="28" fillId="27" borderId="155" xfId="0" applyNumberFormat="1" applyFont="1" applyFill="1" applyBorder="1">
      <alignment vertical="center"/>
    </xf>
    <xf numFmtId="176" fontId="28" fillId="27" borderId="155" xfId="0" applyNumberFormat="1" applyFont="1" applyFill="1" applyBorder="1" applyAlignment="1">
      <alignment horizontal="right" vertical="center" shrinkToFit="1"/>
    </xf>
    <xf numFmtId="176" fontId="28" fillId="27" borderId="156" xfId="0" applyNumberFormat="1" applyFont="1" applyFill="1" applyBorder="1" applyAlignment="1">
      <alignment horizontal="right" vertical="center" shrinkToFit="1"/>
    </xf>
    <xf numFmtId="0" fontId="28" fillId="27" borderId="153" xfId="0" applyFont="1" applyFill="1" applyBorder="1">
      <alignment vertical="center"/>
    </xf>
    <xf numFmtId="176" fontId="28" fillId="27" borderId="126" xfId="0" applyNumberFormat="1" applyFont="1" applyFill="1" applyBorder="1">
      <alignment vertical="center"/>
    </xf>
    <xf numFmtId="176" fontId="28" fillId="29" borderId="126" xfId="0" applyNumberFormat="1" applyFont="1" applyFill="1" applyBorder="1">
      <alignment vertical="center"/>
    </xf>
    <xf numFmtId="0" fontId="35" fillId="27" borderId="98" xfId="55" applyFont="1" applyFill="1" applyBorder="1">
      <alignment vertical="center"/>
    </xf>
    <xf numFmtId="0" fontId="26" fillId="27" borderId="128" xfId="81" applyFill="1" applyBorder="1" applyAlignment="1">
      <alignment vertical="center"/>
    </xf>
    <xf numFmtId="0" fontId="35" fillId="27" borderId="129" xfId="55" applyFont="1" applyFill="1" applyBorder="1">
      <alignment vertical="center"/>
    </xf>
    <xf numFmtId="0" fontId="26" fillId="2" borderId="128" xfId="81" applyFill="1" applyBorder="1" applyAlignment="1">
      <alignment vertical="center"/>
    </xf>
    <xf numFmtId="0" fontId="28" fillId="2" borderId="85" xfId="0" applyFont="1" applyFill="1" applyBorder="1">
      <alignment vertical="center"/>
    </xf>
    <xf numFmtId="0" fontId="28" fillId="2" borderId="165" xfId="0" applyFont="1" applyFill="1" applyBorder="1">
      <alignment vertical="center"/>
    </xf>
    <xf numFmtId="0" fontId="28" fillId="2" borderId="154" xfId="0" applyFont="1" applyFill="1" applyBorder="1">
      <alignment vertical="center"/>
    </xf>
    <xf numFmtId="0" fontId="6" fillId="2" borderId="161" xfId="0" applyFont="1" applyFill="1" applyBorder="1">
      <alignment vertical="center"/>
    </xf>
    <xf numFmtId="176" fontId="6" fillId="28" borderId="162" xfId="0" applyNumberFormat="1" applyFont="1" applyFill="1" applyBorder="1" applyAlignment="1">
      <alignment vertical="center" shrinkToFit="1"/>
    </xf>
    <xf numFmtId="0" fontId="38" fillId="2" borderId="0" xfId="0" applyFont="1" applyFill="1">
      <alignment vertical="center"/>
    </xf>
    <xf numFmtId="0" fontId="6" fillId="2" borderId="172" xfId="0" applyFont="1" applyFill="1" applyBorder="1">
      <alignment vertical="center"/>
    </xf>
    <xf numFmtId="0" fontId="6" fillId="27" borderId="160" xfId="0" applyFont="1" applyFill="1" applyBorder="1">
      <alignment vertical="center"/>
    </xf>
    <xf numFmtId="0" fontId="6" fillId="27" borderId="154" xfId="0" applyFont="1" applyFill="1" applyBorder="1">
      <alignment vertical="center"/>
    </xf>
    <xf numFmtId="0" fontId="6" fillId="27" borderId="170" xfId="0" applyFont="1" applyFill="1" applyBorder="1">
      <alignment vertical="center"/>
    </xf>
    <xf numFmtId="0" fontId="6" fillId="2" borderId="170" xfId="0" applyFont="1" applyFill="1" applyBorder="1">
      <alignment vertical="center"/>
    </xf>
    <xf numFmtId="0" fontId="28" fillId="27" borderId="152" xfId="0" applyFont="1" applyFill="1" applyBorder="1">
      <alignment vertical="center"/>
    </xf>
    <xf numFmtId="0" fontId="28" fillId="27" borderId="52" xfId="0" applyFont="1" applyFill="1" applyBorder="1">
      <alignment vertical="center"/>
    </xf>
    <xf numFmtId="0" fontId="28" fillId="27" borderId="95" xfId="0" applyFont="1" applyFill="1" applyBorder="1">
      <alignment vertical="center"/>
    </xf>
    <xf numFmtId="176" fontId="28" fillId="2" borderId="130" xfId="0" applyNumberFormat="1" applyFont="1" applyFill="1" applyBorder="1">
      <alignment vertical="center"/>
    </xf>
    <xf numFmtId="176" fontId="28" fillId="2" borderId="130" xfId="0" applyNumberFormat="1" applyFont="1" applyFill="1" applyBorder="1" applyAlignment="1">
      <alignment vertical="center" shrinkToFit="1"/>
    </xf>
    <xf numFmtId="176" fontId="28" fillId="2" borderId="131" xfId="0" applyNumberFormat="1" applyFont="1" applyFill="1" applyBorder="1" applyAlignment="1">
      <alignment vertical="center" shrinkToFit="1"/>
    </xf>
    <xf numFmtId="0" fontId="28" fillId="27" borderId="93" xfId="0" applyFont="1" applyFill="1" applyBorder="1">
      <alignment vertical="center"/>
    </xf>
    <xf numFmtId="0" fontId="28" fillId="27" borderId="85" xfId="0" applyFont="1" applyFill="1" applyBorder="1">
      <alignment vertical="center"/>
    </xf>
    <xf numFmtId="176" fontId="28" fillId="2" borderId="132" xfId="0" applyNumberFormat="1" applyFont="1" applyFill="1" applyBorder="1">
      <alignment vertical="center"/>
    </xf>
    <xf numFmtId="176" fontId="28" fillId="2" borderId="132" xfId="0" applyNumberFormat="1" applyFont="1" applyFill="1" applyBorder="1" applyAlignment="1">
      <alignment vertical="center" shrinkToFit="1"/>
    </xf>
    <xf numFmtId="176" fontId="28" fillId="2" borderId="133" xfId="0" applyNumberFormat="1" applyFont="1" applyFill="1" applyBorder="1" applyAlignment="1">
      <alignment vertical="center" shrinkToFit="1"/>
    </xf>
    <xf numFmtId="176" fontId="6" fillId="29" borderId="31" xfId="0" applyNumberFormat="1" applyFont="1" applyFill="1" applyBorder="1" applyAlignment="1">
      <alignment vertical="center" shrinkToFit="1"/>
    </xf>
    <xf numFmtId="176" fontId="28" fillId="2" borderId="134" xfId="0" applyNumberFormat="1" applyFont="1" applyFill="1" applyBorder="1">
      <alignment vertical="center"/>
    </xf>
    <xf numFmtId="176" fontId="28" fillId="2" borderId="134" xfId="0" applyNumberFormat="1" applyFont="1" applyFill="1" applyBorder="1" applyAlignment="1">
      <alignment vertical="center" shrinkToFit="1"/>
    </xf>
    <xf numFmtId="176" fontId="28" fillId="2" borderId="135" xfId="0" applyNumberFormat="1" applyFont="1" applyFill="1" applyBorder="1" applyAlignment="1">
      <alignment vertical="center" shrinkToFit="1"/>
    </xf>
    <xf numFmtId="10" fontId="6" fillId="27" borderId="46" xfId="0" applyNumberFormat="1" applyFont="1" applyFill="1" applyBorder="1" applyAlignment="1">
      <alignment vertical="center" shrinkToFit="1"/>
    </xf>
    <xf numFmtId="176" fontId="28" fillId="2" borderId="136" xfId="0" applyNumberFormat="1" applyFont="1" applyFill="1" applyBorder="1">
      <alignment vertical="center"/>
    </xf>
    <xf numFmtId="176" fontId="28" fillId="2" borderId="136" xfId="0" applyNumberFormat="1" applyFont="1" applyFill="1" applyBorder="1" applyAlignment="1">
      <alignment vertical="center" shrinkToFit="1"/>
    </xf>
    <xf numFmtId="176" fontId="28" fillId="2" borderId="137" xfId="0" applyNumberFormat="1" applyFont="1" applyFill="1" applyBorder="1" applyAlignment="1">
      <alignment vertical="center" shrinkToFit="1"/>
    </xf>
    <xf numFmtId="0" fontId="26" fillId="2" borderId="7" xfId="81" applyFill="1" applyBorder="1" applyAlignment="1">
      <alignment vertical="center"/>
    </xf>
    <xf numFmtId="176" fontId="28" fillId="29" borderId="138" xfId="0" applyNumberFormat="1" applyFont="1" applyFill="1" applyBorder="1">
      <alignment vertical="center"/>
    </xf>
    <xf numFmtId="176" fontId="28" fillId="29" borderId="139" xfId="0" applyNumberFormat="1" applyFont="1" applyFill="1" applyBorder="1">
      <alignment vertical="center"/>
    </xf>
    <xf numFmtId="176" fontId="28" fillId="27" borderId="118" xfId="0" applyNumberFormat="1" applyFont="1" applyFill="1" applyBorder="1">
      <alignment vertical="center"/>
    </xf>
    <xf numFmtId="0" fontId="26" fillId="27" borderId="153" xfId="81" applyFill="1" applyBorder="1" applyAlignment="1">
      <alignment vertical="center"/>
    </xf>
    <xf numFmtId="0" fontId="26" fillId="27" borderId="159" xfId="81" applyFill="1" applyBorder="1" applyAlignment="1">
      <alignment vertical="center"/>
    </xf>
    <xf numFmtId="176" fontId="28" fillId="29" borderId="152" xfId="0" applyNumberFormat="1" applyFont="1" applyFill="1" applyBorder="1">
      <alignment vertical="center"/>
    </xf>
    <xf numFmtId="176" fontId="28" fillId="28" borderId="155" xfId="0" applyNumberFormat="1" applyFont="1" applyFill="1" applyBorder="1">
      <alignment vertical="center"/>
    </xf>
    <xf numFmtId="176" fontId="28" fillId="28" borderId="156" xfId="0" applyNumberFormat="1" applyFont="1" applyFill="1" applyBorder="1">
      <alignment vertical="center"/>
    </xf>
    <xf numFmtId="0" fontId="26" fillId="2" borderId="140" xfId="81" applyFill="1" applyBorder="1" applyAlignment="1">
      <alignment vertical="center"/>
    </xf>
    <xf numFmtId="0" fontId="28" fillId="2" borderId="126" xfId="0" applyFont="1" applyFill="1" applyBorder="1">
      <alignment vertical="center"/>
    </xf>
    <xf numFmtId="0" fontId="28" fillId="2" borderId="118" xfId="0" applyFont="1" applyFill="1" applyBorder="1">
      <alignment vertical="center"/>
    </xf>
    <xf numFmtId="180" fontId="28" fillId="29" borderId="71" xfId="0" applyNumberFormat="1" applyFont="1" applyFill="1" applyBorder="1">
      <alignment vertical="center"/>
    </xf>
    <xf numFmtId="180" fontId="28" fillId="29" borderId="126" xfId="0" applyNumberFormat="1" applyFont="1" applyFill="1" applyBorder="1">
      <alignment vertical="center"/>
    </xf>
    <xf numFmtId="180" fontId="28" fillId="29" borderId="118" xfId="0" applyNumberFormat="1" applyFont="1" applyFill="1" applyBorder="1">
      <alignment vertical="center"/>
    </xf>
    <xf numFmtId="176" fontId="28" fillId="2" borderId="95" xfId="0" applyNumberFormat="1" applyFont="1" applyFill="1" applyBorder="1">
      <alignment vertical="center"/>
    </xf>
    <xf numFmtId="176" fontId="28" fillId="2" borderId="126" xfId="0" applyNumberFormat="1" applyFont="1" applyFill="1" applyBorder="1">
      <alignment vertical="center"/>
    </xf>
    <xf numFmtId="176" fontId="28" fillId="2" borderId="118" xfId="0" applyNumberFormat="1" applyFont="1" applyFill="1" applyBorder="1">
      <alignment vertical="center"/>
    </xf>
    <xf numFmtId="0" fontId="26" fillId="2" borderId="29" xfId="81" applyFill="1" applyBorder="1" applyAlignment="1">
      <alignment vertical="center"/>
    </xf>
    <xf numFmtId="0" fontId="26" fillId="2" borderId="74" xfId="81" applyFill="1" applyBorder="1" applyAlignment="1">
      <alignment vertical="center"/>
    </xf>
    <xf numFmtId="0" fontId="26" fillId="2" borderId="14" xfId="81" applyFill="1" applyBorder="1" applyAlignment="1">
      <alignment vertical="center"/>
    </xf>
    <xf numFmtId="176" fontId="28" fillId="29" borderId="93" xfId="0" applyNumberFormat="1" applyFont="1" applyFill="1" applyBorder="1">
      <alignment vertical="center"/>
    </xf>
    <xf numFmtId="176" fontId="28" fillId="29" borderId="141" xfId="0" applyNumberFormat="1" applyFont="1" applyFill="1" applyBorder="1">
      <alignment vertical="center"/>
    </xf>
    <xf numFmtId="176" fontId="28" fillId="29" borderId="142" xfId="0" applyNumberFormat="1" applyFont="1" applyFill="1" applyBorder="1">
      <alignment vertical="center"/>
    </xf>
    <xf numFmtId="0" fontId="26" fillId="2" borderId="9" xfId="81" applyFill="1" applyBorder="1" applyAlignment="1">
      <alignment vertical="center"/>
    </xf>
    <xf numFmtId="0" fontId="26" fillId="27" borderId="74" xfId="81" applyFill="1" applyBorder="1" applyAlignment="1">
      <alignment vertical="center"/>
    </xf>
    <xf numFmtId="176" fontId="28" fillId="29" borderId="118" xfId="0" applyNumberFormat="1" applyFont="1" applyFill="1" applyBorder="1">
      <alignment vertical="center"/>
    </xf>
    <xf numFmtId="0" fontId="26" fillId="2" borderId="46" xfId="81" applyFill="1" applyBorder="1" applyAlignment="1">
      <alignment vertical="center"/>
    </xf>
    <xf numFmtId="176" fontId="28" fillId="29" borderId="96" xfId="0" applyNumberFormat="1" applyFont="1" applyFill="1" applyBorder="1">
      <alignment vertical="center"/>
    </xf>
    <xf numFmtId="176" fontId="28" fillId="29" borderId="143" xfId="0" applyNumberFormat="1" applyFont="1" applyFill="1" applyBorder="1">
      <alignment vertical="center"/>
    </xf>
    <xf numFmtId="176" fontId="28" fillId="29" borderId="120" xfId="0" applyNumberFormat="1" applyFont="1" applyFill="1" applyBorder="1">
      <alignment vertical="center"/>
    </xf>
    <xf numFmtId="0" fontId="28" fillId="2" borderId="37" xfId="0" applyFont="1" applyFill="1" applyBorder="1">
      <alignment vertical="center"/>
    </xf>
    <xf numFmtId="0" fontId="28" fillId="2" borderId="6" xfId="0" applyFont="1" applyFill="1" applyBorder="1">
      <alignment vertical="center"/>
    </xf>
    <xf numFmtId="0" fontId="28" fillId="29" borderId="138" xfId="0" applyFont="1" applyFill="1" applyBorder="1">
      <alignment vertical="center"/>
    </xf>
    <xf numFmtId="0" fontId="28" fillId="29" borderId="139" xfId="0" applyFont="1" applyFill="1" applyBorder="1">
      <alignment vertical="center"/>
    </xf>
    <xf numFmtId="185" fontId="28" fillId="2" borderId="144" xfId="0" applyNumberFormat="1" applyFont="1" applyFill="1" applyBorder="1">
      <alignment vertical="center"/>
    </xf>
    <xf numFmtId="186" fontId="28" fillId="27" borderId="126" xfId="0" applyNumberFormat="1" applyFont="1" applyFill="1" applyBorder="1">
      <alignment vertical="center"/>
    </xf>
    <xf numFmtId="186" fontId="28" fillId="27" borderId="118" xfId="0" applyNumberFormat="1" applyFont="1" applyFill="1" applyBorder="1">
      <alignment vertical="center"/>
    </xf>
    <xf numFmtId="0" fontId="28" fillId="2" borderId="23" xfId="0" applyFont="1" applyFill="1" applyBorder="1">
      <alignment vertical="center"/>
    </xf>
    <xf numFmtId="0" fontId="28" fillId="30" borderId="71" xfId="0" applyFont="1" applyFill="1" applyBorder="1">
      <alignment vertical="center"/>
    </xf>
    <xf numFmtId="0" fontId="28" fillId="30" borderId="98" xfId="0" applyFont="1" applyFill="1" applyBorder="1">
      <alignment vertical="center"/>
    </xf>
    <xf numFmtId="186" fontId="28" fillId="30" borderId="126" xfId="0" applyNumberFormat="1" applyFont="1" applyFill="1" applyBorder="1">
      <alignment vertical="center"/>
    </xf>
    <xf numFmtId="186" fontId="28" fillId="30" borderId="118" xfId="0" applyNumberFormat="1" applyFont="1" applyFill="1" applyBorder="1">
      <alignment vertical="center"/>
    </xf>
    <xf numFmtId="176" fontId="28" fillId="2" borderId="131" xfId="0" applyNumberFormat="1" applyFont="1" applyFill="1" applyBorder="1">
      <alignment vertical="center"/>
    </xf>
    <xf numFmtId="0" fontId="28" fillId="27" borderId="74" xfId="0" applyFont="1" applyFill="1" applyBorder="1">
      <alignment vertical="center"/>
    </xf>
    <xf numFmtId="0" fontId="28" fillId="27" borderId="22" xfId="0" applyFont="1" applyFill="1" applyBorder="1">
      <alignment vertical="center"/>
    </xf>
    <xf numFmtId="0" fontId="28" fillId="27" borderId="0" xfId="0" applyFont="1" applyFill="1">
      <alignment vertical="center"/>
    </xf>
    <xf numFmtId="176" fontId="28" fillId="27" borderId="93" xfId="0" applyNumberFormat="1" applyFont="1" applyFill="1" applyBorder="1">
      <alignment vertical="center"/>
    </xf>
    <xf numFmtId="176" fontId="28" fillId="2" borderId="133" xfId="0" applyNumberFormat="1" applyFont="1" applyFill="1" applyBorder="1">
      <alignment vertical="center"/>
    </xf>
    <xf numFmtId="0" fontId="28" fillId="2" borderId="46" xfId="0" applyFont="1" applyFill="1" applyBorder="1">
      <alignment vertical="center"/>
    </xf>
    <xf numFmtId="0" fontId="28" fillId="2" borderId="53" xfId="0" applyFont="1" applyFill="1" applyBorder="1">
      <alignment vertical="center"/>
    </xf>
    <xf numFmtId="0" fontId="28" fillId="2" borderId="47" xfId="0" applyFont="1" applyFill="1" applyBorder="1">
      <alignment vertical="center"/>
    </xf>
    <xf numFmtId="0" fontId="28" fillId="27" borderId="65" xfId="0" applyFont="1" applyFill="1" applyBorder="1">
      <alignment vertical="center"/>
    </xf>
    <xf numFmtId="0" fontId="28" fillId="27" borderId="94" xfId="0" applyFont="1" applyFill="1" applyBorder="1">
      <alignment vertical="center"/>
    </xf>
    <xf numFmtId="176" fontId="28" fillId="27" borderId="96" xfId="0" applyNumberFormat="1" applyFont="1" applyFill="1" applyBorder="1">
      <alignment vertical="center"/>
    </xf>
    <xf numFmtId="176" fontId="28" fillId="2" borderId="145" xfId="0" applyNumberFormat="1" applyFont="1" applyFill="1" applyBorder="1">
      <alignment vertical="center"/>
    </xf>
    <xf numFmtId="176" fontId="28" fillId="2" borderId="146" xfId="0" applyNumberFormat="1" applyFont="1" applyFill="1" applyBorder="1">
      <alignment vertical="center"/>
    </xf>
    <xf numFmtId="0" fontId="28" fillId="2" borderId="44" xfId="0" applyFont="1" applyFill="1" applyBorder="1">
      <alignment vertical="center"/>
    </xf>
    <xf numFmtId="0" fontId="28" fillId="2" borderId="40" xfId="0" applyFont="1" applyFill="1" applyBorder="1">
      <alignment vertical="center"/>
    </xf>
    <xf numFmtId="0" fontId="28" fillId="2" borderId="7" xfId="0" applyFont="1" applyFill="1" applyBorder="1">
      <alignment vertical="center"/>
    </xf>
    <xf numFmtId="0" fontId="28" fillId="2" borderId="65" xfId="0" applyFont="1" applyFill="1" applyBorder="1">
      <alignment vertical="center"/>
    </xf>
    <xf numFmtId="0" fontId="28" fillId="2" borderId="19" xfId="0" applyFont="1" applyFill="1" applyBorder="1">
      <alignment vertical="center"/>
    </xf>
    <xf numFmtId="176" fontId="28" fillId="2" borderId="96" xfId="0" applyNumberFormat="1" applyFont="1" applyFill="1" applyBorder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right" vertical="center"/>
    </xf>
    <xf numFmtId="14" fontId="35" fillId="0" borderId="0" xfId="0" applyNumberFormat="1" applyFont="1" applyAlignment="1">
      <alignment horizontal="left" vertical="center"/>
    </xf>
    <xf numFmtId="0" fontId="34" fillId="0" borderId="0" xfId="0" applyFont="1" applyAlignment="1"/>
    <xf numFmtId="0" fontId="35" fillId="0" borderId="0" xfId="0" applyFont="1" applyAlignment="1"/>
    <xf numFmtId="0" fontId="35" fillId="2" borderId="33" xfId="0" applyFont="1" applyFill="1" applyBorder="1">
      <alignment vertical="center"/>
    </xf>
    <xf numFmtId="0" fontId="35" fillId="26" borderId="46" xfId="0" applyFont="1" applyFill="1" applyBorder="1">
      <alignment vertical="center"/>
    </xf>
    <xf numFmtId="0" fontId="35" fillId="26" borderId="31" xfId="0" applyFont="1" applyFill="1" applyBorder="1">
      <alignment vertical="center"/>
    </xf>
    <xf numFmtId="0" fontId="35" fillId="0" borderId="31" xfId="0" applyFont="1" applyBorder="1" applyAlignment="1">
      <alignment vertical="top"/>
    </xf>
    <xf numFmtId="0" fontId="35" fillId="2" borderId="105" xfId="0" applyFont="1" applyFill="1" applyBorder="1">
      <alignment vertical="center"/>
    </xf>
    <xf numFmtId="0" fontId="35" fillId="2" borderId="107" xfId="0" applyFont="1" applyFill="1" applyBorder="1">
      <alignment vertical="center"/>
    </xf>
    <xf numFmtId="0" fontId="35" fillId="0" borderId="37" xfId="0" applyFont="1" applyBorder="1" applyAlignment="1">
      <alignment vertical="top"/>
    </xf>
    <xf numFmtId="0" fontId="35" fillId="0" borderId="95" xfId="0" applyFont="1" applyBorder="1" applyAlignment="1">
      <alignment horizontal="left" vertical="top"/>
    </xf>
    <xf numFmtId="0" fontId="35" fillId="0" borderId="96" xfId="0" applyFont="1" applyBorder="1" applyAlignment="1">
      <alignment vertical="top"/>
    </xf>
    <xf numFmtId="0" fontId="35" fillId="2" borderId="106" xfId="0" applyFont="1" applyFill="1" applyBorder="1">
      <alignment vertical="center"/>
    </xf>
    <xf numFmtId="0" fontId="6" fillId="2" borderId="37" xfId="3" applyFill="1" applyBorder="1" applyAlignment="1">
      <alignment horizontal="left" vertical="top"/>
    </xf>
    <xf numFmtId="0" fontId="6" fillId="2" borderId="96" xfId="3" applyFill="1" applyBorder="1" applyAlignment="1">
      <alignment horizontal="left" vertical="top"/>
    </xf>
    <xf numFmtId="0" fontId="35" fillId="2" borderId="0" xfId="0" applyFont="1" applyFill="1">
      <alignment vertical="center"/>
    </xf>
    <xf numFmtId="0" fontId="35" fillId="2" borderId="0" xfId="0" applyFont="1" applyFill="1" applyAlignment="1">
      <alignment horizontal="right" vertical="center"/>
    </xf>
    <xf numFmtId="14" fontId="35" fillId="2" borderId="0" xfId="0" applyNumberFormat="1" applyFont="1" applyFill="1" applyAlignment="1">
      <alignment horizontal="left" vertical="center"/>
    </xf>
    <xf numFmtId="0" fontId="33" fillId="2" borderId="0" xfId="0" applyFont="1" applyFill="1">
      <alignment vertical="center"/>
    </xf>
    <xf numFmtId="0" fontId="35" fillId="2" borderId="0" xfId="0" applyFont="1" applyFill="1" applyAlignment="1">
      <alignment horizontal="left" vertical="top"/>
    </xf>
    <xf numFmtId="0" fontId="6" fillId="2" borderId="32" xfId="3" applyFill="1" applyBorder="1" applyAlignment="1">
      <alignment horizontal="left" vertical="top"/>
    </xf>
    <xf numFmtId="0" fontId="6" fillId="2" borderId="32" xfId="3" applyFill="1" applyBorder="1" applyAlignment="1">
      <alignment horizontal="center" vertical="center"/>
    </xf>
    <xf numFmtId="0" fontId="35" fillId="2" borderId="12" xfId="3" applyFont="1" applyFill="1" applyBorder="1">
      <alignment vertical="center"/>
    </xf>
    <xf numFmtId="0" fontId="6" fillId="2" borderId="35" xfId="3" applyFill="1" applyBorder="1" applyAlignment="1">
      <alignment horizontal="left" vertical="top"/>
    </xf>
    <xf numFmtId="0" fontId="6" fillId="2" borderId="0" xfId="3" applyFill="1">
      <alignment vertical="center"/>
    </xf>
    <xf numFmtId="0" fontId="35" fillId="2" borderId="35" xfId="0" applyFont="1" applyFill="1" applyBorder="1">
      <alignment vertical="center"/>
    </xf>
    <xf numFmtId="0" fontId="35" fillId="2" borderId="9" xfId="0" applyFont="1" applyFill="1" applyBorder="1">
      <alignment vertical="center"/>
    </xf>
    <xf numFmtId="0" fontId="35" fillId="2" borderId="97" xfId="0" applyFont="1" applyFill="1" applyBorder="1">
      <alignment vertical="center"/>
    </xf>
    <xf numFmtId="0" fontId="35" fillId="2" borderId="41" xfId="0" applyFont="1" applyFill="1" applyBorder="1">
      <alignment vertical="center"/>
    </xf>
    <xf numFmtId="0" fontId="35" fillId="2" borderId="39" xfId="0" applyFont="1" applyFill="1" applyBorder="1">
      <alignment vertical="center"/>
    </xf>
    <xf numFmtId="0" fontId="35" fillId="2" borderId="40" xfId="0" applyFont="1" applyFill="1" applyBorder="1">
      <alignment vertical="center"/>
    </xf>
    <xf numFmtId="0" fontId="35" fillId="2" borderId="42" xfId="0" applyFont="1" applyFill="1" applyBorder="1">
      <alignment vertical="center"/>
    </xf>
    <xf numFmtId="0" fontId="35" fillId="2" borderId="74" xfId="3" applyFont="1" applyFill="1" applyBorder="1">
      <alignment vertical="center"/>
    </xf>
    <xf numFmtId="176" fontId="35" fillId="27" borderId="95" xfId="0" applyNumberFormat="1" applyFont="1" applyFill="1" applyBorder="1">
      <alignment vertical="center"/>
    </xf>
    <xf numFmtId="176" fontId="35" fillId="27" borderId="69" xfId="0" applyNumberFormat="1" applyFont="1" applyFill="1" applyBorder="1">
      <alignment vertical="center"/>
    </xf>
    <xf numFmtId="176" fontId="35" fillId="27" borderId="28" xfId="0" applyNumberFormat="1" applyFont="1" applyFill="1" applyBorder="1">
      <alignment vertical="center"/>
    </xf>
    <xf numFmtId="176" fontId="35" fillId="2" borderId="90" xfId="0" applyNumberFormat="1" applyFont="1" applyFill="1" applyBorder="1" applyAlignment="1">
      <alignment vertical="center" shrinkToFit="1"/>
    </xf>
    <xf numFmtId="176" fontId="35" fillId="2" borderId="91" xfId="0" applyNumberFormat="1" applyFont="1" applyFill="1" applyBorder="1" applyAlignment="1">
      <alignment vertical="center" shrinkToFit="1"/>
    </xf>
    <xf numFmtId="176" fontId="35" fillId="2" borderId="99" xfId="0" applyNumberFormat="1" applyFont="1" applyFill="1" applyBorder="1" applyAlignment="1">
      <alignment vertical="center" shrinkToFit="1"/>
    </xf>
    <xf numFmtId="176" fontId="35" fillId="2" borderId="92" xfId="0" applyNumberFormat="1" applyFont="1" applyFill="1" applyBorder="1" applyAlignment="1">
      <alignment vertical="center" shrinkToFit="1"/>
    </xf>
    <xf numFmtId="176" fontId="35" fillId="2" borderId="90" xfId="0" applyNumberFormat="1" applyFont="1" applyFill="1" applyBorder="1">
      <alignment vertical="center"/>
    </xf>
    <xf numFmtId="176" fontId="35" fillId="2" borderId="91" xfId="0" applyNumberFormat="1" applyFont="1" applyFill="1" applyBorder="1">
      <alignment vertical="center"/>
    </xf>
    <xf numFmtId="176" fontId="35" fillId="2" borderId="99" xfId="0" applyNumberFormat="1" applyFont="1" applyFill="1" applyBorder="1">
      <alignment vertical="center"/>
    </xf>
    <xf numFmtId="176" fontId="35" fillId="2" borderId="92" xfId="0" applyNumberFormat="1" applyFont="1" applyFill="1" applyBorder="1">
      <alignment vertical="center"/>
    </xf>
    <xf numFmtId="176" fontId="35" fillId="27" borderId="73" xfId="0" applyNumberFormat="1" applyFont="1" applyFill="1" applyBorder="1">
      <alignment vertical="center"/>
    </xf>
    <xf numFmtId="180" fontId="35" fillId="28" borderId="71" xfId="86" applyNumberFormat="1" applyFont="1" applyFill="1" applyBorder="1" applyAlignment="1">
      <alignment horizontal="right" vertical="center"/>
    </xf>
    <xf numFmtId="180" fontId="35" fillId="28" borderId="70" xfId="86" applyNumberFormat="1" applyFont="1" applyFill="1" applyBorder="1" applyAlignment="1">
      <alignment horizontal="right" vertical="center"/>
    </xf>
    <xf numFmtId="177" fontId="35" fillId="27" borderId="95" xfId="0" applyNumberFormat="1" applyFont="1" applyFill="1" applyBorder="1">
      <alignment vertical="center"/>
    </xf>
    <xf numFmtId="177" fontId="35" fillId="27" borderId="69" xfId="0" applyNumberFormat="1" applyFont="1" applyFill="1" applyBorder="1">
      <alignment vertical="center"/>
    </xf>
    <xf numFmtId="177" fontId="35" fillId="27" borderId="28" xfId="0" applyNumberFormat="1" applyFont="1" applyFill="1" applyBorder="1">
      <alignment vertical="center"/>
    </xf>
    <xf numFmtId="177" fontId="35" fillId="27" borderId="73" xfId="0" applyNumberFormat="1" applyFont="1" applyFill="1" applyBorder="1">
      <alignment vertical="center"/>
    </xf>
    <xf numFmtId="176" fontId="35" fillId="27" borderId="73" xfId="0" applyNumberFormat="1" applyFont="1" applyFill="1" applyBorder="1" applyAlignment="1">
      <alignment vertical="center" shrinkToFit="1"/>
    </xf>
    <xf numFmtId="176" fontId="35" fillId="27" borderId="69" xfId="0" applyNumberFormat="1" applyFont="1" applyFill="1" applyBorder="1" applyAlignment="1">
      <alignment vertical="center" shrinkToFit="1"/>
    </xf>
    <xf numFmtId="180" fontId="35" fillId="28" borderId="71" xfId="86" applyNumberFormat="1" applyFont="1" applyFill="1" applyBorder="1" applyAlignment="1">
      <alignment horizontal="right" vertical="center" shrinkToFit="1"/>
    </xf>
    <xf numFmtId="180" fontId="35" fillId="28" borderId="70" xfId="86" applyNumberFormat="1" applyFont="1" applyFill="1" applyBorder="1" applyAlignment="1">
      <alignment horizontal="right" vertical="center" shrinkToFit="1"/>
    </xf>
    <xf numFmtId="180" fontId="35" fillId="29" borderId="71" xfId="86" applyNumberFormat="1" applyFont="1" applyFill="1" applyBorder="1" applyAlignment="1">
      <alignment horizontal="right" vertical="center"/>
    </xf>
    <xf numFmtId="176" fontId="35" fillId="2" borderId="100" xfId="0" applyNumberFormat="1" applyFont="1" applyFill="1" applyBorder="1" applyAlignment="1">
      <alignment vertical="center" shrinkToFit="1"/>
    </xf>
    <xf numFmtId="176" fontId="35" fillId="2" borderId="101" xfId="0" applyNumberFormat="1" applyFont="1" applyFill="1" applyBorder="1" applyAlignment="1">
      <alignment vertical="center" shrinkToFit="1"/>
    </xf>
    <xf numFmtId="180" fontId="35" fillId="2" borderId="102" xfId="86" applyNumberFormat="1" applyFont="1" applyFill="1" applyBorder="1" applyAlignment="1">
      <alignment vertical="center" shrinkToFit="1"/>
    </xf>
    <xf numFmtId="180" fontId="35" fillId="2" borderId="103" xfId="86" applyNumberFormat="1" applyFont="1" applyFill="1" applyBorder="1" applyAlignment="1">
      <alignment vertical="center" shrinkToFit="1"/>
    </xf>
    <xf numFmtId="180" fontId="35" fillId="2" borderId="99" xfId="86" applyNumberFormat="1" applyFont="1" applyFill="1" applyBorder="1">
      <alignment vertical="center"/>
    </xf>
    <xf numFmtId="180" fontId="35" fillId="2" borderId="92" xfId="86" applyNumberFormat="1" applyFont="1" applyFill="1" applyBorder="1">
      <alignment vertical="center"/>
    </xf>
    <xf numFmtId="0" fontId="35" fillId="2" borderId="160" xfId="3" applyFont="1" applyFill="1" applyBorder="1">
      <alignment vertical="center"/>
    </xf>
    <xf numFmtId="176" fontId="35" fillId="27" borderId="152" xfId="0" applyNumberFormat="1" applyFont="1" applyFill="1" applyBorder="1">
      <alignment vertical="center"/>
    </xf>
    <xf numFmtId="176" fontId="35" fillId="27" borderId="159" xfId="0" applyNumberFormat="1" applyFont="1" applyFill="1" applyBorder="1">
      <alignment vertical="center"/>
    </xf>
    <xf numFmtId="180" fontId="35" fillId="28" borderId="158" xfId="86" applyNumberFormat="1" applyFont="1" applyFill="1" applyBorder="1" applyAlignment="1">
      <alignment horizontal="right" vertical="center"/>
    </xf>
    <xf numFmtId="180" fontId="35" fillId="28" borderId="157" xfId="86" applyNumberFormat="1" applyFont="1" applyFill="1" applyBorder="1" applyAlignment="1">
      <alignment horizontal="right" vertical="center"/>
    </xf>
    <xf numFmtId="177" fontId="35" fillId="27" borderId="152" xfId="0" applyNumberFormat="1" applyFont="1" applyFill="1" applyBorder="1">
      <alignment vertical="center"/>
    </xf>
    <xf numFmtId="177" fontId="35" fillId="27" borderId="159" xfId="0" applyNumberFormat="1" applyFont="1" applyFill="1" applyBorder="1">
      <alignment vertical="center"/>
    </xf>
    <xf numFmtId="176" fontId="35" fillId="27" borderId="77" xfId="0" applyNumberFormat="1" applyFont="1" applyFill="1" applyBorder="1">
      <alignment vertical="center"/>
    </xf>
    <xf numFmtId="176" fontId="35" fillId="27" borderId="75" xfId="0" applyNumberFormat="1" applyFont="1" applyFill="1" applyBorder="1">
      <alignment vertical="center"/>
    </xf>
    <xf numFmtId="180" fontId="35" fillId="28" borderId="74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/>
    </xf>
    <xf numFmtId="0" fontId="6" fillId="2" borderId="6" xfId="3" applyFill="1" applyBorder="1">
      <alignment vertical="center"/>
    </xf>
    <xf numFmtId="176" fontId="35" fillId="0" borderId="37" xfId="0" applyNumberFormat="1" applyFont="1" applyBorder="1">
      <alignment vertical="center"/>
    </xf>
    <xf numFmtId="176" fontId="35" fillId="0" borderId="39" xfId="0" applyNumberFormat="1" applyFont="1" applyBorder="1">
      <alignment vertical="center"/>
    </xf>
    <xf numFmtId="176" fontId="35" fillId="0" borderId="7" xfId="0" applyNumberFormat="1" applyFont="1" applyBorder="1">
      <alignment vertical="center"/>
    </xf>
    <xf numFmtId="176" fontId="35" fillId="0" borderId="41" xfId="0" applyNumberFormat="1" applyFont="1" applyBorder="1">
      <alignment vertical="center"/>
    </xf>
    <xf numFmtId="180" fontId="35" fillId="0" borderId="40" xfId="86" applyNumberFormat="1" applyFont="1" applyFill="1" applyBorder="1">
      <alignment vertical="center"/>
    </xf>
    <xf numFmtId="180" fontId="35" fillId="0" borderId="42" xfId="86" applyNumberFormat="1" applyFont="1" applyFill="1" applyBorder="1">
      <alignment vertical="center"/>
    </xf>
    <xf numFmtId="0" fontId="35" fillId="2" borderId="0" xfId="3" applyFont="1" applyFill="1" applyAlignment="1">
      <alignment horizontal="left" vertical="top"/>
    </xf>
    <xf numFmtId="176" fontId="35" fillId="27" borderId="93" xfId="0" applyNumberFormat="1" applyFont="1" applyFill="1" applyBorder="1">
      <alignment vertical="center"/>
    </xf>
    <xf numFmtId="176" fontId="35" fillId="27" borderId="14" xfId="0" applyNumberFormat="1" applyFont="1" applyFill="1" applyBorder="1">
      <alignment vertical="center"/>
    </xf>
    <xf numFmtId="0" fontId="35" fillId="2" borderId="44" xfId="3" applyFont="1" applyFill="1" applyBorder="1" applyAlignment="1">
      <alignment horizontal="left" vertical="top"/>
    </xf>
    <xf numFmtId="0" fontId="35" fillId="2" borderId="45" xfId="3" applyFont="1" applyFill="1" applyBorder="1">
      <alignment vertical="center"/>
    </xf>
    <xf numFmtId="176" fontId="35" fillId="27" borderId="37" xfId="0" applyNumberFormat="1" applyFont="1" applyFill="1" applyBorder="1">
      <alignment vertical="center"/>
    </xf>
    <xf numFmtId="176" fontId="35" fillId="27" borderId="39" xfId="0" applyNumberFormat="1" applyFont="1" applyFill="1" applyBorder="1">
      <alignment vertical="center"/>
    </xf>
    <xf numFmtId="176" fontId="35" fillId="27" borderId="7" xfId="0" applyNumberFormat="1" applyFont="1" applyFill="1" applyBorder="1">
      <alignment vertical="center"/>
    </xf>
    <xf numFmtId="176" fontId="35" fillId="27" borderId="41" xfId="0" applyNumberFormat="1" applyFont="1" applyFill="1" applyBorder="1" applyAlignment="1">
      <alignment vertical="center" shrinkToFit="1"/>
    </xf>
    <xf numFmtId="176" fontId="35" fillId="27" borderId="39" xfId="0" applyNumberFormat="1" applyFont="1" applyFill="1" applyBorder="1" applyAlignment="1">
      <alignment vertical="center" shrinkToFit="1"/>
    </xf>
    <xf numFmtId="180" fontId="35" fillId="28" borderId="40" xfId="86" applyNumberFormat="1" applyFont="1" applyFill="1" applyBorder="1" applyAlignment="1">
      <alignment horizontal="right" vertical="center" shrinkToFit="1"/>
    </xf>
    <xf numFmtId="180" fontId="35" fillId="28" borderId="42" xfId="86" applyNumberFormat="1" applyFont="1" applyFill="1" applyBorder="1" applyAlignment="1">
      <alignment horizontal="right" vertical="center" shrinkToFit="1"/>
    </xf>
    <xf numFmtId="3" fontId="6" fillId="2" borderId="47" xfId="3" applyNumberFormat="1" applyFill="1" applyBorder="1" applyAlignment="1">
      <alignment horizontal="left" vertical="top"/>
    </xf>
    <xf numFmtId="0" fontId="35" fillId="2" borderId="65" xfId="3" applyFont="1" applyFill="1" applyBorder="1">
      <alignment vertical="center"/>
    </xf>
    <xf numFmtId="176" fontId="35" fillId="27" borderId="96" xfId="0" applyNumberFormat="1" applyFont="1" applyFill="1" applyBorder="1">
      <alignment vertical="center"/>
    </xf>
    <xf numFmtId="176" fontId="35" fillId="27" borderId="66" xfId="0" applyNumberFormat="1" applyFont="1" applyFill="1" applyBorder="1">
      <alignment vertical="center"/>
    </xf>
    <xf numFmtId="176" fontId="35" fillId="27" borderId="19" xfId="0" applyNumberFormat="1" applyFont="1" applyFill="1" applyBorder="1">
      <alignment vertical="center"/>
    </xf>
    <xf numFmtId="176" fontId="35" fillId="27" borderId="67" xfId="0" applyNumberFormat="1" applyFont="1" applyFill="1" applyBorder="1">
      <alignment vertical="center"/>
    </xf>
    <xf numFmtId="180" fontId="35" fillId="28" borderId="65" xfId="86" applyNumberFormat="1" applyFont="1" applyFill="1" applyBorder="1" applyAlignment="1">
      <alignment horizontal="right" vertical="center"/>
    </xf>
    <xf numFmtId="180" fontId="35" fillId="28" borderId="68" xfId="86" applyNumberFormat="1" applyFont="1" applyFill="1" applyBorder="1" applyAlignment="1">
      <alignment horizontal="right" vertical="center"/>
    </xf>
    <xf numFmtId="0" fontId="35" fillId="2" borderId="31" xfId="3" applyFont="1" applyFill="1" applyBorder="1">
      <alignment vertical="center"/>
    </xf>
    <xf numFmtId="0" fontId="35" fillId="2" borderId="3" xfId="3" applyFont="1" applyFill="1" applyBorder="1">
      <alignment vertical="center"/>
    </xf>
    <xf numFmtId="176" fontId="35" fillId="28" borderId="46" xfId="0" applyNumberFormat="1" applyFont="1" applyFill="1" applyBorder="1" applyAlignment="1">
      <alignment vertical="center" shrinkToFit="1"/>
    </xf>
    <xf numFmtId="176" fontId="35" fillId="28" borderId="30" xfId="0" applyNumberFormat="1" applyFont="1" applyFill="1" applyBorder="1" applyAlignment="1">
      <alignment vertical="center" shrinkToFit="1"/>
    </xf>
    <xf numFmtId="176" fontId="35" fillId="28" borderId="55" xfId="0" applyNumberFormat="1" applyFont="1" applyFill="1" applyBorder="1" applyAlignment="1">
      <alignment vertical="center" shrinkToFit="1"/>
    </xf>
    <xf numFmtId="176" fontId="35" fillId="28" borderId="17" xfId="0" applyNumberFormat="1" applyFont="1" applyFill="1" applyBorder="1" applyAlignment="1">
      <alignment vertical="center" shrinkToFit="1"/>
    </xf>
    <xf numFmtId="180" fontId="35" fillId="28" borderId="49" xfId="86" applyNumberFormat="1" applyFont="1" applyFill="1" applyBorder="1" applyAlignment="1">
      <alignment horizontal="right" vertical="center" shrinkToFit="1"/>
    </xf>
    <xf numFmtId="180" fontId="35" fillId="28" borderId="50" xfId="86" applyNumberFormat="1" applyFont="1" applyFill="1" applyBorder="1" applyAlignment="1">
      <alignment horizontal="right" vertical="center" shrinkToFit="1"/>
    </xf>
    <xf numFmtId="0" fontId="35" fillId="2" borderId="0" xfId="3" applyFont="1" applyFill="1">
      <alignment vertical="center"/>
    </xf>
    <xf numFmtId="176" fontId="35" fillId="2" borderId="0" xfId="0" applyNumberFormat="1" applyFont="1" applyFill="1" applyAlignment="1">
      <alignment vertical="center" shrinkToFit="1"/>
    </xf>
    <xf numFmtId="0" fontId="35" fillId="2" borderId="51" xfId="0" applyFont="1" applyFill="1" applyBorder="1">
      <alignment vertical="center"/>
    </xf>
    <xf numFmtId="0" fontId="35" fillId="2" borderId="36" xfId="3" applyFont="1" applyFill="1" applyBorder="1">
      <alignment vertical="center"/>
    </xf>
    <xf numFmtId="0" fontId="6" fillId="2" borderId="51" xfId="3" applyFill="1" applyBorder="1">
      <alignment vertical="center"/>
    </xf>
    <xf numFmtId="0" fontId="35" fillId="2" borderId="37" xfId="0" applyFont="1" applyFill="1" applyBorder="1">
      <alignment vertical="center"/>
    </xf>
    <xf numFmtId="0" fontId="35" fillId="2" borderId="38" xfId="0" applyFont="1" applyFill="1" applyBorder="1">
      <alignment vertical="center"/>
    </xf>
    <xf numFmtId="176" fontId="35" fillId="27" borderId="95" xfId="0" applyNumberFormat="1" applyFont="1" applyFill="1" applyBorder="1" applyAlignment="1">
      <alignment vertical="center" shrinkToFit="1"/>
    </xf>
    <xf numFmtId="176" fontId="35" fillId="27" borderId="72" xfId="0" applyNumberFormat="1" applyFont="1" applyFill="1" applyBorder="1" applyAlignment="1">
      <alignment vertical="center" shrinkToFit="1"/>
    </xf>
    <xf numFmtId="176" fontId="35" fillId="27" borderId="71" xfId="0" applyNumberFormat="1" applyFont="1" applyFill="1" applyBorder="1" applyAlignment="1">
      <alignment vertical="center" shrinkToFit="1"/>
    </xf>
    <xf numFmtId="177" fontId="35" fillId="27" borderId="95" xfId="0" applyNumberFormat="1" applyFont="1" applyFill="1" applyBorder="1" applyAlignment="1">
      <alignment vertical="center" shrinkToFit="1"/>
    </xf>
    <xf numFmtId="177" fontId="35" fillId="27" borderId="69" xfId="0" applyNumberFormat="1" applyFont="1" applyFill="1" applyBorder="1" applyAlignment="1">
      <alignment vertical="center" shrinkToFit="1"/>
    </xf>
    <xf numFmtId="177" fontId="35" fillId="27" borderId="72" xfId="0" applyNumberFormat="1" applyFont="1" applyFill="1" applyBorder="1" applyAlignment="1">
      <alignment vertical="center" shrinkToFit="1"/>
    </xf>
    <xf numFmtId="177" fontId="35" fillId="27" borderId="73" xfId="0" applyNumberFormat="1" applyFont="1" applyFill="1" applyBorder="1" applyAlignment="1">
      <alignment vertical="center" shrinkToFit="1"/>
    </xf>
    <xf numFmtId="177" fontId="35" fillId="27" borderId="71" xfId="0" applyNumberFormat="1" applyFont="1" applyFill="1" applyBorder="1" applyAlignment="1">
      <alignment vertical="center" shrinkToFit="1"/>
    </xf>
    <xf numFmtId="176" fontId="35" fillId="27" borderId="152" xfId="0" applyNumberFormat="1" applyFont="1" applyFill="1" applyBorder="1" applyAlignment="1">
      <alignment vertical="center" shrinkToFit="1"/>
    </xf>
    <xf numFmtId="176" fontId="35" fillId="27" borderId="158" xfId="0" applyNumberFormat="1" applyFont="1" applyFill="1" applyBorder="1" applyAlignment="1">
      <alignment vertical="center" shrinkToFit="1"/>
    </xf>
    <xf numFmtId="180" fontId="35" fillId="28" borderId="158" xfId="86" applyNumberFormat="1" applyFont="1" applyFill="1" applyBorder="1" applyAlignment="1">
      <alignment horizontal="right" vertical="center" shrinkToFit="1"/>
    </xf>
    <xf numFmtId="180" fontId="35" fillId="28" borderId="157" xfId="86" applyNumberFormat="1" applyFont="1" applyFill="1" applyBorder="1" applyAlignment="1">
      <alignment horizontal="right" vertical="center" shrinkToFit="1"/>
    </xf>
    <xf numFmtId="177" fontId="35" fillId="27" borderId="152" xfId="0" applyNumberFormat="1" applyFont="1" applyFill="1" applyBorder="1" applyAlignment="1">
      <alignment vertical="center" shrinkToFit="1"/>
    </xf>
    <xf numFmtId="177" fontId="35" fillId="27" borderId="158" xfId="0" applyNumberFormat="1" applyFont="1" applyFill="1" applyBorder="1" applyAlignment="1">
      <alignment vertical="center" shrinkToFit="1"/>
    </xf>
    <xf numFmtId="176" fontId="35" fillId="27" borderId="67" xfId="0" applyNumberFormat="1" applyFont="1" applyFill="1" applyBorder="1" applyAlignment="1">
      <alignment vertical="center" shrinkToFit="1"/>
    </xf>
    <xf numFmtId="176" fontId="35" fillId="27" borderId="66" xfId="0" applyNumberFormat="1" applyFont="1" applyFill="1" applyBorder="1" applyAlignment="1">
      <alignment vertical="center" shrinkToFit="1"/>
    </xf>
    <xf numFmtId="176" fontId="35" fillId="27" borderId="65" xfId="0" applyNumberFormat="1" applyFont="1" applyFill="1" applyBorder="1" applyAlignment="1">
      <alignment vertical="center" shrinkToFit="1"/>
    </xf>
    <xf numFmtId="0" fontId="6" fillId="2" borderId="52" xfId="3" applyFill="1" applyBorder="1">
      <alignment vertical="center"/>
    </xf>
    <xf numFmtId="176" fontId="35" fillId="2" borderId="37" xfId="0" applyNumberFormat="1" applyFont="1" applyFill="1" applyBorder="1" applyAlignment="1">
      <alignment vertical="center" shrinkToFit="1"/>
    </xf>
    <xf numFmtId="176" fontId="35" fillId="2" borderId="39" xfId="0" applyNumberFormat="1" applyFont="1" applyFill="1" applyBorder="1" applyAlignment="1">
      <alignment vertical="center" shrinkToFit="1"/>
    </xf>
    <xf numFmtId="176" fontId="35" fillId="2" borderId="7" xfId="0" applyNumberFormat="1" applyFont="1" applyFill="1" applyBorder="1" applyAlignment="1">
      <alignment vertical="center" shrinkToFit="1"/>
    </xf>
    <xf numFmtId="176" fontId="35" fillId="2" borderId="38" xfId="0" applyNumberFormat="1" applyFont="1" applyFill="1" applyBorder="1" applyAlignment="1">
      <alignment vertical="center" shrinkToFit="1"/>
    </xf>
    <xf numFmtId="176" fontId="35" fillId="2" borderId="40" xfId="0" applyNumberFormat="1" applyFont="1" applyFill="1" applyBorder="1" applyAlignment="1">
      <alignment vertical="center" shrinkToFit="1"/>
    </xf>
    <xf numFmtId="180" fontId="35" fillId="2" borderId="40" xfId="86" applyNumberFormat="1" applyFont="1" applyFill="1" applyBorder="1">
      <alignment vertical="center"/>
    </xf>
    <xf numFmtId="176" fontId="35" fillId="2" borderId="41" xfId="0" applyNumberFormat="1" applyFont="1" applyFill="1" applyBorder="1" applyAlignment="1">
      <alignment vertical="center" shrinkToFit="1"/>
    </xf>
    <xf numFmtId="180" fontId="35" fillId="2" borderId="42" xfId="86" applyNumberFormat="1" applyFont="1" applyFill="1" applyBorder="1">
      <alignment vertical="center"/>
    </xf>
    <xf numFmtId="176" fontId="35" fillId="27" borderId="28" xfId="0" applyNumberFormat="1" applyFont="1" applyFill="1" applyBorder="1" applyAlignment="1">
      <alignment vertical="center" shrinkToFit="1"/>
    </xf>
    <xf numFmtId="177" fontId="35" fillId="27" borderId="28" xfId="0" applyNumberFormat="1" applyFont="1" applyFill="1" applyBorder="1" applyAlignment="1">
      <alignment vertical="center" shrinkToFit="1"/>
    </xf>
    <xf numFmtId="0" fontId="6" fillId="2" borderId="29" xfId="3" applyFill="1" applyBorder="1" applyAlignment="1">
      <alignment horizontal="left" vertical="top"/>
    </xf>
    <xf numFmtId="176" fontId="35" fillId="27" borderId="79" xfId="0" applyNumberFormat="1" applyFont="1" applyFill="1" applyBorder="1" applyAlignment="1">
      <alignment vertical="center" shrinkToFit="1"/>
    </xf>
    <xf numFmtId="176" fontId="35" fillId="27" borderId="75" xfId="0" applyNumberFormat="1" applyFont="1" applyFill="1" applyBorder="1" applyAlignment="1">
      <alignment vertical="center" shrinkToFit="1"/>
    </xf>
    <xf numFmtId="176" fontId="35" fillId="27" borderId="74" xfId="0" applyNumberFormat="1" applyFont="1" applyFill="1" applyBorder="1" applyAlignment="1">
      <alignment vertical="center" shrinkToFit="1"/>
    </xf>
    <xf numFmtId="176" fontId="35" fillId="27" borderId="77" xfId="0" applyNumberFormat="1" applyFont="1" applyFill="1" applyBorder="1" applyAlignment="1">
      <alignment vertical="center" shrinkToFit="1"/>
    </xf>
    <xf numFmtId="0" fontId="6" fillId="2" borderId="36" xfId="2" applyFill="1" applyBorder="1" applyAlignment="1">
      <alignment vertical="center"/>
    </xf>
    <xf numFmtId="0" fontId="6" fillId="2" borderId="40" xfId="3" applyFill="1" applyBorder="1" applyAlignment="1">
      <alignment horizontal="left" vertical="top"/>
    </xf>
    <xf numFmtId="176" fontId="35" fillId="0" borderId="90" xfId="0" applyNumberFormat="1" applyFont="1" applyBorder="1" applyAlignment="1">
      <alignment vertical="center" shrinkToFit="1"/>
    </xf>
    <xf numFmtId="180" fontId="35" fillId="0" borderId="92" xfId="86" applyNumberFormat="1" applyFont="1" applyFill="1" applyBorder="1" applyAlignment="1">
      <alignment horizontal="right" vertical="center" shrinkToFit="1"/>
    </xf>
    <xf numFmtId="176" fontId="35" fillId="27" borderId="93" xfId="0" applyNumberFormat="1" applyFont="1" applyFill="1" applyBorder="1" applyAlignment="1">
      <alignment vertical="center" shrinkToFit="1"/>
    </xf>
    <xf numFmtId="176" fontId="35" fillId="27" borderId="14" xfId="0" applyNumberFormat="1" applyFont="1" applyFill="1" applyBorder="1" applyAlignment="1">
      <alignment vertical="center" shrinkToFit="1"/>
    </xf>
    <xf numFmtId="176" fontId="35" fillId="27" borderId="76" xfId="0" applyNumberFormat="1" applyFont="1" applyFill="1" applyBorder="1" applyAlignment="1">
      <alignment vertical="center" shrinkToFit="1"/>
    </xf>
    <xf numFmtId="176" fontId="35" fillId="0" borderId="149" xfId="0" applyNumberFormat="1" applyFont="1" applyBorder="1" applyAlignment="1">
      <alignment vertical="center" shrinkToFit="1"/>
    </xf>
    <xf numFmtId="180" fontId="35" fillId="0" borderId="150" xfId="86" applyNumberFormat="1" applyFont="1" applyFill="1" applyBorder="1" applyAlignment="1">
      <alignment horizontal="right" vertical="center"/>
    </xf>
    <xf numFmtId="0" fontId="35" fillId="2" borderId="23" xfId="3" applyFont="1" applyFill="1" applyBorder="1" applyAlignment="1">
      <alignment horizontal="left" vertical="top" wrapText="1"/>
    </xf>
    <xf numFmtId="0" fontId="35" fillId="2" borderId="22" xfId="3" applyFont="1" applyFill="1" applyBorder="1">
      <alignment vertical="center"/>
    </xf>
    <xf numFmtId="176" fontId="35" fillId="27" borderId="37" xfId="0" applyNumberFormat="1" applyFont="1" applyFill="1" applyBorder="1" applyAlignment="1">
      <alignment vertical="center" shrinkToFit="1"/>
    </xf>
    <xf numFmtId="176" fontId="35" fillId="27" borderId="7" xfId="0" applyNumberFormat="1" applyFont="1" applyFill="1" applyBorder="1" applyAlignment="1">
      <alignment vertical="center" shrinkToFit="1"/>
    </xf>
    <xf numFmtId="176" fontId="35" fillId="27" borderId="38" xfId="0" applyNumberFormat="1" applyFont="1" applyFill="1" applyBorder="1" applyAlignment="1">
      <alignment vertical="center" shrinkToFit="1"/>
    </xf>
    <xf numFmtId="176" fontId="35" fillId="27" borderId="40" xfId="0" applyNumberFormat="1" applyFont="1" applyFill="1" applyBorder="1" applyAlignment="1">
      <alignment vertical="center" shrinkToFit="1"/>
    </xf>
    <xf numFmtId="176" fontId="35" fillId="27" borderId="96" xfId="0" applyNumberFormat="1" applyFont="1" applyFill="1" applyBorder="1" applyAlignment="1">
      <alignment vertical="center" shrinkToFit="1"/>
    </xf>
    <xf numFmtId="176" fontId="35" fillId="27" borderId="19" xfId="0" applyNumberFormat="1" applyFont="1" applyFill="1" applyBorder="1" applyAlignment="1">
      <alignment vertical="center" shrinkToFit="1"/>
    </xf>
    <xf numFmtId="0" fontId="37" fillId="2" borderId="0" xfId="0" applyFont="1" applyFill="1">
      <alignment vertical="center"/>
    </xf>
    <xf numFmtId="177" fontId="35" fillId="2" borderId="0" xfId="0" applyNumberFormat="1" applyFont="1" applyFill="1">
      <alignment vertical="center"/>
    </xf>
    <xf numFmtId="0" fontId="35" fillId="2" borderId="43" xfId="3" applyFont="1" applyFill="1" applyBorder="1">
      <alignment vertical="center"/>
    </xf>
    <xf numFmtId="0" fontId="6" fillId="2" borderId="51" xfId="3" applyFill="1" applyBorder="1" applyAlignment="1">
      <alignment horizontal="left" vertical="top"/>
    </xf>
    <xf numFmtId="0" fontId="35" fillId="2" borderId="122" xfId="3" applyFont="1" applyFill="1" applyBorder="1">
      <alignment vertical="center"/>
    </xf>
    <xf numFmtId="176" fontId="35" fillId="2" borderId="12" xfId="0" applyNumberFormat="1" applyFont="1" applyFill="1" applyBorder="1" applyAlignment="1">
      <alignment vertical="center" shrinkToFit="1"/>
    </xf>
    <xf numFmtId="176" fontId="35" fillId="2" borderId="29" xfId="0" applyNumberFormat="1" applyFont="1" applyFill="1" applyBorder="1" applyAlignment="1">
      <alignment vertical="center" shrinkToFit="1"/>
    </xf>
    <xf numFmtId="176" fontId="35" fillId="2" borderId="22" xfId="0" applyNumberFormat="1" applyFont="1" applyFill="1" applyBorder="1" applyAlignment="1">
      <alignment vertical="center" shrinkToFit="1"/>
    </xf>
    <xf numFmtId="176" fontId="35" fillId="2" borderId="36" xfId="0" applyNumberFormat="1" applyFont="1" applyFill="1" applyBorder="1" applyAlignment="1">
      <alignment vertical="center" shrinkToFit="1"/>
    </xf>
    <xf numFmtId="176" fontId="35" fillId="2" borderId="147" xfId="0" applyNumberFormat="1" applyFont="1" applyFill="1" applyBorder="1" applyAlignment="1">
      <alignment vertical="center" shrinkToFit="1"/>
    </xf>
    <xf numFmtId="0" fontId="6" fillId="2" borderId="71" xfId="3" applyFill="1" applyBorder="1" applyAlignment="1">
      <alignment horizontal="left" vertical="top"/>
    </xf>
    <xf numFmtId="0" fontId="35" fillId="2" borderId="28" xfId="3" applyFont="1" applyFill="1" applyBorder="1">
      <alignment vertical="center"/>
    </xf>
    <xf numFmtId="176" fontId="35" fillId="2" borderId="152" xfId="0" applyNumberFormat="1" applyFont="1" applyFill="1" applyBorder="1" applyAlignment="1">
      <alignment vertical="center" shrinkToFit="1"/>
    </xf>
    <xf numFmtId="176" fontId="35" fillId="2" borderId="69" xfId="0" applyNumberFormat="1" applyFont="1" applyFill="1" applyBorder="1" applyAlignment="1">
      <alignment vertical="center" shrinkToFit="1"/>
    </xf>
    <xf numFmtId="176" fontId="35" fillId="2" borderId="72" xfId="0" applyNumberFormat="1" applyFont="1" applyFill="1" applyBorder="1" applyAlignment="1">
      <alignment vertical="center" shrinkToFit="1"/>
    </xf>
    <xf numFmtId="176" fontId="35" fillId="2" borderId="106" xfId="0" applyNumberFormat="1" applyFont="1" applyFill="1" applyBorder="1" applyAlignment="1">
      <alignment vertical="center" shrinkToFit="1"/>
    </xf>
    <xf numFmtId="176" fontId="35" fillId="2" borderId="73" xfId="0" applyNumberFormat="1" applyFont="1" applyFill="1" applyBorder="1" applyAlignment="1">
      <alignment vertical="center" shrinkToFit="1"/>
    </xf>
    <xf numFmtId="176" fontId="35" fillId="2" borderId="158" xfId="0" applyNumberFormat="1" applyFont="1" applyFill="1" applyBorder="1" applyAlignment="1">
      <alignment vertical="center" shrinkToFit="1"/>
    </xf>
    <xf numFmtId="0" fontId="35" fillId="2" borderId="17" xfId="3" applyFont="1" applyFill="1" applyBorder="1">
      <alignment vertical="center"/>
    </xf>
    <xf numFmtId="0" fontId="6" fillId="2" borderId="65" xfId="3" applyFill="1" applyBorder="1" applyAlignment="1">
      <alignment horizontal="left" vertical="top"/>
    </xf>
    <xf numFmtId="0" fontId="35" fillId="2" borderId="19" xfId="3" applyFont="1" applyFill="1" applyBorder="1">
      <alignment vertical="center"/>
    </xf>
    <xf numFmtId="176" fontId="35" fillId="2" borderId="67" xfId="0" applyNumberFormat="1" applyFont="1" applyFill="1" applyBorder="1" applyAlignment="1">
      <alignment vertical="center" shrinkToFit="1"/>
    </xf>
    <xf numFmtId="176" fontId="35" fillId="2" borderId="66" xfId="0" applyNumberFormat="1" applyFont="1" applyFill="1" applyBorder="1" applyAlignment="1">
      <alignment vertical="center" shrinkToFit="1"/>
    </xf>
    <xf numFmtId="176" fontId="35" fillId="2" borderId="65" xfId="0" applyNumberFormat="1" applyFont="1" applyFill="1" applyBorder="1" applyAlignment="1">
      <alignment vertical="center" shrinkToFit="1"/>
    </xf>
    <xf numFmtId="176" fontId="35" fillId="2" borderId="107" xfId="0" applyNumberFormat="1" applyFont="1" applyFill="1" applyBorder="1" applyAlignment="1">
      <alignment vertical="center" shrinkToFit="1"/>
    </xf>
    <xf numFmtId="0" fontId="35" fillId="2" borderId="28" xfId="0" applyFont="1" applyFill="1" applyBorder="1">
      <alignment vertical="center"/>
    </xf>
    <xf numFmtId="0" fontId="35" fillId="2" borderId="19" xfId="0" applyFont="1" applyFill="1" applyBorder="1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14" fontId="28" fillId="0" borderId="0" xfId="0" applyNumberFormat="1" applyFont="1" applyAlignment="1">
      <alignment horizontal="left"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horizontal="left" vertical="top"/>
    </xf>
    <xf numFmtId="0" fontId="28" fillId="2" borderId="14" xfId="0" applyFont="1" applyFill="1" applyBorder="1">
      <alignment vertical="center"/>
    </xf>
    <xf numFmtId="0" fontId="28" fillId="2" borderId="51" xfId="0" applyFont="1" applyFill="1" applyBorder="1" applyAlignment="1">
      <alignment horizontal="left" vertical="top"/>
    </xf>
    <xf numFmtId="0" fontId="36" fillId="2" borderId="51" xfId="0" applyFont="1" applyFill="1" applyBorder="1">
      <alignment vertical="center"/>
    </xf>
    <xf numFmtId="176" fontId="28" fillId="2" borderId="0" xfId="0" applyNumberFormat="1" applyFont="1" applyFill="1" applyAlignment="1">
      <alignment vertical="center" shrinkToFit="1"/>
    </xf>
    <xf numFmtId="0" fontId="28" fillId="2" borderId="27" xfId="0" applyFont="1" applyFill="1" applyBorder="1" applyAlignment="1">
      <alignment horizontal="left" vertical="top"/>
    </xf>
    <xf numFmtId="0" fontId="28" fillId="2" borderId="29" xfId="0" applyFont="1" applyFill="1" applyBorder="1" applyAlignment="1">
      <alignment horizontal="left" vertical="top"/>
    </xf>
    <xf numFmtId="0" fontId="28" fillId="2" borderId="17" xfId="0" applyFont="1" applyFill="1" applyBorder="1">
      <alignment vertical="center"/>
    </xf>
    <xf numFmtId="0" fontId="28" fillId="2" borderId="30" xfId="0" applyFont="1" applyFill="1" applyBorder="1" applyAlignment="1">
      <alignment horizontal="left" vertical="top"/>
    </xf>
    <xf numFmtId="0" fontId="28" fillId="2" borderId="43" xfId="3" applyFont="1" applyFill="1" applyBorder="1">
      <alignment vertical="center"/>
    </xf>
    <xf numFmtId="0" fontId="28" fillId="2" borderId="51" xfId="3" applyFont="1" applyFill="1" applyBorder="1">
      <alignment vertical="center"/>
    </xf>
    <xf numFmtId="0" fontId="28" fillId="2" borderId="96" xfId="3" applyFont="1" applyFill="1" applyBorder="1">
      <alignment vertical="center"/>
    </xf>
    <xf numFmtId="0" fontId="6" fillId="2" borderId="94" xfId="3" applyFill="1" applyBorder="1" applyAlignment="1">
      <alignment horizontal="left" vertical="top"/>
    </xf>
    <xf numFmtId="0" fontId="28" fillId="2" borderId="94" xfId="3" applyFont="1" applyFill="1" applyBorder="1">
      <alignment vertical="center"/>
    </xf>
    <xf numFmtId="0" fontId="28" fillId="2" borderId="31" xfId="3" applyFont="1" applyFill="1" applyBorder="1">
      <alignment vertical="center"/>
    </xf>
    <xf numFmtId="0" fontId="28" fillId="2" borderId="32" xfId="3" applyFont="1" applyFill="1" applyBorder="1">
      <alignment vertical="center"/>
    </xf>
    <xf numFmtId="0" fontId="28" fillId="2" borderId="0" xfId="3" applyFont="1" applyFill="1">
      <alignment vertical="center"/>
    </xf>
    <xf numFmtId="0" fontId="28" fillId="2" borderId="8" xfId="3" applyFont="1" applyFill="1" applyBorder="1">
      <alignment vertical="center"/>
    </xf>
    <xf numFmtId="0" fontId="28" fillId="2" borderId="52" xfId="3" applyFont="1" applyFill="1" applyBorder="1">
      <alignment vertical="center"/>
    </xf>
    <xf numFmtId="0" fontId="28" fillId="2" borderId="98" xfId="3" applyFont="1" applyFill="1" applyBorder="1">
      <alignment vertical="center"/>
    </xf>
    <xf numFmtId="0" fontId="6" fillId="2" borderId="77" xfId="2" applyFill="1" applyBorder="1" applyAlignment="1">
      <alignment vertical="center"/>
    </xf>
    <xf numFmtId="0" fontId="6" fillId="2" borderId="74" xfId="3" applyFill="1" applyBorder="1" applyAlignment="1">
      <alignment horizontal="left" vertical="top"/>
    </xf>
    <xf numFmtId="0" fontId="28" fillId="2" borderId="85" xfId="3" applyFont="1" applyFill="1" applyBorder="1">
      <alignment vertical="center"/>
    </xf>
    <xf numFmtId="0" fontId="28" fillId="2" borderId="32" xfId="0" applyFont="1" applyFill="1" applyBorder="1" applyAlignment="1">
      <alignment horizontal="left" vertical="top"/>
    </xf>
    <xf numFmtId="0" fontId="28" fillId="2" borderId="53" xfId="0" applyFont="1" applyFill="1" applyBorder="1" applyAlignment="1">
      <alignment horizontal="left" vertical="top"/>
    </xf>
    <xf numFmtId="176" fontId="28" fillId="27" borderId="17" xfId="0" applyNumberFormat="1" applyFont="1" applyFill="1" applyBorder="1" applyAlignment="1">
      <alignment vertical="center" shrinkToFit="1"/>
    </xf>
    <xf numFmtId="176" fontId="28" fillId="27" borderId="30" xfId="0" applyNumberFormat="1" applyFont="1" applyFill="1" applyBorder="1" applyAlignment="1">
      <alignment vertical="center" shrinkToFit="1"/>
    </xf>
    <xf numFmtId="176" fontId="28" fillId="27" borderId="49" xfId="0" applyNumberFormat="1" applyFont="1" applyFill="1" applyBorder="1" applyAlignment="1">
      <alignment vertical="center" shrinkToFit="1"/>
    </xf>
    <xf numFmtId="0" fontId="28" fillId="2" borderId="6" xfId="0" applyFont="1" applyFill="1" applyBorder="1" applyAlignment="1">
      <alignment horizontal="left" vertical="top"/>
    </xf>
    <xf numFmtId="0" fontId="28" fillId="2" borderId="94" xfId="0" applyFont="1" applyFill="1" applyBorder="1" applyAlignment="1">
      <alignment horizontal="left" vertical="top"/>
    </xf>
    <xf numFmtId="176" fontId="35" fillId="2" borderId="0" xfId="0" applyNumberFormat="1" applyFont="1" applyFill="1">
      <alignment vertical="center"/>
    </xf>
    <xf numFmtId="0" fontId="35" fillId="2" borderId="31" xfId="0" applyFont="1" applyFill="1" applyBorder="1">
      <alignment vertical="center"/>
    </xf>
    <xf numFmtId="0" fontId="35" fillId="2" borderId="32" xfId="0" applyFont="1" applyFill="1" applyBorder="1" applyAlignment="1">
      <alignment horizontal="left" vertical="top"/>
    </xf>
    <xf numFmtId="0" fontId="35" fillId="2" borderId="32" xfId="0" applyFont="1" applyFill="1" applyBorder="1">
      <alignment vertical="center"/>
    </xf>
    <xf numFmtId="0" fontId="35" fillId="2" borderId="6" xfId="0" applyFont="1" applyFill="1" applyBorder="1" applyAlignment="1">
      <alignment horizontal="left" vertical="top"/>
    </xf>
    <xf numFmtId="0" fontId="35" fillId="2" borderId="6" xfId="0" applyFont="1" applyFill="1" applyBorder="1">
      <alignment vertical="center"/>
    </xf>
    <xf numFmtId="0" fontId="35" fillId="2" borderId="96" xfId="0" applyFont="1" applyFill="1" applyBorder="1">
      <alignment vertical="center"/>
    </xf>
    <xf numFmtId="0" fontId="35" fillId="2" borderId="94" xfId="0" applyFont="1" applyFill="1" applyBorder="1" applyAlignment="1">
      <alignment horizontal="left" vertical="top"/>
    </xf>
    <xf numFmtId="0" fontId="35" fillId="2" borderId="94" xfId="0" applyFont="1" applyFill="1" applyBorder="1">
      <alignment vertical="center"/>
    </xf>
    <xf numFmtId="0" fontId="35" fillId="0" borderId="0" xfId="0" applyFont="1" applyAlignment="1">
      <alignment horizontal="left" vertical="center"/>
    </xf>
    <xf numFmtId="0" fontId="28" fillId="0" borderId="32" xfId="0" applyFont="1" applyBorder="1">
      <alignment vertical="center"/>
    </xf>
    <xf numFmtId="0" fontId="28" fillId="0" borderId="54" xfId="0" applyFont="1" applyBorder="1">
      <alignment vertical="center"/>
    </xf>
    <xf numFmtId="0" fontId="28" fillId="0" borderId="89" xfId="0" applyFont="1" applyBorder="1">
      <alignment vertical="center"/>
    </xf>
    <xf numFmtId="181" fontId="35" fillId="2" borderId="0" xfId="55" applyNumberFormat="1" applyFont="1" applyFill="1" applyAlignment="1">
      <alignment horizontal="right" vertical="center"/>
    </xf>
    <xf numFmtId="180" fontId="35" fillId="2" borderId="0" xfId="55" applyNumberFormat="1" applyFont="1" applyFill="1" applyAlignment="1">
      <alignment horizontal="right" vertical="center"/>
    </xf>
    <xf numFmtId="0" fontId="35" fillId="2" borderId="31" xfId="55" applyFont="1" applyFill="1" applyBorder="1">
      <alignment vertical="center"/>
    </xf>
    <xf numFmtId="0" fontId="35" fillId="2" borderId="32" xfId="55" applyFont="1" applyFill="1" applyBorder="1">
      <alignment vertical="center"/>
    </xf>
    <xf numFmtId="180" fontId="35" fillId="2" borderId="54" xfId="55" applyNumberFormat="1" applyFont="1" applyFill="1" applyBorder="1" applyAlignment="1">
      <alignment horizontal="right" vertical="center"/>
    </xf>
    <xf numFmtId="0" fontId="35" fillId="2" borderId="1" xfId="55" applyFont="1" applyFill="1" applyBorder="1" applyAlignment="1">
      <alignment horizontal="center" vertical="center"/>
    </xf>
    <xf numFmtId="0" fontId="35" fillId="2" borderId="4" xfId="55" applyFont="1" applyFill="1" applyBorder="1" applyAlignment="1">
      <alignment horizontal="center" vertical="center"/>
    </xf>
    <xf numFmtId="0" fontId="35" fillId="2" borderId="2" xfId="55" applyFont="1" applyFill="1" applyBorder="1" applyAlignment="1">
      <alignment horizontal="center" vertical="center"/>
    </xf>
    <xf numFmtId="180" fontId="35" fillId="2" borderId="7" xfId="55" applyNumberFormat="1" applyFont="1" applyFill="1" applyBorder="1" applyAlignment="1">
      <alignment horizontal="right" vertical="center"/>
    </xf>
    <xf numFmtId="182" fontId="35" fillId="27" borderId="41" xfId="55" applyNumberFormat="1" applyFont="1" applyFill="1" applyBorder="1" applyAlignment="1">
      <alignment horizontal="right" vertical="center"/>
    </xf>
    <xf numFmtId="180" fontId="35" fillId="28" borderId="42" xfId="86" applyNumberFormat="1" applyFont="1" applyFill="1" applyBorder="1" applyAlignment="1">
      <alignment horizontal="right" vertical="center"/>
    </xf>
    <xf numFmtId="182" fontId="35" fillId="27" borderId="39" xfId="55" applyNumberFormat="1" applyFont="1" applyFill="1" applyBorder="1" applyAlignment="1">
      <alignment horizontal="right" vertical="center"/>
    </xf>
    <xf numFmtId="180" fontId="35" fillId="2" borderId="28" xfId="55" applyNumberFormat="1" applyFont="1" applyFill="1" applyBorder="1" applyAlignment="1">
      <alignment horizontal="right" vertical="center"/>
    </xf>
    <xf numFmtId="182" fontId="35" fillId="27" borderId="73" xfId="55" applyNumberFormat="1" applyFont="1" applyFill="1" applyBorder="1" applyAlignment="1">
      <alignment horizontal="right" vertical="center"/>
    </xf>
    <xf numFmtId="182" fontId="35" fillId="27" borderId="69" xfId="55" applyNumberFormat="1" applyFont="1" applyFill="1" applyBorder="1" applyAlignment="1">
      <alignment horizontal="right" vertical="center"/>
    </xf>
    <xf numFmtId="0" fontId="35" fillId="2" borderId="71" xfId="55" applyFont="1" applyFill="1" applyBorder="1">
      <alignment vertical="center"/>
    </xf>
    <xf numFmtId="0" fontId="28" fillId="0" borderId="28" xfId="0" applyFont="1" applyBorder="1">
      <alignment vertical="center"/>
    </xf>
    <xf numFmtId="0" fontId="28" fillId="0" borderId="19" xfId="0" applyFont="1" applyBorder="1">
      <alignment vertical="center"/>
    </xf>
    <xf numFmtId="182" fontId="35" fillId="27" borderId="67" xfId="55" applyNumberFormat="1" applyFont="1" applyFill="1" applyBorder="1" applyAlignment="1">
      <alignment horizontal="right" vertical="center"/>
    </xf>
    <xf numFmtId="182" fontId="35" fillId="27" borderId="66" xfId="55" applyNumberFormat="1" applyFont="1" applyFill="1" applyBorder="1" applyAlignment="1">
      <alignment horizontal="right" vertical="center"/>
    </xf>
    <xf numFmtId="10" fontId="35" fillId="28" borderId="41" xfId="0" applyNumberFormat="1" applyFont="1" applyFill="1" applyBorder="1" applyAlignment="1">
      <alignment horizontal="right" vertical="center"/>
    </xf>
    <xf numFmtId="10" fontId="35" fillId="28" borderId="39" xfId="0" applyNumberFormat="1" applyFont="1" applyFill="1" applyBorder="1" applyAlignment="1">
      <alignment horizontal="right" vertical="center"/>
    </xf>
    <xf numFmtId="10" fontId="35" fillId="28" borderId="42" xfId="0" applyNumberFormat="1" applyFont="1" applyFill="1" applyBorder="1" applyAlignment="1">
      <alignment horizontal="right" vertical="center"/>
    </xf>
    <xf numFmtId="10" fontId="35" fillId="28" borderId="67" xfId="0" applyNumberFormat="1" applyFont="1" applyFill="1" applyBorder="1" applyAlignment="1">
      <alignment horizontal="right" vertical="center"/>
    </xf>
    <xf numFmtId="10" fontId="35" fillId="28" borderId="66" xfId="0" applyNumberFormat="1" applyFont="1" applyFill="1" applyBorder="1" applyAlignment="1">
      <alignment horizontal="right" vertical="center"/>
    </xf>
    <xf numFmtId="10" fontId="35" fillId="28" borderId="68" xfId="0" applyNumberFormat="1" applyFont="1" applyFill="1" applyBorder="1" applyAlignment="1">
      <alignment horizontal="right" vertical="center"/>
    </xf>
    <xf numFmtId="10" fontId="31" fillId="28" borderId="30" xfId="2" applyNumberFormat="1" applyFont="1" applyFill="1" applyBorder="1" applyAlignment="1">
      <alignment vertical="center"/>
    </xf>
    <xf numFmtId="176" fontId="28" fillId="27" borderId="95" xfId="0" applyNumberFormat="1" applyFont="1" applyFill="1" applyBorder="1">
      <alignment vertical="center"/>
    </xf>
    <xf numFmtId="0" fontId="28" fillId="2" borderId="31" xfId="0" applyFont="1" applyFill="1" applyBorder="1" applyAlignment="1">
      <alignment horizontal="center" vertical="center"/>
    </xf>
    <xf numFmtId="176" fontId="28" fillId="29" borderId="37" xfId="0" applyNumberFormat="1" applyFont="1" applyFill="1" applyBorder="1">
      <alignment vertical="center"/>
    </xf>
    <xf numFmtId="176" fontId="28" fillId="29" borderId="95" xfId="0" applyNumberFormat="1" applyFont="1" applyFill="1" applyBorder="1">
      <alignment vertical="center"/>
    </xf>
    <xf numFmtId="176" fontId="35" fillId="29" borderId="95" xfId="55" applyNumberFormat="1" applyFont="1" applyFill="1" applyBorder="1" applyAlignment="1">
      <alignment horizontal="right" vertical="center"/>
    </xf>
    <xf numFmtId="176" fontId="35" fillId="29" borderId="96" xfId="55" applyNumberFormat="1" applyFont="1" applyFill="1" applyBorder="1" applyAlignment="1">
      <alignment horizontal="right" vertical="center"/>
    </xf>
    <xf numFmtId="0" fontId="36" fillId="2" borderId="0" xfId="0" applyFont="1" applyFill="1" applyAlignment="1">
      <alignment vertical="top" wrapText="1"/>
    </xf>
    <xf numFmtId="0" fontId="36" fillId="2" borderId="0" xfId="0" applyFont="1" applyFill="1" applyAlignment="1">
      <alignment vertical="top"/>
    </xf>
    <xf numFmtId="0" fontId="36" fillId="2" borderId="0" xfId="0" applyFont="1" applyFill="1">
      <alignment vertical="center"/>
    </xf>
    <xf numFmtId="0" fontId="37" fillId="2" borderId="0" xfId="0" applyFont="1" applyFill="1" applyAlignment="1">
      <alignment vertical="top"/>
    </xf>
    <xf numFmtId="185" fontId="28" fillId="2" borderId="69" xfId="0" applyNumberFormat="1" applyFont="1" applyFill="1" applyBorder="1" applyAlignment="1">
      <alignment horizontal="right" vertical="center"/>
    </xf>
    <xf numFmtId="176" fontId="28" fillId="2" borderId="69" xfId="0" applyNumberFormat="1" applyFont="1" applyFill="1" applyBorder="1" applyAlignment="1">
      <alignment horizontal="right" vertical="center"/>
    </xf>
    <xf numFmtId="176" fontId="28" fillId="2" borderId="66" xfId="0" applyNumberFormat="1" applyFont="1" applyFill="1" applyBorder="1" applyAlignment="1">
      <alignment horizontal="right" vertical="center"/>
    </xf>
    <xf numFmtId="0" fontId="28" fillId="29" borderId="39" xfId="0" applyFont="1" applyFill="1" applyBorder="1" applyAlignment="1">
      <alignment horizontal="right" vertical="center"/>
    </xf>
    <xf numFmtId="186" fontId="28" fillId="27" borderId="69" xfId="0" applyNumberFormat="1" applyFont="1" applyFill="1" applyBorder="1" applyAlignment="1">
      <alignment horizontal="right" vertical="center"/>
    </xf>
    <xf numFmtId="186" fontId="28" fillId="30" borderId="69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 applyAlignment="1">
      <alignment horizontal="right" vertical="center"/>
    </xf>
    <xf numFmtId="176" fontId="28" fillId="27" borderId="75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>
      <alignment vertical="center"/>
    </xf>
    <xf numFmtId="176" fontId="28" fillId="27" borderId="29" xfId="0" applyNumberFormat="1" applyFont="1" applyFill="1" applyBorder="1">
      <alignment vertical="center"/>
    </xf>
    <xf numFmtId="176" fontId="28" fillId="27" borderId="66" xfId="0" applyNumberFormat="1" applyFont="1" applyFill="1" applyBorder="1" applyAlignment="1">
      <alignment horizontal="right" vertical="center"/>
    </xf>
    <xf numFmtId="176" fontId="28" fillId="29" borderId="39" xfId="0" applyNumberFormat="1" applyFont="1" applyFill="1" applyBorder="1">
      <alignment vertical="center"/>
    </xf>
    <xf numFmtId="176" fontId="28" fillId="28" borderId="69" xfId="0" applyNumberFormat="1" applyFont="1" applyFill="1" applyBorder="1">
      <alignment vertical="center"/>
    </xf>
    <xf numFmtId="0" fontId="28" fillId="2" borderId="69" xfId="0" applyFont="1" applyFill="1" applyBorder="1">
      <alignment vertical="center"/>
    </xf>
    <xf numFmtId="180" fontId="28" fillId="29" borderId="69" xfId="0" applyNumberFormat="1" applyFont="1" applyFill="1" applyBorder="1">
      <alignment vertical="center"/>
    </xf>
    <xf numFmtId="176" fontId="28" fillId="2" borderId="69" xfId="0" applyNumberFormat="1" applyFont="1" applyFill="1" applyBorder="1">
      <alignment vertical="center"/>
    </xf>
    <xf numFmtId="176" fontId="28" fillId="29" borderId="75" xfId="0" applyNumberFormat="1" applyFont="1" applyFill="1" applyBorder="1">
      <alignment vertical="center"/>
    </xf>
    <xf numFmtId="176" fontId="28" fillId="27" borderId="75" xfId="0" applyNumberFormat="1" applyFont="1" applyFill="1" applyBorder="1">
      <alignment vertical="center"/>
    </xf>
    <xf numFmtId="176" fontId="28" fillId="29" borderId="69" xfId="0" applyNumberFormat="1" applyFont="1" applyFill="1" applyBorder="1">
      <alignment vertical="center"/>
    </xf>
    <xf numFmtId="176" fontId="28" fillId="29" borderId="66" xfId="0" applyNumberFormat="1" applyFont="1" applyFill="1" applyBorder="1">
      <alignment vertical="center"/>
    </xf>
    <xf numFmtId="176" fontId="28" fillId="29" borderId="9" xfId="0" applyNumberFormat="1" applyFont="1" applyFill="1" applyBorder="1" applyAlignment="1">
      <alignment horizontal="right" vertical="center" shrinkToFit="1"/>
    </xf>
    <xf numFmtId="176" fontId="28" fillId="29" borderId="69" xfId="0" applyNumberFormat="1" applyFont="1" applyFill="1" applyBorder="1" applyAlignment="1">
      <alignment horizontal="right" vertical="center" shrinkToFit="1"/>
    </xf>
    <xf numFmtId="176" fontId="28" fillId="27" borderId="69" xfId="0" applyNumberFormat="1" applyFont="1" applyFill="1" applyBorder="1" applyAlignment="1">
      <alignment horizontal="right" vertical="center" shrinkToFit="1"/>
    </xf>
    <xf numFmtId="176" fontId="6" fillId="28" borderId="176" xfId="0" applyNumberFormat="1" applyFont="1" applyFill="1" applyBorder="1" applyAlignment="1">
      <alignment horizontal="right" vertical="center" shrinkToFit="1"/>
    </xf>
    <xf numFmtId="176" fontId="6" fillId="28" borderId="177" xfId="0" applyNumberFormat="1" applyFont="1" applyFill="1" applyBorder="1" applyAlignment="1">
      <alignment horizontal="right" vertical="center" shrinkToFit="1"/>
    </xf>
    <xf numFmtId="187" fontId="6" fillId="27" borderId="177" xfId="0" applyNumberFormat="1" applyFont="1" applyFill="1" applyBorder="1" applyAlignment="1">
      <alignment horizontal="right" vertical="center" shrinkToFit="1"/>
    </xf>
    <xf numFmtId="176" fontId="6" fillId="27" borderId="177" xfId="0" applyNumberFormat="1" applyFont="1" applyFill="1" applyBorder="1" applyAlignment="1">
      <alignment horizontal="right" vertical="center" shrinkToFit="1"/>
    </xf>
    <xf numFmtId="10" fontId="6" fillId="28" borderId="177" xfId="0" applyNumberFormat="1" applyFont="1" applyFill="1" applyBorder="1" applyAlignment="1">
      <alignment vertical="center" shrinkToFit="1"/>
    </xf>
    <xf numFmtId="184" fontId="6" fillId="28" borderId="177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horizontal="right" vertical="center" shrinkToFit="1"/>
    </xf>
    <xf numFmtId="176" fontId="28" fillId="29" borderId="2" xfId="0" applyNumberFormat="1" applyFont="1" applyFill="1" applyBorder="1" applyAlignment="1">
      <alignment horizontal="right" vertical="center" shrinkToFit="1"/>
    </xf>
    <xf numFmtId="10" fontId="28" fillId="27" borderId="30" xfId="0" applyNumberFormat="1" applyFont="1" applyFill="1" applyBorder="1" applyAlignment="1">
      <alignment horizontal="right" vertical="center" shrinkToFit="1"/>
    </xf>
    <xf numFmtId="176" fontId="28" fillId="29" borderId="69" xfId="0" applyNumberFormat="1" applyFont="1" applyFill="1" applyBorder="1" applyAlignment="1">
      <alignment horizontal="right" vertical="center"/>
    </xf>
    <xf numFmtId="180" fontId="28" fillId="29" borderId="69" xfId="0" applyNumberFormat="1" applyFont="1" applyFill="1" applyBorder="1" applyAlignment="1">
      <alignment horizontal="right" vertical="center"/>
    </xf>
    <xf numFmtId="188" fontId="28" fillId="29" borderId="69" xfId="0" applyNumberFormat="1" applyFont="1" applyFill="1" applyBorder="1" applyAlignment="1">
      <alignment horizontal="right" vertical="center"/>
    </xf>
    <xf numFmtId="180" fontId="28" fillId="29" borderId="66" xfId="0" applyNumberFormat="1" applyFont="1" applyFill="1" applyBorder="1" applyAlignment="1">
      <alignment horizontal="right" vertical="center"/>
    </xf>
    <xf numFmtId="188" fontId="28" fillId="27" borderId="69" xfId="0" applyNumberFormat="1" applyFont="1" applyFill="1" applyBorder="1" applyAlignment="1">
      <alignment horizontal="right" vertical="center"/>
    </xf>
    <xf numFmtId="0" fontId="35" fillId="2" borderId="113" xfId="55" applyFont="1" applyFill="1" applyBorder="1" applyAlignment="1">
      <alignment horizontal="centerContinuous" vertical="center"/>
    </xf>
    <xf numFmtId="0" fontId="35" fillId="2" borderId="115" xfId="55" applyFont="1" applyFill="1" applyBorder="1" applyAlignment="1">
      <alignment horizontal="centerContinuous" vertical="center"/>
    </xf>
    <xf numFmtId="0" fontId="35" fillId="2" borderId="116" xfId="55" applyFont="1" applyFill="1" applyBorder="1" applyAlignment="1">
      <alignment horizontal="centerContinuous" vertical="center"/>
    </xf>
    <xf numFmtId="176" fontId="35" fillId="29" borderId="155" xfId="55" applyNumberFormat="1" applyFont="1" applyFill="1" applyBorder="1" applyAlignment="1">
      <alignment horizontal="right" vertical="center"/>
    </xf>
    <xf numFmtId="176" fontId="35" fillId="29" borderId="143" xfId="55" applyNumberFormat="1" applyFont="1" applyFill="1" applyBorder="1" applyAlignment="1">
      <alignment horizontal="right" vertical="center"/>
    </xf>
    <xf numFmtId="180" fontId="35" fillId="29" borderId="128" xfId="55" applyNumberFormat="1" applyFont="1" applyFill="1" applyBorder="1" applyAlignment="1">
      <alignment horizontal="right" vertical="center"/>
    </xf>
    <xf numFmtId="180" fontId="35" fillId="29" borderId="155" xfId="55" applyNumberFormat="1" applyFont="1" applyFill="1" applyBorder="1" applyAlignment="1">
      <alignment horizontal="right" vertical="center"/>
    </xf>
    <xf numFmtId="180" fontId="35" fillId="29" borderId="143" xfId="55" applyNumberFormat="1" applyFont="1" applyFill="1" applyBorder="1" applyAlignment="1">
      <alignment horizontal="right" vertical="center"/>
    </xf>
    <xf numFmtId="180" fontId="35" fillId="29" borderId="179" xfId="55" applyNumberFormat="1" applyFont="1" applyFill="1" applyBorder="1" applyAlignment="1">
      <alignment horizontal="right" vertical="center"/>
    </xf>
    <xf numFmtId="0" fontId="28" fillId="2" borderId="37" xfId="0" applyFont="1" applyFill="1" applyBorder="1" applyAlignment="1">
      <alignment vertical="top"/>
    </xf>
    <xf numFmtId="176" fontId="28" fillId="27" borderId="33" xfId="0" applyNumberFormat="1" applyFont="1" applyFill="1" applyBorder="1">
      <alignment vertical="center"/>
    </xf>
    <xf numFmtId="183" fontId="31" fillId="28" borderId="182" xfId="2" applyNumberFormat="1" applyFont="1" applyFill="1" applyBorder="1" applyAlignment="1">
      <alignment horizontal="right" vertical="center"/>
    </xf>
    <xf numFmtId="183" fontId="31" fillId="28" borderId="183" xfId="2" applyNumberFormat="1" applyFont="1" applyFill="1" applyBorder="1" applyAlignment="1">
      <alignment vertical="center"/>
    </xf>
    <xf numFmtId="0" fontId="31" fillId="2" borderId="184" xfId="2" applyFont="1" applyFill="1" applyBorder="1" applyAlignment="1">
      <alignment horizontal="center" vertical="center" shrinkToFit="1"/>
    </xf>
    <xf numFmtId="0" fontId="31" fillId="2" borderId="185" xfId="2" applyFont="1" applyFill="1" applyBorder="1" applyAlignment="1">
      <alignment horizontal="left" vertical="center"/>
    </xf>
    <xf numFmtId="0" fontId="31" fillId="2" borderId="186" xfId="2" applyFont="1" applyFill="1" applyBorder="1" applyAlignment="1">
      <alignment horizontal="left" vertical="center"/>
    </xf>
    <xf numFmtId="176" fontId="41" fillId="2" borderId="0" xfId="2" applyNumberFormat="1" applyFont="1" applyFill="1" applyAlignment="1">
      <alignment vertical="center"/>
    </xf>
    <xf numFmtId="0" fontId="41" fillId="2" borderId="36" xfId="2" applyFont="1" applyFill="1" applyBorder="1" applyAlignment="1">
      <alignment horizontal="center" vertical="center" shrinkToFit="1"/>
    </xf>
    <xf numFmtId="176" fontId="41" fillId="27" borderId="41" xfId="2" applyNumberFormat="1" applyFont="1" applyFill="1" applyBorder="1" applyAlignment="1">
      <alignment vertical="center"/>
    </xf>
    <xf numFmtId="176" fontId="41" fillId="27" borderId="73" xfId="2" applyNumberFormat="1" applyFont="1" applyFill="1" applyBorder="1" applyAlignment="1">
      <alignment vertical="center"/>
    </xf>
    <xf numFmtId="176" fontId="41" fillId="27" borderId="17" xfId="2" applyNumberFormat="1" applyFont="1" applyFill="1" applyBorder="1" applyAlignment="1">
      <alignment vertical="center"/>
    </xf>
    <xf numFmtId="176" fontId="41" fillId="27" borderId="12" xfId="2" applyNumberFormat="1" applyFont="1" applyFill="1" applyBorder="1" applyAlignment="1">
      <alignment vertical="center"/>
    </xf>
    <xf numFmtId="176" fontId="41" fillId="27" borderId="7" xfId="2" applyNumberFormat="1" applyFont="1" applyFill="1" applyBorder="1" applyAlignment="1">
      <alignment vertical="center"/>
    </xf>
    <xf numFmtId="176" fontId="41" fillId="27" borderId="159" xfId="2" applyNumberFormat="1" applyFont="1" applyFill="1" applyBorder="1" applyAlignment="1">
      <alignment vertical="center"/>
    </xf>
    <xf numFmtId="176" fontId="41" fillId="27" borderId="55" xfId="2" applyNumberFormat="1" applyFont="1" applyFill="1" applyBorder="1" applyAlignment="1">
      <alignment vertical="center"/>
    </xf>
    <xf numFmtId="176" fontId="41" fillId="27" borderId="140" xfId="2" applyNumberFormat="1" applyFont="1" applyFill="1" applyBorder="1" applyAlignment="1">
      <alignment vertical="center"/>
    </xf>
    <xf numFmtId="176" fontId="41" fillId="27" borderId="39" xfId="2" applyNumberFormat="1" applyFont="1" applyFill="1" applyBorder="1" applyAlignment="1">
      <alignment vertical="center"/>
    </xf>
    <xf numFmtId="176" fontId="41" fillId="27" borderId="69" xfId="2" applyNumberFormat="1" applyFont="1" applyFill="1" applyBorder="1" applyAlignment="1">
      <alignment vertical="center"/>
    </xf>
    <xf numFmtId="176" fontId="41" fillId="27" borderId="30" xfId="2" applyNumberFormat="1" applyFont="1" applyFill="1" applyBorder="1" applyAlignment="1">
      <alignment vertical="center"/>
    </xf>
    <xf numFmtId="176" fontId="41" fillId="27" borderId="29" xfId="2" applyNumberFormat="1" applyFont="1" applyFill="1" applyBorder="1" applyAlignment="1">
      <alignment vertical="center"/>
    </xf>
    <xf numFmtId="176" fontId="41" fillId="27" borderId="38" xfId="2" applyNumberFormat="1" applyFont="1" applyFill="1" applyBorder="1" applyAlignment="1">
      <alignment vertical="center"/>
    </xf>
    <xf numFmtId="176" fontId="41" fillId="27" borderId="4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center" vertical="center" shrinkToFit="1"/>
    </xf>
    <xf numFmtId="176" fontId="41" fillId="28" borderId="17" xfId="2" applyNumberFormat="1" applyFont="1" applyFill="1" applyBorder="1" applyAlignment="1">
      <alignment vertical="center"/>
    </xf>
    <xf numFmtId="176" fontId="41" fillId="28" borderId="55" xfId="2" applyNumberFormat="1" applyFont="1" applyFill="1" applyBorder="1" applyAlignment="1">
      <alignment vertical="center"/>
    </xf>
    <xf numFmtId="176" fontId="41" fillId="28" borderId="30" xfId="2" applyNumberFormat="1" applyFont="1" applyFill="1" applyBorder="1" applyAlignment="1">
      <alignment vertical="center"/>
    </xf>
    <xf numFmtId="176" fontId="28" fillId="28" borderId="69" xfId="0" applyNumberFormat="1" applyFont="1" applyFill="1" applyBorder="1" applyAlignment="1">
      <alignment horizontal="right" vertical="center" shrinkToFit="1"/>
    </xf>
    <xf numFmtId="0" fontId="42" fillId="2" borderId="0" xfId="87" applyFont="1" applyFill="1">
      <alignment vertical="center"/>
    </xf>
    <xf numFmtId="0" fontId="34" fillId="2" borderId="0" xfId="87" applyFont="1" applyFill="1">
      <alignment vertical="center"/>
    </xf>
    <xf numFmtId="0" fontId="37" fillId="2" borderId="51" xfId="0" applyFont="1" applyFill="1" applyBorder="1" applyAlignment="1">
      <alignment vertical="top"/>
    </xf>
    <xf numFmtId="0" fontId="35" fillId="2" borderId="0" xfId="0" applyFont="1" applyFill="1" applyAlignment="1">
      <alignment vertical="top"/>
    </xf>
    <xf numFmtId="0" fontId="41" fillId="2" borderId="36" xfId="2" applyFont="1" applyFill="1" applyBorder="1" applyAlignment="1">
      <alignment horizontal="left" vertical="center" wrapText="1"/>
    </xf>
    <xf numFmtId="0" fontId="41" fillId="2" borderId="77" xfId="2" applyFont="1" applyFill="1" applyBorder="1" applyAlignment="1">
      <alignment horizontal="left" vertical="center" wrapText="1"/>
    </xf>
    <xf numFmtId="0" fontId="41" fillId="2" borderId="73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 wrapText="1"/>
    </xf>
    <xf numFmtId="0" fontId="41" fillId="2" borderId="12" xfId="2" applyFont="1" applyFill="1" applyBorder="1" applyAlignment="1">
      <alignment horizontal="left" vertical="center" wrapText="1"/>
    </xf>
    <xf numFmtId="0" fontId="41" fillId="2" borderId="41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/>
    </xf>
    <xf numFmtId="189" fontId="6" fillId="2" borderId="67" xfId="2" applyNumberFormat="1" applyFill="1" applyBorder="1" applyAlignment="1" applyProtection="1">
      <alignment horizontal="right" vertical="center"/>
      <protection locked="0"/>
    </xf>
    <xf numFmtId="189" fontId="6" fillId="2" borderId="66" xfId="2" applyNumberFormat="1" applyFill="1" applyBorder="1" applyAlignment="1" applyProtection="1">
      <alignment horizontal="right" vertical="center"/>
      <protection locked="0"/>
    </xf>
    <xf numFmtId="189" fontId="6" fillId="2" borderId="65" xfId="2" applyNumberFormat="1" applyFill="1" applyBorder="1" applyAlignment="1" applyProtection="1">
      <alignment horizontal="right" vertical="center"/>
      <protection locked="0"/>
    </xf>
    <xf numFmtId="189" fontId="6" fillId="2" borderId="107" xfId="2" applyNumberFormat="1" applyFill="1" applyBorder="1" applyAlignment="1" applyProtection="1">
      <alignment horizontal="right" vertical="center"/>
      <protection locked="0"/>
    </xf>
    <xf numFmtId="176" fontId="41" fillId="27" borderId="36" xfId="2" applyNumberFormat="1" applyFont="1" applyFill="1" applyBorder="1" applyAlignment="1">
      <alignment vertical="center"/>
    </xf>
    <xf numFmtId="176" fontId="41" fillId="27" borderId="175" xfId="2" applyNumberFormat="1" applyFont="1" applyFill="1" applyBorder="1" applyAlignment="1">
      <alignment vertical="center"/>
    </xf>
    <xf numFmtId="176" fontId="41" fillId="27" borderId="122" xfId="2" applyNumberFormat="1" applyFont="1" applyFill="1" applyBorder="1" applyAlignment="1">
      <alignment vertical="center"/>
    </xf>
    <xf numFmtId="176" fontId="41" fillId="27" borderId="77" xfId="2" applyNumberFormat="1" applyFont="1" applyFill="1" applyBorder="1" applyAlignment="1">
      <alignment vertical="center"/>
    </xf>
    <xf numFmtId="176" fontId="41" fillId="27" borderId="75" xfId="2" applyNumberFormat="1" applyFont="1" applyFill="1" applyBorder="1" applyAlignment="1">
      <alignment vertical="center"/>
    </xf>
    <xf numFmtId="176" fontId="41" fillId="27" borderId="14" xfId="2" applyNumberFormat="1" applyFont="1" applyFill="1" applyBorder="1" applyAlignment="1">
      <alignment vertical="center"/>
    </xf>
    <xf numFmtId="10" fontId="28" fillId="2" borderId="0" xfId="0" applyNumberFormat="1" applyFont="1" applyFill="1">
      <alignment vertical="center"/>
    </xf>
    <xf numFmtId="0" fontId="28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6" fillId="2" borderId="9" xfId="3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/>
    </xf>
    <xf numFmtId="0" fontId="28" fillId="2" borderId="43" xfId="0" applyFont="1" applyFill="1" applyBorder="1" applyAlignment="1">
      <alignment horizontal="center" vertical="center"/>
    </xf>
    <xf numFmtId="0" fontId="28" fillId="2" borderId="0" xfId="0" applyFont="1" applyFill="1" applyAlignment="1">
      <alignment vertical="center" shrinkToFit="1"/>
    </xf>
    <xf numFmtId="176" fontId="35" fillId="27" borderId="38" xfId="0" applyNumberFormat="1" applyFont="1" applyFill="1" applyBorder="1">
      <alignment vertical="center"/>
    </xf>
    <xf numFmtId="176" fontId="35" fillId="27" borderId="76" xfId="0" applyNumberFormat="1" applyFont="1" applyFill="1" applyBorder="1">
      <alignment vertical="center"/>
    </xf>
    <xf numFmtId="176" fontId="35" fillId="28" borderId="34" xfId="0" applyNumberFormat="1" applyFont="1" applyFill="1" applyBorder="1" applyAlignment="1">
      <alignment vertical="center" shrinkToFit="1"/>
    </xf>
    <xf numFmtId="180" fontId="35" fillId="28" borderId="4" xfId="86" applyNumberFormat="1" applyFont="1" applyFill="1" applyBorder="1" applyAlignment="1">
      <alignment horizontal="right" vertical="center" shrinkToFit="1"/>
    </xf>
    <xf numFmtId="176" fontId="35" fillId="27" borderId="8" xfId="0" applyNumberFormat="1" applyFont="1" applyFill="1" applyBorder="1" applyAlignment="1">
      <alignment vertical="center" shrinkToFit="1"/>
    </xf>
    <xf numFmtId="180" fontId="35" fillId="28" borderId="11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 shrinkToFit="1"/>
    </xf>
    <xf numFmtId="176" fontId="35" fillId="27" borderId="17" xfId="0" applyNumberFormat="1" applyFont="1" applyFill="1" applyBorder="1" applyAlignment="1">
      <alignment vertical="center" shrinkToFit="1"/>
    </xf>
    <xf numFmtId="176" fontId="35" fillId="27" borderId="50" xfId="0" applyNumberFormat="1" applyFont="1" applyFill="1" applyBorder="1">
      <alignment vertical="center"/>
    </xf>
    <xf numFmtId="180" fontId="35" fillId="28" borderId="4" xfId="0" applyNumberFormat="1" applyFont="1" applyFill="1" applyBorder="1" applyAlignment="1">
      <alignment horizontal="right" vertical="center"/>
    </xf>
    <xf numFmtId="0" fontId="6" fillId="2" borderId="53" xfId="2" applyFill="1" applyBorder="1" applyAlignment="1">
      <alignment horizontal="center" vertical="center"/>
    </xf>
    <xf numFmtId="0" fontId="6" fillId="2" borderId="30" xfId="2" applyFill="1" applyBorder="1" applyAlignment="1">
      <alignment horizontal="center" vertical="center"/>
    </xf>
    <xf numFmtId="0" fontId="6" fillId="2" borderId="47" xfId="2" applyFill="1" applyBorder="1" applyAlignment="1">
      <alignment horizontal="center" vertical="center"/>
    </xf>
    <xf numFmtId="0" fontId="6" fillId="2" borderId="17" xfId="2" applyFill="1" applyBorder="1" applyAlignment="1">
      <alignment horizontal="center" vertical="center"/>
    </xf>
    <xf numFmtId="0" fontId="6" fillId="2" borderId="49" xfId="2" applyFill="1" applyBorder="1" applyAlignment="1">
      <alignment horizontal="center" vertical="center"/>
    </xf>
    <xf numFmtId="0" fontId="35" fillId="28" borderId="33" xfId="0" applyFont="1" applyFill="1" applyBorder="1" applyAlignment="1">
      <alignment horizontal="left" vertical="center" wrapText="1" shrinkToFit="1"/>
    </xf>
    <xf numFmtId="0" fontId="6" fillId="28" borderId="34" xfId="2" applyFill="1" applyBorder="1" applyAlignment="1">
      <alignment horizontal="center" vertical="center" wrapText="1"/>
    </xf>
    <xf numFmtId="0" fontId="6" fillId="28" borderId="2" xfId="2" applyFill="1" applyBorder="1" applyAlignment="1">
      <alignment horizontal="center" vertical="center" wrapText="1"/>
    </xf>
    <xf numFmtId="0" fontId="6" fillId="28" borderId="4" xfId="2" applyFill="1" applyBorder="1" applyAlignment="1">
      <alignment horizontal="center" vertical="center" wrapText="1"/>
    </xf>
    <xf numFmtId="176" fontId="35" fillId="2" borderId="47" xfId="0" applyNumberFormat="1" applyFont="1" applyFill="1" applyBorder="1">
      <alignment vertical="center"/>
    </xf>
    <xf numFmtId="176" fontId="35" fillId="2" borderId="30" xfId="0" applyNumberFormat="1" applyFont="1" applyFill="1" applyBorder="1">
      <alignment vertical="center"/>
    </xf>
    <xf numFmtId="176" fontId="35" fillId="2" borderId="49" xfId="0" applyNumberFormat="1" applyFont="1" applyFill="1" applyBorder="1">
      <alignment vertical="center"/>
    </xf>
    <xf numFmtId="176" fontId="35" fillId="2" borderId="1" xfId="0" applyNumberFormat="1" applyFont="1" applyFill="1" applyBorder="1">
      <alignment vertical="center"/>
    </xf>
    <xf numFmtId="191" fontId="35" fillId="28" borderId="48" xfId="0" applyNumberFormat="1" applyFont="1" applyFill="1" applyBorder="1">
      <alignment vertical="center"/>
    </xf>
    <xf numFmtId="192" fontId="35" fillId="28" borderId="47" xfId="88" applyNumberFormat="1" applyFont="1" applyFill="1" applyBorder="1">
      <alignment vertical="center"/>
    </xf>
    <xf numFmtId="192" fontId="35" fillId="28" borderId="30" xfId="88" applyNumberFormat="1" applyFont="1" applyFill="1" applyBorder="1">
      <alignment vertical="center"/>
    </xf>
    <xf numFmtId="192" fontId="35" fillId="28" borderId="50" xfId="88" applyNumberFormat="1" applyFont="1" applyFill="1" applyBorder="1">
      <alignment vertical="center"/>
    </xf>
    <xf numFmtId="0" fontId="41" fillId="2" borderId="0" xfId="0" applyFont="1" applyFill="1">
      <alignment vertical="center"/>
    </xf>
    <xf numFmtId="0" fontId="35" fillId="2" borderId="43" xfId="0" applyFont="1" applyFill="1" applyBorder="1" applyAlignment="1">
      <alignment horizontal="center" vertical="center"/>
    </xf>
    <xf numFmtId="0" fontId="35" fillId="2" borderId="104" xfId="0" applyFont="1" applyFill="1" applyBorder="1">
      <alignment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46" xfId="0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41" fillId="2" borderId="187" xfId="2" applyFont="1" applyFill="1" applyBorder="1" applyAlignment="1">
      <alignment horizontal="right" vertical="center" wrapText="1"/>
    </xf>
    <xf numFmtId="190" fontId="41" fillId="27" borderId="188" xfId="2" applyNumberFormat="1" applyFont="1" applyFill="1" applyBorder="1" applyAlignment="1">
      <alignment vertical="center"/>
    </xf>
    <xf numFmtId="190" fontId="41" fillId="27" borderId="189" xfId="2" applyNumberFormat="1" applyFont="1" applyFill="1" applyBorder="1" applyAlignment="1">
      <alignment vertical="center"/>
    </xf>
    <xf numFmtId="190" fontId="41" fillId="27" borderId="190" xfId="2" applyNumberFormat="1" applyFont="1" applyFill="1" applyBorder="1" applyAlignment="1">
      <alignment vertical="center"/>
    </xf>
    <xf numFmtId="176" fontId="41" fillId="28" borderId="41" xfId="2" applyNumberFormat="1" applyFont="1" applyFill="1" applyBorder="1" applyAlignment="1">
      <alignment vertical="center"/>
    </xf>
    <xf numFmtId="176" fontId="41" fillId="28" borderId="39" xfId="2" applyNumberFormat="1" applyFont="1" applyFill="1" applyBorder="1" applyAlignment="1">
      <alignment vertical="center"/>
    </xf>
    <xf numFmtId="176" fontId="41" fillId="28" borderId="7" xfId="2" applyNumberFormat="1" applyFont="1" applyFill="1" applyBorder="1" applyAlignment="1">
      <alignment vertical="center"/>
    </xf>
    <xf numFmtId="176" fontId="41" fillId="28" borderId="73" xfId="2" applyNumberFormat="1" applyFont="1" applyFill="1" applyBorder="1" applyAlignment="1">
      <alignment vertical="center"/>
    </xf>
    <xf numFmtId="176" fontId="41" fillId="28" borderId="69" xfId="2" applyNumberFormat="1" applyFont="1" applyFill="1" applyBorder="1" applyAlignment="1">
      <alignment vertical="center"/>
    </xf>
    <xf numFmtId="176" fontId="41" fillId="28" borderId="159" xfId="2" applyNumberFormat="1" applyFont="1" applyFill="1" applyBorder="1" applyAlignment="1">
      <alignment vertical="center"/>
    </xf>
    <xf numFmtId="176" fontId="35" fillId="29" borderId="69" xfId="0" applyNumberFormat="1" applyFont="1" applyFill="1" applyBorder="1" applyAlignment="1">
      <alignment horizontal="right" vertical="center"/>
    </xf>
    <xf numFmtId="176" fontId="35" fillId="29" borderId="157" xfId="0" applyNumberFormat="1" applyFont="1" applyFill="1" applyBorder="1" applyAlignment="1">
      <alignment horizontal="right" vertical="center"/>
    </xf>
    <xf numFmtId="176" fontId="35" fillId="27" borderId="69" xfId="0" applyNumberFormat="1" applyFont="1" applyFill="1" applyBorder="1" applyAlignment="1">
      <alignment horizontal="right" vertical="center"/>
    </xf>
    <xf numFmtId="176" fontId="35" fillId="27" borderId="157" xfId="0" applyNumberFormat="1" applyFont="1" applyFill="1" applyBorder="1" applyAlignment="1">
      <alignment horizontal="right" vertical="center"/>
    </xf>
    <xf numFmtId="180" fontId="35" fillId="29" borderId="69" xfId="0" applyNumberFormat="1" applyFont="1" applyFill="1" applyBorder="1" applyAlignment="1">
      <alignment horizontal="right" vertical="center"/>
    </xf>
    <xf numFmtId="180" fontId="35" fillId="29" borderId="157" xfId="0" applyNumberFormat="1" applyFont="1" applyFill="1" applyBorder="1" applyAlignment="1">
      <alignment horizontal="right" vertical="center"/>
    </xf>
    <xf numFmtId="188" fontId="35" fillId="27" borderId="69" xfId="0" applyNumberFormat="1" applyFont="1" applyFill="1" applyBorder="1" applyAlignment="1">
      <alignment horizontal="right" vertical="center"/>
    </xf>
    <xf numFmtId="180" fontId="35" fillId="29" borderId="66" xfId="0" applyNumberFormat="1" applyFont="1" applyFill="1" applyBorder="1" applyAlignment="1">
      <alignment horizontal="right" vertical="center"/>
    </xf>
    <xf numFmtId="180" fontId="35" fillId="29" borderId="68" xfId="0" applyNumberFormat="1" applyFont="1" applyFill="1" applyBorder="1" applyAlignment="1">
      <alignment horizontal="right" vertical="center"/>
    </xf>
    <xf numFmtId="188" fontId="35" fillId="29" borderId="69" xfId="0" applyNumberFormat="1" applyFont="1" applyFill="1" applyBorder="1" applyAlignment="1">
      <alignment horizontal="right" vertical="center"/>
    </xf>
    <xf numFmtId="188" fontId="35" fillId="29" borderId="157" xfId="0" applyNumberFormat="1" applyFont="1" applyFill="1" applyBorder="1" applyAlignment="1">
      <alignment horizontal="right" vertical="center"/>
    </xf>
    <xf numFmtId="176" fontId="35" fillId="29" borderId="156" xfId="55" applyNumberFormat="1" applyFont="1" applyFill="1" applyBorder="1" applyAlignment="1">
      <alignment horizontal="right" vertical="center"/>
    </xf>
    <xf numFmtId="180" fontId="35" fillId="29" borderId="119" xfId="55" applyNumberFormat="1" applyFont="1" applyFill="1" applyBorder="1" applyAlignment="1">
      <alignment horizontal="right" vertical="center"/>
    </xf>
    <xf numFmtId="176" fontId="35" fillId="29" borderId="120" xfId="55" applyNumberFormat="1" applyFont="1" applyFill="1" applyBorder="1" applyAlignment="1">
      <alignment horizontal="right" vertical="center"/>
    </xf>
    <xf numFmtId="180" fontId="35" fillId="29" borderId="121" xfId="55" applyNumberFormat="1" applyFont="1" applyFill="1" applyBorder="1" applyAlignment="1">
      <alignment horizontal="right" vertical="center"/>
    </xf>
    <xf numFmtId="0" fontId="35" fillId="2" borderId="6" xfId="0" applyFont="1" applyFill="1" applyBorder="1" applyAlignment="1">
      <alignment vertical="top"/>
    </xf>
    <xf numFmtId="0" fontId="35" fillId="2" borderId="7" xfId="0" applyFont="1" applyFill="1" applyBorder="1" applyAlignment="1">
      <alignment vertical="top"/>
    </xf>
    <xf numFmtId="176" fontId="35" fillId="29" borderId="9" xfId="0" applyNumberFormat="1" applyFont="1" applyFill="1" applyBorder="1" applyAlignment="1">
      <alignment horizontal="right" vertical="center" shrinkToFit="1"/>
    </xf>
    <xf numFmtId="176" fontId="35" fillId="29" borderId="11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>
      <alignment vertical="center"/>
    </xf>
    <xf numFmtId="176" fontId="35" fillId="29" borderId="157" xfId="0" applyNumberFormat="1" applyFont="1" applyFill="1" applyBorder="1">
      <alignment vertical="center"/>
    </xf>
    <xf numFmtId="176" fontId="35" fillId="27" borderId="69" xfId="0" applyNumberFormat="1" applyFont="1" applyFill="1" applyBorder="1" applyAlignment="1">
      <alignment horizontal="right" vertical="center" shrinkToFit="1"/>
    </xf>
    <xf numFmtId="176" fontId="35" fillId="27" borderId="157" xfId="0" applyNumberFormat="1" applyFont="1" applyFill="1" applyBorder="1" applyAlignment="1">
      <alignment horizontal="right" vertical="center" shrinkToFit="1"/>
    </xf>
    <xf numFmtId="176" fontId="28" fillId="28" borderId="155" xfId="0" applyNumberFormat="1" applyFont="1" applyFill="1" applyBorder="1" applyAlignment="1">
      <alignment horizontal="right" vertical="center" shrinkToFit="1"/>
    </xf>
    <xf numFmtId="176" fontId="28" fillId="28" borderId="156" xfId="0" applyNumberFormat="1" applyFont="1" applyFill="1" applyBorder="1" applyAlignment="1">
      <alignment horizontal="right" vertical="center" shrinkToFit="1"/>
    </xf>
    <xf numFmtId="176" fontId="35" fillId="28" borderId="69" xfId="0" applyNumberFormat="1" applyFont="1" applyFill="1" applyBorder="1" applyAlignment="1">
      <alignment horizontal="right" vertical="center" shrinkToFit="1"/>
    </xf>
    <xf numFmtId="0" fontId="26" fillId="0" borderId="22" xfId="81" applyBorder="1" applyAlignment="1">
      <alignment vertical="center"/>
    </xf>
    <xf numFmtId="0" fontId="26" fillId="27" borderId="158" xfId="81" applyFill="1" applyBorder="1" applyAlignment="1">
      <alignment vertical="center"/>
    </xf>
    <xf numFmtId="176" fontId="28" fillId="27" borderId="155" xfId="0" applyNumberFormat="1" applyFont="1" applyFill="1" applyBorder="1" applyAlignment="1">
      <alignment vertical="center" shrinkToFit="1"/>
    </xf>
    <xf numFmtId="0" fontId="26" fillId="0" borderId="160" xfId="81" applyBorder="1" applyAlignment="1">
      <alignment vertical="center"/>
    </xf>
    <xf numFmtId="0" fontId="26" fillId="0" borderId="98" xfId="81" applyBorder="1" applyAlignment="1">
      <alignment vertical="center"/>
    </xf>
    <xf numFmtId="0" fontId="26" fillId="0" borderId="29" xfId="81" applyBorder="1" applyAlignment="1">
      <alignment vertical="center"/>
    </xf>
    <xf numFmtId="0" fontId="26" fillId="0" borderId="9" xfId="81" applyBorder="1" applyAlignment="1">
      <alignment vertical="center"/>
    </xf>
    <xf numFmtId="0" fontId="35" fillId="27" borderId="98" xfId="0" applyFont="1" applyFill="1" applyBorder="1">
      <alignment vertical="center"/>
    </xf>
    <xf numFmtId="0" fontId="6" fillId="2" borderId="173" xfId="0" applyFont="1" applyFill="1" applyBorder="1">
      <alignment vertical="center"/>
    </xf>
    <xf numFmtId="0" fontId="6" fillId="2" borderId="29" xfId="0" applyFont="1" applyFill="1" applyBorder="1">
      <alignment vertical="center"/>
    </xf>
    <xf numFmtId="0" fontId="6" fillId="2" borderId="180" xfId="0" applyFont="1" applyFill="1" applyBorder="1">
      <alignment vertical="center"/>
    </xf>
    <xf numFmtId="0" fontId="6" fillId="2" borderId="181" xfId="0" applyFont="1" applyFill="1" applyBorder="1">
      <alignment vertical="center"/>
    </xf>
    <xf numFmtId="0" fontId="6" fillId="2" borderId="9" xfId="0" applyFont="1" applyFill="1" applyBorder="1">
      <alignment vertical="center"/>
    </xf>
    <xf numFmtId="176" fontId="35" fillId="27" borderId="75" xfId="0" applyNumberFormat="1" applyFont="1" applyFill="1" applyBorder="1" applyAlignment="1">
      <alignment horizontal="right" vertical="center" shrinkToFit="1"/>
    </xf>
    <xf numFmtId="176" fontId="35" fillId="27" borderId="78" xfId="0" applyNumberFormat="1" applyFont="1" applyFill="1" applyBorder="1" applyAlignment="1">
      <alignment horizontal="right" vertical="center" shrinkToFit="1"/>
    </xf>
    <xf numFmtId="176" fontId="35" fillId="29" borderId="2" xfId="0" applyNumberFormat="1" applyFont="1" applyFill="1" applyBorder="1" applyAlignment="1">
      <alignment horizontal="right" vertical="center" shrinkToFit="1"/>
    </xf>
    <xf numFmtId="176" fontId="35" fillId="29" borderId="4" xfId="0" applyNumberFormat="1" applyFont="1" applyFill="1" applyBorder="1" applyAlignment="1">
      <alignment horizontal="right" vertical="center" shrinkToFit="1"/>
    </xf>
    <xf numFmtId="10" fontId="35" fillId="27" borderId="30" xfId="0" applyNumberFormat="1" applyFont="1" applyFill="1" applyBorder="1" applyAlignment="1">
      <alignment horizontal="right" vertical="center" shrinkToFit="1"/>
    </xf>
    <xf numFmtId="10" fontId="35" fillId="27" borderId="50" xfId="0" applyNumberFormat="1" applyFont="1" applyFill="1" applyBorder="1" applyAlignment="1">
      <alignment horizontal="right" vertical="center" shrinkToFit="1"/>
    </xf>
    <xf numFmtId="176" fontId="35" fillId="29" borderId="39" xfId="0" applyNumberFormat="1" applyFont="1" applyFill="1" applyBorder="1">
      <alignment vertical="center"/>
    </xf>
    <xf numFmtId="176" fontId="35" fillId="29" borderId="42" xfId="0" applyNumberFormat="1" applyFont="1" applyFill="1" applyBorder="1">
      <alignment vertical="center"/>
    </xf>
    <xf numFmtId="176" fontId="35" fillId="27" borderId="157" xfId="0" applyNumberFormat="1" applyFont="1" applyFill="1" applyBorder="1">
      <alignment vertical="center"/>
    </xf>
    <xf numFmtId="176" fontId="35" fillId="28" borderId="69" xfId="0" applyNumberFormat="1" applyFont="1" applyFill="1" applyBorder="1">
      <alignment vertical="center"/>
    </xf>
    <xf numFmtId="176" fontId="35" fillId="28" borderId="157" xfId="0" applyNumberFormat="1" applyFont="1" applyFill="1" applyBorder="1">
      <alignment vertical="center"/>
    </xf>
    <xf numFmtId="0" fontId="35" fillId="2" borderId="69" xfId="0" applyFont="1" applyFill="1" applyBorder="1">
      <alignment vertical="center"/>
    </xf>
    <xf numFmtId="0" fontId="35" fillId="2" borderId="157" xfId="0" applyFont="1" applyFill="1" applyBorder="1">
      <alignment vertical="center"/>
    </xf>
    <xf numFmtId="180" fontId="35" fillId="29" borderId="69" xfId="0" applyNumberFormat="1" applyFont="1" applyFill="1" applyBorder="1">
      <alignment vertical="center"/>
    </xf>
    <xf numFmtId="180" fontId="35" fillId="29" borderId="157" xfId="0" applyNumberFormat="1" applyFont="1" applyFill="1" applyBorder="1">
      <alignment vertical="center"/>
    </xf>
    <xf numFmtId="176" fontId="35" fillId="2" borderId="69" xfId="0" applyNumberFormat="1" applyFont="1" applyFill="1" applyBorder="1">
      <alignment vertical="center"/>
    </xf>
    <xf numFmtId="176" fontId="35" fillId="2" borderId="157" xfId="0" applyNumberFormat="1" applyFont="1" applyFill="1" applyBorder="1">
      <alignment vertical="center"/>
    </xf>
    <xf numFmtId="176" fontId="35" fillId="29" borderId="75" xfId="0" applyNumberFormat="1" applyFont="1" applyFill="1" applyBorder="1">
      <alignment vertical="center"/>
    </xf>
    <xf numFmtId="176" fontId="35" fillId="29" borderId="78" xfId="0" applyNumberFormat="1" applyFont="1" applyFill="1" applyBorder="1">
      <alignment vertical="center"/>
    </xf>
    <xf numFmtId="176" fontId="35" fillId="27" borderId="78" xfId="0" applyNumberFormat="1" applyFont="1" applyFill="1" applyBorder="1">
      <alignment vertical="center"/>
    </xf>
    <xf numFmtId="176" fontId="35" fillId="29" borderId="66" xfId="0" applyNumberFormat="1" applyFont="1" applyFill="1" applyBorder="1">
      <alignment vertical="center"/>
    </xf>
    <xf numFmtId="176" fontId="35" fillId="29" borderId="68" xfId="0" applyNumberFormat="1" applyFont="1" applyFill="1" applyBorder="1">
      <alignment vertical="center"/>
    </xf>
    <xf numFmtId="0" fontId="35" fillId="29" borderId="39" xfId="0" applyFont="1" applyFill="1" applyBorder="1" applyAlignment="1">
      <alignment horizontal="right" vertical="center"/>
    </xf>
    <xf numFmtId="0" fontId="35" fillId="29" borderId="42" xfId="0" applyFont="1" applyFill="1" applyBorder="1" applyAlignment="1">
      <alignment horizontal="right" vertical="center"/>
    </xf>
    <xf numFmtId="186" fontId="35" fillId="27" borderId="69" xfId="0" applyNumberFormat="1" applyFont="1" applyFill="1" applyBorder="1" applyAlignment="1">
      <alignment horizontal="right" vertical="center"/>
    </xf>
    <xf numFmtId="186" fontId="35" fillId="27" borderId="157" xfId="0" applyNumberFormat="1" applyFont="1" applyFill="1" applyBorder="1" applyAlignment="1">
      <alignment horizontal="right" vertical="center"/>
    </xf>
    <xf numFmtId="186" fontId="35" fillId="30" borderId="69" xfId="0" applyNumberFormat="1" applyFont="1" applyFill="1" applyBorder="1" applyAlignment="1">
      <alignment horizontal="right" vertical="center"/>
    </xf>
    <xf numFmtId="186" fontId="35" fillId="30" borderId="157" xfId="0" applyNumberFormat="1" applyFont="1" applyFill="1" applyBorder="1" applyAlignment="1">
      <alignment horizontal="right" vertical="center"/>
    </xf>
    <xf numFmtId="176" fontId="35" fillId="27" borderId="66" xfId="0" applyNumberFormat="1" applyFont="1" applyFill="1" applyBorder="1" applyAlignment="1">
      <alignment horizontal="right" vertical="center"/>
    </xf>
    <xf numFmtId="176" fontId="35" fillId="27" borderId="68" xfId="0" applyNumberFormat="1" applyFont="1" applyFill="1" applyBorder="1" applyAlignment="1">
      <alignment horizontal="right" vertical="center"/>
    </xf>
    <xf numFmtId="185" fontId="35" fillId="2" borderId="69" xfId="0" applyNumberFormat="1" applyFont="1" applyFill="1" applyBorder="1" applyAlignment="1">
      <alignment horizontal="right" vertical="center"/>
    </xf>
    <xf numFmtId="185" fontId="35" fillId="2" borderId="157" xfId="0" applyNumberFormat="1" applyFont="1" applyFill="1" applyBorder="1" applyAlignment="1">
      <alignment horizontal="right" vertical="center"/>
    </xf>
    <xf numFmtId="176" fontId="35" fillId="2" borderId="69" xfId="0" applyNumberFormat="1" applyFont="1" applyFill="1" applyBorder="1" applyAlignment="1">
      <alignment horizontal="right" vertical="center"/>
    </xf>
    <xf numFmtId="176" fontId="35" fillId="2" borderId="157" xfId="0" applyNumberFormat="1" applyFont="1" applyFill="1" applyBorder="1" applyAlignment="1">
      <alignment horizontal="right" vertical="center"/>
    </xf>
    <xf numFmtId="176" fontId="35" fillId="2" borderId="66" xfId="0" applyNumberFormat="1" applyFont="1" applyFill="1" applyBorder="1" applyAlignment="1">
      <alignment horizontal="right" vertical="center"/>
    </xf>
    <xf numFmtId="176" fontId="35" fillId="2" borderId="68" xfId="0" applyNumberFormat="1" applyFont="1" applyFill="1" applyBorder="1" applyAlignment="1">
      <alignment horizontal="right" vertical="center"/>
    </xf>
    <xf numFmtId="0" fontId="31" fillId="2" borderId="0" xfId="0" applyFont="1" applyFill="1">
      <alignment vertical="center"/>
    </xf>
    <xf numFmtId="0" fontId="31" fillId="2" borderId="106" xfId="2" applyFont="1" applyFill="1" applyBorder="1" applyAlignment="1">
      <alignment horizontal="left" vertical="center"/>
    </xf>
    <xf numFmtId="182" fontId="31" fillId="28" borderId="73" xfId="2" applyNumberFormat="1" applyFont="1" applyFill="1" applyBorder="1" applyAlignment="1">
      <alignment vertical="center"/>
    </xf>
    <xf numFmtId="182" fontId="31" fillId="28" borderId="69" xfId="2" applyNumberFormat="1" applyFont="1" applyFill="1" applyBorder="1" applyAlignment="1">
      <alignment vertical="center"/>
    </xf>
    <xf numFmtId="0" fontId="31" fillId="2" borderId="107" xfId="2" applyFont="1" applyFill="1" applyBorder="1" applyAlignment="1">
      <alignment horizontal="left" vertical="center"/>
    </xf>
    <xf numFmtId="182" fontId="31" fillId="28" borderId="67" xfId="2" applyNumberFormat="1" applyFont="1" applyFill="1" applyBorder="1" applyAlignment="1">
      <alignment vertical="center"/>
    </xf>
    <xf numFmtId="182" fontId="31" fillId="28" borderId="66" xfId="2" applyNumberFormat="1" applyFont="1" applyFill="1" applyBorder="1" applyAlignment="1">
      <alignment vertical="center"/>
    </xf>
    <xf numFmtId="0" fontId="44" fillId="2" borderId="0" xfId="0" applyFont="1" applyFill="1">
      <alignment vertical="center"/>
    </xf>
    <xf numFmtId="0" fontId="6" fillId="2" borderId="37" xfId="3" applyFill="1" applyBorder="1" applyAlignment="1">
      <alignment horizontal="left" vertical="top" wrapText="1"/>
    </xf>
    <xf numFmtId="10" fontId="31" fillId="28" borderId="111" xfId="2" applyNumberFormat="1" applyFont="1" applyFill="1" applyBorder="1" applyAlignment="1">
      <alignment vertical="center"/>
    </xf>
    <xf numFmtId="10" fontId="31" fillId="28" borderId="108" xfId="2" applyNumberFormat="1" applyFont="1" applyFill="1" applyBorder="1" applyAlignment="1">
      <alignment vertical="center"/>
    </xf>
    <xf numFmtId="10" fontId="31" fillId="28" borderId="110" xfId="2" applyNumberFormat="1" applyFont="1" applyFill="1" applyBorder="1" applyAlignment="1">
      <alignment vertical="center"/>
    </xf>
    <xf numFmtId="176" fontId="35" fillId="0" borderId="91" xfId="0" applyNumberFormat="1" applyFont="1" applyBorder="1" applyAlignment="1">
      <alignment vertical="center" shrinkToFit="1"/>
    </xf>
    <xf numFmtId="176" fontId="35" fillId="0" borderId="191" xfId="0" applyNumberFormat="1" applyFont="1" applyBorder="1" applyAlignment="1">
      <alignment vertical="center" shrinkToFit="1"/>
    </xf>
    <xf numFmtId="0" fontId="45" fillId="2" borderId="180" xfId="0" applyFont="1" applyFill="1" applyBorder="1">
      <alignment vertical="center"/>
    </xf>
    <xf numFmtId="184" fontId="6" fillId="28" borderId="192" xfId="0" applyNumberFormat="1" applyFont="1" applyFill="1" applyBorder="1" applyAlignment="1">
      <alignment vertical="center" shrinkToFit="1"/>
    </xf>
    <xf numFmtId="184" fontId="6" fillId="28" borderId="193" xfId="0" applyNumberFormat="1" applyFont="1" applyFill="1" applyBorder="1" applyAlignment="1">
      <alignment vertical="center" shrinkToFit="1"/>
    </xf>
    <xf numFmtId="184" fontId="6" fillId="28" borderId="194" xfId="0" applyNumberFormat="1" applyFont="1" applyFill="1" applyBorder="1" applyAlignment="1">
      <alignment vertical="center" shrinkToFit="1"/>
    </xf>
    <xf numFmtId="184" fontId="6" fillId="0" borderId="195" xfId="0" applyNumberFormat="1" applyFont="1" applyBorder="1" applyAlignment="1">
      <alignment vertical="center" shrinkToFit="1"/>
    </xf>
    <xf numFmtId="184" fontId="6" fillId="28" borderId="195" xfId="0" applyNumberFormat="1" applyFont="1" applyFill="1" applyBorder="1" applyAlignment="1">
      <alignment vertical="center" shrinkToFit="1"/>
    </xf>
    <xf numFmtId="0" fontId="28" fillId="27" borderId="31" xfId="0" applyFont="1" applyFill="1" applyBorder="1" applyAlignment="1">
      <alignment horizontal="left" vertical="center" shrinkToFit="1"/>
    </xf>
    <xf numFmtId="0" fontId="28" fillId="27" borderId="54" xfId="0" applyFont="1" applyFill="1" applyBorder="1" applyAlignment="1">
      <alignment horizontal="left" vertical="center" shrinkToFit="1"/>
    </xf>
    <xf numFmtId="49" fontId="28" fillId="27" borderId="31" xfId="0" applyNumberFormat="1" applyFont="1" applyFill="1" applyBorder="1" applyAlignment="1">
      <alignment horizontal="left" vertical="center"/>
    </xf>
    <xf numFmtId="49" fontId="28" fillId="27" borderId="54" xfId="0" applyNumberFormat="1" applyFont="1" applyFill="1" applyBorder="1" applyAlignment="1">
      <alignment horizontal="left" vertical="center"/>
    </xf>
    <xf numFmtId="49" fontId="28" fillId="27" borderId="31" xfId="0" applyNumberFormat="1" applyFont="1" applyFill="1" applyBorder="1" applyAlignment="1">
      <alignment horizontal="left" vertical="center" shrinkToFit="1"/>
    </xf>
    <xf numFmtId="49" fontId="28" fillId="27" borderId="54" xfId="0" applyNumberFormat="1" applyFont="1" applyFill="1" applyBorder="1" applyAlignment="1">
      <alignment horizontal="left" vertical="center" shrinkToFit="1"/>
    </xf>
    <xf numFmtId="180" fontId="35" fillId="29" borderId="129" xfId="55" applyNumberFormat="1" applyFont="1" applyFill="1" applyBorder="1" applyAlignment="1">
      <alignment horizontal="right" vertical="center"/>
    </xf>
    <xf numFmtId="180" fontId="35" fillId="29" borderId="196" xfId="55" applyNumberFormat="1" applyFont="1" applyFill="1" applyBorder="1" applyAlignment="1">
      <alignment horizontal="right" vertical="center"/>
    </xf>
    <xf numFmtId="176" fontId="35" fillId="29" borderId="10" xfId="0" applyNumberFormat="1" applyFont="1" applyFill="1" applyBorder="1" applyAlignment="1">
      <alignment horizontal="right" vertical="center" shrinkToFit="1"/>
    </xf>
    <xf numFmtId="176" fontId="35" fillId="29" borderId="158" xfId="0" applyNumberFormat="1" applyFont="1" applyFill="1" applyBorder="1" applyAlignment="1">
      <alignment horizontal="right" vertical="center" shrinkToFit="1"/>
    </xf>
    <xf numFmtId="176" fontId="35" fillId="29" borderId="158" xfId="0" applyNumberFormat="1" applyFont="1" applyFill="1" applyBorder="1">
      <alignment vertical="center"/>
    </xf>
    <xf numFmtId="176" fontId="35" fillId="27" borderId="158" xfId="0" applyNumberFormat="1" applyFont="1" applyFill="1" applyBorder="1" applyAlignment="1">
      <alignment horizontal="right" vertical="center" shrinkToFit="1"/>
    </xf>
    <xf numFmtId="176" fontId="35" fillId="28" borderId="158" xfId="0" applyNumberFormat="1" applyFont="1" applyFill="1" applyBorder="1" applyAlignment="1">
      <alignment horizontal="right" vertical="center" shrinkToFit="1"/>
    </xf>
    <xf numFmtId="187" fontId="6" fillId="27" borderId="197" xfId="0" applyNumberFormat="1" applyFont="1" applyFill="1" applyBorder="1" applyAlignment="1">
      <alignment horizontal="right" vertical="center" shrinkToFit="1"/>
    </xf>
    <xf numFmtId="176" fontId="6" fillId="27" borderId="197" xfId="0" applyNumberFormat="1" applyFont="1" applyFill="1" applyBorder="1" applyAlignment="1">
      <alignment horizontal="right" vertical="center" shrinkToFit="1"/>
    </xf>
    <xf numFmtId="176" fontId="35" fillId="27" borderId="160" xfId="0" applyNumberFormat="1" applyFont="1" applyFill="1" applyBorder="1" applyAlignment="1">
      <alignment horizontal="right" vertical="center" shrinkToFit="1"/>
    </xf>
    <xf numFmtId="176" fontId="35" fillId="29" borderId="3" xfId="0" applyNumberFormat="1" applyFont="1" applyFill="1" applyBorder="1" applyAlignment="1">
      <alignment horizontal="right" vertical="center" shrinkToFit="1"/>
    </xf>
    <xf numFmtId="10" fontId="35" fillId="27" borderId="49" xfId="0" applyNumberFormat="1" applyFont="1" applyFill="1" applyBorder="1" applyAlignment="1">
      <alignment horizontal="right" vertical="center" shrinkToFit="1"/>
    </xf>
    <xf numFmtId="176" fontId="35" fillId="29" borderId="40" xfId="0" applyNumberFormat="1" applyFont="1" applyFill="1" applyBorder="1">
      <alignment vertical="center"/>
    </xf>
    <xf numFmtId="176" fontId="35" fillId="27" borderId="158" xfId="0" applyNumberFormat="1" applyFont="1" applyFill="1" applyBorder="1">
      <alignment vertical="center"/>
    </xf>
    <xf numFmtId="176" fontId="35" fillId="28" borderId="158" xfId="0" applyNumberFormat="1" applyFont="1" applyFill="1" applyBorder="1">
      <alignment vertical="center"/>
    </xf>
    <xf numFmtId="0" fontId="35" fillId="2" borderId="158" xfId="0" applyFont="1" applyFill="1" applyBorder="1">
      <alignment vertical="center"/>
    </xf>
    <xf numFmtId="180" fontId="35" fillId="29" borderId="158" xfId="0" applyNumberFormat="1" applyFont="1" applyFill="1" applyBorder="1">
      <alignment vertical="center"/>
    </xf>
    <xf numFmtId="176" fontId="35" fillId="2" borderId="158" xfId="0" applyNumberFormat="1" applyFont="1" applyFill="1" applyBorder="1">
      <alignment vertical="center"/>
    </xf>
    <xf numFmtId="176" fontId="35" fillId="29" borderId="160" xfId="0" applyNumberFormat="1" applyFont="1" applyFill="1" applyBorder="1">
      <alignment vertical="center"/>
    </xf>
    <xf numFmtId="176" fontId="35" fillId="27" borderId="160" xfId="0" applyNumberFormat="1" applyFont="1" applyFill="1" applyBorder="1">
      <alignment vertical="center"/>
    </xf>
    <xf numFmtId="176" fontId="35" fillId="29" borderId="65" xfId="0" applyNumberFormat="1" applyFont="1" applyFill="1" applyBorder="1">
      <alignment vertical="center"/>
    </xf>
    <xf numFmtId="0" fontId="35" fillId="29" borderId="40" xfId="0" applyFont="1" applyFill="1" applyBorder="1" applyAlignment="1">
      <alignment horizontal="right" vertical="center"/>
    </xf>
    <xf numFmtId="186" fontId="35" fillId="27" borderId="158" xfId="0" applyNumberFormat="1" applyFont="1" applyFill="1" applyBorder="1" applyAlignment="1">
      <alignment horizontal="right" vertical="center"/>
    </xf>
    <xf numFmtId="186" fontId="35" fillId="30" borderId="158" xfId="0" applyNumberFormat="1" applyFont="1" applyFill="1" applyBorder="1" applyAlignment="1">
      <alignment horizontal="right" vertical="center"/>
    </xf>
    <xf numFmtId="185" fontId="35" fillId="2" borderId="158" xfId="0" applyNumberFormat="1" applyFont="1" applyFill="1" applyBorder="1" applyAlignment="1">
      <alignment horizontal="right" vertical="center"/>
    </xf>
    <xf numFmtId="176" fontId="35" fillId="2" borderId="158" xfId="0" applyNumberFormat="1" applyFont="1" applyFill="1" applyBorder="1" applyAlignment="1">
      <alignment horizontal="right" vertical="center"/>
    </xf>
    <xf numFmtId="176" fontId="35" fillId="2" borderId="65" xfId="0" applyNumberFormat="1" applyFont="1" applyFill="1" applyBorder="1" applyAlignment="1">
      <alignment horizontal="right" vertical="center"/>
    </xf>
    <xf numFmtId="176" fontId="28" fillId="29" borderId="42" xfId="0" applyNumberFormat="1" applyFont="1" applyFill="1" applyBorder="1" applyAlignment="1">
      <alignment horizontal="right" vertical="center"/>
    </xf>
    <xf numFmtId="176" fontId="28" fillId="29" borderId="157" xfId="0" applyNumberFormat="1" applyFont="1" applyFill="1" applyBorder="1" applyAlignment="1">
      <alignment horizontal="right" vertical="center"/>
    </xf>
    <xf numFmtId="183" fontId="31" fillId="28" borderId="198" xfId="2" applyNumberFormat="1" applyFont="1" applyFill="1" applyBorder="1" applyAlignment="1">
      <alignment horizontal="right" vertical="center"/>
    </xf>
    <xf numFmtId="183" fontId="31" fillId="28" borderId="199" xfId="2" applyNumberFormat="1" applyFont="1" applyFill="1" applyBorder="1" applyAlignment="1">
      <alignment vertical="center"/>
    </xf>
    <xf numFmtId="182" fontId="31" fillId="28" borderId="159" xfId="2" applyNumberFormat="1" applyFont="1" applyFill="1" applyBorder="1" applyAlignment="1">
      <alignment vertical="center"/>
    </xf>
    <xf numFmtId="182" fontId="31" fillId="28" borderId="19" xfId="2" applyNumberFormat="1" applyFont="1" applyFill="1" applyBorder="1" applyAlignment="1">
      <alignment vertical="center"/>
    </xf>
    <xf numFmtId="183" fontId="31" fillId="28" borderId="200" xfId="2" applyNumberFormat="1" applyFont="1" applyFill="1" applyBorder="1" applyAlignment="1">
      <alignment horizontal="right" vertical="center"/>
    </xf>
    <xf numFmtId="183" fontId="31" fillId="28" borderId="201" xfId="2" applyNumberFormat="1" applyFont="1" applyFill="1" applyBorder="1" applyAlignment="1">
      <alignment vertical="center"/>
    </xf>
    <xf numFmtId="188" fontId="35" fillId="27" borderId="157" xfId="0" applyNumberFormat="1" applyFont="1" applyFill="1" applyBorder="1" applyAlignment="1">
      <alignment horizontal="right" vertical="center"/>
    </xf>
    <xf numFmtId="176" fontId="35" fillId="29" borderId="42" xfId="0" applyNumberFormat="1" applyFont="1" applyFill="1" applyBorder="1" applyAlignment="1">
      <alignment horizontal="right" vertical="center"/>
    </xf>
    <xf numFmtId="176" fontId="35" fillId="0" borderId="92" xfId="0" applyNumberFormat="1" applyFont="1" applyBorder="1" applyAlignment="1">
      <alignment vertical="center" shrinkToFit="1"/>
    </xf>
    <xf numFmtId="180" fontId="35" fillId="29" borderId="157" xfId="55" applyNumberFormat="1" applyFont="1" applyFill="1" applyBorder="1" applyAlignment="1">
      <alignment horizontal="right" vertical="center"/>
    </xf>
    <xf numFmtId="180" fontId="35" fillId="29" borderId="68" xfId="55" applyNumberFormat="1" applyFont="1" applyFill="1" applyBorder="1" applyAlignment="1">
      <alignment horizontal="right" vertical="center"/>
    </xf>
    <xf numFmtId="176" fontId="28" fillId="29" borderId="157" xfId="0" applyNumberFormat="1" applyFont="1" applyFill="1" applyBorder="1" applyAlignment="1">
      <alignment horizontal="right" vertical="center" shrinkToFit="1"/>
    </xf>
    <xf numFmtId="176" fontId="28" fillId="28" borderId="157" xfId="0" applyNumberFormat="1" applyFont="1" applyFill="1" applyBorder="1" applyAlignment="1">
      <alignment horizontal="right" vertical="center" shrinkToFit="1"/>
    </xf>
    <xf numFmtId="176" fontId="35" fillId="28" borderId="157" xfId="0" applyNumberFormat="1" applyFont="1" applyFill="1" applyBorder="1" applyAlignment="1">
      <alignment horizontal="right" vertical="center" shrinkToFit="1"/>
    </xf>
    <xf numFmtId="176" fontId="35" fillId="29" borderId="157" xfId="0" applyNumberFormat="1" applyFont="1" applyFill="1" applyBorder="1" applyAlignment="1">
      <alignment horizontal="right" vertical="center" shrinkToFit="1"/>
    </xf>
    <xf numFmtId="176" fontId="35" fillId="28" borderId="155" xfId="0" applyNumberFormat="1" applyFont="1" applyFill="1" applyBorder="1" applyAlignment="1">
      <alignment horizontal="right" vertical="center" shrinkToFit="1"/>
    </xf>
    <xf numFmtId="176" fontId="6" fillId="28" borderId="202" xfId="0" applyNumberFormat="1" applyFont="1" applyFill="1" applyBorder="1" applyAlignment="1">
      <alignment horizontal="right" vertical="center" shrinkToFit="1"/>
    </xf>
    <xf numFmtId="176" fontId="6" fillId="28" borderId="203" xfId="0" applyNumberFormat="1" applyFont="1" applyFill="1" applyBorder="1" applyAlignment="1">
      <alignment horizontal="right" vertical="center" shrinkToFit="1"/>
    </xf>
    <xf numFmtId="187" fontId="6" fillId="27" borderId="203" xfId="0" applyNumberFormat="1" applyFont="1" applyFill="1" applyBorder="1" applyAlignment="1">
      <alignment horizontal="right" vertical="center" shrinkToFit="1"/>
    </xf>
    <xf numFmtId="176" fontId="6" fillId="27" borderId="203" xfId="0" applyNumberFormat="1" applyFont="1" applyFill="1" applyBorder="1" applyAlignment="1">
      <alignment horizontal="right" vertical="center" shrinkToFit="1"/>
    </xf>
    <xf numFmtId="10" fontId="6" fillId="28" borderId="203" xfId="0" applyNumberFormat="1" applyFont="1" applyFill="1" applyBorder="1" applyAlignment="1">
      <alignment vertical="center" shrinkToFit="1"/>
    </xf>
    <xf numFmtId="184" fontId="6" fillId="28" borderId="203" xfId="0" applyNumberFormat="1" applyFont="1" applyFill="1" applyBorder="1" applyAlignment="1">
      <alignment vertical="center" shrinkToFit="1"/>
    </xf>
    <xf numFmtId="184" fontId="6" fillId="0" borderId="204" xfId="0" applyNumberFormat="1" applyFont="1" applyBorder="1" applyAlignment="1">
      <alignment vertical="center" shrinkToFit="1"/>
    </xf>
    <xf numFmtId="184" fontId="6" fillId="28" borderId="204" xfId="0" applyNumberFormat="1" applyFont="1" applyFill="1" applyBorder="1" applyAlignment="1">
      <alignment vertical="center" shrinkToFit="1"/>
    </xf>
    <xf numFmtId="176" fontId="28" fillId="27" borderId="156" xfId="0" applyNumberFormat="1" applyFont="1" applyFill="1" applyBorder="1" applyAlignment="1">
      <alignment vertical="center" shrinkToFit="1"/>
    </xf>
    <xf numFmtId="176" fontId="6" fillId="27" borderId="152" xfId="0" applyNumberFormat="1" applyFont="1" applyFill="1" applyBorder="1" applyAlignment="1">
      <alignment vertical="center" shrinkToFit="1"/>
    </xf>
    <xf numFmtId="176" fontId="6" fillId="27" borderId="165" xfId="0" applyNumberFormat="1" applyFont="1" applyFill="1" applyBorder="1" applyAlignment="1">
      <alignment vertical="center" shrinkToFit="1"/>
    </xf>
    <xf numFmtId="176" fontId="6" fillId="28" borderId="205" xfId="81" applyNumberFormat="1" applyFont="1" applyFill="1" applyBorder="1" applyAlignment="1">
      <alignment vertical="center" shrinkToFit="1"/>
    </xf>
    <xf numFmtId="176" fontId="6" fillId="28" borderId="161" xfId="0" applyNumberFormat="1" applyFont="1" applyFill="1" applyBorder="1" applyAlignment="1">
      <alignment vertical="center" shrinkToFit="1"/>
    </xf>
    <xf numFmtId="176" fontId="6" fillId="28" borderId="206" xfId="0" applyNumberFormat="1" applyFont="1" applyFill="1" applyBorder="1" applyAlignment="1">
      <alignment vertical="center" shrinkToFit="1"/>
    </xf>
    <xf numFmtId="176" fontId="28" fillId="29" borderId="156" xfId="0" applyNumberFormat="1" applyFont="1" applyFill="1" applyBorder="1" applyAlignment="1">
      <alignment vertical="center" shrinkToFit="1"/>
    </xf>
    <xf numFmtId="176" fontId="28" fillId="29" borderId="156" xfId="0" applyNumberFormat="1" applyFont="1" applyFill="1" applyBorder="1">
      <alignment vertical="center"/>
    </xf>
    <xf numFmtId="176" fontId="35" fillId="28" borderId="156" xfId="0" applyNumberFormat="1" applyFont="1" applyFill="1" applyBorder="1" applyAlignment="1">
      <alignment horizontal="right" vertical="center" shrinkToFit="1"/>
    </xf>
    <xf numFmtId="176" fontId="6" fillId="28" borderId="207" xfId="0" applyNumberFormat="1" applyFont="1" applyFill="1" applyBorder="1" applyAlignment="1">
      <alignment vertical="center" shrinkToFit="1"/>
    </xf>
    <xf numFmtId="176" fontId="6" fillId="28" borderId="208" xfId="0" applyNumberFormat="1" applyFont="1" applyFill="1" applyBorder="1" applyAlignment="1">
      <alignment vertical="center" shrinkToFit="1"/>
    </xf>
    <xf numFmtId="176" fontId="6" fillId="28" borderId="209" xfId="0" applyNumberFormat="1" applyFont="1" applyFill="1" applyBorder="1">
      <alignment vertical="center"/>
    </xf>
    <xf numFmtId="176" fontId="6" fillId="28" borderId="164" xfId="0" applyNumberFormat="1" applyFont="1" applyFill="1" applyBorder="1">
      <alignment vertical="center"/>
    </xf>
    <xf numFmtId="187" fontId="6" fillId="27" borderId="209" xfId="0" applyNumberFormat="1" applyFont="1" applyFill="1" applyBorder="1">
      <alignment vertical="center"/>
    </xf>
    <xf numFmtId="176" fontId="6" fillId="27" borderId="209" xfId="0" applyNumberFormat="1" applyFont="1" applyFill="1" applyBorder="1">
      <alignment vertical="center"/>
    </xf>
    <xf numFmtId="10" fontId="6" fillId="28" borderId="209" xfId="0" applyNumberFormat="1" applyFont="1" applyFill="1" applyBorder="1" applyAlignment="1">
      <alignment vertical="center" shrinkToFit="1"/>
    </xf>
    <xf numFmtId="10" fontId="6" fillId="28" borderId="164" xfId="0" applyNumberFormat="1" applyFont="1" applyFill="1" applyBorder="1" applyAlignment="1">
      <alignment vertical="center" shrinkToFit="1"/>
    </xf>
    <xf numFmtId="184" fontId="6" fillId="28" borderId="210" xfId="0" applyNumberFormat="1" applyFont="1" applyFill="1" applyBorder="1" applyAlignment="1">
      <alignment vertical="center" shrinkToFit="1"/>
    </xf>
    <xf numFmtId="184" fontId="6" fillId="28" borderId="211" xfId="0" applyNumberFormat="1" applyFont="1" applyFill="1" applyBorder="1" applyAlignment="1">
      <alignment vertical="center" shrinkToFit="1"/>
    </xf>
    <xf numFmtId="184" fontId="6" fillId="28" borderId="209" xfId="0" applyNumberFormat="1" applyFont="1" applyFill="1" applyBorder="1" applyAlignment="1">
      <alignment vertical="center" shrinkToFit="1"/>
    </xf>
    <xf numFmtId="176" fontId="35" fillId="2" borderId="42" xfId="0" applyNumberFormat="1" applyFont="1" applyFill="1" applyBorder="1" applyAlignment="1">
      <alignment vertical="center" shrinkToFit="1"/>
    </xf>
    <xf numFmtId="176" fontId="35" fillId="0" borderId="150" xfId="0" applyNumberFormat="1" applyFont="1" applyBorder="1" applyAlignment="1">
      <alignment vertical="center" shrinkToFit="1"/>
    </xf>
    <xf numFmtId="0" fontId="33" fillId="0" borderId="0" xfId="0" applyFont="1" applyAlignment="1">
      <alignment horizontal="right" vertical="center"/>
    </xf>
    <xf numFmtId="176" fontId="28" fillId="29" borderId="37" xfId="0" applyNumberFormat="1" applyFont="1" applyFill="1" applyBorder="1" applyAlignment="1">
      <alignment horizontal="right" vertical="center"/>
    </xf>
    <xf numFmtId="176" fontId="28" fillId="29" borderId="95" xfId="0" applyNumberFormat="1" applyFont="1" applyFill="1" applyBorder="1" applyAlignment="1">
      <alignment horizontal="right" vertical="center"/>
    </xf>
    <xf numFmtId="180" fontId="28" fillId="29" borderId="95" xfId="0" applyNumberFormat="1" applyFont="1" applyFill="1" applyBorder="1" applyAlignment="1">
      <alignment horizontal="right" vertical="center"/>
    </xf>
    <xf numFmtId="188" fontId="28" fillId="29" borderId="95" xfId="0" applyNumberFormat="1" applyFont="1" applyFill="1" applyBorder="1" applyAlignment="1">
      <alignment horizontal="right" vertical="center"/>
    </xf>
    <xf numFmtId="180" fontId="28" fillId="29" borderId="96" xfId="0" applyNumberFormat="1" applyFont="1" applyFill="1" applyBorder="1" applyAlignment="1">
      <alignment horizontal="right" vertical="center"/>
    </xf>
    <xf numFmtId="176" fontId="35" fillId="29" borderId="152" xfId="55" applyNumberFormat="1" applyFont="1" applyFill="1" applyBorder="1" applyAlignment="1">
      <alignment horizontal="right" vertical="center"/>
    </xf>
    <xf numFmtId="176" fontId="28" fillId="27" borderId="152" xfId="0" applyNumberFormat="1" applyFont="1" applyFill="1" applyBorder="1" applyAlignment="1">
      <alignment horizontal="right" vertical="center"/>
    </xf>
    <xf numFmtId="188" fontId="28" fillId="27" borderId="95" xfId="0" applyNumberFormat="1" applyFont="1" applyFill="1" applyBorder="1" applyAlignment="1">
      <alignment horizontal="right" vertical="center"/>
    </xf>
    <xf numFmtId="176" fontId="28" fillId="27" borderId="95" xfId="0" applyNumberFormat="1" applyFont="1" applyFill="1" applyBorder="1" applyAlignment="1">
      <alignment horizontal="right" vertical="center"/>
    </xf>
    <xf numFmtId="0" fontId="28" fillId="2" borderId="158" xfId="0" applyFont="1" applyFill="1" applyBorder="1">
      <alignment vertical="center"/>
    </xf>
    <xf numFmtId="0" fontId="28" fillId="2" borderId="159" xfId="0" applyFont="1" applyFill="1" applyBorder="1">
      <alignment vertical="center"/>
    </xf>
    <xf numFmtId="185" fontId="28" fillId="2" borderId="155" xfId="0" applyNumberFormat="1" applyFont="1" applyFill="1" applyBorder="1">
      <alignment vertical="center"/>
    </xf>
    <xf numFmtId="185" fontId="28" fillId="2" borderId="156" xfId="0" applyNumberFormat="1" applyFont="1" applyFill="1" applyBorder="1">
      <alignment vertical="center"/>
    </xf>
    <xf numFmtId="176" fontId="28" fillId="2" borderId="152" xfId="0" applyNumberFormat="1" applyFont="1" applyFill="1" applyBorder="1">
      <alignment vertical="center"/>
    </xf>
    <xf numFmtId="0" fontId="31" fillId="2" borderId="212" xfId="2" applyFont="1" applyFill="1" applyBorder="1" applyAlignment="1">
      <alignment horizontal="left" vertical="center"/>
    </xf>
    <xf numFmtId="10" fontId="31" fillId="28" borderId="212" xfId="2" applyNumberFormat="1" applyFont="1" applyFill="1" applyBorder="1" applyAlignment="1">
      <alignment vertical="center"/>
    </xf>
    <xf numFmtId="0" fontId="31" fillId="2" borderId="213" xfId="0" applyFont="1" applyFill="1" applyBorder="1">
      <alignment vertical="center"/>
    </xf>
    <xf numFmtId="180" fontId="28" fillId="29" borderId="153" xfId="0" applyNumberFormat="1" applyFont="1" applyFill="1" applyBorder="1">
      <alignment vertical="center"/>
    </xf>
    <xf numFmtId="180" fontId="28" fillId="29" borderId="155" xfId="0" applyNumberFormat="1" applyFont="1" applyFill="1" applyBorder="1">
      <alignment vertical="center"/>
    </xf>
    <xf numFmtId="180" fontId="28" fillId="29" borderId="157" xfId="0" applyNumberFormat="1" applyFont="1" applyFill="1" applyBorder="1">
      <alignment vertical="center"/>
    </xf>
    <xf numFmtId="184" fontId="6" fillId="28" borderId="215" xfId="0" applyNumberFormat="1" applyFont="1" applyFill="1" applyBorder="1" applyAlignment="1">
      <alignment vertical="center" shrinkToFit="1"/>
    </xf>
    <xf numFmtId="184" fontId="6" fillId="28" borderId="216" xfId="0" applyNumberFormat="1" applyFont="1" applyFill="1" applyBorder="1" applyAlignment="1">
      <alignment vertical="center" shrinkToFit="1"/>
    </xf>
    <xf numFmtId="184" fontId="6" fillId="28" borderId="214" xfId="0" applyNumberFormat="1" applyFont="1" applyFill="1" applyBorder="1" applyAlignment="1">
      <alignment vertical="center" shrinkToFit="1"/>
    </xf>
    <xf numFmtId="193" fontId="28" fillId="2" borderId="155" xfId="0" applyNumberFormat="1" applyFont="1" applyFill="1" applyBorder="1">
      <alignment vertical="center"/>
    </xf>
    <xf numFmtId="193" fontId="28" fillId="2" borderId="156" xfId="0" applyNumberFormat="1" applyFont="1" applyFill="1" applyBorder="1">
      <alignment vertical="center"/>
    </xf>
    <xf numFmtId="193" fontId="28" fillId="2" borderId="69" xfId="0" applyNumberFormat="1" applyFont="1" applyFill="1" applyBorder="1" applyAlignment="1">
      <alignment horizontal="right" vertical="center"/>
    </xf>
    <xf numFmtId="193" fontId="35" fillId="2" borderId="69" xfId="0" applyNumberFormat="1" applyFont="1" applyFill="1" applyBorder="1" applyAlignment="1">
      <alignment horizontal="right" vertical="center"/>
    </xf>
    <xf numFmtId="193" fontId="35" fillId="2" borderId="158" xfId="0" applyNumberFormat="1" applyFont="1" applyFill="1" applyBorder="1" applyAlignment="1">
      <alignment horizontal="right" vertical="center"/>
    </xf>
    <xf numFmtId="193" fontId="35" fillId="2" borderId="157" xfId="0" applyNumberFormat="1" applyFont="1" applyFill="1" applyBorder="1" applyAlignment="1">
      <alignment horizontal="right" vertical="center"/>
    </xf>
    <xf numFmtId="176" fontId="28" fillId="2" borderId="217" xfId="0" applyNumberFormat="1" applyFont="1" applyFill="1" applyBorder="1">
      <alignment vertical="center"/>
    </xf>
    <xf numFmtId="0" fontId="46" fillId="0" borderId="218" xfId="0" applyFont="1" applyBorder="1">
      <alignment vertical="center"/>
    </xf>
    <xf numFmtId="176" fontId="41" fillId="27" borderId="8" xfId="2" applyNumberFormat="1" applyFont="1" applyFill="1" applyBorder="1" applyAlignment="1">
      <alignment vertical="center"/>
    </xf>
    <xf numFmtId="176" fontId="41" fillId="27" borderId="9" xfId="2" applyNumberFormat="1" applyFont="1" applyFill="1" applyBorder="1" applyAlignment="1">
      <alignment vertical="center"/>
    </xf>
    <xf numFmtId="176" fontId="41" fillId="27" borderId="9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left" vertical="center" wrapText="1"/>
    </xf>
    <xf numFmtId="176" fontId="41" fillId="27" borderId="1" xfId="2" applyNumberFormat="1" applyFont="1" applyFill="1" applyBorder="1" applyAlignment="1">
      <alignment vertical="center"/>
    </xf>
    <xf numFmtId="176" fontId="41" fillId="27" borderId="2" xfId="2" applyNumberFormat="1" applyFont="1" applyFill="1" applyBorder="1" applyAlignment="1">
      <alignment vertical="center"/>
    </xf>
    <xf numFmtId="176" fontId="41" fillId="27" borderId="54" xfId="2" applyNumberFormat="1" applyFont="1" applyFill="1" applyBorder="1" applyAlignment="1">
      <alignment vertical="center"/>
    </xf>
    <xf numFmtId="0" fontId="35" fillId="2" borderId="30" xfId="3" applyFont="1" applyFill="1" applyBorder="1" applyAlignment="1">
      <alignment horizontal="left" vertical="top" wrapText="1"/>
    </xf>
    <xf numFmtId="0" fontId="35" fillId="2" borderId="68" xfId="3" applyFont="1" applyFill="1" applyBorder="1">
      <alignment vertical="center"/>
    </xf>
    <xf numFmtId="0" fontId="35" fillId="2" borderId="50" xfId="0" applyFont="1" applyFill="1" applyBorder="1" applyAlignment="1">
      <alignment horizontal="center" vertical="center"/>
    </xf>
    <xf numFmtId="0" fontId="6" fillId="2" borderId="46" xfId="2" applyFill="1" applyBorder="1" applyAlignment="1">
      <alignment horizontal="center" vertical="center"/>
    </xf>
    <xf numFmtId="0" fontId="6" fillId="2" borderId="123" xfId="2" applyFill="1" applyBorder="1" applyAlignment="1">
      <alignment horizontal="center" vertical="center"/>
    </xf>
    <xf numFmtId="0" fontId="6" fillId="2" borderId="219" xfId="2" applyFill="1" applyBorder="1" applyAlignment="1">
      <alignment horizontal="center" vertical="center"/>
    </xf>
    <xf numFmtId="0" fontId="27" fillId="2" borderId="53" xfId="2" applyFont="1" applyFill="1" applyBorder="1" applyAlignment="1">
      <alignment horizontal="center" vertical="center" wrapText="1"/>
    </xf>
    <xf numFmtId="0" fontId="27" fillId="2" borderId="220" xfId="2" applyFont="1" applyFill="1" applyBorder="1" applyAlignment="1">
      <alignment horizontal="center" vertical="center" wrapText="1"/>
    </xf>
    <xf numFmtId="0" fontId="6" fillId="2" borderId="55" xfId="2" applyFill="1" applyBorder="1" applyAlignment="1">
      <alignment horizontal="center" vertical="center"/>
    </xf>
    <xf numFmtId="0" fontId="6" fillId="2" borderId="221" xfId="2" applyFill="1" applyBorder="1" applyAlignment="1">
      <alignment horizontal="center" vertical="center"/>
    </xf>
    <xf numFmtId="0" fontId="6" fillId="2" borderId="48" xfId="2" applyFill="1" applyBorder="1" applyAlignment="1">
      <alignment horizontal="center" vertical="center"/>
    </xf>
    <xf numFmtId="0" fontId="28" fillId="2" borderId="55" xfId="0" applyFont="1" applyFill="1" applyBorder="1" applyAlignment="1">
      <alignment horizontal="center" vertical="center"/>
    </xf>
    <xf numFmtId="0" fontId="28" fillId="2" borderId="50" xfId="0" applyFont="1" applyFill="1" applyBorder="1" applyAlignment="1">
      <alignment horizontal="center" vertical="center"/>
    </xf>
    <xf numFmtId="0" fontId="6" fillId="2" borderId="222" xfId="2" applyFill="1" applyBorder="1" applyAlignment="1">
      <alignment horizontal="center" vertical="center"/>
    </xf>
    <xf numFmtId="0" fontId="6" fillId="2" borderId="220" xfId="2" applyFill="1" applyBorder="1" applyAlignment="1">
      <alignment horizontal="center" vertical="center"/>
    </xf>
    <xf numFmtId="0" fontId="6" fillId="2" borderId="0" xfId="2" applyFill="1" applyAlignment="1">
      <alignment horizontal="right"/>
    </xf>
    <xf numFmtId="0" fontId="6" fillId="2" borderId="223" xfId="2" applyFill="1" applyBorder="1" applyAlignment="1">
      <alignment horizontal="center" vertical="center"/>
    </xf>
    <xf numFmtId="0" fontId="6" fillId="2" borderId="114" xfId="2" applyFill="1" applyBorder="1" applyAlignment="1">
      <alignment horizontal="center" vertical="center"/>
    </xf>
    <xf numFmtId="0" fontId="6" fillId="2" borderId="224" xfId="2" applyFill="1" applyBorder="1" applyAlignment="1">
      <alignment horizontal="center" vertical="center"/>
    </xf>
    <xf numFmtId="0" fontId="6" fillId="2" borderId="115" xfId="2" applyFill="1" applyBorder="1" applyAlignment="1">
      <alignment horizontal="center" vertical="center"/>
    </xf>
    <xf numFmtId="0" fontId="6" fillId="2" borderId="225" xfId="2" applyFill="1" applyBorder="1" applyAlignment="1">
      <alignment horizontal="center" vertical="center"/>
    </xf>
    <xf numFmtId="0" fontId="6" fillId="2" borderId="50" xfId="2" applyFill="1" applyBorder="1" applyAlignment="1">
      <alignment horizontal="center" vertical="center"/>
    </xf>
    <xf numFmtId="0" fontId="35" fillId="2" borderId="43" xfId="55" applyFont="1" applyFill="1" applyBorder="1" applyAlignment="1">
      <alignment horizontal="centerContinuous" vertical="center"/>
    </xf>
    <xf numFmtId="0" fontId="35" fillId="2" borderId="51" xfId="55" applyFont="1" applyFill="1" applyBorder="1" applyAlignment="1">
      <alignment horizontal="centerContinuous" vertical="center"/>
    </xf>
    <xf numFmtId="0" fontId="35" fillId="2" borderId="44" xfId="55" applyFont="1" applyFill="1" applyBorder="1" applyAlignment="1">
      <alignment horizontal="centerContinuous" vertical="center"/>
    </xf>
    <xf numFmtId="0" fontId="6" fillId="2" borderId="227" xfId="2" applyFill="1" applyBorder="1" applyAlignment="1">
      <alignment horizontal="center" vertical="center"/>
    </xf>
    <xf numFmtId="0" fontId="6" fillId="2" borderId="228" xfId="2" applyFill="1" applyBorder="1" applyAlignment="1">
      <alignment horizontal="center" vertical="center"/>
    </xf>
    <xf numFmtId="0" fontId="6" fillId="2" borderId="230" xfId="2" applyFill="1" applyBorder="1" applyAlignment="1">
      <alignment horizontal="center" vertical="center"/>
    </xf>
    <xf numFmtId="0" fontId="6" fillId="2" borderId="178" xfId="2" applyFill="1" applyBorder="1" applyAlignment="1">
      <alignment horizontal="center" vertical="center"/>
    </xf>
    <xf numFmtId="0" fontId="6" fillId="2" borderId="232" xfId="2" applyFill="1" applyBorder="1" applyAlignment="1">
      <alignment horizontal="center" vertical="center"/>
    </xf>
    <xf numFmtId="0" fontId="6" fillId="2" borderId="117" xfId="2" applyFill="1" applyBorder="1" applyAlignment="1">
      <alignment horizontal="center" vertical="center"/>
    </xf>
    <xf numFmtId="0" fontId="6" fillId="2" borderId="234" xfId="2" applyFill="1" applyBorder="1" applyAlignment="1">
      <alignment horizontal="center" vertical="center"/>
    </xf>
    <xf numFmtId="0" fontId="6" fillId="2" borderId="235" xfId="2" applyFill="1" applyBorder="1" applyAlignment="1">
      <alignment horizontal="center" vertical="center"/>
    </xf>
    <xf numFmtId="0" fontId="6" fillId="2" borderId="236" xfId="2" applyFill="1" applyBorder="1" applyAlignment="1">
      <alignment horizontal="center" vertical="center"/>
    </xf>
    <xf numFmtId="0" fontId="37" fillId="2" borderId="237" xfId="0" applyFont="1" applyFill="1" applyBorder="1" applyAlignment="1">
      <alignment horizontal="center" vertical="center" wrapText="1"/>
    </xf>
    <xf numFmtId="0" fontId="6" fillId="2" borderId="238" xfId="2" applyFill="1" applyBorder="1" applyAlignment="1">
      <alignment horizontal="center" vertical="center"/>
    </xf>
    <xf numFmtId="0" fontId="6" fillId="2" borderId="239" xfId="2" applyFill="1" applyBorder="1" applyAlignment="1">
      <alignment horizontal="center" vertical="center"/>
    </xf>
    <xf numFmtId="0" fontId="31" fillId="2" borderId="222" xfId="0" applyFont="1" applyFill="1" applyBorder="1" applyAlignment="1">
      <alignment horizontal="center" vertical="center"/>
    </xf>
    <xf numFmtId="0" fontId="6" fillId="2" borderId="240" xfId="2" applyFill="1" applyBorder="1" applyAlignment="1">
      <alignment horizontal="center" vertical="center"/>
    </xf>
    <xf numFmtId="0" fontId="6" fillId="2" borderId="237" xfId="2" applyFill="1" applyBorder="1" applyAlignment="1">
      <alignment horizontal="center" vertical="center"/>
    </xf>
    <xf numFmtId="0" fontId="6" fillId="2" borderId="241" xfId="2" applyFill="1" applyBorder="1" applyAlignment="1">
      <alignment horizontal="center" vertical="center"/>
    </xf>
    <xf numFmtId="0" fontId="28" fillId="0" borderId="112" xfId="0" applyFont="1" applyBorder="1" applyAlignment="1">
      <alignment horizontal="center" vertical="center"/>
    </xf>
    <xf numFmtId="0" fontId="28" fillId="0" borderId="116" xfId="0" applyFont="1" applyBorder="1" applyAlignment="1">
      <alignment horizontal="center" vertical="center"/>
    </xf>
    <xf numFmtId="0" fontId="28" fillId="0" borderId="104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6" fillId="2" borderId="43" xfId="2" applyFill="1" applyBorder="1" applyAlignment="1">
      <alignment horizontal="center" vertical="center"/>
    </xf>
    <xf numFmtId="0" fontId="6" fillId="2" borderId="48" xfId="2" applyFill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28" fillId="0" borderId="122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180" fontId="35" fillId="2" borderId="112" xfId="55" applyNumberFormat="1" applyFont="1" applyFill="1" applyBorder="1" applyAlignment="1">
      <alignment horizontal="center" vertical="center"/>
    </xf>
    <xf numFmtId="180" fontId="35" fillId="2" borderId="116" xfId="55" applyNumberFormat="1" applyFont="1" applyFill="1" applyBorder="1" applyAlignment="1">
      <alignment horizontal="center" vertical="center"/>
    </xf>
    <xf numFmtId="0" fontId="6" fillId="2" borderId="112" xfId="2" applyFill="1" applyBorder="1" applyAlignment="1">
      <alignment horizontal="center" vertical="center"/>
    </xf>
    <xf numFmtId="0" fontId="6" fillId="2" borderId="113" xfId="2" applyFill="1" applyBorder="1" applyAlignment="1">
      <alignment horizontal="center" vertical="center"/>
    </xf>
    <xf numFmtId="0" fontId="6" fillId="2" borderId="116" xfId="2" applyFill="1" applyBorder="1" applyAlignment="1">
      <alignment horizontal="center" vertical="center"/>
    </xf>
    <xf numFmtId="0" fontId="40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28" fillId="2" borderId="54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 wrapText="1"/>
    </xf>
    <xf numFmtId="0" fontId="28" fillId="2" borderId="54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35" fillId="0" borderId="55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6" fillId="2" borderId="51" xfId="2" applyFill="1" applyBorder="1" applyAlignment="1">
      <alignment horizontal="center" vertical="center"/>
    </xf>
    <xf numFmtId="0" fontId="6" fillId="2" borderId="122" xfId="2" applyFill="1" applyBorder="1" applyAlignment="1">
      <alignment horizontal="center" vertical="center"/>
    </xf>
    <xf numFmtId="0" fontId="35" fillId="2" borderId="31" xfId="0" applyFont="1" applyFill="1" applyBorder="1" applyAlignment="1">
      <alignment horizontal="left" vertical="center"/>
    </xf>
    <xf numFmtId="0" fontId="35" fillId="2" borderId="32" xfId="0" applyFont="1" applyFill="1" applyBorder="1" applyAlignment="1">
      <alignment horizontal="left" vertical="center"/>
    </xf>
    <xf numFmtId="0" fontId="35" fillId="2" borderId="54" xfId="0" applyFont="1" applyFill="1" applyBorder="1" applyAlignment="1">
      <alignment horizontal="left" vertical="center"/>
    </xf>
    <xf numFmtId="0" fontId="35" fillId="2" borderId="0" xfId="0" applyFont="1" applyFill="1" applyAlignment="1">
      <alignment horizontal="left" vertical="top" wrapText="1"/>
    </xf>
    <xf numFmtId="0" fontId="35" fillId="2" borderId="31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 wrapText="1"/>
    </xf>
    <xf numFmtId="0" fontId="35" fillId="2" borderId="54" xfId="0" applyFont="1" applyFill="1" applyBorder="1" applyAlignment="1">
      <alignment horizontal="center" vertical="center" wrapText="1"/>
    </xf>
    <xf numFmtId="0" fontId="33" fillId="2" borderId="41" xfId="0" applyFont="1" applyFill="1" applyBorder="1" applyAlignment="1">
      <alignment horizontal="center" vertical="center"/>
    </xf>
    <xf numFmtId="0" fontId="33" fillId="2" borderId="39" xfId="0" applyFont="1" applyFill="1" applyBorder="1" applyAlignment="1">
      <alignment horizontal="center" vertical="center"/>
    </xf>
    <xf numFmtId="0" fontId="33" fillId="2" borderId="42" xfId="0" applyFont="1" applyFill="1" applyBorder="1" applyAlignment="1">
      <alignment horizontal="center" vertical="center"/>
    </xf>
    <xf numFmtId="0" fontId="33" fillId="2" borderId="67" xfId="0" applyFont="1" applyFill="1" applyBorder="1" applyAlignment="1">
      <alignment horizontal="center" vertical="center"/>
    </xf>
    <xf numFmtId="0" fontId="33" fillId="2" borderId="66" xfId="0" applyFont="1" applyFill="1" applyBorder="1" applyAlignment="1">
      <alignment horizontal="center" vertical="center"/>
    </xf>
    <xf numFmtId="0" fontId="33" fillId="2" borderId="68" xfId="0" applyFont="1" applyFill="1" applyBorder="1" applyAlignment="1">
      <alignment horizontal="center" vertical="center"/>
    </xf>
    <xf numFmtId="0" fontId="35" fillId="2" borderId="34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4" xfId="0" applyFont="1" applyFill="1" applyBorder="1" applyAlignment="1">
      <alignment horizontal="center" vertical="center"/>
    </xf>
    <xf numFmtId="0" fontId="35" fillId="28" borderId="43" xfId="0" applyFont="1" applyFill="1" applyBorder="1" applyAlignment="1">
      <alignment horizontal="center" vertical="center"/>
    </xf>
    <xf numFmtId="0" fontId="35" fillId="28" borderId="51" xfId="0" applyFont="1" applyFill="1" applyBorder="1" applyAlignment="1">
      <alignment horizontal="center" vertical="center"/>
    </xf>
    <xf numFmtId="0" fontId="35" fillId="28" borderId="122" xfId="0" applyFont="1" applyFill="1" applyBorder="1" applyAlignment="1">
      <alignment horizontal="center" vertical="center"/>
    </xf>
    <xf numFmtId="0" fontId="6" fillId="2" borderId="75" xfId="3" applyFill="1" applyBorder="1" applyAlignment="1">
      <alignment horizontal="left" vertical="top" wrapText="1"/>
    </xf>
    <xf numFmtId="0" fontId="6" fillId="2" borderId="29" xfId="3" applyFill="1" applyBorder="1" applyAlignment="1">
      <alignment horizontal="left" vertical="top" wrapText="1"/>
    </xf>
    <xf numFmtId="0" fontId="35" fillId="2" borderId="75" xfId="3" applyFont="1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 wrapText="1"/>
    </xf>
    <xf numFmtId="0" fontId="35" fillId="0" borderId="75" xfId="3" applyFont="1" applyBorder="1" applyAlignment="1">
      <alignment horizontal="left" vertical="top" wrapText="1"/>
    </xf>
    <xf numFmtId="0" fontId="35" fillId="0" borderId="9" xfId="3" applyFont="1" applyBorder="1" applyAlignment="1">
      <alignment horizontal="left" vertical="top" wrapText="1"/>
    </xf>
    <xf numFmtId="0" fontId="35" fillId="2" borderId="9" xfId="3" applyFont="1" applyFill="1" applyBorder="1" applyAlignment="1">
      <alignment horizontal="left" vertical="top" wrapText="1"/>
    </xf>
    <xf numFmtId="0" fontId="35" fillId="0" borderId="30" xfId="3" applyFont="1" applyBorder="1" applyAlignment="1">
      <alignment horizontal="left" vertical="top" wrapText="1"/>
    </xf>
    <xf numFmtId="0" fontId="35" fillId="0" borderId="29" xfId="3" applyFont="1" applyBorder="1" applyAlignment="1">
      <alignment horizontal="left" vertical="top" wrapText="1"/>
    </xf>
    <xf numFmtId="0" fontId="35" fillId="27" borderId="31" xfId="0" applyFont="1" applyFill="1" applyBorder="1" applyAlignment="1">
      <alignment horizontal="left" vertical="center" shrinkToFit="1"/>
    </xf>
    <xf numFmtId="0" fontId="35" fillId="27" borderId="54" xfId="0" applyFont="1" applyFill="1" applyBorder="1" applyAlignment="1">
      <alignment horizontal="left" vertical="center" shrinkToFit="1"/>
    </xf>
    <xf numFmtId="0" fontId="6" fillId="2" borderId="9" xfId="3" applyFill="1" applyBorder="1" applyAlignment="1">
      <alignment horizontal="left" vertical="top"/>
    </xf>
    <xf numFmtId="0" fontId="35" fillId="26" borderId="31" xfId="0" applyFont="1" applyFill="1" applyBorder="1" applyAlignment="1">
      <alignment horizontal="center" vertical="center"/>
    </xf>
    <xf numFmtId="0" fontId="35" fillId="26" borderId="32" xfId="0" applyFont="1" applyFill="1" applyBorder="1" applyAlignment="1">
      <alignment horizontal="center" vertical="center"/>
    </xf>
    <xf numFmtId="0" fontId="35" fillId="26" borderId="54" xfId="0" applyFont="1" applyFill="1" applyBorder="1" applyAlignment="1">
      <alignment horizontal="center" vertical="center"/>
    </xf>
    <xf numFmtId="0" fontId="6" fillId="27" borderId="37" xfId="3" applyFill="1" applyBorder="1" applyAlignment="1">
      <alignment horizontal="left" vertical="top" wrapText="1"/>
    </xf>
    <xf numFmtId="0" fontId="6" fillId="27" borderId="6" xfId="3" applyFill="1" applyBorder="1" applyAlignment="1">
      <alignment horizontal="left" vertical="top" wrapText="1"/>
    </xf>
    <xf numFmtId="0" fontId="6" fillId="27" borderId="7" xfId="3" applyFill="1" applyBorder="1" applyAlignment="1">
      <alignment horizontal="left" vertical="top" wrapText="1"/>
    </xf>
    <xf numFmtId="0" fontId="35" fillId="27" borderId="37" xfId="3" applyFont="1" applyFill="1" applyBorder="1" applyAlignment="1">
      <alignment horizontal="left" vertical="top" wrapText="1"/>
    </xf>
    <xf numFmtId="0" fontId="35" fillId="27" borderId="6" xfId="3" applyFont="1" applyFill="1" applyBorder="1" applyAlignment="1">
      <alignment horizontal="left" vertical="top" wrapText="1"/>
    </xf>
    <xf numFmtId="0" fontId="35" fillId="27" borderId="7" xfId="3" applyFont="1" applyFill="1" applyBorder="1" applyAlignment="1">
      <alignment horizontal="left" vertical="top" wrapText="1"/>
    </xf>
    <xf numFmtId="0" fontId="35" fillId="27" borderId="96" xfId="3" applyFont="1" applyFill="1" applyBorder="1" applyAlignment="1">
      <alignment horizontal="left" vertical="top" wrapText="1"/>
    </xf>
    <xf numFmtId="0" fontId="35" fillId="27" borderId="94" xfId="3" applyFont="1" applyFill="1" applyBorder="1" applyAlignment="1">
      <alignment horizontal="left" vertical="top" wrapText="1"/>
    </xf>
    <xf numFmtId="0" fontId="35" fillId="27" borderId="19" xfId="3" applyFont="1" applyFill="1" applyBorder="1" applyAlignment="1">
      <alignment horizontal="left" vertical="top" wrapText="1"/>
    </xf>
    <xf numFmtId="0" fontId="35" fillId="27" borderId="37" xfId="0" applyFont="1" applyFill="1" applyBorder="1" applyAlignment="1">
      <alignment horizontal="left" vertical="center"/>
    </xf>
    <xf numFmtId="0" fontId="35" fillId="27" borderId="6" xfId="0" applyFont="1" applyFill="1" applyBorder="1" applyAlignment="1">
      <alignment horizontal="left" vertical="center"/>
    </xf>
    <xf numFmtId="0" fontId="35" fillId="27" borderId="7" xfId="0" applyFont="1" applyFill="1" applyBorder="1" applyAlignment="1">
      <alignment horizontal="left" vertical="center"/>
    </xf>
    <xf numFmtId="0" fontId="35" fillId="27" borderId="95" xfId="0" applyFont="1" applyFill="1" applyBorder="1" applyAlignment="1">
      <alignment horizontal="left" vertical="center"/>
    </xf>
    <xf numFmtId="0" fontId="35" fillId="27" borderId="98" xfId="0" applyFont="1" applyFill="1" applyBorder="1" applyAlignment="1">
      <alignment horizontal="left" vertical="center"/>
    </xf>
    <xf numFmtId="0" fontId="35" fillId="27" borderId="28" xfId="0" applyFont="1" applyFill="1" applyBorder="1" applyAlignment="1">
      <alignment horizontal="left" vertical="center"/>
    </xf>
    <xf numFmtId="0" fontId="35" fillId="27" borderId="96" xfId="0" applyFont="1" applyFill="1" applyBorder="1" applyAlignment="1">
      <alignment horizontal="left" vertical="center"/>
    </xf>
    <xf numFmtId="0" fontId="35" fillId="27" borderId="94" xfId="0" applyFont="1" applyFill="1" applyBorder="1" applyAlignment="1">
      <alignment horizontal="left" vertical="center"/>
    </xf>
    <xf numFmtId="0" fontId="35" fillId="27" borderId="19" xfId="0" applyFont="1" applyFill="1" applyBorder="1" applyAlignment="1">
      <alignment horizontal="left" vertical="center"/>
    </xf>
    <xf numFmtId="0" fontId="35" fillId="27" borderId="95" xfId="3" applyFont="1" applyFill="1" applyBorder="1" applyAlignment="1">
      <alignment horizontal="left" vertical="top" wrapText="1"/>
    </xf>
    <xf numFmtId="0" fontId="35" fillId="27" borderId="98" xfId="3" applyFont="1" applyFill="1" applyBorder="1" applyAlignment="1">
      <alignment horizontal="left" vertical="top" wrapText="1"/>
    </xf>
    <xf numFmtId="0" fontId="35" fillId="27" borderId="28" xfId="3" applyFont="1" applyFill="1" applyBorder="1" applyAlignment="1">
      <alignment horizontal="left" vertical="top" wrapText="1"/>
    </xf>
    <xf numFmtId="0" fontId="39" fillId="25" borderId="31" xfId="0" applyFont="1" applyFill="1" applyBorder="1" applyAlignment="1">
      <alignment horizontal="left" vertical="top" wrapText="1"/>
    </xf>
    <xf numFmtId="0" fontId="39" fillId="25" borderId="32" xfId="0" applyFont="1" applyFill="1" applyBorder="1" applyAlignment="1">
      <alignment horizontal="left" vertical="top" wrapText="1"/>
    </xf>
    <xf numFmtId="0" fontId="35" fillId="0" borderId="32" xfId="0" applyFont="1" applyBorder="1" applyAlignment="1">
      <alignment vertical="center" wrapText="1"/>
    </xf>
    <xf numFmtId="0" fontId="35" fillId="0" borderId="54" xfId="0" applyFont="1" applyBorder="1" applyAlignment="1">
      <alignment vertical="center" wrapText="1"/>
    </xf>
    <xf numFmtId="0" fontId="35" fillId="26" borderId="33" xfId="0" applyFont="1" applyFill="1" applyBorder="1" applyAlignment="1">
      <alignment horizontal="center" vertical="center"/>
    </xf>
    <xf numFmtId="0" fontId="35" fillId="0" borderId="33" xfId="0" applyFont="1" applyBorder="1">
      <alignment vertical="center"/>
    </xf>
    <xf numFmtId="0" fontId="35" fillId="27" borderId="33" xfId="0" applyFont="1" applyFill="1" applyBorder="1" applyAlignment="1">
      <alignment horizontal="left" vertical="top" wrapText="1"/>
    </xf>
    <xf numFmtId="0" fontId="35" fillId="0" borderId="33" xfId="0" applyFont="1" applyBorder="1" applyAlignment="1">
      <alignment horizontal="left" vertical="center"/>
    </xf>
    <xf numFmtId="0" fontId="35" fillId="0" borderId="104" xfId="0" applyFont="1" applyBorder="1" applyAlignment="1">
      <alignment horizontal="left" vertical="top"/>
    </xf>
    <xf numFmtId="0" fontId="35" fillId="0" borderId="48" xfId="0" applyFont="1" applyBorder="1" applyAlignment="1">
      <alignment horizontal="left" vertical="top"/>
    </xf>
    <xf numFmtId="0" fontId="35" fillId="27" borderId="31" xfId="0" applyFont="1" applyFill="1" applyBorder="1" applyAlignment="1">
      <alignment horizontal="left" vertical="center"/>
    </xf>
    <xf numFmtId="0" fontId="35" fillId="27" borderId="32" xfId="0" applyFont="1" applyFill="1" applyBorder="1" applyAlignment="1">
      <alignment horizontal="left" vertical="center"/>
    </xf>
    <xf numFmtId="0" fontId="35" fillId="27" borderId="54" xfId="0" applyFont="1" applyFill="1" applyBorder="1" applyAlignment="1">
      <alignment horizontal="left" vertical="center"/>
    </xf>
    <xf numFmtId="0" fontId="35" fillId="27" borderId="31" xfId="3" applyFont="1" applyFill="1" applyBorder="1" applyAlignment="1">
      <alignment horizontal="left" vertical="top" wrapText="1"/>
    </xf>
    <xf numFmtId="0" fontId="35" fillId="27" borderId="32" xfId="3" applyFont="1" applyFill="1" applyBorder="1" applyAlignment="1">
      <alignment horizontal="left" vertical="top" wrapText="1"/>
    </xf>
    <xf numFmtId="0" fontId="35" fillId="27" borderId="54" xfId="3" applyFont="1" applyFill="1" applyBorder="1" applyAlignment="1">
      <alignment horizontal="left" vertical="top" wrapText="1"/>
    </xf>
    <xf numFmtId="0" fontId="28" fillId="2" borderId="43" xfId="0" applyFont="1" applyFill="1" applyBorder="1" applyAlignment="1">
      <alignment horizontal="center" vertical="center"/>
    </xf>
    <xf numFmtId="0" fontId="28" fillId="2" borderId="46" xfId="0" applyFont="1" applyFill="1" applyBorder="1" applyAlignment="1">
      <alignment horizontal="center" vertical="center"/>
    </xf>
    <xf numFmtId="0" fontId="35" fillId="2" borderId="226" xfId="55" applyFont="1" applyFill="1" applyBorder="1" applyAlignment="1">
      <alignment horizontal="center" vertical="center"/>
    </xf>
    <xf numFmtId="0" fontId="35" fillId="2" borderId="231" xfId="55" applyFont="1" applyFill="1" applyBorder="1" applyAlignment="1">
      <alignment horizontal="center" vertical="center"/>
    </xf>
    <xf numFmtId="0" fontId="35" fillId="2" borderId="229" xfId="55" applyFont="1" applyFill="1" applyBorder="1" applyAlignment="1">
      <alignment horizontal="center" vertical="center"/>
    </xf>
    <xf numFmtId="0" fontId="35" fillId="2" borderId="233" xfId="55" applyFont="1" applyFill="1" applyBorder="1" applyAlignment="1">
      <alignment horizontal="center" vertical="center"/>
    </xf>
    <xf numFmtId="0" fontId="26" fillId="2" borderId="71" xfId="81" applyFill="1" applyBorder="1" applyAlignment="1">
      <alignment vertical="center" shrinkToFit="1"/>
    </xf>
    <xf numFmtId="0" fontId="28" fillId="2" borderId="98" xfId="0" applyFont="1" applyFill="1" applyBorder="1" applyAlignment="1">
      <alignment vertical="center" shrinkToFit="1"/>
    </xf>
    <xf numFmtId="0" fontId="26" fillId="2" borderId="65" xfId="81" applyFill="1" applyBorder="1" applyAlignment="1">
      <alignment vertical="center" shrinkToFit="1"/>
    </xf>
    <xf numFmtId="0" fontId="28" fillId="2" borderId="94" xfId="0" applyFont="1" applyFill="1" applyBorder="1" applyAlignment="1">
      <alignment vertical="center" shrinkToFit="1"/>
    </xf>
    <xf numFmtId="0" fontId="28" fillId="2" borderId="51" xfId="0" applyFont="1" applyFill="1" applyBorder="1" applyAlignment="1">
      <alignment horizontal="center" vertical="center"/>
    </xf>
    <xf numFmtId="0" fontId="26" fillId="0" borderId="160" xfId="81" applyBorder="1" applyAlignment="1">
      <alignment vertical="center" shrinkToFit="1"/>
    </xf>
    <xf numFmtId="0" fontId="28" fillId="0" borderId="154" xfId="0" applyFont="1" applyBorder="1" applyAlignment="1">
      <alignment vertical="center" shrinkToFit="1"/>
    </xf>
    <xf numFmtId="0" fontId="26" fillId="27" borderId="158" xfId="81" applyFill="1" applyBorder="1" applyAlignment="1">
      <alignment vertical="center"/>
    </xf>
    <xf numFmtId="0" fontId="26" fillId="27" borderId="153" xfId="81" applyFill="1" applyBorder="1" applyAlignment="1">
      <alignment vertical="center"/>
    </xf>
    <xf numFmtId="0" fontId="26" fillId="27" borderId="159" xfId="81" applyFill="1" applyBorder="1" applyAlignment="1">
      <alignment vertical="center"/>
    </xf>
    <xf numFmtId="0" fontId="28" fillId="2" borderId="28" xfId="0" applyFont="1" applyFill="1" applyBorder="1" applyAlignment="1">
      <alignment vertical="center" shrinkToFit="1"/>
    </xf>
    <xf numFmtId="0" fontId="26" fillId="2" borderId="22" xfId="81" applyFill="1" applyBorder="1" applyAlignment="1">
      <alignment vertical="center" shrinkToFit="1"/>
    </xf>
    <xf numFmtId="0" fontId="28" fillId="2" borderId="0" xfId="0" applyFont="1" applyFill="1" applyAlignment="1">
      <alignment vertical="center" shrinkToFit="1"/>
    </xf>
    <xf numFmtId="0" fontId="28" fillId="2" borderId="140" xfId="0" applyFont="1" applyFill="1" applyBorder="1" applyAlignment="1">
      <alignment vertical="center" shrinkToFit="1"/>
    </xf>
  </cellXfs>
  <cellStyles count="89">
    <cellStyle name="20% - アクセント 1 2" xfId="6" xr:uid="{00000000-0005-0000-0000-000000000000}"/>
    <cellStyle name="20% - アクセント 2 2" xfId="7" xr:uid="{00000000-0005-0000-0000-000001000000}"/>
    <cellStyle name="20% - アクセント 3 2" xfId="8" xr:uid="{00000000-0005-0000-0000-000002000000}"/>
    <cellStyle name="20% - アクセント 4 2" xfId="9" xr:uid="{00000000-0005-0000-0000-000003000000}"/>
    <cellStyle name="20% - アクセント 5 2" xfId="10" xr:uid="{00000000-0005-0000-0000-000004000000}"/>
    <cellStyle name="20% - アクセント 6 2" xfId="11" xr:uid="{00000000-0005-0000-0000-000005000000}"/>
    <cellStyle name="40% - アクセント 1 2" xfId="12" xr:uid="{00000000-0005-0000-0000-000006000000}"/>
    <cellStyle name="40% - アクセント 2 2" xfId="13" xr:uid="{00000000-0005-0000-0000-000007000000}"/>
    <cellStyle name="40% - アクセント 3 2" xfId="14" xr:uid="{00000000-0005-0000-0000-000008000000}"/>
    <cellStyle name="40% - アクセント 4 2" xfId="15" xr:uid="{00000000-0005-0000-0000-000009000000}"/>
    <cellStyle name="40% - アクセント 5 2" xfId="16" xr:uid="{00000000-0005-0000-0000-00000A000000}"/>
    <cellStyle name="40% - アクセント 6 2" xfId="17" xr:uid="{00000000-0005-0000-0000-00000B000000}"/>
    <cellStyle name="60% - アクセント 1 2" xfId="18" xr:uid="{00000000-0005-0000-0000-00000C000000}"/>
    <cellStyle name="60% - アクセント 2 2" xfId="19" xr:uid="{00000000-0005-0000-0000-00000D000000}"/>
    <cellStyle name="60% - アクセント 3 2" xfId="20" xr:uid="{00000000-0005-0000-0000-00000E000000}"/>
    <cellStyle name="60% - アクセント 4 2" xfId="21" xr:uid="{00000000-0005-0000-0000-00000F000000}"/>
    <cellStyle name="60% - アクセント 5 2" xfId="22" xr:uid="{00000000-0005-0000-0000-000010000000}"/>
    <cellStyle name="60% - アクセント 6 2" xfId="23" xr:uid="{00000000-0005-0000-0000-000011000000}"/>
    <cellStyle name="アクセント 1 2" xfId="24" xr:uid="{00000000-0005-0000-0000-000012000000}"/>
    <cellStyle name="アクセント 2 2" xfId="25" xr:uid="{00000000-0005-0000-0000-000013000000}"/>
    <cellStyle name="アクセント 3 2" xfId="26" xr:uid="{00000000-0005-0000-0000-000014000000}"/>
    <cellStyle name="アクセント 4 2" xfId="27" xr:uid="{00000000-0005-0000-0000-000015000000}"/>
    <cellStyle name="アクセント 5 2" xfId="28" xr:uid="{00000000-0005-0000-0000-000016000000}"/>
    <cellStyle name="アクセント 6 2" xfId="29" xr:uid="{00000000-0005-0000-0000-000017000000}"/>
    <cellStyle name="タイトル 2" xfId="30" xr:uid="{00000000-0005-0000-0000-000018000000}"/>
    <cellStyle name="チェック セル 2" xfId="31" xr:uid="{00000000-0005-0000-0000-000019000000}"/>
    <cellStyle name="チェック セル 2 2" xfId="66" xr:uid="{00000000-0005-0000-0000-00001A000000}"/>
    <cellStyle name="チェック セル 2 2 2" xfId="78" xr:uid="{00000000-0005-0000-0000-00001B000000}"/>
    <cellStyle name="チェック セル 2 2 3" xfId="82" xr:uid="{00000000-0005-0000-0000-00001C000000}"/>
    <cellStyle name="チェック セル 2 2 4" xfId="84" xr:uid="{00000000-0005-0000-0000-00001D000000}"/>
    <cellStyle name="チェック セル 2 3" xfId="74" xr:uid="{00000000-0005-0000-0000-00001E000000}"/>
    <cellStyle name="チェック セル 2 3 2" xfId="79" xr:uid="{00000000-0005-0000-0000-00001F000000}"/>
    <cellStyle name="チェック セル 2 3 3" xfId="83" xr:uid="{00000000-0005-0000-0000-000020000000}"/>
    <cellStyle name="チェック セル 2 3 4" xfId="85" xr:uid="{00000000-0005-0000-0000-000021000000}"/>
    <cellStyle name="チェック セル 2 4" xfId="77" xr:uid="{00000000-0005-0000-0000-000022000000}"/>
    <cellStyle name="チェック セル 2 5" xfId="80" xr:uid="{00000000-0005-0000-0000-000023000000}"/>
    <cellStyle name="どちらでもない 2" xfId="32" xr:uid="{00000000-0005-0000-0000-000024000000}"/>
    <cellStyle name="パーセント" xfId="86" builtinId="5"/>
    <cellStyle name="パーセント 2" xfId="33" xr:uid="{00000000-0005-0000-0000-000026000000}"/>
    <cellStyle name="パーセント 3" xfId="5" xr:uid="{00000000-0005-0000-0000-000027000000}"/>
    <cellStyle name="ハイパーリンク" xfId="1" builtinId="8"/>
    <cellStyle name="メモ 2" xfId="34" xr:uid="{00000000-0005-0000-0000-000029000000}"/>
    <cellStyle name="メモ 2 2" xfId="67" xr:uid="{00000000-0005-0000-0000-00002A000000}"/>
    <cellStyle name="リンク セル 2" xfId="35" xr:uid="{00000000-0005-0000-0000-00002B000000}"/>
    <cellStyle name="悪い 2" xfId="36" xr:uid="{00000000-0005-0000-0000-00002C000000}"/>
    <cellStyle name="計算 2" xfId="37" xr:uid="{00000000-0005-0000-0000-00002D000000}"/>
    <cellStyle name="計算 2 2" xfId="68" xr:uid="{00000000-0005-0000-0000-00002E000000}"/>
    <cellStyle name="警告文 2" xfId="38" xr:uid="{00000000-0005-0000-0000-00002F000000}"/>
    <cellStyle name="桁区切り" xfId="88" builtinId="6"/>
    <cellStyle name="桁区切り 2" xfId="39" xr:uid="{00000000-0005-0000-0000-000031000000}"/>
    <cellStyle name="桁区切り 3" xfId="40" xr:uid="{00000000-0005-0000-0000-000032000000}"/>
    <cellStyle name="桁区切り 3 2" xfId="41" xr:uid="{00000000-0005-0000-0000-000033000000}"/>
    <cellStyle name="桁区切り 4" xfId="42" xr:uid="{00000000-0005-0000-0000-000034000000}"/>
    <cellStyle name="桁区切り 5" xfId="62" xr:uid="{00000000-0005-0000-0000-000035000000}"/>
    <cellStyle name="見出し 1 2" xfId="43" xr:uid="{00000000-0005-0000-0000-000036000000}"/>
    <cellStyle name="見出し 2 2" xfId="44" xr:uid="{00000000-0005-0000-0000-000037000000}"/>
    <cellStyle name="見出し 3 2" xfId="45" xr:uid="{00000000-0005-0000-0000-000038000000}"/>
    <cellStyle name="見出し 4 2" xfId="46" xr:uid="{00000000-0005-0000-0000-000039000000}"/>
    <cellStyle name="集計 2" xfId="47" xr:uid="{00000000-0005-0000-0000-00003A000000}"/>
    <cellStyle name="集計 2 2" xfId="72" xr:uid="{00000000-0005-0000-0000-00003B000000}"/>
    <cellStyle name="集計 2 2 2" xfId="75" xr:uid="{00000000-0005-0000-0000-00003C000000}"/>
    <cellStyle name="集計 2 3" xfId="69" xr:uid="{00000000-0005-0000-0000-00003D000000}"/>
    <cellStyle name="出力 2" xfId="48" xr:uid="{00000000-0005-0000-0000-00003E000000}"/>
    <cellStyle name="出力 2 2" xfId="73" xr:uid="{00000000-0005-0000-0000-00003F000000}"/>
    <cellStyle name="出力 2 2 2" xfId="76" xr:uid="{00000000-0005-0000-0000-000040000000}"/>
    <cellStyle name="出力 2 3" xfId="70" xr:uid="{00000000-0005-0000-0000-000041000000}"/>
    <cellStyle name="説明文 2" xfId="49" xr:uid="{00000000-0005-0000-0000-000042000000}"/>
    <cellStyle name="通貨 2" xfId="50" xr:uid="{00000000-0005-0000-0000-000043000000}"/>
    <cellStyle name="通貨 2 2" xfId="51" xr:uid="{00000000-0005-0000-0000-000044000000}"/>
    <cellStyle name="通貨 3" xfId="52" xr:uid="{00000000-0005-0000-0000-000045000000}"/>
    <cellStyle name="入力 2" xfId="53" xr:uid="{00000000-0005-0000-0000-000046000000}"/>
    <cellStyle name="入力 2 2" xfId="71" xr:uid="{00000000-0005-0000-0000-000047000000}"/>
    <cellStyle name="標準" xfId="0" builtinId="0"/>
    <cellStyle name="標準 2" xfId="2" xr:uid="{00000000-0005-0000-0000-000049000000}"/>
    <cellStyle name="標準 2 2" xfId="54" xr:uid="{00000000-0005-0000-0000-00004A000000}"/>
    <cellStyle name="標準 3" xfId="55" xr:uid="{00000000-0005-0000-0000-00004B000000}"/>
    <cellStyle name="標準 3 2" xfId="56" xr:uid="{00000000-0005-0000-0000-00004C000000}"/>
    <cellStyle name="標準 3 3" xfId="57" xr:uid="{00000000-0005-0000-0000-00004D000000}"/>
    <cellStyle name="標準 3_WS130401y" xfId="58" xr:uid="{00000000-0005-0000-0000-00004E000000}"/>
    <cellStyle name="標準 4" xfId="59" xr:uid="{00000000-0005-0000-0000-00004F000000}"/>
    <cellStyle name="標準 4 2" xfId="60" xr:uid="{00000000-0005-0000-0000-000050000000}"/>
    <cellStyle name="標準 5" xfId="63" xr:uid="{00000000-0005-0000-0000-000051000000}"/>
    <cellStyle name="標準 6" xfId="64" xr:uid="{00000000-0005-0000-0000-000052000000}"/>
    <cellStyle name="標準 7" xfId="65" xr:uid="{00000000-0005-0000-0000-000053000000}"/>
    <cellStyle name="標準_Book1" xfId="3" xr:uid="{00000000-0005-0000-0000-000054000000}"/>
    <cellStyle name="標準_サービス見込量WS(Ver.1.0)" xfId="4" xr:uid="{00000000-0005-0000-0000-000055000000}"/>
    <cellStyle name="標準_介護円滑導入臨時特例交付金の所要額調作業シート_v2a" xfId="81" xr:uid="{00000000-0005-0000-0000-000056000000}"/>
    <cellStyle name="標準_第4期第１号被保険者の保険料推計WS（6段階）ver1.0" xfId="87" xr:uid="{00000000-0005-0000-0000-000057000000}"/>
    <cellStyle name="良い 2" xfId="61" xr:uid="{00000000-0005-0000-0000-000058000000}"/>
  </cellStyles>
  <dxfs count="1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CC"/>
      <color rgb="FF00B0F0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calcChain.xml" Type="http://schemas.openxmlformats.org/officeDocument/2006/relationships/calcChain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worksheets/sheet5.xml" Type="http://schemas.openxmlformats.org/officeDocument/2006/relationships/worksheet"/>
<Relationship Id="rId6" Target="worksheets/sheet6.xml" Type="http://schemas.openxmlformats.org/officeDocument/2006/relationships/worksheet"/>
<Relationship Id="rId7" Target="theme/theme1.xml" Type="http://schemas.openxmlformats.org/officeDocument/2006/relationships/theme"/>
<Relationship Id="rId8" Target="styles.xml" Type="http://schemas.openxmlformats.org/officeDocument/2006/relationships/styles"/>
<Relationship Id="rId9" Target="sharedStrings.xml" Type="http://schemas.openxmlformats.org/officeDocument/2006/relationships/sharedString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9343725055291"/>
          <c:y val="8.0861397938808727E-2"/>
          <c:w val="0.5189775632884599"/>
          <c:h val="0.7052775330055466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'1_推計値サマリ'!$A$64</c:f>
              <c:strCache>
                <c:ptCount val="1"/>
                <c:pt idx="0">
                  <c:v>（３）施設サービス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'1_推計値サマリ'!$D$64:$I$64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C-4FFF-B887-B7E1595EB847}"/>
            </c:ext>
          </c:extLst>
        </c:ser>
        <c:ser>
          <c:idx val="1"/>
          <c:order val="1"/>
          <c:tx>
            <c:strRef>
              <c:f>'1_推計値サマリ'!$A$63</c:f>
              <c:strCache>
                <c:ptCount val="1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'1_推計値サマリ'!$D$63:$I$63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C-4FFF-B887-B7E1595EB847}"/>
            </c:ext>
          </c:extLst>
        </c:ser>
        <c:ser>
          <c:idx val="0"/>
          <c:order val="2"/>
          <c:tx>
            <c:strRef>
              <c:f>'1_推計値サマリ'!$A$62</c:f>
              <c:strCache>
                <c:ptCount val="1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'1_推計値サマリ'!$D$62:$I$62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C-4FFF-B887-B7E1595E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1626760"/>
        <c:axId val="761627544"/>
      </c:barChart>
      <c:catAx>
        <c:axId val="761626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200000"/>
          <a:lstStyle/>
          <a:p>
            <a:pPr>
              <a:defRPr sz="900" baseline="0"/>
            </a:pPr>
            <a:endParaRPr lang="ja-JP"/>
          </a:p>
        </c:txPr>
        <c:crossAx val="761627544"/>
        <c:crosses val="autoZero"/>
        <c:auto val="1"/>
        <c:lblAlgn val="ctr"/>
        <c:lblOffset val="100"/>
        <c:noMultiLvlLbl val="0"/>
      </c:catAx>
      <c:valAx>
        <c:axId val="761627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9.0411323939015176E-3"/>
              <c:y val="0.20877081992658567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761626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763532410812952"/>
          <c:y val="0.34403368478848995"/>
          <c:w val="0.19035337422694337"/>
          <c:h val="0.3238729233174662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3227919307674"/>
          <c:y val="8.1720687428814817E-2"/>
          <c:w val="0.55059820116383562"/>
          <c:h val="0.708729654193732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'1_推計値サマリ'!$A$41:$C$41</c:f>
              <c:strCache>
                <c:ptCount val="3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'1_推計値サマリ'!$D$41:$I$41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B-4A7D-9BF0-CF6AF3F34854}"/>
            </c:ext>
          </c:extLst>
        </c:ser>
        <c:ser>
          <c:idx val="2"/>
          <c:order val="1"/>
          <c:tx>
            <c:strRef>
              <c:f>'1_推計値サマリ'!$A$40:$C$40</c:f>
              <c:strCache>
                <c:ptCount val="3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'1_推計値サマリ'!$D$40:$I$40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B-4A7D-9BF0-CF6AF3F34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9553168"/>
        <c:axId val="829552384"/>
      </c:barChart>
      <c:catAx>
        <c:axId val="829553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440000"/>
          <a:lstStyle/>
          <a:p>
            <a:pPr>
              <a:defRPr sz="900" baseline="0"/>
            </a:pPr>
            <a:endParaRPr lang="ja-JP"/>
          </a:p>
        </c:txPr>
        <c:crossAx val="829552384"/>
        <c:crosses val="autoZero"/>
        <c:auto val="1"/>
        <c:lblAlgn val="ctr"/>
        <c:lblOffset val="100"/>
        <c:noMultiLvlLbl val="0"/>
      </c:catAx>
      <c:valAx>
        <c:axId val="829552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2.1458821404776011E-2"/>
              <c:y val="0.2185784388960344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8295531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7700539704532456"/>
          <c:y val="0.31804657126988928"/>
          <c:w val="0.1846384330548213"/>
          <c:h val="0.2757383449312292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第</a:t>
            </a:r>
            <a:r>
              <a:rPr lang="en-US" altLang="ja-JP" sz="1200"/>
              <a:t>1</a:t>
            </a:r>
            <a:r>
              <a:rPr lang="ja-JP" altLang="en-US" sz="1200"/>
              <a:t>号被保険者</a:t>
            </a:r>
            <a:r>
              <a:rPr lang="en-US" altLang="ja-JP" sz="1200"/>
              <a:t>1</a:t>
            </a:r>
            <a:r>
              <a:rPr lang="ja-JP" altLang="en-US" sz="1200"/>
              <a:t>人あたりの給付月額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'1_推計値サマリ'!$D$90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'1_推計値サマリ'!$D$92:$E$92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'1_推計値サマリ'!$D$91:$E$91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'1_推計値サマリ'!$E$90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'1_推計値サマリ'!$E$92:$F$92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'1_推計値サマリ'!$E$91:$F$91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'1_推計値サマリ'!$F$90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'1_推計値サマリ'!$F$92:$G$92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'1_推計値サマリ'!$F$91:$G$91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'1_推計値サマリ'!$G$90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'1_推計値サマリ'!$G$92:$H$92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'1_推計値サマリ'!$G$91:$H$91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'1_推計値サマリ'!$H$90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'1_推計値サマリ'!$H$92:$I$92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'1_推計値サマリ'!$H$91:$I$91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'1_推計値サマリ'!$I$90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'1_推計値サマリ'!$I$92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'1_推計値サマリ'!$I$91</c:f>
              <c:numCache>
                <c:formatCode>#,##0_ 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690664"/>
        <c:axId val="594932552"/>
      </c:scatterChart>
      <c:valAx>
        <c:axId val="6676906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施設サービス給付月額（千円）</a:t>
                </a:r>
              </a:p>
            </c:rich>
          </c:tx>
          <c:overlay val="0"/>
        </c:title>
        <c:numFmt formatCode="#,##0_ " sourceLinked="1"/>
        <c:majorTickMark val="none"/>
        <c:minorTickMark val="none"/>
        <c:tickLblPos val="nextTo"/>
        <c:crossAx val="594932552"/>
        <c:crosses val="autoZero"/>
        <c:crossBetween val="midCat"/>
      </c:valAx>
      <c:valAx>
        <c:axId val="594932552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在宅サービス給付月額（千円）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#,##0_ " sourceLinked="1"/>
        <c:majorTickMark val="none"/>
        <c:minorTickMark val="none"/>
        <c:tickLblPos val="nextTo"/>
        <c:crossAx val="667690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在宅サービス／施設・居住系サービス受給率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'1_推計値サマリ'!$D$115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'1_推計値サマリ'!$D$117:$E$117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'1_推計値サマリ'!$D$116:$E$116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'1_推計値サマリ'!$E$115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'1_推計値サマリ'!$E$117:$F$117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'1_推計値サマリ'!$E$116:$F$116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'1_推計値サマリ'!$F$115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'1_推計値サマリ'!$F$117:$G$117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'1_推計値サマリ'!$F$116:$G$116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'1_推計値サマリ'!$G$115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'1_推計値サマリ'!$G$117:$H$117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'1_推計値サマリ'!$G$116:$H$116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'1_推計値サマリ'!$H$115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'1_推計値サマリ'!$H$117:$I$117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'1_推計値サマリ'!$H$116:$I$116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'1_推計値サマリ'!$I$115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'1_推計値サマリ'!$I$117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'1_推計値サマリ'!$I$116</c:f>
              <c:numCache>
                <c:formatCode>0.00%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736"/>
        <c:axId val="749190128"/>
      </c:scatterChart>
      <c:valAx>
        <c:axId val="7491897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施設・居住系サービス受給率（％）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749190128"/>
        <c:crosses val="autoZero"/>
        <c:crossBetween val="midCat"/>
      </c:valAx>
      <c:valAx>
        <c:axId val="749190128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在宅サービス受給率｛％）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0.00%" sourceLinked="1"/>
        <c:majorTickMark val="none"/>
        <c:minorTickMark val="none"/>
        <c:tickLblPos val="nextTo"/>
        <c:crossAx val="749189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Relationship Id="rId2" Target="../charts/chart2.xml" Type="http://schemas.openxmlformats.org/officeDocument/2006/relationships/chart"/>
<Relationship Id="rId3" Target="../charts/chart3.xml" Type="http://schemas.openxmlformats.org/officeDocument/2006/relationships/chart"/>
<Relationship Id="rId4" Target="../charts/chart4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979487</xdr:colOff>
      <xdr:row>66</xdr:row>
      <xdr:rowOff>63499</xdr:rowOff>
    </xdr:from>
    <xdr:to>
      <xdr:col>9</xdr:col>
      <xdr:colOff>227300</xdr:colOff>
      <xdr:row>79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980462</xdr:colOff>
      <xdr:row>43</xdr:row>
      <xdr:rowOff>63499</xdr:rowOff>
    </xdr:from>
    <xdr:to>
      <xdr:col>9</xdr:col>
      <xdr:colOff>226218</xdr:colOff>
      <xdr:row>57</xdr:row>
      <xdr:rowOff>130969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1416844</xdr:colOff>
      <xdr:row>93</xdr:row>
      <xdr:rowOff>19852</xdr:rowOff>
    </xdr:from>
    <xdr:to>
      <xdr:col>6</xdr:col>
      <xdr:colOff>488156</xdr:colOff>
      <xdr:row>109</xdr:row>
      <xdr:rowOff>96052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1416844</xdr:colOff>
      <xdr:row>118</xdr:row>
      <xdr:rowOff>19852</xdr:rowOff>
    </xdr:from>
    <xdr:to>
      <xdr:col>6</xdr:col>
      <xdr:colOff>488156</xdr:colOff>
      <xdr:row>134</xdr:row>
      <xdr:rowOff>96052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_rels/sheet5.xml.rels><?xml version="1.0" encoding="UTF-8" standalone="no"?>
<Relationships xmlns="http://schemas.openxmlformats.org/package/2006/relationships">
<Relationship Id="rId1" Target="../printerSettings/printerSettings5.bin" Type="http://schemas.openxmlformats.org/officeDocument/2006/relationships/printerSettings"/>
</Relationships>

</file>

<file path=xl/worksheets/_rels/sheet6.xml.rels><?xml version="1.0" encoding="UTF-8" standalone="no"?>
<Relationships xmlns="http://schemas.openxmlformats.org/package/2006/relationships">
<Relationship Id="rId1" Target="../printerSettings/printerSettings6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61"/>
  <sheetViews>
    <sheetView showGridLines="0" tabSelected="1" zoomScale="85" zoomScaleNormal="85" zoomScaleSheetLayoutView="70" workbookViewId="0">
      <selection sqref="A1:M1"/>
    </sheetView>
  </sheetViews>
  <sheetFormatPr defaultColWidth="9" defaultRowHeight="13.5"/>
  <cols>
    <col min="1" max="1" style="542" width="9.0" collapsed="false"/>
    <col min="2" max="2" customWidth="true" style="542" width="28.5" collapsed="false"/>
    <col min="3" max="18" customWidth="true" style="542" width="11.125" collapsed="false"/>
    <col min="19" max="20" customWidth="true" style="542" width="11.25" collapsed="false"/>
    <col min="21" max="16384" style="542" width="9.0" collapsed="false"/>
  </cols>
  <sheetData>
    <row r="1" spans="1:20" ht="54.75" customHeight="1">
      <c r="A1" s="1045" t="s">
        <v>345</v>
      </c>
      <c r="B1" s="1045"/>
      <c r="C1" s="1045"/>
      <c r="D1" s="1045"/>
      <c r="E1" s="1045"/>
      <c r="F1" s="1045"/>
      <c r="G1" s="1045"/>
      <c r="H1" s="1045"/>
      <c r="I1" s="1045"/>
      <c r="J1" s="1045"/>
      <c r="K1" s="1045"/>
      <c r="L1" s="1045"/>
      <c r="M1" s="1045"/>
    </row>
    <row r="2" spans="1:20" ht="15" thickBot="1">
      <c r="A2" s="347"/>
      <c r="S2" s="543" t="s">
        <v>98</v>
      </c>
      <c r="T2" s="544" t="s">
        <v>433</v>
      </c>
    </row>
    <row r="3" spans="1:20" ht="14.25" thickBot="1">
      <c r="Q3" s="1050" t="s">
        <v>67</v>
      </c>
      <c r="R3" s="1051"/>
      <c r="S3" s="868" t="s">
        <v>434</v>
      </c>
      <c r="T3" s="869"/>
    </row>
    <row r="4" spans="1:20" ht="14.25" thickBot="1">
      <c r="Q4" s="1050" t="s">
        <v>68</v>
      </c>
      <c r="R4" s="1051"/>
      <c r="S4" s="870" t="s">
        <v>435</v>
      </c>
      <c r="T4" s="871"/>
    </row>
    <row r="5" spans="1:20" ht="31.5" customHeight="1" thickBot="1">
      <c r="Q5" s="1052" t="s">
        <v>103</v>
      </c>
      <c r="R5" s="1053"/>
      <c r="S5" s="872" t="s">
        <v>436</v>
      </c>
      <c r="T5" s="873"/>
    </row>
    <row r="6" spans="1:20" ht="14.25">
      <c r="A6" s="347" t="s">
        <v>72</v>
      </c>
    </row>
    <row r="7" spans="1:20" ht="14.25">
      <c r="A7" s="347"/>
    </row>
    <row r="8" spans="1:20" ht="14.25" thickBot="1">
      <c r="A8" s="368" t="s">
        <v>0</v>
      </c>
      <c r="B8" s="190"/>
      <c r="C8" s="187"/>
      <c r="D8" s="187"/>
      <c r="E8" s="187"/>
      <c r="F8" s="187"/>
      <c r="G8" s="187"/>
      <c r="H8" s="187"/>
      <c r="I8" s="187"/>
      <c r="J8" s="187"/>
      <c r="K8" s="187"/>
      <c r="L8" s="187"/>
      <c r="T8" s="949" t="s">
        <v>331</v>
      </c>
    </row>
    <row r="9" spans="1:20" ht="14.25" thickBot="1">
      <c r="A9" s="545"/>
      <c r="B9" s="546"/>
      <c r="C9" s="1"/>
      <c r="D9" s="1042" t="s">
        <v>417</v>
      </c>
      <c r="E9" s="1043"/>
      <c r="F9" s="1044"/>
      <c r="G9" s="1042" t="s">
        <v>418</v>
      </c>
      <c r="H9" s="1043"/>
      <c r="I9" s="1043"/>
      <c r="J9" s="1044"/>
      <c r="K9" s="1029" t="s">
        <v>419</v>
      </c>
      <c r="L9" s="1030"/>
      <c r="M9" s="1029" t="s">
        <v>420</v>
      </c>
      <c r="N9" s="1030"/>
      <c r="O9" s="1029" t="s">
        <v>421</v>
      </c>
      <c r="P9" s="1030"/>
      <c r="Q9" s="1029" t="s">
        <v>422</v>
      </c>
      <c r="R9" s="1030"/>
      <c r="S9" s="1029" t="s">
        <v>423</v>
      </c>
      <c r="T9" s="1030"/>
    </row>
    <row r="10" spans="1:20" ht="30" customHeight="1" thickBot="1">
      <c r="A10" s="1047"/>
      <c r="B10" s="1048"/>
      <c r="C10" s="1049"/>
      <c r="D10" s="991" t="s">
        <v>366</v>
      </c>
      <c r="E10" s="992" t="s">
        <v>364</v>
      </c>
      <c r="F10" s="741" t="s">
        <v>361</v>
      </c>
      <c r="G10" s="991" t="s">
        <v>359</v>
      </c>
      <c r="H10" s="993" t="s">
        <v>357</v>
      </c>
      <c r="I10" s="992" t="s">
        <v>355</v>
      </c>
      <c r="J10" s="994" t="s">
        <v>104</v>
      </c>
      <c r="K10" s="991" t="s">
        <v>382</v>
      </c>
      <c r="L10" s="995" t="s">
        <v>105</v>
      </c>
      <c r="M10" s="991" t="s">
        <v>385</v>
      </c>
      <c r="N10" s="995" t="s">
        <v>105</v>
      </c>
      <c r="O10" s="991" t="s">
        <v>388</v>
      </c>
      <c r="P10" s="995" t="s">
        <v>105</v>
      </c>
      <c r="Q10" s="991" t="s">
        <v>391</v>
      </c>
      <c r="R10" s="995" t="s">
        <v>105</v>
      </c>
      <c r="S10" s="991" t="s">
        <v>394</v>
      </c>
      <c r="T10" s="995" t="s">
        <v>105</v>
      </c>
    </row>
    <row r="11" spans="1:20">
      <c r="A11" s="13" t="s">
        <v>1</v>
      </c>
      <c r="B11" s="3"/>
      <c r="C11" s="4"/>
      <c r="D11" s="54" t="n">
        <f t="shared" ref="D11:I11" si="0">SUM(D12:D13)</f>
        <v>6265.0</v>
      </c>
      <c r="E11" s="55" t="n">
        <f t="shared" si="0"/>
        <v>6188.0</v>
      </c>
      <c r="F11" s="56" t="n">
        <f t="shared" si="0"/>
        <v>6110.0</v>
      </c>
      <c r="G11" s="57" t="n">
        <f t="shared" si="0"/>
        <v>6027.0</v>
      </c>
      <c r="H11" s="58" t="n">
        <f t="shared" si="0"/>
        <v>5949.0</v>
      </c>
      <c r="I11" s="46" t="n">
        <f t="shared" si="0"/>
        <v>5866.0</v>
      </c>
      <c r="J11" s="84" t="n">
        <f>IFERROR((SUM(G11:I11)/3)/F11,"－")</f>
        <v>0.9733769776322967</v>
      </c>
      <c r="K11" s="57" t="n">
        <f>SUM(K12:K13)</f>
        <v>5788.0</v>
      </c>
      <c r="L11" s="86" t="n">
        <f>IFERROR(K11/F11,"－")</f>
        <v>0.9472995090016366</v>
      </c>
      <c r="M11" s="57" t="n">
        <f>SUM(M12:M13)</f>
        <v>5318.0</v>
      </c>
      <c r="N11" s="86" t="n">
        <f>IFERROR(M11/F11,"－")</f>
        <v>0.8703764320785597</v>
      </c>
      <c r="O11" s="57" t="n">
        <f>SUM(O12:O13)</f>
        <v>4873.0</v>
      </c>
      <c r="P11" s="86" t="n">
        <f>IFERROR(O11/F11,"－")</f>
        <v>0.7975450081833061</v>
      </c>
      <c r="Q11" s="57" t="n">
        <f>SUM(Q12:Q13)</f>
        <v>4390.0</v>
      </c>
      <c r="R11" s="86" t="n">
        <f>IFERROR(Q11/F11,"－")</f>
        <v>0.7184942716857611</v>
      </c>
      <c r="S11" s="57" t="n">
        <f>SUM(S12:S13)</f>
        <v>3878.0</v>
      </c>
      <c r="T11" s="86" t="n">
        <f>IFERROR(S11/F11,"－")</f>
        <v>0.6346972176759411</v>
      </c>
    </row>
    <row r="12" spans="1:20">
      <c r="A12" s="5"/>
      <c r="B12" s="6" t="s">
        <v>2</v>
      </c>
      <c r="C12" s="547"/>
      <c r="D12" s="53" t="n">
        <v>3443.0</v>
      </c>
      <c r="E12" s="48" t="n">
        <v>3455.0</v>
      </c>
      <c r="F12" s="49" t="n">
        <v>3447.0</v>
      </c>
      <c r="G12" s="50" t="n">
        <v>3434.0</v>
      </c>
      <c r="H12" s="51" t="n">
        <v>3427.0</v>
      </c>
      <c r="I12" s="52" t="n">
        <v>3414.0</v>
      </c>
      <c r="J12" s="84" t="n">
        <f>IFERROR((SUM(G12:I12)/3)/F12,"－")</f>
        <v>0.9936176385262547</v>
      </c>
      <c r="K12" s="59" t="n">
        <v>3406.0</v>
      </c>
      <c r="L12" s="86" t="n">
        <f>IFERROR(K12/F12,"－")</f>
        <v>0.9881055990716565</v>
      </c>
      <c r="M12" s="59" t="n">
        <v>3206.0</v>
      </c>
      <c r="N12" s="86" t="n">
        <f>IFERROR(M12/F12,"－")</f>
        <v>0.9300841311285175</v>
      </c>
      <c r="O12" s="59" t="n">
        <v>2993.0</v>
      </c>
      <c r="P12" s="86" t="n">
        <f>IFERROR(O12/F12,"－")</f>
        <v>0.8682912677690745</v>
      </c>
      <c r="Q12" s="59" t="n">
        <v>2818.0</v>
      </c>
      <c r="R12" s="86" t="n">
        <f>IFERROR(Q12/F12,"－")</f>
        <v>0.8175224833188279</v>
      </c>
      <c r="S12" s="59" t="n">
        <v>2565.0</v>
      </c>
      <c r="T12" s="86" t="n">
        <f>IFERROR(S12/F12,"－")</f>
        <v>0.7441253263707572</v>
      </c>
    </row>
    <row r="13" spans="1:20" ht="14.25" thickBot="1">
      <c r="A13" s="5"/>
      <c r="B13" s="60" t="s">
        <v>3</v>
      </c>
      <c r="C13" s="547"/>
      <c r="D13" s="53" t="n">
        <v>2822.0</v>
      </c>
      <c r="E13" s="48" t="n">
        <v>2733.0</v>
      </c>
      <c r="F13" s="49" t="n">
        <v>2663.0</v>
      </c>
      <c r="G13" s="61" t="n">
        <v>2593.0</v>
      </c>
      <c r="H13" s="48" t="n">
        <v>2522.0</v>
      </c>
      <c r="I13" s="62" t="n">
        <v>2452.0</v>
      </c>
      <c r="J13" s="85" t="n">
        <f>IFERROR((SUM(G13:I13)/3)/F13,"－")</f>
        <v>0.947177368882213</v>
      </c>
      <c r="K13" s="45" t="n">
        <v>2382.0</v>
      </c>
      <c r="L13" s="87" t="n">
        <f>IFERROR(K13/F13,"－")</f>
        <v>0.8944799098760796</v>
      </c>
      <c r="M13" s="45" t="n">
        <v>2112.0</v>
      </c>
      <c r="N13" s="87" t="n">
        <f>IFERROR(M13/F13,"－")</f>
        <v>0.7930904994367255</v>
      </c>
      <c r="O13" s="45" t="n">
        <v>1880.0</v>
      </c>
      <c r="P13" s="87" t="n">
        <f>IFERROR(O13/F13,"－")</f>
        <v>0.7059707097258731</v>
      </c>
      <c r="Q13" s="45" t="n">
        <v>1572.0</v>
      </c>
      <c r="R13" s="87" t="n">
        <f>IFERROR(Q13/F13,"－")</f>
        <v>0.5903116785580172</v>
      </c>
      <c r="S13" s="45" t="n">
        <v>1313.0</v>
      </c>
      <c r="T13" s="87" t="n">
        <f>IFERROR(S13/F13,"－")</f>
        <v>0.49305294780322945</v>
      </c>
    </row>
    <row r="14" spans="1:20" ht="13.5" customHeight="1">
      <c r="A14" s="227"/>
      <c r="B14" s="548"/>
      <c r="C14" s="227"/>
      <c r="D14" s="227"/>
      <c r="E14" s="227"/>
      <c r="F14" s="227"/>
      <c r="G14" s="549" t="s">
        <v>363</v>
      </c>
      <c r="H14" s="227"/>
      <c r="I14" s="227"/>
      <c r="J14" s="227"/>
      <c r="K14" s="623" t="s">
        <v>403</v>
      </c>
      <c r="L14" s="622"/>
      <c r="M14" s="622"/>
    </row>
    <row r="15" spans="1:20">
      <c r="A15" s="187"/>
      <c r="B15" s="190"/>
      <c r="C15" s="187"/>
      <c r="D15" s="187"/>
      <c r="E15" s="187"/>
      <c r="F15" s="187"/>
      <c r="G15" s="550"/>
      <c r="H15" s="550"/>
      <c r="I15" s="550"/>
      <c r="J15" s="550"/>
      <c r="K15" s="622"/>
      <c r="L15" s="622"/>
      <c r="M15" s="622"/>
    </row>
    <row r="16" spans="1:20" ht="14.25" thickBot="1">
      <c r="A16" s="368" t="s">
        <v>4</v>
      </c>
      <c r="B16" s="190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T16" s="949" t="s">
        <v>331</v>
      </c>
    </row>
    <row r="17" spans="1:20" ht="14.25" thickBot="1">
      <c r="A17" s="187"/>
      <c r="B17" s="190"/>
      <c r="C17" s="187"/>
      <c r="D17" s="1042" t="s">
        <v>417</v>
      </c>
      <c r="E17" s="1043"/>
      <c r="F17" s="1044"/>
      <c r="G17" s="1042" t="s">
        <v>418</v>
      </c>
      <c r="H17" s="1043"/>
      <c r="I17" s="1043"/>
      <c r="J17" s="1044"/>
      <c r="K17" s="1029" t="s">
        <v>419</v>
      </c>
      <c r="L17" s="1030"/>
      <c r="M17" s="1029" t="s">
        <v>420</v>
      </c>
      <c r="N17" s="1030"/>
      <c r="O17" s="1029" t="s">
        <v>421</v>
      </c>
      <c r="P17" s="1030"/>
      <c r="Q17" s="1029" t="s">
        <v>422</v>
      </c>
      <c r="R17" s="1030"/>
      <c r="S17" s="1029" t="s">
        <v>423</v>
      </c>
      <c r="T17" s="1030"/>
    </row>
    <row r="18" spans="1:20" ht="23.25" thickBot="1">
      <c r="A18" s="1047"/>
      <c r="B18" s="1048"/>
      <c r="C18" s="1049"/>
      <c r="D18" s="991" t="s">
        <v>366</v>
      </c>
      <c r="E18" s="992" t="s">
        <v>364</v>
      </c>
      <c r="F18" s="741" t="s">
        <v>361</v>
      </c>
      <c r="G18" s="991" t="s">
        <v>359</v>
      </c>
      <c r="H18" s="993" t="s">
        <v>357</v>
      </c>
      <c r="I18" s="992" t="s">
        <v>355</v>
      </c>
      <c r="J18" s="994" t="s">
        <v>104</v>
      </c>
      <c r="K18" s="991" t="s">
        <v>382</v>
      </c>
      <c r="L18" s="995" t="s">
        <v>105</v>
      </c>
      <c r="M18" s="991" t="s">
        <v>385</v>
      </c>
      <c r="N18" s="995" t="s">
        <v>105</v>
      </c>
      <c r="O18" s="991" t="s">
        <v>388</v>
      </c>
      <c r="P18" s="995" t="s">
        <v>105</v>
      </c>
      <c r="Q18" s="991" t="s">
        <v>391</v>
      </c>
      <c r="R18" s="995" t="s">
        <v>105</v>
      </c>
      <c r="S18" s="991" t="s">
        <v>394</v>
      </c>
      <c r="T18" s="995" t="s">
        <v>105</v>
      </c>
    </row>
    <row r="19" spans="1:20">
      <c r="A19" s="13" t="s">
        <v>5</v>
      </c>
      <c r="B19" s="14"/>
      <c r="C19" s="4"/>
      <c r="D19" s="57" t="n">
        <f>SUM(D20:D26)</f>
        <v>937.0</v>
      </c>
      <c r="E19" s="58" t="n">
        <f t="shared" ref="E19:I19" si="1">SUM(E20:E26)</f>
        <v>865.0</v>
      </c>
      <c r="F19" s="46" t="n">
        <f t="shared" si="1"/>
        <v>865.0</v>
      </c>
      <c r="G19" s="57" t="n">
        <f t="shared" si="1"/>
        <v>849.0</v>
      </c>
      <c r="H19" s="58" t="n">
        <f t="shared" si="1"/>
        <v>850.0</v>
      </c>
      <c r="I19" s="46" t="n">
        <f t="shared" si="1"/>
        <v>841.0</v>
      </c>
      <c r="J19" s="84" t="n">
        <f t="shared" ref="J19:J34" si="2">IFERROR((SUM(G19:I19)/3)/F19,"－")</f>
        <v>0.978805394990366</v>
      </c>
      <c r="K19" s="57" t="n">
        <f t="shared" ref="K19:M19" si="3">SUM(K20:K26)</f>
        <v>844.0</v>
      </c>
      <c r="L19" s="86" t="n">
        <f t="shared" ref="L19:L34" si="4">IFERROR(K19/F19,"－")</f>
        <v>0.9757225433526011</v>
      </c>
      <c r="M19" s="57" t="n">
        <f t="shared" si="3"/>
        <v>861.0</v>
      </c>
      <c r="N19" s="86" t="n">
        <f>IFERROR(M19/F19,"－")</f>
        <v>0.9953757225433526</v>
      </c>
      <c r="O19" s="57" t="n">
        <f t="shared" ref="O19" si="5">SUM(O20:O26)</f>
        <v>927.0</v>
      </c>
      <c r="P19" s="86" t="n">
        <f>IFERROR(O19/F19,"－")</f>
        <v>1.0716763005780348</v>
      </c>
      <c r="Q19" s="57" t="n">
        <f t="shared" ref="Q19:S19" si="6">SUM(Q20:Q26)</f>
        <v>937.0</v>
      </c>
      <c r="R19" s="86" t="n">
        <f>IFERROR(Q19/F19,"－")</f>
        <v>1.0832369942196531</v>
      </c>
      <c r="S19" s="57" t="n">
        <f t="shared" si="6"/>
        <v>882.0</v>
      </c>
      <c r="T19" s="88" t="n">
        <f t="shared" ref="T19:T34" si="7">IFERROR(S19/F19,"－")</f>
        <v>1.0196531791907515</v>
      </c>
    </row>
    <row r="20" spans="1:20">
      <c r="A20" s="13"/>
      <c r="B20" s="7"/>
      <c r="C20" s="8" t="s">
        <v>6</v>
      </c>
      <c r="D20" s="38" t="n">
        <v>56.0</v>
      </c>
      <c r="E20" s="40" t="n">
        <v>72.0</v>
      </c>
      <c r="F20" s="39" t="n">
        <v>72.0</v>
      </c>
      <c r="G20" s="38" t="n">
        <v>76.0</v>
      </c>
      <c r="H20" s="40" t="n">
        <v>73.0</v>
      </c>
      <c r="I20" s="39" t="n">
        <v>73.0</v>
      </c>
      <c r="J20" s="91" t="n">
        <f t="shared" si="2"/>
        <v>1.0277777777777777</v>
      </c>
      <c r="K20" s="44" t="n">
        <v>74.0</v>
      </c>
      <c r="L20" s="88" t="n">
        <f t="shared" si="4"/>
        <v>1.0277777777777777</v>
      </c>
      <c r="M20" s="44" t="n">
        <v>76.0</v>
      </c>
      <c r="N20" s="88" t="n">
        <f t="shared" ref="N20:N34" si="8">IFERROR(M20/F20,"－")</f>
        <v>1.0555555555555556</v>
      </c>
      <c r="O20" s="44" t="n">
        <v>81.0</v>
      </c>
      <c r="P20" s="88" t="n">
        <f t="shared" ref="P20:P34" si="9">IFERROR(O20/F20,"－")</f>
        <v>1.125</v>
      </c>
      <c r="Q20" s="44" t="n">
        <v>83.0</v>
      </c>
      <c r="R20" s="88" t="n">
        <f t="shared" ref="R20:R34" si="10">IFERROR(Q20/F20,"－")</f>
        <v>1.1527777777777777</v>
      </c>
      <c r="S20" s="44" t="n">
        <v>78.0</v>
      </c>
      <c r="T20" s="88" t="n">
        <f t="shared" si="7"/>
        <v>1.0833333333333333</v>
      </c>
    </row>
    <row r="21" spans="1:20">
      <c r="A21" s="13"/>
      <c r="B21" s="7"/>
      <c r="C21" s="8" t="s">
        <v>7</v>
      </c>
      <c r="D21" s="38" t="n">
        <v>142.0</v>
      </c>
      <c r="E21" s="40" t="n">
        <v>137.0</v>
      </c>
      <c r="F21" s="39" t="n">
        <v>137.0</v>
      </c>
      <c r="G21" s="38" t="n">
        <v>134.0</v>
      </c>
      <c r="H21" s="40" t="n">
        <v>134.0</v>
      </c>
      <c r="I21" s="39" t="n">
        <v>134.0</v>
      </c>
      <c r="J21" s="91" t="n">
        <f t="shared" si="2"/>
        <v>0.9781021897810219</v>
      </c>
      <c r="K21" s="44" t="n">
        <v>133.0</v>
      </c>
      <c r="L21" s="88" t="n">
        <f t="shared" si="4"/>
        <v>0.9708029197080292</v>
      </c>
      <c r="M21" s="44" t="n">
        <v>142.0</v>
      </c>
      <c r="N21" s="88" t="n">
        <f t="shared" si="8"/>
        <v>1.0364963503649636</v>
      </c>
      <c r="O21" s="44" t="n">
        <v>152.0</v>
      </c>
      <c r="P21" s="88" t="n">
        <f t="shared" si="9"/>
        <v>1.1094890510948905</v>
      </c>
      <c r="Q21" s="44" t="n">
        <v>148.0</v>
      </c>
      <c r="R21" s="88" t="n">
        <f t="shared" si="10"/>
        <v>1.0802919708029197</v>
      </c>
      <c r="S21" s="44" t="n">
        <v>136.0</v>
      </c>
      <c r="T21" s="88" t="n">
        <f t="shared" si="7"/>
        <v>0.9927007299270073</v>
      </c>
    </row>
    <row r="22" spans="1:20">
      <c r="A22" s="13"/>
      <c r="B22" s="7"/>
      <c r="C22" s="8" t="s">
        <v>8</v>
      </c>
      <c r="D22" s="38" t="n">
        <v>151.0</v>
      </c>
      <c r="E22" s="40" t="n">
        <v>153.0</v>
      </c>
      <c r="F22" s="39" t="n">
        <v>153.0</v>
      </c>
      <c r="G22" s="38" t="n">
        <v>156.0</v>
      </c>
      <c r="H22" s="40" t="n">
        <v>159.0</v>
      </c>
      <c r="I22" s="39" t="n">
        <v>157.0</v>
      </c>
      <c r="J22" s="91" t="n">
        <f t="shared" si="2"/>
        <v>1.028322440087146</v>
      </c>
      <c r="K22" s="44" t="n">
        <v>158.0</v>
      </c>
      <c r="L22" s="88" t="n">
        <f t="shared" si="4"/>
        <v>1.0326797385620916</v>
      </c>
      <c r="M22" s="44" t="n">
        <v>165.0</v>
      </c>
      <c r="N22" s="88" t="n">
        <f t="shared" si="8"/>
        <v>1.0784313725490196</v>
      </c>
      <c r="O22" s="44" t="n">
        <v>176.0</v>
      </c>
      <c r="P22" s="88" t="n">
        <f t="shared" si="9"/>
        <v>1.1503267973856208</v>
      </c>
      <c r="Q22" s="44" t="n">
        <v>174.0</v>
      </c>
      <c r="R22" s="88" t="n">
        <f t="shared" si="10"/>
        <v>1.1372549019607843</v>
      </c>
      <c r="S22" s="44" t="n">
        <v>162.0</v>
      </c>
      <c r="T22" s="88" t="n">
        <f t="shared" si="7"/>
        <v>1.0588235294117647</v>
      </c>
    </row>
    <row r="23" spans="1:20">
      <c r="A23" s="13"/>
      <c r="B23" s="7"/>
      <c r="C23" s="8" t="s">
        <v>9</v>
      </c>
      <c r="D23" s="38" t="n">
        <v>169.0</v>
      </c>
      <c r="E23" s="40" t="n">
        <v>134.0</v>
      </c>
      <c r="F23" s="39" t="n">
        <v>134.0</v>
      </c>
      <c r="G23" s="38" t="n">
        <v>126.0</v>
      </c>
      <c r="H23" s="40" t="n">
        <v>125.0</v>
      </c>
      <c r="I23" s="39" t="n">
        <v>122.0</v>
      </c>
      <c r="J23" s="91" t="n">
        <f t="shared" si="2"/>
        <v>0.9278606965174129</v>
      </c>
      <c r="K23" s="44" t="n">
        <v>124.0</v>
      </c>
      <c r="L23" s="88" t="n">
        <f t="shared" si="4"/>
        <v>0.9253731343283582</v>
      </c>
      <c r="M23" s="44" t="n">
        <v>123.0</v>
      </c>
      <c r="N23" s="88" t="n">
        <f t="shared" si="8"/>
        <v>0.917910447761194</v>
      </c>
      <c r="O23" s="44" t="n">
        <v>132.0</v>
      </c>
      <c r="P23" s="88" t="n">
        <f t="shared" si="9"/>
        <v>0.9850746268656716</v>
      </c>
      <c r="Q23" s="44" t="n">
        <v>134.0</v>
      </c>
      <c r="R23" s="88" t="n">
        <f t="shared" si="10"/>
        <v>1.0</v>
      </c>
      <c r="S23" s="44" t="n">
        <v>126.0</v>
      </c>
      <c r="T23" s="88" t="n">
        <f t="shared" si="7"/>
        <v>0.9402985074626866</v>
      </c>
    </row>
    <row r="24" spans="1:20">
      <c r="A24" s="13"/>
      <c r="B24" s="7"/>
      <c r="C24" s="8" t="s">
        <v>10</v>
      </c>
      <c r="D24" s="38" t="n">
        <v>159.0</v>
      </c>
      <c r="E24" s="40" t="n">
        <v>157.0</v>
      </c>
      <c r="F24" s="39" t="n">
        <v>157.0</v>
      </c>
      <c r="G24" s="38" t="n">
        <v>155.0</v>
      </c>
      <c r="H24" s="40" t="n">
        <v>152.0</v>
      </c>
      <c r="I24" s="39" t="n">
        <v>150.0</v>
      </c>
      <c r="J24" s="91" t="n">
        <f t="shared" si="2"/>
        <v>0.970276008492569</v>
      </c>
      <c r="K24" s="44" t="n">
        <v>150.0</v>
      </c>
      <c r="L24" s="88" t="n">
        <f t="shared" si="4"/>
        <v>0.9554140127388535</v>
      </c>
      <c r="M24" s="44" t="n">
        <v>151.0</v>
      </c>
      <c r="N24" s="88" t="n">
        <f t="shared" si="8"/>
        <v>0.9617834394904459</v>
      </c>
      <c r="O24" s="44" t="n">
        <v>164.0</v>
      </c>
      <c r="P24" s="88" t="n">
        <f t="shared" si="9"/>
        <v>1.0445859872611465</v>
      </c>
      <c r="Q24" s="44" t="n">
        <v>170.0</v>
      </c>
      <c r="R24" s="88" t="n">
        <f t="shared" si="10"/>
        <v>1.0828025477707006</v>
      </c>
      <c r="S24" s="44" t="n">
        <v>162.0</v>
      </c>
      <c r="T24" s="88" t="n">
        <f t="shared" si="7"/>
        <v>1.0318471337579618</v>
      </c>
    </row>
    <row r="25" spans="1:20">
      <c r="A25" s="13"/>
      <c r="B25" s="7"/>
      <c r="C25" s="8" t="s">
        <v>11</v>
      </c>
      <c r="D25" s="38" t="n">
        <v>146.0</v>
      </c>
      <c r="E25" s="40" t="n">
        <v>123.0</v>
      </c>
      <c r="F25" s="39" t="n">
        <v>123.0</v>
      </c>
      <c r="G25" s="38" t="n">
        <v>116.0</v>
      </c>
      <c r="H25" s="40" t="n">
        <v>119.0</v>
      </c>
      <c r="I25" s="39" t="n">
        <v>117.0</v>
      </c>
      <c r="J25" s="91" t="n">
        <f t="shared" si="2"/>
        <v>0.9539295392953929</v>
      </c>
      <c r="K25" s="44" t="n">
        <v>117.0</v>
      </c>
      <c r="L25" s="88" t="n">
        <f t="shared" si="4"/>
        <v>0.9512195121951219</v>
      </c>
      <c r="M25" s="44" t="n">
        <v>116.0</v>
      </c>
      <c r="N25" s="88" t="n">
        <f t="shared" si="8"/>
        <v>0.943089430894309</v>
      </c>
      <c r="O25" s="44" t="n">
        <v>127.0</v>
      </c>
      <c r="P25" s="88" t="n">
        <f t="shared" si="9"/>
        <v>1.032520325203252</v>
      </c>
      <c r="Q25" s="44" t="n">
        <v>132.0</v>
      </c>
      <c r="R25" s="88" t="n">
        <f t="shared" si="10"/>
        <v>1.0731707317073171</v>
      </c>
      <c r="S25" s="44" t="n">
        <v>128.0</v>
      </c>
      <c r="T25" s="88" t="n">
        <f t="shared" si="7"/>
        <v>1.0406504065040652</v>
      </c>
    </row>
    <row r="26" spans="1:20">
      <c r="A26" s="228"/>
      <c r="B26" s="551"/>
      <c r="C26" s="8" t="s">
        <v>12</v>
      </c>
      <c r="D26" s="38" t="n">
        <v>114.0</v>
      </c>
      <c r="E26" s="40" t="n">
        <v>89.0</v>
      </c>
      <c r="F26" s="39" t="n">
        <v>89.0</v>
      </c>
      <c r="G26" s="38" t="n">
        <v>86.0</v>
      </c>
      <c r="H26" s="40" t="n">
        <v>88.0</v>
      </c>
      <c r="I26" s="39" t="n">
        <v>88.0</v>
      </c>
      <c r="J26" s="91" t="n">
        <f t="shared" si="2"/>
        <v>0.9812734082397003</v>
      </c>
      <c r="K26" s="44" t="n">
        <v>88.0</v>
      </c>
      <c r="L26" s="88" t="n">
        <f t="shared" si="4"/>
        <v>0.9887640449438202</v>
      </c>
      <c r="M26" s="44" t="n">
        <v>88.0</v>
      </c>
      <c r="N26" s="88" t="n">
        <f t="shared" si="8"/>
        <v>0.9887640449438202</v>
      </c>
      <c r="O26" s="44" t="n">
        <v>95.0</v>
      </c>
      <c r="P26" s="88" t="n">
        <f t="shared" si="9"/>
        <v>1.0674157303370786</v>
      </c>
      <c r="Q26" s="44" t="n">
        <v>96.0</v>
      </c>
      <c r="R26" s="88" t="n">
        <f t="shared" si="10"/>
        <v>1.0786516853932584</v>
      </c>
      <c r="S26" s="44" t="n">
        <v>90.0</v>
      </c>
      <c r="T26" s="88" t="n">
        <f t="shared" si="7"/>
        <v>1.0112359550561798</v>
      </c>
    </row>
    <row r="27" spans="1:20">
      <c r="A27" s="204"/>
      <c r="B27" s="9" t="s">
        <v>13</v>
      </c>
      <c r="C27" s="10"/>
      <c r="D27" s="63" t="n">
        <f t="shared" ref="D27:K27" si="11">SUM(D28:D34)</f>
        <v>928.0</v>
      </c>
      <c r="E27" s="64" t="n">
        <f t="shared" si="11"/>
        <v>856.0</v>
      </c>
      <c r="F27" s="47" t="n">
        <f t="shared" si="11"/>
        <v>856.0</v>
      </c>
      <c r="G27" s="63" t="n">
        <f t="shared" si="11"/>
        <v>840.0</v>
      </c>
      <c r="H27" s="64" t="n">
        <f t="shared" si="11"/>
        <v>841.0</v>
      </c>
      <c r="I27" s="47" t="n">
        <f t="shared" si="11"/>
        <v>832.0</v>
      </c>
      <c r="J27" s="92" t="n">
        <f t="shared" si="2"/>
        <v>0.9785825545171339</v>
      </c>
      <c r="K27" s="65" t="n">
        <f t="shared" si="11"/>
        <v>835.0</v>
      </c>
      <c r="L27" s="89" t="n">
        <f t="shared" si="4"/>
        <v>0.9754672897196262</v>
      </c>
      <c r="M27" s="65" t="n">
        <f t="shared" ref="M27" si="12">SUM(M28:M34)</f>
        <v>852.0</v>
      </c>
      <c r="N27" s="89" t="n">
        <f t="shared" si="8"/>
        <v>0.9953271028037384</v>
      </c>
      <c r="O27" s="65" t="n">
        <f t="shared" ref="O27" si="13">SUM(O28:O34)</f>
        <v>918.0</v>
      </c>
      <c r="P27" s="89" t="n">
        <f t="shared" si="9"/>
        <v>1.0724299065420562</v>
      </c>
      <c r="Q27" s="65" t="n">
        <f t="shared" ref="Q27:S27" si="14">SUM(Q28:Q34)</f>
        <v>930.0</v>
      </c>
      <c r="R27" s="89" t="n">
        <f t="shared" si="10"/>
        <v>1.0864485981308412</v>
      </c>
      <c r="S27" s="65" t="n">
        <f t="shared" si="14"/>
        <v>877.0</v>
      </c>
      <c r="T27" s="88" t="n">
        <f t="shared" si="7"/>
        <v>1.0245327102803738</v>
      </c>
    </row>
    <row r="28" spans="1:20">
      <c r="A28" s="5"/>
      <c r="B28" s="11"/>
      <c r="C28" s="8" t="s">
        <v>6</v>
      </c>
      <c r="D28" s="38" t="n">
        <v>55.0</v>
      </c>
      <c r="E28" s="40" t="n">
        <v>72.0</v>
      </c>
      <c r="F28" s="39" t="n">
        <v>72.0</v>
      </c>
      <c r="G28" s="38" t="n">
        <v>76.0</v>
      </c>
      <c r="H28" s="40" t="n">
        <v>73.0</v>
      </c>
      <c r="I28" s="39" t="n">
        <v>73.0</v>
      </c>
      <c r="J28" s="91" t="n">
        <f t="shared" si="2"/>
        <v>1.0277777777777777</v>
      </c>
      <c r="K28" s="44" t="n">
        <v>74.0</v>
      </c>
      <c r="L28" s="88" t="n">
        <f t="shared" si="4"/>
        <v>1.0277777777777777</v>
      </c>
      <c r="M28" s="44" t="n">
        <v>76.0</v>
      </c>
      <c r="N28" s="88" t="n">
        <f t="shared" si="8"/>
        <v>1.0555555555555556</v>
      </c>
      <c r="O28" s="44" t="n">
        <v>81.0</v>
      </c>
      <c r="P28" s="88" t="n">
        <f t="shared" si="9"/>
        <v>1.125</v>
      </c>
      <c r="Q28" s="44" t="n">
        <v>83.0</v>
      </c>
      <c r="R28" s="88" t="n">
        <f t="shared" si="10"/>
        <v>1.1527777777777777</v>
      </c>
      <c r="S28" s="44" t="n">
        <v>78.0</v>
      </c>
      <c r="T28" s="88" t="n">
        <f t="shared" si="7"/>
        <v>1.0833333333333333</v>
      </c>
    </row>
    <row r="29" spans="1:20">
      <c r="A29" s="5"/>
      <c r="B29" s="11"/>
      <c r="C29" s="8" t="s">
        <v>7</v>
      </c>
      <c r="D29" s="38" t="n">
        <v>142.0</v>
      </c>
      <c r="E29" s="40" t="n">
        <v>136.0</v>
      </c>
      <c r="F29" s="39" t="n">
        <v>136.0</v>
      </c>
      <c r="G29" s="38" t="n">
        <v>133.0</v>
      </c>
      <c r="H29" s="40" t="n">
        <v>133.0</v>
      </c>
      <c r="I29" s="39" t="n">
        <v>133.0</v>
      </c>
      <c r="J29" s="91" t="n">
        <f t="shared" si="2"/>
        <v>0.9779411764705882</v>
      </c>
      <c r="K29" s="44" t="n">
        <v>132.0</v>
      </c>
      <c r="L29" s="88" t="n">
        <f t="shared" si="4"/>
        <v>0.9705882352941176</v>
      </c>
      <c r="M29" s="44" t="n">
        <v>141.0</v>
      </c>
      <c r="N29" s="88" t="n">
        <f t="shared" si="8"/>
        <v>1.036764705882353</v>
      </c>
      <c r="O29" s="44" t="n">
        <v>151.0</v>
      </c>
      <c r="P29" s="88" t="n">
        <f t="shared" si="9"/>
        <v>1.1102941176470589</v>
      </c>
      <c r="Q29" s="44" t="n">
        <v>147.0</v>
      </c>
      <c r="R29" s="88" t="n">
        <f t="shared" si="10"/>
        <v>1.0808823529411764</v>
      </c>
      <c r="S29" s="44" t="n">
        <v>135.0</v>
      </c>
      <c r="T29" s="88" t="n">
        <f t="shared" si="7"/>
        <v>0.9926470588235294</v>
      </c>
    </row>
    <row r="30" spans="1:20">
      <c r="A30" s="204"/>
      <c r="B30" s="552"/>
      <c r="C30" s="8" t="s">
        <v>8</v>
      </c>
      <c r="D30" s="38" t="n">
        <v>151.0</v>
      </c>
      <c r="E30" s="40" t="n">
        <v>153.0</v>
      </c>
      <c r="F30" s="39" t="n">
        <v>153.0</v>
      </c>
      <c r="G30" s="38" t="n">
        <v>156.0</v>
      </c>
      <c r="H30" s="40" t="n">
        <v>159.0</v>
      </c>
      <c r="I30" s="39" t="n">
        <v>157.0</v>
      </c>
      <c r="J30" s="91" t="n">
        <f t="shared" si="2"/>
        <v>1.028322440087146</v>
      </c>
      <c r="K30" s="44" t="n">
        <v>158.0</v>
      </c>
      <c r="L30" s="88" t="n">
        <f t="shared" si="4"/>
        <v>1.0326797385620916</v>
      </c>
      <c r="M30" s="44" t="n">
        <v>165.0</v>
      </c>
      <c r="N30" s="88" t="n">
        <f t="shared" si="8"/>
        <v>1.0784313725490196</v>
      </c>
      <c r="O30" s="44" t="n">
        <v>176.0</v>
      </c>
      <c r="P30" s="88" t="n">
        <f t="shared" si="9"/>
        <v>1.1503267973856208</v>
      </c>
      <c r="Q30" s="44" t="n">
        <v>174.0</v>
      </c>
      <c r="R30" s="88" t="n">
        <f t="shared" si="10"/>
        <v>1.1372549019607843</v>
      </c>
      <c r="S30" s="44" t="n">
        <v>162.0</v>
      </c>
      <c r="T30" s="88" t="n">
        <f t="shared" si="7"/>
        <v>1.0588235294117647</v>
      </c>
    </row>
    <row r="31" spans="1:20">
      <c r="A31" s="204"/>
      <c r="B31" s="552"/>
      <c r="C31" s="8" t="s">
        <v>9</v>
      </c>
      <c r="D31" s="38" t="n">
        <v>169.0</v>
      </c>
      <c r="E31" s="40" t="n">
        <v>133.0</v>
      </c>
      <c r="F31" s="39" t="n">
        <v>133.0</v>
      </c>
      <c r="G31" s="38" t="n">
        <v>125.0</v>
      </c>
      <c r="H31" s="40" t="n">
        <v>124.0</v>
      </c>
      <c r="I31" s="39" t="n">
        <v>121.0</v>
      </c>
      <c r="J31" s="91" t="n">
        <f t="shared" si="2"/>
        <v>0.9273182957393483</v>
      </c>
      <c r="K31" s="44" t="n">
        <v>123.0</v>
      </c>
      <c r="L31" s="88" t="n">
        <f t="shared" si="4"/>
        <v>0.924812030075188</v>
      </c>
      <c r="M31" s="44" t="n">
        <v>122.0</v>
      </c>
      <c r="N31" s="88" t="n">
        <f t="shared" si="8"/>
        <v>0.9172932330827067</v>
      </c>
      <c r="O31" s="44" t="n">
        <v>131.0</v>
      </c>
      <c r="P31" s="88" t="n">
        <f t="shared" si="9"/>
        <v>0.9849624060150376</v>
      </c>
      <c r="Q31" s="44" t="n">
        <v>133.0</v>
      </c>
      <c r="R31" s="88" t="n">
        <f t="shared" si="10"/>
        <v>1.0</v>
      </c>
      <c r="S31" s="44" t="n">
        <v>126.0</v>
      </c>
      <c r="T31" s="88" t="n">
        <f t="shared" si="7"/>
        <v>0.9473684210526315</v>
      </c>
    </row>
    <row r="32" spans="1:20">
      <c r="A32" s="204"/>
      <c r="B32" s="552"/>
      <c r="C32" s="8" t="s">
        <v>10</v>
      </c>
      <c r="D32" s="38" t="n">
        <v>157.0</v>
      </c>
      <c r="E32" s="40" t="n">
        <v>155.0</v>
      </c>
      <c r="F32" s="39" t="n">
        <v>155.0</v>
      </c>
      <c r="G32" s="38" t="n">
        <v>153.0</v>
      </c>
      <c r="H32" s="40" t="n">
        <v>150.0</v>
      </c>
      <c r="I32" s="39" t="n">
        <v>148.0</v>
      </c>
      <c r="J32" s="91" t="n">
        <f t="shared" si="2"/>
        <v>0.9698924731182796</v>
      </c>
      <c r="K32" s="44" t="n">
        <v>148.0</v>
      </c>
      <c r="L32" s="88" t="n">
        <f t="shared" si="4"/>
        <v>0.9548387096774194</v>
      </c>
      <c r="M32" s="44" t="n">
        <v>149.0</v>
      </c>
      <c r="N32" s="88" t="n">
        <f t="shared" si="8"/>
        <v>0.9612903225806452</v>
      </c>
      <c r="O32" s="44" t="n">
        <v>162.0</v>
      </c>
      <c r="P32" s="88" t="n">
        <f t="shared" si="9"/>
        <v>1.0451612903225806</v>
      </c>
      <c r="Q32" s="44" t="n">
        <v>169.0</v>
      </c>
      <c r="R32" s="88" t="n">
        <f t="shared" si="10"/>
        <v>1.0903225806451613</v>
      </c>
      <c r="S32" s="44" t="n">
        <v>161.0</v>
      </c>
      <c r="T32" s="88" t="n">
        <f t="shared" si="7"/>
        <v>1.038709677419355</v>
      </c>
    </row>
    <row r="33" spans="1:20">
      <c r="A33" s="204"/>
      <c r="B33" s="552"/>
      <c r="C33" s="8" t="s">
        <v>11</v>
      </c>
      <c r="D33" s="38" t="n">
        <v>143.0</v>
      </c>
      <c r="E33" s="40" t="n">
        <v>120.0</v>
      </c>
      <c r="F33" s="39" t="n">
        <v>120.0</v>
      </c>
      <c r="G33" s="38" t="n">
        <v>113.0</v>
      </c>
      <c r="H33" s="40" t="n">
        <v>116.0</v>
      </c>
      <c r="I33" s="39" t="n">
        <v>114.0</v>
      </c>
      <c r="J33" s="91" t="n">
        <f t="shared" si="2"/>
        <v>0.9527777777777777</v>
      </c>
      <c r="K33" s="44" t="n">
        <v>114.0</v>
      </c>
      <c r="L33" s="88" t="n">
        <f t="shared" si="4"/>
        <v>0.95</v>
      </c>
      <c r="M33" s="44" t="n">
        <v>113.0</v>
      </c>
      <c r="N33" s="88" t="n">
        <f t="shared" si="8"/>
        <v>0.9416666666666667</v>
      </c>
      <c r="O33" s="44" t="n">
        <v>124.0</v>
      </c>
      <c r="P33" s="88" t="n">
        <f t="shared" si="9"/>
        <v>1.0333333333333334</v>
      </c>
      <c r="Q33" s="44" t="n">
        <v>130.0</v>
      </c>
      <c r="R33" s="88" t="n">
        <f t="shared" si="10"/>
        <v>1.0833333333333333</v>
      </c>
      <c r="S33" s="44" t="n">
        <v>126.0</v>
      </c>
      <c r="T33" s="88" t="n">
        <f t="shared" si="7"/>
        <v>1.05</v>
      </c>
    </row>
    <row r="34" spans="1:20" ht="14.25" thickBot="1">
      <c r="A34" s="553"/>
      <c r="B34" s="554"/>
      <c r="C34" s="12" t="s">
        <v>12</v>
      </c>
      <c r="D34" s="41" t="n">
        <v>111.0</v>
      </c>
      <c r="E34" s="42" t="n">
        <v>87.0</v>
      </c>
      <c r="F34" s="43" t="n">
        <v>87.0</v>
      </c>
      <c r="G34" s="41" t="n">
        <v>84.0</v>
      </c>
      <c r="H34" s="42" t="n">
        <v>86.0</v>
      </c>
      <c r="I34" s="43" t="n">
        <v>86.0</v>
      </c>
      <c r="J34" s="93" t="n">
        <f t="shared" si="2"/>
        <v>0.9808429118773946</v>
      </c>
      <c r="K34" s="45" t="n">
        <v>86.0</v>
      </c>
      <c r="L34" s="90" t="n">
        <f t="shared" si="4"/>
        <v>0.9885057471264368</v>
      </c>
      <c r="M34" s="45" t="n">
        <v>86.0</v>
      </c>
      <c r="N34" s="90" t="n">
        <f t="shared" si="8"/>
        <v>0.9885057471264368</v>
      </c>
      <c r="O34" s="45" t="n">
        <v>93.0</v>
      </c>
      <c r="P34" s="90" t="n">
        <f t="shared" si="9"/>
        <v>1.0689655172413792</v>
      </c>
      <c r="Q34" s="45" t="n">
        <v>94.0</v>
      </c>
      <c r="R34" s="90" t="n">
        <f t="shared" si="10"/>
        <v>1.0804597701149425</v>
      </c>
      <c r="S34" s="45" t="n">
        <v>89.0</v>
      </c>
      <c r="T34" s="90" t="n">
        <f t="shared" si="7"/>
        <v>1.0229885057471264</v>
      </c>
    </row>
    <row r="35" spans="1:20" ht="13.5" customHeight="1">
      <c r="A35" s="187"/>
      <c r="B35" s="190"/>
      <c r="C35" s="1"/>
      <c r="D35" s="26"/>
      <c r="E35" s="26"/>
      <c r="F35" s="27"/>
      <c r="G35" s="549" t="s">
        <v>363</v>
      </c>
      <c r="H35" s="227"/>
      <c r="I35" s="227"/>
      <c r="J35" s="227"/>
      <c r="K35" s="623" t="s">
        <v>402</v>
      </c>
      <c r="L35" s="623"/>
      <c r="M35" s="623"/>
    </row>
    <row r="36" spans="1:20">
      <c r="A36" s="187"/>
      <c r="B36" s="190"/>
      <c r="C36" s="187"/>
      <c r="D36" s="187"/>
      <c r="E36" s="187"/>
      <c r="F36" s="187"/>
      <c r="G36" s="550"/>
      <c r="H36" s="550"/>
      <c r="I36" s="550"/>
      <c r="J36" s="550"/>
      <c r="K36" s="623"/>
      <c r="L36" s="623"/>
      <c r="M36" s="623"/>
    </row>
    <row r="37" spans="1:20" ht="14.25" thickBot="1">
      <c r="A37" s="368" t="s">
        <v>14</v>
      </c>
      <c r="B37" s="190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T37" s="2" t="s">
        <v>63</v>
      </c>
    </row>
    <row r="38" spans="1:20" ht="14.25" thickBot="1">
      <c r="A38" s="187"/>
      <c r="B38" s="190"/>
      <c r="C38" s="187"/>
      <c r="D38" s="1042" t="s">
        <v>417</v>
      </c>
      <c r="E38" s="1043"/>
      <c r="F38" s="1044"/>
      <c r="G38" s="1042" t="s">
        <v>418</v>
      </c>
      <c r="H38" s="1043"/>
      <c r="I38" s="1043"/>
      <c r="J38" s="1044"/>
      <c r="K38" s="1029" t="s">
        <v>419</v>
      </c>
      <c r="L38" s="1030"/>
      <c r="M38" s="1029" t="s">
        <v>420</v>
      </c>
      <c r="N38" s="1030"/>
      <c r="O38" s="1029" t="s">
        <v>421</v>
      </c>
      <c r="P38" s="1030"/>
      <c r="Q38" s="1029" t="s">
        <v>422</v>
      </c>
      <c r="R38" s="1030"/>
      <c r="S38" s="1029" t="s">
        <v>423</v>
      </c>
      <c r="T38" s="1030"/>
    </row>
    <row r="39" spans="1:20" ht="23.25" thickBot="1">
      <c r="A39" s="29"/>
      <c r="B39" s="370"/>
      <c r="C39" s="371"/>
      <c r="D39" s="991" t="s">
        <v>366</v>
      </c>
      <c r="E39" s="992" t="s">
        <v>364</v>
      </c>
      <c r="F39" s="741" t="s">
        <v>361</v>
      </c>
      <c r="G39" s="991" t="s">
        <v>359</v>
      </c>
      <c r="H39" s="993" t="s">
        <v>357</v>
      </c>
      <c r="I39" s="992" t="s">
        <v>355</v>
      </c>
      <c r="J39" s="994" t="s">
        <v>104</v>
      </c>
      <c r="K39" s="991" t="s">
        <v>382</v>
      </c>
      <c r="L39" s="995" t="s">
        <v>105</v>
      </c>
      <c r="M39" s="991" t="s">
        <v>385</v>
      </c>
      <c r="N39" s="995" t="s">
        <v>105</v>
      </c>
      <c r="O39" s="991" t="s">
        <v>388</v>
      </c>
      <c r="P39" s="995" t="s">
        <v>105</v>
      </c>
      <c r="Q39" s="991" t="s">
        <v>391</v>
      </c>
      <c r="R39" s="995" t="s">
        <v>105</v>
      </c>
      <c r="S39" s="991" t="s">
        <v>394</v>
      </c>
      <c r="T39" s="995" t="s">
        <v>105</v>
      </c>
    </row>
    <row r="40" spans="1:20">
      <c r="A40" s="555" t="s">
        <v>76</v>
      </c>
      <c r="B40" s="518"/>
      <c r="C40" s="556"/>
      <c r="D40" s="67" t="n">
        <f>('2_サービス別給付費'!D12+'2_サービス別給付費'!D14+'2_サービス別給付費'!D17+'2_サービス別給付費'!D20+'2_サービス別給付費'!D23+'2_サービス別給付費'!D25+'2_サービス別給付費'!D27+'2_サービス別給付費'!D29+'2_サービス別給付費'!D32+'2_サービス別給付費'!D35+'2_サービス別給付費'!D38+'2_サービス別給付費'!D41+'2_サービス別給付費'!D43+'2_サービス別給付費'!D45+'2_サービス別給付費'!D50+'2_サービス別給付費'!D53+'2_サービス別給付費'!D57)</f>
        <v>28548.299</v>
      </c>
      <c r="E40" s="66" t="n">
        <f>('2_サービス別給付費'!E12+'2_サービス別給付費'!E14+'2_サービス別給付費'!E17+'2_サービス別給付費'!E20+'2_サービス別給付費'!E23+'2_サービス別給付費'!E25+'2_サービス別給付費'!E27+'2_サービス別給付費'!E29+'2_サービス別給付費'!E32+'2_サービス別給付費'!E35+'2_サービス別給付費'!E38+'2_サービス別給付費'!E41+'2_サービス別給付費'!E43+'2_サービス別給付費'!E45+'2_サービス別給付費'!E50+'2_サービス別給付費'!E53+'2_サービス別給付費'!E57)</f>
        <v>33614.359000000004</v>
      </c>
      <c r="F40" s="175" t="n">
        <f>('2_サービス別給付費'!F12+'2_サービス別給付費'!F14+'2_サービス別給付費'!F17+'2_サービス別給付費'!F20+'2_サービス別給付費'!F23+'2_サービス別給付費'!F25+'2_サービス別給付費'!F27+'2_サービス別給付費'!F29+'2_サービス別給付費'!F32+'2_サービス別給付費'!F35+'2_サービス別給付費'!F38+'2_サービス別給付費'!F41+'2_サービス別給付費'!F43+'2_サービス別給付費'!F45+'2_サービス別給付費'!F50+'2_サービス別給付費'!F53+'2_サービス別給付費'!F57)</f>
        <v>35288.587199999994</v>
      </c>
      <c r="G40" s="68" t="n">
        <f>('2_サービス別給付費'!G12+'2_サービス別給付費'!G14+'2_サービス別給付費'!G17+'2_サービス別給付費'!G20+'2_サービス別給付費'!G23+'2_サービス別給付費'!G25+'2_サービス別給付費'!G27+'2_サービス別給付費'!G29+'2_サービス別給付費'!G32+'2_サービス別給付費'!G35+'2_サービス別給付費'!G38+'2_サービス別給付費'!G41+'2_サービス別給付費'!G43+'2_サービス別給付費'!G45+'2_サービス別給付費'!G50+'2_サービス別給付費'!G53+'2_サービス別給付費'!G57)</f>
        <v>34840.0</v>
      </c>
      <c r="H40" s="66" t="n">
        <f>('2_サービス別給付費'!H12+'2_サービス別給付費'!H14+'2_サービス別給付費'!H17+'2_サービス別給付費'!H20+'2_サービス別給付費'!H23+'2_サービス別給付費'!H25+'2_サービス別給付費'!H27+'2_サービス別給付費'!H29+'2_サービス別給付費'!H32+'2_サービス別給付費'!H35+'2_サービス別給付費'!H38+'2_サービス別給付費'!H41+'2_サービス別給付費'!H43+'2_サービス別給付費'!H45+'2_サービス別給付費'!H50+'2_サービス別給付費'!H53+'2_サービス別給付費'!H57)</f>
        <v>34668.0</v>
      </c>
      <c r="I40" s="66" t="n">
        <f>('2_サービス別給付費'!I12+'2_サービス別給付費'!I14+'2_サービス別給付費'!I17+'2_サービス別給付費'!I20+'2_サービス別給付費'!I23+'2_サービス別給付費'!I25+'2_サービス別給付費'!I27+'2_サービス別給付費'!I29+'2_サービス別給付費'!I32+'2_サービス別給付費'!I35+'2_サービス別給付費'!I38+'2_サービス別給付費'!I41+'2_サービス別給付費'!I43+'2_サービス別給付費'!I45+'2_サービス別給付費'!I50+'2_サービス別給付費'!I53+'2_サービス別給付費'!I57)</f>
        <v>34668.0</v>
      </c>
      <c r="J40" s="94" t="n">
        <f>IFERROR((SUM(G40:I40)/3)/F40,"－")</f>
        <v>0.9840386393630783</v>
      </c>
      <c r="K40" s="68" t="n">
        <f>('2_サービス別給付費'!K12+'2_サービス別給付費'!K14+'2_サービス別給付費'!K17+'2_サービス別給付費'!K20+'2_サービス別給付費'!K23+'2_サービス別給付費'!K25+'2_サービス別給付費'!K27+'2_サービス別給付費'!K29+'2_サービス別給付費'!K32+'2_サービス別給付費'!K35+'2_サービス別給付費'!K38+'2_サービス別給付費'!K41+'2_サービス別給付費'!K43+'2_サービス別給付費'!K45+'2_サービス別給付費'!K50+'2_サービス別給付費'!K53+'2_サービス別給付費'!K57)</f>
        <v>34670.0</v>
      </c>
      <c r="L40" s="94" t="n">
        <f>IFERROR(K40/F40,"－")</f>
        <v>0.9824706158822931</v>
      </c>
      <c r="M40" s="729" t="n">
        <f>('2_サービス別給付費'!M12+'2_サービス別給付費'!M14+'2_サービス別給付費'!M17+'2_サービス別給付費'!M20+'2_サービス別給付費'!M23+'2_サービス別給付費'!M25+'2_サービス別給付費'!M27+'2_サービス別給付費'!M29+'2_サービス別給付費'!M32+'2_サービス別給付費'!M35+'2_サービス別給付費'!M38+'2_サービス別給付費'!M41+'2_サービス別給付費'!M43+'2_サービス別給付費'!M45+'2_サービス別給付費'!M50+'2_サービス別給付費'!M53+'2_サービス別給付費'!M57)</f>
        <v>36239.0</v>
      </c>
      <c r="N40" s="599" t="n">
        <f>IFERROR(M40/F40,"－")</f>
        <v>1.026932582894676</v>
      </c>
      <c r="O40" s="729" t="n">
        <f>('2_サービス別給付費'!O12+'2_サービス別給付費'!O14+'2_サービス別給付費'!O17+'2_サービス別給付費'!O20+'2_サービス別給付費'!O23+'2_サービス別給付費'!O25+'2_サービス別給付費'!O27+'2_サービス別給付費'!O29+'2_サービス別給付費'!O32+'2_サービス別給付費'!O35+'2_サービス別給付費'!O38+'2_サービス別給付費'!O41+'2_サービス別給付費'!O43+'2_サービス別給付費'!O45+'2_サービス別給付費'!O50+'2_サービス別給付費'!O53+'2_サービス別給付費'!O57)</f>
        <v>39597.0</v>
      </c>
      <c r="P40" s="599" t="n">
        <f>IFERROR(O40/F40,"－")</f>
        <v>1.1220908271442505</v>
      </c>
      <c r="Q40" s="729" t="n">
        <f>('2_サービス別給付費'!Q12+'2_サービス別給付費'!Q14+'2_サービス別給付費'!Q17+'2_サービス別給付費'!Q20+'2_サービス別給付費'!Q23+'2_サービス別給付費'!Q25+'2_サービス別給付費'!Q27+'2_サービス別給付費'!Q29+'2_サービス別給付費'!Q32+'2_サービス別給付費'!Q35+'2_サービス別給付費'!Q38+'2_サービス別給付費'!Q41+'2_サービス別給付費'!Q43+'2_サービス別給付費'!Q45+'2_サービス別給付費'!Q50+'2_サービス別給付費'!Q53+'2_サービス別給付費'!Q57)</f>
        <v>37670.0</v>
      </c>
      <c r="R40" s="599" t="n">
        <f>IFERROR(Q40/F40,"－")</f>
        <v>1.0674839371296794</v>
      </c>
      <c r="S40" s="729" t="n">
        <f>('2_サービス別給付費'!S12+'2_サービス別給付費'!S14+'2_サービス別給付費'!S17+'2_サービス別給付費'!S20+'2_サービス別給付費'!S23+'2_サービス別給付費'!S25+'2_サービス別給付費'!S27+'2_サービス別給付費'!S29+'2_サービス別給付費'!S32+'2_サービス別給付費'!S35+'2_サービス別給付費'!S38+'2_サービス別給付費'!S41+'2_サービス別給付費'!S43+'2_サービス別給付費'!S45+'2_サービス別給付費'!S50+'2_サービス別給付費'!S53+'2_サービス別給付費'!S57)</f>
        <v>35516.0</v>
      </c>
      <c r="T40" s="599" t="n">
        <f>IFERROR(S40/F40,"－")</f>
        <v>1.006444372474056</v>
      </c>
    </row>
    <row r="41" spans="1:20" ht="14.25" thickBot="1">
      <c r="A41" s="557" t="s">
        <v>78</v>
      </c>
      <c r="B41" s="558"/>
      <c r="C41" s="559"/>
      <c r="D41" s="69" t="n">
        <f>('2_サービス別給付費'!D47+'2_サービス別給付費'!D55)</f>
        <v>7204.896</v>
      </c>
      <c r="E41" s="70" t="n">
        <f>('2_サービス別給付費'!E47+'2_サービス別給付費'!E55)</f>
        <v>3335.5280000000002</v>
      </c>
      <c r="F41" s="176" t="n">
        <f>('2_サービス別給付費'!F47+'2_サービス別給付費'!F55)</f>
        <v>2825.388</v>
      </c>
      <c r="G41" s="71" t="n">
        <f>('2_サービス別給付費'!G47+'2_サービス別給付費'!G55)</f>
        <v>2825.0</v>
      </c>
      <c r="H41" s="70" t="n">
        <f>('2_サービス別給付費'!H47+'2_サービス別給付費'!H55)</f>
        <v>2825.0</v>
      </c>
      <c r="I41" s="70" t="n">
        <f>('2_サービス別給付費'!I47+'2_サービス別給付費'!I55)</f>
        <v>2825.0</v>
      </c>
      <c r="J41" s="95" t="n">
        <f>IFERROR((SUM(G41:I41)/3)/F41,"－")</f>
        <v>0.9998626737283517</v>
      </c>
      <c r="K41" s="71" t="n">
        <f>('2_サービス別給付費'!K47+'2_サービス別給付費'!K55)</f>
        <v>2825.0</v>
      </c>
      <c r="L41" s="95" t="n">
        <f>IFERROR(K41/F41,"－")</f>
        <v>0.9998626737283517</v>
      </c>
      <c r="M41" s="730" t="n">
        <f>('2_サービス別給付費'!M47+'2_サービス別給付費'!M55)</f>
        <v>2825.0</v>
      </c>
      <c r="N41" s="449" t="n">
        <f t="shared" ref="N41:N42" si="15">IFERROR(M41/F41,"－")</f>
        <v>0.9998626737283517</v>
      </c>
      <c r="O41" s="730" t="n">
        <f>('2_サービス別給付費'!O47+'2_サービス別給付費'!O55)</f>
        <v>2825.0</v>
      </c>
      <c r="P41" s="449" t="n">
        <f t="shared" ref="P41:P42" si="16">IFERROR(O41/F41,"－")</f>
        <v>0.9998626737283517</v>
      </c>
      <c r="Q41" s="730" t="n">
        <f>('2_サービス別給付費'!Q47+'2_サービス別給付費'!Q55)</f>
        <v>2825.0</v>
      </c>
      <c r="R41" s="449" t="n">
        <f t="shared" ref="R41:R42" si="17">IFERROR(Q41/F41,"－")</f>
        <v>0.9998626737283517</v>
      </c>
      <c r="S41" s="730" t="n">
        <f>('2_サービス別給付費'!S47+'2_サービス別給付費'!S55)</f>
        <v>2825.0</v>
      </c>
      <c r="T41" s="449" t="n">
        <f>IFERROR(S41/F41,"－")</f>
        <v>0.9998626737283517</v>
      </c>
    </row>
    <row r="42" spans="1:20" ht="14.25" thickBot="1">
      <c r="A42" s="560" t="s">
        <v>36</v>
      </c>
      <c r="B42" s="370"/>
      <c r="C42" s="561"/>
      <c r="D42" s="76" t="n">
        <f>SUM(D40:D41)</f>
        <v>35753.195</v>
      </c>
      <c r="E42" s="77" t="n">
        <f t="shared" ref="E42:K42" si="18">SUM(E40:E41)</f>
        <v>36949.887</v>
      </c>
      <c r="F42" s="177" t="n">
        <f t="shared" si="18"/>
        <v>38113.97519999999</v>
      </c>
      <c r="G42" s="79" t="n">
        <f t="shared" si="18"/>
        <v>37665.0</v>
      </c>
      <c r="H42" s="79" t="n">
        <f t="shared" si="18"/>
        <v>37493.0</v>
      </c>
      <c r="I42" s="77" t="n">
        <f t="shared" si="18"/>
        <v>37493.0</v>
      </c>
      <c r="J42" s="96" t="n">
        <f>IFERROR((SUM(G42:I42)/3)/F42,"－")</f>
        <v>0.9852116746230486</v>
      </c>
      <c r="K42" s="79" t="n">
        <f t="shared" si="18"/>
        <v>37495.0</v>
      </c>
      <c r="L42" s="96" t="n">
        <f>IFERROR(K42/F42,"－")</f>
        <v>0.9837598886825115</v>
      </c>
      <c r="M42" s="731" t="n">
        <f t="shared" ref="M42" si="19">SUM(M40:M41)</f>
        <v>39064.0</v>
      </c>
      <c r="N42" s="732" t="n">
        <f t="shared" si="15"/>
        <v>1.024925891225327</v>
      </c>
      <c r="O42" s="731" t="n">
        <f t="shared" ref="O42" si="20">SUM(O40:O41)</f>
        <v>42422.0</v>
      </c>
      <c r="P42" s="732" t="n">
        <f t="shared" si="16"/>
        <v>1.1130300572793574</v>
      </c>
      <c r="Q42" s="731" t="n">
        <f t="shared" ref="Q42:S42" si="21">SUM(Q40:Q41)</f>
        <v>40495.0</v>
      </c>
      <c r="R42" s="732" t="n">
        <f t="shared" si="17"/>
        <v>1.0624711746152369</v>
      </c>
      <c r="S42" s="731" t="n">
        <f t="shared" si="21"/>
        <v>38341.0</v>
      </c>
      <c r="T42" s="732" t="n">
        <f>IFERROR(S42/F42,"－")</f>
        <v>1.00595647131554</v>
      </c>
    </row>
    <row r="43" spans="1:20" ht="13.5" customHeight="1">
      <c r="A43" s="374"/>
      <c r="B43" s="15"/>
      <c r="C43" s="562"/>
      <c r="D43" s="211"/>
      <c r="E43" s="550"/>
      <c r="F43" s="550"/>
      <c r="G43" s="549" t="s">
        <v>362</v>
      </c>
      <c r="H43" s="227"/>
      <c r="I43" s="227"/>
      <c r="J43" s="227"/>
      <c r="K43" s="623" t="s">
        <v>402</v>
      </c>
      <c r="L43" s="623"/>
      <c r="M43" s="623"/>
    </row>
    <row r="44" spans="1:20" ht="13.5" customHeight="1">
      <c r="A44" s="374"/>
      <c r="B44" s="15"/>
      <c r="C44" s="562"/>
      <c r="D44" s="211"/>
      <c r="E44" s="550"/>
      <c r="F44" s="550"/>
      <c r="G44" s="550"/>
      <c r="H44" s="550"/>
      <c r="I44" s="550"/>
      <c r="J44" s="550"/>
      <c r="K44" s="623"/>
      <c r="L44" s="623"/>
      <c r="M44" s="623"/>
    </row>
    <row r="45" spans="1:20" ht="13.5" customHeight="1">
      <c r="A45" s="374"/>
      <c r="B45" s="15"/>
      <c r="C45" s="562"/>
      <c r="D45" s="211"/>
      <c r="E45" s="550"/>
      <c r="F45" s="550"/>
      <c r="G45" s="550"/>
      <c r="H45" s="550"/>
      <c r="I45" s="550"/>
      <c r="J45" s="550"/>
    </row>
    <row r="46" spans="1:20" ht="13.5" customHeight="1">
      <c r="A46" s="374"/>
      <c r="B46" s="15"/>
      <c r="C46" s="562"/>
      <c r="D46" s="211"/>
      <c r="E46" s="550"/>
      <c r="F46" s="550"/>
      <c r="G46" s="550"/>
      <c r="H46" s="550"/>
      <c r="I46" s="550"/>
      <c r="J46" s="550"/>
    </row>
    <row r="47" spans="1:20" ht="13.5" customHeight="1">
      <c r="A47" s="374"/>
      <c r="B47" s="15"/>
      <c r="C47" s="562"/>
      <c r="D47" s="211"/>
      <c r="E47" s="550"/>
      <c r="F47" s="550"/>
      <c r="G47" s="550"/>
      <c r="H47" s="550"/>
      <c r="I47" s="550"/>
      <c r="J47" s="550"/>
    </row>
    <row r="48" spans="1:20" ht="13.5" customHeight="1">
      <c r="A48" s="374"/>
      <c r="B48" s="15"/>
      <c r="C48" s="562"/>
      <c r="D48" s="211"/>
      <c r="E48" s="550"/>
      <c r="F48" s="550"/>
      <c r="G48" s="550"/>
      <c r="H48" s="550"/>
      <c r="I48" s="550"/>
      <c r="J48" s="550"/>
    </row>
    <row r="49" spans="1:20" ht="13.5" customHeight="1">
      <c r="A49" s="374"/>
      <c r="B49" s="15"/>
      <c r="C49" s="562"/>
      <c r="D49" s="211"/>
      <c r="E49" s="550"/>
      <c r="F49" s="550"/>
      <c r="G49" s="550"/>
      <c r="H49" s="550"/>
      <c r="I49" s="550"/>
      <c r="J49" s="550"/>
    </row>
    <row r="50" spans="1:20" ht="13.5" customHeight="1">
      <c r="A50" s="374"/>
      <c r="B50" s="15"/>
      <c r="C50" s="562"/>
      <c r="D50" s="211"/>
      <c r="E50" s="550"/>
      <c r="F50" s="550"/>
      <c r="G50" s="550"/>
      <c r="H50" s="550"/>
      <c r="I50" s="550"/>
      <c r="J50" s="550"/>
    </row>
    <row r="51" spans="1:20" ht="13.5" customHeight="1">
      <c r="A51" s="374"/>
      <c r="B51" s="15"/>
      <c r="C51" s="562"/>
      <c r="D51" s="211"/>
      <c r="E51" s="550"/>
      <c r="F51" s="550"/>
      <c r="G51" s="550"/>
      <c r="H51" s="550"/>
      <c r="I51" s="550"/>
      <c r="J51" s="550"/>
    </row>
    <row r="52" spans="1:20" ht="13.5" customHeight="1">
      <c r="A52" s="374"/>
      <c r="B52" s="15"/>
      <c r="C52" s="562"/>
      <c r="D52" s="211"/>
      <c r="E52" s="550"/>
      <c r="F52" s="550"/>
      <c r="G52" s="550"/>
      <c r="H52" s="550"/>
      <c r="I52" s="550"/>
      <c r="J52" s="550"/>
    </row>
    <row r="53" spans="1:20" ht="13.5" customHeight="1">
      <c r="A53" s="374"/>
      <c r="B53" s="15"/>
      <c r="C53" s="562"/>
      <c r="D53" s="211"/>
      <c r="E53" s="550"/>
      <c r="F53" s="550"/>
      <c r="G53" s="550"/>
      <c r="H53" s="550"/>
      <c r="I53" s="550"/>
      <c r="J53" s="550"/>
    </row>
    <row r="54" spans="1:20" ht="13.5" customHeight="1">
      <c r="A54" s="374"/>
      <c r="B54" s="15"/>
      <c r="C54" s="562"/>
      <c r="D54" s="211"/>
      <c r="E54" s="550"/>
      <c r="F54" s="550"/>
      <c r="G54" s="550"/>
      <c r="H54" s="550"/>
      <c r="I54" s="550"/>
      <c r="J54" s="550"/>
    </row>
    <row r="55" spans="1:20" ht="16.5" customHeight="1">
      <c r="A55" s="374"/>
      <c r="B55" s="15"/>
      <c r="C55" s="562"/>
      <c r="D55" s="211"/>
      <c r="E55" s="550"/>
      <c r="F55" s="550"/>
      <c r="G55" s="550"/>
      <c r="H55" s="550"/>
      <c r="I55" s="550"/>
      <c r="J55" s="550"/>
    </row>
    <row r="56" spans="1:20" ht="13.5" customHeight="1">
      <c r="A56" s="374"/>
      <c r="B56" s="15"/>
      <c r="C56" s="562"/>
      <c r="D56" s="211"/>
      <c r="E56" s="550"/>
      <c r="F56" s="550"/>
      <c r="G56" s="550"/>
      <c r="H56" s="550"/>
      <c r="I56" s="550"/>
      <c r="J56" s="550"/>
    </row>
    <row r="57" spans="1:20" ht="13.5" customHeight="1">
      <c r="A57" s="374"/>
      <c r="B57" s="15"/>
      <c r="C57" s="562"/>
      <c r="D57" s="211"/>
      <c r="E57" s="550"/>
      <c r="F57" s="550"/>
      <c r="G57" s="550"/>
      <c r="H57" s="550"/>
      <c r="I57" s="550"/>
      <c r="J57" s="550"/>
    </row>
    <row r="58" spans="1:20">
      <c r="A58" s="562"/>
      <c r="B58" s="186"/>
      <c r="C58" s="562"/>
      <c r="D58" s="550"/>
      <c r="E58" s="550"/>
      <c r="F58" s="550"/>
      <c r="G58" s="550"/>
      <c r="H58" s="550"/>
      <c r="I58" s="550"/>
      <c r="J58" s="550"/>
    </row>
    <row r="59" spans="1:20" ht="14.25" thickBot="1">
      <c r="A59" s="22" t="s">
        <v>37</v>
      </c>
      <c r="B59" s="190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T59" s="2" t="s">
        <v>63</v>
      </c>
    </row>
    <row r="60" spans="1:20" ht="14.25" thickBot="1">
      <c r="A60" s="187"/>
      <c r="B60" s="190"/>
      <c r="C60" s="187"/>
      <c r="D60" s="1042" t="s">
        <v>417</v>
      </c>
      <c r="E60" s="1043"/>
      <c r="F60" s="1044"/>
      <c r="G60" s="1042" t="s">
        <v>418</v>
      </c>
      <c r="H60" s="1043"/>
      <c r="I60" s="1043"/>
      <c r="J60" s="1044"/>
      <c r="K60" s="1029" t="s">
        <v>419</v>
      </c>
      <c r="L60" s="1030"/>
      <c r="M60" s="1029" t="s">
        <v>420</v>
      </c>
      <c r="N60" s="1030"/>
      <c r="O60" s="1029" t="s">
        <v>421</v>
      </c>
      <c r="P60" s="1030"/>
      <c r="Q60" s="1029" t="s">
        <v>422</v>
      </c>
      <c r="R60" s="1030"/>
      <c r="S60" s="1029" t="s">
        <v>423</v>
      </c>
      <c r="T60" s="1030"/>
    </row>
    <row r="61" spans="1:20" ht="23.25" thickBot="1">
      <c r="A61" s="29"/>
      <c r="B61" s="370"/>
      <c r="C61" s="371"/>
      <c r="D61" s="991" t="s">
        <v>366</v>
      </c>
      <c r="E61" s="992" t="s">
        <v>364</v>
      </c>
      <c r="F61" s="741" t="s">
        <v>361</v>
      </c>
      <c r="G61" s="991" t="s">
        <v>359</v>
      </c>
      <c r="H61" s="993" t="s">
        <v>357</v>
      </c>
      <c r="I61" s="992" t="s">
        <v>355</v>
      </c>
      <c r="J61" s="994" t="s">
        <v>104</v>
      </c>
      <c r="K61" s="991" t="s">
        <v>382</v>
      </c>
      <c r="L61" s="995" t="s">
        <v>105</v>
      </c>
      <c r="M61" s="991" t="s">
        <v>385</v>
      </c>
      <c r="N61" s="995" t="s">
        <v>105</v>
      </c>
      <c r="O61" s="991" t="s">
        <v>388</v>
      </c>
      <c r="P61" s="995" t="s">
        <v>105</v>
      </c>
      <c r="Q61" s="991" t="s">
        <v>391</v>
      </c>
      <c r="R61" s="995" t="s">
        <v>105</v>
      </c>
      <c r="S61" s="991" t="s">
        <v>394</v>
      </c>
      <c r="T61" s="995" t="s">
        <v>105</v>
      </c>
    </row>
    <row r="62" spans="1:20">
      <c r="A62" s="563" t="s">
        <v>76</v>
      </c>
      <c r="B62" s="28"/>
      <c r="C62" s="564"/>
      <c r="D62" s="178" t="n">
        <f>('2_サービス別給付費'!D66+'2_サービス別給付費'!D69+'2_サービス別給付費'!D72+'2_サービス別給付費'!D75+'2_サービス別給付費'!D78+
 '2_サービス別給付費'!D80+'2_サービス別給付費'!D83+'2_サービス別給付費'!D86+'2_サービス別給付費'!D89+'2_サービス別給付費'!D92+
 '2_サービス別給付費'!D95+'2_サービス別給付費'!D98+'2_サービス別給付費'!D100+'2_サービス別給付費'!D102+'2_サービス別給付費'!D107+
 '2_サービス別給付費'!D109+'2_サービス別給付費'!D114+'2_サービス別給付費'!D117+'2_サービス別給付費'!D125+'2_サービス別給付費'!D111+'2_サービス別給付費'!D138)</f>
        <v>418119.3820000001</v>
      </c>
      <c r="E62" s="179" t="n">
        <f>('2_サービス別給付費'!E66+'2_サービス別給付費'!E69+'2_サービス別給付費'!E72+'2_サービス別給付費'!E75+'2_サービス別給付費'!E78+
 '2_サービス別給付費'!E80+'2_サービス別給付費'!E83+'2_サービス別給付費'!E86+'2_サービス別給付費'!E89+'2_サービス別給付費'!E92+
 '2_サービス別給付費'!E95+'2_サービス別給付費'!E98+'2_サービス別給付費'!E100+'2_サービス別給付費'!E102+'2_サービス別給付費'!E107+
 '2_サービス別給付費'!E109+'2_サービス別給付費'!E114+'2_サービス別給付費'!E117+'2_サービス別給付費'!E125+'2_サービス別給付費'!E111+'2_サービス別給付費'!E138)</f>
        <v>397884.00800000003</v>
      </c>
      <c r="F62" s="180" t="n">
        <f>('2_サービス別給付費'!F66+'2_サービス別給付費'!F69+'2_サービス別給付費'!F72+'2_サービス別給付費'!F75+'2_サービス別給付費'!F78+
 '2_サービス別給付費'!F80+'2_サービス別給付費'!F83+'2_サービス別給付費'!F86+'2_サービス別給付費'!F89+'2_サービス別給付費'!F92+
 '2_サービス別給付費'!F95+'2_サービス別給付費'!F98+'2_サービス別給付費'!F100+'2_サービス別給付費'!F102+'2_サービス別給付費'!F107+
 '2_サービス別給付費'!F109+'2_サービス別給付費'!F114+'2_サービス別給付費'!F117+'2_サービス別給付費'!F125+'2_サービス別給付費'!F111+'2_サービス別給付費'!F138)</f>
        <v>453213.0768</v>
      </c>
      <c r="G62" s="178" t="n">
        <f>('2_サービス別給付費'!G66+'2_サービス別給付費'!G69+'2_サービス別給付費'!G72+'2_サービス別給付費'!G75+'2_サービス別給付費'!G78+
 '2_サービス別給付費'!G80+'2_サービス別給付費'!G83+'2_サービス別給付費'!G86+'2_サービス別給付費'!G89+'2_サービス別給付費'!G92+
 '2_サービス別給付費'!G95+'2_サービス別給付費'!G98+'2_サービス別給付費'!G100+'2_サービス別給付費'!G102+'2_サービス別給付費'!G107+
 '2_サービス別給付費'!G109+'2_サービス別給付費'!G114+'2_サービス別給付費'!G117+'2_サービス別給付費'!G125+'2_サービス別給付費'!G111+'2_サービス別給付費'!G138+'2_サービス別給付費'!G127)</f>
        <v>438798.0</v>
      </c>
      <c r="H62" s="181" t="n">
        <f>('2_サービス別給付費'!H66+'2_サービス別給付費'!H69+'2_サービス別給付費'!H72+'2_サービス別給付費'!H75+'2_サービス別給付費'!H78+
 '2_サービス別給付費'!H80+'2_サービス別給付費'!H83+'2_サービス別給付費'!H86+'2_サービス別給付費'!H89+'2_サービス別給付費'!H92+
 '2_サービス別給付費'!H95+'2_サービス別給付費'!H98+'2_サービス別給付費'!H100+'2_サービス別給付費'!H102+'2_サービス別給付費'!H107+
 '2_サービス別給付費'!H109+'2_サービス別給付費'!H114+'2_サービス別給付費'!H117+'2_サービス別給付費'!H125+'2_サービス別給付費'!H111+'2_サービス別給付費'!H138+'2_サービス別給付費'!H127)</f>
        <v>441457.0</v>
      </c>
      <c r="I62" s="179" t="n">
        <f>('2_サービス別給付費'!I66+'2_サービス別給付費'!I69+'2_サービス別給付費'!I72+'2_サービス別給付費'!I75+'2_サービス別給付費'!I78+
 '2_サービス別給付費'!I80+'2_サービス別給付費'!I83+'2_サービス別給付費'!I86+'2_サービス別給付費'!I89+'2_サービス別給付費'!I92+
 '2_サービス別給付費'!I95+'2_サービス別給付費'!I98+'2_サービス別給付費'!I100+'2_サービス別給付費'!I102+'2_サービス別給付費'!I107+
 '2_サービス別給付費'!I109+'2_サービス別給付費'!I114+'2_サービス別給付費'!I117+'2_サービス別給付費'!I125+'2_サービス別給付費'!I111+'2_サービス別給付費'!I138+'2_サービス別給付費'!I127)</f>
        <v>427194.0</v>
      </c>
      <c r="J62" s="97" t="n">
        <f>IFERROR((SUM(G62:I62)/3)/F62,"－")</f>
        <v>0.9616146480381815</v>
      </c>
      <c r="K62" s="178" t="n">
        <f>('2_サービス別給付費'!K66+'2_サービス別給付費'!K69+'2_サービス別給付費'!K72+'2_サービス別給付費'!K75+'2_サービス別給付費'!K78+
 '2_サービス別給付費'!K80+'2_サービス別給付費'!K83+'2_サービス別給付費'!K86+'2_サービス別給付費'!K89+'2_サービス別給付費'!K92+
 '2_サービス別給付費'!K95+'2_サービス別給付費'!K98+'2_サービス別給付費'!K100+'2_サービス別給付費'!K102+'2_サービス別給付費'!K107+
 '2_サービス別給付費'!K109+'2_サービス別給付費'!K114+'2_サービス別給付費'!K117+'2_サービス別給付費'!K125+'2_サービス別給付費'!K111+'2_サービス別給付費'!K138+'2_サービス別給付費'!K127)</f>
        <v>440829.0</v>
      </c>
      <c r="L62" s="97" t="n">
        <f>IFERROR(K62/F62,"－")</f>
        <v>0.9726749349611883</v>
      </c>
      <c r="M62" s="733" t="n">
        <f>('2_サービス別給付費'!M66+'2_サービス別給付費'!M69+'2_サービス別給付費'!M72+'2_サービス別給付費'!M75+'2_サービス別給付費'!M78+
 '2_サービス別給付費'!M80+'2_サービス別給付費'!M83+'2_サービス別給付費'!M86+'2_サービス別給付費'!M89+'2_サービス別給付費'!M92+
 '2_サービス別給付費'!M95+'2_サービス別給付費'!M98+'2_サービス別給付費'!M100+'2_サービス別給付費'!M102+'2_サービス別給付費'!M107+
 '2_サービス別給付費'!M109+'2_サービス別給付費'!M114+'2_サービス別給付費'!M117+'2_サービス別給付費'!M125+'2_サービス別給付費'!M111+'2_サービス別給付費'!M138+'2_サービス別給付費'!M127)</f>
        <v>445082.0</v>
      </c>
      <c r="N62" s="734" t="n">
        <f>IFERROR(M62/F62,"－")</f>
        <v>0.9820590419468673</v>
      </c>
      <c r="O62" s="733" t="n">
        <f>('2_サービス別給付費'!O66+'2_サービス別給付費'!O69+'2_サービス別給付費'!O72+'2_サービス別給付費'!O75+'2_サービス別給付費'!O78+
 '2_サービス別給付費'!O80+'2_サービス別給付費'!O83+'2_サービス別給付費'!O86+'2_サービス別給付費'!O89+'2_サービス別給付費'!O92+
 '2_サービス別給付費'!O95+'2_サービス別給付費'!O98+'2_サービス別給付費'!O100+'2_サービス別給付費'!O102+'2_サービス別給付費'!O107+
 '2_サービス別給付費'!O109+'2_サービス別給付費'!O114+'2_サービス別給付費'!O117+'2_サービス別給付費'!O125+'2_サービス別給付費'!O111+'2_サービス別給付費'!O138+'2_サービス別給付費'!O127)</f>
        <v>475640.0</v>
      </c>
      <c r="P62" s="734" t="n">
        <f>IFERROR(O62/F62,"－")</f>
        <v>1.0494842809001668</v>
      </c>
      <c r="Q62" s="733" t="n">
        <f>('2_サービス別給付費'!Q66+'2_サービス別給付費'!Q69+'2_サービス別給付費'!Q72+'2_サービス別給付費'!Q75+'2_サービス別給付費'!Q78+
 '2_サービス別給付費'!Q80+'2_サービス別給付費'!Q83+'2_サービス別給付費'!Q86+'2_サービス別給付費'!Q89+'2_サービス別給付費'!Q92+
 '2_サービス別給付費'!Q95+'2_サービス別給付費'!Q98+'2_サービス別給付費'!Q100+'2_サービス別給付費'!Q102+'2_サービス別給付費'!Q107+
 '2_サービス別給付費'!Q109+'2_サービス別給付費'!Q114+'2_サービス別給付費'!Q117+'2_サービス別給付費'!Q125+'2_サービス別給付費'!Q111+'2_サービス別給付費'!Q138+'2_サービス別給付費'!Q127)</f>
        <v>486910.0</v>
      </c>
      <c r="R62" s="734" t="n">
        <f>IFERROR(Q62/F62,"－")</f>
        <v>1.0743511715017664</v>
      </c>
      <c r="S62" s="733" t="n">
        <f>('2_サービス別給付費'!S66+'2_サービス別給付費'!S69+'2_サービス別給付費'!S72+'2_サービス別給付費'!S75+'2_サービス別給付費'!S78+
 '2_サービス別給付費'!S80+'2_サービス別給付費'!S83+'2_サービス別給付費'!S86+'2_サービス別給付費'!S89+'2_サービス別給付費'!S92+
 '2_サービス別給付費'!S95+'2_サービス別給付費'!S98+'2_サービス別給付費'!S100+'2_サービス別給付費'!S102+'2_サービス別給付費'!S107+
 '2_サービス別給付費'!S109+'2_サービス別給付費'!S114+'2_サービス別給付費'!S117+'2_サービス別給付費'!S125+'2_サービス別給付費'!S111+'2_サービス別給付費'!S138+'2_サービス別給付費'!S127)</f>
        <v>464745.0</v>
      </c>
      <c r="T62" s="734" t="n">
        <f>IFERROR(S62/F62,"－")</f>
        <v>1.0254448156735092</v>
      </c>
    </row>
    <row r="63" spans="1:20">
      <c r="A63" s="37" t="s">
        <v>77</v>
      </c>
      <c r="B63" s="525"/>
      <c r="C63" s="565"/>
      <c r="D63" s="72" t="n">
        <f>('2_サービス別給付費'!D104+'2_サービス別給付費'!D119+'2_サービス別給付費'!D121)</f>
        <v>161298.785</v>
      </c>
      <c r="E63" s="74" t="n">
        <f>('2_サービス別給付費'!E104+'2_サービス別給付費'!E119+'2_サービス別給付費'!E121)</f>
        <v>144228.33200000002</v>
      </c>
      <c r="F63" s="75" t="n">
        <f>('2_サービス別給付費'!F104+'2_サービス別給付費'!F119+'2_サービス別給付費'!F121)</f>
        <v>127243.32</v>
      </c>
      <c r="G63" s="72" t="n">
        <f>('2_サービス別給付費'!G104+'2_サービス別給付費'!G119+'2_サービス別給付費'!G121)</f>
        <v>121688.0</v>
      </c>
      <c r="H63" s="73" t="n">
        <f>('2_サービス別給付費'!H104+'2_サービス別給付費'!H119+'2_サービス別給付費'!H121)</f>
        <v>124192.0</v>
      </c>
      <c r="I63" s="74" t="n">
        <f>('2_サービス別給付費'!I104+'2_サービス別給付費'!I119+'2_サービス別給付費'!I121)</f>
        <v>124192.0</v>
      </c>
      <c r="J63" s="98" t="n">
        <f>IFERROR((SUM(G63:I63)/3)/F63,"－")</f>
        <v>0.9694601911780777</v>
      </c>
      <c r="K63" s="72" t="n">
        <f>('2_サービス別給付費'!K104+'2_サービス別給付費'!K119+'2_サービス別給付費'!K121)</f>
        <v>124192.0</v>
      </c>
      <c r="L63" s="98" t="n">
        <f>IFERROR(K63/F63,"－")</f>
        <v>0.9760198020611219</v>
      </c>
      <c r="M63" s="401" t="n">
        <f>('2_サービス別給付費'!M104+'2_サービス別給付費'!M119+'2_サービス別給付費'!M121)</f>
        <v>124458.0</v>
      </c>
      <c r="N63" s="404" t="n">
        <f t="shared" ref="N63:N65" si="22">IFERROR(M63/F63,"－")</f>
        <v>0.9781102850821559</v>
      </c>
      <c r="O63" s="401" t="n">
        <f>('2_サービス別給付費'!O104+'2_サービス別給付費'!O119+'2_サービス別給付費'!O121)</f>
        <v>130013.0</v>
      </c>
      <c r="P63" s="404" t="n">
        <f t="shared" ref="P63:P65" si="23">IFERROR(O63/F63,"－")</f>
        <v>1.0217668008033742</v>
      </c>
      <c r="Q63" s="401" t="n">
        <f>('2_サービス別給付費'!Q104+'2_サービス別給付費'!Q119+'2_サービス別給付費'!Q121)</f>
        <v>135473.0</v>
      </c>
      <c r="R63" s="404" t="n">
        <f t="shared" ref="R63:R65" si="24">IFERROR(Q63/F63,"－")</f>
        <v>1.0646767154456516</v>
      </c>
      <c r="S63" s="401" t="n">
        <f>('2_サービス別給付費'!S104+'2_サービス別給付費'!S119+'2_サービス別給付費'!S121)</f>
        <v>124192.0</v>
      </c>
      <c r="T63" s="404" t="n">
        <f>IFERROR(S63/F63,"－")</f>
        <v>0.9760198020611219</v>
      </c>
    </row>
    <row r="64" spans="1:20" ht="14.25" thickBot="1">
      <c r="A64" s="566" t="s">
        <v>61</v>
      </c>
      <c r="B64" s="567"/>
      <c r="C64" s="568"/>
      <c r="D64" s="182" t="n">
        <f>('2_サービス別給付費'!D123+'2_サービス別給付費'!D130+'2_サービス別給付費'!D132+'2_サービス別給付費'!D134+'2_サービス別給付費'!D136)</f>
        <v>411178.406</v>
      </c>
      <c r="E64" s="183" t="n">
        <f>('2_サービス別給付費'!E123+'2_サービス別給付費'!E130+'2_サービス別給付費'!E132+'2_サービス別給付費'!E134+'2_サービス別給付費'!E136)</f>
        <v>439512.99700000003</v>
      </c>
      <c r="F64" s="184" t="n">
        <f>('2_サービス別給付費'!F123+'2_サービス別給付費'!F130+'2_サービス別給付費'!F132+'2_サービス別給付費'!F134+'2_サービス別給付費'!F136)</f>
        <v>437040.54000000004</v>
      </c>
      <c r="G64" s="182" t="n">
        <f>('2_サービス別給付費'!G123+'2_サービス別給付費'!G130+'2_サービス別給付費'!G132+'2_サービス別給付費'!G134+'2_サービス別給付費'!G136)</f>
        <v>437041.0</v>
      </c>
      <c r="H64" s="185" t="n">
        <f>('2_サービス別給付費'!H123+'2_サービス別給付費'!H130+'2_サービス別給付費'!H132+'2_サービス別給付費'!H134+'2_サービス別給付費'!H136)</f>
        <v>437041.0</v>
      </c>
      <c r="I64" s="183" t="n">
        <f>('2_サービス別給付費'!I123+'2_サービス別給付費'!I130+'2_サービス別給付費'!I132+'2_サービス別給付費'!I134+'2_サービス別給付費'!I136)</f>
        <v>437041.0</v>
      </c>
      <c r="J64" s="99" t="n">
        <f>IFERROR((SUM(G64:I64)/3)/F64,"－")</f>
        <v>1.0000010525339365</v>
      </c>
      <c r="K64" s="183" t="n">
        <f>('2_サービス別給付費'!K123+'2_サービス別給付費'!K130+'2_サービス別給付費'!K132+'2_サービス別給付費'!K134+'2_サービス別給付費'!K136)</f>
        <v>421273.0</v>
      </c>
      <c r="L64" s="100" t="n">
        <f>IFERROR(K64/F64,"－")</f>
        <v>0.9639220196826591</v>
      </c>
      <c r="M64" s="495" t="n">
        <f>('2_サービス別給付費'!M123+'2_サービス別給付費'!M130+'2_サービス別給付費'!M132+'2_サービス別給付費'!M134+'2_サービス別給付費'!M136)</f>
        <v>421273.0</v>
      </c>
      <c r="N64" s="735" t="n">
        <f t="shared" si="22"/>
        <v>0.9639220196826591</v>
      </c>
      <c r="O64" s="495" t="n">
        <f>('2_サービス別給付費'!O123+'2_サービス別給付費'!O130+'2_サービス別給付費'!O132+'2_サービス別給付費'!O134+'2_サービス別給付費'!O136)</f>
        <v>458250.0</v>
      </c>
      <c r="P64" s="735" t="n">
        <f t="shared" si="23"/>
        <v>1.048529731360848</v>
      </c>
      <c r="Q64" s="495" t="n">
        <f>('2_サービス別給付費'!Q123+'2_サービス別給付費'!Q130+'2_サービス別給付費'!Q132+'2_サービス別給付費'!Q134+'2_サービス別給付費'!Q136)</f>
        <v>468176.0</v>
      </c>
      <c r="R64" s="735" t="n">
        <f t="shared" si="24"/>
        <v>1.0712415832178863</v>
      </c>
      <c r="S64" s="495" t="n">
        <f>('2_サービス別給付費'!S123+'2_サービス別給付費'!S130+'2_サービス別給付費'!S132+'2_サービス別給付費'!S134+'2_サービス別給付費'!S136)</f>
        <v>446593.0</v>
      </c>
      <c r="T64" s="735" t="n">
        <f>IFERROR(S64/F64,"－")</f>
        <v>1.021857148538211</v>
      </c>
    </row>
    <row r="65" spans="1:20" ht="14.25" thickBot="1">
      <c r="A65" s="560" t="s">
        <v>36</v>
      </c>
      <c r="B65" s="370"/>
      <c r="C65" s="561"/>
      <c r="D65" s="76" t="n">
        <f>SUM(D62:D64)</f>
        <v>990596.5730000001</v>
      </c>
      <c r="E65" s="77" t="n">
        <f t="shared" ref="E65:I65" si="25">SUM(E62:E64)</f>
        <v>981625.337</v>
      </c>
      <c r="F65" s="78" t="n">
        <f>SUM(F62:F64)</f>
        <v>1017496.9368</v>
      </c>
      <c r="G65" s="76" t="n">
        <f t="shared" si="25"/>
        <v>997527.0</v>
      </c>
      <c r="H65" s="79" t="n">
        <f t="shared" si="25"/>
        <v>1002690.0</v>
      </c>
      <c r="I65" s="77" t="n">
        <f t="shared" si="25"/>
        <v>988427.0</v>
      </c>
      <c r="J65" s="96" t="n">
        <f>IFERROR((SUM(G65:I65)/3)/F65,"－")</f>
        <v>0.9790837010278718</v>
      </c>
      <c r="K65" s="79" t="n">
        <f>SUM(K62:K64)</f>
        <v>986294.0</v>
      </c>
      <c r="L65" s="96" t="n">
        <f>IFERROR(K65/F65,"－")</f>
        <v>0.9693336307250886</v>
      </c>
      <c r="M65" s="731" t="n">
        <f>SUM(M62:M64)</f>
        <v>990813.0</v>
      </c>
      <c r="N65" s="732" t="n">
        <f t="shared" si="22"/>
        <v>0.9737749217369437</v>
      </c>
      <c r="O65" s="731" t="n">
        <f>SUM(O62:O64)</f>
        <v>1063903.0</v>
      </c>
      <c r="P65" s="732" t="n">
        <f t="shared" si="23"/>
        <v>1.045608061824683</v>
      </c>
      <c r="Q65" s="731" t="n">
        <f>SUM(Q62:Q64)</f>
        <v>1090559.0</v>
      </c>
      <c r="R65" s="732" t="n">
        <f t="shared" si="24"/>
        <v>1.071805683690585</v>
      </c>
      <c r="S65" s="731" t="n">
        <f>SUM(S62:S64)</f>
        <v>1035530.0</v>
      </c>
      <c r="T65" s="732" t="n">
        <f>IFERROR(S65/F65,"－")</f>
        <v>1.017722965591143</v>
      </c>
    </row>
    <row r="66" spans="1:20" ht="13.5" customHeight="1">
      <c r="A66" s="562"/>
      <c r="B66" s="186"/>
      <c r="C66" s="562"/>
      <c r="D66" s="550"/>
      <c r="E66" s="550"/>
      <c r="F66" s="550"/>
      <c r="G66" s="549" t="s">
        <v>362</v>
      </c>
      <c r="H66" s="227"/>
      <c r="I66" s="227"/>
      <c r="J66" s="227"/>
      <c r="K66" s="624" t="s">
        <v>402</v>
      </c>
      <c r="L66" s="624"/>
      <c r="M66" s="624"/>
    </row>
    <row r="67" spans="1:20">
      <c r="A67" s="562"/>
      <c r="B67" s="186"/>
      <c r="C67" s="562"/>
      <c r="D67" s="550"/>
      <c r="E67" s="550"/>
      <c r="F67" s="550"/>
      <c r="G67" s="550"/>
      <c r="H67" s="550"/>
      <c r="I67" s="550"/>
      <c r="J67" s="550"/>
      <c r="K67" s="624"/>
      <c r="L67" s="624"/>
      <c r="M67" s="624"/>
    </row>
    <row r="68" spans="1:20">
      <c r="A68" s="562"/>
      <c r="B68" s="186"/>
      <c r="C68" s="562"/>
      <c r="D68" s="550"/>
      <c r="E68" s="550"/>
      <c r="F68" s="550"/>
      <c r="G68" s="550"/>
      <c r="H68" s="550"/>
      <c r="I68" s="550"/>
      <c r="J68" s="550"/>
    </row>
    <row r="69" spans="1:20">
      <c r="A69" s="562"/>
      <c r="B69" s="186"/>
      <c r="C69" s="562"/>
      <c r="D69" s="550"/>
      <c r="E69" s="550"/>
      <c r="F69" s="550"/>
      <c r="G69" s="550"/>
      <c r="H69" s="550"/>
      <c r="I69" s="550"/>
      <c r="J69" s="550"/>
    </row>
    <row r="70" spans="1:20">
      <c r="A70" s="562"/>
      <c r="B70" s="186"/>
      <c r="C70" s="562"/>
      <c r="D70" s="550"/>
      <c r="E70" s="550"/>
      <c r="F70" s="550"/>
      <c r="G70" s="550"/>
      <c r="H70" s="550"/>
      <c r="I70" s="550"/>
      <c r="J70" s="550"/>
    </row>
    <row r="71" spans="1:20">
      <c r="A71" s="562"/>
      <c r="B71" s="186"/>
      <c r="C71" s="562"/>
      <c r="D71" s="550"/>
      <c r="E71" s="550"/>
      <c r="F71" s="550"/>
      <c r="G71" s="550"/>
      <c r="H71" s="550"/>
      <c r="I71" s="550"/>
      <c r="J71" s="550"/>
    </row>
    <row r="72" spans="1:20">
      <c r="A72" s="562"/>
      <c r="B72" s="186"/>
      <c r="C72" s="562"/>
      <c r="D72" s="550"/>
      <c r="E72" s="550"/>
      <c r="F72" s="550"/>
      <c r="G72" s="550"/>
      <c r="H72" s="550"/>
      <c r="I72" s="550"/>
      <c r="J72" s="550"/>
    </row>
    <row r="73" spans="1:20">
      <c r="A73" s="562"/>
      <c r="B73" s="186"/>
      <c r="C73" s="562"/>
      <c r="D73" s="550"/>
      <c r="E73" s="550"/>
      <c r="F73" s="550"/>
      <c r="G73" s="550"/>
      <c r="H73" s="550"/>
      <c r="I73" s="550"/>
      <c r="J73" s="550"/>
    </row>
    <row r="74" spans="1:20">
      <c r="A74" s="562"/>
      <c r="B74" s="186"/>
      <c r="C74" s="562"/>
      <c r="D74" s="550"/>
      <c r="E74" s="550"/>
      <c r="F74" s="550"/>
      <c r="G74" s="550"/>
      <c r="H74" s="550"/>
      <c r="I74" s="550"/>
      <c r="J74" s="550"/>
    </row>
    <row r="75" spans="1:20">
      <c r="A75" s="562"/>
      <c r="B75" s="186"/>
      <c r="C75" s="562"/>
      <c r="D75" s="550"/>
      <c r="E75" s="550"/>
      <c r="F75" s="550"/>
      <c r="G75" s="550"/>
      <c r="H75" s="550"/>
      <c r="I75" s="550"/>
      <c r="J75" s="550"/>
    </row>
    <row r="76" spans="1:20">
      <c r="A76" s="562"/>
      <c r="B76" s="186"/>
      <c r="C76" s="562"/>
      <c r="D76" s="550"/>
      <c r="E76" s="550"/>
      <c r="F76" s="550"/>
      <c r="G76" s="550"/>
      <c r="H76" s="550"/>
      <c r="I76" s="550"/>
      <c r="J76" s="550"/>
    </row>
    <row r="77" spans="1:20">
      <c r="A77" s="562"/>
      <c r="B77" s="186"/>
      <c r="C77" s="562"/>
      <c r="D77" s="550"/>
      <c r="E77" s="550"/>
      <c r="F77" s="550"/>
      <c r="G77" s="550"/>
      <c r="H77" s="550"/>
      <c r="I77" s="550"/>
      <c r="J77" s="550"/>
    </row>
    <row r="78" spans="1:20">
      <c r="A78" s="562"/>
      <c r="B78" s="186"/>
      <c r="C78" s="562"/>
      <c r="D78" s="550"/>
      <c r="E78" s="550"/>
      <c r="F78" s="550"/>
      <c r="G78" s="550"/>
      <c r="H78" s="550"/>
      <c r="I78" s="550"/>
      <c r="J78" s="550"/>
    </row>
    <row r="79" spans="1:20">
      <c r="A79" s="562"/>
      <c r="B79" s="186"/>
      <c r="C79" s="562"/>
      <c r="D79" s="550"/>
      <c r="E79" s="550"/>
      <c r="F79" s="550"/>
      <c r="G79" s="550"/>
      <c r="H79" s="550"/>
      <c r="I79" s="550"/>
      <c r="J79" s="550"/>
    </row>
    <row r="80" spans="1:20">
      <c r="A80" s="562"/>
      <c r="B80" s="186"/>
      <c r="C80" s="562"/>
      <c r="D80" s="550"/>
      <c r="E80" s="550"/>
      <c r="F80" s="550"/>
      <c r="G80" s="550"/>
      <c r="H80" s="550"/>
      <c r="I80" s="550"/>
      <c r="J80" s="550"/>
    </row>
    <row r="81" spans="1:20">
      <c r="A81" s="187"/>
      <c r="B81" s="190"/>
      <c r="C81" s="187"/>
      <c r="D81" s="187"/>
      <c r="E81" s="187"/>
      <c r="F81" s="187"/>
      <c r="G81" s="187"/>
      <c r="H81" s="187"/>
      <c r="I81" s="187"/>
      <c r="J81" s="187"/>
    </row>
    <row r="82" spans="1:20" ht="14.25" thickBot="1">
      <c r="A82" s="368" t="s">
        <v>106</v>
      </c>
      <c r="B82" s="190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T82" s="2" t="s">
        <v>63</v>
      </c>
    </row>
    <row r="83" spans="1:20" ht="14.25" thickBot="1">
      <c r="A83" s="187"/>
      <c r="B83" s="190"/>
      <c r="C83" s="187"/>
      <c r="D83" s="1042" t="s">
        <v>417</v>
      </c>
      <c r="E83" s="1043"/>
      <c r="F83" s="1044"/>
      <c r="G83" s="1042" t="s">
        <v>418</v>
      </c>
      <c r="H83" s="1043"/>
      <c r="I83" s="1043"/>
      <c r="J83" s="1044"/>
      <c r="K83" s="1029" t="s">
        <v>419</v>
      </c>
      <c r="L83" s="1030"/>
      <c r="M83" s="1029" t="s">
        <v>420</v>
      </c>
      <c r="N83" s="1030"/>
      <c r="O83" s="1029" t="s">
        <v>421</v>
      </c>
      <c r="P83" s="1030"/>
      <c r="Q83" s="1029" t="s">
        <v>422</v>
      </c>
      <c r="R83" s="1030"/>
      <c r="S83" s="1029" t="s">
        <v>423</v>
      </c>
      <c r="T83" s="1030"/>
    </row>
    <row r="84" spans="1:20" ht="23.25" thickBot="1">
      <c r="A84" s="199"/>
      <c r="B84" s="569"/>
      <c r="C84" s="200"/>
      <c r="D84" s="991" t="s">
        <v>366</v>
      </c>
      <c r="E84" s="992" t="s">
        <v>364</v>
      </c>
      <c r="F84" s="741" t="s">
        <v>361</v>
      </c>
      <c r="G84" s="991" t="s">
        <v>359</v>
      </c>
      <c r="H84" s="993" t="s">
        <v>357</v>
      </c>
      <c r="I84" s="992" t="s">
        <v>355</v>
      </c>
      <c r="J84" s="994" t="s">
        <v>104</v>
      </c>
      <c r="K84" s="991" t="s">
        <v>382</v>
      </c>
      <c r="L84" s="995" t="s">
        <v>105</v>
      </c>
      <c r="M84" s="991" t="s">
        <v>385</v>
      </c>
      <c r="N84" s="995" t="s">
        <v>105</v>
      </c>
      <c r="O84" s="991" t="s">
        <v>388</v>
      </c>
      <c r="P84" s="995" t="s">
        <v>105</v>
      </c>
      <c r="Q84" s="991" t="s">
        <v>391</v>
      </c>
      <c r="R84" s="995" t="s">
        <v>105</v>
      </c>
      <c r="S84" s="991" t="s">
        <v>394</v>
      </c>
      <c r="T84" s="995" t="s">
        <v>105</v>
      </c>
    </row>
    <row r="85" spans="1:20" ht="14.25" thickBot="1">
      <c r="A85" s="333" t="s">
        <v>64</v>
      </c>
      <c r="B85" s="570"/>
      <c r="C85" s="334"/>
      <c r="D85" s="571" t="n">
        <f>D42+D65</f>
        <v>1026349.768</v>
      </c>
      <c r="E85" s="572" t="n">
        <f>E65+E42</f>
        <v>1018575.224</v>
      </c>
      <c r="F85" s="573" t="n">
        <f>F65+F42</f>
        <v>1055610.912</v>
      </c>
      <c r="G85" s="571" t="n">
        <f>G65+G42</f>
        <v>1035192.0</v>
      </c>
      <c r="H85" s="572" t="n">
        <f>H65+H42</f>
        <v>1040183.0</v>
      </c>
      <c r="I85" s="573" t="n">
        <f>I65+I42</f>
        <v>1025920.0</v>
      </c>
      <c r="J85" s="96" t="n">
        <f>IFERROR((SUM(G85:I85)/3)/F85,"－")</f>
        <v>0.9793049581510958</v>
      </c>
      <c r="K85" s="571" t="n">
        <f>K65+K42</f>
        <v>1023789.0</v>
      </c>
      <c r="L85" s="96" t="n">
        <f>IFERROR(K85/F85,"－")</f>
        <v>0.9698545063922188</v>
      </c>
      <c r="M85" s="736" t="n">
        <f>M65+M42</f>
        <v>1029877.0</v>
      </c>
      <c r="N85" s="732" t="n">
        <f>IFERROR(M85/F85,"－")</f>
        <v>0.9756217828866096</v>
      </c>
      <c r="O85" s="736" t="n">
        <f>O65+O42</f>
        <v>1106325.0</v>
      </c>
      <c r="P85" s="732" t="n">
        <f>IFERROR(O85/F85,"－")</f>
        <v>1.0480424059883156</v>
      </c>
      <c r="Q85" s="736" t="n">
        <f>Q65+Q42</f>
        <v>1131054.0</v>
      </c>
      <c r="R85" s="732" t="n">
        <f>IFERROR(Q85/F85,"－")</f>
        <v>1.071468651131185</v>
      </c>
      <c r="S85" s="736" t="n">
        <f>S65+S42</f>
        <v>1073871.0</v>
      </c>
      <c r="T85" s="732" t="n">
        <f>IFERROR(S85/F85,"－")</f>
        <v>1.017298123572258</v>
      </c>
    </row>
    <row r="86" spans="1:20" ht="13.5" customHeight="1">
      <c r="A86" s="187" t="s">
        <v>110</v>
      </c>
      <c r="B86" s="190"/>
      <c r="C86" s="187"/>
      <c r="D86" s="187"/>
      <c r="E86" s="187"/>
      <c r="F86" s="187"/>
      <c r="G86" s="549" t="s">
        <v>362</v>
      </c>
      <c r="H86" s="227"/>
      <c r="I86" s="227"/>
      <c r="J86" s="227"/>
      <c r="K86" s="624" t="s">
        <v>402</v>
      </c>
      <c r="L86" s="624"/>
      <c r="M86" s="624"/>
    </row>
    <row r="87" spans="1:20">
      <c r="K87" s="624"/>
      <c r="L87" s="624"/>
      <c r="M87" s="624"/>
    </row>
    <row r="88" spans="1:20" ht="14.25" thickBot="1">
      <c r="A88" s="368" t="s">
        <v>93</v>
      </c>
      <c r="I88" s="949" t="s">
        <v>69</v>
      </c>
    </row>
    <row r="89" spans="1:20" ht="14.25" thickBot="1">
      <c r="D89" s="1042" t="s">
        <v>417</v>
      </c>
      <c r="E89" s="1043"/>
      <c r="F89" s="1044"/>
      <c r="G89" s="1042" t="s">
        <v>418</v>
      </c>
      <c r="H89" s="1043"/>
      <c r="I89" s="1044"/>
    </row>
    <row r="90" spans="1:20" ht="14.25" thickBot="1">
      <c r="A90" s="199"/>
      <c r="B90" s="569"/>
      <c r="C90" s="200"/>
      <c r="D90" s="991" t="s">
        <v>366</v>
      </c>
      <c r="E90" s="992" t="s">
        <v>364</v>
      </c>
      <c r="F90" s="739" t="s">
        <v>361</v>
      </c>
      <c r="G90" s="991" t="s">
        <v>359</v>
      </c>
      <c r="H90" s="992" t="s">
        <v>357</v>
      </c>
      <c r="I90" s="996" t="s">
        <v>355</v>
      </c>
    </row>
    <row r="91" spans="1:20">
      <c r="A91" s="315" t="s">
        <v>70</v>
      </c>
      <c r="B91" s="574"/>
      <c r="C91" s="316"/>
      <c r="D91" s="101" t="n">
        <f t="shared" ref="D91:I91" si="26">IFERROR((D62+D40)/D12,"－")</f>
        <v>129.73211762997389</v>
      </c>
      <c r="E91" s="102" t="n">
        <f t="shared" si="26"/>
        <v>124.89098900144718</v>
      </c>
      <c r="F91" s="103" t="n">
        <f t="shared" si="26"/>
        <v>141.7179181897302</v>
      </c>
      <c r="G91" s="101" t="n">
        <f t="shared" si="26"/>
        <v>137.92603377984858</v>
      </c>
      <c r="H91" s="102" t="n">
        <f t="shared" si="26"/>
        <v>138.9334695068573</v>
      </c>
      <c r="I91" s="103" t="n">
        <f t="shared" si="26"/>
        <v>135.2847100175747</v>
      </c>
    </row>
    <row r="92" spans="1:20" ht="14.25" thickBot="1">
      <c r="A92" s="209" t="s">
        <v>71</v>
      </c>
      <c r="B92" s="575"/>
      <c r="C92" s="210"/>
      <c r="D92" s="104" t="n">
        <f t="shared" ref="D92:I92" si="27">IFERROR(D64/D12,"－")</f>
        <v>119.42445715945397</v>
      </c>
      <c r="E92" s="105" t="n">
        <f t="shared" si="27"/>
        <v>127.21070824891463</v>
      </c>
      <c r="F92" s="106" t="n">
        <f t="shared" si="27"/>
        <v>126.78866840731071</v>
      </c>
      <c r="G92" s="104" t="n">
        <f t="shared" si="27"/>
        <v>127.26878276062901</v>
      </c>
      <c r="H92" s="105" t="n">
        <f t="shared" si="27"/>
        <v>127.52874234023928</v>
      </c>
      <c r="I92" s="106" t="n">
        <f t="shared" si="27"/>
        <v>128.014352665495</v>
      </c>
    </row>
    <row r="101" spans="1:12">
      <c r="H101" s="1046"/>
      <c r="I101" s="1046"/>
      <c r="J101" s="1046"/>
      <c r="K101" s="1046"/>
      <c r="L101" s="1046"/>
    </row>
    <row r="102" spans="1:12">
      <c r="H102" s="1046"/>
      <c r="I102" s="1046"/>
      <c r="J102" s="1046"/>
      <c r="K102" s="1046"/>
      <c r="L102" s="1046"/>
    </row>
    <row r="103" spans="1:12">
      <c r="H103" s="1046"/>
      <c r="I103" s="1046"/>
      <c r="J103" s="1046"/>
      <c r="K103" s="1046"/>
      <c r="L103" s="1046"/>
    </row>
    <row r="104" spans="1:12">
      <c r="H104" s="1046"/>
      <c r="I104" s="1046"/>
      <c r="J104" s="1046"/>
      <c r="K104" s="1046"/>
      <c r="L104" s="1046"/>
    </row>
    <row r="105" spans="1:12">
      <c r="H105" s="1046"/>
      <c r="I105" s="1046"/>
      <c r="J105" s="1046"/>
      <c r="K105" s="1046"/>
      <c r="L105" s="1046"/>
    </row>
    <row r="106" spans="1:12">
      <c r="H106" s="1046" t="s">
        <v>367</v>
      </c>
      <c r="I106" s="1046"/>
      <c r="J106" s="1046"/>
      <c r="K106" s="1046"/>
      <c r="L106" s="1046"/>
    </row>
    <row r="107" spans="1:12">
      <c r="H107" s="1046"/>
      <c r="I107" s="1046"/>
      <c r="J107" s="1046"/>
      <c r="K107" s="1046"/>
      <c r="L107" s="1046"/>
    </row>
    <row r="108" spans="1:12">
      <c r="H108" s="1046"/>
      <c r="I108" s="1046"/>
      <c r="J108" s="1046"/>
      <c r="K108" s="1046"/>
      <c r="L108" s="1046"/>
    </row>
    <row r="109" spans="1:12">
      <c r="H109" s="1046"/>
      <c r="I109" s="1046"/>
      <c r="J109" s="1046"/>
      <c r="K109" s="1046"/>
      <c r="L109" s="1046"/>
    </row>
    <row r="110" spans="1:12">
      <c r="H110" s="1046"/>
      <c r="I110" s="1046"/>
      <c r="J110" s="1046"/>
      <c r="K110" s="1046"/>
      <c r="L110" s="1046"/>
    </row>
    <row r="112" spans="1:12">
      <c r="A112" s="187"/>
      <c r="B112" s="190"/>
      <c r="C112" s="187"/>
      <c r="D112" s="187"/>
      <c r="E112" s="187"/>
      <c r="F112" s="187"/>
      <c r="G112" s="187"/>
      <c r="H112" s="187"/>
      <c r="I112" s="187"/>
      <c r="J112" s="187"/>
    </row>
    <row r="113" spans="1:12" ht="14.25" thickBot="1">
      <c r="A113" s="368" t="s">
        <v>252</v>
      </c>
      <c r="B113" s="369"/>
      <c r="C113" s="365"/>
      <c r="D113" s="576"/>
      <c r="E113" s="576"/>
      <c r="F113" s="576"/>
      <c r="G113" s="576"/>
      <c r="H113" s="576"/>
      <c r="I113" s="576"/>
      <c r="J113" s="576"/>
      <c r="K113" s="348"/>
      <c r="L113" s="348"/>
    </row>
    <row r="114" spans="1:12" ht="14.25" thickBot="1">
      <c r="A114" s="365"/>
      <c r="B114" s="369"/>
      <c r="C114" s="365"/>
      <c r="D114" s="1042" t="s">
        <v>417</v>
      </c>
      <c r="E114" s="1043"/>
      <c r="F114" s="1044"/>
      <c r="G114" s="1042" t="s">
        <v>418</v>
      </c>
      <c r="H114" s="1043"/>
      <c r="I114" s="1044"/>
      <c r="J114" s="348"/>
      <c r="K114" s="348"/>
      <c r="L114" s="2"/>
    </row>
    <row r="115" spans="1:12" ht="14.25" thickBot="1">
      <c r="A115" s="577"/>
      <c r="B115" s="578"/>
      <c r="C115" s="579"/>
      <c r="D115" s="991" t="s">
        <v>366</v>
      </c>
      <c r="E115" s="992" t="s">
        <v>364</v>
      </c>
      <c r="F115" s="739" t="s">
        <v>361</v>
      </c>
      <c r="G115" s="991" t="s">
        <v>359</v>
      </c>
      <c r="H115" s="992" t="s">
        <v>357</v>
      </c>
      <c r="I115" s="996" t="s">
        <v>355</v>
      </c>
      <c r="J115" s="348"/>
      <c r="K115" s="348"/>
      <c r="L115" s="348"/>
    </row>
    <row r="116" spans="1:12">
      <c r="A116" s="463" t="s">
        <v>253</v>
      </c>
      <c r="B116" s="580"/>
      <c r="C116" s="581"/>
      <c r="D116" s="609" t="n">
        <f>IFERROR(('2_サービス別給付費'!D54+'2_サービス別給付費'!D58+'2_サービス別給付費'!D118+'2_サービス別給付費'!D126+'2_サービス別給付費'!D139)/D12,"－")</f>
        <v>0.10405169909962242</v>
      </c>
      <c r="E116" s="610" t="n">
        <f>IFERROR(('2_サービス別給付費'!E54+'2_サービス別給付費'!E58+'2_サービス別給付費'!E118+'2_サービス別給付費'!E126+'2_サービス別給付費'!E139)/E12,"－")</f>
        <v>0.10393150024119632</v>
      </c>
      <c r="F116" s="611" t="n">
        <f>IFERROR(('2_サービス別給付費'!F54+'2_サービス別給付費'!F58+'2_サービス別給付費'!F118+'2_サービス別給付費'!F126+'2_サービス別給付費'!F139)/F12,"－")</f>
        <v>0.11430229184798375</v>
      </c>
      <c r="G116" s="609" t="n">
        <f>IFERROR(('2_サービス別給付費'!G54+'2_サービス別給付費'!G58+'2_サービス別給付費'!G118+'2_サービス別給付費'!G126+'2_サービス別給付費'!G139)/G12,"－")</f>
        <v>0.11298776936517181</v>
      </c>
      <c r="H116" s="610" t="n">
        <f>IFERROR(('2_サービス別給付費'!H54+'2_サービス別給付費'!H58+'2_サービス別給付費'!H118+'2_サービス別給付費'!H126+'2_サービス別給付費'!H139)/H12,"－")</f>
        <v>0.1132185585059819</v>
      </c>
      <c r="I116" s="611" t="n">
        <f>IFERROR(('2_サービス別給付費'!I54+'2_サービス別給付費'!I58+'2_サービス別給付費'!I118+'2_サービス別給付費'!I126+'2_サービス別給付費'!I139)/I12,"－")</f>
        <v>0.11159929701230228</v>
      </c>
      <c r="J116" s="348"/>
      <c r="K116" s="348"/>
      <c r="L116" s="348"/>
    </row>
    <row r="117" spans="1:12" ht="14.25" thickBot="1">
      <c r="A117" s="582" t="s">
        <v>254</v>
      </c>
      <c r="B117" s="583"/>
      <c r="C117" s="584"/>
      <c r="D117" s="612" t="n">
        <f>IFERROR(('2_サービス別給付費'!D48+'2_サービス別給付費'!D56+'2_サービス別給付費'!D105+'2_サービス別給付費'!D120+'2_サービス別給付費'!D122+'2_サービス別給付費'!D124+'2_サービス別給付費'!D131+'2_サービス別給付費'!D133+'2_サービス別給付費'!D135+'2_サービス別給付費'!D137)/D12,"－")</f>
        <v>0.05617678381256656</v>
      </c>
      <c r="E117" s="613" t="n">
        <f>IFERROR(('2_サービス別給付費'!E48+'2_サービス別給付費'!E56+'2_サービス別給付費'!E105+'2_サービス別給付費'!E120+'2_サービス別給付費'!E122+'2_サービス別給付費'!E124+'2_サービス別給付費'!E131+'2_サービス別給付費'!E133+'2_サービス別給付費'!E135+'2_サービス別給付費'!E137)/E12,"－")</f>
        <v>0.05513748191027497</v>
      </c>
      <c r="F117" s="614" t="n">
        <f>IFERROR(('2_サービス別給付費'!F48+'2_サービス別給付費'!F56+'2_サービス別給付費'!F105+'2_サービス別給付費'!F120+'2_サービス別給付費'!F122+'2_サービス別給付費'!F124+'2_サービス別給付費'!F131+'2_サービス別給付費'!F133+'2_サービス別給付費'!F135+'2_サービス別給付費'!F137)/F12,"－")</f>
        <v>0.05366985784740354</v>
      </c>
      <c r="G117" s="612" t="n">
        <f>IFERROR(('2_サービス別給付費'!G48+'2_サービス別給付費'!G56+'2_サービス別給付費'!G105+'2_サービス別給付費'!G120+'2_サービス別給付費'!G122+'2_サービス別給付費'!G124+'2_サービス別給付費'!G131+'2_サービス別給付費'!G133+'2_サービス別給付費'!G135+'2_サービス別給付費'!G137)/G12,"－")</f>
        <v>0.05329062317996505</v>
      </c>
      <c r="H117" s="613" t="n">
        <f>IFERROR(('2_サービス別給付費'!H48+'2_サービス別給付費'!H56+'2_サービス別給付費'!H105+'2_サービス別給付費'!H120+'2_サービス別給付費'!H122+'2_サービス別給付費'!H124+'2_サービス別給付費'!H131+'2_サービス別給付費'!H133+'2_サービス別給付費'!H135+'2_サービス別給付費'!H137)/H12,"－")</f>
        <v>0.053691275167785234</v>
      </c>
      <c r="I117" s="614" t="n">
        <f>IFERROR(('2_サービス別給付費'!I48+'2_サービス別給付費'!I56+'2_サービス別給付費'!I105+'2_サービス別給付費'!I120+'2_サービス別給付費'!I122+'2_サービス別給付費'!I124+'2_サービス別給付費'!I131+'2_サービス別給付費'!I133+'2_サービス別給付費'!I135+'2_サービス別給付費'!I137)/I12,"－")</f>
        <v>0.053895723491505565</v>
      </c>
      <c r="J117" s="348"/>
      <c r="K117" s="348"/>
      <c r="L117" s="348"/>
    </row>
    <row r="118" spans="1:12">
      <c r="A118" s="348"/>
      <c r="B118" s="348"/>
      <c r="C118" s="348"/>
      <c r="D118" s="348"/>
      <c r="E118" s="348"/>
      <c r="F118" s="348"/>
      <c r="G118" s="348"/>
      <c r="H118" s="348"/>
      <c r="I118" s="348"/>
      <c r="J118" s="348"/>
      <c r="K118" s="348"/>
      <c r="L118" s="348"/>
    </row>
    <row r="119" spans="1:12">
      <c r="A119" s="348"/>
      <c r="B119" s="348"/>
      <c r="C119" s="348"/>
      <c r="D119" s="348"/>
      <c r="E119" s="348"/>
      <c r="F119" s="348"/>
      <c r="G119" s="348"/>
      <c r="H119" s="348"/>
      <c r="I119" s="348"/>
      <c r="J119" s="348"/>
      <c r="K119" s="348"/>
      <c r="L119" s="348"/>
    </row>
    <row r="120" spans="1:12">
      <c r="A120" s="348"/>
      <c r="B120" s="348"/>
      <c r="C120" s="348"/>
      <c r="D120" s="348"/>
      <c r="E120" s="348"/>
      <c r="F120" s="348"/>
      <c r="G120" s="348"/>
      <c r="H120" s="348"/>
      <c r="I120" s="348"/>
      <c r="J120" s="348"/>
      <c r="K120" s="348"/>
      <c r="L120" s="348"/>
    </row>
    <row r="121" spans="1:12">
      <c r="A121" s="348"/>
      <c r="B121" s="348"/>
      <c r="C121" s="348"/>
      <c r="D121" s="348"/>
      <c r="E121" s="348"/>
      <c r="F121" s="348"/>
      <c r="G121" s="348"/>
      <c r="H121" s="348"/>
      <c r="I121" s="348"/>
      <c r="J121" s="348"/>
      <c r="K121" s="348"/>
      <c r="L121" s="348"/>
    </row>
    <row r="122" spans="1:12">
      <c r="A122" s="348"/>
      <c r="B122" s="348"/>
      <c r="C122" s="348"/>
      <c r="D122" s="348"/>
      <c r="E122" s="348"/>
      <c r="F122" s="348"/>
      <c r="G122" s="348"/>
      <c r="H122" s="348"/>
      <c r="I122" s="348"/>
      <c r="J122" s="348"/>
      <c r="K122" s="348"/>
      <c r="L122" s="348"/>
    </row>
    <row r="123" spans="1:12">
      <c r="A123" s="348"/>
      <c r="B123" s="348"/>
      <c r="C123" s="348"/>
      <c r="D123" s="348"/>
      <c r="E123" s="348"/>
      <c r="F123" s="348"/>
      <c r="G123" s="348"/>
      <c r="H123" s="348"/>
      <c r="I123" s="348"/>
      <c r="J123" s="348"/>
      <c r="K123" s="348"/>
      <c r="L123" s="348"/>
    </row>
    <row r="124" spans="1:12">
      <c r="A124" s="348"/>
      <c r="B124" s="348"/>
      <c r="C124" s="348"/>
      <c r="D124" s="348"/>
      <c r="E124" s="348"/>
      <c r="F124" s="348"/>
      <c r="G124" s="348"/>
      <c r="H124" s="348"/>
      <c r="I124" s="348"/>
      <c r="J124" s="348"/>
      <c r="K124" s="348"/>
      <c r="L124" s="348"/>
    </row>
    <row r="125" spans="1:12">
      <c r="A125" s="348"/>
      <c r="B125" s="348"/>
      <c r="C125" s="348"/>
      <c r="D125" s="348"/>
      <c r="E125" s="348"/>
      <c r="F125" s="348"/>
      <c r="G125" s="348"/>
      <c r="H125" s="348"/>
      <c r="I125" s="348"/>
      <c r="J125" s="348"/>
      <c r="K125" s="348"/>
      <c r="L125" s="348"/>
    </row>
    <row r="126" spans="1:12">
      <c r="A126" s="348"/>
      <c r="B126" s="348"/>
      <c r="C126" s="348"/>
      <c r="D126" s="348"/>
      <c r="E126" s="348"/>
      <c r="F126" s="348"/>
      <c r="G126" s="348"/>
      <c r="H126" s="1054"/>
      <c r="I126" s="1054"/>
      <c r="J126" s="1054"/>
      <c r="K126" s="1054"/>
      <c r="L126" s="1054"/>
    </row>
    <row r="127" spans="1:12">
      <c r="A127" s="348"/>
      <c r="B127" s="348"/>
      <c r="C127" s="348"/>
      <c r="D127" s="348"/>
      <c r="E127" s="348"/>
      <c r="F127" s="348"/>
      <c r="G127" s="348"/>
      <c r="H127" s="1054"/>
      <c r="I127" s="1054"/>
      <c r="J127" s="1054"/>
      <c r="K127" s="1054"/>
      <c r="L127" s="1054"/>
    </row>
    <row r="128" spans="1:12">
      <c r="A128" s="348"/>
      <c r="B128" s="348"/>
      <c r="C128" s="348"/>
      <c r="D128" s="348"/>
      <c r="E128" s="348"/>
      <c r="F128" s="348"/>
      <c r="G128" s="348"/>
      <c r="H128" s="1054"/>
      <c r="I128" s="1054"/>
      <c r="J128" s="1054"/>
      <c r="K128" s="1054"/>
      <c r="L128" s="1054"/>
    </row>
    <row r="129" spans="1:12">
      <c r="A129" s="348"/>
      <c r="B129" s="348"/>
      <c r="C129" s="348"/>
      <c r="D129" s="348"/>
      <c r="E129" s="348"/>
      <c r="F129" s="348"/>
      <c r="G129" s="348"/>
      <c r="H129" s="1054"/>
      <c r="I129" s="1054"/>
      <c r="J129" s="1054"/>
      <c r="K129" s="1054"/>
      <c r="L129" s="1054"/>
    </row>
    <row r="130" spans="1:12">
      <c r="A130" s="348"/>
      <c r="B130" s="348"/>
      <c r="C130" s="348"/>
      <c r="D130" s="348"/>
      <c r="E130" s="348"/>
      <c r="F130" s="348"/>
      <c r="G130" s="348"/>
      <c r="H130" s="1054"/>
      <c r="I130" s="1054"/>
      <c r="J130" s="1054"/>
      <c r="K130" s="1054"/>
      <c r="L130" s="1054"/>
    </row>
    <row r="131" spans="1:12">
      <c r="A131" s="348"/>
      <c r="B131" s="348"/>
      <c r="C131" s="348"/>
      <c r="D131" s="348"/>
      <c r="E131" s="348"/>
      <c r="F131" s="348"/>
      <c r="G131" s="348"/>
      <c r="H131" s="1054" t="s">
        <v>368</v>
      </c>
      <c r="I131" s="1054"/>
      <c r="J131" s="1054"/>
      <c r="K131" s="1054"/>
      <c r="L131" s="1054"/>
    </row>
    <row r="132" spans="1:12">
      <c r="A132" s="348"/>
      <c r="B132" s="348"/>
      <c r="C132" s="348"/>
      <c r="D132" s="348"/>
      <c r="E132" s="348"/>
      <c r="F132" s="348"/>
      <c r="G132" s="348"/>
      <c r="H132" s="1054"/>
      <c r="I132" s="1054"/>
      <c r="J132" s="1054"/>
      <c r="K132" s="1054"/>
      <c r="L132" s="1054"/>
    </row>
    <row r="133" spans="1:12">
      <c r="A133" s="348"/>
      <c r="B133" s="348"/>
      <c r="C133" s="348"/>
      <c r="D133" s="348"/>
      <c r="E133" s="348"/>
      <c r="F133" s="348"/>
      <c r="G133" s="348"/>
      <c r="H133" s="1054"/>
      <c r="I133" s="1054"/>
      <c r="J133" s="1054"/>
      <c r="K133" s="1054"/>
      <c r="L133" s="1054"/>
    </row>
    <row r="134" spans="1:12">
      <c r="A134" s="348"/>
      <c r="B134" s="348"/>
      <c r="C134" s="348"/>
      <c r="D134" s="348"/>
      <c r="E134" s="348"/>
      <c r="F134" s="348"/>
      <c r="G134" s="348"/>
      <c r="H134" s="1054"/>
      <c r="I134" s="1054"/>
      <c r="J134" s="1054"/>
      <c r="K134" s="1054"/>
      <c r="L134" s="1054"/>
    </row>
    <row r="135" spans="1:12">
      <c r="A135" s="348"/>
      <c r="B135" s="348"/>
      <c r="C135" s="348"/>
      <c r="D135" s="348"/>
      <c r="E135" s="348"/>
      <c r="F135" s="348"/>
      <c r="G135" s="348"/>
      <c r="H135" s="1054"/>
      <c r="I135" s="1054"/>
      <c r="J135" s="1054"/>
      <c r="K135" s="1054"/>
      <c r="L135" s="1054"/>
    </row>
    <row r="136" spans="1:12">
      <c r="A136" s="348"/>
      <c r="B136" s="348"/>
      <c r="C136" s="348"/>
      <c r="D136" s="348"/>
      <c r="E136" s="348"/>
      <c r="F136" s="348"/>
      <c r="G136" s="348"/>
      <c r="H136" s="723"/>
      <c r="I136" s="723"/>
      <c r="J136" s="723"/>
      <c r="K136" s="723"/>
      <c r="L136" s="723"/>
    </row>
    <row r="137" spans="1:12">
      <c r="A137" s="348"/>
      <c r="B137" s="585" t="s">
        <v>255</v>
      </c>
      <c r="C137" s="348"/>
      <c r="D137" s="348"/>
      <c r="E137" s="348"/>
      <c r="F137" s="348"/>
      <c r="G137" s="348"/>
      <c r="H137" s="723"/>
      <c r="I137" s="723"/>
      <c r="J137" s="723"/>
      <c r="K137" s="723"/>
      <c r="L137" s="723"/>
    </row>
    <row r="138" spans="1:12">
      <c r="A138" s="348"/>
      <c r="B138" s="585" t="s">
        <v>256</v>
      </c>
      <c r="C138" s="348"/>
      <c r="D138" s="348"/>
      <c r="E138" s="348"/>
      <c r="F138" s="348"/>
      <c r="G138" s="348"/>
      <c r="H138" s="723"/>
      <c r="I138" s="723"/>
      <c r="J138" s="723"/>
      <c r="K138" s="723"/>
      <c r="L138" s="723"/>
    </row>
    <row r="139" spans="1:12" ht="12.75" customHeight="1">
      <c r="H139" s="722"/>
      <c r="I139" s="722"/>
      <c r="J139" s="722"/>
      <c r="K139" s="722"/>
      <c r="L139" s="722"/>
    </row>
    <row r="140" spans="1:12" ht="14.25" thickBot="1">
      <c r="A140" s="368" t="s">
        <v>257</v>
      </c>
      <c r="L140" s="2" t="s">
        <v>88</v>
      </c>
    </row>
    <row r="141" spans="1:12" ht="14.25" thickBot="1">
      <c r="A141" s="368"/>
      <c r="F141" s="1031" t="s">
        <v>349</v>
      </c>
      <c r="G141" s="1033" t="s">
        <v>347</v>
      </c>
      <c r="H141" s="997" t="s">
        <v>424</v>
      </c>
      <c r="I141" s="997" t="s">
        <v>425</v>
      </c>
      <c r="J141" s="997" t="s">
        <v>426</v>
      </c>
      <c r="K141" s="997" t="s">
        <v>427</v>
      </c>
      <c r="L141" s="997" t="s">
        <v>423</v>
      </c>
    </row>
    <row r="142" spans="1:12" ht="14.25" thickBot="1">
      <c r="A142" s="199"/>
      <c r="B142" s="569"/>
      <c r="C142" s="200"/>
      <c r="D142" s="586"/>
      <c r="E142" s="587"/>
      <c r="F142" s="1032"/>
      <c r="G142" s="1034"/>
      <c r="H142" s="999" t="s">
        <v>383</v>
      </c>
      <c r="I142" s="1000" t="s">
        <v>386</v>
      </c>
      <c r="J142" s="990" t="s">
        <v>389</v>
      </c>
      <c r="K142" s="990" t="s">
        <v>392</v>
      </c>
      <c r="L142" s="990" t="s">
        <v>395</v>
      </c>
    </row>
    <row r="143" spans="1:12" ht="14.25" thickBot="1">
      <c r="A143" s="199" t="s">
        <v>79</v>
      </c>
      <c r="B143" s="569"/>
      <c r="C143" s="200"/>
      <c r="D143" s="586"/>
      <c r="E143" s="587"/>
      <c r="F143" s="80" t="n">
        <v>6608.89984893206</v>
      </c>
      <c r="G143" s="80" t="n">
        <v>6466.25425173447</v>
      </c>
      <c r="H143" s="81" t="n">
        <v>7298.47435496135</v>
      </c>
      <c r="I143" s="737" t="n">
        <v>7955.17452066564</v>
      </c>
      <c r="J143" s="737" t="n">
        <v>7912.02242036986</v>
      </c>
      <c r="K143" s="737" t="n">
        <v>8058.50246246363</v>
      </c>
      <c r="L143" s="737" t="n">
        <v>8646.10306296214</v>
      </c>
    </row>
    <row r="144" spans="1:12" ht="14.25" thickBot="1">
      <c r="A144" s="199" t="s">
        <v>350</v>
      </c>
      <c r="B144" s="569"/>
      <c r="C144" s="200"/>
      <c r="D144" s="586"/>
      <c r="E144" s="587"/>
      <c r="F144" s="588"/>
      <c r="G144" s="107" t="n">
        <f>IFERROR(G143/F143,"－")</f>
        <v>0.9784161357475193</v>
      </c>
      <c r="H144" s="108" t="n">
        <f>IFERROR(H143/F143,"－")</f>
        <v>1.1043402868543573</v>
      </c>
      <c r="I144" s="738" t="n">
        <f>IFERROR(I143/F143,"－")</f>
        <v>1.2037063206444452</v>
      </c>
      <c r="J144" s="738" t="n">
        <f>IFERROR(J143/F143,"－")</f>
        <v>1.1971769282671718</v>
      </c>
      <c r="K144" s="738" t="n">
        <f>IFERROR(K143/F143,"－")</f>
        <v>1.2193409866493607</v>
      </c>
      <c r="L144" s="738" t="n">
        <f>IFERROR(L143/F143,"－")</f>
        <v>1.3082514882351068</v>
      </c>
    </row>
    <row r="145" spans="1:17">
      <c r="A145" s="187"/>
      <c r="B145" s="190"/>
      <c r="C145" s="187"/>
    </row>
    <row r="147" spans="1:17" ht="14.25" thickBot="1">
      <c r="A147" s="368" t="s">
        <v>258</v>
      </c>
      <c r="E147" s="34"/>
      <c r="H147" s="589"/>
      <c r="I147" s="590"/>
      <c r="J147" s="590"/>
      <c r="K147" s="590"/>
      <c r="L147" s="590"/>
      <c r="Q147" s="2" t="s">
        <v>88</v>
      </c>
    </row>
    <row r="148" spans="1:17">
      <c r="D148" s="1035" t="s">
        <v>349</v>
      </c>
      <c r="E148" s="1036"/>
      <c r="F148" s="1035" t="s">
        <v>348</v>
      </c>
      <c r="G148" s="1039"/>
      <c r="H148" s="1040" t="s">
        <v>424</v>
      </c>
      <c r="I148" s="1041"/>
      <c r="J148" s="1040" t="s">
        <v>425</v>
      </c>
      <c r="K148" s="1041"/>
      <c r="L148" s="1029" t="s">
        <v>426</v>
      </c>
      <c r="M148" s="1030"/>
      <c r="N148" s="1029" t="s">
        <v>427</v>
      </c>
      <c r="O148" s="1030"/>
      <c r="P148" s="1029" t="s">
        <v>423</v>
      </c>
      <c r="Q148" s="1030"/>
    </row>
    <row r="149" spans="1:17" ht="14.25" thickBot="1">
      <c r="D149" s="1037"/>
      <c r="E149" s="1038"/>
      <c r="F149" s="1037"/>
      <c r="G149" s="1038"/>
      <c r="H149" s="1056" t="s">
        <v>384</v>
      </c>
      <c r="I149" s="1038"/>
      <c r="J149" s="1037" t="s">
        <v>387</v>
      </c>
      <c r="K149" s="1055"/>
      <c r="L149" s="1037" t="s">
        <v>390</v>
      </c>
      <c r="M149" s="1055"/>
      <c r="N149" s="1037" t="s">
        <v>393</v>
      </c>
      <c r="O149" s="1055"/>
      <c r="P149" s="1037" t="s">
        <v>396</v>
      </c>
      <c r="Q149" s="1055"/>
    </row>
    <row r="150" spans="1:17" ht="14.25" thickBot="1">
      <c r="A150" s="591"/>
      <c r="B150" s="592"/>
      <c r="C150" s="593"/>
      <c r="D150" s="594" t="s">
        <v>80</v>
      </c>
      <c r="E150" s="595" t="s">
        <v>107</v>
      </c>
      <c r="F150" s="594" t="s">
        <v>80</v>
      </c>
      <c r="G150" s="595" t="s">
        <v>107</v>
      </c>
      <c r="H150" s="596" t="s">
        <v>80</v>
      </c>
      <c r="I150" s="595" t="s">
        <v>107</v>
      </c>
      <c r="J150" s="596" t="s">
        <v>80</v>
      </c>
      <c r="K150" s="595" t="s">
        <v>107</v>
      </c>
      <c r="L150" s="596" t="s">
        <v>80</v>
      </c>
      <c r="M150" s="595" t="s">
        <v>107</v>
      </c>
      <c r="N150" s="596" t="s">
        <v>80</v>
      </c>
      <c r="O150" s="595" t="s">
        <v>107</v>
      </c>
      <c r="P150" s="596" t="s">
        <v>80</v>
      </c>
      <c r="Q150" s="595" t="s">
        <v>107</v>
      </c>
    </row>
    <row r="151" spans="1:17">
      <c r="A151" s="82" t="s">
        <v>64</v>
      </c>
      <c r="B151" s="83"/>
      <c r="C151" s="597"/>
      <c r="D151" s="598" t="n">
        <v>6079.234725322671</v>
      </c>
      <c r="E151" s="599" t="n">
        <f t="shared" ref="E151:E161" si="28">IFERROR(D151/D$159,"－")</f>
        <v>0.8811860794265807</v>
      </c>
      <c r="F151" s="598"/>
      <c r="G151" s="599" t="str">
        <f t="shared" ref="G151:G161" si="29">IFERROR(F151/F$159,"－")</f>
        <v>－</v>
      </c>
      <c r="H151" s="600"/>
      <c r="I151" s="599" t="str">
        <f t="shared" ref="I151:I161" si="30">IFERROR(H151/H$159,"－")</f>
        <v>－</v>
      </c>
      <c r="J151" s="600"/>
      <c r="K151" s="599" t="str">
        <f t="shared" ref="K151:K161" si="31">IFERROR(J151/J$159,"－")</f>
        <v>－</v>
      </c>
      <c r="L151" s="600"/>
      <c r="M151" s="599" t="str">
        <f t="shared" ref="M151:M161" si="32">IFERROR(L151/L$159,"－")</f>
        <v>－</v>
      </c>
      <c r="N151" s="600"/>
      <c r="O151" s="599" t="str">
        <f t="shared" ref="O151:O161" si="33">IFERROR(N151/N$159,"－")</f>
        <v>－</v>
      </c>
      <c r="P151" s="600"/>
      <c r="Q151" s="599" t="str">
        <f t="shared" ref="Q151:Q161" si="34">IFERROR(P151/P$159,"－")</f>
        <v>－</v>
      </c>
    </row>
    <row r="152" spans="1:17">
      <c r="A152" s="33"/>
      <c r="B152" s="35" t="s">
        <v>70</v>
      </c>
      <c r="C152" s="601"/>
      <c r="D152" s="602" t="n">
        <v>2805.82887117516</v>
      </c>
      <c r="E152" s="396" t="n">
        <f t="shared" si="28"/>
        <v>0.4067053591850767</v>
      </c>
      <c r="F152" s="602"/>
      <c r="G152" s="396" t="str">
        <f t="shared" si="29"/>
        <v>－</v>
      </c>
      <c r="H152" s="603"/>
      <c r="I152" s="396" t="str">
        <f t="shared" si="30"/>
        <v>－</v>
      </c>
      <c r="J152" s="603"/>
      <c r="K152" s="396" t="str">
        <f t="shared" si="31"/>
        <v>－</v>
      </c>
      <c r="L152" s="603"/>
      <c r="M152" s="396" t="str">
        <f t="shared" si="32"/>
        <v>－</v>
      </c>
      <c r="N152" s="603"/>
      <c r="O152" s="396" t="str">
        <f t="shared" si="33"/>
        <v>－</v>
      </c>
      <c r="P152" s="603"/>
      <c r="Q152" s="396" t="str">
        <f t="shared" si="34"/>
        <v>－</v>
      </c>
    </row>
    <row r="153" spans="1:17">
      <c r="A153" s="33"/>
      <c r="B153" s="35" t="s">
        <v>81</v>
      </c>
      <c r="C153" s="601"/>
      <c r="D153" s="602" t="n">
        <v>1072.17742974268</v>
      </c>
      <c r="E153" s="396" t="n">
        <f t="shared" si="28"/>
        <v>0.1554122958649986</v>
      </c>
      <c r="F153" s="602"/>
      <c r="G153" s="396" t="str">
        <f t="shared" si="29"/>
        <v>－</v>
      </c>
      <c r="H153" s="603"/>
      <c r="I153" s="396" t="str">
        <f t="shared" si="30"/>
        <v>－</v>
      </c>
      <c r="J153" s="603"/>
      <c r="K153" s="396" t="str">
        <f t="shared" si="31"/>
        <v>－</v>
      </c>
      <c r="L153" s="603"/>
      <c r="M153" s="396" t="str">
        <f t="shared" si="32"/>
        <v>－</v>
      </c>
      <c r="N153" s="603"/>
      <c r="O153" s="396" t="str">
        <f t="shared" si="33"/>
        <v>－</v>
      </c>
      <c r="P153" s="603"/>
      <c r="Q153" s="396" t="str">
        <f t="shared" si="34"/>
        <v>－</v>
      </c>
    </row>
    <row r="154" spans="1:17">
      <c r="A154" s="31"/>
      <c r="B154" s="35" t="s">
        <v>71</v>
      </c>
      <c r="C154" s="601"/>
      <c r="D154" s="602" t="n">
        <v>2201.22842440483</v>
      </c>
      <c r="E154" s="396" t="n">
        <f t="shared" si="28"/>
        <v>0.31906842437650534</v>
      </c>
      <c r="F154" s="602"/>
      <c r="G154" s="396" t="str">
        <f t="shared" si="29"/>
        <v>－</v>
      </c>
      <c r="H154" s="603"/>
      <c r="I154" s="396" t="str">
        <f t="shared" si="30"/>
        <v>－</v>
      </c>
      <c r="J154" s="603"/>
      <c r="K154" s="396" t="str">
        <f t="shared" si="31"/>
        <v>－</v>
      </c>
      <c r="L154" s="603"/>
      <c r="M154" s="396" t="str">
        <f t="shared" si="32"/>
        <v>－</v>
      </c>
      <c r="N154" s="603"/>
      <c r="O154" s="396" t="str">
        <f t="shared" si="33"/>
        <v>－</v>
      </c>
      <c r="P154" s="603"/>
      <c r="Q154" s="396" t="str">
        <f t="shared" si="34"/>
        <v>－</v>
      </c>
    </row>
    <row r="155" spans="1:17">
      <c r="A155" s="30" t="s">
        <v>82</v>
      </c>
      <c r="B155" s="35"/>
      <c r="C155" s="601"/>
      <c r="D155" s="602" t="n">
        <v>451.2031458509291</v>
      </c>
      <c r="E155" s="396" t="n">
        <f t="shared" si="28"/>
        <v>0.0654019706561366</v>
      </c>
      <c r="F155" s="602"/>
      <c r="G155" s="396" t="str">
        <f t="shared" si="29"/>
        <v>－</v>
      </c>
      <c r="H155" s="603"/>
      <c r="I155" s="396" t="str">
        <f t="shared" si="30"/>
        <v>－</v>
      </c>
      <c r="J155" s="603"/>
      <c r="K155" s="396" t="str">
        <f t="shared" si="31"/>
        <v>－</v>
      </c>
      <c r="L155" s="603"/>
      <c r="M155" s="396" t="str">
        <f t="shared" si="32"/>
        <v>－</v>
      </c>
      <c r="N155" s="603"/>
      <c r="O155" s="396" t="str">
        <f t="shared" si="33"/>
        <v>－</v>
      </c>
      <c r="P155" s="603"/>
      <c r="Q155" s="396" t="str">
        <f t="shared" si="34"/>
        <v>－</v>
      </c>
    </row>
    <row r="156" spans="1:17">
      <c r="A156" s="30" t="s">
        <v>83</v>
      </c>
      <c r="B156" s="604"/>
      <c r="C156" s="601"/>
      <c r="D156" s="602" t="n">
        <v>395.009588052356</v>
      </c>
      <c r="E156" s="396" t="n">
        <f t="shared" si="28"/>
        <v>0.057256705154329963</v>
      </c>
      <c r="F156" s="602"/>
      <c r="G156" s="396" t="str">
        <f t="shared" si="29"/>
        <v>－</v>
      </c>
      <c r="H156" s="603"/>
      <c r="I156" s="396" t="str">
        <f t="shared" si="30"/>
        <v>－</v>
      </c>
      <c r="J156" s="603"/>
      <c r="K156" s="396" t="str">
        <f t="shared" si="31"/>
        <v>－</v>
      </c>
      <c r="L156" s="603"/>
      <c r="M156" s="396" t="str">
        <f t="shared" si="32"/>
        <v>－</v>
      </c>
      <c r="N156" s="603"/>
      <c r="O156" s="396" t="str">
        <f t="shared" si="33"/>
        <v>－</v>
      </c>
      <c r="P156" s="603"/>
      <c r="Q156" s="396" t="str">
        <f t="shared" si="34"/>
        <v>－</v>
      </c>
    </row>
    <row r="157" spans="1:17">
      <c r="A157" s="30" t="s">
        <v>84</v>
      </c>
      <c r="B157" s="604"/>
      <c r="C157" s="601"/>
      <c r="D157" s="602" t="n">
        <v>0.0</v>
      </c>
      <c r="E157" s="396" t="n">
        <f t="shared" si="28"/>
        <v>0.0</v>
      </c>
      <c r="F157" s="602"/>
      <c r="G157" s="396" t="str">
        <f t="shared" si="29"/>
        <v>－</v>
      </c>
      <c r="H157" s="603"/>
      <c r="I157" s="396" t="str">
        <f t="shared" si="30"/>
        <v>－</v>
      </c>
      <c r="J157" s="603"/>
      <c r="K157" s="396" t="str">
        <f t="shared" si="31"/>
        <v>－</v>
      </c>
      <c r="L157" s="603"/>
      <c r="M157" s="396" t="str">
        <f t="shared" si="32"/>
        <v>－</v>
      </c>
      <c r="N157" s="603"/>
      <c r="O157" s="396" t="str">
        <f t="shared" si="33"/>
        <v>－</v>
      </c>
      <c r="P157" s="603"/>
      <c r="Q157" s="396" t="str">
        <f t="shared" si="34"/>
        <v>－</v>
      </c>
    </row>
    <row r="158" spans="1:17">
      <c r="A158" s="30" t="s">
        <v>85</v>
      </c>
      <c r="B158" s="35"/>
      <c r="C158" s="601"/>
      <c r="D158" s="602" t="n">
        <v>-26.524669525687</v>
      </c>
      <c r="E158" s="396" t="n">
        <f t="shared" si="28"/>
        <v>-0.0038447552370475774</v>
      </c>
      <c r="F158" s="602"/>
      <c r="G158" s="396" t="str">
        <f t="shared" si="29"/>
        <v>－</v>
      </c>
      <c r="H158" s="603"/>
      <c r="I158" s="396" t="str">
        <f t="shared" si="30"/>
        <v>－</v>
      </c>
      <c r="J158" s="603"/>
      <c r="K158" s="396" t="str">
        <f t="shared" si="31"/>
        <v>－</v>
      </c>
      <c r="L158" s="603"/>
      <c r="M158" s="396" t="str">
        <f t="shared" si="32"/>
        <v>－</v>
      </c>
      <c r="N158" s="603"/>
      <c r="O158" s="396" t="str">
        <f t="shared" si="33"/>
        <v>－</v>
      </c>
      <c r="P158" s="603"/>
      <c r="Q158" s="396" t="str">
        <f t="shared" si="34"/>
        <v>－</v>
      </c>
    </row>
    <row r="159" spans="1:17">
      <c r="A159" s="30" t="s">
        <v>86</v>
      </c>
      <c r="B159" s="35"/>
      <c r="C159" s="605"/>
      <c r="D159" s="602" t="n">
        <v>6898.922789700271</v>
      </c>
      <c r="E159" s="396" t="n">
        <f t="shared" si="28"/>
        <v>1.0</v>
      </c>
      <c r="F159" s="602"/>
      <c r="G159" s="396" t="str">
        <f t="shared" si="29"/>
        <v>－</v>
      </c>
      <c r="H159" s="603"/>
      <c r="I159" s="396" t="str">
        <f t="shared" si="30"/>
        <v>－</v>
      </c>
      <c r="J159" s="603"/>
      <c r="K159" s="396" t="str">
        <f t="shared" si="31"/>
        <v>－</v>
      </c>
      <c r="L159" s="603"/>
      <c r="M159" s="396" t="str">
        <f t="shared" si="32"/>
        <v>－</v>
      </c>
      <c r="N159" s="603"/>
      <c r="O159" s="396" t="str">
        <f t="shared" si="33"/>
        <v>－</v>
      </c>
      <c r="P159" s="603"/>
      <c r="Q159" s="396" t="str">
        <f t="shared" si="34"/>
        <v>－</v>
      </c>
    </row>
    <row r="160" spans="1:17">
      <c r="A160" s="30" t="s">
        <v>87</v>
      </c>
      <c r="B160" s="604"/>
      <c r="C160" s="605"/>
      <c r="D160" s="602" t="n">
        <v>290.022940768211</v>
      </c>
      <c r="E160" s="396" t="n">
        <f t="shared" si="28"/>
        <v>0.042038873257314896</v>
      </c>
      <c r="F160" s="602"/>
      <c r="G160" s="396" t="str">
        <f t="shared" si="29"/>
        <v>－</v>
      </c>
      <c r="H160" s="603"/>
      <c r="I160" s="396" t="str">
        <f t="shared" si="30"/>
        <v>－</v>
      </c>
      <c r="J160" s="603"/>
      <c r="K160" s="396" t="str">
        <f t="shared" si="31"/>
        <v>－</v>
      </c>
      <c r="L160" s="603"/>
      <c r="M160" s="396" t="str">
        <f t="shared" si="32"/>
        <v>－</v>
      </c>
      <c r="N160" s="603"/>
      <c r="O160" s="396" t="str">
        <f t="shared" si="33"/>
        <v>－</v>
      </c>
      <c r="P160" s="603"/>
      <c r="Q160" s="396" t="str">
        <f t="shared" si="34"/>
        <v>－</v>
      </c>
    </row>
    <row r="161" spans="1:17" ht="14.25" thickBot="1">
      <c r="A161" s="32" t="s">
        <v>112</v>
      </c>
      <c r="B161" s="36"/>
      <c r="C161" s="606"/>
      <c r="D161" s="607" t="n">
        <v>6608.89984893206</v>
      </c>
      <c r="E161" s="449" t="n">
        <f t="shared" si="28"/>
        <v>0.9579611267426851</v>
      </c>
      <c r="F161" s="607" t="n">
        <v>6466.25425173447</v>
      </c>
      <c r="G161" s="449" t="str">
        <f t="shared" si="29"/>
        <v>－</v>
      </c>
      <c r="H161" s="608" t="n">
        <v>7298.47435496135</v>
      </c>
      <c r="I161" s="449" t="str">
        <f t="shared" si="30"/>
        <v>－</v>
      </c>
      <c r="J161" s="608" t="n">
        <v>7955.17452066564</v>
      </c>
      <c r="K161" s="449" t="str">
        <f t="shared" si="31"/>
        <v>－</v>
      </c>
      <c r="L161" s="608" t="n">
        <v>7912.02242036986</v>
      </c>
      <c r="M161" s="449" t="str">
        <f t="shared" si="32"/>
        <v>－</v>
      </c>
      <c r="N161" s="608" t="n">
        <v>8058.50246246363</v>
      </c>
      <c r="O161" s="449" t="str">
        <f t="shared" si="33"/>
        <v>－</v>
      </c>
      <c r="P161" s="608" t="n">
        <v>8646.10306296214</v>
      </c>
      <c r="Q161" s="449" t="str">
        <f t="shared" si="34"/>
        <v>－</v>
      </c>
    </row>
  </sheetData>
  <mergeCells count="63">
    <mergeCell ref="H126:L130"/>
    <mergeCell ref="H131:L135"/>
    <mergeCell ref="J149:K149"/>
    <mergeCell ref="L149:M149"/>
    <mergeCell ref="J148:K148"/>
    <mergeCell ref="L148:M148"/>
    <mergeCell ref="H149:I149"/>
    <mergeCell ref="A1:M1"/>
    <mergeCell ref="H101:L105"/>
    <mergeCell ref="A10:C10"/>
    <mergeCell ref="A18:C18"/>
    <mergeCell ref="Q3:R3"/>
    <mergeCell ref="Q4:R4"/>
    <mergeCell ref="Q5:R5"/>
    <mergeCell ref="D9:F9"/>
    <mergeCell ref="G9:J9"/>
    <mergeCell ref="K9:L9"/>
    <mergeCell ref="M9:N9"/>
    <mergeCell ref="O9:P9"/>
    <mergeCell ref="Q9:R9"/>
    <mergeCell ref="D38:F38"/>
    <mergeCell ref="G38:J38"/>
    <mergeCell ref="K38:L38"/>
    <mergeCell ref="S9:T9"/>
    <mergeCell ref="D17:F17"/>
    <mergeCell ref="G17:J17"/>
    <mergeCell ref="K17:L17"/>
    <mergeCell ref="M17:N17"/>
    <mergeCell ref="O17:P17"/>
    <mergeCell ref="Q17:R17"/>
    <mergeCell ref="S17:T17"/>
    <mergeCell ref="M38:N38"/>
    <mergeCell ref="O38:P38"/>
    <mergeCell ref="Q38:R38"/>
    <mergeCell ref="S38:T38"/>
    <mergeCell ref="D60:F60"/>
    <mergeCell ref="G60:J60"/>
    <mergeCell ref="K60:L60"/>
    <mergeCell ref="M60:N60"/>
    <mergeCell ref="O60:P60"/>
    <mergeCell ref="Q60:R60"/>
    <mergeCell ref="S60:T60"/>
    <mergeCell ref="Q83:R83"/>
    <mergeCell ref="S83:T83"/>
    <mergeCell ref="D89:F89"/>
    <mergeCell ref="G89:I89"/>
    <mergeCell ref="D114:F114"/>
    <mergeCell ref="G114:I114"/>
    <mergeCell ref="D83:F83"/>
    <mergeCell ref="G83:J83"/>
    <mergeCell ref="K83:L83"/>
    <mergeCell ref="M83:N83"/>
    <mergeCell ref="O83:P83"/>
    <mergeCell ref="H106:L110"/>
    <mergeCell ref="N148:O148"/>
    <mergeCell ref="P148:Q148"/>
    <mergeCell ref="F141:F142"/>
    <mergeCell ref="G141:G142"/>
    <mergeCell ref="D148:E149"/>
    <mergeCell ref="F148:G149"/>
    <mergeCell ref="H148:I148"/>
    <mergeCell ref="P149:Q149"/>
    <mergeCell ref="N149:O149"/>
  </mergeCells>
  <phoneticPr fontId="8"/>
  <conditionalFormatting sqref="F151:F161 H151:H161">
    <cfRule type="containsBlanks" dxfId="9" priority="12">
      <formula>LEN(TRIM(F151))=0</formula>
    </cfRule>
  </conditionalFormatting>
  <conditionalFormatting sqref="G151:G161 I151:I161">
    <cfRule type="cellIs" dxfId="8" priority="11" operator="equal">
      <formula>"－"</formula>
    </cfRule>
  </conditionalFormatting>
  <conditionalFormatting sqref="J151:J161">
    <cfRule type="containsBlanks" dxfId="7" priority="10">
      <formula>LEN(TRIM(J151))=0</formula>
    </cfRule>
  </conditionalFormatting>
  <conditionalFormatting sqref="K151:K161">
    <cfRule type="cellIs" dxfId="6" priority="9" operator="equal">
      <formula>"－"</formula>
    </cfRule>
  </conditionalFormatting>
  <conditionalFormatting sqref="L151:L161">
    <cfRule type="containsBlanks" dxfId="5" priority="8">
      <formula>LEN(TRIM(L151))=0</formula>
    </cfRule>
  </conditionalFormatting>
  <conditionalFormatting sqref="M151:M161">
    <cfRule type="cellIs" dxfId="4" priority="7" operator="equal">
      <formula>"－"</formula>
    </cfRule>
  </conditionalFormatting>
  <conditionalFormatting sqref="N151:N161">
    <cfRule type="containsBlanks" dxfId="3" priority="6">
      <formula>LEN(TRIM(N151))=0</formula>
    </cfRule>
  </conditionalFormatting>
  <conditionalFormatting sqref="O151:O161">
    <cfRule type="cellIs" dxfId="2" priority="5" operator="equal">
      <formula>"－"</formula>
    </cfRule>
  </conditionalFormatting>
  <conditionalFormatting sqref="P151:P161">
    <cfRule type="containsBlanks" dxfId="1" priority="2">
      <formula>LEN(TRIM(P151))=0</formula>
    </cfRule>
  </conditionalFormatting>
  <conditionalFormatting sqref="Q151:Q161">
    <cfRule type="cellIs" dxfId="0" priority="1" operator="equal">
      <formula>"－"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portrait" r:id="rId1"/>
  <headerFooter>
    <oddFooter>&amp;C&amp;P</oddFooter>
  </headerFooter>
  <rowBreaks count="1" manualBreakCount="1">
    <brk id="8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164"/>
  <sheetViews>
    <sheetView zoomScale="85" zoomScaleNormal="85" zoomScaleSheetLayoutView="65" workbookViewId="0"/>
  </sheetViews>
  <sheetFormatPr defaultColWidth="9" defaultRowHeight="13.5"/>
  <cols>
    <col min="1" max="1" style="365" width="9.0" collapsed="false"/>
    <col min="2" max="2" bestFit="true" customWidth="true" style="365" width="42.125" collapsed="false"/>
    <col min="3" max="3" customWidth="true" style="365" width="15.375" collapsed="false"/>
    <col min="4" max="20" customWidth="true" style="365" width="11.125" collapsed="false"/>
    <col min="21" max="21" customWidth="true" style="365" width="3.375" collapsed="false"/>
    <col min="22" max="16384" style="365" width="9.0" collapsed="false"/>
  </cols>
  <sheetData>
    <row r="1" spans="1:21" ht="14.25">
      <c r="A1" s="188" t="s">
        <v>73</v>
      </c>
      <c r="K1" s="366"/>
      <c r="L1" s="367"/>
    </row>
    <row r="2" spans="1:21" ht="15" thickBot="1">
      <c r="A2" s="188"/>
      <c r="S2" s="366" t="s">
        <v>98</v>
      </c>
      <c r="T2" s="367" t="str">
        <f>'1_推計値サマリ'!T2</f>
        <v>2026/09/15</v>
      </c>
    </row>
    <row r="3" spans="1:21" s="348" customFormat="1" ht="14.25" thickBot="1">
      <c r="A3" s="365"/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1063" t="s">
        <v>67</v>
      </c>
      <c r="R3" s="1064"/>
      <c r="S3" s="1089" t="str">
        <f>保険者名</f>
        <v>小野町</v>
      </c>
      <c r="T3" s="1090"/>
      <c r="U3" s="365"/>
    </row>
    <row r="4" spans="1:21" s="348" customFormat="1" ht="14.25" thickBot="1">
      <c r="A4" s="365"/>
      <c r="B4" s="365"/>
      <c r="C4" s="365"/>
      <c r="D4" s="365"/>
      <c r="E4" s="365"/>
      <c r="F4" s="365"/>
      <c r="G4" s="365"/>
      <c r="H4" s="365"/>
      <c r="I4" s="365"/>
      <c r="J4" s="365"/>
      <c r="K4" s="365"/>
      <c r="L4" s="365"/>
      <c r="M4" s="365"/>
      <c r="N4" s="365"/>
      <c r="O4" s="365"/>
      <c r="P4" s="365"/>
      <c r="Q4" s="1063" t="s">
        <v>68</v>
      </c>
      <c r="R4" s="1064"/>
      <c r="S4" s="1089" t="str">
        <f>保険者番号</f>
        <v>07522</v>
      </c>
      <c r="T4" s="1090"/>
      <c r="U4" s="365"/>
    </row>
    <row r="5" spans="1:21" s="348" customFormat="1" ht="31.5" customHeight="1" thickBot="1">
      <c r="A5" s="365"/>
      <c r="B5" s="365"/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5"/>
      <c r="O5" s="365"/>
      <c r="P5" s="365"/>
      <c r="Q5" s="1065" t="s">
        <v>103</v>
      </c>
      <c r="R5" s="1066"/>
      <c r="S5" s="1089" t="str">
        <f>推計パターン名</f>
        <v>将来推計1</v>
      </c>
      <c r="T5" s="1090"/>
      <c r="U5" s="365"/>
    </row>
    <row r="8" spans="1:21" ht="14.25" thickBot="1">
      <c r="A8" s="368" t="s">
        <v>89</v>
      </c>
      <c r="B8" s="369"/>
      <c r="T8" s="2" t="s">
        <v>108</v>
      </c>
    </row>
    <row r="9" spans="1:21" ht="14.25" thickBot="1">
      <c r="B9" s="369"/>
      <c r="D9" s="1033" t="s">
        <v>417</v>
      </c>
      <c r="E9" s="1057"/>
      <c r="F9" s="1058"/>
      <c r="G9" s="1033" t="s">
        <v>418</v>
      </c>
      <c r="H9" s="1057"/>
      <c r="I9" s="1057"/>
      <c r="J9" s="1058"/>
      <c r="K9" s="1035" t="s">
        <v>419</v>
      </c>
      <c r="L9" s="1036"/>
      <c r="M9" s="1035" t="s">
        <v>420</v>
      </c>
      <c r="N9" s="1036"/>
      <c r="O9" s="1035" t="s">
        <v>421</v>
      </c>
      <c r="P9" s="1036"/>
      <c r="Q9" s="1035" t="s">
        <v>422</v>
      </c>
      <c r="R9" s="1036"/>
      <c r="S9" s="1035" t="s">
        <v>423</v>
      </c>
      <c r="T9" s="1036"/>
    </row>
    <row r="10" spans="1:21" ht="23.25" thickBot="1">
      <c r="A10" s="29"/>
      <c r="B10" s="370"/>
      <c r="C10" s="371"/>
      <c r="D10" s="1001" t="s">
        <v>366</v>
      </c>
      <c r="E10" s="992" t="s">
        <v>364</v>
      </c>
      <c r="F10" s="1002" t="s">
        <v>361</v>
      </c>
      <c r="G10" s="1001" t="s">
        <v>359</v>
      </c>
      <c r="H10" s="992" t="s">
        <v>357</v>
      </c>
      <c r="I10" s="992" t="s">
        <v>355</v>
      </c>
      <c r="J10" s="995" t="s">
        <v>104</v>
      </c>
      <c r="K10" s="1001" t="s">
        <v>382</v>
      </c>
      <c r="L10" s="995" t="s">
        <v>105</v>
      </c>
      <c r="M10" s="1001" t="s">
        <v>385</v>
      </c>
      <c r="N10" s="995" t="s">
        <v>105</v>
      </c>
      <c r="O10" s="1001" t="s">
        <v>388</v>
      </c>
      <c r="P10" s="995" t="s">
        <v>105</v>
      </c>
      <c r="Q10" s="1001" t="s">
        <v>391</v>
      </c>
      <c r="R10" s="995" t="s">
        <v>105</v>
      </c>
      <c r="S10" s="1001" t="s">
        <v>394</v>
      </c>
      <c r="T10" s="995" t="s">
        <v>105</v>
      </c>
    </row>
    <row r="11" spans="1:21">
      <c r="A11" s="372" t="s">
        <v>15</v>
      </c>
      <c r="B11" s="373"/>
      <c r="C11" s="374"/>
      <c r="D11" s="375"/>
      <c r="E11" s="376"/>
      <c r="F11" s="377"/>
      <c r="G11" s="378"/>
      <c r="H11" s="379"/>
      <c r="I11" s="379"/>
      <c r="J11" s="380"/>
      <c r="K11" s="378"/>
      <c r="L11" s="381"/>
      <c r="M11" s="378"/>
      <c r="N11" s="381"/>
      <c r="O11" s="378"/>
      <c r="P11" s="381"/>
      <c r="Q11" s="378"/>
      <c r="R11" s="381"/>
      <c r="S11" s="378"/>
      <c r="T11" s="381"/>
    </row>
    <row r="12" spans="1:21" ht="13.5" hidden="1" customHeight="1">
      <c r="A12" s="19"/>
      <c r="B12" s="1079" t="s">
        <v>263</v>
      </c>
      <c r="C12" s="382" t="s">
        <v>16</v>
      </c>
      <c r="D12" s="383"/>
      <c r="E12" s="384"/>
      <c r="F12" s="385"/>
      <c r="G12" s="386"/>
      <c r="H12" s="387"/>
      <c r="I12" s="387"/>
      <c r="J12" s="388"/>
      <c r="K12" s="386"/>
      <c r="L12" s="389"/>
      <c r="M12" s="386"/>
      <c r="N12" s="389"/>
      <c r="O12" s="386"/>
      <c r="P12" s="389"/>
      <c r="Q12" s="386"/>
      <c r="R12" s="389"/>
      <c r="S12" s="386"/>
      <c r="T12" s="389"/>
    </row>
    <row r="13" spans="1:21" ht="13.5" hidden="1" customHeight="1">
      <c r="A13" s="19"/>
      <c r="B13" s="1083"/>
      <c r="C13" s="382" t="s">
        <v>17</v>
      </c>
      <c r="D13" s="383"/>
      <c r="E13" s="384"/>
      <c r="F13" s="385"/>
      <c r="G13" s="390"/>
      <c r="H13" s="391"/>
      <c r="I13" s="391"/>
      <c r="J13" s="392"/>
      <c r="K13" s="390"/>
      <c r="L13" s="393"/>
      <c r="M13" s="390"/>
      <c r="N13" s="393"/>
      <c r="O13" s="390"/>
      <c r="P13" s="393"/>
      <c r="Q13" s="390"/>
      <c r="R13" s="393"/>
      <c r="S13" s="390"/>
      <c r="T13" s="393"/>
    </row>
    <row r="14" spans="1:21">
      <c r="A14" s="19"/>
      <c r="B14" s="1079" t="s">
        <v>18</v>
      </c>
      <c r="C14" s="382" t="s">
        <v>16</v>
      </c>
      <c r="D14" s="383" t="n">
        <v>0.0</v>
      </c>
      <c r="E14" s="384" t="n">
        <v>0.0</v>
      </c>
      <c r="F14" s="385" t="n">
        <v>0.0</v>
      </c>
      <c r="G14" s="394" t="n">
        <v>0.0</v>
      </c>
      <c r="H14" s="384" t="n">
        <v>0.0</v>
      </c>
      <c r="I14" s="384" t="n">
        <v>0.0</v>
      </c>
      <c r="J14" s="395" t="str">
        <f t="shared" ref="J14:J24" si="0">IFERROR(SUM(G14:I14)/3/F14,"－")</f>
        <v>－</v>
      </c>
      <c r="K14" s="394" t="n">
        <v>0.0</v>
      </c>
      <c r="L14" s="396" t="str">
        <f t="shared" ref="L14:L24" si="1">IFERROR(K14/F14,"－")</f>
        <v>－</v>
      </c>
      <c r="M14" s="394" t="n">
        <v>0.0</v>
      </c>
      <c r="N14" s="396" t="str">
        <f>IFERROR(M14/F14,"－")</f>
        <v>－</v>
      </c>
      <c r="O14" s="394" t="n">
        <v>0.0</v>
      </c>
      <c r="P14" s="396" t="str">
        <f>IFERROR(O14/F14,"－")</f>
        <v>－</v>
      </c>
      <c r="Q14" s="394" t="n">
        <v>0.0</v>
      </c>
      <c r="R14" s="396" t="str">
        <f>IFERROR(Q14/F14,"－")</f>
        <v>－</v>
      </c>
      <c r="S14" s="394" t="n">
        <v>0.0</v>
      </c>
      <c r="T14" s="396" t="str">
        <f>IFERROR(S14/F14,"－")</f>
        <v>－</v>
      </c>
    </row>
    <row r="15" spans="1:21">
      <c r="A15" s="19"/>
      <c r="B15" s="1080"/>
      <c r="C15" s="382" t="s">
        <v>19</v>
      </c>
      <c r="D15" s="397" t="n">
        <v>0.0</v>
      </c>
      <c r="E15" s="398" t="n">
        <v>0.0</v>
      </c>
      <c r="F15" s="399" t="n">
        <v>0.0</v>
      </c>
      <c r="G15" s="400" t="n">
        <v>0.0</v>
      </c>
      <c r="H15" s="398" t="n">
        <v>0.0</v>
      </c>
      <c r="I15" s="398" t="n">
        <v>0.0</v>
      </c>
      <c r="J15" s="395" t="str">
        <f t="shared" si="0"/>
        <v>－</v>
      </c>
      <c r="K15" s="400" t="n">
        <v>0.0</v>
      </c>
      <c r="L15" s="396" t="str">
        <f t="shared" si="1"/>
        <v>－</v>
      </c>
      <c r="M15" s="400" t="n">
        <v>0.0</v>
      </c>
      <c r="N15" s="396" t="str">
        <f t="shared" ref="N15:N59" si="2">IFERROR(M15/F15,"－")</f>
        <v>－</v>
      </c>
      <c r="O15" s="400" t="n">
        <v>0.0</v>
      </c>
      <c r="P15" s="396" t="str">
        <f t="shared" ref="P15:P59" si="3">IFERROR(O15/F15,"－")</f>
        <v>－</v>
      </c>
      <c r="Q15" s="400" t="n">
        <v>0.0</v>
      </c>
      <c r="R15" s="396" t="str">
        <f t="shared" ref="R15:R59" si="4">IFERROR(Q15/F15,"－")</f>
        <v>－</v>
      </c>
      <c r="S15" s="400" t="n">
        <v>0.0</v>
      </c>
      <c r="T15" s="396" t="str">
        <f t="shared" ref="T15:T47" si="5">IFERROR(S15/F15,"－")</f>
        <v>－</v>
      </c>
    </row>
    <row r="16" spans="1:21">
      <c r="A16" s="19"/>
      <c r="B16" s="726"/>
      <c r="C16" s="382" t="s">
        <v>17</v>
      </c>
      <c r="D16" s="383" t="n">
        <v>0.0</v>
      </c>
      <c r="E16" s="384" t="n">
        <v>0.0</v>
      </c>
      <c r="F16" s="385" t="n">
        <v>0.0</v>
      </c>
      <c r="G16" s="394" t="n">
        <v>0.0</v>
      </c>
      <c r="H16" s="384" t="n">
        <v>0.0</v>
      </c>
      <c r="I16" s="384" t="n">
        <v>0.0</v>
      </c>
      <c r="J16" s="395" t="str">
        <f t="shared" si="0"/>
        <v>－</v>
      </c>
      <c r="K16" s="394" t="n">
        <v>0.0</v>
      </c>
      <c r="L16" s="396" t="str">
        <f t="shared" si="1"/>
        <v>－</v>
      </c>
      <c r="M16" s="394" t="n">
        <v>0.0</v>
      </c>
      <c r="N16" s="396" t="str">
        <f t="shared" si="2"/>
        <v>－</v>
      </c>
      <c r="O16" s="394" t="n">
        <v>0.0</v>
      </c>
      <c r="P16" s="396" t="str">
        <f t="shared" si="3"/>
        <v>－</v>
      </c>
      <c r="Q16" s="394" t="n">
        <v>0.0</v>
      </c>
      <c r="R16" s="396" t="str">
        <f t="shared" si="4"/>
        <v>－</v>
      </c>
      <c r="S16" s="394" t="n">
        <v>0.0</v>
      </c>
      <c r="T16" s="396" t="str">
        <f t="shared" si="5"/>
        <v>－</v>
      </c>
    </row>
    <row r="17" spans="1:20">
      <c r="A17" s="19"/>
      <c r="B17" s="1079" t="s">
        <v>20</v>
      </c>
      <c r="C17" s="382" t="s">
        <v>16</v>
      </c>
      <c r="D17" s="383" t="n">
        <v>1482.8609999999999</v>
      </c>
      <c r="E17" s="384" t="n">
        <v>2440.404</v>
      </c>
      <c r="F17" s="385" t="n">
        <v>2586.5952</v>
      </c>
      <c r="G17" s="401" t="n">
        <v>2587.0</v>
      </c>
      <c r="H17" s="402" t="n">
        <v>2587.0</v>
      </c>
      <c r="I17" s="402" t="n">
        <v>2587.0</v>
      </c>
      <c r="J17" s="403" t="n">
        <f t="shared" si="0"/>
        <v>1.0001564991692553</v>
      </c>
      <c r="K17" s="401" t="n">
        <v>2587.0</v>
      </c>
      <c r="L17" s="404" t="n">
        <f t="shared" si="1"/>
        <v>1.0001564991692553</v>
      </c>
      <c r="M17" s="401" t="n">
        <v>2587.0</v>
      </c>
      <c r="N17" s="404" t="n">
        <f t="shared" si="2"/>
        <v>1.0001564991692553</v>
      </c>
      <c r="O17" s="401" t="n">
        <v>2914.0</v>
      </c>
      <c r="P17" s="404" t="n">
        <f t="shared" si="3"/>
        <v>1.1265775178118322</v>
      </c>
      <c r="Q17" s="401" t="n">
        <v>2587.0</v>
      </c>
      <c r="R17" s="404" t="n">
        <f t="shared" si="4"/>
        <v>1.0001564991692553</v>
      </c>
      <c r="S17" s="401" t="n">
        <v>2587.0</v>
      </c>
      <c r="T17" s="396" t="n">
        <f t="shared" si="5"/>
        <v>1.0001564991692553</v>
      </c>
    </row>
    <row r="18" spans="1:20">
      <c r="A18" s="19"/>
      <c r="B18" s="1080"/>
      <c r="C18" s="382" t="s">
        <v>19</v>
      </c>
      <c r="D18" s="397" t="n">
        <v>17.416666666666668</v>
      </c>
      <c r="E18" s="398" t="n">
        <v>32.25</v>
      </c>
      <c r="F18" s="399" t="n">
        <v>35.0</v>
      </c>
      <c r="G18" s="400" t="n">
        <v>35.0</v>
      </c>
      <c r="H18" s="398" t="n">
        <v>35.0</v>
      </c>
      <c r="I18" s="398" t="n">
        <v>35.0</v>
      </c>
      <c r="J18" s="405" t="n">
        <f t="shared" si="0"/>
        <v>1.0</v>
      </c>
      <c r="K18" s="400" t="n">
        <v>35.0</v>
      </c>
      <c r="L18" s="396" t="n">
        <f t="shared" si="1"/>
        <v>1.0</v>
      </c>
      <c r="M18" s="400" t="n">
        <v>35.0</v>
      </c>
      <c r="N18" s="396" t="n">
        <f t="shared" si="2"/>
        <v>1.0</v>
      </c>
      <c r="O18" s="400" t="n">
        <v>39.6</v>
      </c>
      <c r="P18" s="396" t="n">
        <f t="shared" si="3"/>
        <v>1.1314285714285715</v>
      </c>
      <c r="Q18" s="400" t="n">
        <v>35.0</v>
      </c>
      <c r="R18" s="396" t="n">
        <f t="shared" si="4"/>
        <v>1.0</v>
      </c>
      <c r="S18" s="400" t="n">
        <v>35.0</v>
      </c>
      <c r="T18" s="396" t="n">
        <f t="shared" si="5"/>
        <v>1.0</v>
      </c>
    </row>
    <row r="19" spans="1:20">
      <c r="A19" s="19"/>
      <c r="B19" s="726"/>
      <c r="C19" s="382" t="s">
        <v>17</v>
      </c>
      <c r="D19" s="383" t="n">
        <v>4.0</v>
      </c>
      <c r="E19" s="384" t="n">
        <v>7.583333333333333</v>
      </c>
      <c r="F19" s="385" t="n">
        <v>9.0</v>
      </c>
      <c r="G19" s="394" t="n">
        <v>9.0</v>
      </c>
      <c r="H19" s="384" t="n">
        <v>9.0</v>
      </c>
      <c r="I19" s="384" t="n">
        <v>9.0</v>
      </c>
      <c r="J19" s="395" t="n">
        <f t="shared" si="0"/>
        <v>1.0</v>
      </c>
      <c r="K19" s="394" t="n">
        <v>9.0</v>
      </c>
      <c r="L19" s="396" t="n">
        <f t="shared" si="1"/>
        <v>1.0</v>
      </c>
      <c r="M19" s="394" t="n">
        <v>9.0</v>
      </c>
      <c r="N19" s="396" t="n">
        <f t="shared" si="2"/>
        <v>1.0</v>
      </c>
      <c r="O19" s="394" t="n">
        <v>10.0</v>
      </c>
      <c r="P19" s="396" t="n">
        <f t="shared" si="3"/>
        <v>1.1111111111111112</v>
      </c>
      <c r="Q19" s="394" t="n">
        <v>9.0</v>
      </c>
      <c r="R19" s="396" t="n">
        <f t="shared" si="4"/>
        <v>1.0</v>
      </c>
      <c r="S19" s="394" t="n">
        <v>9.0</v>
      </c>
      <c r="T19" s="396" t="n">
        <f t="shared" si="5"/>
        <v>1.0</v>
      </c>
    </row>
    <row r="20" spans="1:20">
      <c r="A20" s="19"/>
      <c r="B20" s="1079" t="s">
        <v>21</v>
      </c>
      <c r="C20" s="382" t="s">
        <v>16</v>
      </c>
      <c r="D20" s="383" t="n">
        <v>0.0</v>
      </c>
      <c r="E20" s="384" t="n">
        <v>0.0</v>
      </c>
      <c r="F20" s="385" t="n">
        <v>0.0</v>
      </c>
      <c r="G20" s="401" t="n">
        <v>0.0</v>
      </c>
      <c r="H20" s="402" t="n">
        <v>0.0</v>
      </c>
      <c r="I20" s="402" t="n">
        <v>0.0</v>
      </c>
      <c r="J20" s="403" t="str">
        <f t="shared" si="0"/>
        <v>－</v>
      </c>
      <c r="K20" s="401" t="n">
        <v>0.0</v>
      </c>
      <c r="L20" s="404" t="str">
        <f t="shared" si="1"/>
        <v>－</v>
      </c>
      <c r="M20" s="401" t="n">
        <v>0.0</v>
      </c>
      <c r="N20" s="404" t="str">
        <f t="shared" si="2"/>
        <v>－</v>
      </c>
      <c r="O20" s="401" t="n">
        <v>0.0</v>
      </c>
      <c r="P20" s="404" t="str">
        <f t="shared" si="3"/>
        <v>－</v>
      </c>
      <c r="Q20" s="401" t="n">
        <v>0.0</v>
      </c>
      <c r="R20" s="404" t="str">
        <f t="shared" si="4"/>
        <v>－</v>
      </c>
      <c r="S20" s="401" t="n">
        <v>0.0</v>
      </c>
      <c r="T20" s="396" t="str">
        <f t="shared" si="5"/>
        <v>－</v>
      </c>
    </row>
    <row r="21" spans="1:20">
      <c r="A21" s="19"/>
      <c r="B21" s="1080"/>
      <c r="C21" s="382" t="s">
        <v>19</v>
      </c>
      <c r="D21" s="397" t="n">
        <v>0.0</v>
      </c>
      <c r="E21" s="398" t="n">
        <v>0.0</v>
      </c>
      <c r="F21" s="399" t="n">
        <v>0.0</v>
      </c>
      <c r="G21" s="400" t="n">
        <v>0.0</v>
      </c>
      <c r="H21" s="398" t="n">
        <v>0.0</v>
      </c>
      <c r="I21" s="398" t="n">
        <v>0.0</v>
      </c>
      <c r="J21" s="395" t="str">
        <f t="shared" si="0"/>
        <v>－</v>
      </c>
      <c r="K21" s="400" t="n">
        <v>0.0</v>
      </c>
      <c r="L21" s="396" t="str">
        <f t="shared" si="1"/>
        <v>－</v>
      </c>
      <c r="M21" s="400" t="n">
        <v>0.0</v>
      </c>
      <c r="N21" s="396" t="str">
        <f t="shared" si="2"/>
        <v>－</v>
      </c>
      <c r="O21" s="400" t="n">
        <v>0.0</v>
      </c>
      <c r="P21" s="396" t="str">
        <f t="shared" si="3"/>
        <v>－</v>
      </c>
      <c r="Q21" s="400" t="n">
        <v>0.0</v>
      </c>
      <c r="R21" s="396" t="str">
        <f t="shared" si="4"/>
        <v>－</v>
      </c>
      <c r="S21" s="400" t="n">
        <v>0.0</v>
      </c>
      <c r="T21" s="396" t="str">
        <f t="shared" si="5"/>
        <v>－</v>
      </c>
    </row>
    <row r="22" spans="1:20">
      <c r="A22" s="19"/>
      <c r="B22" s="726"/>
      <c r="C22" s="382" t="s">
        <v>17</v>
      </c>
      <c r="D22" s="383" t="n">
        <v>0.0</v>
      </c>
      <c r="E22" s="384" t="n">
        <v>0.0</v>
      </c>
      <c r="F22" s="385" t="n">
        <v>0.0</v>
      </c>
      <c r="G22" s="394" t="n">
        <v>0.0</v>
      </c>
      <c r="H22" s="384" t="n">
        <v>0.0</v>
      </c>
      <c r="I22" s="384" t="n">
        <v>0.0</v>
      </c>
      <c r="J22" s="395" t="str">
        <f t="shared" si="0"/>
        <v>－</v>
      </c>
      <c r="K22" s="394" t="n">
        <v>0.0</v>
      </c>
      <c r="L22" s="396" t="str">
        <f t="shared" si="1"/>
        <v>－</v>
      </c>
      <c r="M22" s="394" t="n">
        <v>0.0</v>
      </c>
      <c r="N22" s="396" t="str">
        <f t="shared" si="2"/>
        <v>－</v>
      </c>
      <c r="O22" s="394" t="n">
        <v>0.0</v>
      </c>
      <c r="P22" s="396" t="str">
        <f t="shared" si="3"/>
        <v>－</v>
      </c>
      <c r="Q22" s="394" t="n">
        <v>0.0</v>
      </c>
      <c r="R22" s="396" t="str">
        <f t="shared" si="4"/>
        <v>－</v>
      </c>
      <c r="S22" s="394" t="n">
        <v>0.0</v>
      </c>
      <c r="T22" s="396" t="str">
        <f t="shared" si="5"/>
        <v>－</v>
      </c>
    </row>
    <row r="23" spans="1:20">
      <c r="A23" s="19"/>
      <c r="B23" s="1079" t="s">
        <v>22</v>
      </c>
      <c r="C23" s="382" t="s">
        <v>16</v>
      </c>
      <c r="D23" s="383" t="n">
        <v>129.6</v>
      </c>
      <c r="E23" s="384" t="n">
        <v>130.032</v>
      </c>
      <c r="F23" s="385" t="n">
        <v>130.032</v>
      </c>
      <c r="G23" s="401" t="n">
        <v>130.0</v>
      </c>
      <c r="H23" s="402" t="n">
        <v>130.0</v>
      </c>
      <c r="I23" s="402" t="n">
        <v>130.0</v>
      </c>
      <c r="J23" s="403" t="n">
        <f t="shared" si="0"/>
        <v>0.9997539067306508</v>
      </c>
      <c r="K23" s="401" t="n">
        <v>130.0</v>
      </c>
      <c r="L23" s="404" t="n">
        <f t="shared" si="1"/>
        <v>0.9997539067306508</v>
      </c>
      <c r="M23" s="401" t="n">
        <v>130.0</v>
      </c>
      <c r="N23" s="404" t="n">
        <f t="shared" si="2"/>
        <v>0.9997539067306508</v>
      </c>
      <c r="O23" s="401" t="n">
        <v>130.0</v>
      </c>
      <c r="P23" s="404" t="n">
        <f t="shared" si="3"/>
        <v>0.9997539067306508</v>
      </c>
      <c r="Q23" s="401" t="n">
        <v>130.0</v>
      </c>
      <c r="R23" s="404" t="n">
        <f t="shared" si="4"/>
        <v>0.9997539067306508</v>
      </c>
      <c r="S23" s="401" t="n">
        <v>130.0</v>
      </c>
      <c r="T23" s="396" t="n">
        <f t="shared" si="5"/>
        <v>0.9997539067306508</v>
      </c>
    </row>
    <row r="24" spans="1:20">
      <c r="A24" s="19"/>
      <c r="B24" s="1083"/>
      <c r="C24" s="382" t="s">
        <v>17</v>
      </c>
      <c r="D24" s="383" t="n">
        <v>1.0</v>
      </c>
      <c r="E24" s="384" t="n">
        <v>1.0</v>
      </c>
      <c r="F24" s="385" t="n">
        <v>1.0</v>
      </c>
      <c r="G24" s="394" t="n">
        <v>1.0</v>
      </c>
      <c r="H24" s="384" t="n">
        <v>1.0</v>
      </c>
      <c r="I24" s="384" t="n">
        <v>1.0</v>
      </c>
      <c r="J24" s="395" t="n">
        <f t="shared" si="0"/>
        <v>1.0</v>
      </c>
      <c r="K24" s="394" t="n">
        <v>1.0</v>
      </c>
      <c r="L24" s="396" t="n">
        <f t="shared" si="1"/>
        <v>1.0</v>
      </c>
      <c r="M24" s="394" t="n">
        <v>1.0</v>
      </c>
      <c r="N24" s="396" t="n">
        <f t="shared" si="2"/>
        <v>1.0</v>
      </c>
      <c r="O24" s="394" t="n">
        <v>1.0</v>
      </c>
      <c r="P24" s="396" t="n">
        <f t="shared" si="3"/>
        <v>1.0</v>
      </c>
      <c r="Q24" s="394" t="n">
        <v>1.0</v>
      </c>
      <c r="R24" s="396" t="n">
        <f t="shared" si="4"/>
        <v>1.0</v>
      </c>
      <c r="S24" s="394" t="n">
        <v>1.0</v>
      </c>
      <c r="T24" s="396" t="n">
        <f t="shared" si="5"/>
        <v>1.0</v>
      </c>
    </row>
    <row r="25" spans="1:20" hidden="1">
      <c r="A25" s="19"/>
      <c r="B25" s="1079" t="s">
        <v>263</v>
      </c>
      <c r="C25" s="382" t="s">
        <v>16</v>
      </c>
      <c r="D25" s="383"/>
      <c r="E25" s="384"/>
      <c r="F25" s="385"/>
      <c r="G25" s="406"/>
      <c r="H25" s="407"/>
      <c r="I25" s="407"/>
      <c r="J25" s="408"/>
      <c r="K25" s="406"/>
      <c r="L25" s="409"/>
      <c r="M25" s="406"/>
      <c r="N25" s="409" t="str">
        <f t="shared" si="2"/>
        <v>－</v>
      </c>
      <c r="O25" s="406"/>
      <c r="P25" s="409" t="str">
        <f t="shared" si="3"/>
        <v>－</v>
      </c>
      <c r="Q25" s="406"/>
      <c r="R25" s="409" t="str">
        <f t="shared" si="4"/>
        <v>－</v>
      </c>
      <c r="S25" s="406"/>
      <c r="T25" s="396" t="str">
        <f t="shared" si="5"/>
        <v>－</v>
      </c>
    </row>
    <row r="26" spans="1:20" hidden="1">
      <c r="A26" s="19"/>
      <c r="B26" s="1091"/>
      <c r="C26" s="382" t="s">
        <v>17</v>
      </c>
      <c r="D26" s="383"/>
      <c r="E26" s="384"/>
      <c r="F26" s="385"/>
      <c r="G26" s="390"/>
      <c r="H26" s="391"/>
      <c r="I26" s="391"/>
      <c r="J26" s="410"/>
      <c r="K26" s="390"/>
      <c r="L26" s="411"/>
      <c r="M26" s="390"/>
      <c r="N26" s="411" t="str">
        <f t="shared" si="2"/>
        <v>－</v>
      </c>
      <c r="O26" s="390"/>
      <c r="P26" s="411" t="str">
        <f t="shared" si="3"/>
        <v>－</v>
      </c>
      <c r="Q26" s="390"/>
      <c r="R26" s="411" t="str">
        <f t="shared" si="4"/>
        <v>－</v>
      </c>
      <c r="S26" s="390"/>
      <c r="T26" s="396" t="str">
        <f t="shared" si="5"/>
        <v>－</v>
      </c>
    </row>
    <row r="27" spans="1:20">
      <c r="A27" s="19"/>
      <c r="B27" s="1079" t="s">
        <v>23</v>
      </c>
      <c r="C27" s="382" t="s">
        <v>16</v>
      </c>
      <c r="D27" s="383" t="n">
        <v>10928.24</v>
      </c>
      <c r="E27" s="384" t="n">
        <v>11688.624</v>
      </c>
      <c r="F27" s="385" t="n">
        <v>12827.94</v>
      </c>
      <c r="G27" s="401" t="n">
        <v>12366.0</v>
      </c>
      <c r="H27" s="402" t="n">
        <v>12366.0</v>
      </c>
      <c r="I27" s="402" t="n">
        <v>12366.0</v>
      </c>
      <c r="J27" s="403" t="n">
        <f t="shared" ref="J27:J46" si="6">IFERROR(SUM(G27:I27)/3/F27,"－")</f>
        <v>0.9639895415787726</v>
      </c>
      <c r="K27" s="401" t="n">
        <v>12366.0</v>
      </c>
      <c r="L27" s="404" t="n">
        <f t="shared" ref="L27:L47" si="7">IFERROR(K27/F27,"－")</f>
        <v>0.9639895415787726</v>
      </c>
      <c r="M27" s="401" t="n">
        <v>13290.0</v>
      </c>
      <c r="N27" s="404" t="n">
        <f t="shared" si="2"/>
        <v>1.0360198130019316</v>
      </c>
      <c r="O27" s="401" t="n">
        <v>14469.0</v>
      </c>
      <c r="P27" s="404" t="n">
        <f t="shared" si="3"/>
        <v>1.127928568421742</v>
      </c>
      <c r="Q27" s="401" t="n">
        <v>14007.0</v>
      </c>
      <c r="R27" s="404" t="n">
        <f t="shared" si="4"/>
        <v>1.0919134327101623</v>
      </c>
      <c r="S27" s="401" t="n">
        <v>12828.0</v>
      </c>
      <c r="T27" s="396" t="n">
        <f t="shared" si="5"/>
        <v>1.0000046772903521</v>
      </c>
    </row>
    <row r="28" spans="1:20">
      <c r="A28" s="19"/>
      <c r="B28" s="1083"/>
      <c r="C28" s="382" t="s">
        <v>17</v>
      </c>
      <c r="D28" s="383" t="n">
        <v>23.333333333333332</v>
      </c>
      <c r="E28" s="384" t="n">
        <v>27.0</v>
      </c>
      <c r="F28" s="385" t="n">
        <v>30.0</v>
      </c>
      <c r="G28" s="394" t="n">
        <v>29.0</v>
      </c>
      <c r="H28" s="384" t="n">
        <v>29.0</v>
      </c>
      <c r="I28" s="384" t="n">
        <v>29.0</v>
      </c>
      <c r="J28" s="395" t="n">
        <f t="shared" si="6"/>
        <v>0.9666666666666667</v>
      </c>
      <c r="K28" s="394" t="n">
        <v>29.0</v>
      </c>
      <c r="L28" s="396" t="n">
        <f t="shared" si="7"/>
        <v>0.9666666666666667</v>
      </c>
      <c r="M28" s="394" t="n">
        <v>31.0</v>
      </c>
      <c r="N28" s="396" t="n">
        <f t="shared" si="2"/>
        <v>1.0333333333333334</v>
      </c>
      <c r="O28" s="394" t="n">
        <v>34.0</v>
      </c>
      <c r="P28" s="396" t="n">
        <f t="shared" si="3"/>
        <v>1.1333333333333333</v>
      </c>
      <c r="Q28" s="394" t="n">
        <v>33.0</v>
      </c>
      <c r="R28" s="396" t="n">
        <f t="shared" si="4"/>
        <v>1.1</v>
      </c>
      <c r="S28" s="394" t="n">
        <v>30.0</v>
      </c>
      <c r="T28" s="396" t="n">
        <f t="shared" si="5"/>
        <v>1.0</v>
      </c>
    </row>
    <row r="29" spans="1:20">
      <c r="A29" s="19"/>
      <c r="B29" s="1079" t="s">
        <v>24</v>
      </c>
      <c r="C29" s="382" t="s">
        <v>16</v>
      </c>
      <c r="D29" s="383" t="n">
        <v>93.482</v>
      </c>
      <c r="E29" s="384" t="n">
        <v>267.862</v>
      </c>
      <c r="F29" s="385" t="n">
        <v>0.0</v>
      </c>
      <c r="G29" s="401" t="n">
        <v>0.0</v>
      </c>
      <c r="H29" s="402" t="n">
        <v>0.0</v>
      </c>
      <c r="I29" s="402" t="n">
        <v>0.0</v>
      </c>
      <c r="J29" s="403" t="str">
        <f t="shared" si="6"/>
        <v>－</v>
      </c>
      <c r="K29" s="401" t="n">
        <v>0.0</v>
      </c>
      <c r="L29" s="404" t="str">
        <f t="shared" si="7"/>
        <v>－</v>
      </c>
      <c r="M29" s="401" t="n">
        <v>0.0</v>
      </c>
      <c r="N29" s="404" t="str">
        <f t="shared" si="2"/>
        <v>－</v>
      </c>
      <c r="O29" s="401" t="n">
        <v>0.0</v>
      </c>
      <c r="P29" s="404" t="str">
        <f t="shared" si="3"/>
        <v>－</v>
      </c>
      <c r="Q29" s="401" t="n">
        <v>0.0</v>
      </c>
      <c r="R29" s="404" t="str">
        <f t="shared" si="4"/>
        <v>－</v>
      </c>
      <c r="S29" s="401" t="n">
        <v>0.0</v>
      </c>
      <c r="T29" s="396" t="str">
        <f t="shared" si="5"/>
        <v>－</v>
      </c>
    </row>
    <row r="30" spans="1:20">
      <c r="A30" s="19"/>
      <c r="B30" s="1080"/>
      <c r="C30" s="382" t="s">
        <v>25</v>
      </c>
      <c r="D30" s="397" t="n">
        <v>1.25</v>
      </c>
      <c r="E30" s="398" t="n">
        <v>3.1666666666666665</v>
      </c>
      <c r="F30" s="399" t="n">
        <v>0.0</v>
      </c>
      <c r="G30" s="400" t="n">
        <v>0.0</v>
      </c>
      <c r="H30" s="398" t="n">
        <v>0.0</v>
      </c>
      <c r="I30" s="398" t="n">
        <v>0.0</v>
      </c>
      <c r="J30" s="395" t="str">
        <f t="shared" si="6"/>
        <v>－</v>
      </c>
      <c r="K30" s="400" t="n">
        <v>0.0</v>
      </c>
      <c r="L30" s="396" t="str">
        <f t="shared" si="7"/>
        <v>－</v>
      </c>
      <c r="M30" s="400" t="n">
        <v>0.0</v>
      </c>
      <c r="N30" s="396" t="str">
        <f t="shared" si="2"/>
        <v>－</v>
      </c>
      <c r="O30" s="400" t="n">
        <v>0.0</v>
      </c>
      <c r="P30" s="396" t="str">
        <f t="shared" si="3"/>
        <v>－</v>
      </c>
      <c r="Q30" s="400" t="n">
        <v>0.0</v>
      </c>
      <c r="R30" s="396" t="str">
        <f t="shared" si="4"/>
        <v>－</v>
      </c>
      <c r="S30" s="400" t="n">
        <v>0.0</v>
      </c>
      <c r="T30" s="396" t="str">
        <f t="shared" si="5"/>
        <v>－</v>
      </c>
    </row>
    <row r="31" spans="1:20">
      <c r="A31" s="19"/>
      <c r="B31" s="724"/>
      <c r="C31" s="382" t="s">
        <v>17</v>
      </c>
      <c r="D31" s="383" t="n">
        <v>0.3333333333333333</v>
      </c>
      <c r="E31" s="384" t="n">
        <v>0.75</v>
      </c>
      <c r="F31" s="385" t="n">
        <v>0.0</v>
      </c>
      <c r="G31" s="394" t="n">
        <v>0.0</v>
      </c>
      <c r="H31" s="384" t="n">
        <v>0.0</v>
      </c>
      <c r="I31" s="384" t="n">
        <v>0.0</v>
      </c>
      <c r="J31" s="395" t="str">
        <f t="shared" si="6"/>
        <v>－</v>
      </c>
      <c r="K31" s="394" t="n">
        <v>0.0</v>
      </c>
      <c r="L31" s="396" t="str">
        <f t="shared" si="7"/>
        <v>－</v>
      </c>
      <c r="M31" s="394" t="n">
        <v>0.0</v>
      </c>
      <c r="N31" s="396" t="str">
        <f t="shared" si="2"/>
        <v>－</v>
      </c>
      <c r="O31" s="394" t="n">
        <v>0.0</v>
      </c>
      <c r="P31" s="396" t="str">
        <f t="shared" si="3"/>
        <v>－</v>
      </c>
      <c r="Q31" s="394" t="n">
        <v>0.0</v>
      </c>
      <c r="R31" s="396" t="str">
        <f t="shared" si="4"/>
        <v>－</v>
      </c>
      <c r="S31" s="394" t="n">
        <v>0.0</v>
      </c>
      <c r="T31" s="396" t="str">
        <f t="shared" si="5"/>
        <v>－</v>
      </c>
    </row>
    <row r="32" spans="1:20">
      <c r="A32" s="19"/>
      <c r="B32" s="1081" t="s">
        <v>26</v>
      </c>
      <c r="C32" s="382" t="s">
        <v>16</v>
      </c>
      <c r="D32" s="383" t="n">
        <v>123.54</v>
      </c>
      <c r="E32" s="384" t="n">
        <v>0.0</v>
      </c>
      <c r="F32" s="385" t="n">
        <v>0.0</v>
      </c>
      <c r="G32" s="401" t="n">
        <v>0.0</v>
      </c>
      <c r="H32" s="402" t="n">
        <v>0.0</v>
      </c>
      <c r="I32" s="402" t="n">
        <v>0.0</v>
      </c>
      <c r="J32" s="403" t="str">
        <f t="shared" si="6"/>
        <v>－</v>
      </c>
      <c r="K32" s="401" t="n">
        <v>0.0</v>
      </c>
      <c r="L32" s="404" t="str">
        <f t="shared" si="7"/>
        <v>－</v>
      </c>
      <c r="M32" s="401" t="n">
        <v>0.0</v>
      </c>
      <c r="N32" s="404" t="str">
        <f t="shared" si="2"/>
        <v>－</v>
      </c>
      <c r="O32" s="401" t="n">
        <v>0.0</v>
      </c>
      <c r="P32" s="404" t="str">
        <f t="shared" si="3"/>
        <v>－</v>
      </c>
      <c r="Q32" s="401" t="n">
        <v>0.0</v>
      </c>
      <c r="R32" s="404" t="str">
        <f t="shared" si="4"/>
        <v>－</v>
      </c>
      <c r="S32" s="401" t="n">
        <v>0.0</v>
      </c>
      <c r="T32" s="396" t="str">
        <f t="shared" si="5"/>
        <v>－</v>
      </c>
    </row>
    <row r="33" spans="1:20">
      <c r="A33" s="19"/>
      <c r="B33" s="1082"/>
      <c r="C33" s="382" t="s">
        <v>25</v>
      </c>
      <c r="D33" s="397" t="n">
        <v>1.25</v>
      </c>
      <c r="E33" s="398" t="n">
        <v>0.0</v>
      </c>
      <c r="F33" s="399" t="n">
        <v>0.0</v>
      </c>
      <c r="G33" s="400" t="n">
        <v>0.0</v>
      </c>
      <c r="H33" s="398" t="n">
        <v>0.0</v>
      </c>
      <c r="I33" s="398" t="n">
        <v>0.0</v>
      </c>
      <c r="J33" s="395" t="str">
        <f t="shared" si="6"/>
        <v>－</v>
      </c>
      <c r="K33" s="400" t="n">
        <v>0.0</v>
      </c>
      <c r="L33" s="396" t="str">
        <f t="shared" si="7"/>
        <v>－</v>
      </c>
      <c r="M33" s="400" t="n">
        <v>0.0</v>
      </c>
      <c r="N33" s="396" t="str">
        <f t="shared" si="2"/>
        <v>－</v>
      </c>
      <c r="O33" s="400" t="n">
        <v>0.0</v>
      </c>
      <c r="P33" s="396" t="str">
        <f t="shared" si="3"/>
        <v>－</v>
      </c>
      <c r="Q33" s="400" t="n">
        <v>0.0</v>
      </c>
      <c r="R33" s="396" t="str">
        <f t="shared" si="4"/>
        <v>－</v>
      </c>
      <c r="S33" s="400" t="n">
        <v>0.0</v>
      </c>
      <c r="T33" s="396" t="str">
        <f t="shared" si="5"/>
        <v>－</v>
      </c>
    </row>
    <row r="34" spans="1:20">
      <c r="A34" s="19"/>
      <c r="B34" s="726"/>
      <c r="C34" s="382" t="s">
        <v>17</v>
      </c>
      <c r="D34" s="383" t="n">
        <v>0.16666666666666666</v>
      </c>
      <c r="E34" s="384" t="n">
        <v>0.0</v>
      </c>
      <c r="F34" s="385" t="n">
        <v>0.0</v>
      </c>
      <c r="G34" s="394" t="n">
        <v>0.0</v>
      </c>
      <c r="H34" s="384" t="n">
        <v>0.0</v>
      </c>
      <c r="I34" s="384" t="n">
        <v>0.0</v>
      </c>
      <c r="J34" s="395" t="str">
        <f t="shared" si="6"/>
        <v>－</v>
      </c>
      <c r="K34" s="394" t="n">
        <v>0.0</v>
      </c>
      <c r="L34" s="396" t="str">
        <f t="shared" si="7"/>
        <v>－</v>
      </c>
      <c r="M34" s="394" t="n">
        <v>0.0</v>
      </c>
      <c r="N34" s="396" t="str">
        <f t="shared" si="2"/>
        <v>－</v>
      </c>
      <c r="O34" s="394" t="n">
        <v>0.0</v>
      </c>
      <c r="P34" s="396" t="str">
        <f t="shared" si="3"/>
        <v>－</v>
      </c>
      <c r="Q34" s="394" t="n">
        <v>0.0</v>
      </c>
      <c r="R34" s="396" t="str">
        <f t="shared" si="4"/>
        <v>－</v>
      </c>
      <c r="S34" s="394" t="n">
        <v>0.0</v>
      </c>
      <c r="T34" s="396" t="str">
        <f t="shared" si="5"/>
        <v>－</v>
      </c>
    </row>
    <row r="35" spans="1:20">
      <c r="A35" s="19"/>
      <c r="B35" s="1081" t="s">
        <v>27</v>
      </c>
      <c r="C35" s="382" t="s">
        <v>16</v>
      </c>
      <c r="D35" s="383" t="n">
        <v>0.0</v>
      </c>
      <c r="E35" s="384" t="n">
        <v>0.0</v>
      </c>
      <c r="F35" s="385" t="n">
        <v>0.0</v>
      </c>
      <c r="G35" s="401" t="n">
        <v>0.0</v>
      </c>
      <c r="H35" s="402" t="n">
        <v>0.0</v>
      </c>
      <c r="I35" s="402" t="n">
        <v>0.0</v>
      </c>
      <c r="J35" s="395" t="str">
        <f t="shared" si="6"/>
        <v>－</v>
      </c>
      <c r="K35" s="401" t="n">
        <v>0.0</v>
      </c>
      <c r="L35" s="396" t="str">
        <f t="shared" si="7"/>
        <v>－</v>
      </c>
      <c r="M35" s="401" t="n">
        <v>0.0</v>
      </c>
      <c r="N35" s="396" t="str">
        <f t="shared" si="2"/>
        <v>－</v>
      </c>
      <c r="O35" s="401" t="n">
        <v>0.0</v>
      </c>
      <c r="P35" s="396" t="str">
        <f t="shared" si="3"/>
        <v>－</v>
      </c>
      <c r="Q35" s="401" t="n">
        <v>0.0</v>
      </c>
      <c r="R35" s="396" t="str">
        <f t="shared" si="4"/>
        <v>－</v>
      </c>
      <c r="S35" s="401" t="n">
        <v>0.0</v>
      </c>
      <c r="T35" s="396" t="str">
        <f t="shared" si="5"/>
        <v>－</v>
      </c>
    </row>
    <row r="36" spans="1:20">
      <c r="A36" s="19"/>
      <c r="B36" s="1082"/>
      <c r="C36" s="382" t="s">
        <v>25</v>
      </c>
      <c r="D36" s="397" t="n">
        <v>0.0</v>
      </c>
      <c r="E36" s="398" t="n">
        <v>0.0</v>
      </c>
      <c r="F36" s="399" t="n">
        <v>0.0</v>
      </c>
      <c r="G36" s="400" t="n">
        <v>0.0</v>
      </c>
      <c r="H36" s="398" t="n">
        <v>0.0</v>
      </c>
      <c r="I36" s="398" t="n">
        <v>0.0</v>
      </c>
      <c r="J36" s="395" t="str">
        <f t="shared" si="6"/>
        <v>－</v>
      </c>
      <c r="K36" s="400" t="n">
        <v>0.0</v>
      </c>
      <c r="L36" s="396" t="str">
        <f t="shared" si="7"/>
        <v>－</v>
      </c>
      <c r="M36" s="400" t="n">
        <v>0.0</v>
      </c>
      <c r="N36" s="396" t="str">
        <f t="shared" si="2"/>
        <v>－</v>
      </c>
      <c r="O36" s="400" t="n">
        <v>0.0</v>
      </c>
      <c r="P36" s="396" t="str">
        <f t="shared" si="3"/>
        <v>－</v>
      </c>
      <c r="Q36" s="400" t="n">
        <v>0.0</v>
      </c>
      <c r="R36" s="396" t="str">
        <f t="shared" si="4"/>
        <v>－</v>
      </c>
      <c r="S36" s="400" t="n">
        <v>0.0</v>
      </c>
      <c r="T36" s="396" t="str">
        <f t="shared" si="5"/>
        <v>－</v>
      </c>
    </row>
    <row r="37" spans="1:20">
      <c r="A37" s="19"/>
      <c r="B37" s="28"/>
      <c r="C37" s="382" t="s">
        <v>17</v>
      </c>
      <c r="D37" s="383" t="n">
        <v>0.0</v>
      </c>
      <c r="E37" s="384" t="n">
        <v>0.0</v>
      </c>
      <c r="F37" s="385" t="n">
        <v>0.0</v>
      </c>
      <c r="G37" s="394" t="n">
        <v>0.0</v>
      </c>
      <c r="H37" s="384" t="n">
        <v>0.0</v>
      </c>
      <c r="I37" s="384" t="n">
        <v>0.0</v>
      </c>
      <c r="J37" s="395" t="str">
        <f t="shared" si="6"/>
        <v>－</v>
      </c>
      <c r="K37" s="394" t="n">
        <v>0.0</v>
      </c>
      <c r="L37" s="396" t="str">
        <f t="shared" si="7"/>
        <v>－</v>
      </c>
      <c r="M37" s="394" t="n">
        <v>0.0</v>
      </c>
      <c r="N37" s="396" t="str">
        <f t="shared" si="2"/>
        <v>－</v>
      </c>
      <c r="O37" s="394" t="n">
        <v>0.0</v>
      </c>
      <c r="P37" s="396" t="str">
        <f t="shared" si="3"/>
        <v>－</v>
      </c>
      <c r="Q37" s="394" t="n">
        <v>0.0</v>
      </c>
      <c r="R37" s="396" t="str">
        <f t="shared" si="4"/>
        <v>－</v>
      </c>
      <c r="S37" s="394" t="n">
        <v>0.0</v>
      </c>
      <c r="T37" s="396" t="str">
        <f t="shared" si="5"/>
        <v>－</v>
      </c>
    </row>
    <row r="38" spans="1:20">
      <c r="A38" s="19"/>
      <c r="B38" s="1081" t="s">
        <v>265</v>
      </c>
      <c r="C38" s="412" t="s">
        <v>16</v>
      </c>
      <c r="D38" s="413" t="n">
        <v>0.0</v>
      </c>
      <c r="E38" s="384" t="n">
        <v>0.0</v>
      </c>
      <c r="F38" s="414" t="n">
        <v>0.0</v>
      </c>
      <c r="G38" s="401" t="n">
        <v>0.0</v>
      </c>
      <c r="H38" s="402" t="n">
        <v>0.0</v>
      </c>
      <c r="I38" s="402" t="n">
        <v>0.0</v>
      </c>
      <c r="J38" s="415" t="str">
        <f t="shared" si="6"/>
        <v>－</v>
      </c>
      <c r="K38" s="401" t="n">
        <v>0.0</v>
      </c>
      <c r="L38" s="416" t="str">
        <f t="shared" si="7"/>
        <v>－</v>
      </c>
      <c r="M38" s="401" t="n">
        <v>0.0</v>
      </c>
      <c r="N38" s="416" t="str">
        <f t="shared" si="2"/>
        <v>－</v>
      </c>
      <c r="O38" s="401" t="n">
        <v>0.0</v>
      </c>
      <c r="P38" s="416" t="str">
        <f t="shared" si="3"/>
        <v>－</v>
      </c>
      <c r="Q38" s="401" t="n">
        <v>0.0</v>
      </c>
      <c r="R38" s="416" t="str">
        <f t="shared" si="4"/>
        <v>－</v>
      </c>
      <c r="S38" s="401" t="n">
        <v>0.0</v>
      </c>
      <c r="T38" s="396" t="str">
        <f t="shared" si="5"/>
        <v>－</v>
      </c>
    </row>
    <row r="39" spans="1:20">
      <c r="A39" s="19"/>
      <c r="B39" s="1082"/>
      <c r="C39" s="412" t="s">
        <v>25</v>
      </c>
      <c r="D39" s="417" t="n">
        <v>0.0</v>
      </c>
      <c r="E39" s="398" t="n">
        <v>0.0</v>
      </c>
      <c r="F39" s="418" t="n">
        <v>0.0</v>
      </c>
      <c r="G39" s="400" t="n">
        <v>0.0</v>
      </c>
      <c r="H39" s="398" t="n">
        <v>0.0</v>
      </c>
      <c r="I39" s="398" t="n">
        <v>0.0</v>
      </c>
      <c r="J39" s="415" t="str">
        <f t="shared" si="6"/>
        <v>－</v>
      </c>
      <c r="K39" s="400" t="n">
        <v>0.0</v>
      </c>
      <c r="L39" s="416" t="str">
        <f t="shared" si="7"/>
        <v>－</v>
      </c>
      <c r="M39" s="400" t="n">
        <v>0.0</v>
      </c>
      <c r="N39" s="416" t="str">
        <f t="shared" si="2"/>
        <v>－</v>
      </c>
      <c r="O39" s="400" t="n">
        <v>0.0</v>
      </c>
      <c r="P39" s="416" t="str">
        <f t="shared" si="3"/>
        <v>－</v>
      </c>
      <c r="Q39" s="400" t="n">
        <v>0.0</v>
      </c>
      <c r="R39" s="416" t="str">
        <f t="shared" si="4"/>
        <v>－</v>
      </c>
      <c r="S39" s="400" t="n">
        <v>0.0</v>
      </c>
      <c r="T39" s="396" t="str">
        <f t="shared" si="5"/>
        <v>－</v>
      </c>
    </row>
    <row r="40" spans="1:20">
      <c r="A40" s="19"/>
      <c r="B40" s="28"/>
      <c r="C40" s="412" t="s">
        <v>17</v>
      </c>
      <c r="D40" s="413" t="n">
        <v>0.0</v>
      </c>
      <c r="E40" s="384" t="n">
        <v>0.0</v>
      </c>
      <c r="F40" s="414" t="n">
        <v>0.0</v>
      </c>
      <c r="G40" s="394" t="n">
        <v>0.0</v>
      </c>
      <c r="H40" s="384" t="n">
        <v>0.0</v>
      </c>
      <c r="I40" s="384" t="n">
        <v>0.0</v>
      </c>
      <c r="J40" s="415" t="str">
        <f t="shared" si="6"/>
        <v>－</v>
      </c>
      <c r="K40" s="394" t="n">
        <v>0.0</v>
      </c>
      <c r="L40" s="416" t="str">
        <f t="shared" si="7"/>
        <v>－</v>
      </c>
      <c r="M40" s="394" t="n">
        <v>0.0</v>
      </c>
      <c r="N40" s="416" t="str">
        <f t="shared" si="2"/>
        <v>－</v>
      </c>
      <c r="O40" s="394" t="n">
        <v>0.0</v>
      </c>
      <c r="P40" s="416" t="str">
        <f t="shared" si="3"/>
        <v>－</v>
      </c>
      <c r="Q40" s="394" t="n">
        <v>0.0</v>
      </c>
      <c r="R40" s="416" t="str">
        <f t="shared" si="4"/>
        <v>－</v>
      </c>
      <c r="S40" s="394" t="n">
        <v>0.0</v>
      </c>
      <c r="T40" s="396" t="str">
        <f t="shared" si="5"/>
        <v>－</v>
      </c>
    </row>
    <row r="41" spans="1:20">
      <c r="A41" s="19"/>
      <c r="B41" s="1079" t="s">
        <v>28</v>
      </c>
      <c r="C41" s="382" t="s">
        <v>16</v>
      </c>
      <c r="D41" s="383" t="n">
        <v>4813.444</v>
      </c>
      <c r="E41" s="384" t="n">
        <v>5888.97</v>
      </c>
      <c r="F41" s="385" t="n">
        <v>6907.296</v>
      </c>
      <c r="G41" s="401" t="n">
        <v>6919.0</v>
      </c>
      <c r="H41" s="402" t="n">
        <v>6802.0</v>
      </c>
      <c r="I41" s="402" t="n">
        <v>6802.0</v>
      </c>
      <c r="J41" s="395" t="n">
        <f t="shared" si="6"/>
        <v>0.990402032864959</v>
      </c>
      <c r="K41" s="401" t="n">
        <v>6802.0</v>
      </c>
      <c r="L41" s="396" t="n">
        <f t="shared" si="7"/>
        <v>0.984755829198575</v>
      </c>
      <c r="M41" s="401" t="n">
        <v>7233.0</v>
      </c>
      <c r="N41" s="396" t="n">
        <f t="shared" si="2"/>
        <v>1.047153618434768</v>
      </c>
      <c r="O41" s="401" t="n">
        <v>7664.0</v>
      </c>
      <c r="P41" s="396" t="n">
        <f t="shared" si="3"/>
        <v>1.1095514076709612</v>
      </c>
      <c r="Q41" s="401" t="n">
        <v>7676.0</v>
      </c>
      <c r="R41" s="396" t="n">
        <f t="shared" si="4"/>
        <v>1.1112887011067718</v>
      </c>
      <c r="S41" s="401" t="n">
        <v>7024.0</v>
      </c>
      <c r="T41" s="396" t="n">
        <f t="shared" si="5"/>
        <v>1.0168957577610689</v>
      </c>
    </row>
    <row r="42" spans="1:20">
      <c r="A42" s="19"/>
      <c r="B42" s="1083"/>
      <c r="C42" s="382" t="s">
        <v>17</v>
      </c>
      <c r="D42" s="383" t="n">
        <v>50.083333333333336</v>
      </c>
      <c r="E42" s="384" t="n">
        <v>54.25</v>
      </c>
      <c r="F42" s="385" t="n">
        <v>64.0</v>
      </c>
      <c r="G42" s="394" t="n">
        <v>64.0</v>
      </c>
      <c r="H42" s="384" t="n">
        <v>63.0</v>
      </c>
      <c r="I42" s="384" t="n">
        <v>63.0</v>
      </c>
      <c r="J42" s="395" t="n">
        <f t="shared" si="6"/>
        <v>0.9895833333333334</v>
      </c>
      <c r="K42" s="394" t="n">
        <v>63.0</v>
      </c>
      <c r="L42" s="396" t="n">
        <f t="shared" si="7"/>
        <v>0.984375</v>
      </c>
      <c r="M42" s="394" t="n">
        <v>67.0</v>
      </c>
      <c r="N42" s="396" t="n">
        <f t="shared" si="2"/>
        <v>1.046875</v>
      </c>
      <c r="O42" s="394" t="n">
        <v>71.0</v>
      </c>
      <c r="P42" s="396" t="n">
        <f t="shared" si="3"/>
        <v>1.109375</v>
      </c>
      <c r="Q42" s="394" t="n">
        <v>71.0</v>
      </c>
      <c r="R42" s="396" t="n">
        <f t="shared" si="4"/>
        <v>1.109375</v>
      </c>
      <c r="S42" s="394" t="n">
        <v>65.0</v>
      </c>
      <c r="T42" s="396" t="n">
        <f t="shared" si="5"/>
        <v>1.015625</v>
      </c>
    </row>
    <row r="43" spans="1:20">
      <c r="A43" s="19"/>
      <c r="B43" s="1079" t="s">
        <v>29</v>
      </c>
      <c r="C43" s="382" t="s">
        <v>16</v>
      </c>
      <c r="D43" s="383" t="n">
        <v>553.884</v>
      </c>
      <c r="E43" s="384" t="n">
        <v>908.025</v>
      </c>
      <c r="F43" s="385" t="n">
        <v>1372.14</v>
      </c>
      <c r="G43" s="401" t="n">
        <v>1372.0</v>
      </c>
      <c r="H43" s="402" t="n">
        <v>1372.0</v>
      </c>
      <c r="I43" s="402" t="n">
        <v>1372.0</v>
      </c>
      <c r="J43" s="395" t="n">
        <f t="shared" si="6"/>
        <v>0.9998979695949393</v>
      </c>
      <c r="K43" s="401" t="n">
        <v>1372.0</v>
      </c>
      <c r="L43" s="396" t="n">
        <f t="shared" si="7"/>
        <v>0.9998979695949393</v>
      </c>
      <c r="M43" s="401" t="n">
        <v>1372.0</v>
      </c>
      <c r="N43" s="396" t="n">
        <f t="shared" si="2"/>
        <v>0.9998979695949393</v>
      </c>
      <c r="O43" s="401" t="n">
        <v>1372.0</v>
      </c>
      <c r="P43" s="396" t="n">
        <f t="shared" si="3"/>
        <v>0.9998979695949393</v>
      </c>
      <c r="Q43" s="401" t="n">
        <v>1372.0</v>
      </c>
      <c r="R43" s="396" t="n">
        <f t="shared" si="4"/>
        <v>0.9998979695949393</v>
      </c>
      <c r="S43" s="401" t="n">
        <v>1372.0</v>
      </c>
      <c r="T43" s="396" t="n">
        <f t="shared" si="5"/>
        <v>0.9998979695949393</v>
      </c>
    </row>
    <row r="44" spans="1:20">
      <c r="A44" s="19"/>
      <c r="B44" s="1083"/>
      <c r="C44" s="382" t="s">
        <v>17</v>
      </c>
      <c r="D44" s="383" t="n">
        <v>1.6666666666666667</v>
      </c>
      <c r="E44" s="384" t="n">
        <v>2.5</v>
      </c>
      <c r="F44" s="385" t="n">
        <v>3.0</v>
      </c>
      <c r="G44" s="394" t="n">
        <v>3.0</v>
      </c>
      <c r="H44" s="384" t="n">
        <v>3.0</v>
      </c>
      <c r="I44" s="384" t="n">
        <v>3.0</v>
      </c>
      <c r="J44" s="395" t="n">
        <f t="shared" si="6"/>
        <v>1.0</v>
      </c>
      <c r="K44" s="394" t="n">
        <v>3.0</v>
      </c>
      <c r="L44" s="396" t="n">
        <f t="shared" si="7"/>
        <v>1.0</v>
      </c>
      <c r="M44" s="394" t="n">
        <v>3.0</v>
      </c>
      <c r="N44" s="396" t="n">
        <f t="shared" si="2"/>
        <v>1.0</v>
      </c>
      <c r="O44" s="394" t="n">
        <v>3.0</v>
      </c>
      <c r="P44" s="396" t="n">
        <f t="shared" si="3"/>
        <v>1.0</v>
      </c>
      <c r="Q44" s="394" t="n">
        <v>3.0</v>
      </c>
      <c r="R44" s="396" t="n">
        <f t="shared" si="4"/>
        <v>1.0</v>
      </c>
      <c r="S44" s="394" t="n">
        <v>3.0</v>
      </c>
      <c r="T44" s="396" t="n">
        <f t="shared" si="5"/>
        <v>1.0</v>
      </c>
    </row>
    <row r="45" spans="1:20">
      <c r="A45" s="19"/>
      <c r="B45" s="16" t="s">
        <v>30</v>
      </c>
      <c r="C45" s="382" t="s">
        <v>16</v>
      </c>
      <c r="D45" s="383" t="n">
        <v>1674.0</v>
      </c>
      <c r="E45" s="384" t="n">
        <v>1455.936</v>
      </c>
      <c r="F45" s="385" t="n">
        <v>0.0</v>
      </c>
      <c r="G45" s="401" t="n">
        <v>0.0</v>
      </c>
      <c r="H45" s="402" t="n">
        <v>0.0</v>
      </c>
      <c r="I45" s="402" t="n">
        <v>0.0</v>
      </c>
      <c r="J45" s="395" t="str">
        <f t="shared" si="6"/>
        <v>－</v>
      </c>
      <c r="K45" s="401" t="n">
        <v>0.0</v>
      </c>
      <c r="L45" s="396" t="str">
        <f t="shared" si="7"/>
        <v>－</v>
      </c>
      <c r="M45" s="401" t="n">
        <v>0.0</v>
      </c>
      <c r="N45" s="396" t="str">
        <f t="shared" si="2"/>
        <v>－</v>
      </c>
      <c r="O45" s="401" t="n">
        <v>0.0</v>
      </c>
      <c r="P45" s="396" t="str">
        <f t="shared" si="3"/>
        <v>－</v>
      </c>
      <c r="Q45" s="401" t="n">
        <v>0.0</v>
      </c>
      <c r="R45" s="396" t="str">
        <f t="shared" si="4"/>
        <v>－</v>
      </c>
      <c r="S45" s="401" t="n">
        <v>0.0</v>
      </c>
      <c r="T45" s="396" t="str">
        <f t="shared" si="5"/>
        <v>－</v>
      </c>
    </row>
    <row r="46" spans="1:20">
      <c r="A46" s="19"/>
      <c r="B46" s="17"/>
      <c r="C46" s="382" t="s">
        <v>17</v>
      </c>
      <c r="D46" s="383" t="n">
        <v>1.3333333333333333</v>
      </c>
      <c r="E46" s="384" t="n">
        <v>1.8333333333333333</v>
      </c>
      <c r="F46" s="385" t="n">
        <v>0.0</v>
      </c>
      <c r="G46" s="394" t="n">
        <v>0.0</v>
      </c>
      <c r="H46" s="384" t="n">
        <v>0.0</v>
      </c>
      <c r="I46" s="384" t="n">
        <v>0.0</v>
      </c>
      <c r="J46" s="395" t="str">
        <f t="shared" si="6"/>
        <v>－</v>
      </c>
      <c r="K46" s="394" t="n">
        <v>0.0</v>
      </c>
      <c r="L46" s="396" t="str">
        <f t="shared" si="7"/>
        <v>－</v>
      </c>
      <c r="M46" s="394" t="n">
        <v>0.0</v>
      </c>
      <c r="N46" s="396" t="str">
        <f t="shared" si="2"/>
        <v>－</v>
      </c>
      <c r="O46" s="394" t="n">
        <v>0.0</v>
      </c>
      <c r="P46" s="396" t="str">
        <f t="shared" si="3"/>
        <v>－</v>
      </c>
      <c r="Q46" s="394" t="n">
        <v>0.0</v>
      </c>
      <c r="R46" s="396" t="str">
        <f t="shared" si="4"/>
        <v>－</v>
      </c>
      <c r="S46" s="394" t="n">
        <v>0.0</v>
      </c>
      <c r="T46" s="396" t="str">
        <f t="shared" si="5"/>
        <v>－</v>
      </c>
    </row>
    <row r="47" spans="1:20">
      <c r="A47" s="19"/>
      <c r="B47" s="1084" t="s">
        <v>31</v>
      </c>
      <c r="C47" s="382" t="s">
        <v>16</v>
      </c>
      <c r="D47" s="383" t="n">
        <v>0.0</v>
      </c>
      <c r="E47" s="384" t="n">
        <v>0.0</v>
      </c>
      <c r="F47" s="385" t="n">
        <v>0.0</v>
      </c>
      <c r="G47" s="401" t="n">
        <v>0.0</v>
      </c>
      <c r="H47" s="402" t="n">
        <v>0.0</v>
      </c>
      <c r="I47" s="402" t="n">
        <v>0.0</v>
      </c>
      <c r="J47" s="403" t="str">
        <f>IFERROR(SUM(G47:I47)/3/F47,"－")</f>
        <v>－</v>
      </c>
      <c r="K47" s="401" t="n">
        <v>0.0</v>
      </c>
      <c r="L47" s="396" t="str">
        <f t="shared" si="7"/>
        <v>－</v>
      </c>
      <c r="M47" s="401" t="n">
        <v>0.0</v>
      </c>
      <c r="N47" s="396" t="str">
        <f t="shared" si="2"/>
        <v>－</v>
      </c>
      <c r="O47" s="401" t="n">
        <v>0.0</v>
      </c>
      <c r="P47" s="396" t="str">
        <f t="shared" si="3"/>
        <v>－</v>
      </c>
      <c r="Q47" s="401" t="n">
        <v>0.0</v>
      </c>
      <c r="R47" s="396" t="str">
        <f t="shared" si="4"/>
        <v>－</v>
      </c>
      <c r="S47" s="401" t="n">
        <v>0.0</v>
      </c>
      <c r="T47" s="396" t="str">
        <f t="shared" si="5"/>
        <v>－</v>
      </c>
    </row>
    <row r="48" spans="1:20" ht="14.25" thickBot="1">
      <c r="A48" s="19"/>
      <c r="B48" s="1087"/>
      <c r="C48" s="382" t="s">
        <v>17</v>
      </c>
      <c r="D48" s="383" t="n">
        <v>0.0</v>
      </c>
      <c r="E48" s="384" t="n">
        <v>0.0</v>
      </c>
      <c r="F48" s="385" t="n">
        <v>0.0</v>
      </c>
      <c r="G48" s="419" t="n">
        <v>0.0</v>
      </c>
      <c r="H48" s="420" t="n">
        <v>0.0</v>
      </c>
      <c r="I48" s="420" t="n">
        <v>0.0</v>
      </c>
      <c r="J48" s="421" t="str">
        <f>IFERROR(SUM(G48:I48)/3/F48,"－")</f>
        <v>－</v>
      </c>
      <c r="K48" s="419" t="n">
        <v>0.0</v>
      </c>
      <c r="L48" s="422" t="str">
        <f>IFERROR(K48/F48,"－")</f>
        <v>－</v>
      </c>
      <c r="M48" s="419" t="n">
        <v>0.0</v>
      </c>
      <c r="N48" s="422" t="str">
        <f t="shared" si="2"/>
        <v>－</v>
      </c>
      <c r="O48" s="419" t="n">
        <v>0.0</v>
      </c>
      <c r="P48" s="422" t="str">
        <f t="shared" si="3"/>
        <v>－</v>
      </c>
      <c r="Q48" s="419" t="n">
        <v>0.0</v>
      </c>
      <c r="R48" s="422" t="str">
        <f t="shared" si="4"/>
        <v>－</v>
      </c>
      <c r="S48" s="419" t="n">
        <v>0.0</v>
      </c>
      <c r="T48" s="422" t="str">
        <f>IFERROR(S48/F48,"－")</f>
        <v>－</v>
      </c>
    </row>
    <row r="49" spans="1:20">
      <c r="A49" s="18" t="s">
        <v>32</v>
      </c>
      <c r="B49" s="363"/>
      <c r="C49" s="423"/>
      <c r="D49" s="424"/>
      <c r="E49" s="425"/>
      <c r="F49" s="426"/>
      <c r="G49" s="427"/>
      <c r="H49" s="425"/>
      <c r="I49" s="425"/>
      <c r="J49" s="428"/>
      <c r="K49" s="427"/>
      <c r="L49" s="429"/>
      <c r="M49" s="427"/>
      <c r="N49" s="429"/>
      <c r="O49" s="427"/>
      <c r="P49" s="429"/>
      <c r="Q49" s="427"/>
      <c r="R49" s="429"/>
      <c r="S49" s="427"/>
      <c r="T49" s="429"/>
    </row>
    <row r="50" spans="1:20">
      <c r="A50" s="24"/>
      <c r="B50" s="1079" t="s">
        <v>33</v>
      </c>
      <c r="C50" s="382" t="s">
        <v>16</v>
      </c>
      <c r="D50" s="383" t="n">
        <v>0.0</v>
      </c>
      <c r="E50" s="384" t="n">
        <v>0.0</v>
      </c>
      <c r="F50" s="385" t="n">
        <v>0.0</v>
      </c>
      <c r="G50" s="401" t="n">
        <v>0.0</v>
      </c>
      <c r="H50" s="402" t="n">
        <v>0.0</v>
      </c>
      <c r="I50" s="402" t="n">
        <v>0.0</v>
      </c>
      <c r="J50" s="403" t="str">
        <f t="shared" ref="J50:J59" si="8">IFERROR(SUM(G50:I50)/3/F50,"－")</f>
        <v>－</v>
      </c>
      <c r="K50" s="401" t="n">
        <v>0.0</v>
      </c>
      <c r="L50" s="404" t="str">
        <f t="shared" ref="L50:L59" si="9">IFERROR(K50/F50,"－")</f>
        <v>－</v>
      </c>
      <c r="M50" s="401" t="n">
        <v>0.0</v>
      </c>
      <c r="N50" s="396" t="str">
        <f t="shared" si="2"/>
        <v>－</v>
      </c>
      <c r="O50" s="401" t="n">
        <v>0.0</v>
      </c>
      <c r="P50" s="404" t="str">
        <f t="shared" si="3"/>
        <v>－</v>
      </c>
      <c r="Q50" s="401" t="n">
        <v>0.0</v>
      </c>
      <c r="R50" s="404" t="str">
        <f t="shared" si="4"/>
        <v>－</v>
      </c>
      <c r="S50" s="401" t="n">
        <v>0.0</v>
      </c>
      <c r="T50" s="404" t="str">
        <f>IFERROR(S50/F50,"－")</f>
        <v>－</v>
      </c>
    </row>
    <row r="51" spans="1:20">
      <c r="A51" s="19"/>
      <c r="B51" s="1080"/>
      <c r="C51" s="382" t="s">
        <v>19</v>
      </c>
      <c r="D51" s="397" t="n">
        <v>0.0</v>
      </c>
      <c r="E51" s="398" t="n">
        <v>0.0</v>
      </c>
      <c r="F51" s="399" t="n">
        <v>0.0</v>
      </c>
      <c r="G51" s="400" t="n">
        <v>0.0</v>
      </c>
      <c r="H51" s="398" t="n">
        <v>0.0</v>
      </c>
      <c r="I51" s="398" t="n">
        <v>0.0</v>
      </c>
      <c r="J51" s="395" t="str">
        <f t="shared" si="8"/>
        <v>－</v>
      </c>
      <c r="K51" s="400" t="n">
        <v>0.0</v>
      </c>
      <c r="L51" s="396" t="str">
        <f t="shared" si="9"/>
        <v>－</v>
      </c>
      <c r="M51" s="400" t="n">
        <v>0.0</v>
      </c>
      <c r="N51" s="396" t="str">
        <f t="shared" si="2"/>
        <v>－</v>
      </c>
      <c r="O51" s="400" t="n">
        <v>0.0</v>
      </c>
      <c r="P51" s="396" t="str">
        <f t="shared" si="3"/>
        <v>－</v>
      </c>
      <c r="Q51" s="400" t="n">
        <v>0.0</v>
      </c>
      <c r="R51" s="396" t="str">
        <f t="shared" si="4"/>
        <v>－</v>
      </c>
      <c r="S51" s="400" t="n">
        <v>0.0</v>
      </c>
      <c r="T51" s="396" t="str">
        <f>IFERROR(S51/F51,"－")</f>
        <v>－</v>
      </c>
    </row>
    <row r="52" spans="1:20">
      <c r="A52" s="19"/>
      <c r="B52" s="430"/>
      <c r="C52" s="382" t="s">
        <v>17</v>
      </c>
      <c r="D52" s="383" t="n">
        <v>0.0</v>
      </c>
      <c r="E52" s="384" t="n">
        <v>0.0</v>
      </c>
      <c r="F52" s="385" t="n">
        <v>0.0</v>
      </c>
      <c r="G52" s="394" t="n">
        <v>0.0</v>
      </c>
      <c r="H52" s="384" t="n">
        <v>0.0</v>
      </c>
      <c r="I52" s="384" t="n">
        <v>0.0</v>
      </c>
      <c r="J52" s="395" t="str">
        <f t="shared" si="8"/>
        <v>－</v>
      </c>
      <c r="K52" s="394" t="n">
        <v>0.0</v>
      </c>
      <c r="L52" s="396" t="str">
        <f t="shared" si="9"/>
        <v>－</v>
      </c>
      <c r="M52" s="394" t="n">
        <v>0.0</v>
      </c>
      <c r="N52" s="396" t="str">
        <f t="shared" si="2"/>
        <v>－</v>
      </c>
      <c r="O52" s="394" t="n">
        <v>0.0</v>
      </c>
      <c r="P52" s="396" t="str">
        <f t="shared" si="3"/>
        <v>－</v>
      </c>
      <c r="Q52" s="394" t="n">
        <v>0.0</v>
      </c>
      <c r="R52" s="396" t="str">
        <f t="shared" si="4"/>
        <v>－</v>
      </c>
      <c r="S52" s="394" t="n">
        <v>0.0</v>
      </c>
      <c r="T52" s="396" t="str">
        <f t="shared" ref="T52:T55" si="10">IFERROR(S52/F52,"－")</f>
        <v>－</v>
      </c>
    </row>
    <row r="53" spans="1:20">
      <c r="A53" s="24"/>
      <c r="B53" s="1079" t="s">
        <v>34</v>
      </c>
      <c r="C53" s="382" t="s">
        <v>16</v>
      </c>
      <c r="D53" s="383" t="n">
        <v>5155.353</v>
      </c>
      <c r="E53" s="384" t="n">
        <v>6778.6</v>
      </c>
      <c r="F53" s="385" t="n">
        <v>6874.632</v>
      </c>
      <c r="G53" s="401" t="n">
        <v>6875.0</v>
      </c>
      <c r="H53" s="402" t="n">
        <v>6875.0</v>
      </c>
      <c r="I53" s="402" t="n">
        <v>6875.0</v>
      </c>
      <c r="J53" s="403" t="n">
        <f t="shared" si="8"/>
        <v>1.0000535301380495</v>
      </c>
      <c r="K53" s="401" t="n">
        <v>6875.0</v>
      </c>
      <c r="L53" s="404" t="n">
        <f t="shared" si="9"/>
        <v>1.0000535301380495</v>
      </c>
      <c r="M53" s="401" t="n">
        <v>6875.0</v>
      </c>
      <c r="N53" s="404" t="n">
        <f t="shared" si="2"/>
        <v>1.0000535301380495</v>
      </c>
      <c r="O53" s="401" t="n">
        <v>7918.0</v>
      </c>
      <c r="P53" s="404" t="n">
        <f t="shared" si="3"/>
        <v>1.1517707420557204</v>
      </c>
      <c r="Q53" s="401" t="n">
        <v>6875.0</v>
      </c>
      <c r="R53" s="404" t="n">
        <f t="shared" si="4"/>
        <v>1.0000535301380495</v>
      </c>
      <c r="S53" s="401" t="n">
        <v>6875.0</v>
      </c>
      <c r="T53" s="396" t="n">
        <f t="shared" si="10"/>
        <v>1.0000535301380495</v>
      </c>
    </row>
    <row r="54" spans="1:20">
      <c r="A54" s="19"/>
      <c r="B54" s="1083"/>
      <c r="C54" s="382" t="s">
        <v>17</v>
      </c>
      <c r="D54" s="383" t="n">
        <v>5.25</v>
      </c>
      <c r="E54" s="384" t="n">
        <v>7.083333333333333</v>
      </c>
      <c r="F54" s="385" t="n">
        <v>7.0</v>
      </c>
      <c r="G54" s="394" t="n">
        <v>7.0</v>
      </c>
      <c r="H54" s="384" t="n">
        <v>7.0</v>
      </c>
      <c r="I54" s="384" t="n">
        <v>7.0</v>
      </c>
      <c r="J54" s="395" t="n">
        <f t="shared" si="8"/>
        <v>1.0</v>
      </c>
      <c r="K54" s="394" t="n">
        <v>7.0</v>
      </c>
      <c r="L54" s="396" t="n">
        <f t="shared" si="9"/>
        <v>1.0</v>
      </c>
      <c r="M54" s="394" t="n">
        <v>7.0</v>
      </c>
      <c r="N54" s="396" t="n">
        <f t="shared" si="2"/>
        <v>1.0</v>
      </c>
      <c r="O54" s="394" t="n">
        <v>8.0</v>
      </c>
      <c r="P54" s="396" t="n">
        <f t="shared" si="3"/>
        <v>1.1428571428571428</v>
      </c>
      <c r="Q54" s="394" t="n">
        <v>7.0</v>
      </c>
      <c r="R54" s="396" t="n">
        <f t="shared" si="4"/>
        <v>1.0</v>
      </c>
      <c r="S54" s="394" t="n">
        <v>7.0</v>
      </c>
      <c r="T54" s="396" t="n">
        <f t="shared" si="10"/>
        <v>1.0</v>
      </c>
    </row>
    <row r="55" spans="1:20">
      <c r="A55" s="19"/>
      <c r="B55" s="1084" t="s">
        <v>35</v>
      </c>
      <c r="C55" s="382" t="s">
        <v>16</v>
      </c>
      <c r="D55" s="383" t="n">
        <v>7204.896</v>
      </c>
      <c r="E55" s="384" t="n">
        <v>3335.5280000000002</v>
      </c>
      <c r="F55" s="385" t="n">
        <v>2825.388</v>
      </c>
      <c r="G55" s="401" t="n">
        <v>2825.0</v>
      </c>
      <c r="H55" s="402" t="n">
        <v>2825.0</v>
      </c>
      <c r="I55" s="402" t="n">
        <v>2825.0</v>
      </c>
      <c r="J55" s="403" t="n">
        <f t="shared" si="8"/>
        <v>0.9998626737283517</v>
      </c>
      <c r="K55" s="401" t="n">
        <v>2825.0</v>
      </c>
      <c r="L55" s="404" t="n">
        <f t="shared" si="9"/>
        <v>0.9998626737283517</v>
      </c>
      <c r="M55" s="401" t="n">
        <v>2825.0</v>
      </c>
      <c r="N55" s="404" t="n">
        <f t="shared" si="2"/>
        <v>0.9998626737283517</v>
      </c>
      <c r="O55" s="401" t="n">
        <v>2825.0</v>
      </c>
      <c r="P55" s="404" t="n">
        <f t="shared" si="3"/>
        <v>0.9998626737283517</v>
      </c>
      <c r="Q55" s="401" t="n">
        <v>2825.0</v>
      </c>
      <c r="R55" s="404" t="n">
        <f t="shared" si="4"/>
        <v>0.9998626737283517</v>
      </c>
      <c r="S55" s="401" t="n">
        <v>2825.0</v>
      </c>
      <c r="T55" s="396" t="n">
        <f t="shared" si="10"/>
        <v>0.9998626737283517</v>
      </c>
    </row>
    <row r="56" spans="1:20" ht="14.25" thickBot="1">
      <c r="A56" s="19"/>
      <c r="B56" s="1088"/>
      <c r="C56" s="382" t="s">
        <v>17</v>
      </c>
      <c r="D56" s="431" t="n">
        <v>2.5833333333333335</v>
      </c>
      <c r="E56" s="420" t="n">
        <v>1.1666666666666667</v>
      </c>
      <c r="F56" s="432" t="n">
        <v>1.0</v>
      </c>
      <c r="G56" s="419" t="n">
        <v>1.0</v>
      </c>
      <c r="H56" s="420" t="n">
        <v>1.0</v>
      </c>
      <c r="I56" s="420" t="n">
        <v>1.0</v>
      </c>
      <c r="J56" s="421" t="n">
        <f t="shared" si="8"/>
        <v>1.0</v>
      </c>
      <c r="K56" s="419" t="n">
        <v>1.0</v>
      </c>
      <c r="L56" s="422" t="n">
        <f t="shared" si="9"/>
        <v>1.0</v>
      </c>
      <c r="M56" s="419" t="n">
        <v>1.0</v>
      </c>
      <c r="N56" s="422" t="n">
        <f t="shared" si="2"/>
        <v>1.0</v>
      </c>
      <c r="O56" s="419" t="n">
        <v>1.0</v>
      </c>
      <c r="P56" s="422" t="n">
        <f t="shared" si="3"/>
        <v>1.0</v>
      </c>
      <c r="Q56" s="419" t="n">
        <v>1.0</v>
      </c>
      <c r="R56" s="422" t="n">
        <f t="shared" si="4"/>
        <v>1.0</v>
      </c>
      <c r="S56" s="419" t="n">
        <v>1.0</v>
      </c>
      <c r="T56" s="422" t="n">
        <f>IFERROR(S56/F56,"－")</f>
        <v>1.0</v>
      </c>
    </row>
    <row r="57" spans="1:20">
      <c r="A57" s="20" t="s">
        <v>111</v>
      </c>
      <c r="B57" s="433"/>
      <c r="C57" s="434" t="s">
        <v>16</v>
      </c>
      <c r="D57" s="435" t="n">
        <v>3593.895</v>
      </c>
      <c r="E57" s="436" t="n">
        <v>4055.906</v>
      </c>
      <c r="F57" s="437" t="n">
        <v>4589.952</v>
      </c>
      <c r="G57" s="438" t="n">
        <v>4591.0</v>
      </c>
      <c r="H57" s="439" t="n">
        <v>4536.0</v>
      </c>
      <c r="I57" s="439" t="n">
        <v>4536.0</v>
      </c>
      <c r="J57" s="440" t="n">
        <f t="shared" si="8"/>
        <v>0.9922398607509039</v>
      </c>
      <c r="K57" s="438" t="n">
        <v>4538.0</v>
      </c>
      <c r="L57" s="441" t="n">
        <f t="shared" si="9"/>
        <v>0.9886813631166513</v>
      </c>
      <c r="M57" s="438" t="n">
        <v>4752.0</v>
      </c>
      <c r="N57" s="441" t="n">
        <f t="shared" si="2"/>
        <v>1.0353049443654312</v>
      </c>
      <c r="O57" s="438" t="n">
        <v>5130.0</v>
      </c>
      <c r="P57" s="441" t="n">
        <f t="shared" si="3"/>
        <v>1.117658746758136</v>
      </c>
      <c r="Q57" s="438" t="n">
        <v>5023.0</v>
      </c>
      <c r="R57" s="441" t="n">
        <f t="shared" si="4"/>
        <v>1.094346956133746</v>
      </c>
      <c r="S57" s="438" t="n">
        <v>4700.0</v>
      </c>
      <c r="T57" s="441" t="n">
        <f>IFERROR(S57/F57,"－")</f>
        <v>1.0239758498563818</v>
      </c>
    </row>
    <row r="58" spans="1:20" ht="14.25" thickBot="1">
      <c r="A58" s="21"/>
      <c r="B58" s="442"/>
      <c r="C58" s="443" t="s">
        <v>17</v>
      </c>
      <c r="D58" s="444" t="n">
        <v>66.58333333333333</v>
      </c>
      <c r="E58" s="445" t="n">
        <v>74.75</v>
      </c>
      <c r="F58" s="446" t="n">
        <v>85.0</v>
      </c>
      <c r="G58" s="447" t="n">
        <v>85.0</v>
      </c>
      <c r="H58" s="445" t="n">
        <v>84.0</v>
      </c>
      <c r="I58" s="445" t="n">
        <v>84.0</v>
      </c>
      <c r="J58" s="448" t="n">
        <f t="shared" si="8"/>
        <v>0.992156862745098</v>
      </c>
      <c r="K58" s="447" t="n">
        <v>84.0</v>
      </c>
      <c r="L58" s="449" t="n">
        <f t="shared" si="9"/>
        <v>0.9882352941176471</v>
      </c>
      <c r="M58" s="447" t="n">
        <v>88.0</v>
      </c>
      <c r="N58" s="449" t="n">
        <f t="shared" si="2"/>
        <v>1.035294117647059</v>
      </c>
      <c r="O58" s="447" t="n">
        <v>95.0</v>
      </c>
      <c r="P58" s="449" t="n">
        <f t="shared" si="3"/>
        <v>1.1176470588235294</v>
      </c>
      <c r="Q58" s="447" t="n">
        <v>93.0</v>
      </c>
      <c r="R58" s="449" t="n">
        <f t="shared" si="4"/>
        <v>1.0941176470588236</v>
      </c>
      <c r="S58" s="447" t="n">
        <v>87.0</v>
      </c>
      <c r="T58" s="449" t="n">
        <f>IFERROR(S58/F58,"－")</f>
        <v>1.0235294117647058</v>
      </c>
    </row>
    <row r="59" spans="1:20" ht="14.25" thickBot="1">
      <c r="A59" s="450" t="s">
        <v>36</v>
      </c>
      <c r="B59" s="370"/>
      <c r="C59" s="451" t="s">
        <v>16</v>
      </c>
      <c r="D59" s="452" t="n">
        <f>IF(ISERROR(SUM(D12,D14,D17,D20,D23,D25,D27,D29,D32,D35,D38,D41,D43,D45,D47,D50,D53,D55,D57)),0,(SUM(D12,D14,D17,D20,D23,D25,D27,D29,D32,D35,D38,D41,D43,D45,D47,D50,D53,D55,D57)))</f>
        <v>35753.195</v>
      </c>
      <c r="E59" s="453" t="n">
        <f t="shared" ref="E59:I59" si="11">IF(ISERROR(SUM(E12,E14,E17,E20,E23,E25,E27,E29,E32,E35,E38,E41,E43,E45,E47,E50,E53,E55,E57)),0,(SUM(E12,E14,E17,E20,E23,E25,E27,E29,E32,E35,E38,E41,E43,E45,E47,E50,E53,E55,E57)))</f>
        <v>36949.887</v>
      </c>
      <c r="F59" s="454" t="n">
        <f t="shared" si="11"/>
        <v>38113.97519999999</v>
      </c>
      <c r="G59" s="455" t="n">
        <f t="shared" si="11"/>
        <v>37665.0</v>
      </c>
      <c r="H59" s="453" t="n">
        <f t="shared" si="11"/>
        <v>37493.0</v>
      </c>
      <c r="I59" s="453" t="n">
        <f t="shared" si="11"/>
        <v>37493.0</v>
      </c>
      <c r="J59" s="456" t="n">
        <f t="shared" si="8"/>
        <v>0.9852116746230486</v>
      </c>
      <c r="K59" s="455" t="n">
        <f>IF(ISERROR(SUM(K12,K14,K17,K20,K23,K25,K27,K29,K32,K35,K38,K41,K43,K45,K47,K50,K53,K55,K57)),0,(SUM(K12,K14,K17,K20,K23,K25,K27,K29,K32,K35,K38,K41,K43,K45,K47,K50,K53,K55,K57)))</f>
        <v>37495.0</v>
      </c>
      <c r="L59" s="457" t="n">
        <f t="shared" si="9"/>
        <v>0.9837598886825115</v>
      </c>
      <c r="M59" s="455" t="n">
        <f>IF(ISERROR(SUM(M12,M14,M17,M20,M23,M25,M27,M29,M32,M35,M38,M41,M43,M45,M47,M50,M53,M55,M57)),0,(SUM(M12,M14,M17,M20,M23,M25,M27,M29,M32,M35,M38,M41,M43,M45,M47,M50,M53,M55,M57)))</f>
        <v>39064.0</v>
      </c>
      <c r="N59" s="457" t="n">
        <f t="shared" si="2"/>
        <v>1.024925891225327</v>
      </c>
      <c r="O59" s="455" t="n">
        <f>IF(ISERROR(SUM(O12,O14,O17,O20,O23,O25,O27,O29,O32,O35,O38,O41,O43,O45,O47,O50,O53,O55,O57)),0,(SUM(O12,O14,O17,O20,O23,O25,O27,O29,O32,O35,O38,O41,O43,O45,O47,O50,O53,O55,O57)))</f>
        <v>42422.0</v>
      </c>
      <c r="P59" s="457" t="n">
        <f t="shared" si="3"/>
        <v>1.1130300572793574</v>
      </c>
      <c r="Q59" s="455" t="n">
        <f>IF(ISERROR(SUM(Q12,Q14,Q17,Q20,Q23,Q25,Q27,Q29,Q32,Q35,Q38,Q41,Q43,Q45,Q47,Q50,Q53,Q55,Q57)),0,(SUM(Q12,Q14,Q17,Q20,Q23,Q25,Q27,Q29,Q32,Q35,Q38,Q41,Q43,Q45,Q47,Q50,Q53,Q55,Q57)))</f>
        <v>40495.0</v>
      </c>
      <c r="R59" s="457" t="n">
        <f t="shared" si="4"/>
        <v>1.0624711746152369</v>
      </c>
      <c r="S59" s="455" t="n">
        <f>IF(ISERROR(SUM(S12,S14,S17,S20,S23,S25,S27,S29,S32,S35,S38,S41,S43,S45,S47,S50,S53,S55,S57)),0,(SUM(S12,S14,S17,S20,S23,S25,S27,S29,S32,S35,S38,S41,S43,S45,S47,S50,S53,S55,S57)))</f>
        <v>38341.0</v>
      </c>
      <c r="T59" s="457" t="n">
        <f>IFERROR(S59/F59,"－")</f>
        <v>1.00595647131554</v>
      </c>
    </row>
    <row r="60" spans="1:20" ht="50.1" customHeight="1">
      <c r="A60" s="703" t="s">
        <v>109</v>
      </c>
      <c r="B60" s="186"/>
      <c r="C60" s="458"/>
      <c r="D60" s="459"/>
      <c r="E60" s="459"/>
      <c r="F60" s="459"/>
      <c r="G60" s="702" t="s">
        <v>363</v>
      </c>
      <c r="H60" s="460"/>
      <c r="I60" s="460"/>
      <c r="J60" s="460"/>
      <c r="K60" s="625" t="s">
        <v>403</v>
      </c>
      <c r="L60" s="515"/>
      <c r="M60" s="515"/>
    </row>
    <row r="61" spans="1:20" ht="13.5" customHeight="1">
      <c r="A61" s="458"/>
      <c r="B61" s="186"/>
      <c r="C61" s="458"/>
      <c r="D61" s="459"/>
      <c r="E61" s="459"/>
      <c r="F61" s="459"/>
      <c r="G61" s="459"/>
      <c r="H61" s="459"/>
      <c r="I61" s="459"/>
      <c r="J61" s="459"/>
      <c r="K61" s="515"/>
      <c r="L61" s="515"/>
      <c r="M61" s="515"/>
    </row>
    <row r="62" spans="1:20" ht="14.25" thickBot="1">
      <c r="A62" s="22" t="s">
        <v>90</v>
      </c>
      <c r="B62" s="186"/>
      <c r="C62" s="374"/>
      <c r="T62" s="2" t="s">
        <v>108</v>
      </c>
    </row>
    <row r="63" spans="1:20" ht="14.25" thickBot="1">
      <c r="A63" s="23"/>
      <c r="B63" s="186"/>
      <c r="C63" s="374"/>
      <c r="D63" s="1033" t="s">
        <v>417</v>
      </c>
      <c r="E63" s="1057"/>
      <c r="F63" s="1058"/>
      <c r="G63" s="1033" t="s">
        <v>418</v>
      </c>
      <c r="H63" s="1057"/>
      <c r="I63" s="1057"/>
      <c r="J63" s="1058"/>
      <c r="K63" s="1035" t="s">
        <v>419</v>
      </c>
      <c r="L63" s="1036"/>
      <c r="M63" s="1035" t="s">
        <v>420</v>
      </c>
      <c r="N63" s="1036"/>
      <c r="O63" s="1035" t="s">
        <v>421</v>
      </c>
      <c r="P63" s="1036"/>
      <c r="Q63" s="1035" t="s">
        <v>422</v>
      </c>
      <c r="R63" s="1036"/>
      <c r="S63" s="1035" t="s">
        <v>423</v>
      </c>
      <c r="T63" s="1036"/>
    </row>
    <row r="64" spans="1:20" ht="23.25" thickBot="1">
      <c r="A64" s="29"/>
      <c r="B64" s="370"/>
      <c r="C64" s="371"/>
      <c r="D64" s="1001" t="s">
        <v>366</v>
      </c>
      <c r="E64" s="992" t="s">
        <v>364</v>
      </c>
      <c r="F64" s="1002" t="s">
        <v>361</v>
      </c>
      <c r="G64" s="1001" t="s">
        <v>359</v>
      </c>
      <c r="H64" s="992" t="s">
        <v>357</v>
      </c>
      <c r="I64" s="992" t="s">
        <v>355</v>
      </c>
      <c r="J64" s="995" t="s">
        <v>104</v>
      </c>
      <c r="K64" s="1001" t="s">
        <v>382</v>
      </c>
      <c r="L64" s="995" t="s">
        <v>105</v>
      </c>
      <c r="M64" s="1001" t="s">
        <v>385</v>
      </c>
      <c r="N64" s="995" t="s">
        <v>105</v>
      </c>
      <c r="O64" s="1001" t="s">
        <v>388</v>
      </c>
      <c r="P64" s="995" t="s">
        <v>105</v>
      </c>
      <c r="Q64" s="1001" t="s">
        <v>391</v>
      </c>
      <c r="R64" s="995" t="s">
        <v>105</v>
      </c>
      <c r="S64" s="1001" t="s">
        <v>394</v>
      </c>
      <c r="T64" s="995" t="s">
        <v>105</v>
      </c>
    </row>
    <row r="65" spans="1:20">
      <c r="A65" s="461" t="s">
        <v>38</v>
      </c>
      <c r="B65" s="363"/>
      <c r="C65" s="462"/>
      <c r="D65" s="463"/>
      <c r="E65" s="379"/>
      <c r="F65" s="464"/>
      <c r="G65" s="378"/>
      <c r="H65" s="379"/>
      <c r="I65" s="380"/>
      <c r="J65" s="380"/>
      <c r="K65" s="378"/>
      <c r="L65" s="381"/>
      <c r="M65" s="378"/>
      <c r="N65" s="381"/>
      <c r="O65" s="378"/>
      <c r="P65" s="381"/>
      <c r="Q65" s="378"/>
      <c r="R65" s="381"/>
      <c r="S65" s="378"/>
      <c r="T65" s="381"/>
    </row>
    <row r="66" spans="1:20">
      <c r="A66" s="19"/>
      <c r="B66" s="1079" t="s">
        <v>39</v>
      </c>
      <c r="C66" s="382" t="s">
        <v>16</v>
      </c>
      <c r="D66" s="465" t="n">
        <v>35951.793</v>
      </c>
      <c r="E66" s="402" t="n">
        <v>29864.033</v>
      </c>
      <c r="F66" s="466" t="n">
        <v>34315.0464</v>
      </c>
      <c r="G66" s="401" t="n">
        <v>33373.0</v>
      </c>
      <c r="H66" s="402" t="n">
        <v>33623.0</v>
      </c>
      <c r="I66" s="467" t="n">
        <v>32958.0</v>
      </c>
      <c r="J66" s="403" t="n">
        <f t="shared" ref="J66:J99" si="12">IFERROR(SUM(G66:I66)/3/F66,"－")</f>
        <v>0.9709443377002107</v>
      </c>
      <c r="K66" s="401" t="n">
        <v>33623.0</v>
      </c>
      <c r="L66" s="404" t="n">
        <f t="shared" ref="L66:L103" si="13">IFERROR(K66/F66,"－")</f>
        <v>0.9798325669756344</v>
      </c>
      <c r="M66" s="401" t="n">
        <v>33911.0</v>
      </c>
      <c r="N66" s="404" t="n">
        <f>IFERROR(M66/F66,"－")</f>
        <v>0.9882253867504606</v>
      </c>
      <c r="O66" s="401" t="n">
        <v>35882.0</v>
      </c>
      <c r="P66" s="404" t="n">
        <f>IFERROR(O66/F66,"－")</f>
        <v>1.0456637470844277</v>
      </c>
      <c r="Q66" s="401" t="n">
        <v>37758.0</v>
      </c>
      <c r="R66" s="404" t="n">
        <f>IFERROR(Q66/F66,"－")</f>
        <v>1.1003336425621153</v>
      </c>
      <c r="S66" s="401" t="n">
        <v>35030.0</v>
      </c>
      <c r="T66" s="404" t="n">
        <f>IFERROR(S66/F66,"－")</f>
        <v>1.0208349885839</v>
      </c>
    </row>
    <row r="67" spans="1:20">
      <c r="A67" s="19"/>
      <c r="B67" s="1080"/>
      <c r="C67" s="382" t="s">
        <v>19</v>
      </c>
      <c r="D67" s="468" t="n">
        <v>1110.0</v>
      </c>
      <c r="E67" s="469" t="n">
        <v>792.1666666666666</v>
      </c>
      <c r="F67" s="470" t="n">
        <v>947.1</v>
      </c>
      <c r="G67" s="471" t="n">
        <v>920.6</v>
      </c>
      <c r="H67" s="469" t="n">
        <v>932.0</v>
      </c>
      <c r="I67" s="472" t="n">
        <v>912.5</v>
      </c>
      <c r="J67" s="395" t="n">
        <f t="shared" si="12"/>
        <v>0.9731812902544609</v>
      </c>
      <c r="K67" s="471" t="n">
        <v>932.0</v>
      </c>
      <c r="L67" s="396" t="n">
        <f t="shared" si="13"/>
        <v>0.9840565938126914</v>
      </c>
      <c r="M67" s="471" t="n">
        <v>939.4</v>
      </c>
      <c r="N67" s="396" t="n">
        <f t="shared" ref="N67:N132" si="14">IFERROR(M67/F67,"－")</f>
        <v>0.991869918699187</v>
      </c>
      <c r="O67" s="471" t="n">
        <v>984.8</v>
      </c>
      <c r="P67" s="396" t="n">
        <f t="shared" ref="P67:P132" si="15">IFERROR(O67/F67,"－")</f>
        <v>1.039805722732552</v>
      </c>
      <c r="Q67" s="471" t="n">
        <v>1049.1</v>
      </c>
      <c r="R67" s="396" t="n">
        <f t="shared" ref="R67:R132" si="16">IFERROR(Q67/F67,"－")</f>
        <v>1.1076971808679124</v>
      </c>
      <c r="S67" s="471" t="n">
        <v>963.0</v>
      </c>
      <c r="T67" s="404" t="n">
        <f t="shared" ref="T67:T104" si="17">IFERROR(S67/F67,"－")</f>
        <v>1.0167880899588218</v>
      </c>
    </row>
    <row r="68" spans="1:20">
      <c r="A68" s="19"/>
      <c r="B68" s="726"/>
      <c r="C68" s="382" t="s">
        <v>17</v>
      </c>
      <c r="D68" s="465" t="n">
        <v>68.33333333333333</v>
      </c>
      <c r="E68" s="402" t="n">
        <v>51.166666666666664</v>
      </c>
      <c r="F68" s="466" t="n">
        <v>62.0</v>
      </c>
      <c r="G68" s="401" t="n">
        <v>60.0</v>
      </c>
      <c r="H68" s="402" t="n">
        <v>61.0</v>
      </c>
      <c r="I68" s="467" t="n">
        <v>60.0</v>
      </c>
      <c r="J68" s="395" t="n">
        <f t="shared" si="12"/>
        <v>0.9731182795698925</v>
      </c>
      <c r="K68" s="401" t="n">
        <v>61.0</v>
      </c>
      <c r="L68" s="396" t="n">
        <f t="shared" si="13"/>
        <v>0.9838709677419355</v>
      </c>
      <c r="M68" s="401" t="n">
        <v>62.0</v>
      </c>
      <c r="N68" s="396" t="n">
        <f t="shared" si="14"/>
        <v>1.0</v>
      </c>
      <c r="O68" s="401" t="n">
        <v>66.0</v>
      </c>
      <c r="P68" s="396" t="n">
        <f t="shared" si="15"/>
        <v>1.064516129032258</v>
      </c>
      <c r="Q68" s="401" t="n">
        <v>68.0</v>
      </c>
      <c r="R68" s="396" t="n">
        <f t="shared" si="16"/>
        <v>1.096774193548387</v>
      </c>
      <c r="S68" s="401" t="n">
        <v>63.0</v>
      </c>
      <c r="T68" s="404" t="n">
        <f t="shared" si="17"/>
        <v>1.0161290322580645</v>
      </c>
    </row>
    <row r="69" spans="1:20">
      <c r="A69" s="19"/>
      <c r="B69" s="1079" t="s">
        <v>40</v>
      </c>
      <c r="C69" s="382" t="s">
        <v>16</v>
      </c>
      <c r="D69" s="465" t="n">
        <v>3490.633</v>
      </c>
      <c r="E69" s="402" t="n">
        <v>2495.97</v>
      </c>
      <c r="F69" s="466" t="n">
        <v>1825.4196</v>
      </c>
      <c r="G69" s="401" t="n">
        <v>1825.0</v>
      </c>
      <c r="H69" s="402" t="n">
        <v>1825.0</v>
      </c>
      <c r="I69" s="467" t="n">
        <v>1825.0</v>
      </c>
      <c r="J69" s="403" t="n">
        <f t="shared" si="12"/>
        <v>0.9997701350418282</v>
      </c>
      <c r="K69" s="401" t="n">
        <v>1825.0</v>
      </c>
      <c r="L69" s="404" t="n">
        <f t="shared" si="13"/>
        <v>0.9997701350418282</v>
      </c>
      <c r="M69" s="401" t="n">
        <v>1825.0</v>
      </c>
      <c r="N69" s="404" t="n">
        <f t="shared" si="14"/>
        <v>0.9997701350418282</v>
      </c>
      <c r="O69" s="401" t="n">
        <v>1825.0</v>
      </c>
      <c r="P69" s="404" t="n">
        <f t="shared" si="15"/>
        <v>0.9997701350418282</v>
      </c>
      <c r="Q69" s="401" t="n">
        <v>1825.0</v>
      </c>
      <c r="R69" s="404" t="n">
        <f t="shared" si="16"/>
        <v>0.9997701350418282</v>
      </c>
      <c r="S69" s="401" t="n">
        <v>1825.0</v>
      </c>
      <c r="T69" s="404" t="n">
        <f t="shared" si="17"/>
        <v>0.9997701350418282</v>
      </c>
    </row>
    <row r="70" spans="1:20">
      <c r="A70" s="19"/>
      <c r="B70" s="1080"/>
      <c r="C70" s="382" t="s">
        <v>19</v>
      </c>
      <c r="D70" s="465" t="n">
        <v>24.0</v>
      </c>
      <c r="E70" s="402" t="n">
        <v>17.083333333333332</v>
      </c>
      <c r="F70" s="466" t="n">
        <v>12.6</v>
      </c>
      <c r="G70" s="471" t="n">
        <v>12.6</v>
      </c>
      <c r="H70" s="469" t="n">
        <v>12.6</v>
      </c>
      <c r="I70" s="472" t="n">
        <v>12.6</v>
      </c>
      <c r="J70" s="395" t="n">
        <f t="shared" si="12"/>
        <v>1.0</v>
      </c>
      <c r="K70" s="471" t="n">
        <v>12.6</v>
      </c>
      <c r="L70" s="396" t="n">
        <f t="shared" si="13"/>
        <v>1.0</v>
      </c>
      <c r="M70" s="471" t="n">
        <v>12.6</v>
      </c>
      <c r="N70" s="396" t="n">
        <f t="shared" si="14"/>
        <v>1.0</v>
      </c>
      <c r="O70" s="471" t="n">
        <v>12.6</v>
      </c>
      <c r="P70" s="396" t="n">
        <f t="shared" si="15"/>
        <v>1.0</v>
      </c>
      <c r="Q70" s="471" t="n">
        <v>12.6</v>
      </c>
      <c r="R70" s="396" t="n">
        <f t="shared" si="16"/>
        <v>1.0</v>
      </c>
      <c r="S70" s="471" t="n">
        <v>12.6</v>
      </c>
      <c r="T70" s="404" t="n">
        <f t="shared" si="17"/>
        <v>1.0</v>
      </c>
    </row>
    <row r="71" spans="1:20">
      <c r="A71" s="19"/>
      <c r="B71" s="726"/>
      <c r="C71" s="382" t="s">
        <v>17</v>
      </c>
      <c r="D71" s="465" t="n">
        <v>6.416666666666667</v>
      </c>
      <c r="E71" s="402" t="n">
        <v>4.833333333333333</v>
      </c>
      <c r="F71" s="466" t="n">
        <v>4.0</v>
      </c>
      <c r="G71" s="401" t="n">
        <v>4.0</v>
      </c>
      <c r="H71" s="402" t="n">
        <v>4.0</v>
      </c>
      <c r="I71" s="467" t="n">
        <v>4.0</v>
      </c>
      <c r="J71" s="395" t="n">
        <f t="shared" si="12"/>
        <v>1.0</v>
      </c>
      <c r="K71" s="401" t="n">
        <v>4.0</v>
      </c>
      <c r="L71" s="396" t="n">
        <f t="shared" si="13"/>
        <v>1.0</v>
      </c>
      <c r="M71" s="401" t="n">
        <v>4.0</v>
      </c>
      <c r="N71" s="396" t="n">
        <f t="shared" si="14"/>
        <v>1.0</v>
      </c>
      <c r="O71" s="401" t="n">
        <v>4.0</v>
      </c>
      <c r="P71" s="396" t="n">
        <f t="shared" si="15"/>
        <v>1.0</v>
      </c>
      <c r="Q71" s="401" t="n">
        <v>4.0</v>
      </c>
      <c r="R71" s="396" t="n">
        <f t="shared" si="16"/>
        <v>1.0</v>
      </c>
      <c r="S71" s="401" t="n">
        <v>4.0</v>
      </c>
      <c r="T71" s="404" t="n">
        <f t="shared" si="17"/>
        <v>1.0</v>
      </c>
    </row>
    <row r="72" spans="1:20">
      <c r="A72" s="19"/>
      <c r="B72" s="1079" t="s">
        <v>41</v>
      </c>
      <c r="C72" s="382" t="s">
        <v>16</v>
      </c>
      <c r="D72" s="465" t="n">
        <v>19237.78</v>
      </c>
      <c r="E72" s="402" t="n">
        <v>19489.821</v>
      </c>
      <c r="F72" s="466" t="n">
        <v>18470.7264</v>
      </c>
      <c r="G72" s="401" t="n">
        <v>18042.0</v>
      </c>
      <c r="H72" s="402" t="n">
        <v>17607.0</v>
      </c>
      <c r="I72" s="467" t="n">
        <v>17163.0</v>
      </c>
      <c r="J72" s="403" t="n">
        <f t="shared" si="12"/>
        <v>0.9530756732989126</v>
      </c>
      <c r="K72" s="401" t="n">
        <v>17607.0</v>
      </c>
      <c r="L72" s="404" t="n">
        <f t="shared" si="13"/>
        <v>0.9532380924661414</v>
      </c>
      <c r="M72" s="401" t="n">
        <v>17424.0</v>
      </c>
      <c r="N72" s="404" t="n">
        <f t="shared" si="14"/>
        <v>0.9433305232651814</v>
      </c>
      <c r="O72" s="401" t="n">
        <v>19427.0</v>
      </c>
      <c r="P72" s="404" t="n">
        <f t="shared" si="15"/>
        <v>1.051772387251646</v>
      </c>
      <c r="Q72" s="401" t="n">
        <v>19595.0</v>
      </c>
      <c r="R72" s="404" t="n">
        <f t="shared" si="16"/>
        <v>1.0608678606164617</v>
      </c>
      <c r="S72" s="401" t="n">
        <v>19595.0</v>
      </c>
      <c r="T72" s="404" t="n">
        <f t="shared" si="17"/>
        <v>1.0608678606164617</v>
      </c>
    </row>
    <row r="73" spans="1:20">
      <c r="A73" s="19"/>
      <c r="B73" s="1080"/>
      <c r="C73" s="382" t="s">
        <v>19</v>
      </c>
      <c r="D73" s="468" t="n">
        <v>250.91666666666666</v>
      </c>
      <c r="E73" s="469" t="n">
        <v>272.8333333333333</v>
      </c>
      <c r="F73" s="470" t="n">
        <v>261.0</v>
      </c>
      <c r="G73" s="471" t="n">
        <v>256.2</v>
      </c>
      <c r="H73" s="469" t="n">
        <v>249.2</v>
      </c>
      <c r="I73" s="472" t="n">
        <v>243.0</v>
      </c>
      <c r="J73" s="395" t="n">
        <f t="shared" si="12"/>
        <v>0.9558109833971903</v>
      </c>
      <c r="K73" s="471" t="n">
        <v>249.2</v>
      </c>
      <c r="L73" s="396" t="n">
        <f t="shared" si="13"/>
        <v>0.9547892720306513</v>
      </c>
      <c r="M73" s="471" t="n">
        <v>246.7</v>
      </c>
      <c r="N73" s="396" t="n">
        <f t="shared" si="14"/>
        <v>0.9452107279693486</v>
      </c>
      <c r="O73" s="471" t="n">
        <v>275.4</v>
      </c>
      <c r="P73" s="396" t="n">
        <f t="shared" si="15"/>
        <v>1.0551724137931033</v>
      </c>
      <c r="Q73" s="471" t="n">
        <v>276.5</v>
      </c>
      <c r="R73" s="396" t="n">
        <f t="shared" si="16"/>
        <v>1.0593869731800767</v>
      </c>
      <c r="S73" s="471" t="n">
        <v>276.5</v>
      </c>
      <c r="T73" s="404" t="n">
        <f t="shared" si="17"/>
        <v>1.0593869731800767</v>
      </c>
    </row>
    <row r="74" spans="1:20">
      <c r="A74" s="19"/>
      <c r="B74" s="726"/>
      <c r="C74" s="382" t="s">
        <v>17</v>
      </c>
      <c r="D74" s="465" t="n">
        <v>37.333333333333336</v>
      </c>
      <c r="E74" s="402" t="n">
        <v>41.833333333333336</v>
      </c>
      <c r="F74" s="466" t="n">
        <v>47.0</v>
      </c>
      <c r="G74" s="401" t="n">
        <v>46.0</v>
      </c>
      <c r="H74" s="402" t="n">
        <v>45.0</v>
      </c>
      <c r="I74" s="467" t="n">
        <v>44.0</v>
      </c>
      <c r="J74" s="395" t="n">
        <f t="shared" si="12"/>
        <v>0.9574468085106383</v>
      </c>
      <c r="K74" s="401" t="n">
        <v>45.0</v>
      </c>
      <c r="L74" s="396" t="n">
        <f t="shared" si="13"/>
        <v>0.9574468085106383</v>
      </c>
      <c r="M74" s="401" t="n">
        <v>45.0</v>
      </c>
      <c r="N74" s="396" t="n">
        <f t="shared" si="14"/>
        <v>0.9574468085106383</v>
      </c>
      <c r="O74" s="401" t="n">
        <v>50.0</v>
      </c>
      <c r="P74" s="396" t="n">
        <f t="shared" si="15"/>
        <v>1.0638297872340425</v>
      </c>
      <c r="Q74" s="401" t="n">
        <v>50.0</v>
      </c>
      <c r="R74" s="396" t="n">
        <f t="shared" si="16"/>
        <v>1.0638297872340425</v>
      </c>
      <c r="S74" s="401" t="n">
        <v>50.0</v>
      </c>
      <c r="T74" s="404" t="n">
        <f t="shared" si="17"/>
        <v>1.0638297872340425</v>
      </c>
    </row>
    <row r="75" spans="1:20">
      <c r="A75" s="19"/>
      <c r="B75" s="1079" t="s">
        <v>42</v>
      </c>
      <c r="C75" s="382" t="s">
        <v>16</v>
      </c>
      <c r="D75" s="465" t="n">
        <v>8.604</v>
      </c>
      <c r="E75" s="402" t="n">
        <v>0.0</v>
      </c>
      <c r="F75" s="466" t="n">
        <v>0.0</v>
      </c>
      <c r="G75" s="401" t="n">
        <v>0.0</v>
      </c>
      <c r="H75" s="402" t="n">
        <v>0.0</v>
      </c>
      <c r="I75" s="467" t="n">
        <v>0.0</v>
      </c>
      <c r="J75" s="403" t="str">
        <f t="shared" si="12"/>
        <v>－</v>
      </c>
      <c r="K75" s="401" t="n">
        <v>0.0</v>
      </c>
      <c r="L75" s="404" t="str">
        <f t="shared" si="13"/>
        <v>－</v>
      </c>
      <c r="M75" s="401" t="n">
        <v>0.0</v>
      </c>
      <c r="N75" s="404" t="str">
        <f t="shared" si="14"/>
        <v>－</v>
      </c>
      <c r="O75" s="401" t="n">
        <v>0.0</v>
      </c>
      <c r="P75" s="404" t="str">
        <f t="shared" si="15"/>
        <v>－</v>
      </c>
      <c r="Q75" s="401" t="n">
        <v>0.0</v>
      </c>
      <c r="R75" s="404" t="str">
        <f t="shared" si="16"/>
        <v>－</v>
      </c>
      <c r="S75" s="401" t="n">
        <v>0.0</v>
      </c>
      <c r="T75" s="404" t="str">
        <f t="shared" si="17"/>
        <v>－</v>
      </c>
    </row>
    <row r="76" spans="1:20">
      <c r="A76" s="19"/>
      <c r="B76" s="1080"/>
      <c r="C76" s="382" t="s">
        <v>19</v>
      </c>
      <c r="D76" s="468" t="n">
        <v>0.25</v>
      </c>
      <c r="E76" s="469" t="n">
        <v>0.0</v>
      </c>
      <c r="F76" s="470" t="n">
        <v>0.0</v>
      </c>
      <c r="G76" s="471" t="n">
        <v>0.0</v>
      </c>
      <c r="H76" s="469" t="n">
        <v>0.0</v>
      </c>
      <c r="I76" s="472" t="n">
        <v>0.0</v>
      </c>
      <c r="J76" s="395" t="str">
        <f t="shared" si="12"/>
        <v>－</v>
      </c>
      <c r="K76" s="471" t="n">
        <v>0.0</v>
      </c>
      <c r="L76" s="396" t="str">
        <f t="shared" si="13"/>
        <v>－</v>
      </c>
      <c r="M76" s="471" t="n">
        <v>0.0</v>
      </c>
      <c r="N76" s="396" t="str">
        <f t="shared" si="14"/>
        <v>－</v>
      </c>
      <c r="O76" s="471" t="n">
        <v>0.0</v>
      </c>
      <c r="P76" s="396" t="str">
        <f t="shared" si="15"/>
        <v>－</v>
      </c>
      <c r="Q76" s="471" t="n">
        <v>0.0</v>
      </c>
      <c r="R76" s="396" t="str">
        <f t="shared" si="16"/>
        <v>－</v>
      </c>
      <c r="S76" s="471" t="n">
        <v>0.0</v>
      </c>
      <c r="T76" s="404" t="str">
        <f t="shared" si="17"/>
        <v>－</v>
      </c>
    </row>
    <row r="77" spans="1:20">
      <c r="A77" s="19"/>
      <c r="B77" s="726"/>
      <c r="C77" s="382" t="s">
        <v>17</v>
      </c>
      <c r="D77" s="465" t="n">
        <v>0.08333333333333333</v>
      </c>
      <c r="E77" s="402" t="n">
        <v>0.0</v>
      </c>
      <c r="F77" s="466" t="n">
        <v>0.0</v>
      </c>
      <c r="G77" s="401" t="n">
        <v>0.0</v>
      </c>
      <c r="H77" s="402" t="n">
        <v>0.0</v>
      </c>
      <c r="I77" s="467" t="n">
        <v>0.0</v>
      </c>
      <c r="J77" s="395" t="str">
        <f t="shared" si="12"/>
        <v>－</v>
      </c>
      <c r="K77" s="401" t="n">
        <v>0.0</v>
      </c>
      <c r="L77" s="396" t="str">
        <f t="shared" si="13"/>
        <v>－</v>
      </c>
      <c r="M77" s="401" t="n">
        <v>0.0</v>
      </c>
      <c r="N77" s="396" t="str">
        <f t="shared" si="14"/>
        <v>－</v>
      </c>
      <c r="O77" s="401" t="n">
        <v>0.0</v>
      </c>
      <c r="P77" s="396" t="str">
        <f t="shared" si="15"/>
        <v>－</v>
      </c>
      <c r="Q77" s="401" t="n">
        <v>0.0</v>
      </c>
      <c r="R77" s="396" t="str">
        <f t="shared" si="16"/>
        <v>－</v>
      </c>
      <c r="S77" s="401" t="n">
        <v>0.0</v>
      </c>
      <c r="T77" s="404" t="str">
        <f t="shared" si="17"/>
        <v>－</v>
      </c>
    </row>
    <row r="78" spans="1:20">
      <c r="A78" s="19"/>
      <c r="B78" s="1079" t="s">
        <v>43</v>
      </c>
      <c r="C78" s="382" t="s">
        <v>16</v>
      </c>
      <c r="D78" s="465" t="n">
        <v>757.254</v>
      </c>
      <c r="E78" s="402" t="n">
        <v>818.632</v>
      </c>
      <c r="F78" s="466" t="n">
        <v>703.62</v>
      </c>
      <c r="G78" s="401" t="n">
        <v>704.0</v>
      </c>
      <c r="H78" s="402" t="n">
        <v>704.0</v>
      </c>
      <c r="I78" s="467" t="n">
        <v>704.0</v>
      </c>
      <c r="J78" s="403" t="n">
        <f t="shared" si="12"/>
        <v>1.00054006423922</v>
      </c>
      <c r="K78" s="401" t="n">
        <v>704.0</v>
      </c>
      <c r="L78" s="404" t="n">
        <f t="shared" si="13"/>
        <v>1.00054006423922</v>
      </c>
      <c r="M78" s="401" t="n">
        <v>704.0</v>
      </c>
      <c r="N78" s="404" t="n">
        <f t="shared" si="14"/>
        <v>1.00054006423922</v>
      </c>
      <c r="O78" s="401" t="n">
        <v>704.0</v>
      </c>
      <c r="P78" s="404" t="n">
        <f t="shared" si="15"/>
        <v>1.00054006423922</v>
      </c>
      <c r="Q78" s="401" t="n">
        <v>704.0</v>
      </c>
      <c r="R78" s="404" t="n">
        <f t="shared" si="16"/>
        <v>1.00054006423922</v>
      </c>
      <c r="S78" s="401" t="n">
        <v>704.0</v>
      </c>
      <c r="T78" s="404" t="n">
        <f t="shared" si="17"/>
        <v>1.00054006423922</v>
      </c>
    </row>
    <row r="79" spans="1:20">
      <c r="A79" s="19"/>
      <c r="B79" s="1083"/>
      <c r="C79" s="382" t="s">
        <v>17</v>
      </c>
      <c r="D79" s="465" t="n">
        <v>10.916666666666666</v>
      </c>
      <c r="E79" s="402" t="n">
        <v>9.083333333333334</v>
      </c>
      <c r="F79" s="466" t="n">
        <v>4.0</v>
      </c>
      <c r="G79" s="401" t="n">
        <v>4.0</v>
      </c>
      <c r="H79" s="402" t="n">
        <v>4.0</v>
      </c>
      <c r="I79" s="467" t="n">
        <v>4.0</v>
      </c>
      <c r="J79" s="395" t="n">
        <f t="shared" si="12"/>
        <v>1.0</v>
      </c>
      <c r="K79" s="401" t="n">
        <v>4.0</v>
      </c>
      <c r="L79" s="396" t="n">
        <f t="shared" si="13"/>
        <v>1.0</v>
      </c>
      <c r="M79" s="401" t="n">
        <v>4.0</v>
      </c>
      <c r="N79" s="396" t="n">
        <f t="shared" si="14"/>
        <v>1.0</v>
      </c>
      <c r="O79" s="401" t="n">
        <v>4.0</v>
      </c>
      <c r="P79" s="396" t="n">
        <f t="shared" si="15"/>
        <v>1.0</v>
      </c>
      <c r="Q79" s="401" t="n">
        <v>4.0</v>
      </c>
      <c r="R79" s="396" t="n">
        <f t="shared" si="16"/>
        <v>1.0</v>
      </c>
      <c r="S79" s="401" t="n">
        <v>4.0</v>
      </c>
      <c r="T79" s="404" t="n">
        <f t="shared" si="17"/>
        <v>1.0</v>
      </c>
    </row>
    <row r="80" spans="1:20">
      <c r="A80" s="19"/>
      <c r="B80" s="1079" t="s">
        <v>44</v>
      </c>
      <c r="C80" s="382" t="s">
        <v>16</v>
      </c>
      <c r="D80" s="465" t="n">
        <v>158114.335</v>
      </c>
      <c r="E80" s="402" t="n">
        <v>153905.251</v>
      </c>
      <c r="F80" s="466" t="n">
        <v>153500.6976</v>
      </c>
      <c r="G80" s="401" t="n">
        <v>149092.0</v>
      </c>
      <c r="H80" s="402" t="n">
        <v>148412.0</v>
      </c>
      <c r="I80" s="467" t="n">
        <v>144891.0</v>
      </c>
      <c r="J80" s="403" t="n">
        <f t="shared" si="12"/>
        <v>0.960679673158697</v>
      </c>
      <c r="K80" s="401" t="n">
        <v>148412.0</v>
      </c>
      <c r="L80" s="404" t="n">
        <f t="shared" si="13"/>
        <v>0.9668490262287902</v>
      </c>
      <c r="M80" s="401" t="n">
        <v>150457.0</v>
      </c>
      <c r="N80" s="404" t="n">
        <f t="shared" si="14"/>
        <v>0.9801714412534369</v>
      </c>
      <c r="O80" s="401" t="n">
        <v>162275.0</v>
      </c>
      <c r="P80" s="404" t="n">
        <f t="shared" si="15"/>
        <v>1.05716131937631</v>
      </c>
      <c r="Q80" s="401" t="n">
        <v>163788.0</v>
      </c>
      <c r="R80" s="404" t="n">
        <f t="shared" si="16"/>
        <v>1.0670179521060366</v>
      </c>
      <c r="S80" s="401" t="n">
        <v>156924.0</v>
      </c>
      <c r="T80" s="404" t="n">
        <f t="shared" si="17"/>
        <v>1.0223015429475155</v>
      </c>
    </row>
    <row r="81" spans="1:20">
      <c r="A81" s="19"/>
      <c r="B81" s="1080"/>
      <c r="C81" s="382" t="s">
        <v>19</v>
      </c>
      <c r="D81" s="465" t="n">
        <v>1597.8333333333333</v>
      </c>
      <c r="E81" s="402" t="n">
        <v>1531.25</v>
      </c>
      <c r="F81" s="466" t="n">
        <v>1519.8</v>
      </c>
      <c r="G81" s="471" t="n">
        <v>1482.5</v>
      </c>
      <c r="H81" s="469" t="n">
        <v>1476.1</v>
      </c>
      <c r="I81" s="472" t="n">
        <v>1443.1</v>
      </c>
      <c r="J81" s="395" t="n">
        <f t="shared" si="12"/>
        <v>0.9654121156292496</v>
      </c>
      <c r="K81" s="471" t="n">
        <v>1476.1</v>
      </c>
      <c r="L81" s="396" t="n">
        <f t="shared" si="13"/>
        <v>0.9712462166074484</v>
      </c>
      <c r="M81" s="471" t="n">
        <v>1497.9</v>
      </c>
      <c r="N81" s="396" t="n">
        <f t="shared" si="14"/>
        <v>0.9855902092380577</v>
      </c>
      <c r="O81" s="471" t="n">
        <v>1613.6</v>
      </c>
      <c r="P81" s="396" t="n">
        <f t="shared" si="15"/>
        <v>1.0617186471904199</v>
      </c>
      <c r="Q81" s="471" t="n">
        <v>1626.4</v>
      </c>
      <c r="R81" s="396" t="n">
        <f t="shared" si="16"/>
        <v>1.0701408080010528</v>
      </c>
      <c r="S81" s="471" t="n">
        <v>1553.6</v>
      </c>
      <c r="T81" s="404" t="n">
        <f t="shared" si="17"/>
        <v>1.0222397683905777</v>
      </c>
    </row>
    <row r="82" spans="1:20">
      <c r="A82" s="19"/>
      <c r="B82" s="726"/>
      <c r="C82" s="382" t="s">
        <v>17</v>
      </c>
      <c r="D82" s="465" t="n">
        <v>171.41666666666666</v>
      </c>
      <c r="E82" s="402" t="n">
        <v>167.5</v>
      </c>
      <c r="F82" s="466" t="n">
        <v>184.0</v>
      </c>
      <c r="G82" s="401" t="n">
        <v>180.0</v>
      </c>
      <c r="H82" s="402" t="n">
        <v>180.0</v>
      </c>
      <c r="I82" s="467" t="n">
        <v>176.0</v>
      </c>
      <c r="J82" s="395" t="n">
        <f t="shared" si="12"/>
        <v>0.9710144927536232</v>
      </c>
      <c r="K82" s="401" t="n">
        <v>180.0</v>
      </c>
      <c r="L82" s="396" t="n">
        <f t="shared" si="13"/>
        <v>0.9782608695652174</v>
      </c>
      <c r="M82" s="401" t="n">
        <v>183.0</v>
      </c>
      <c r="N82" s="396" t="n">
        <f t="shared" si="14"/>
        <v>0.9945652173913043</v>
      </c>
      <c r="O82" s="401" t="n">
        <v>197.0</v>
      </c>
      <c r="P82" s="396" t="n">
        <f t="shared" si="15"/>
        <v>1.0706521739130435</v>
      </c>
      <c r="Q82" s="401" t="n">
        <v>198.0</v>
      </c>
      <c r="R82" s="396" t="n">
        <f t="shared" si="16"/>
        <v>1.076086956521739</v>
      </c>
      <c r="S82" s="401" t="n">
        <v>189.0</v>
      </c>
      <c r="T82" s="404" t="n">
        <f t="shared" si="17"/>
        <v>1.0271739130434783</v>
      </c>
    </row>
    <row r="83" spans="1:20">
      <c r="A83" s="19"/>
      <c r="B83" s="1079" t="s">
        <v>45</v>
      </c>
      <c r="C83" s="382" t="s">
        <v>16</v>
      </c>
      <c r="D83" s="465" t="n">
        <v>12991.937</v>
      </c>
      <c r="E83" s="402" t="n">
        <v>17170.185</v>
      </c>
      <c r="F83" s="466" t="n">
        <v>45552.162</v>
      </c>
      <c r="G83" s="401" t="n">
        <v>41025.0</v>
      </c>
      <c r="H83" s="402" t="n">
        <v>46025.0</v>
      </c>
      <c r="I83" s="467" t="n">
        <v>41025.0</v>
      </c>
      <c r="J83" s="403" t="n">
        <f t="shared" si="12"/>
        <v>0.9372039611789813</v>
      </c>
      <c r="K83" s="401" t="n">
        <v>46025.0</v>
      </c>
      <c r="L83" s="404" t="n">
        <f t="shared" si="13"/>
        <v>1.0103801439764815</v>
      </c>
      <c r="M83" s="401" t="n">
        <v>46025.0</v>
      </c>
      <c r="N83" s="404" t="n">
        <f t="shared" si="14"/>
        <v>1.0103801439764815</v>
      </c>
      <c r="O83" s="401" t="n">
        <v>46971.0</v>
      </c>
      <c r="P83" s="404" t="n">
        <f t="shared" si="15"/>
        <v>1.0311475446544118</v>
      </c>
      <c r="Q83" s="401" t="n">
        <v>51025.0</v>
      </c>
      <c r="R83" s="404" t="n">
        <f t="shared" si="16"/>
        <v>1.1201444181727314</v>
      </c>
      <c r="S83" s="401" t="n">
        <v>46025.0</v>
      </c>
      <c r="T83" s="404" t="n">
        <f t="shared" si="17"/>
        <v>1.0103801439764815</v>
      </c>
    </row>
    <row r="84" spans="1:20">
      <c r="A84" s="19"/>
      <c r="B84" s="1080"/>
      <c r="C84" s="382" t="s">
        <v>19</v>
      </c>
      <c r="D84" s="468" t="n">
        <v>153.66666666666666</v>
      </c>
      <c r="E84" s="469" t="n">
        <v>185.66666666666666</v>
      </c>
      <c r="F84" s="470" t="n">
        <v>398.0</v>
      </c>
      <c r="G84" s="471" t="n">
        <v>365.7</v>
      </c>
      <c r="H84" s="469" t="n">
        <v>405.1</v>
      </c>
      <c r="I84" s="472" t="n">
        <v>365.7</v>
      </c>
      <c r="J84" s="395" t="n">
        <f t="shared" si="12"/>
        <v>0.9518425460636516</v>
      </c>
      <c r="K84" s="471" t="n">
        <v>405.1</v>
      </c>
      <c r="L84" s="396" t="n">
        <f t="shared" si="13"/>
        <v>1.0178391959798996</v>
      </c>
      <c r="M84" s="471" t="n">
        <v>405.1</v>
      </c>
      <c r="N84" s="396" t="n">
        <f t="shared" si="14"/>
        <v>1.0178391959798996</v>
      </c>
      <c r="O84" s="471" t="n">
        <v>419.3</v>
      </c>
      <c r="P84" s="396" t="n">
        <f t="shared" si="15"/>
        <v>1.0535175879396985</v>
      </c>
      <c r="Q84" s="471" t="n">
        <v>444.5</v>
      </c>
      <c r="R84" s="396" t="n">
        <f t="shared" si="16"/>
        <v>1.1168341708542713</v>
      </c>
      <c r="S84" s="471" t="n">
        <v>405.1</v>
      </c>
      <c r="T84" s="404" t="n">
        <f t="shared" si="17"/>
        <v>1.0178391959798996</v>
      </c>
    </row>
    <row r="85" spans="1:20">
      <c r="A85" s="19"/>
      <c r="B85" s="726"/>
      <c r="C85" s="382" t="s">
        <v>17</v>
      </c>
      <c r="D85" s="465" t="n">
        <v>23.75</v>
      </c>
      <c r="E85" s="402" t="n">
        <v>26.5</v>
      </c>
      <c r="F85" s="466" t="n">
        <v>31.0</v>
      </c>
      <c r="G85" s="401" t="n">
        <v>30.0</v>
      </c>
      <c r="H85" s="402" t="n">
        <v>32.0</v>
      </c>
      <c r="I85" s="467" t="n">
        <v>30.0</v>
      </c>
      <c r="J85" s="395" t="n">
        <f t="shared" si="12"/>
        <v>0.989247311827957</v>
      </c>
      <c r="K85" s="401" t="n">
        <v>32.0</v>
      </c>
      <c r="L85" s="396" t="n">
        <f t="shared" si="13"/>
        <v>1.032258064516129</v>
      </c>
      <c r="M85" s="401" t="n">
        <v>32.0</v>
      </c>
      <c r="N85" s="396" t="n">
        <f t="shared" si="14"/>
        <v>1.032258064516129</v>
      </c>
      <c r="O85" s="401" t="n">
        <v>34.0</v>
      </c>
      <c r="P85" s="396" t="n">
        <f t="shared" si="15"/>
        <v>1.096774193548387</v>
      </c>
      <c r="Q85" s="401" t="n">
        <v>34.0</v>
      </c>
      <c r="R85" s="396" t="n">
        <f t="shared" si="16"/>
        <v>1.096774193548387</v>
      </c>
      <c r="S85" s="401" t="n">
        <v>32.0</v>
      </c>
      <c r="T85" s="404" t="n">
        <f t="shared" si="17"/>
        <v>1.032258064516129</v>
      </c>
    </row>
    <row r="86" spans="1:20">
      <c r="A86" s="19"/>
      <c r="B86" s="1079" t="s">
        <v>46</v>
      </c>
      <c r="C86" s="382" t="s">
        <v>16</v>
      </c>
      <c r="D86" s="465" t="n">
        <v>33592.449</v>
      </c>
      <c r="E86" s="402" t="n">
        <v>23971.64</v>
      </c>
      <c r="F86" s="466" t="n">
        <v>39505.4496</v>
      </c>
      <c r="G86" s="401" t="n">
        <v>38030.0</v>
      </c>
      <c r="H86" s="402" t="n">
        <v>37023.0</v>
      </c>
      <c r="I86" s="467" t="n">
        <v>35996.0</v>
      </c>
      <c r="J86" s="403" t="n">
        <f t="shared" si="12"/>
        <v>0.9369930910325176</v>
      </c>
      <c r="K86" s="401" t="n">
        <v>37023.0</v>
      </c>
      <c r="L86" s="404" t="n">
        <f t="shared" si="13"/>
        <v>0.9371618441218803</v>
      </c>
      <c r="M86" s="401" t="n">
        <v>37657.0</v>
      </c>
      <c r="N86" s="404" t="n">
        <f t="shared" si="14"/>
        <v>0.9532102629202833</v>
      </c>
      <c r="O86" s="401" t="n">
        <v>40775.0</v>
      </c>
      <c r="P86" s="404" t="n">
        <f t="shared" si="15"/>
        <v>1.0321360828152681</v>
      </c>
      <c r="Q86" s="401" t="n">
        <v>42643.0</v>
      </c>
      <c r="R86" s="404" t="n">
        <f t="shared" si="16"/>
        <v>1.0794206984547265</v>
      </c>
      <c r="S86" s="401" t="n">
        <v>41616.0</v>
      </c>
      <c r="T86" s="404" t="n">
        <f t="shared" si="17"/>
        <v>1.0534242850383861</v>
      </c>
    </row>
    <row r="87" spans="1:20">
      <c r="A87" s="19"/>
      <c r="B87" s="1080"/>
      <c r="C87" s="382" t="s">
        <v>25</v>
      </c>
      <c r="D87" s="468" t="n">
        <v>341.8333333333333</v>
      </c>
      <c r="E87" s="469" t="n">
        <v>236.58333333333334</v>
      </c>
      <c r="F87" s="470" t="n">
        <v>385.8</v>
      </c>
      <c r="G87" s="471" t="n">
        <v>372.7</v>
      </c>
      <c r="H87" s="469" t="n">
        <v>362.5</v>
      </c>
      <c r="I87" s="472" t="n">
        <v>352.5</v>
      </c>
      <c r="J87" s="395" t="n">
        <f t="shared" si="12"/>
        <v>0.9397788145844133</v>
      </c>
      <c r="K87" s="471" t="n">
        <v>362.5</v>
      </c>
      <c r="L87" s="396" t="n">
        <f t="shared" si="13"/>
        <v>0.9396060134784863</v>
      </c>
      <c r="M87" s="471" t="n">
        <v>369.8</v>
      </c>
      <c r="N87" s="396" t="n">
        <f t="shared" si="14"/>
        <v>0.9585277345775013</v>
      </c>
      <c r="O87" s="471" t="n">
        <v>400.4</v>
      </c>
      <c r="P87" s="396" t="n">
        <f t="shared" si="15"/>
        <v>1.03784344219803</v>
      </c>
      <c r="Q87" s="471" t="n">
        <v>416.2</v>
      </c>
      <c r="R87" s="396" t="n">
        <f t="shared" si="16"/>
        <v>1.0787973043027475</v>
      </c>
      <c r="S87" s="471" t="n">
        <v>406.2</v>
      </c>
      <c r="T87" s="404" t="n">
        <f t="shared" si="17"/>
        <v>1.0528771384136857</v>
      </c>
    </row>
    <row r="88" spans="1:20">
      <c r="A88" s="19"/>
      <c r="B88" s="726"/>
      <c r="C88" s="382" t="s">
        <v>17</v>
      </c>
      <c r="D88" s="465" t="n">
        <v>33.083333333333336</v>
      </c>
      <c r="E88" s="402" t="n">
        <v>25.583333333333332</v>
      </c>
      <c r="F88" s="466" t="n">
        <v>38.0</v>
      </c>
      <c r="G88" s="401" t="n">
        <v>37.0</v>
      </c>
      <c r="H88" s="402" t="n">
        <v>36.0</v>
      </c>
      <c r="I88" s="467" t="n">
        <v>35.0</v>
      </c>
      <c r="J88" s="395" t="n">
        <f t="shared" si="12"/>
        <v>0.9473684210526315</v>
      </c>
      <c r="K88" s="401" t="n">
        <v>36.0</v>
      </c>
      <c r="L88" s="396" t="n">
        <f t="shared" si="13"/>
        <v>0.9473684210526315</v>
      </c>
      <c r="M88" s="401" t="n">
        <v>37.0</v>
      </c>
      <c r="N88" s="396" t="n">
        <f t="shared" si="14"/>
        <v>0.9736842105263158</v>
      </c>
      <c r="O88" s="401" t="n">
        <v>40.0</v>
      </c>
      <c r="P88" s="396" t="n">
        <f t="shared" si="15"/>
        <v>1.0526315789473684</v>
      </c>
      <c r="Q88" s="401" t="n">
        <v>41.0</v>
      </c>
      <c r="R88" s="396" t="n">
        <f t="shared" si="16"/>
        <v>1.0789473684210527</v>
      </c>
      <c r="S88" s="401" t="n">
        <v>40.0</v>
      </c>
      <c r="T88" s="404" t="n">
        <f t="shared" si="17"/>
        <v>1.0526315789473684</v>
      </c>
    </row>
    <row r="89" spans="1:20">
      <c r="A89" s="19"/>
      <c r="B89" s="1081" t="s">
        <v>47</v>
      </c>
      <c r="C89" s="382" t="s">
        <v>16</v>
      </c>
      <c r="D89" s="465" t="n">
        <v>2048.677</v>
      </c>
      <c r="E89" s="402" t="n">
        <v>2781.824</v>
      </c>
      <c r="F89" s="466" t="n">
        <v>789.48</v>
      </c>
      <c r="G89" s="401" t="n">
        <v>789.0</v>
      </c>
      <c r="H89" s="402" t="n">
        <v>789.0</v>
      </c>
      <c r="I89" s="467" t="n">
        <v>789.0</v>
      </c>
      <c r="J89" s="403" t="n">
        <f t="shared" si="12"/>
        <v>0.9993920048639611</v>
      </c>
      <c r="K89" s="401" t="n">
        <v>789.0</v>
      </c>
      <c r="L89" s="404" t="n">
        <f t="shared" si="13"/>
        <v>0.9993920048639611</v>
      </c>
      <c r="M89" s="401" t="n">
        <v>789.0</v>
      </c>
      <c r="N89" s="404" t="n">
        <f t="shared" si="14"/>
        <v>0.9993920048639611</v>
      </c>
      <c r="O89" s="401" t="n">
        <v>789.0</v>
      </c>
      <c r="P89" s="404" t="n">
        <f t="shared" si="15"/>
        <v>0.9993920048639611</v>
      </c>
      <c r="Q89" s="401" t="n">
        <v>789.0</v>
      </c>
      <c r="R89" s="404" t="n">
        <f t="shared" si="16"/>
        <v>0.9993920048639611</v>
      </c>
      <c r="S89" s="401" t="n">
        <v>789.0</v>
      </c>
      <c r="T89" s="404" t="n">
        <f t="shared" si="17"/>
        <v>0.9993920048639611</v>
      </c>
    </row>
    <row r="90" spans="1:20">
      <c r="A90" s="19"/>
      <c r="B90" s="1082"/>
      <c r="C90" s="382" t="s">
        <v>25</v>
      </c>
      <c r="D90" s="468" t="n">
        <v>14.833333333333334</v>
      </c>
      <c r="E90" s="469" t="n">
        <v>21.0</v>
      </c>
      <c r="F90" s="470" t="n">
        <v>6.0</v>
      </c>
      <c r="G90" s="471" t="n">
        <v>6.0</v>
      </c>
      <c r="H90" s="469" t="n">
        <v>6.0</v>
      </c>
      <c r="I90" s="472" t="n">
        <v>6.0</v>
      </c>
      <c r="J90" s="395" t="n">
        <f t="shared" si="12"/>
        <v>1.0</v>
      </c>
      <c r="K90" s="471" t="n">
        <v>6.0</v>
      </c>
      <c r="L90" s="396" t="n">
        <f t="shared" si="13"/>
        <v>1.0</v>
      </c>
      <c r="M90" s="471" t="n">
        <v>6.0</v>
      </c>
      <c r="N90" s="396" t="n">
        <f t="shared" si="14"/>
        <v>1.0</v>
      </c>
      <c r="O90" s="471" t="n">
        <v>6.0</v>
      </c>
      <c r="P90" s="396" t="n">
        <f t="shared" si="15"/>
        <v>1.0</v>
      </c>
      <c r="Q90" s="471" t="n">
        <v>6.0</v>
      </c>
      <c r="R90" s="396" t="n">
        <f t="shared" si="16"/>
        <v>1.0</v>
      </c>
      <c r="S90" s="471" t="n">
        <v>6.0</v>
      </c>
      <c r="T90" s="404" t="n">
        <f t="shared" si="17"/>
        <v>1.0</v>
      </c>
    </row>
    <row r="91" spans="1:20">
      <c r="A91" s="19"/>
      <c r="B91" s="726"/>
      <c r="C91" s="382" t="s">
        <v>17</v>
      </c>
      <c r="D91" s="465" t="n">
        <v>3.0</v>
      </c>
      <c r="E91" s="402" t="n">
        <v>3.25</v>
      </c>
      <c r="F91" s="466" t="n">
        <v>2.0</v>
      </c>
      <c r="G91" s="401" t="n">
        <v>2.0</v>
      </c>
      <c r="H91" s="402" t="n">
        <v>2.0</v>
      </c>
      <c r="I91" s="467" t="n">
        <v>2.0</v>
      </c>
      <c r="J91" s="395" t="n">
        <f t="shared" si="12"/>
        <v>1.0</v>
      </c>
      <c r="K91" s="401" t="n">
        <v>2.0</v>
      </c>
      <c r="L91" s="396" t="n">
        <f t="shared" si="13"/>
        <v>1.0</v>
      </c>
      <c r="M91" s="401" t="n">
        <v>2.0</v>
      </c>
      <c r="N91" s="396" t="n">
        <f t="shared" si="14"/>
        <v>1.0</v>
      </c>
      <c r="O91" s="401" t="n">
        <v>2.0</v>
      </c>
      <c r="P91" s="396" t="n">
        <f t="shared" si="15"/>
        <v>1.0</v>
      </c>
      <c r="Q91" s="401" t="n">
        <v>2.0</v>
      </c>
      <c r="R91" s="396" t="n">
        <f t="shared" si="16"/>
        <v>1.0</v>
      </c>
      <c r="S91" s="401" t="n">
        <v>2.0</v>
      </c>
      <c r="T91" s="404" t="n">
        <f t="shared" si="17"/>
        <v>1.0</v>
      </c>
    </row>
    <row r="92" spans="1:20">
      <c r="A92" s="19"/>
      <c r="B92" s="1081" t="s">
        <v>48</v>
      </c>
      <c r="C92" s="382" t="s">
        <v>16</v>
      </c>
      <c r="D92" s="465" t="n">
        <v>0.0</v>
      </c>
      <c r="E92" s="402" t="n">
        <v>0.0</v>
      </c>
      <c r="F92" s="466" t="n">
        <v>0.0</v>
      </c>
      <c r="G92" s="401" t="n">
        <v>0.0</v>
      </c>
      <c r="H92" s="402" t="n">
        <v>0.0</v>
      </c>
      <c r="I92" s="467" t="n">
        <v>0.0</v>
      </c>
      <c r="J92" s="403" t="str">
        <f t="shared" si="12"/>
        <v>－</v>
      </c>
      <c r="K92" s="401" t="n">
        <v>0.0</v>
      </c>
      <c r="L92" s="404" t="str">
        <f t="shared" si="13"/>
        <v>－</v>
      </c>
      <c r="M92" s="401" t="n">
        <v>0.0</v>
      </c>
      <c r="N92" s="404" t="str">
        <f t="shared" si="14"/>
        <v>－</v>
      </c>
      <c r="O92" s="401" t="n">
        <v>0.0</v>
      </c>
      <c r="P92" s="404" t="str">
        <f t="shared" si="15"/>
        <v>－</v>
      </c>
      <c r="Q92" s="401" t="n">
        <v>0.0</v>
      </c>
      <c r="R92" s="404" t="str">
        <f t="shared" si="16"/>
        <v>－</v>
      </c>
      <c r="S92" s="401" t="n">
        <v>0.0</v>
      </c>
      <c r="T92" s="404" t="str">
        <f t="shared" si="17"/>
        <v>－</v>
      </c>
    </row>
    <row r="93" spans="1:20">
      <c r="A93" s="19"/>
      <c r="B93" s="1082"/>
      <c r="C93" s="382" t="s">
        <v>25</v>
      </c>
      <c r="D93" s="468" t="n">
        <v>0.0</v>
      </c>
      <c r="E93" s="469" t="n">
        <v>0.0</v>
      </c>
      <c r="F93" s="470" t="n">
        <v>0.0</v>
      </c>
      <c r="G93" s="471" t="n">
        <v>0.0</v>
      </c>
      <c r="H93" s="469" t="n">
        <v>0.0</v>
      </c>
      <c r="I93" s="472" t="n">
        <v>0.0</v>
      </c>
      <c r="J93" s="395" t="str">
        <f t="shared" si="12"/>
        <v>－</v>
      </c>
      <c r="K93" s="471" t="n">
        <v>0.0</v>
      </c>
      <c r="L93" s="396" t="str">
        <f t="shared" si="13"/>
        <v>－</v>
      </c>
      <c r="M93" s="471" t="n">
        <v>0.0</v>
      </c>
      <c r="N93" s="396" t="str">
        <f t="shared" si="14"/>
        <v>－</v>
      </c>
      <c r="O93" s="471" t="n">
        <v>0.0</v>
      </c>
      <c r="P93" s="396" t="str">
        <f t="shared" si="15"/>
        <v>－</v>
      </c>
      <c r="Q93" s="471" t="n">
        <v>0.0</v>
      </c>
      <c r="R93" s="396" t="str">
        <f t="shared" si="16"/>
        <v>－</v>
      </c>
      <c r="S93" s="471" t="n">
        <v>0.0</v>
      </c>
      <c r="T93" s="404" t="str">
        <f t="shared" si="17"/>
        <v>－</v>
      </c>
    </row>
    <row r="94" spans="1:20">
      <c r="A94" s="19"/>
      <c r="B94" s="28"/>
      <c r="C94" s="382" t="s">
        <v>17</v>
      </c>
      <c r="D94" s="465" t="n">
        <v>0.0</v>
      </c>
      <c r="E94" s="402" t="n">
        <v>0.0</v>
      </c>
      <c r="F94" s="466" t="n">
        <v>0.0</v>
      </c>
      <c r="G94" s="401" t="n">
        <v>0.0</v>
      </c>
      <c r="H94" s="402" t="n">
        <v>0.0</v>
      </c>
      <c r="I94" s="467" t="n">
        <v>0.0</v>
      </c>
      <c r="J94" s="395" t="str">
        <f t="shared" si="12"/>
        <v>－</v>
      </c>
      <c r="K94" s="401" t="n">
        <v>0.0</v>
      </c>
      <c r="L94" s="396" t="str">
        <f t="shared" si="13"/>
        <v>－</v>
      </c>
      <c r="M94" s="401" t="n">
        <v>0.0</v>
      </c>
      <c r="N94" s="396" t="str">
        <f t="shared" si="14"/>
        <v>－</v>
      </c>
      <c r="O94" s="401" t="n">
        <v>0.0</v>
      </c>
      <c r="P94" s="396" t="str">
        <f t="shared" si="15"/>
        <v>－</v>
      </c>
      <c r="Q94" s="401" t="n">
        <v>0.0</v>
      </c>
      <c r="R94" s="396" t="str">
        <f t="shared" si="16"/>
        <v>－</v>
      </c>
      <c r="S94" s="401" t="n">
        <v>0.0</v>
      </c>
      <c r="T94" s="404" t="str">
        <f t="shared" si="17"/>
        <v>－</v>
      </c>
    </row>
    <row r="95" spans="1:20">
      <c r="A95" s="19"/>
      <c r="B95" s="1081" t="s">
        <v>239</v>
      </c>
      <c r="C95" s="412" t="s">
        <v>16</v>
      </c>
      <c r="D95" s="473" t="n">
        <v>0.0</v>
      </c>
      <c r="E95" s="402" t="n">
        <v>0.0</v>
      </c>
      <c r="F95" s="466" t="n">
        <v>0.0</v>
      </c>
      <c r="G95" s="401" t="n">
        <v>0.0</v>
      </c>
      <c r="H95" s="402" t="n">
        <v>0.0</v>
      </c>
      <c r="I95" s="474" t="n">
        <v>0.0</v>
      </c>
      <c r="J95" s="475" t="str">
        <f t="shared" ref="J95:J97" si="18">IFERROR(SUM(G95:I95)/3/F95,"－")</f>
        <v>－</v>
      </c>
      <c r="K95" s="401" t="n">
        <v>0.0</v>
      </c>
      <c r="L95" s="476" t="str">
        <f t="shared" si="13"/>
        <v>－</v>
      </c>
      <c r="M95" s="401" t="n">
        <v>0.0</v>
      </c>
      <c r="N95" s="476" t="str">
        <f t="shared" si="14"/>
        <v>－</v>
      </c>
      <c r="O95" s="401" t="n">
        <v>0.0</v>
      </c>
      <c r="P95" s="476" t="str">
        <f t="shared" si="15"/>
        <v>－</v>
      </c>
      <c r="Q95" s="401" t="n">
        <v>0.0</v>
      </c>
      <c r="R95" s="476" t="str">
        <f t="shared" si="16"/>
        <v>－</v>
      </c>
      <c r="S95" s="401" t="n">
        <v>0.0</v>
      </c>
      <c r="T95" s="404" t="str">
        <f t="shared" si="17"/>
        <v>－</v>
      </c>
    </row>
    <row r="96" spans="1:20">
      <c r="A96" s="19"/>
      <c r="B96" s="1082"/>
      <c r="C96" s="412" t="s">
        <v>25</v>
      </c>
      <c r="D96" s="477" t="n">
        <v>0.0</v>
      </c>
      <c r="E96" s="469" t="n">
        <v>0.0</v>
      </c>
      <c r="F96" s="470" t="n">
        <v>0.0</v>
      </c>
      <c r="G96" s="471" t="n">
        <v>0.0</v>
      </c>
      <c r="H96" s="469" t="n">
        <v>0.0</v>
      </c>
      <c r="I96" s="478" t="n">
        <v>0.0</v>
      </c>
      <c r="J96" s="415" t="str">
        <f t="shared" si="18"/>
        <v>－</v>
      </c>
      <c r="K96" s="471" t="n">
        <v>0.0</v>
      </c>
      <c r="L96" s="416" t="str">
        <f t="shared" si="13"/>
        <v>－</v>
      </c>
      <c r="M96" s="471" t="n">
        <v>0.0</v>
      </c>
      <c r="N96" s="416" t="str">
        <f t="shared" si="14"/>
        <v>－</v>
      </c>
      <c r="O96" s="471" t="n">
        <v>0.0</v>
      </c>
      <c r="P96" s="416" t="str">
        <f t="shared" si="15"/>
        <v>－</v>
      </c>
      <c r="Q96" s="471" t="n">
        <v>0.0</v>
      </c>
      <c r="R96" s="416" t="str">
        <f t="shared" si="16"/>
        <v>－</v>
      </c>
      <c r="S96" s="471" t="n">
        <v>0.0</v>
      </c>
      <c r="T96" s="404" t="str">
        <f t="shared" si="17"/>
        <v>－</v>
      </c>
    </row>
    <row r="97" spans="1:20">
      <c r="A97" s="19"/>
      <c r="B97" s="28"/>
      <c r="C97" s="412" t="s">
        <v>17</v>
      </c>
      <c r="D97" s="473" t="n">
        <v>0.0</v>
      </c>
      <c r="E97" s="402" t="n">
        <v>0.0</v>
      </c>
      <c r="F97" s="466" t="n">
        <v>0.0</v>
      </c>
      <c r="G97" s="401" t="n">
        <v>0.0</v>
      </c>
      <c r="H97" s="402" t="n">
        <v>0.0</v>
      </c>
      <c r="I97" s="474" t="n">
        <v>0.0</v>
      </c>
      <c r="J97" s="415" t="str">
        <f t="shared" si="18"/>
        <v>－</v>
      </c>
      <c r="K97" s="401" t="n">
        <v>0.0</v>
      </c>
      <c r="L97" s="416" t="str">
        <f t="shared" si="13"/>
        <v>－</v>
      </c>
      <c r="M97" s="401" t="n">
        <v>0.0</v>
      </c>
      <c r="N97" s="416" t="str">
        <f t="shared" si="14"/>
        <v>－</v>
      </c>
      <c r="O97" s="401" t="n">
        <v>0.0</v>
      </c>
      <c r="P97" s="416" t="str">
        <f t="shared" si="15"/>
        <v>－</v>
      </c>
      <c r="Q97" s="401" t="n">
        <v>0.0</v>
      </c>
      <c r="R97" s="416" t="str">
        <f t="shared" si="16"/>
        <v>－</v>
      </c>
      <c r="S97" s="401" t="n">
        <v>0.0</v>
      </c>
      <c r="T97" s="404" t="str">
        <f t="shared" si="17"/>
        <v>－</v>
      </c>
    </row>
    <row r="98" spans="1:20">
      <c r="A98" s="19"/>
      <c r="B98" s="1079" t="s">
        <v>49</v>
      </c>
      <c r="C98" s="382" t="s">
        <v>16</v>
      </c>
      <c r="D98" s="465" t="n">
        <v>29422.286</v>
      </c>
      <c r="E98" s="402" t="n">
        <v>31565.096</v>
      </c>
      <c r="F98" s="466" t="n">
        <v>34969.92</v>
      </c>
      <c r="G98" s="401" t="n">
        <v>33574.0</v>
      </c>
      <c r="H98" s="402" t="n">
        <v>33634.0</v>
      </c>
      <c r="I98" s="467" t="n">
        <v>32786.0</v>
      </c>
      <c r="J98" s="403" t="n">
        <f t="shared" si="12"/>
        <v>0.953142967823013</v>
      </c>
      <c r="K98" s="401" t="n">
        <v>33365.0</v>
      </c>
      <c r="L98" s="404" t="n">
        <f t="shared" si="13"/>
        <v>0.9541056999844438</v>
      </c>
      <c r="M98" s="401" t="n">
        <v>33892.0</v>
      </c>
      <c r="N98" s="404" t="n">
        <f t="shared" si="14"/>
        <v>0.9691757945113972</v>
      </c>
      <c r="O98" s="401" t="n">
        <v>36620.0</v>
      </c>
      <c r="P98" s="404" t="n">
        <f t="shared" si="15"/>
        <v>1.0471856955920975</v>
      </c>
      <c r="Q98" s="401" t="n">
        <v>37316.0</v>
      </c>
      <c r="R98" s="404" t="n">
        <f t="shared" si="16"/>
        <v>1.0670885149294023</v>
      </c>
      <c r="S98" s="401" t="n">
        <v>35624.0</v>
      </c>
      <c r="T98" s="404" t="n">
        <f t="shared" si="17"/>
        <v>1.0187040748162992</v>
      </c>
    </row>
    <row r="99" spans="1:20">
      <c r="A99" s="19"/>
      <c r="B99" s="1083"/>
      <c r="C99" s="382" t="s">
        <v>17</v>
      </c>
      <c r="D99" s="465" t="n">
        <v>191.5</v>
      </c>
      <c r="E99" s="402" t="n">
        <v>192.83333333333334</v>
      </c>
      <c r="F99" s="466" t="n">
        <v>211.0</v>
      </c>
      <c r="G99" s="401" t="n">
        <v>204.0</v>
      </c>
      <c r="H99" s="402" t="n">
        <v>205.0</v>
      </c>
      <c r="I99" s="467" t="n">
        <v>200.0</v>
      </c>
      <c r="J99" s="395" t="n">
        <f t="shared" si="12"/>
        <v>0.9620853080568721</v>
      </c>
      <c r="K99" s="401" t="n">
        <v>203.0</v>
      </c>
      <c r="L99" s="396" t="n">
        <f t="shared" si="13"/>
        <v>0.9620853080568721</v>
      </c>
      <c r="M99" s="401" t="n">
        <v>207.0</v>
      </c>
      <c r="N99" s="396" t="n">
        <f t="shared" si="14"/>
        <v>0.981042654028436</v>
      </c>
      <c r="O99" s="401" t="n">
        <v>223.0</v>
      </c>
      <c r="P99" s="396" t="n">
        <f t="shared" si="15"/>
        <v>1.0568720379146919</v>
      </c>
      <c r="Q99" s="401" t="n">
        <v>226.0</v>
      </c>
      <c r="R99" s="396" t="n">
        <f t="shared" si="16"/>
        <v>1.0710900473933649</v>
      </c>
      <c r="S99" s="401" t="n">
        <v>215.0</v>
      </c>
      <c r="T99" s="404" t="n">
        <f t="shared" si="17"/>
        <v>1.018957345971564</v>
      </c>
    </row>
    <row r="100" spans="1:20">
      <c r="A100" s="19"/>
      <c r="B100" s="1081" t="s">
        <v>50</v>
      </c>
      <c r="C100" s="382" t="s">
        <v>16</v>
      </c>
      <c r="D100" s="465" t="n">
        <v>1138.259</v>
      </c>
      <c r="E100" s="402" t="n">
        <v>1498.498</v>
      </c>
      <c r="F100" s="466" t="n">
        <v>320.76</v>
      </c>
      <c r="G100" s="401" t="n">
        <v>321.0</v>
      </c>
      <c r="H100" s="402" t="n">
        <v>321.0</v>
      </c>
      <c r="I100" s="467" t="n">
        <v>321.0</v>
      </c>
      <c r="J100" s="395" t="n">
        <f t="shared" ref="J100:J103" si="19">IFERROR(SUM(G100:I100)/3/F100,"－")</f>
        <v>1.0007482229704452</v>
      </c>
      <c r="K100" s="401" t="n">
        <v>321.0</v>
      </c>
      <c r="L100" s="396" t="n">
        <f t="shared" si="13"/>
        <v>1.0007482229704452</v>
      </c>
      <c r="M100" s="401" t="n">
        <v>321.0</v>
      </c>
      <c r="N100" s="396" t="n">
        <f t="shared" si="14"/>
        <v>1.0007482229704452</v>
      </c>
      <c r="O100" s="401" t="n">
        <v>321.0</v>
      </c>
      <c r="P100" s="396" t="n">
        <f t="shared" si="15"/>
        <v>1.0007482229704452</v>
      </c>
      <c r="Q100" s="401" t="n">
        <v>321.0</v>
      </c>
      <c r="R100" s="396" t="n">
        <f t="shared" si="16"/>
        <v>1.0007482229704452</v>
      </c>
      <c r="S100" s="401" t="n">
        <v>321.0</v>
      </c>
      <c r="T100" s="404" t="n">
        <f t="shared" si="17"/>
        <v>1.0007482229704452</v>
      </c>
    </row>
    <row r="101" spans="1:20">
      <c r="A101" s="19"/>
      <c r="B101" s="1086"/>
      <c r="C101" s="382" t="s">
        <v>17</v>
      </c>
      <c r="D101" s="465" t="n">
        <v>2.9166666666666665</v>
      </c>
      <c r="E101" s="402" t="n">
        <v>4.0</v>
      </c>
      <c r="F101" s="466" t="n">
        <v>1.0</v>
      </c>
      <c r="G101" s="401" t="n">
        <v>1.0</v>
      </c>
      <c r="H101" s="402" t="n">
        <v>1.0</v>
      </c>
      <c r="I101" s="467" t="n">
        <v>1.0</v>
      </c>
      <c r="J101" s="395" t="n">
        <f t="shared" si="19"/>
        <v>1.0</v>
      </c>
      <c r="K101" s="401" t="n">
        <v>1.0</v>
      </c>
      <c r="L101" s="396" t="n">
        <f t="shared" si="13"/>
        <v>1.0</v>
      </c>
      <c r="M101" s="401" t="n">
        <v>1.0</v>
      </c>
      <c r="N101" s="396" t="n">
        <f t="shared" si="14"/>
        <v>1.0</v>
      </c>
      <c r="O101" s="401" t="n">
        <v>1.0</v>
      </c>
      <c r="P101" s="396" t="n">
        <f t="shared" si="15"/>
        <v>1.0</v>
      </c>
      <c r="Q101" s="401" t="n">
        <v>1.0</v>
      </c>
      <c r="R101" s="396" t="n">
        <f t="shared" si="16"/>
        <v>1.0</v>
      </c>
      <c r="S101" s="401" t="n">
        <v>1.0</v>
      </c>
      <c r="T101" s="404" t="n">
        <f t="shared" si="17"/>
        <v>1.0</v>
      </c>
    </row>
    <row r="102" spans="1:20">
      <c r="A102" s="19"/>
      <c r="B102" s="1081" t="s">
        <v>51</v>
      </c>
      <c r="C102" s="382" t="s">
        <v>16</v>
      </c>
      <c r="D102" s="465" t="n">
        <v>1569.423</v>
      </c>
      <c r="E102" s="402" t="n">
        <v>3339.409</v>
      </c>
      <c r="F102" s="466" t="n">
        <v>0.0</v>
      </c>
      <c r="G102" s="401" t="n">
        <v>0.0</v>
      </c>
      <c r="H102" s="402" t="n">
        <v>0.0</v>
      </c>
      <c r="I102" s="467" t="n">
        <v>0.0</v>
      </c>
      <c r="J102" s="395" t="str">
        <f t="shared" si="19"/>
        <v>－</v>
      </c>
      <c r="K102" s="401" t="n">
        <v>0.0</v>
      </c>
      <c r="L102" s="396" t="str">
        <f t="shared" si="13"/>
        <v>－</v>
      </c>
      <c r="M102" s="401" t="n">
        <v>0.0</v>
      </c>
      <c r="N102" s="396" t="str">
        <f t="shared" si="14"/>
        <v>－</v>
      </c>
      <c r="O102" s="401" t="n">
        <v>0.0</v>
      </c>
      <c r="P102" s="396" t="str">
        <f t="shared" si="15"/>
        <v>－</v>
      </c>
      <c r="Q102" s="401" t="n">
        <v>0.0</v>
      </c>
      <c r="R102" s="396" t="str">
        <f t="shared" si="16"/>
        <v>－</v>
      </c>
      <c r="S102" s="401" t="n">
        <v>0.0</v>
      </c>
      <c r="T102" s="404" t="str">
        <f t="shared" si="17"/>
        <v>－</v>
      </c>
    </row>
    <row r="103" spans="1:20">
      <c r="A103" s="19"/>
      <c r="B103" s="1086"/>
      <c r="C103" s="382" t="s">
        <v>17</v>
      </c>
      <c r="D103" s="465" t="n">
        <v>1.6666666666666667</v>
      </c>
      <c r="E103" s="402" t="n">
        <v>3.1666666666666665</v>
      </c>
      <c r="F103" s="466" t="n">
        <v>0.0</v>
      </c>
      <c r="G103" s="401" t="n">
        <v>0.0</v>
      </c>
      <c r="H103" s="402" t="n">
        <v>0.0</v>
      </c>
      <c r="I103" s="467" t="n">
        <v>0.0</v>
      </c>
      <c r="J103" s="395" t="str">
        <f t="shared" si="19"/>
        <v>－</v>
      </c>
      <c r="K103" s="401" t="n">
        <v>0.0</v>
      </c>
      <c r="L103" s="396" t="str">
        <f t="shared" si="13"/>
        <v>－</v>
      </c>
      <c r="M103" s="401" t="n">
        <v>0.0</v>
      </c>
      <c r="N103" s="396" t="str">
        <f t="shared" si="14"/>
        <v>－</v>
      </c>
      <c r="O103" s="401" t="n">
        <v>0.0</v>
      </c>
      <c r="P103" s="396" t="str">
        <f t="shared" si="15"/>
        <v>－</v>
      </c>
      <c r="Q103" s="401" t="n">
        <v>0.0</v>
      </c>
      <c r="R103" s="396" t="str">
        <f t="shared" si="16"/>
        <v>－</v>
      </c>
      <c r="S103" s="401" t="n">
        <v>0.0</v>
      </c>
      <c r="T103" s="404" t="str">
        <f t="shared" si="17"/>
        <v>－</v>
      </c>
    </row>
    <row r="104" spans="1:20">
      <c r="A104" s="19"/>
      <c r="B104" s="1084" t="s">
        <v>52</v>
      </c>
      <c r="C104" s="382" t="s">
        <v>16</v>
      </c>
      <c r="D104" s="465" t="n">
        <v>5825.266</v>
      </c>
      <c r="E104" s="402" t="n">
        <v>10562.67</v>
      </c>
      <c r="F104" s="466" t="n">
        <v>12411.312</v>
      </c>
      <c r="G104" s="401" t="n">
        <v>12411.0</v>
      </c>
      <c r="H104" s="402" t="n">
        <v>12411.0</v>
      </c>
      <c r="I104" s="467" t="n">
        <v>12411.0</v>
      </c>
      <c r="J104" s="403" t="n">
        <f>IFERROR(SUM(G104:I104)/3/F104,"－")</f>
        <v>0.999974861642347</v>
      </c>
      <c r="K104" s="401" t="n">
        <v>12411.0</v>
      </c>
      <c r="L104" s="404" t="n">
        <f>IFERROR(K104/F104,"－")</f>
        <v>0.999974861642347</v>
      </c>
      <c r="M104" s="401" t="n">
        <v>12411.0</v>
      </c>
      <c r="N104" s="404" t="n">
        <f t="shared" si="14"/>
        <v>0.999974861642347</v>
      </c>
      <c r="O104" s="401" t="n">
        <v>12411.0</v>
      </c>
      <c r="P104" s="404" t="n">
        <f t="shared" si="15"/>
        <v>0.999974861642347</v>
      </c>
      <c r="Q104" s="401" t="n">
        <v>12411.0</v>
      </c>
      <c r="R104" s="404" t="n">
        <f t="shared" si="16"/>
        <v>0.999974861642347</v>
      </c>
      <c r="S104" s="401" t="n">
        <v>12411.0</v>
      </c>
      <c r="T104" s="404" t="n">
        <f t="shared" si="17"/>
        <v>0.999974861642347</v>
      </c>
    </row>
    <row r="105" spans="1:20" ht="14.25" thickBot="1">
      <c r="A105" s="25"/>
      <c r="B105" s="1087"/>
      <c r="C105" s="443" t="s">
        <v>17</v>
      </c>
      <c r="D105" s="465" t="n">
        <v>2.75</v>
      </c>
      <c r="E105" s="402" t="n">
        <v>4.0</v>
      </c>
      <c r="F105" s="466" t="n">
        <v>5.0</v>
      </c>
      <c r="G105" s="479" t="n">
        <v>5.0</v>
      </c>
      <c r="H105" s="480" t="n">
        <v>5.0</v>
      </c>
      <c r="I105" s="481" t="n">
        <v>5.0</v>
      </c>
      <c r="J105" s="448" t="n">
        <f>IFERROR(SUM(G105:I105)/3/F105,"－")</f>
        <v>1.0</v>
      </c>
      <c r="K105" s="479" t="n">
        <v>5.0</v>
      </c>
      <c r="L105" s="449" t="n">
        <f>IFERROR(K105/F105,"－")</f>
        <v>1.0</v>
      </c>
      <c r="M105" s="479" t="n">
        <v>5.0</v>
      </c>
      <c r="N105" s="449" t="n">
        <f t="shared" si="14"/>
        <v>1.0</v>
      </c>
      <c r="O105" s="479" t="n">
        <v>5.0</v>
      </c>
      <c r="P105" s="449" t="n">
        <f t="shared" si="15"/>
        <v>1.0</v>
      </c>
      <c r="Q105" s="479" t="n">
        <v>5.0</v>
      </c>
      <c r="R105" s="449" t="n">
        <f t="shared" si="16"/>
        <v>1.0</v>
      </c>
      <c r="S105" s="479" t="n">
        <v>5.0</v>
      </c>
      <c r="T105" s="449" t="n">
        <f>IFERROR(S105/F105,"－")</f>
        <v>1.0</v>
      </c>
    </row>
    <row r="106" spans="1:20">
      <c r="A106" s="19" t="s">
        <v>53</v>
      </c>
      <c r="B106" s="373"/>
      <c r="C106" s="482"/>
      <c r="D106" s="483"/>
      <c r="E106" s="484"/>
      <c r="F106" s="485"/>
      <c r="G106" s="486"/>
      <c r="H106" s="484"/>
      <c r="I106" s="487"/>
      <c r="J106" s="488"/>
      <c r="K106" s="489"/>
      <c r="L106" s="490"/>
      <c r="M106" s="489"/>
      <c r="N106" s="490"/>
      <c r="O106" s="489"/>
      <c r="P106" s="490"/>
      <c r="Q106" s="489"/>
      <c r="R106" s="490"/>
      <c r="S106" s="489"/>
      <c r="T106" s="490"/>
    </row>
    <row r="107" spans="1:20">
      <c r="A107" s="24"/>
      <c r="B107" s="1081" t="s">
        <v>54</v>
      </c>
      <c r="C107" s="382" t="s">
        <v>16</v>
      </c>
      <c r="D107" s="465" t="n">
        <v>5488.701</v>
      </c>
      <c r="E107" s="402" t="n">
        <v>0.0</v>
      </c>
      <c r="F107" s="491" t="n">
        <v>0.0</v>
      </c>
      <c r="G107" s="466" t="n">
        <v>0.0</v>
      </c>
      <c r="H107" s="402" t="n">
        <v>0.0</v>
      </c>
      <c r="I107" s="467" t="n">
        <v>0.0</v>
      </c>
      <c r="J107" s="403" t="str">
        <f t="shared" ref="J107:J126" si="20">IFERROR(SUM(G107:I107)/3/F107,"－")</f>
        <v>－</v>
      </c>
      <c r="K107" s="401" t="n">
        <v>0.0</v>
      </c>
      <c r="L107" s="404" t="str">
        <f t="shared" ref="L107:L122" si="21">IFERROR(K107/F107,"－")</f>
        <v>－</v>
      </c>
      <c r="M107" s="401" t="n">
        <v>0.0</v>
      </c>
      <c r="N107" s="404" t="str">
        <f t="shared" si="14"/>
        <v>－</v>
      </c>
      <c r="O107" s="401" t="n">
        <v>0.0</v>
      </c>
      <c r="P107" s="404" t="str">
        <f t="shared" si="15"/>
        <v>－</v>
      </c>
      <c r="Q107" s="401" t="n">
        <v>0.0</v>
      </c>
      <c r="R107" s="404" t="str">
        <f t="shared" si="16"/>
        <v>－</v>
      </c>
      <c r="S107" s="401" t="n">
        <v>0.0</v>
      </c>
      <c r="T107" s="404" t="str">
        <f>IFERROR(S107/F107,"－")</f>
        <v>－</v>
      </c>
    </row>
    <row r="108" spans="1:20">
      <c r="A108" s="24"/>
      <c r="B108" s="1086"/>
      <c r="C108" s="382" t="s">
        <v>17</v>
      </c>
      <c r="D108" s="465" t="n">
        <v>3.4166666666666665</v>
      </c>
      <c r="E108" s="402" t="n">
        <v>0.0</v>
      </c>
      <c r="F108" s="491" t="n">
        <v>0.0</v>
      </c>
      <c r="G108" s="466" t="n">
        <v>0.0</v>
      </c>
      <c r="H108" s="402" t="n">
        <v>0.0</v>
      </c>
      <c r="I108" s="467" t="n">
        <v>0.0</v>
      </c>
      <c r="J108" s="405" t="str">
        <f t="shared" si="20"/>
        <v>－</v>
      </c>
      <c r="K108" s="401" t="n">
        <v>0.0</v>
      </c>
      <c r="L108" s="396" t="str">
        <f t="shared" si="21"/>
        <v>－</v>
      </c>
      <c r="M108" s="401" t="n">
        <v>0.0</v>
      </c>
      <c r="N108" s="396" t="str">
        <f t="shared" si="14"/>
        <v>－</v>
      </c>
      <c r="O108" s="401" t="n">
        <v>0.0</v>
      </c>
      <c r="P108" s="396" t="str">
        <f t="shared" si="15"/>
        <v>－</v>
      </c>
      <c r="Q108" s="401" t="n">
        <v>0.0</v>
      </c>
      <c r="R108" s="396" t="str">
        <f t="shared" si="16"/>
        <v>－</v>
      </c>
      <c r="S108" s="401" t="n">
        <v>0.0</v>
      </c>
      <c r="T108" s="404" t="str">
        <f t="shared" ref="T108:T125" si="22">IFERROR(S108/F108,"－")</f>
        <v>－</v>
      </c>
    </row>
    <row r="109" spans="1:20">
      <c r="A109" s="24"/>
      <c r="B109" s="1079" t="s">
        <v>55</v>
      </c>
      <c r="C109" s="382" t="s">
        <v>16</v>
      </c>
      <c r="D109" s="465" t="n">
        <v>0.0</v>
      </c>
      <c r="E109" s="402" t="n">
        <v>0.0</v>
      </c>
      <c r="F109" s="491" t="n">
        <v>0.0</v>
      </c>
      <c r="G109" s="466" t="n">
        <v>0.0</v>
      </c>
      <c r="H109" s="402" t="n">
        <v>0.0</v>
      </c>
      <c r="I109" s="467" t="n">
        <v>0.0</v>
      </c>
      <c r="J109" s="403" t="str">
        <f t="shared" si="20"/>
        <v>－</v>
      </c>
      <c r="K109" s="401" t="n">
        <v>0.0</v>
      </c>
      <c r="L109" s="404" t="str">
        <f t="shared" si="21"/>
        <v>－</v>
      </c>
      <c r="M109" s="401" t="n">
        <v>0.0</v>
      </c>
      <c r="N109" s="404" t="str">
        <f t="shared" si="14"/>
        <v>－</v>
      </c>
      <c r="O109" s="401" t="n">
        <v>0.0</v>
      </c>
      <c r="P109" s="404" t="str">
        <f t="shared" si="15"/>
        <v>－</v>
      </c>
      <c r="Q109" s="401" t="n">
        <v>0.0</v>
      </c>
      <c r="R109" s="404" t="str">
        <f t="shared" si="16"/>
        <v>－</v>
      </c>
      <c r="S109" s="401" t="n">
        <v>0.0</v>
      </c>
      <c r="T109" s="404" t="str">
        <f t="shared" si="22"/>
        <v>－</v>
      </c>
    </row>
    <row r="110" spans="1:20">
      <c r="A110" s="19"/>
      <c r="B110" s="1083"/>
      <c r="C110" s="382" t="s">
        <v>17</v>
      </c>
      <c r="D110" s="465" t="n">
        <v>0.0</v>
      </c>
      <c r="E110" s="402" t="n">
        <v>0.0</v>
      </c>
      <c r="F110" s="491" t="n">
        <v>0.0</v>
      </c>
      <c r="G110" s="466" t="n">
        <v>0.0</v>
      </c>
      <c r="H110" s="402" t="n">
        <v>0.0</v>
      </c>
      <c r="I110" s="467" t="n">
        <v>0.0</v>
      </c>
      <c r="J110" s="395" t="str">
        <f t="shared" si="20"/>
        <v>－</v>
      </c>
      <c r="K110" s="401" t="n">
        <v>0.0</v>
      </c>
      <c r="L110" s="396" t="str">
        <f t="shared" si="21"/>
        <v>－</v>
      </c>
      <c r="M110" s="401" t="n">
        <v>0.0</v>
      </c>
      <c r="N110" s="396" t="str">
        <f t="shared" si="14"/>
        <v>－</v>
      </c>
      <c r="O110" s="401" t="n">
        <v>0.0</v>
      </c>
      <c r="P110" s="396" t="str">
        <f t="shared" si="15"/>
        <v>－</v>
      </c>
      <c r="Q110" s="401" t="n">
        <v>0.0</v>
      </c>
      <c r="R110" s="396" t="str">
        <f t="shared" si="16"/>
        <v>－</v>
      </c>
      <c r="S110" s="401" t="n">
        <v>0.0</v>
      </c>
      <c r="T110" s="404" t="str">
        <f t="shared" si="22"/>
        <v>－</v>
      </c>
    </row>
    <row r="111" spans="1:20">
      <c r="A111" s="19"/>
      <c r="B111" s="1079" t="s">
        <v>94</v>
      </c>
      <c r="C111" s="382" t="s">
        <v>16</v>
      </c>
      <c r="D111" s="465" t="n">
        <v>11.114</v>
      </c>
      <c r="E111" s="402" t="n">
        <v>0.0</v>
      </c>
      <c r="F111" s="491" t="n">
        <v>0.0</v>
      </c>
      <c r="G111" s="466" t="n">
        <v>0.0</v>
      </c>
      <c r="H111" s="402" t="n">
        <v>0.0</v>
      </c>
      <c r="I111" s="467" t="n">
        <v>0.0</v>
      </c>
      <c r="J111" s="403" t="str">
        <f>IFERROR(SUM(G111:I111)/3/F111,"－")</f>
        <v>－</v>
      </c>
      <c r="K111" s="401" t="n">
        <v>0.0</v>
      </c>
      <c r="L111" s="422" t="str">
        <f t="shared" ref="L111:L113" si="23">IFERROR(K111/F111,"－")</f>
        <v>－</v>
      </c>
      <c r="M111" s="401" t="n">
        <v>0.0</v>
      </c>
      <c r="N111" s="422" t="str">
        <f t="shared" si="14"/>
        <v>－</v>
      </c>
      <c r="O111" s="401" t="n">
        <v>0.0</v>
      </c>
      <c r="P111" s="422" t="str">
        <f t="shared" si="15"/>
        <v>－</v>
      </c>
      <c r="Q111" s="401" t="n">
        <v>0.0</v>
      </c>
      <c r="R111" s="422" t="str">
        <f t="shared" si="16"/>
        <v>－</v>
      </c>
      <c r="S111" s="401" t="n">
        <v>0.0</v>
      </c>
      <c r="T111" s="404" t="str">
        <f t="shared" si="22"/>
        <v>－</v>
      </c>
    </row>
    <row r="112" spans="1:20">
      <c r="A112" s="19"/>
      <c r="B112" s="1080"/>
      <c r="C112" s="382" t="s">
        <v>19</v>
      </c>
      <c r="D112" s="468" t="n">
        <v>0.16666666666666666</v>
      </c>
      <c r="E112" s="469" t="n">
        <v>0.0</v>
      </c>
      <c r="F112" s="492" t="n">
        <v>0.0</v>
      </c>
      <c r="G112" s="470" t="n">
        <v>0.0</v>
      </c>
      <c r="H112" s="469" t="n">
        <v>0.0</v>
      </c>
      <c r="I112" s="472" t="n">
        <v>0.0</v>
      </c>
      <c r="J112" s="395" t="str">
        <f>IFERROR(SUM(G112:I112)/3/F112,"－")</f>
        <v>－</v>
      </c>
      <c r="K112" s="471" t="n">
        <v>0.0</v>
      </c>
      <c r="L112" s="422" t="str">
        <f t="shared" si="23"/>
        <v>－</v>
      </c>
      <c r="M112" s="471" t="n">
        <v>0.0</v>
      </c>
      <c r="N112" s="422" t="str">
        <f t="shared" si="14"/>
        <v>－</v>
      </c>
      <c r="O112" s="471" t="n">
        <v>0.0</v>
      </c>
      <c r="P112" s="422" t="str">
        <f t="shared" si="15"/>
        <v>－</v>
      </c>
      <c r="Q112" s="471" t="n">
        <v>0.0</v>
      </c>
      <c r="R112" s="422" t="str">
        <f t="shared" si="16"/>
        <v>－</v>
      </c>
      <c r="S112" s="471" t="n">
        <v>0.0</v>
      </c>
      <c r="T112" s="404" t="str">
        <f t="shared" si="22"/>
        <v>－</v>
      </c>
    </row>
    <row r="113" spans="1:20">
      <c r="A113" s="19"/>
      <c r="B113" s="493"/>
      <c r="C113" s="382" t="s">
        <v>17</v>
      </c>
      <c r="D113" s="465" t="n">
        <v>0.08333333333333333</v>
      </c>
      <c r="E113" s="402" t="n">
        <v>0.0</v>
      </c>
      <c r="F113" s="491" t="n">
        <v>0.0</v>
      </c>
      <c r="G113" s="466" t="n">
        <v>0.0</v>
      </c>
      <c r="H113" s="402" t="n">
        <v>0.0</v>
      </c>
      <c r="I113" s="467" t="n">
        <v>0.0</v>
      </c>
      <c r="J113" s="395" t="str">
        <f>IFERROR(SUM(G113:I113)/3/F113,"－")</f>
        <v>－</v>
      </c>
      <c r="K113" s="401" t="n">
        <v>0.0</v>
      </c>
      <c r="L113" s="422" t="str">
        <f t="shared" si="23"/>
        <v>－</v>
      </c>
      <c r="M113" s="401" t="n">
        <v>0.0</v>
      </c>
      <c r="N113" s="422" t="str">
        <f t="shared" si="14"/>
        <v>－</v>
      </c>
      <c r="O113" s="401" t="n">
        <v>0.0</v>
      </c>
      <c r="P113" s="422" t="str">
        <f t="shared" si="15"/>
        <v>－</v>
      </c>
      <c r="Q113" s="401" t="n">
        <v>0.0</v>
      </c>
      <c r="R113" s="422" t="str">
        <f t="shared" si="16"/>
        <v>－</v>
      </c>
      <c r="S113" s="401" t="n">
        <v>0.0</v>
      </c>
      <c r="T113" s="404" t="str">
        <f t="shared" si="22"/>
        <v>－</v>
      </c>
    </row>
    <row r="114" spans="1:20">
      <c r="A114" s="24"/>
      <c r="B114" s="1079" t="s">
        <v>56</v>
      </c>
      <c r="C114" s="382" t="s">
        <v>16</v>
      </c>
      <c r="D114" s="465" t="n">
        <v>11313.434</v>
      </c>
      <c r="E114" s="402" t="n">
        <v>12381.34</v>
      </c>
      <c r="F114" s="491" t="n">
        <v>9835.6752</v>
      </c>
      <c r="G114" s="466" t="n">
        <v>9836.0</v>
      </c>
      <c r="H114" s="402" t="n">
        <v>9836.0</v>
      </c>
      <c r="I114" s="467" t="n">
        <v>9836.0</v>
      </c>
      <c r="J114" s="403" t="n">
        <f t="shared" si="20"/>
        <v>1.000033022643936</v>
      </c>
      <c r="K114" s="401" t="n">
        <v>9836.0</v>
      </c>
      <c r="L114" s="404" t="n">
        <f t="shared" si="21"/>
        <v>1.000033022643936</v>
      </c>
      <c r="M114" s="401" t="n">
        <v>9836.0</v>
      </c>
      <c r="N114" s="404" t="n">
        <f t="shared" si="14"/>
        <v>1.000033022643936</v>
      </c>
      <c r="O114" s="401" t="n">
        <v>9836.0</v>
      </c>
      <c r="P114" s="404" t="n">
        <f t="shared" si="15"/>
        <v>1.000033022643936</v>
      </c>
      <c r="Q114" s="401" t="n">
        <v>9836.0</v>
      </c>
      <c r="R114" s="404" t="n">
        <f t="shared" si="16"/>
        <v>1.000033022643936</v>
      </c>
      <c r="S114" s="401" t="n">
        <v>9836.0</v>
      </c>
      <c r="T114" s="404" t="n">
        <f t="shared" si="22"/>
        <v>1.000033022643936</v>
      </c>
    </row>
    <row r="115" spans="1:20">
      <c r="A115" s="19"/>
      <c r="B115" s="1080"/>
      <c r="C115" s="382" t="s">
        <v>19</v>
      </c>
      <c r="D115" s="468" t="n">
        <v>96.41666666666667</v>
      </c>
      <c r="E115" s="469" t="n">
        <v>95.25</v>
      </c>
      <c r="F115" s="492" t="n">
        <v>75.3</v>
      </c>
      <c r="G115" s="470" t="n">
        <v>75.3</v>
      </c>
      <c r="H115" s="469" t="n">
        <v>75.3</v>
      </c>
      <c r="I115" s="472" t="n">
        <v>75.3</v>
      </c>
      <c r="J115" s="395" t="n">
        <f t="shared" si="20"/>
        <v>1.0</v>
      </c>
      <c r="K115" s="471" t="n">
        <v>75.3</v>
      </c>
      <c r="L115" s="396" t="n">
        <f t="shared" si="21"/>
        <v>1.0</v>
      </c>
      <c r="M115" s="471" t="n">
        <v>75.3</v>
      </c>
      <c r="N115" s="396" t="n">
        <f t="shared" si="14"/>
        <v>1.0</v>
      </c>
      <c r="O115" s="471" t="n">
        <v>75.3</v>
      </c>
      <c r="P115" s="396" t="n">
        <f t="shared" si="15"/>
        <v>1.0</v>
      </c>
      <c r="Q115" s="471" t="n">
        <v>75.3</v>
      </c>
      <c r="R115" s="396" t="n">
        <f t="shared" si="16"/>
        <v>1.0</v>
      </c>
      <c r="S115" s="471" t="n">
        <v>75.3</v>
      </c>
      <c r="T115" s="404" t="n">
        <f t="shared" si="22"/>
        <v>1.0</v>
      </c>
    </row>
    <row r="116" spans="1:20">
      <c r="A116" s="19"/>
      <c r="B116" s="430"/>
      <c r="C116" s="382" t="s">
        <v>17</v>
      </c>
      <c r="D116" s="465" t="n">
        <v>8.416666666666666</v>
      </c>
      <c r="E116" s="402" t="n">
        <v>9.0</v>
      </c>
      <c r="F116" s="491" t="n">
        <v>8.0</v>
      </c>
      <c r="G116" s="466" t="n">
        <v>8.0</v>
      </c>
      <c r="H116" s="402" t="n">
        <v>8.0</v>
      </c>
      <c r="I116" s="467" t="n">
        <v>8.0</v>
      </c>
      <c r="J116" s="395" t="n">
        <f t="shared" si="20"/>
        <v>1.0</v>
      </c>
      <c r="K116" s="401" t="n">
        <v>8.0</v>
      </c>
      <c r="L116" s="396" t="n">
        <f t="shared" si="21"/>
        <v>1.0</v>
      </c>
      <c r="M116" s="401" t="n">
        <v>8.0</v>
      </c>
      <c r="N116" s="396" t="n">
        <f t="shared" si="14"/>
        <v>1.0</v>
      </c>
      <c r="O116" s="401" t="n">
        <v>8.0</v>
      </c>
      <c r="P116" s="396" t="n">
        <f t="shared" si="15"/>
        <v>1.0</v>
      </c>
      <c r="Q116" s="401" t="n">
        <v>8.0</v>
      </c>
      <c r="R116" s="396" t="n">
        <f t="shared" si="16"/>
        <v>1.0</v>
      </c>
      <c r="S116" s="401" t="n">
        <v>8.0</v>
      </c>
      <c r="T116" s="404" t="n">
        <f t="shared" si="22"/>
        <v>1.0</v>
      </c>
    </row>
    <row r="117" spans="1:20">
      <c r="A117" s="24"/>
      <c r="B117" s="1079" t="s">
        <v>57</v>
      </c>
      <c r="C117" s="382" t="s">
        <v>16</v>
      </c>
      <c r="D117" s="465" t="n">
        <v>52635.459</v>
      </c>
      <c r="E117" s="402" t="n">
        <v>49375.397</v>
      </c>
      <c r="F117" s="491" t="n">
        <v>60192.756</v>
      </c>
      <c r="G117" s="466" t="n">
        <v>60193.0</v>
      </c>
      <c r="H117" s="402" t="n">
        <v>59515.0</v>
      </c>
      <c r="I117" s="467" t="n">
        <v>57916.0</v>
      </c>
      <c r="J117" s="403" t="n">
        <f t="shared" si="20"/>
        <v>0.9836399582700616</v>
      </c>
      <c r="K117" s="401" t="n">
        <v>59515.0</v>
      </c>
      <c r="L117" s="404" t="n">
        <f t="shared" si="21"/>
        <v>0.9887402397723739</v>
      </c>
      <c r="M117" s="401" t="n">
        <v>59515.0</v>
      </c>
      <c r="N117" s="404" t="n">
        <f t="shared" si="14"/>
        <v>0.9887402397723739</v>
      </c>
      <c r="O117" s="401" t="n">
        <v>63391.0</v>
      </c>
      <c r="P117" s="404" t="n">
        <f t="shared" si="15"/>
        <v>1.0531333704009167</v>
      </c>
      <c r="Q117" s="401" t="n">
        <v>63391.0</v>
      </c>
      <c r="R117" s="404" t="n">
        <f t="shared" si="16"/>
        <v>1.0531333704009167</v>
      </c>
      <c r="S117" s="401" t="n">
        <v>61792.0</v>
      </c>
      <c r="T117" s="404" t="n">
        <f t="shared" si="22"/>
        <v>1.0265687120224234</v>
      </c>
    </row>
    <row r="118" spans="1:20">
      <c r="A118" s="19"/>
      <c r="B118" s="1083"/>
      <c r="C118" s="382" t="s">
        <v>17</v>
      </c>
      <c r="D118" s="465" t="n">
        <v>25.166666666666668</v>
      </c>
      <c r="E118" s="402" t="n">
        <v>22.25</v>
      </c>
      <c r="F118" s="491" t="n">
        <v>28.0</v>
      </c>
      <c r="G118" s="466" t="n">
        <v>28.0</v>
      </c>
      <c r="H118" s="402" t="n">
        <v>28.0</v>
      </c>
      <c r="I118" s="467" t="n">
        <v>27.0</v>
      </c>
      <c r="J118" s="395" t="n">
        <f t="shared" si="20"/>
        <v>0.9880952380952381</v>
      </c>
      <c r="K118" s="401" t="n">
        <v>28.0</v>
      </c>
      <c r="L118" s="396" t="n">
        <f t="shared" si="21"/>
        <v>1.0</v>
      </c>
      <c r="M118" s="401" t="n">
        <v>28.0</v>
      </c>
      <c r="N118" s="396" t="n">
        <f t="shared" si="14"/>
        <v>1.0</v>
      </c>
      <c r="O118" s="401" t="n">
        <v>30.0</v>
      </c>
      <c r="P118" s="396" t="n">
        <f t="shared" si="15"/>
        <v>1.0714285714285714</v>
      </c>
      <c r="Q118" s="401" t="n">
        <v>30.0</v>
      </c>
      <c r="R118" s="396" t="n">
        <f t="shared" si="16"/>
        <v>1.0714285714285714</v>
      </c>
      <c r="S118" s="401" t="n">
        <v>29.0</v>
      </c>
      <c r="T118" s="404" t="n">
        <f t="shared" si="22"/>
        <v>1.0357142857142858</v>
      </c>
    </row>
    <row r="119" spans="1:20">
      <c r="A119" s="19"/>
      <c r="B119" s="1084" t="s">
        <v>58</v>
      </c>
      <c r="C119" s="382" t="s">
        <v>16</v>
      </c>
      <c r="D119" s="465" t="n">
        <v>155473.519</v>
      </c>
      <c r="E119" s="402" t="n">
        <v>133665.662</v>
      </c>
      <c r="F119" s="491" t="n">
        <v>114832.008</v>
      </c>
      <c r="G119" s="466" t="n">
        <v>109277.0</v>
      </c>
      <c r="H119" s="402" t="n">
        <v>111781.0</v>
      </c>
      <c r="I119" s="467" t="n">
        <v>111781.0</v>
      </c>
      <c r="J119" s="403" t="n">
        <f t="shared" si="20"/>
        <v>0.9661620942249248</v>
      </c>
      <c r="K119" s="401" t="n">
        <v>111781.0</v>
      </c>
      <c r="L119" s="404" t="n">
        <f t="shared" si="21"/>
        <v>0.9734306831941839</v>
      </c>
      <c r="M119" s="401" t="n">
        <v>112047.0</v>
      </c>
      <c r="N119" s="404" t="n">
        <f t="shared" si="14"/>
        <v>0.975747110509467</v>
      </c>
      <c r="O119" s="401" t="n">
        <v>117602.0</v>
      </c>
      <c r="P119" s="404" t="n">
        <f t="shared" si="15"/>
        <v>1.0241221245560732</v>
      </c>
      <c r="Q119" s="401" t="n">
        <v>123062.0</v>
      </c>
      <c r="R119" s="404" t="n">
        <f t="shared" si="16"/>
        <v>1.0716698431329355</v>
      </c>
      <c r="S119" s="401" t="n">
        <v>111781.0</v>
      </c>
      <c r="T119" s="404" t="n">
        <f t="shared" si="22"/>
        <v>0.9734306831941839</v>
      </c>
    </row>
    <row r="120" spans="1:20">
      <c r="A120" s="19"/>
      <c r="B120" s="1085"/>
      <c r="C120" s="382" t="s">
        <v>17</v>
      </c>
      <c r="D120" s="465" t="n">
        <v>49.916666666666664</v>
      </c>
      <c r="E120" s="402" t="n">
        <v>44.583333333333336</v>
      </c>
      <c r="F120" s="491" t="n">
        <v>40.0</v>
      </c>
      <c r="G120" s="466" t="n">
        <v>38.0</v>
      </c>
      <c r="H120" s="402" t="n">
        <v>39.0</v>
      </c>
      <c r="I120" s="467" t="n">
        <v>39.0</v>
      </c>
      <c r="J120" s="395" t="n">
        <f t="shared" si="20"/>
        <v>0.9666666666666666</v>
      </c>
      <c r="K120" s="401" t="n">
        <v>39.0</v>
      </c>
      <c r="L120" s="396" t="n">
        <f t="shared" si="21"/>
        <v>0.975</v>
      </c>
      <c r="M120" s="401" t="n">
        <v>39.0</v>
      </c>
      <c r="N120" s="396" t="n">
        <f t="shared" si="14"/>
        <v>0.975</v>
      </c>
      <c r="O120" s="401" t="n">
        <v>41.0</v>
      </c>
      <c r="P120" s="396" t="n">
        <f t="shared" si="15"/>
        <v>1.025</v>
      </c>
      <c r="Q120" s="401" t="n">
        <v>43.0</v>
      </c>
      <c r="R120" s="396" t="n">
        <f t="shared" si="16"/>
        <v>1.075</v>
      </c>
      <c r="S120" s="401" t="n">
        <v>39.0</v>
      </c>
      <c r="T120" s="404" t="n">
        <f t="shared" si="22"/>
        <v>0.975</v>
      </c>
    </row>
    <row r="121" spans="1:20">
      <c r="A121" s="19"/>
      <c r="B121" s="1084" t="s">
        <v>59</v>
      </c>
      <c r="C121" s="382" t="s">
        <v>16</v>
      </c>
      <c r="D121" s="465" t="n">
        <v>0.0</v>
      </c>
      <c r="E121" s="402" t="n">
        <v>0.0</v>
      </c>
      <c r="F121" s="491" t="n">
        <v>0.0</v>
      </c>
      <c r="G121" s="466" t="n">
        <v>0.0</v>
      </c>
      <c r="H121" s="402" t="n">
        <v>0.0</v>
      </c>
      <c r="I121" s="467" t="n">
        <v>0.0</v>
      </c>
      <c r="J121" s="403" t="str">
        <f t="shared" si="20"/>
        <v>－</v>
      </c>
      <c r="K121" s="401" t="n">
        <v>0.0</v>
      </c>
      <c r="L121" s="396" t="str">
        <f t="shared" si="21"/>
        <v>－</v>
      </c>
      <c r="M121" s="401" t="n">
        <v>0.0</v>
      </c>
      <c r="N121" s="396" t="str">
        <f t="shared" si="14"/>
        <v>－</v>
      </c>
      <c r="O121" s="401" t="n">
        <v>0.0</v>
      </c>
      <c r="P121" s="396" t="str">
        <f t="shared" si="15"/>
        <v>－</v>
      </c>
      <c r="Q121" s="401" t="n">
        <v>0.0</v>
      </c>
      <c r="R121" s="396" t="str">
        <f t="shared" si="16"/>
        <v>－</v>
      </c>
      <c r="S121" s="401" t="n">
        <v>0.0</v>
      </c>
      <c r="T121" s="404" t="str">
        <f t="shared" si="22"/>
        <v>－</v>
      </c>
    </row>
    <row r="122" spans="1:20">
      <c r="A122" s="19"/>
      <c r="B122" s="1085"/>
      <c r="C122" s="382" t="s">
        <v>17</v>
      </c>
      <c r="D122" s="465" t="n">
        <v>0.0</v>
      </c>
      <c r="E122" s="402" t="n">
        <v>0.0</v>
      </c>
      <c r="F122" s="491" t="n">
        <v>0.0</v>
      </c>
      <c r="G122" s="466" t="n">
        <v>0.0</v>
      </c>
      <c r="H122" s="402" t="n">
        <v>0.0</v>
      </c>
      <c r="I122" s="467" t="n">
        <v>0.0</v>
      </c>
      <c r="J122" s="395" t="str">
        <f t="shared" si="20"/>
        <v>－</v>
      </c>
      <c r="K122" s="401" t="n">
        <v>0.0</v>
      </c>
      <c r="L122" s="396" t="str">
        <f t="shared" si="21"/>
        <v>－</v>
      </c>
      <c r="M122" s="401" t="n">
        <v>0.0</v>
      </c>
      <c r="N122" s="396" t="str">
        <f t="shared" si="14"/>
        <v>－</v>
      </c>
      <c r="O122" s="401" t="n">
        <v>0.0</v>
      </c>
      <c r="P122" s="396" t="str">
        <f t="shared" si="15"/>
        <v>－</v>
      </c>
      <c r="Q122" s="401" t="n">
        <v>0.0</v>
      </c>
      <c r="R122" s="396" t="str">
        <f t="shared" si="16"/>
        <v>－</v>
      </c>
      <c r="S122" s="401" t="n">
        <v>0.0</v>
      </c>
      <c r="T122" s="404" t="str">
        <f t="shared" si="22"/>
        <v>－</v>
      </c>
    </row>
    <row r="123" spans="1:20">
      <c r="A123" s="19"/>
      <c r="B123" s="1084" t="s">
        <v>60</v>
      </c>
      <c r="C123" s="382" t="s">
        <v>16</v>
      </c>
      <c r="D123" s="465" t="n">
        <v>133929.265</v>
      </c>
      <c r="E123" s="402" t="n">
        <v>123297.978</v>
      </c>
      <c r="F123" s="491" t="n">
        <v>115515.912</v>
      </c>
      <c r="G123" s="466" t="n">
        <v>115516.0</v>
      </c>
      <c r="H123" s="402" t="n">
        <v>115516.0</v>
      </c>
      <c r="I123" s="467" t="n">
        <v>115516.0</v>
      </c>
      <c r="J123" s="403" t="n">
        <f t="shared" si="20"/>
        <v>1.0000007617998117</v>
      </c>
      <c r="K123" s="401" t="n">
        <v>109607.0</v>
      </c>
      <c r="L123" s="404" t="n">
        <f t="shared" ref="L123:L128" si="24">IFERROR(K123/F123,"－")</f>
        <v>0.948847635813151</v>
      </c>
      <c r="M123" s="401" t="n">
        <v>109607.0</v>
      </c>
      <c r="N123" s="404" t="n">
        <f t="shared" si="14"/>
        <v>0.948847635813151</v>
      </c>
      <c r="O123" s="401" t="n">
        <v>124116.0</v>
      </c>
      <c r="P123" s="404" t="n">
        <f t="shared" si="15"/>
        <v>1.0744493797529815</v>
      </c>
      <c r="Q123" s="401" t="n">
        <v>124116.0</v>
      </c>
      <c r="R123" s="404" t="n">
        <f t="shared" si="16"/>
        <v>1.0744493797529815</v>
      </c>
      <c r="S123" s="401" t="n">
        <v>118397.0</v>
      </c>
      <c r="T123" s="404" t="n">
        <f t="shared" si="22"/>
        <v>1.0249410488141235</v>
      </c>
    </row>
    <row r="124" spans="1:20">
      <c r="A124" s="19"/>
      <c r="B124" s="1085"/>
      <c r="C124" s="382" t="s">
        <v>17</v>
      </c>
      <c r="D124" s="465" t="n">
        <v>46.583333333333336</v>
      </c>
      <c r="E124" s="402" t="n">
        <v>40.833333333333336</v>
      </c>
      <c r="F124" s="491" t="n">
        <v>40.0</v>
      </c>
      <c r="G124" s="466" t="n">
        <v>40.0</v>
      </c>
      <c r="H124" s="402" t="n">
        <v>40.0</v>
      </c>
      <c r="I124" s="467" t="n">
        <v>40.0</v>
      </c>
      <c r="J124" s="395" t="n">
        <f t="shared" si="20"/>
        <v>1.0</v>
      </c>
      <c r="K124" s="401" t="n">
        <v>38.0</v>
      </c>
      <c r="L124" s="396" t="n">
        <f t="shared" si="24"/>
        <v>0.95</v>
      </c>
      <c r="M124" s="401" t="n">
        <v>38.0</v>
      </c>
      <c r="N124" s="396" t="n">
        <f t="shared" si="14"/>
        <v>0.95</v>
      </c>
      <c r="O124" s="401" t="n">
        <v>43.0</v>
      </c>
      <c r="P124" s="396" t="n">
        <f t="shared" si="15"/>
        <v>1.075</v>
      </c>
      <c r="Q124" s="401" t="n">
        <v>43.0</v>
      </c>
      <c r="R124" s="396" t="n">
        <f t="shared" si="16"/>
        <v>1.075</v>
      </c>
      <c r="S124" s="401" t="n">
        <v>41.0</v>
      </c>
      <c r="T124" s="404" t="n">
        <f t="shared" si="22"/>
        <v>1.025</v>
      </c>
    </row>
    <row r="125" spans="1:20">
      <c r="A125" s="19"/>
      <c r="B125" s="1081" t="s">
        <v>91</v>
      </c>
      <c r="C125" s="382" t="s">
        <v>16</v>
      </c>
      <c r="D125" s="465" t="n">
        <v>0.0</v>
      </c>
      <c r="E125" s="402" t="n">
        <v>0.0</v>
      </c>
      <c r="F125" s="491" t="n">
        <v>0.0</v>
      </c>
      <c r="G125" s="466" t="n">
        <v>0.0</v>
      </c>
      <c r="H125" s="402" t="n">
        <v>0.0</v>
      </c>
      <c r="I125" s="467" t="n">
        <v>0.0</v>
      </c>
      <c r="J125" s="403" t="str">
        <f t="shared" si="20"/>
        <v>－</v>
      </c>
      <c r="K125" s="401" t="n">
        <v>0.0</v>
      </c>
      <c r="L125" s="404" t="str">
        <f t="shared" si="24"/>
        <v>－</v>
      </c>
      <c r="M125" s="401" t="n">
        <v>0.0</v>
      </c>
      <c r="N125" s="404" t="str">
        <f t="shared" si="14"/>
        <v>－</v>
      </c>
      <c r="O125" s="401" t="n">
        <v>0.0</v>
      </c>
      <c r="P125" s="404" t="str">
        <f t="shared" si="15"/>
        <v>－</v>
      </c>
      <c r="Q125" s="401" t="n">
        <v>0.0</v>
      </c>
      <c r="R125" s="404" t="str">
        <f t="shared" si="16"/>
        <v>－</v>
      </c>
      <c r="S125" s="401" t="n">
        <v>0.0</v>
      </c>
      <c r="T125" s="404" t="str">
        <f t="shared" si="22"/>
        <v>－</v>
      </c>
    </row>
    <row r="126" spans="1:20">
      <c r="A126" s="19"/>
      <c r="B126" s="1086"/>
      <c r="C126" s="382" t="s">
        <v>17</v>
      </c>
      <c r="D126" s="465" t="n">
        <v>0.0</v>
      </c>
      <c r="E126" s="402" t="n">
        <v>0.0</v>
      </c>
      <c r="F126" s="491" t="n">
        <v>0.0</v>
      </c>
      <c r="G126" s="494" t="n">
        <v>0.0</v>
      </c>
      <c r="H126" s="495" t="n">
        <v>0.0</v>
      </c>
      <c r="I126" s="496" t="n">
        <v>0.0</v>
      </c>
      <c r="J126" s="421" t="str">
        <f t="shared" si="20"/>
        <v>－</v>
      </c>
      <c r="K126" s="497" t="n">
        <v>0.0</v>
      </c>
      <c r="L126" s="422" t="str">
        <f t="shared" si="24"/>
        <v>－</v>
      </c>
      <c r="M126" s="497" t="n">
        <v>0.0</v>
      </c>
      <c r="N126" s="422" t="str">
        <f t="shared" si="14"/>
        <v>－</v>
      </c>
      <c r="O126" s="497" t="n">
        <v>0.0</v>
      </c>
      <c r="P126" s="422" t="str">
        <f t="shared" si="15"/>
        <v>－</v>
      </c>
      <c r="Q126" s="497" t="n">
        <v>0.0</v>
      </c>
      <c r="R126" s="422" t="str">
        <f t="shared" si="16"/>
        <v>－</v>
      </c>
      <c r="S126" s="497" t="n">
        <v>0.0</v>
      </c>
      <c r="T126" s="422" t="str">
        <f>IFERROR(S126/F126,"－")</f>
        <v>－</v>
      </c>
    </row>
    <row r="127" spans="1:20">
      <c r="A127" s="19"/>
      <c r="B127" s="1081" t="s">
        <v>340</v>
      </c>
      <c r="C127" s="382" t="s">
        <v>16</v>
      </c>
      <c r="D127" s="500"/>
      <c r="E127" s="860"/>
      <c r="F127" s="911"/>
      <c r="G127" s="466"/>
      <c r="H127" s="402"/>
      <c r="I127" s="467"/>
      <c r="J127" s="403" t="str">
        <f>IFERROR(SUM(G127:I127)/3/F127,"－")</f>
        <v>－</v>
      </c>
      <c r="K127" s="401"/>
      <c r="L127" s="404" t="str">
        <f t="shared" si="24"/>
        <v>－</v>
      </c>
      <c r="M127" s="401"/>
      <c r="N127" s="404" t="str">
        <f t="shared" ref="N127:N128" si="25">IFERROR(M127/F127,"－")</f>
        <v>－</v>
      </c>
      <c r="O127" s="401"/>
      <c r="P127" s="404" t="str">
        <f t="shared" ref="P127:P128" si="26">IFERROR(O127/F127,"－")</f>
        <v>－</v>
      </c>
      <c r="Q127" s="401"/>
      <c r="R127" s="404" t="str">
        <f t="shared" ref="R127:R128" si="27">IFERROR(Q127/F127,"－")</f>
        <v>－</v>
      </c>
      <c r="S127" s="401"/>
      <c r="T127" s="404" t="str">
        <f t="shared" ref="T127" si="28">IFERROR(S127/F127,"－")</f>
        <v>－</v>
      </c>
    </row>
    <row r="128" spans="1:20" ht="14.25" thickBot="1">
      <c r="A128" s="19"/>
      <c r="B128" s="1086"/>
      <c r="C128" s="382" t="s">
        <v>17</v>
      </c>
      <c r="D128" s="505"/>
      <c r="E128" s="861"/>
      <c r="F128" s="948"/>
      <c r="G128" s="494"/>
      <c r="H128" s="495"/>
      <c r="I128" s="496"/>
      <c r="J128" s="421" t="str">
        <f>IFERROR(SUM(G128:I128)/3/F128,"－")</f>
        <v>－</v>
      </c>
      <c r="K128" s="497"/>
      <c r="L128" s="422" t="str">
        <f t="shared" si="24"/>
        <v>－</v>
      </c>
      <c r="M128" s="497"/>
      <c r="N128" s="422" t="str">
        <f t="shared" si="25"/>
        <v>－</v>
      </c>
      <c r="O128" s="497"/>
      <c r="P128" s="422" t="str">
        <f t="shared" si="26"/>
        <v>－</v>
      </c>
      <c r="Q128" s="497"/>
      <c r="R128" s="422" t="str">
        <f t="shared" si="27"/>
        <v>－</v>
      </c>
      <c r="S128" s="497"/>
      <c r="T128" s="422" t="str">
        <f>IFERROR(S128/F128,"－")</f>
        <v>－</v>
      </c>
    </row>
    <row r="129" spans="1:20">
      <c r="A129" s="498" t="s">
        <v>61</v>
      </c>
      <c r="B129" s="499"/>
      <c r="C129" s="423"/>
      <c r="D129" s="489"/>
      <c r="E129" s="484"/>
      <c r="F129" s="947"/>
      <c r="G129" s="486"/>
      <c r="H129" s="484"/>
      <c r="I129" s="487"/>
      <c r="J129" s="488"/>
      <c r="K129" s="489"/>
      <c r="L129" s="490"/>
      <c r="M129" s="489"/>
      <c r="N129" s="490"/>
      <c r="O129" s="489"/>
      <c r="P129" s="490"/>
      <c r="Q129" s="489"/>
      <c r="R129" s="490"/>
      <c r="S129" s="489"/>
      <c r="T129" s="490"/>
    </row>
    <row r="130" spans="1:20">
      <c r="A130" s="19"/>
      <c r="B130" s="1084" t="s">
        <v>62</v>
      </c>
      <c r="C130" s="382" t="s">
        <v>16</v>
      </c>
      <c r="D130" s="465" t="n">
        <v>193044.941</v>
      </c>
      <c r="E130" s="402" t="n">
        <v>223052.476</v>
      </c>
      <c r="F130" s="491" t="n">
        <v>231971.916</v>
      </c>
      <c r="G130" s="466" t="n">
        <v>231972.0</v>
      </c>
      <c r="H130" s="402" t="n">
        <v>231972.0</v>
      </c>
      <c r="I130" s="467" t="n">
        <v>231972.0</v>
      </c>
      <c r="J130" s="403" t="n">
        <f t="shared" ref="J130:J139" si="29">IFERROR(SUM(G130:I130)/3/F130,"－")</f>
        <v>1.0000003621128</v>
      </c>
      <c r="K130" s="401" t="n">
        <v>222113.0</v>
      </c>
      <c r="L130" s="404" t="n">
        <f t="shared" ref="L130:L140" si="30">IFERROR(K130/F130,"－")</f>
        <v>0.9574995276583395</v>
      </c>
      <c r="M130" s="401" t="n">
        <v>222113.0</v>
      </c>
      <c r="N130" s="404" t="n">
        <f t="shared" si="14"/>
        <v>0.9574995276583395</v>
      </c>
      <c r="O130" s="401" t="n">
        <v>241804.0</v>
      </c>
      <c r="P130" s="404" t="n">
        <f t="shared" si="15"/>
        <v>1.0423848031672938</v>
      </c>
      <c r="Q130" s="401" t="n">
        <v>248475.0</v>
      </c>
      <c r="R130" s="404" t="n">
        <f t="shared" si="16"/>
        <v>1.0711425946923678</v>
      </c>
      <c r="S130" s="401" t="n">
        <v>238643.0</v>
      </c>
      <c r="T130" s="404" t="n">
        <f>IFERROR(S130/F130,"－")</f>
        <v>1.028758153637874</v>
      </c>
    </row>
    <row r="131" spans="1:20">
      <c r="A131" s="19"/>
      <c r="B131" s="1085"/>
      <c r="C131" s="382" t="s">
        <v>17</v>
      </c>
      <c r="D131" s="465" t="n">
        <v>66.41666666666667</v>
      </c>
      <c r="E131" s="402" t="n">
        <v>71.08333333333333</v>
      </c>
      <c r="F131" s="491" t="n">
        <v>71.0</v>
      </c>
      <c r="G131" s="466" t="n">
        <v>71.0</v>
      </c>
      <c r="H131" s="402" t="n">
        <v>71.0</v>
      </c>
      <c r="I131" s="467" t="n">
        <v>71.0</v>
      </c>
      <c r="J131" s="395" t="n">
        <f t="shared" si="29"/>
        <v>1.0</v>
      </c>
      <c r="K131" s="401" t="n">
        <v>68.0</v>
      </c>
      <c r="L131" s="396" t="n">
        <f t="shared" si="30"/>
        <v>0.9577464788732394</v>
      </c>
      <c r="M131" s="401" t="n">
        <v>68.0</v>
      </c>
      <c r="N131" s="396" t="n">
        <f t="shared" si="14"/>
        <v>0.9577464788732394</v>
      </c>
      <c r="O131" s="401" t="n">
        <v>74.0</v>
      </c>
      <c r="P131" s="396" t="n">
        <f t="shared" si="15"/>
        <v>1.0422535211267605</v>
      </c>
      <c r="Q131" s="401" t="n">
        <v>76.0</v>
      </c>
      <c r="R131" s="396" t="n">
        <f t="shared" si="16"/>
        <v>1.0704225352112675</v>
      </c>
      <c r="S131" s="401" t="n">
        <v>73.0</v>
      </c>
      <c r="T131" s="404" t="n">
        <f t="shared" ref="T131:T135" si="31">IFERROR(S131/F131,"－")</f>
        <v>1.028169014084507</v>
      </c>
    </row>
    <row r="132" spans="1:20">
      <c r="A132" s="19"/>
      <c r="B132" s="1084" t="s">
        <v>65</v>
      </c>
      <c r="C132" s="382" t="s">
        <v>16</v>
      </c>
      <c r="D132" s="465" t="n">
        <v>84204.2</v>
      </c>
      <c r="E132" s="402" t="n">
        <v>89228.355</v>
      </c>
      <c r="F132" s="491" t="n">
        <v>85682.856</v>
      </c>
      <c r="G132" s="466" t="n">
        <v>85683.0</v>
      </c>
      <c r="H132" s="402" t="n">
        <v>85683.0</v>
      </c>
      <c r="I132" s="467" t="n">
        <v>85683.0</v>
      </c>
      <c r="J132" s="403" t="n">
        <f t="shared" si="29"/>
        <v>1.0000016806162484</v>
      </c>
      <c r="K132" s="401" t="n">
        <v>85683.0</v>
      </c>
      <c r="L132" s="404" t="n">
        <f t="shared" si="30"/>
        <v>1.0000016806162484</v>
      </c>
      <c r="M132" s="401" t="n">
        <v>85683.0</v>
      </c>
      <c r="N132" s="404" t="n">
        <f t="shared" si="14"/>
        <v>1.0000016806162484</v>
      </c>
      <c r="O132" s="401" t="n">
        <v>88460.0</v>
      </c>
      <c r="P132" s="404" t="n">
        <f t="shared" si="15"/>
        <v>1.032411898128139</v>
      </c>
      <c r="Q132" s="401" t="n">
        <v>91715.0</v>
      </c>
      <c r="R132" s="404" t="n">
        <f t="shared" si="16"/>
        <v>1.070400827908911</v>
      </c>
      <c r="S132" s="401" t="n">
        <v>85683.0</v>
      </c>
      <c r="T132" s="404" t="n">
        <f t="shared" si="31"/>
        <v>1.0000016806162484</v>
      </c>
    </row>
    <row r="133" spans="1:20">
      <c r="A133" s="19"/>
      <c r="B133" s="1085"/>
      <c r="C133" s="382" t="s">
        <v>17</v>
      </c>
      <c r="D133" s="465" t="n">
        <v>25.166666666666668</v>
      </c>
      <c r="E133" s="402" t="n">
        <v>27.833333333333332</v>
      </c>
      <c r="F133" s="491" t="n">
        <v>27.0</v>
      </c>
      <c r="G133" s="466" t="n">
        <v>27.0</v>
      </c>
      <c r="H133" s="402" t="n">
        <v>27.0</v>
      </c>
      <c r="I133" s="467" t="n">
        <v>27.0</v>
      </c>
      <c r="J133" s="395" t="n">
        <f t="shared" si="29"/>
        <v>1.0</v>
      </c>
      <c r="K133" s="401" t="n">
        <v>27.0</v>
      </c>
      <c r="L133" s="396" t="n">
        <f t="shared" si="30"/>
        <v>1.0</v>
      </c>
      <c r="M133" s="401" t="n">
        <v>27.0</v>
      </c>
      <c r="N133" s="396" t="n">
        <f t="shared" ref="N133:N140" si="32">IFERROR(M133/F133,"－")</f>
        <v>1.0</v>
      </c>
      <c r="O133" s="401" t="n">
        <v>28.0</v>
      </c>
      <c r="P133" s="396" t="n">
        <f t="shared" ref="P133:P140" si="33">IFERROR(O133/F133,"－")</f>
        <v>1.037037037037037</v>
      </c>
      <c r="Q133" s="401" t="n">
        <v>29.0</v>
      </c>
      <c r="R133" s="396" t="n">
        <f t="shared" ref="R133:R140" si="34">IFERROR(Q133/F133,"－")</f>
        <v>1.0740740740740742</v>
      </c>
      <c r="S133" s="401" t="n">
        <v>27.0</v>
      </c>
      <c r="T133" s="404" t="n">
        <f t="shared" si="31"/>
        <v>1.0</v>
      </c>
    </row>
    <row r="134" spans="1:20">
      <c r="A134" s="19"/>
      <c r="B134" s="725" t="s">
        <v>215</v>
      </c>
      <c r="C134" s="382" t="s">
        <v>217</v>
      </c>
      <c r="D134" s="465" t="n">
        <v>0.0</v>
      </c>
      <c r="E134" s="402" t="n">
        <v>3934.188</v>
      </c>
      <c r="F134" s="491" t="n">
        <v>3869.856</v>
      </c>
      <c r="G134" s="466" t="n">
        <v>3870.0</v>
      </c>
      <c r="H134" s="402" t="n">
        <v>3870.0</v>
      </c>
      <c r="I134" s="467" t="n">
        <v>3870.0</v>
      </c>
      <c r="J134" s="395" t="n">
        <f t="shared" si="29"/>
        <v>1.0000372106869093</v>
      </c>
      <c r="K134" s="401" t="n">
        <v>3870.0</v>
      </c>
      <c r="L134" s="396" t="n">
        <f t="shared" si="30"/>
        <v>1.0000372106869093</v>
      </c>
      <c r="M134" s="401" t="n">
        <v>3870.0</v>
      </c>
      <c r="N134" s="396" t="n">
        <f t="shared" si="32"/>
        <v>1.0000372106869093</v>
      </c>
      <c r="O134" s="401" t="n">
        <v>3870.0</v>
      </c>
      <c r="P134" s="396" t="n">
        <f t="shared" si="33"/>
        <v>1.0000372106869093</v>
      </c>
      <c r="Q134" s="401" t="n">
        <v>3870.0</v>
      </c>
      <c r="R134" s="396" t="n">
        <f t="shared" si="34"/>
        <v>1.0000372106869093</v>
      </c>
      <c r="S134" s="401" t="n">
        <v>3870.0</v>
      </c>
      <c r="T134" s="404" t="n">
        <f t="shared" si="31"/>
        <v>1.0000372106869093</v>
      </c>
    </row>
    <row r="135" spans="1:20" ht="14.25" thickBot="1">
      <c r="A135" s="25"/>
      <c r="B135" s="988"/>
      <c r="C135" s="989" t="s">
        <v>218</v>
      </c>
      <c r="D135" s="465" t="n">
        <v>0.0</v>
      </c>
      <c r="E135" s="402" t="n">
        <v>1.0</v>
      </c>
      <c r="F135" s="491" t="n">
        <v>1.0</v>
      </c>
      <c r="G135" s="466" t="n">
        <v>1.0</v>
      </c>
      <c r="H135" s="402" t="n">
        <v>1.0</v>
      </c>
      <c r="I135" s="467" t="n">
        <v>1.0</v>
      </c>
      <c r="J135" s="395" t="n">
        <f t="shared" si="29"/>
        <v>1.0</v>
      </c>
      <c r="K135" s="401" t="n">
        <v>1.0</v>
      </c>
      <c r="L135" s="396" t="n">
        <f t="shared" si="30"/>
        <v>1.0</v>
      </c>
      <c r="M135" s="401" t="n">
        <v>1.0</v>
      </c>
      <c r="N135" s="396" t="n">
        <f t="shared" si="32"/>
        <v>1.0</v>
      </c>
      <c r="O135" s="401" t="n">
        <v>1.0</v>
      </c>
      <c r="P135" s="396" t="n">
        <f t="shared" si="33"/>
        <v>1.0</v>
      </c>
      <c r="Q135" s="401" t="n">
        <v>1.0</v>
      </c>
      <c r="R135" s="396" t="n">
        <f t="shared" si="34"/>
        <v>1.0</v>
      </c>
      <c r="S135" s="401" t="n">
        <v>1.0</v>
      </c>
      <c r="T135" s="404" t="n">
        <f t="shared" si="31"/>
        <v>1.0</v>
      </c>
    </row>
    <row r="136" spans="1:20" hidden="1">
      <c r="A136" s="19"/>
      <c r="B136" s="1088" t="s">
        <v>216</v>
      </c>
      <c r="C136" s="508" t="s">
        <v>16</v>
      </c>
      <c r="D136" s="465" t="n">
        <v>0.0</v>
      </c>
      <c r="E136" s="402" t="n">
        <v>0.0</v>
      </c>
      <c r="F136" s="491" t="n">
        <v>0.0</v>
      </c>
      <c r="G136" s="500"/>
      <c r="H136" s="860"/>
      <c r="I136" s="860"/>
      <c r="J136" s="501"/>
      <c r="K136" s="500"/>
      <c r="L136" s="501"/>
      <c r="M136" s="500"/>
      <c r="N136" s="501"/>
      <c r="O136" s="500"/>
      <c r="P136" s="501"/>
      <c r="Q136" s="500"/>
      <c r="R136" s="501"/>
      <c r="S136" s="500"/>
      <c r="T136" s="501"/>
    </row>
    <row r="137" spans="1:20" ht="14.25" hidden="1" thickBot="1">
      <c r="A137" s="25"/>
      <c r="B137" s="1087"/>
      <c r="C137" s="443" t="s">
        <v>17</v>
      </c>
      <c r="D137" s="502" t="n">
        <v>0.0</v>
      </c>
      <c r="E137" s="495" t="n">
        <v>0.0</v>
      </c>
      <c r="F137" s="503" t="n">
        <v>0.0</v>
      </c>
      <c r="G137" s="505"/>
      <c r="H137" s="861"/>
      <c r="I137" s="861"/>
      <c r="J137" s="506"/>
      <c r="K137" s="505"/>
      <c r="L137" s="506"/>
      <c r="M137" s="505"/>
      <c r="N137" s="506"/>
      <c r="O137" s="505"/>
      <c r="P137" s="506"/>
      <c r="Q137" s="505"/>
      <c r="R137" s="506"/>
      <c r="S137" s="505"/>
      <c r="T137" s="506"/>
    </row>
    <row r="138" spans="1:20">
      <c r="A138" s="24" t="s">
        <v>66</v>
      </c>
      <c r="B138" s="507"/>
      <c r="C138" s="508" t="s">
        <v>16</v>
      </c>
      <c r="D138" s="509" t="n">
        <v>50347.244</v>
      </c>
      <c r="E138" s="439" t="n">
        <v>49226.912</v>
      </c>
      <c r="F138" s="510" t="n">
        <v>53231.364</v>
      </c>
      <c r="G138" s="511" t="n">
        <v>51994.0</v>
      </c>
      <c r="H138" s="439" t="n">
        <v>52143.0</v>
      </c>
      <c r="I138" s="512" t="n">
        <v>50984.0</v>
      </c>
      <c r="J138" s="440" t="n">
        <f t="shared" si="29"/>
        <v>0.9713634240144589</v>
      </c>
      <c r="K138" s="438" t="n">
        <v>51784.0</v>
      </c>
      <c r="L138" s="441" t="n">
        <f t="shared" si="30"/>
        <v>0.9728099396438535</v>
      </c>
      <c r="M138" s="438" t="n">
        <v>52726.0</v>
      </c>
      <c r="N138" s="441" t="n">
        <f t="shared" si="32"/>
        <v>0.9905062737073579</v>
      </c>
      <c r="O138" s="438" t="n">
        <v>56824.0</v>
      </c>
      <c r="P138" s="441" t="n">
        <f t="shared" si="33"/>
        <v>1.0674909626587814</v>
      </c>
      <c r="Q138" s="438" t="n">
        <v>57919.0</v>
      </c>
      <c r="R138" s="441" t="n">
        <f t="shared" si="34"/>
        <v>1.0880615420638102</v>
      </c>
      <c r="S138" s="438" t="n">
        <v>54664.0</v>
      </c>
      <c r="T138" s="441" t="n">
        <f>IFERROR(S138/F138,"－")</f>
        <v>1.0269133813666695</v>
      </c>
    </row>
    <row r="139" spans="1:20" ht="14.25" thickBot="1">
      <c r="A139" s="21"/>
      <c r="B139" s="442"/>
      <c r="C139" s="443" t="s">
        <v>17</v>
      </c>
      <c r="D139" s="513" t="n">
        <v>261.25</v>
      </c>
      <c r="E139" s="480" t="n">
        <v>255.0</v>
      </c>
      <c r="F139" s="514" t="n">
        <v>274.0</v>
      </c>
      <c r="G139" s="504" t="n">
        <v>268.0</v>
      </c>
      <c r="H139" s="480" t="n">
        <v>269.0</v>
      </c>
      <c r="I139" s="481" t="n">
        <v>263.0</v>
      </c>
      <c r="J139" s="448" t="n">
        <f t="shared" si="29"/>
        <v>0.9732360097323601</v>
      </c>
      <c r="K139" s="479" t="n">
        <v>267.0</v>
      </c>
      <c r="L139" s="449" t="n">
        <f t="shared" si="30"/>
        <v>0.9744525547445255</v>
      </c>
      <c r="M139" s="479" t="n">
        <v>272.0</v>
      </c>
      <c r="N139" s="449" t="n">
        <f t="shared" si="32"/>
        <v>0.9927007299270073</v>
      </c>
      <c r="O139" s="479" t="n">
        <v>293.0</v>
      </c>
      <c r="P139" s="449" t="n">
        <f t="shared" si="33"/>
        <v>1.0693430656934306</v>
      </c>
      <c r="Q139" s="479" t="n">
        <v>298.0</v>
      </c>
      <c r="R139" s="449" t="n">
        <f t="shared" si="34"/>
        <v>1.0875912408759123</v>
      </c>
      <c r="S139" s="479" t="n">
        <v>281.0</v>
      </c>
      <c r="T139" s="449" t="n">
        <f>IFERROR(S139/F139,"－")</f>
        <v>1.0255474452554745</v>
      </c>
    </row>
    <row r="140" spans="1:20" ht="14.25" thickBot="1">
      <c r="A140" s="450" t="s">
        <v>36</v>
      </c>
      <c r="B140" s="370"/>
      <c r="C140" s="451" t="s">
        <v>16</v>
      </c>
      <c r="D140" s="452" t="n">
        <f t="shared" ref="D140:F140" si="35">IF(ISERROR(SUM(D66,D69,D72,D75,D78,D80,D83,D86,D89,D92,D95,D98,D100,D102,D104,D107,D109,D114,D117,D119,D121,D123,D125,D111,D130,D132,D134,D136,D138)),0,(SUM(D66,D69,D72,D75,D78,D80,D83,D86,D89,D92,D95,D98,D100,D102,D104,D107,D109,D114,D117,D119,D121,D123,D125,D111,D130,D132,D134,D136,D138)))</f>
        <v>990596.5729999999</v>
      </c>
      <c r="E140" s="453" t="n">
        <f t="shared" si="35"/>
        <v>981625.3369999999</v>
      </c>
      <c r="F140" s="454" t="n">
        <f t="shared" si="35"/>
        <v>1017496.9368</v>
      </c>
      <c r="G140" s="455" t="n">
        <f>IF(ISERROR(SUM(G66,G69,G72,G75,G78,G80,G83,G86,G89,G92,G95,G98,G100,G102,G104,G107,G109,G114,G117,G119,G121,G123,G125,G127,G111,G130,G132,G134,G138)),0,(SUM(G66,G69,G72,G75,G78,G80,G83,G86,G89,G92,G95,G98,G100,G102,G104,G107,G109,G114,G117,G119,G121,G123,G125,G127,G111,G130,G132,G134,G138)))</f>
        <v>997527.0</v>
      </c>
      <c r="H140" s="453" t="n">
        <f t="shared" ref="H140:I140" si="36">IF(ISERROR(SUM(H66,H69,H72,H75,H78,H80,H83,H86,H89,H92,H95,H98,H100,H102,H104,H107,H109,H114,H117,H119,H121,H123,H125,H127,H111,H130,H132,H134,H138)),0,(SUM(H66,H69,H72,H75,H78,H80,H83,H86,H89,H92,H95,H98,H100,H102,H104,H107,H109,H114,H117,H119,H121,H123,H125,H127,H111,H130,H132,H134,H138)))</f>
        <v>1002690.0</v>
      </c>
      <c r="I140" s="453" t="n">
        <f t="shared" si="36"/>
        <v>988427.0</v>
      </c>
      <c r="J140" s="456" t="n">
        <f t="shared" ref="J140" si="37">IFERROR(SUM(G140:I140)/3/F140,"－")</f>
        <v>0.9790837010278718</v>
      </c>
      <c r="K140" s="455" t="n">
        <f>IF(ISERROR(SUM(K66,K69,K72,K75,K78,K80,K83,K86,K89,K92,K95,K98,K100,K102,K104,K107,K109,K114,K117,K119,K121,K123,K125,K127,K111,K130,K132,K134,K138)),0,(SUM(K66,K69,K72,K75,K78,K80,K83,K86,K89,K92,K95,K98,K100,K102,K104,K107,K109,K114,K117,K119,K121,K123,K125,K127,K111,K130,K132,K134,K138)))</f>
        <v>986294.0</v>
      </c>
      <c r="L140" s="457" t="n">
        <f t="shared" si="30"/>
        <v>0.9693336307250886</v>
      </c>
      <c r="M140" s="455" t="n">
        <f>IF(ISERROR(SUM(M66,M69,M72,M75,M78,M80,M83,M86,M89,M92,M95,M98,M100,M102,M104,M107,M109,M114,M117,M119,M121,M123,M125,M127,M111,M130,M132,M134,M138)),0,(SUM(M66,M69,M72,M75,M78,M80,M83,M86,M89,M92,M95,M98,M100,M102,M104,M107,M109,M114,M117,M119,M121,M123,M125,M127,M111,M130,M132,M134,M138)))</f>
        <v>990813.0</v>
      </c>
      <c r="N140" s="457" t="n">
        <f t="shared" si="32"/>
        <v>0.9737749217369437</v>
      </c>
      <c r="O140" s="455" t="n">
        <f>IF(ISERROR(SUM(O66,O69,O72,O75,O78,O80,O83,O86,O89,O92,O95,O98,O100,O102,O104,O107,O109,O114,O117,O119,O121,O123,O125,O127,O111,O130,O132,O134,O138)),0,(SUM(O66,O69,O72,O75,O78,O80,O83,O86,O89,O92,O95,O98,O100,O102,O104,O107,O109,O114,O117,O119,O121,O123,O125,O127,O111,O130,O132,O134,O138)))</f>
        <v>1063903.0</v>
      </c>
      <c r="P140" s="457" t="n">
        <f t="shared" si="33"/>
        <v>1.045608061824683</v>
      </c>
      <c r="Q140" s="455" t="n">
        <f>IF(ISERROR(SUM(Q66,Q69,Q72,Q75,Q78,Q80,Q83,Q86,Q89,Q92,Q95,Q98,Q100,Q102,Q104,Q107,Q109,Q114,Q117,Q119,Q121,Q123,Q125,Q127,Q111,Q130,Q132,Q134,Q138)),0,(SUM(Q66,Q69,Q72,Q75,Q78,Q80,Q83,Q86,Q89,Q92,Q95,Q98,Q100,Q102,Q104,Q107,Q109,Q114,Q117,Q119,Q121,Q123,Q125,Q127,Q111,Q130,Q132,Q134,Q138)))</f>
        <v>1090559.0</v>
      </c>
      <c r="R140" s="457" t="n">
        <f t="shared" si="34"/>
        <v>1.071805683690585</v>
      </c>
      <c r="S140" s="455" t="n">
        <f>IF(ISERROR(SUM(S66,S69,S72,S75,S78,S80,S83,S86,S89,S92,S95,S98,S100,S102,S104,S107,S109,S114,S117,S119,S121,S123,S125,S127,S111,S130,S132,S134,S138)),0,(SUM(S66,S69,S72,S75,S78,S80,S83,S86,S89,S92,S95,S98,S100,S102,S104,S107,S109,S114,S117,S119,S121,S123,S125,S127,S111,S130,S132,S134,S138)))</f>
        <v>1035530.0</v>
      </c>
      <c r="T140" s="457" t="n">
        <f>IFERROR(S140/F140,"－")</f>
        <v>1.017722965591143</v>
      </c>
    </row>
    <row r="141" spans="1:20" ht="50.1" customHeight="1">
      <c r="A141" s="703" t="s">
        <v>109</v>
      </c>
      <c r="G141" s="702" t="s">
        <v>363</v>
      </c>
      <c r="H141" s="460"/>
      <c r="I141" s="460"/>
      <c r="J141" s="460"/>
      <c r="K141" s="625" t="s">
        <v>403</v>
      </c>
      <c r="L141" s="625"/>
      <c r="M141" s="625"/>
    </row>
    <row r="142" spans="1:20" ht="13.5" customHeight="1">
      <c r="G142" s="515"/>
      <c r="K142" s="625"/>
      <c r="L142" s="625"/>
      <c r="M142" s="625"/>
    </row>
    <row r="143" spans="1:20" ht="14.25" thickBot="1">
      <c r="A143" s="22" t="s">
        <v>214</v>
      </c>
      <c r="D143" s="516"/>
      <c r="G143" s="459"/>
      <c r="H143" s="459"/>
      <c r="I143" s="459"/>
      <c r="J143" s="459"/>
      <c r="K143" s="625"/>
      <c r="L143" s="625"/>
      <c r="M143" s="625"/>
    </row>
    <row r="144" spans="1:20" ht="14.25" thickBot="1">
      <c r="A144" s="22"/>
      <c r="D144" s="1033" t="s">
        <v>417</v>
      </c>
      <c r="E144" s="1057"/>
      <c r="F144" s="1058"/>
      <c r="G144" s="1033" t="s">
        <v>418</v>
      </c>
      <c r="H144" s="1057"/>
      <c r="I144" s="1058"/>
      <c r="J144" s="997" t="s">
        <v>424</v>
      </c>
      <c r="K144" s="997" t="s">
        <v>425</v>
      </c>
      <c r="L144" s="997" t="s">
        <v>426</v>
      </c>
      <c r="M144" s="997" t="s">
        <v>427</v>
      </c>
      <c r="N144" s="997" t="s">
        <v>423</v>
      </c>
    </row>
    <row r="145" spans="1:14" ht="14.25" thickBot="1">
      <c r="A145" s="29"/>
      <c r="B145" s="370"/>
      <c r="C145" s="371"/>
      <c r="D145" s="1001" t="s">
        <v>366</v>
      </c>
      <c r="E145" s="992" t="s">
        <v>364</v>
      </c>
      <c r="F145" s="1002" t="s">
        <v>361</v>
      </c>
      <c r="G145" s="1001" t="s">
        <v>359</v>
      </c>
      <c r="H145" s="992" t="s">
        <v>357</v>
      </c>
      <c r="I145" s="1002" t="s">
        <v>355</v>
      </c>
      <c r="J145" s="998" t="s">
        <v>382</v>
      </c>
      <c r="K145" s="998" t="s">
        <v>385</v>
      </c>
      <c r="L145" s="998" t="s">
        <v>388</v>
      </c>
      <c r="M145" s="998" t="s">
        <v>391</v>
      </c>
      <c r="N145" s="998" t="s">
        <v>394</v>
      </c>
    </row>
    <row r="146" spans="1:14">
      <c r="A146" s="517" t="s">
        <v>36</v>
      </c>
      <c r="B146" s="518"/>
      <c r="C146" s="519"/>
      <c r="D146" s="520" t="n">
        <f t="shared" ref="D146:I146" si="38">D59+D140</f>
        <v>1026349.7679999998</v>
      </c>
      <c r="E146" s="521" t="n">
        <f t="shared" si="38"/>
        <v>1018575.2239999999</v>
      </c>
      <c r="F146" s="522" t="n">
        <f t="shared" si="38"/>
        <v>1055610.912</v>
      </c>
      <c r="G146" s="523" t="n">
        <f t="shared" si="38"/>
        <v>1035192.0</v>
      </c>
      <c r="H146" s="521" t="n">
        <f t="shared" si="38"/>
        <v>1040183.0</v>
      </c>
      <c r="I146" s="522" t="n">
        <f t="shared" si="38"/>
        <v>1025920.0</v>
      </c>
      <c r="J146" s="524" t="n">
        <f>K59+K140</f>
        <v>1023789.0</v>
      </c>
      <c r="K146" s="524" t="n">
        <f>M59+M140</f>
        <v>1029877.0</v>
      </c>
      <c r="L146" s="524" t="n">
        <f>O59+O140</f>
        <v>1106325.0</v>
      </c>
      <c r="M146" s="524" t="n">
        <f>Q59+Q140</f>
        <v>1131054.0</v>
      </c>
      <c r="N146" s="524" t="n">
        <f>S59+S140</f>
        <v>1073871.0</v>
      </c>
    </row>
    <row r="147" spans="1:14">
      <c r="A147" s="372"/>
      <c r="B147" s="525" t="s">
        <v>144</v>
      </c>
      <c r="C147" s="526"/>
      <c r="D147" s="527" t="n">
        <f>D12+D14+D17+D20+D23+D25+D27+D29+D32+D35+D38+D41+D43+D45+D50+D53+D57+D66+D69+D72+D75+D78+D80+D83+D86+D89+D92+D95+D98+D100+D102+D107+D109+D114+D117+D125+D111+D138</f>
        <v>446667.6810000001</v>
      </c>
      <c r="E147" s="528" t="n">
        <f>E12+E14+E17+E20+E23+E25+E27+E29+E32+E35+E38+E41+E43+E45+E50+E53+E57+E66+E69+E72+E75+E78+E80+E83+E86+E89+E92+E95+E98+E100+E102+E107+E109+E114+E117+E125+E111+E138</f>
        <v>431498.3670000001</v>
      </c>
      <c r="F147" s="528" t="n">
        <f>F12+F14+F17+F20+F23+F25+F27+F29+F32+F35+F38+F41+F43+F45+F50+F53+F57+F66+F69+F72+F75+F78+F80+F83+F86+F89+F92+F95+F98+F100+F102+F107+F109+F114+F117+F125+F111+F138</f>
        <v>488501.664</v>
      </c>
      <c r="G147" s="527" t="n">
        <f>G14+G17+G20+G23+G27+G29+G32+G35+G38+G41+G43+G45+G50+G53+G57+G66+G69+G72+G75+G78+G80+G83+G86+G89+G92+G95+G98+G100+G102+G107+G109+G114+G117+G125+G111+G138+G127</f>
        <v>473638.0</v>
      </c>
      <c r="H147" s="528" t="n">
        <f>H14+H17+H20+H23+H27+H29+H32+H35+H38+H41+H43+H45+H50+H53+H57+H66+H69+H72+H75+H78+H80+H83+H86+H89+H92+H95+H98+H100+H102+H107+H109+H114+H117+H125+H111+H138+H127</f>
        <v>476125.0</v>
      </c>
      <c r="I147" s="529" t="n">
        <f>I14+I17+I20+I23+I27+I29+I32+I35+I38+I41+I43+I45+I50+I53+I57+I66+I69+I72+I75+I78+I80+I83+I86+I89+I92+I95+I98+I100+I102+I107+I109+I114+I117+I125+I111+I138+I127</f>
        <v>461862.0</v>
      </c>
      <c r="J147" s="530" t="n">
        <f>K14+K17+K20+K23+K27+K29+K32+K35+K38+K41+K43+K45+K50+K53+K57+K66+K69+K72+K75+K78+K80+K83+K86+K89+K92+K95+K98+K100+K102+K107+K109+K114+K117+K125+K111+K138+K127</f>
        <v>475499.0</v>
      </c>
      <c r="K147" s="530" t="n">
        <f>M14+M17+M20+M23+M27+M29+M32+M35+M38+M41+M43+M45+M50+M53+M57+M66+M69+M72+M75+M78+M80+M83+M86+M89+M92+M95+M98+M100+M102+M107+M109+M114+M117+M125+M111+M138+M127</f>
        <v>481321.0</v>
      </c>
      <c r="L147" s="530" t="n">
        <f>O14+O17+O20+O23+O27+O29+O32+O35+O38+O41+O43+O45+O50+O53+O57+O66+O69+O72+O75+O78+O80+O83+O86+O89+O92+O95+O98+O100+O102+O107+O109+O114+O117+O125+O111+O138+O127</f>
        <v>515237.0</v>
      </c>
      <c r="M147" s="530" t="n">
        <f>Q14+Q17+Q20+Q23+Q27+Q29+Q32+Q35+Q38+Q41+Q43+Q45+Q50+Q53+Q57+Q66+Q69+Q72+Q75+Q78+Q80+Q83+Q86+Q89+Q92+Q95+Q98+Q100+Q102+Q107+Q109+Q114+Q117+Q125+Q111+Q138+Q127</f>
        <v>524580.0</v>
      </c>
      <c r="N147" s="530" t="n">
        <f>S14+S17+S20+S23+S27+S29+S32+S35+S38+S41+S43+S45+S50+S53+S57+S66+S69+S72+S75+S78+S80+S83+S86+S89+S92+S95+S98+S100+S102+S107+S109+S114+S117+S125+S111+S138+S127</f>
        <v>500261.0</v>
      </c>
    </row>
    <row r="148" spans="1:14">
      <c r="A148" s="372"/>
      <c r="B148" s="525" t="s">
        <v>145</v>
      </c>
      <c r="C148" s="526"/>
      <c r="D148" s="531" t="n">
        <f t="shared" ref="D148:I148" si="39">D47+D55+D104+D119+D121</f>
        <v>168503.681</v>
      </c>
      <c r="E148" s="528" t="n">
        <f t="shared" si="39"/>
        <v>147563.86000000002</v>
      </c>
      <c r="F148" s="532" t="n">
        <f t="shared" si="39"/>
        <v>130068.708</v>
      </c>
      <c r="G148" s="531" t="n">
        <f t="shared" si="39"/>
        <v>124513.0</v>
      </c>
      <c r="H148" s="528" t="n">
        <f t="shared" si="39"/>
        <v>127017.0</v>
      </c>
      <c r="I148" s="532" t="n">
        <f t="shared" si="39"/>
        <v>127017.0</v>
      </c>
      <c r="J148" s="530" t="n">
        <f>K47+K55+K104+K119+K121</f>
        <v>127017.0</v>
      </c>
      <c r="K148" s="530" t="n">
        <f>M47+M55+M104+M119+M121</f>
        <v>127283.0</v>
      </c>
      <c r="L148" s="530" t="n">
        <f>O47+O55+O104+O119+O121</f>
        <v>132838.0</v>
      </c>
      <c r="M148" s="530" t="n">
        <f>Q47+Q55+Q104+Q119+Q121</f>
        <v>138298.0</v>
      </c>
      <c r="N148" s="530" t="n">
        <f>S47+S55+S104+S119+S121</f>
        <v>127017.0</v>
      </c>
    </row>
    <row r="149" spans="1:14" ht="14.25" thickBot="1">
      <c r="A149" s="533"/>
      <c r="B149" s="534" t="s">
        <v>146</v>
      </c>
      <c r="C149" s="535"/>
      <c r="D149" s="536" t="n">
        <f t="shared" ref="D149:I149" si="40">D123+D130+D132+D134+D136</f>
        <v>411178.406</v>
      </c>
      <c r="E149" s="537" t="n">
        <f t="shared" si="40"/>
        <v>439512.99700000003</v>
      </c>
      <c r="F149" s="538" t="n">
        <f t="shared" si="40"/>
        <v>437040.54000000004</v>
      </c>
      <c r="G149" s="536" t="n">
        <f t="shared" si="40"/>
        <v>437041.0</v>
      </c>
      <c r="H149" s="537" t="n">
        <f t="shared" si="40"/>
        <v>437041.0</v>
      </c>
      <c r="I149" s="538" t="n">
        <f t="shared" si="40"/>
        <v>437041.0</v>
      </c>
      <c r="J149" s="539" t="n">
        <f>K123+K130+K132+K134</f>
        <v>421273.0</v>
      </c>
      <c r="K149" s="539" t="n">
        <f>M123+M130+M132+M134</f>
        <v>421273.0</v>
      </c>
      <c r="L149" s="539" t="n">
        <f>O123+O130+O132+O134</f>
        <v>458250.0</v>
      </c>
      <c r="M149" s="539" t="n">
        <f>Q123+Q130+Q132+Q134</f>
        <v>468176.0</v>
      </c>
      <c r="N149" s="539" t="n">
        <f>S123+S130+S132+S134</f>
        <v>446593.0</v>
      </c>
    </row>
    <row r="150" spans="1:14" ht="14.25" thickBot="1"/>
    <row r="151" spans="1:14" ht="14.25" thickBot="1">
      <c r="A151" s="22" t="s">
        <v>219</v>
      </c>
      <c r="D151" s="1033" t="s">
        <v>417</v>
      </c>
      <c r="E151" s="1057"/>
      <c r="F151" s="1058"/>
      <c r="G151" s="1033" t="s">
        <v>418</v>
      </c>
      <c r="H151" s="1057"/>
      <c r="I151" s="1058"/>
      <c r="J151" s="997" t="s">
        <v>424</v>
      </c>
      <c r="K151" s="997" t="s">
        <v>425</v>
      </c>
      <c r="L151" s="997" t="s">
        <v>426</v>
      </c>
      <c r="M151" s="997" t="s">
        <v>427</v>
      </c>
      <c r="N151" s="997" t="s">
        <v>423</v>
      </c>
    </row>
    <row r="152" spans="1:14" ht="14.25" thickBot="1">
      <c r="A152" s="1047"/>
      <c r="B152" s="1048"/>
      <c r="C152" s="1049"/>
      <c r="D152" s="1001" t="s">
        <v>366</v>
      </c>
      <c r="E152" s="992" t="s">
        <v>364</v>
      </c>
      <c r="F152" s="1002" t="s">
        <v>361</v>
      </c>
      <c r="G152" s="1001" t="s">
        <v>359</v>
      </c>
      <c r="H152" s="992" t="s">
        <v>357</v>
      </c>
      <c r="I152" s="1002" t="s">
        <v>355</v>
      </c>
      <c r="J152" s="998" t="s">
        <v>382</v>
      </c>
      <c r="K152" s="998" t="s">
        <v>385</v>
      </c>
      <c r="L152" s="998" t="s">
        <v>388</v>
      </c>
      <c r="M152" s="998" t="s">
        <v>391</v>
      </c>
      <c r="N152" s="998" t="s">
        <v>394</v>
      </c>
    </row>
    <row r="153" spans="1:14">
      <c r="A153" s="13" t="s">
        <v>1</v>
      </c>
      <c r="B153" s="3"/>
      <c r="C153" s="141"/>
      <c r="D153" s="142" t="n">
        <f>D131+D133+D135+D137</f>
        <v>91.58333333333334</v>
      </c>
      <c r="E153" s="143" t="n">
        <f>E131+E133+E135+E137</f>
        <v>99.91666666666666</v>
      </c>
      <c r="F153" s="144" t="n">
        <f>F131+F133+F135+F137</f>
        <v>99.0</v>
      </c>
      <c r="G153" s="142" t="n">
        <f>G131+G133+G135+G137</f>
        <v>99.0</v>
      </c>
      <c r="H153" s="144" t="n">
        <f>H131+H133+H135+H137</f>
        <v>99.0</v>
      </c>
      <c r="I153" s="144" t="n">
        <f t="shared" ref="I153" si="41">I131+I133+I135+I137</f>
        <v>99.0</v>
      </c>
      <c r="J153" s="149" t="n">
        <f>K131+K133+K135</f>
        <v>96.0</v>
      </c>
      <c r="K153" s="149" t="n">
        <f>M131+M133+M135</f>
        <v>96.0</v>
      </c>
      <c r="L153" s="149" t="n">
        <f>O131+O133+O135</f>
        <v>103.0</v>
      </c>
      <c r="M153" s="149" t="n">
        <f>Q131+Q133+Q135</f>
        <v>106.0</v>
      </c>
      <c r="N153" s="149" t="n">
        <f>S131+S133+S135</f>
        <v>101.0</v>
      </c>
    </row>
    <row r="154" spans="1:14">
      <c r="A154" s="5"/>
      <c r="B154" s="145" t="s">
        <v>220</v>
      </c>
      <c r="C154" s="540"/>
      <c r="D154" s="44" t="n">
        <v>61.0</v>
      </c>
      <c r="E154" s="146" t="n">
        <v>54.416666666666664</v>
      </c>
      <c r="F154" s="174" t="n">
        <v>56.0</v>
      </c>
      <c r="G154" s="44" t="n">
        <v>56.0</v>
      </c>
      <c r="H154" s="174" t="n">
        <v>56.0</v>
      </c>
      <c r="I154" s="174" t="n">
        <v>56.0</v>
      </c>
      <c r="J154" s="150" t="n">
        <v>54.0</v>
      </c>
      <c r="K154" s="150" t="n">
        <v>54.0</v>
      </c>
      <c r="L154" s="150" t="n">
        <v>58.0</v>
      </c>
      <c r="M154" s="150" t="n">
        <v>59.0</v>
      </c>
      <c r="N154" s="150" t="n">
        <v>57.0</v>
      </c>
    </row>
    <row r="155" spans="1:14" ht="14.25" thickBot="1">
      <c r="A155" s="147"/>
      <c r="B155" s="148" t="s">
        <v>221</v>
      </c>
      <c r="C155" s="541"/>
      <c r="D155" s="711" t="n">
        <f>IFERROR(ROUND(D154/D153*100,1),"－")</f>
        <v>66.6</v>
      </c>
      <c r="E155" s="712" t="n">
        <f t="shared" ref="E155:J155" si="42">IFERROR(ROUND(E154/E153*100,1),"－")</f>
        <v>54.5</v>
      </c>
      <c r="F155" s="713" t="n">
        <f t="shared" si="42"/>
        <v>56.6</v>
      </c>
      <c r="G155" s="711" t="n">
        <f t="shared" si="42"/>
        <v>56.6</v>
      </c>
      <c r="H155" s="713" t="n">
        <f t="shared" si="42"/>
        <v>56.6</v>
      </c>
      <c r="I155" s="713" t="n">
        <f t="shared" si="42"/>
        <v>56.6</v>
      </c>
      <c r="J155" s="714" t="n">
        <f t="shared" si="42"/>
        <v>56.3</v>
      </c>
      <c r="K155" s="714" t="n">
        <f t="shared" ref="K155:M155" si="43">IFERROR(ROUND(K154/K153*100,1),"－")</f>
        <v>56.3</v>
      </c>
      <c r="L155" s="714" t="n">
        <f t="shared" si="43"/>
        <v>56.3</v>
      </c>
      <c r="M155" s="714" t="n">
        <f t="shared" si="43"/>
        <v>55.7</v>
      </c>
      <c r="N155" s="714" t="n">
        <f>IFERROR(ROUND(N154/N153*100,1),"－")</f>
        <v>56.4</v>
      </c>
    </row>
    <row r="158" spans="1:14" ht="14.25" thickBot="1">
      <c r="A158" s="368" t="s">
        <v>318</v>
      </c>
    </row>
    <row r="159" spans="1:14" ht="14.25" thickBot="1">
      <c r="A159" s="1067"/>
      <c r="B159" s="1068"/>
      <c r="C159" s="1069"/>
      <c r="D159" s="1073" t="s">
        <v>319</v>
      </c>
      <c r="E159" s="1074"/>
      <c r="F159" s="1074"/>
      <c r="G159" s="1074"/>
      <c r="H159" s="1074"/>
      <c r="I159" s="1075"/>
      <c r="J159" s="1076" t="s">
        <v>320</v>
      </c>
      <c r="K159" s="1077"/>
      <c r="L159" s="1077"/>
      <c r="M159" s="1078"/>
    </row>
    <row r="160" spans="1:14" ht="63.75" thickBot="1">
      <c r="A160" s="1070"/>
      <c r="B160" s="1071"/>
      <c r="C160" s="1072"/>
      <c r="D160" s="739" t="s">
        <v>366</v>
      </c>
      <c r="E160" s="740" t="s">
        <v>364</v>
      </c>
      <c r="F160" s="741" t="s">
        <v>361</v>
      </c>
      <c r="G160" s="742" t="s">
        <v>359</v>
      </c>
      <c r="H160" s="740" t="s">
        <v>357</v>
      </c>
      <c r="I160" s="743" t="s">
        <v>355</v>
      </c>
      <c r="J160" s="744" t="s">
        <v>324</v>
      </c>
      <c r="K160" s="745" t="s">
        <v>360</v>
      </c>
      <c r="L160" s="746" t="s">
        <v>358</v>
      </c>
      <c r="M160" s="747" t="s">
        <v>356</v>
      </c>
    </row>
    <row r="161" spans="1:13" ht="14.25" thickBot="1">
      <c r="A161" s="1059" t="s">
        <v>321</v>
      </c>
      <c r="B161" s="1060"/>
      <c r="C161" s="1061"/>
      <c r="D161" s="748" t="n">
        <f t="shared" ref="D161:I161" si="44">D48+D54+D56+D105+D108+D118+D120+D122+D124+D126+D131+D133+D135+D137+D128</f>
        <v>227.25000000000003</v>
      </c>
      <c r="E161" s="749" t="n">
        <f t="shared" si="44"/>
        <v>219.83333333333334</v>
      </c>
      <c r="F161" s="750" t="n">
        <f t="shared" si="44"/>
        <v>220.0</v>
      </c>
      <c r="G161" s="751" t="n">
        <f t="shared" si="44"/>
        <v>218.0</v>
      </c>
      <c r="H161" s="749" t="n">
        <f t="shared" si="44"/>
        <v>219.0</v>
      </c>
      <c r="I161" s="749" t="n">
        <f t="shared" si="44"/>
        <v>218.0</v>
      </c>
      <c r="J161" s="752" t="n">
        <v>1.040540541</v>
      </c>
      <c r="K161" s="753" t="n">
        <f>ROUND(G161*$J161,0)</f>
        <v>227.0</v>
      </c>
      <c r="L161" s="754" t="n">
        <f t="shared" ref="L161:M161" si="45">ROUND(H161*$J161,0)</f>
        <v>228.0</v>
      </c>
      <c r="M161" s="755" t="n">
        <f t="shared" si="45"/>
        <v>227.0</v>
      </c>
    </row>
    <row r="162" spans="1:13" ht="27" customHeight="1">
      <c r="A162" s="1062" t="s">
        <v>397</v>
      </c>
      <c r="B162" s="1062"/>
      <c r="C162" s="1062"/>
      <c r="D162" s="1062"/>
      <c r="E162" s="1062"/>
      <c r="F162" s="1062"/>
      <c r="G162" s="1062"/>
      <c r="H162" s="1062"/>
      <c r="I162" s="1062"/>
      <c r="J162" s="1062"/>
      <c r="K162" s="1062"/>
      <c r="L162" s="1062"/>
      <c r="M162" s="1062"/>
    </row>
    <row r="163" spans="1:13">
      <c r="A163" s="703" t="s">
        <v>365</v>
      </c>
      <c r="B163" s="703"/>
      <c r="C163" s="703"/>
      <c r="D163" s="703"/>
      <c r="E163" s="703"/>
      <c r="F163" s="703"/>
      <c r="G163" s="703"/>
      <c r="H163" s="703"/>
      <c r="I163" s="703"/>
      <c r="J163" s="703"/>
      <c r="K163" s="703"/>
      <c r="L163" s="703"/>
      <c r="M163" s="703"/>
    </row>
    <row r="164" spans="1:13">
      <c r="A164" s="703" t="s">
        <v>322</v>
      </c>
      <c r="B164" s="703"/>
      <c r="C164" s="703"/>
      <c r="D164" s="703"/>
      <c r="E164" s="703"/>
      <c r="F164" s="703"/>
      <c r="G164" s="703"/>
      <c r="H164" s="703"/>
      <c r="I164" s="703"/>
      <c r="J164" s="703"/>
      <c r="K164" s="703"/>
      <c r="L164" s="703"/>
      <c r="M164" s="703"/>
    </row>
  </sheetData>
  <mergeCells count="75">
    <mergeCell ref="S3:T3"/>
    <mergeCell ref="S4:T4"/>
    <mergeCell ref="S5:T5"/>
    <mergeCell ref="B121:B122"/>
    <mergeCell ref="B20:B21"/>
    <mergeCell ref="B23:B24"/>
    <mergeCell ref="B92:B93"/>
    <mergeCell ref="B98:B99"/>
    <mergeCell ref="B100:B101"/>
    <mergeCell ref="B12:B13"/>
    <mergeCell ref="B14:B15"/>
    <mergeCell ref="B17:B18"/>
    <mergeCell ref="B25:B26"/>
    <mergeCell ref="B27:B28"/>
    <mergeCell ref="B29:B30"/>
    <mergeCell ref="B32:B33"/>
    <mergeCell ref="B136:B137"/>
    <mergeCell ref="B123:B124"/>
    <mergeCell ref="B125:B126"/>
    <mergeCell ref="B111:B112"/>
    <mergeCell ref="B104:B105"/>
    <mergeCell ref="B107:B108"/>
    <mergeCell ref="B109:B110"/>
    <mergeCell ref="B114:B115"/>
    <mergeCell ref="B117:B118"/>
    <mergeCell ref="B119:B120"/>
    <mergeCell ref="B132:B133"/>
    <mergeCell ref="B127:B128"/>
    <mergeCell ref="B35:B36"/>
    <mergeCell ref="B41:B42"/>
    <mergeCell ref="B102:B103"/>
    <mergeCell ref="B83:B84"/>
    <mergeCell ref="B47:B48"/>
    <mergeCell ref="B50:B51"/>
    <mergeCell ref="B53:B54"/>
    <mergeCell ref="B55:B56"/>
    <mergeCell ref="B69:B70"/>
    <mergeCell ref="B72:B73"/>
    <mergeCell ref="B38:B39"/>
    <mergeCell ref="B95:B96"/>
    <mergeCell ref="B66:B67"/>
    <mergeCell ref="A161:C161"/>
    <mergeCell ref="A162:M162"/>
    <mergeCell ref="Q3:R3"/>
    <mergeCell ref="Q4:R4"/>
    <mergeCell ref="Q5:R5"/>
    <mergeCell ref="A159:C160"/>
    <mergeCell ref="D159:I159"/>
    <mergeCell ref="J159:M159"/>
    <mergeCell ref="B86:B87"/>
    <mergeCell ref="B89:B90"/>
    <mergeCell ref="B43:B44"/>
    <mergeCell ref="B75:B76"/>
    <mergeCell ref="B78:B79"/>
    <mergeCell ref="B80:B81"/>
    <mergeCell ref="A152:C152"/>
    <mergeCell ref="B130:B131"/>
    <mergeCell ref="S9:T9"/>
    <mergeCell ref="D63:F63"/>
    <mergeCell ref="G63:J63"/>
    <mergeCell ref="K63:L63"/>
    <mergeCell ref="M63:N63"/>
    <mergeCell ref="O63:P63"/>
    <mergeCell ref="Q63:R63"/>
    <mergeCell ref="S63:T63"/>
    <mergeCell ref="D9:F9"/>
    <mergeCell ref="G9:J9"/>
    <mergeCell ref="K9:L9"/>
    <mergeCell ref="M9:N9"/>
    <mergeCell ref="O9:P9"/>
    <mergeCell ref="D144:F144"/>
    <mergeCell ref="G144:I144"/>
    <mergeCell ref="D151:F151"/>
    <mergeCell ref="G151:I151"/>
    <mergeCell ref="Q9:R9"/>
  </mergeCells>
  <phoneticPr fontId="3"/>
  <dataValidations count="1">
    <dataValidation type="whole" allowBlank="1" showErrorMessage="1" error="施設サービス利用者数の総数以下の数値を入力してください。" sqref="D154:N154" xr:uid="{00000000-0002-0000-0100-000000000000}">
      <formula1>0</formula1>
      <formula2>D153</formula2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</oddFooter>
  </headerFooter>
  <rowBreaks count="2" manualBreakCount="2">
    <brk id="61" max="16383" man="1"/>
    <brk id="128" max="20" man="1"/>
  </rowBreaks>
  <colBreaks count="1" manualBreakCount="1">
    <brk id="14" max="16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M57"/>
  <sheetViews>
    <sheetView zoomScale="85" zoomScaleNormal="85" zoomScaleSheetLayoutView="80" workbookViewId="0"/>
  </sheetViews>
  <sheetFormatPr defaultColWidth="9" defaultRowHeight="13.5"/>
  <cols>
    <col min="1" max="1" bestFit="true" customWidth="true" style="756" width="56.625" collapsed="false"/>
    <col min="2" max="12" customWidth="true" style="756" width="17.375" collapsed="false"/>
    <col min="13" max="16384" style="756" width="9.0" collapsed="false"/>
  </cols>
  <sheetData>
    <row r="1" spans="1:12" ht="14.25" customHeight="1">
      <c r="A1" s="700" t="s">
        <v>311</v>
      </c>
      <c r="B1" s="700"/>
      <c r="C1" s="700"/>
      <c r="D1" s="700"/>
    </row>
    <row r="2" spans="1:12" ht="14.25" thickBot="1"/>
    <row r="3" spans="1:12" ht="14.25" thickBot="1">
      <c r="K3" s="757" t="s">
        <v>67</v>
      </c>
      <c r="L3" s="758" t="str">
        <f>保険者名</f>
        <v>小野町</v>
      </c>
    </row>
    <row r="4" spans="1:12" ht="14.25" thickBot="1">
      <c r="K4" s="759" t="s">
        <v>68</v>
      </c>
      <c r="L4" s="758" t="str">
        <f>保険者番号</f>
        <v>07522</v>
      </c>
    </row>
    <row r="5" spans="1:12" ht="14.25" thickBot="1">
      <c r="K5" s="760" t="s">
        <v>103</v>
      </c>
      <c r="L5" s="353" t="str">
        <f>推計パターン名</f>
        <v>将来推計1</v>
      </c>
    </row>
    <row r="6" spans="1:12" ht="20.25" customHeight="1" thickBot="1">
      <c r="L6" s="1003" t="s">
        <v>317</v>
      </c>
    </row>
    <row r="7" spans="1:12" ht="14.25" thickBot="1">
      <c r="A7" s="761" t="s">
        <v>305</v>
      </c>
      <c r="B7" s="1033" t="s">
        <v>417</v>
      </c>
      <c r="C7" s="1057"/>
      <c r="D7" s="1058"/>
      <c r="E7" s="1033" t="s">
        <v>428</v>
      </c>
      <c r="F7" s="1057"/>
      <c r="G7" s="1058"/>
      <c r="H7" s="1004" t="s">
        <v>424</v>
      </c>
      <c r="I7" s="1005" t="s">
        <v>425</v>
      </c>
      <c r="J7" s="1006" t="s">
        <v>426</v>
      </c>
      <c r="K7" s="1007" t="s">
        <v>427</v>
      </c>
      <c r="L7" s="1008" t="s">
        <v>423</v>
      </c>
    </row>
    <row r="8" spans="1:12" ht="14.25" thickBot="1">
      <c r="A8" s="680" t="s">
        <v>274</v>
      </c>
      <c r="B8" s="1001" t="s">
        <v>366</v>
      </c>
      <c r="C8" s="992" t="s">
        <v>364</v>
      </c>
      <c r="D8" s="1002" t="s">
        <v>361</v>
      </c>
      <c r="E8" s="1001" t="s">
        <v>429</v>
      </c>
      <c r="F8" s="992" t="s">
        <v>430</v>
      </c>
      <c r="G8" s="1002" t="s">
        <v>431</v>
      </c>
      <c r="H8" s="742" t="s">
        <v>382</v>
      </c>
      <c r="I8" s="741" t="s">
        <v>385</v>
      </c>
      <c r="J8" s="740" t="s">
        <v>388</v>
      </c>
      <c r="K8" s="743" t="s">
        <v>391</v>
      </c>
      <c r="L8" s="1009" t="s">
        <v>394</v>
      </c>
    </row>
    <row r="9" spans="1:12">
      <c r="A9" s="704" t="s">
        <v>275</v>
      </c>
      <c r="B9" s="715"/>
      <c r="C9" s="716"/>
      <c r="D9" s="717"/>
      <c r="E9" s="715"/>
      <c r="F9" s="716"/>
      <c r="G9" s="717"/>
      <c r="H9" s="715"/>
      <c r="I9" s="716"/>
      <c r="J9" s="716"/>
      <c r="K9" s="716"/>
      <c r="L9" s="717"/>
    </row>
    <row r="10" spans="1:12">
      <c r="A10" s="762" t="s">
        <v>315</v>
      </c>
      <c r="B10" s="763"/>
      <c r="C10" s="764"/>
      <c r="D10" s="765"/>
      <c r="E10" s="763"/>
      <c r="F10" s="764"/>
      <c r="G10" s="765"/>
      <c r="H10" s="763"/>
      <c r="I10" s="764"/>
      <c r="J10" s="764"/>
      <c r="K10" s="764"/>
      <c r="L10" s="765"/>
    </row>
    <row r="11" spans="1:12">
      <c r="A11" s="705" t="s">
        <v>276</v>
      </c>
      <c r="B11" s="718"/>
      <c r="C11" s="719"/>
      <c r="D11" s="720"/>
      <c r="E11" s="718"/>
      <c r="F11" s="719"/>
      <c r="G11" s="720"/>
      <c r="H11" s="718"/>
      <c r="I11" s="719"/>
      <c r="J11" s="719"/>
      <c r="K11" s="719"/>
      <c r="L11" s="720"/>
    </row>
    <row r="12" spans="1:12">
      <c r="A12" s="762" t="s">
        <v>314</v>
      </c>
      <c r="B12" s="763"/>
      <c r="C12" s="764"/>
      <c r="D12" s="765"/>
      <c r="E12" s="763"/>
      <c r="F12" s="764"/>
      <c r="G12" s="765"/>
      <c r="H12" s="763"/>
      <c r="I12" s="764"/>
      <c r="J12" s="764"/>
      <c r="K12" s="764"/>
      <c r="L12" s="765"/>
    </row>
    <row r="13" spans="1:12">
      <c r="A13" s="706" t="s">
        <v>277</v>
      </c>
      <c r="B13" s="682"/>
      <c r="C13" s="690"/>
      <c r="D13" s="686"/>
      <c r="E13" s="682"/>
      <c r="F13" s="690"/>
      <c r="G13" s="686"/>
      <c r="H13" s="682"/>
      <c r="I13" s="690"/>
      <c r="J13" s="690"/>
      <c r="K13" s="690"/>
      <c r="L13" s="686"/>
    </row>
    <row r="14" spans="1:12">
      <c r="A14" s="706" t="s">
        <v>278</v>
      </c>
      <c r="B14" s="682"/>
      <c r="C14" s="690"/>
      <c r="D14" s="686"/>
      <c r="E14" s="682"/>
      <c r="F14" s="690"/>
      <c r="G14" s="686"/>
      <c r="H14" s="682"/>
      <c r="I14" s="690"/>
      <c r="J14" s="690"/>
      <c r="K14" s="690"/>
      <c r="L14" s="686"/>
    </row>
    <row r="15" spans="1:12">
      <c r="A15" s="706" t="s">
        <v>279</v>
      </c>
      <c r="B15" s="682"/>
      <c r="C15" s="690"/>
      <c r="D15" s="686"/>
      <c r="E15" s="682"/>
      <c r="F15" s="690"/>
      <c r="G15" s="686"/>
      <c r="H15" s="682"/>
      <c r="I15" s="690"/>
      <c r="J15" s="690"/>
      <c r="K15" s="690"/>
      <c r="L15" s="686"/>
    </row>
    <row r="16" spans="1:12" ht="14.25" thickBot="1">
      <c r="A16" s="707" t="s">
        <v>280</v>
      </c>
      <c r="B16" s="683"/>
      <c r="C16" s="691"/>
      <c r="D16" s="687"/>
      <c r="E16" s="683"/>
      <c r="F16" s="691"/>
      <c r="G16" s="687"/>
      <c r="H16" s="683"/>
      <c r="I16" s="691"/>
      <c r="J16" s="691"/>
      <c r="K16" s="691"/>
      <c r="L16" s="687"/>
    </row>
    <row r="17" spans="1:12">
      <c r="A17" s="704" t="s">
        <v>281</v>
      </c>
      <c r="B17" s="715"/>
      <c r="C17" s="716"/>
      <c r="D17" s="717"/>
      <c r="E17" s="715"/>
      <c r="F17" s="716"/>
      <c r="G17" s="717"/>
      <c r="H17" s="715"/>
      <c r="I17" s="716"/>
      <c r="J17" s="716"/>
      <c r="K17" s="716"/>
      <c r="L17" s="717"/>
    </row>
    <row r="18" spans="1:12">
      <c r="A18" s="762" t="s">
        <v>315</v>
      </c>
      <c r="B18" s="763"/>
      <c r="C18" s="764"/>
      <c r="D18" s="765"/>
      <c r="E18" s="763"/>
      <c r="F18" s="764"/>
      <c r="G18" s="765"/>
      <c r="H18" s="763"/>
      <c r="I18" s="764"/>
      <c r="J18" s="764"/>
      <c r="K18" s="764"/>
      <c r="L18" s="765"/>
    </row>
    <row r="19" spans="1:12">
      <c r="A19" s="708" t="s">
        <v>282</v>
      </c>
      <c r="B19" s="718"/>
      <c r="C19" s="719"/>
      <c r="D19" s="720"/>
      <c r="E19" s="718"/>
      <c r="F19" s="719"/>
      <c r="G19" s="720"/>
      <c r="H19" s="718"/>
      <c r="I19" s="719"/>
      <c r="J19" s="719"/>
      <c r="K19" s="719"/>
      <c r="L19" s="720"/>
    </row>
    <row r="20" spans="1:12">
      <c r="A20" s="762" t="s">
        <v>314</v>
      </c>
      <c r="B20" s="763"/>
      <c r="C20" s="764"/>
      <c r="D20" s="765"/>
      <c r="E20" s="763"/>
      <c r="F20" s="764"/>
      <c r="G20" s="765"/>
      <c r="H20" s="763"/>
      <c r="I20" s="764"/>
      <c r="J20" s="764"/>
      <c r="K20" s="764"/>
      <c r="L20" s="765"/>
    </row>
    <row r="21" spans="1:12">
      <c r="A21" s="706" t="s">
        <v>283</v>
      </c>
      <c r="B21" s="682"/>
      <c r="C21" s="690"/>
      <c r="D21" s="686"/>
      <c r="E21" s="682"/>
      <c r="F21" s="690"/>
      <c r="G21" s="686"/>
      <c r="H21" s="682"/>
      <c r="I21" s="690"/>
      <c r="J21" s="690"/>
      <c r="K21" s="690"/>
      <c r="L21" s="686"/>
    </row>
    <row r="22" spans="1:12">
      <c r="A22" s="706" t="s">
        <v>284</v>
      </c>
      <c r="B22" s="682"/>
      <c r="C22" s="690"/>
      <c r="D22" s="686"/>
      <c r="E22" s="682"/>
      <c r="F22" s="690"/>
      <c r="G22" s="686"/>
      <c r="H22" s="682"/>
      <c r="I22" s="690"/>
      <c r="J22" s="690"/>
      <c r="K22" s="690"/>
      <c r="L22" s="686"/>
    </row>
    <row r="23" spans="1:12" ht="14.25" thickBot="1">
      <c r="A23" s="708" t="s">
        <v>285</v>
      </c>
      <c r="B23" s="684"/>
      <c r="C23" s="692"/>
      <c r="D23" s="688"/>
      <c r="E23" s="684"/>
      <c r="F23" s="692"/>
      <c r="G23" s="688"/>
      <c r="H23" s="684"/>
      <c r="I23" s="692"/>
      <c r="J23" s="692"/>
      <c r="K23" s="692"/>
      <c r="L23" s="688"/>
    </row>
    <row r="24" spans="1:12">
      <c r="A24" s="709" t="s">
        <v>286</v>
      </c>
      <c r="B24" s="681"/>
      <c r="C24" s="689"/>
      <c r="D24" s="685"/>
      <c r="E24" s="681"/>
      <c r="F24" s="689"/>
      <c r="G24" s="685"/>
      <c r="H24" s="681"/>
      <c r="I24" s="689"/>
      <c r="J24" s="689"/>
      <c r="K24" s="689"/>
      <c r="L24" s="685"/>
    </row>
    <row r="25" spans="1:12">
      <c r="A25" s="706" t="s">
        <v>287</v>
      </c>
      <c r="B25" s="682"/>
      <c r="C25" s="690"/>
      <c r="D25" s="686"/>
      <c r="E25" s="682"/>
      <c r="F25" s="690"/>
      <c r="G25" s="686"/>
      <c r="H25" s="682"/>
      <c r="I25" s="690"/>
      <c r="J25" s="690"/>
      <c r="K25" s="690"/>
      <c r="L25" s="686"/>
    </row>
    <row r="26" spans="1:12" ht="14.25" thickBot="1">
      <c r="A26" s="707" t="s">
        <v>288</v>
      </c>
      <c r="B26" s="683"/>
      <c r="C26" s="691"/>
      <c r="D26" s="687"/>
      <c r="E26" s="683"/>
      <c r="F26" s="691"/>
      <c r="G26" s="687"/>
      <c r="H26" s="683"/>
      <c r="I26" s="691"/>
      <c r="J26" s="691"/>
      <c r="K26" s="691"/>
      <c r="L26" s="687"/>
    </row>
    <row r="27" spans="1:12" ht="14.25" thickBot="1">
      <c r="A27" s="984" t="s">
        <v>289</v>
      </c>
      <c r="B27" s="985"/>
      <c r="C27" s="986"/>
      <c r="D27" s="987"/>
      <c r="E27" s="985"/>
      <c r="F27" s="986"/>
      <c r="G27" s="987"/>
      <c r="H27" s="985"/>
      <c r="I27" s="986"/>
      <c r="J27" s="986"/>
      <c r="K27" s="986"/>
      <c r="L27" s="987"/>
    </row>
    <row r="28" spans="1:12">
      <c r="A28" s="980" t="s">
        <v>381</v>
      </c>
      <c r="B28" s="981"/>
      <c r="C28" s="982"/>
      <c r="D28" s="983"/>
      <c r="E28" s="981"/>
      <c r="F28" s="982"/>
      <c r="G28" s="983"/>
      <c r="H28" s="981"/>
      <c r="I28" s="982"/>
      <c r="J28" s="982"/>
      <c r="K28" s="982"/>
      <c r="L28" s="983"/>
    </row>
    <row r="29" spans="1:12" ht="14.25" thickBot="1">
      <c r="A29" s="707" t="s">
        <v>380</v>
      </c>
      <c r="B29" s="683"/>
      <c r="C29" s="691"/>
      <c r="D29" s="687"/>
      <c r="E29" s="683"/>
      <c r="F29" s="691"/>
      <c r="G29" s="687"/>
      <c r="H29" s="683"/>
      <c r="I29" s="691"/>
      <c r="J29" s="691"/>
      <c r="K29" s="691"/>
      <c r="L29" s="687"/>
    </row>
    <row r="30" spans="1:12">
      <c r="A30" s="709" t="s">
        <v>290</v>
      </c>
      <c r="B30" s="681"/>
      <c r="C30" s="689"/>
      <c r="D30" s="685"/>
      <c r="E30" s="681"/>
      <c r="F30" s="689"/>
      <c r="G30" s="685"/>
      <c r="H30" s="681"/>
      <c r="I30" s="689"/>
      <c r="J30" s="689"/>
      <c r="K30" s="689"/>
      <c r="L30" s="685"/>
    </row>
    <row r="31" spans="1:12">
      <c r="A31" s="706" t="s">
        <v>291</v>
      </c>
      <c r="B31" s="682"/>
      <c r="C31" s="690"/>
      <c r="D31" s="686"/>
      <c r="E31" s="682"/>
      <c r="F31" s="690"/>
      <c r="G31" s="686"/>
      <c r="H31" s="682"/>
      <c r="I31" s="690"/>
      <c r="J31" s="690"/>
      <c r="K31" s="690"/>
      <c r="L31" s="686"/>
    </row>
    <row r="32" spans="1:12">
      <c r="A32" s="706" t="s">
        <v>292</v>
      </c>
      <c r="B32" s="682"/>
      <c r="C32" s="690"/>
      <c r="D32" s="686"/>
      <c r="E32" s="682"/>
      <c r="F32" s="690"/>
      <c r="G32" s="686"/>
      <c r="H32" s="682"/>
      <c r="I32" s="690"/>
      <c r="J32" s="690"/>
      <c r="K32" s="690"/>
      <c r="L32" s="686"/>
    </row>
    <row r="33" spans="1:12">
      <c r="A33" s="706" t="s">
        <v>293</v>
      </c>
      <c r="B33" s="682"/>
      <c r="C33" s="690"/>
      <c r="D33" s="686"/>
      <c r="E33" s="682"/>
      <c r="F33" s="690"/>
      <c r="G33" s="686"/>
      <c r="H33" s="682"/>
      <c r="I33" s="690"/>
      <c r="J33" s="690"/>
      <c r="K33" s="690"/>
      <c r="L33" s="686"/>
    </row>
    <row r="34" spans="1:12" ht="14.25" thickBot="1">
      <c r="A34" s="707" t="s">
        <v>294</v>
      </c>
      <c r="B34" s="683"/>
      <c r="C34" s="691"/>
      <c r="D34" s="687"/>
      <c r="E34" s="683"/>
      <c r="F34" s="691"/>
      <c r="G34" s="687"/>
      <c r="H34" s="683"/>
      <c r="I34" s="691"/>
      <c r="J34" s="691"/>
      <c r="K34" s="691"/>
      <c r="L34" s="687"/>
    </row>
    <row r="35" spans="1:12" ht="20.25" customHeight="1" thickBot="1">
      <c r="L35" s="1003" t="s">
        <v>316</v>
      </c>
    </row>
    <row r="36" spans="1:12" ht="14.25" thickBot="1">
      <c r="A36" s="761" t="s">
        <v>325</v>
      </c>
      <c r="B36" s="1033" t="s">
        <v>417</v>
      </c>
      <c r="C36" s="1057"/>
      <c r="D36" s="1058"/>
      <c r="E36" s="1033" t="s">
        <v>428</v>
      </c>
      <c r="F36" s="1057"/>
      <c r="G36" s="1058"/>
      <c r="H36" s="1004" t="s">
        <v>424</v>
      </c>
      <c r="I36" s="1005" t="s">
        <v>425</v>
      </c>
      <c r="J36" s="1006" t="s">
        <v>426</v>
      </c>
      <c r="K36" s="1007" t="s">
        <v>427</v>
      </c>
      <c r="L36" s="1008" t="s">
        <v>423</v>
      </c>
    </row>
    <row r="37" spans="1:12" ht="14.25" thickBot="1">
      <c r="A37" s="695" t="s">
        <v>274</v>
      </c>
      <c r="B37" s="1001" t="s">
        <v>366</v>
      </c>
      <c r="C37" s="992" t="s">
        <v>364</v>
      </c>
      <c r="D37" s="1002" t="s">
        <v>361</v>
      </c>
      <c r="E37" s="1001" t="s">
        <v>429</v>
      </c>
      <c r="F37" s="992" t="s">
        <v>430</v>
      </c>
      <c r="G37" s="1002" t="s">
        <v>431</v>
      </c>
      <c r="H37" s="742" t="s">
        <v>382</v>
      </c>
      <c r="I37" s="741" t="s">
        <v>385</v>
      </c>
      <c r="J37" s="740" t="s">
        <v>388</v>
      </c>
      <c r="K37" s="743" t="s">
        <v>391</v>
      </c>
      <c r="L37" s="1009" t="s">
        <v>394</v>
      </c>
    </row>
    <row r="38" spans="1:12">
      <c r="A38" s="709" t="s">
        <v>295</v>
      </c>
      <c r="B38" s="681"/>
      <c r="C38" s="693"/>
      <c r="D38" s="685"/>
      <c r="E38" s="681"/>
      <c r="F38" s="693"/>
      <c r="G38" s="685"/>
      <c r="H38" s="681"/>
      <c r="I38" s="693"/>
      <c r="J38" s="693"/>
      <c r="K38" s="689"/>
      <c r="L38" s="685"/>
    </row>
    <row r="39" spans="1:12" ht="14.25" thickBot="1">
      <c r="A39" s="710" t="s">
        <v>296</v>
      </c>
      <c r="B39" s="683"/>
      <c r="C39" s="694"/>
      <c r="D39" s="687"/>
      <c r="E39" s="683"/>
      <c r="F39" s="694"/>
      <c r="G39" s="687"/>
      <c r="H39" s="683"/>
      <c r="I39" s="694"/>
      <c r="J39" s="694"/>
      <c r="K39" s="691"/>
      <c r="L39" s="687"/>
    </row>
    <row r="40" spans="1:12" ht="20.25" customHeight="1" thickBot="1">
      <c r="E40" s="679"/>
      <c r="F40" s="679"/>
      <c r="G40" s="679"/>
      <c r="H40" s="679"/>
      <c r="I40" s="679"/>
      <c r="J40" s="679"/>
      <c r="K40" s="679"/>
      <c r="L40" s="1003" t="s">
        <v>316</v>
      </c>
    </row>
    <row r="41" spans="1:12" ht="14.25" thickBot="1">
      <c r="A41" s="761" t="s">
        <v>306</v>
      </c>
      <c r="B41" s="1033" t="s">
        <v>417</v>
      </c>
      <c r="C41" s="1057"/>
      <c r="D41" s="1058"/>
      <c r="E41" s="1033" t="s">
        <v>428</v>
      </c>
      <c r="F41" s="1057"/>
      <c r="G41" s="1058"/>
      <c r="H41" s="1004" t="s">
        <v>424</v>
      </c>
      <c r="I41" s="1005" t="s">
        <v>425</v>
      </c>
      <c r="J41" s="1006" t="s">
        <v>426</v>
      </c>
      <c r="K41" s="1007" t="s">
        <v>427</v>
      </c>
      <c r="L41" s="1008" t="s">
        <v>423</v>
      </c>
    </row>
    <row r="42" spans="1:12" ht="14.25" thickBot="1">
      <c r="A42" s="695" t="s">
        <v>274</v>
      </c>
      <c r="B42" s="1001" t="s">
        <v>366</v>
      </c>
      <c r="C42" s="992" t="s">
        <v>364</v>
      </c>
      <c r="D42" s="1002" t="s">
        <v>361</v>
      </c>
      <c r="E42" s="1001" t="s">
        <v>429</v>
      </c>
      <c r="F42" s="992" t="s">
        <v>430</v>
      </c>
      <c r="G42" s="1002" t="s">
        <v>431</v>
      </c>
      <c r="H42" s="742" t="s">
        <v>382</v>
      </c>
      <c r="I42" s="741" t="s">
        <v>385</v>
      </c>
      <c r="J42" s="740" t="s">
        <v>388</v>
      </c>
      <c r="K42" s="743" t="s">
        <v>391</v>
      </c>
      <c r="L42" s="1009" t="s">
        <v>394</v>
      </c>
    </row>
    <row r="43" spans="1:12">
      <c r="A43" s="709" t="s">
        <v>297</v>
      </c>
      <c r="B43" s="681"/>
      <c r="C43" s="689"/>
      <c r="D43" s="685"/>
      <c r="E43" s="681"/>
      <c r="F43" s="689"/>
      <c r="G43" s="685"/>
      <c r="H43" s="681"/>
      <c r="I43" s="689"/>
      <c r="J43" s="689"/>
      <c r="K43" s="689"/>
      <c r="L43" s="685"/>
    </row>
    <row r="44" spans="1:12">
      <c r="A44" s="706" t="s">
        <v>298</v>
      </c>
      <c r="B44" s="682"/>
      <c r="C44" s="690"/>
      <c r="D44" s="686"/>
      <c r="E44" s="682"/>
      <c r="F44" s="690"/>
      <c r="G44" s="686"/>
      <c r="H44" s="682"/>
      <c r="I44" s="690"/>
      <c r="J44" s="690"/>
      <c r="K44" s="690"/>
      <c r="L44" s="686"/>
    </row>
    <row r="45" spans="1:12">
      <c r="A45" s="706" t="s">
        <v>299</v>
      </c>
      <c r="B45" s="682"/>
      <c r="C45" s="690"/>
      <c r="D45" s="686"/>
      <c r="E45" s="682"/>
      <c r="F45" s="690"/>
      <c r="G45" s="686"/>
      <c r="H45" s="682"/>
      <c r="I45" s="690"/>
      <c r="J45" s="690"/>
      <c r="K45" s="690"/>
      <c r="L45" s="686"/>
    </row>
    <row r="46" spans="1:12">
      <c r="A46" s="706" t="s">
        <v>300</v>
      </c>
      <c r="B46" s="682"/>
      <c r="C46" s="690"/>
      <c r="D46" s="686"/>
      <c r="E46" s="682"/>
      <c r="F46" s="690"/>
      <c r="G46" s="686"/>
      <c r="H46" s="682"/>
      <c r="I46" s="690"/>
      <c r="J46" s="690"/>
      <c r="K46" s="690"/>
      <c r="L46" s="686"/>
    </row>
    <row r="47" spans="1:12">
      <c r="A47" s="706" t="s">
        <v>329</v>
      </c>
      <c r="B47" s="682"/>
      <c r="C47" s="690"/>
      <c r="D47" s="686"/>
      <c r="E47" s="682"/>
      <c r="F47" s="690"/>
      <c r="G47" s="686"/>
      <c r="H47" s="682"/>
      <c r="I47" s="690"/>
      <c r="J47" s="690"/>
      <c r="K47" s="690"/>
      <c r="L47" s="686"/>
    </row>
    <row r="48" spans="1:12" ht="14.25" thickBot="1">
      <c r="A48" s="707" t="s">
        <v>301</v>
      </c>
      <c r="B48" s="683"/>
      <c r="C48" s="691"/>
      <c r="D48" s="687"/>
      <c r="E48" s="683"/>
      <c r="F48" s="691"/>
      <c r="G48" s="687"/>
      <c r="H48" s="683"/>
      <c r="I48" s="691"/>
      <c r="J48" s="691"/>
      <c r="K48" s="691"/>
      <c r="L48" s="687"/>
    </row>
    <row r="49" spans="1:12" ht="20.25" customHeight="1" thickBot="1">
      <c r="E49" s="679"/>
      <c r="F49" s="679"/>
      <c r="G49" s="679"/>
      <c r="H49" s="679"/>
      <c r="I49" s="679"/>
      <c r="J49" s="679"/>
      <c r="K49" s="679"/>
      <c r="L49" s="1003" t="s">
        <v>316</v>
      </c>
    </row>
    <row r="50" spans="1:12" ht="14.25" thickBot="1">
      <c r="A50" s="761" t="s">
        <v>307</v>
      </c>
      <c r="B50" s="1042" t="s">
        <v>417</v>
      </c>
      <c r="C50" s="1043"/>
      <c r="D50" s="1044"/>
      <c r="E50" s="1042" t="s">
        <v>428</v>
      </c>
      <c r="F50" s="1043"/>
      <c r="G50" s="1044"/>
      <c r="H50" s="1004" t="s">
        <v>424</v>
      </c>
      <c r="I50" s="1005" t="s">
        <v>425</v>
      </c>
      <c r="J50" s="1006" t="s">
        <v>426</v>
      </c>
      <c r="K50" s="1007" t="s">
        <v>427</v>
      </c>
      <c r="L50" s="1008" t="s">
        <v>423</v>
      </c>
    </row>
    <row r="51" spans="1:12" ht="14.25" thickBot="1">
      <c r="A51" s="695"/>
      <c r="B51" s="1001" t="s">
        <v>366</v>
      </c>
      <c r="C51" s="992" t="s">
        <v>364</v>
      </c>
      <c r="D51" s="1002" t="s">
        <v>361</v>
      </c>
      <c r="E51" s="1001" t="s">
        <v>429</v>
      </c>
      <c r="F51" s="992" t="s">
        <v>430</v>
      </c>
      <c r="G51" s="1002" t="s">
        <v>431</v>
      </c>
      <c r="H51" s="742" t="s">
        <v>382</v>
      </c>
      <c r="I51" s="741" t="s">
        <v>385</v>
      </c>
      <c r="J51" s="740" t="s">
        <v>388</v>
      </c>
      <c r="K51" s="743" t="s">
        <v>391</v>
      </c>
      <c r="L51" s="1009" t="s">
        <v>394</v>
      </c>
    </row>
    <row r="52" spans="1:12">
      <c r="A52" s="709" t="s">
        <v>302</v>
      </c>
      <c r="B52" s="766" t="n">
        <f t="shared" ref="B52:L52" si="0">SUM(B9,B11,B13:B17,B19,B21:B34)</f>
        <v>0.0</v>
      </c>
      <c r="C52" s="767" t="n">
        <f t="shared" si="0"/>
        <v>0.0</v>
      </c>
      <c r="D52" s="768" t="n">
        <f t="shared" si="0"/>
        <v>0.0</v>
      </c>
      <c r="E52" s="766" t="n">
        <f t="shared" si="0"/>
        <v>0.0</v>
      </c>
      <c r="F52" s="767" t="n">
        <f t="shared" si="0"/>
        <v>0.0</v>
      </c>
      <c r="G52" s="768" t="n">
        <f t="shared" si="0"/>
        <v>0.0</v>
      </c>
      <c r="H52" s="766" t="n">
        <f t="shared" si="0"/>
        <v>0.0</v>
      </c>
      <c r="I52" s="767" t="n">
        <f t="shared" si="0"/>
        <v>0.0</v>
      </c>
      <c r="J52" s="767" t="n">
        <f t="shared" si="0"/>
        <v>0.0</v>
      </c>
      <c r="K52" s="767" t="n">
        <f t="shared" si="0"/>
        <v>0.0</v>
      </c>
      <c r="L52" s="768" t="n">
        <f t="shared" si="0"/>
        <v>0.0</v>
      </c>
    </row>
    <row r="53" spans="1:12">
      <c r="A53" s="706" t="s">
        <v>326</v>
      </c>
      <c r="B53" s="769" t="n">
        <f>SUM(B38:B39)</f>
        <v>0.0</v>
      </c>
      <c r="C53" s="770" t="n">
        <f t="shared" ref="C53:D53" si="1">SUM(C38:C39)</f>
        <v>0.0</v>
      </c>
      <c r="D53" s="771" t="n">
        <f t="shared" si="1"/>
        <v>0.0</v>
      </c>
      <c r="E53" s="769" t="n">
        <f>SUM(E38:E39)</f>
        <v>0.0</v>
      </c>
      <c r="F53" s="770" t="n">
        <f t="shared" ref="F53:K53" si="2">SUM(F38:F39)</f>
        <v>0.0</v>
      </c>
      <c r="G53" s="771" t="n">
        <f t="shared" si="2"/>
        <v>0.0</v>
      </c>
      <c r="H53" s="769" t="n">
        <f t="shared" si="2"/>
        <v>0.0</v>
      </c>
      <c r="I53" s="770" t="n">
        <f t="shared" si="2"/>
        <v>0.0</v>
      </c>
      <c r="J53" s="770" t="n">
        <f t="shared" si="2"/>
        <v>0.0</v>
      </c>
      <c r="K53" s="770" t="n">
        <f t="shared" si="2"/>
        <v>0.0</v>
      </c>
      <c r="L53" s="771" t="n">
        <f t="shared" ref="L53" si="3">SUM(L38:L39)</f>
        <v>0.0</v>
      </c>
    </row>
    <row r="54" spans="1:12" ht="14.25" thickBot="1">
      <c r="A54" s="707" t="s">
        <v>303</v>
      </c>
      <c r="B54" s="696" t="n">
        <f>SUM(B43:B48)</f>
        <v>0.0</v>
      </c>
      <c r="C54" s="698" t="n">
        <f t="shared" ref="C54:D54" si="4">SUM(C43:C48)</f>
        <v>0.0</v>
      </c>
      <c r="D54" s="697" t="n">
        <f t="shared" si="4"/>
        <v>0.0</v>
      </c>
      <c r="E54" s="696" t="n">
        <f>SUM(E43:E48)</f>
        <v>0.0</v>
      </c>
      <c r="F54" s="698" t="n">
        <f t="shared" ref="F54:K54" si="5">SUM(F43:F48)</f>
        <v>0.0</v>
      </c>
      <c r="G54" s="697" t="n">
        <f t="shared" si="5"/>
        <v>0.0</v>
      </c>
      <c r="H54" s="696" t="n">
        <f t="shared" si="5"/>
        <v>0.0</v>
      </c>
      <c r="I54" s="698" t="n">
        <f t="shared" si="5"/>
        <v>0.0</v>
      </c>
      <c r="J54" s="698" t="n">
        <f t="shared" si="5"/>
        <v>0.0</v>
      </c>
      <c r="K54" s="698" t="n">
        <f t="shared" si="5"/>
        <v>0.0</v>
      </c>
      <c r="L54" s="697" t="n">
        <f t="shared" ref="L54" si="6">SUM(L43:L48)</f>
        <v>0.0</v>
      </c>
    </row>
    <row r="55" spans="1:12" ht="14.25" thickBot="1">
      <c r="A55" s="710" t="s">
        <v>304</v>
      </c>
      <c r="B55" s="696" t="n">
        <f>SUM(B52:B54)</f>
        <v>0.0</v>
      </c>
      <c r="C55" s="698" t="n">
        <f t="shared" ref="C55:D55" si="7">SUM(C52:C54)</f>
        <v>0.0</v>
      </c>
      <c r="D55" s="697" t="n">
        <f t="shared" si="7"/>
        <v>0.0</v>
      </c>
      <c r="E55" s="696" t="n">
        <f>SUM(E52:E54)</f>
        <v>0.0</v>
      </c>
      <c r="F55" s="698" t="n">
        <f t="shared" ref="F55:K55" si="8">SUM(F52:F54)</f>
        <v>0.0</v>
      </c>
      <c r="G55" s="697" t="n">
        <f t="shared" si="8"/>
        <v>0.0</v>
      </c>
      <c r="H55" s="696" t="n">
        <f t="shared" si="8"/>
        <v>0.0</v>
      </c>
      <c r="I55" s="698" t="n">
        <f t="shared" si="8"/>
        <v>0.0</v>
      </c>
      <c r="J55" s="698" t="n">
        <f t="shared" si="8"/>
        <v>0.0</v>
      </c>
      <c r="K55" s="698" t="n">
        <f t="shared" si="8"/>
        <v>0.0</v>
      </c>
      <c r="L55" s="697" t="n">
        <f t="shared" ref="L55" si="9">SUM(L52:L54)</f>
        <v>0.0</v>
      </c>
    </row>
    <row r="57" spans="1:12">
      <c r="A57" s="756" t="s">
        <v>323</v>
      </c>
    </row>
  </sheetData>
  <mergeCells count="8">
    <mergeCell ref="B50:D50"/>
    <mergeCell ref="E50:G50"/>
    <mergeCell ref="B7:D7"/>
    <mergeCell ref="E7:G7"/>
    <mergeCell ref="B36:D36"/>
    <mergeCell ref="E36:G36"/>
    <mergeCell ref="B41:D41"/>
    <mergeCell ref="E41:G41"/>
  </mergeCells>
  <phoneticPr fontId="3"/>
  <pageMargins left="0.7" right="0.7" top="0.75" bottom="0.75" header="0.3" footer="0.3"/>
  <pageSetup paperSize="9" scale="54" fitToHeight="0" orientation="landscape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M147"/>
  <sheetViews>
    <sheetView showGridLines="0" view="pageBreakPreview" zoomScale="85" zoomScaleNormal="40" zoomScaleSheetLayoutView="85" workbookViewId="0"/>
  </sheetViews>
  <sheetFormatPr defaultColWidth="9" defaultRowHeight="13.5"/>
  <cols>
    <col min="1" max="1" bestFit="true" customWidth="true" style="348" width="43.125" collapsed="false"/>
    <col min="2" max="4" customWidth="true" style="348" width="11.375" collapsed="false"/>
    <col min="5" max="11" style="348" width="9.0" collapsed="false"/>
    <col min="12" max="12" customWidth="true" style="348" width="10.125" collapsed="false"/>
    <col min="13" max="16384" style="348" width="9.0" collapsed="false"/>
  </cols>
  <sheetData>
    <row r="1" spans="1:12" ht="14.25">
      <c r="A1" s="347" t="s">
        <v>312</v>
      </c>
      <c r="C1" s="349"/>
      <c r="D1" s="350"/>
    </row>
    <row r="2" spans="1:12" ht="15" thickBot="1">
      <c r="A2" s="347"/>
      <c r="K2" s="349" t="s">
        <v>98</v>
      </c>
      <c r="L2" s="350" t="str">
        <f>'1_推計値サマリ'!T2</f>
        <v>2026/09/15</v>
      </c>
    </row>
    <row r="3" spans="1:12" ht="14.25" thickBot="1">
      <c r="I3" s="1063" t="s">
        <v>67</v>
      </c>
      <c r="J3" s="1064"/>
      <c r="K3" s="1089" t="str">
        <f>保険者名</f>
        <v>小野町</v>
      </c>
      <c r="L3" s="1090"/>
    </row>
    <row r="4" spans="1:12" ht="14.25" thickBot="1">
      <c r="I4" s="1063" t="s">
        <v>68</v>
      </c>
      <c r="J4" s="1064"/>
      <c r="K4" s="1089" t="str">
        <f>保険者番号</f>
        <v>07522</v>
      </c>
      <c r="L4" s="1090"/>
    </row>
    <row r="5" spans="1:12" ht="31.5" customHeight="1" thickBot="1">
      <c r="I5" s="1065" t="s">
        <v>103</v>
      </c>
      <c r="J5" s="1066"/>
      <c r="K5" s="1089" t="str">
        <f>推計パターン名</f>
        <v>将来推計1</v>
      </c>
      <c r="L5" s="1090"/>
    </row>
    <row r="6" spans="1:12">
      <c r="C6" s="349"/>
      <c r="D6" s="349"/>
    </row>
    <row r="7" spans="1:12" ht="14.25" thickBot="1">
      <c r="A7" s="348" t="s">
        <v>75</v>
      </c>
      <c r="C7" s="349"/>
      <c r="D7" s="349"/>
    </row>
    <row r="8" spans="1:12" ht="125.1" customHeight="1" thickBot="1">
      <c r="A8" s="1116" t="s">
        <v>264</v>
      </c>
      <c r="B8" s="1117"/>
      <c r="C8" s="1117"/>
      <c r="D8" s="1117"/>
      <c r="E8" s="1118"/>
      <c r="F8" s="1118"/>
      <c r="G8" s="1118"/>
      <c r="H8" s="1118"/>
      <c r="I8" s="1118"/>
      <c r="J8" s="1118"/>
      <c r="K8" s="1118"/>
      <c r="L8" s="1119"/>
    </row>
    <row r="9" spans="1:12" ht="27" customHeight="1" thickBot="1">
      <c r="A9" s="351" t="s">
        <v>113</v>
      </c>
      <c r="B9" s="352"/>
      <c r="C9" s="349"/>
      <c r="D9" s="349"/>
    </row>
    <row r="10" spans="1:12" ht="27" customHeight="1" thickBot="1">
      <c r="A10" s="353" t="s">
        <v>114</v>
      </c>
      <c r="B10" s="1126" t="s">
        <v>437</v>
      </c>
      <c r="C10" s="1127"/>
      <c r="D10" s="1127"/>
      <c r="E10" s="1127"/>
      <c r="F10" s="1127"/>
      <c r="G10" s="1127"/>
      <c r="H10" s="1127"/>
      <c r="I10" s="1127"/>
      <c r="J10" s="1127"/>
      <c r="K10" s="1127"/>
      <c r="L10" s="1128"/>
    </row>
    <row r="11" spans="1:12" ht="27" customHeight="1" thickBot="1">
      <c r="A11" s="353" t="s">
        <v>115</v>
      </c>
      <c r="B11" s="1126" t="s">
        <v>438</v>
      </c>
      <c r="C11" s="1127"/>
      <c r="D11" s="1127"/>
      <c r="E11" s="1127"/>
      <c r="F11" s="1127"/>
      <c r="G11" s="1127"/>
      <c r="H11" s="1127"/>
      <c r="I11" s="1127"/>
      <c r="J11" s="1127"/>
      <c r="K11" s="1127"/>
      <c r="L11" s="1128"/>
    </row>
    <row r="12" spans="1:12" ht="27" customHeight="1" thickBot="1">
      <c r="A12" s="351" t="s">
        <v>116</v>
      </c>
      <c r="B12" s="352"/>
      <c r="C12" s="349"/>
      <c r="D12" s="349"/>
    </row>
    <row r="13" spans="1:12" ht="23.25" customHeight="1" thickBot="1">
      <c r="A13" s="353" t="s">
        <v>101</v>
      </c>
      <c r="B13" s="1126" t="s">
        <v>439</v>
      </c>
      <c r="C13" s="1127"/>
      <c r="D13" s="1127"/>
      <c r="E13" s="1127"/>
      <c r="F13" s="1127"/>
      <c r="G13" s="1127"/>
      <c r="H13" s="1127"/>
      <c r="I13" s="1127"/>
      <c r="J13" s="1127"/>
      <c r="K13" s="1127"/>
      <c r="L13" s="1128"/>
    </row>
    <row r="14" spans="1:12" ht="23.25" customHeight="1" thickBot="1">
      <c r="A14" s="354"/>
      <c r="B14" s="1120" t="s">
        <v>245</v>
      </c>
      <c r="C14" s="1120"/>
      <c r="D14" s="1120"/>
      <c r="E14" s="1121"/>
      <c r="F14" s="1121"/>
      <c r="G14" s="1121"/>
      <c r="H14" s="1121"/>
      <c r="I14" s="1121"/>
      <c r="J14" s="1121"/>
      <c r="K14" s="1121"/>
      <c r="L14" s="1121"/>
    </row>
    <row r="15" spans="1:12" ht="23.25" customHeight="1" thickBot="1">
      <c r="A15" s="1124" t="s">
        <v>74</v>
      </c>
      <c r="B15" s="1122"/>
      <c r="C15" s="1122"/>
      <c r="D15" s="1122"/>
      <c r="E15" s="1123"/>
      <c r="F15" s="1123"/>
      <c r="G15" s="1123"/>
      <c r="H15" s="1123"/>
      <c r="I15" s="1123"/>
      <c r="J15" s="1123"/>
      <c r="K15" s="1123"/>
      <c r="L15" s="1123"/>
    </row>
    <row r="16" spans="1:12" ht="125.1" customHeight="1" thickBot="1">
      <c r="A16" s="1125"/>
      <c r="B16" s="1122"/>
      <c r="C16" s="1122"/>
      <c r="D16" s="1122"/>
      <c r="E16" s="1123"/>
      <c r="F16" s="1123"/>
      <c r="G16" s="1123"/>
      <c r="H16" s="1123"/>
      <c r="I16" s="1123"/>
      <c r="J16" s="1123"/>
      <c r="K16" s="1123"/>
      <c r="L16" s="1123"/>
    </row>
    <row r="17" spans="1:12" ht="23.25" customHeight="1" thickBot="1">
      <c r="A17" s="355"/>
      <c r="B17" s="1092" t="s">
        <v>92</v>
      </c>
      <c r="C17" s="1093"/>
      <c r="D17" s="1093"/>
      <c r="E17" s="1093"/>
      <c r="F17" s="1093"/>
      <c r="G17" s="1093"/>
      <c r="H17" s="1093"/>
      <c r="I17" s="1093"/>
      <c r="J17" s="1093"/>
      <c r="K17" s="1093"/>
      <c r="L17" s="1094"/>
    </row>
    <row r="18" spans="1:12" ht="125.1" customHeight="1" thickBot="1">
      <c r="A18" s="356" t="s">
        <v>241</v>
      </c>
      <c r="B18" s="1129"/>
      <c r="C18" s="1130"/>
      <c r="D18" s="1130"/>
      <c r="E18" s="1130"/>
      <c r="F18" s="1130"/>
      <c r="G18" s="1130"/>
      <c r="H18" s="1130"/>
      <c r="I18" s="1130"/>
      <c r="J18" s="1130"/>
      <c r="K18" s="1130"/>
      <c r="L18" s="1131"/>
    </row>
    <row r="19" spans="1:12" ht="27" customHeight="1" thickBot="1">
      <c r="A19" s="351" t="s">
        <v>242</v>
      </c>
      <c r="B19" s="352"/>
      <c r="C19" s="349"/>
      <c r="D19" s="349"/>
    </row>
    <row r="20" spans="1:12" ht="23.25" customHeight="1">
      <c r="A20" s="357" t="s">
        <v>100</v>
      </c>
      <c r="B20" s="1104" t="s">
        <v>440</v>
      </c>
      <c r="C20" s="1105"/>
      <c r="D20" s="1105"/>
      <c r="E20" s="1105"/>
      <c r="F20" s="1105"/>
      <c r="G20" s="1105"/>
      <c r="H20" s="1105"/>
      <c r="I20" s="1105"/>
      <c r="J20" s="1105"/>
      <c r="K20" s="1105"/>
      <c r="L20" s="1106"/>
    </row>
    <row r="21" spans="1:12" ht="23.25" customHeight="1" thickBot="1">
      <c r="A21" s="358" t="s">
        <v>102</v>
      </c>
      <c r="B21" s="1110" t="s">
        <v>441</v>
      </c>
      <c r="C21" s="1111"/>
      <c r="D21" s="1111"/>
      <c r="E21" s="1111"/>
      <c r="F21" s="1111"/>
      <c r="G21" s="1111"/>
      <c r="H21" s="1111"/>
      <c r="I21" s="1111"/>
      <c r="J21" s="1111"/>
      <c r="K21" s="1111"/>
      <c r="L21" s="1112"/>
    </row>
    <row r="22" spans="1:12" ht="23.25" customHeight="1" thickBot="1">
      <c r="A22" s="355"/>
      <c r="B22" s="1092" t="s">
        <v>117</v>
      </c>
      <c r="C22" s="1093"/>
      <c r="D22" s="1093"/>
      <c r="E22" s="1093"/>
      <c r="F22" s="1093"/>
      <c r="G22" s="1093"/>
      <c r="H22" s="1093"/>
      <c r="I22" s="1093"/>
      <c r="J22" s="1093"/>
      <c r="K22" s="1093"/>
      <c r="L22" s="1094"/>
    </row>
    <row r="23" spans="1:12" ht="125.1" customHeight="1" thickBot="1">
      <c r="A23" s="359" t="s">
        <v>118</v>
      </c>
      <c r="B23" s="1098"/>
      <c r="C23" s="1099"/>
      <c r="D23" s="1099"/>
      <c r="E23" s="1099"/>
      <c r="F23" s="1099"/>
      <c r="G23" s="1099"/>
      <c r="H23" s="1099"/>
      <c r="I23" s="1099"/>
      <c r="J23" s="1099"/>
      <c r="K23" s="1099"/>
      <c r="L23" s="1100"/>
    </row>
    <row r="24" spans="1:12" ht="23.25" customHeight="1" thickBot="1">
      <c r="A24" s="355"/>
      <c r="B24" s="1092" t="s">
        <v>243</v>
      </c>
      <c r="C24" s="1093"/>
      <c r="D24" s="1093"/>
      <c r="E24" s="1093"/>
      <c r="F24" s="1093"/>
      <c r="G24" s="1093"/>
      <c r="H24" s="1093"/>
      <c r="I24" s="1093"/>
      <c r="J24" s="1093"/>
      <c r="K24" s="1093"/>
      <c r="L24" s="1094"/>
    </row>
    <row r="25" spans="1:12" ht="125.1" customHeight="1" thickBot="1">
      <c r="A25" s="359" t="s">
        <v>246</v>
      </c>
      <c r="B25" s="1098"/>
      <c r="C25" s="1099"/>
      <c r="D25" s="1099"/>
      <c r="E25" s="1099"/>
      <c r="F25" s="1099"/>
      <c r="G25" s="1099"/>
      <c r="H25" s="1099"/>
      <c r="I25" s="1099"/>
      <c r="J25" s="1099"/>
      <c r="K25" s="1099"/>
      <c r="L25" s="1100"/>
    </row>
    <row r="26" spans="1:12" ht="23.25" customHeight="1" thickBot="1">
      <c r="A26" s="355"/>
      <c r="B26" s="1092" t="s">
        <v>92</v>
      </c>
      <c r="C26" s="1093"/>
      <c r="D26" s="1093"/>
      <c r="E26" s="1093"/>
      <c r="F26" s="1093"/>
      <c r="G26" s="1093"/>
      <c r="H26" s="1093"/>
      <c r="I26" s="1093"/>
      <c r="J26" s="1093"/>
      <c r="K26" s="1093"/>
      <c r="L26" s="1094"/>
    </row>
    <row r="27" spans="1:12" ht="125.1" customHeight="1">
      <c r="A27" s="359" t="s">
        <v>97</v>
      </c>
      <c r="B27" s="1098"/>
      <c r="C27" s="1099"/>
      <c r="D27" s="1099"/>
      <c r="E27" s="1099"/>
      <c r="F27" s="1099"/>
      <c r="G27" s="1099"/>
      <c r="H27" s="1099"/>
      <c r="I27" s="1099"/>
      <c r="J27" s="1099"/>
      <c r="K27" s="1099"/>
      <c r="L27" s="1100"/>
    </row>
    <row r="28" spans="1:12" ht="125.1" customHeight="1">
      <c r="A28" s="360" t="s">
        <v>96</v>
      </c>
      <c r="B28" s="1113"/>
      <c r="C28" s="1114"/>
      <c r="D28" s="1114"/>
      <c r="E28" s="1114"/>
      <c r="F28" s="1114"/>
      <c r="G28" s="1114"/>
      <c r="H28" s="1114"/>
      <c r="I28" s="1114"/>
      <c r="J28" s="1114"/>
      <c r="K28" s="1114"/>
      <c r="L28" s="1115"/>
    </row>
    <row r="29" spans="1:12" ht="125.1" customHeight="1" thickBot="1">
      <c r="A29" s="361" t="s">
        <v>95</v>
      </c>
      <c r="B29" s="1101"/>
      <c r="C29" s="1102"/>
      <c r="D29" s="1102"/>
      <c r="E29" s="1102"/>
      <c r="F29" s="1102"/>
      <c r="G29" s="1102"/>
      <c r="H29" s="1102"/>
      <c r="I29" s="1102"/>
      <c r="J29" s="1102"/>
      <c r="K29" s="1102"/>
      <c r="L29" s="1103"/>
    </row>
    <row r="30" spans="1:12" ht="27" customHeight="1" thickBot="1">
      <c r="A30" s="351" t="s">
        <v>237</v>
      </c>
      <c r="B30" s="352"/>
      <c r="C30" s="349"/>
      <c r="D30" s="349"/>
    </row>
    <row r="31" spans="1:12" ht="23.25" customHeight="1">
      <c r="A31" s="357" t="s">
        <v>100</v>
      </c>
      <c r="B31" s="1104" t="s">
        <v>440</v>
      </c>
      <c r="C31" s="1105"/>
      <c r="D31" s="1105"/>
      <c r="E31" s="1105"/>
      <c r="F31" s="1105"/>
      <c r="G31" s="1105"/>
      <c r="H31" s="1105"/>
      <c r="I31" s="1105"/>
      <c r="J31" s="1105"/>
      <c r="K31" s="1105"/>
      <c r="L31" s="1106"/>
    </row>
    <row r="32" spans="1:12" ht="23.25" customHeight="1">
      <c r="A32" s="362" t="s">
        <v>99</v>
      </c>
      <c r="B32" s="1107" t="s">
        <v>440</v>
      </c>
      <c r="C32" s="1108"/>
      <c r="D32" s="1108"/>
      <c r="E32" s="1108"/>
      <c r="F32" s="1108"/>
      <c r="G32" s="1108"/>
      <c r="H32" s="1108"/>
      <c r="I32" s="1108"/>
      <c r="J32" s="1108"/>
      <c r="K32" s="1108"/>
      <c r="L32" s="1109"/>
    </row>
    <row r="33" spans="1:12" ht="23.25" customHeight="1" thickBot="1">
      <c r="A33" s="358" t="s">
        <v>102</v>
      </c>
      <c r="B33" s="1110" t="s">
        <v>441</v>
      </c>
      <c r="C33" s="1111"/>
      <c r="D33" s="1111"/>
      <c r="E33" s="1111"/>
      <c r="F33" s="1111"/>
      <c r="G33" s="1111"/>
      <c r="H33" s="1111"/>
      <c r="I33" s="1111"/>
      <c r="J33" s="1111"/>
      <c r="K33" s="1111"/>
      <c r="L33" s="1112"/>
    </row>
    <row r="34" spans="1:12" ht="23.25" customHeight="1" thickBot="1">
      <c r="A34" s="355"/>
      <c r="B34" s="1092" t="s">
        <v>243</v>
      </c>
      <c r="C34" s="1093"/>
      <c r="D34" s="1093"/>
      <c r="E34" s="1093"/>
      <c r="F34" s="1093"/>
      <c r="G34" s="1093"/>
      <c r="H34" s="1093"/>
      <c r="I34" s="1093"/>
      <c r="J34" s="1093"/>
      <c r="K34" s="1093"/>
      <c r="L34" s="1094"/>
    </row>
    <row r="35" spans="1:12" ht="125.1" customHeight="1" thickBot="1">
      <c r="A35" s="363" t="s">
        <v>248</v>
      </c>
      <c r="B35" s="1095"/>
      <c r="C35" s="1096"/>
      <c r="D35" s="1096"/>
      <c r="E35" s="1096"/>
      <c r="F35" s="1096"/>
      <c r="G35" s="1096"/>
      <c r="H35" s="1096"/>
      <c r="I35" s="1096"/>
      <c r="J35" s="1096"/>
      <c r="K35" s="1096"/>
      <c r="L35" s="1097"/>
    </row>
    <row r="36" spans="1:12" ht="23.25" customHeight="1" thickBot="1">
      <c r="A36" s="355"/>
      <c r="B36" s="1092" t="s">
        <v>244</v>
      </c>
      <c r="C36" s="1093"/>
      <c r="D36" s="1093"/>
      <c r="E36" s="1093"/>
      <c r="F36" s="1093"/>
      <c r="G36" s="1093"/>
      <c r="H36" s="1093"/>
      <c r="I36" s="1093"/>
      <c r="J36" s="1093"/>
      <c r="K36" s="1093"/>
      <c r="L36" s="1094"/>
    </row>
    <row r="37" spans="1:12" ht="125.1" customHeight="1" thickBot="1">
      <c r="A37" s="363" t="s">
        <v>249</v>
      </c>
      <c r="B37" s="1095"/>
      <c r="C37" s="1096"/>
      <c r="D37" s="1096"/>
      <c r="E37" s="1096"/>
      <c r="F37" s="1096"/>
      <c r="G37" s="1096"/>
      <c r="H37" s="1096"/>
      <c r="I37" s="1096"/>
      <c r="J37" s="1096"/>
      <c r="K37" s="1096"/>
      <c r="L37" s="1097"/>
    </row>
    <row r="38" spans="1:12" ht="23.25" customHeight="1" thickBot="1">
      <c r="A38" s="355"/>
      <c r="B38" s="1092" t="s">
        <v>117</v>
      </c>
      <c r="C38" s="1093"/>
      <c r="D38" s="1093"/>
      <c r="E38" s="1093"/>
      <c r="F38" s="1093"/>
      <c r="G38" s="1093"/>
      <c r="H38" s="1093"/>
      <c r="I38" s="1093"/>
      <c r="J38" s="1093"/>
      <c r="K38" s="1093"/>
      <c r="L38" s="1094"/>
    </row>
    <row r="39" spans="1:12" ht="125.1" customHeight="1" thickBot="1">
      <c r="A39" s="363" t="s">
        <v>247</v>
      </c>
      <c r="B39" s="1095"/>
      <c r="C39" s="1096"/>
      <c r="D39" s="1096"/>
      <c r="E39" s="1096"/>
      <c r="F39" s="1096"/>
      <c r="G39" s="1096"/>
      <c r="H39" s="1096"/>
      <c r="I39" s="1096"/>
      <c r="J39" s="1096"/>
      <c r="K39" s="1096"/>
      <c r="L39" s="1097"/>
    </row>
    <row r="40" spans="1:12" ht="23.25" customHeight="1" thickBot="1">
      <c r="A40" s="355"/>
      <c r="B40" s="1092" t="s">
        <v>92</v>
      </c>
      <c r="C40" s="1093"/>
      <c r="D40" s="1093"/>
      <c r="E40" s="1093"/>
      <c r="F40" s="1093"/>
      <c r="G40" s="1093"/>
      <c r="H40" s="1093"/>
      <c r="I40" s="1093"/>
      <c r="J40" s="1093"/>
      <c r="K40" s="1093"/>
      <c r="L40" s="1094"/>
    </row>
    <row r="41" spans="1:12" ht="125.1" customHeight="1">
      <c r="A41" s="363" t="s">
        <v>250</v>
      </c>
      <c r="B41" s="1095"/>
      <c r="C41" s="1096"/>
      <c r="D41" s="1096"/>
      <c r="E41" s="1096"/>
      <c r="F41" s="1096"/>
      <c r="G41" s="1096"/>
      <c r="H41" s="1096"/>
      <c r="I41" s="1096"/>
      <c r="J41" s="1096"/>
      <c r="K41" s="1096"/>
      <c r="L41" s="1097"/>
    </row>
    <row r="42" spans="1:12" ht="125.1" customHeight="1" thickBot="1">
      <c r="A42" s="364" t="s">
        <v>251</v>
      </c>
      <c r="B42" s="1101"/>
      <c r="C42" s="1102"/>
      <c r="D42" s="1102"/>
      <c r="E42" s="1102"/>
      <c r="F42" s="1102"/>
      <c r="G42" s="1102"/>
      <c r="H42" s="1102"/>
      <c r="I42" s="1102"/>
      <c r="J42" s="1102"/>
      <c r="K42" s="1102"/>
      <c r="L42" s="1103"/>
    </row>
    <row r="43" spans="1:12" ht="27" customHeight="1" thickBot="1">
      <c r="A43" s="351" t="s">
        <v>310</v>
      </c>
    </row>
    <row r="44" spans="1:12" ht="23.25" customHeight="1" thickBot="1">
      <c r="A44" s="355"/>
      <c r="B44" s="1092" t="s">
        <v>92</v>
      </c>
      <c r="C44" s="1093"/>
      <c r="D44" s="1093"/>
      <c r="E44" s="1093"/>
      <c r="F44" s="1093"/>
      <c r="G44" s="1093"/>
      <c r="H44" s="1093"/>
      <c r="I44" s="1093"/>
      <c r="J44" s="1093"/>
      <c r="K44" s="1093"/>
      <c r="L44" s="1094"/>
    </row>
    <row r="45" spans="1:12" ht="125.1" customHeight="1">
      <c r="A45" s="856" t="s">
        <v>309</v>
      </c>
      <c r="B45" s="1095"/>
      <c r="C45" s="1096"/>
      <c r="D45" s="1096"/>
      <c r="E45" s="1096"/>
      <c r="F45" s="1096"/>
      <c r="G45" s="1096"/>
      <c r="H45" s="1096"/>
      <c r="I45" s="1096"/>
      <c r="J45" s="1096"/>
      <c r="K45" s="1096"/>
      <c r="L45" s="1097"/>
    </row>
    <row r="46" spans="1:12" ht="27" customHeight="1" thickBot="1">
      <c r="A46" s="351" t="s">
        <v>328</v>
      </c>
      <c r="B46" s="352"/>
      <c r="C46" s="349"/>
      <c r="D46" s="349"/>
    </row>
    <row r="47" spans="1:12" ht="125.1" customHeight="1">
      <c r="A47" s="363" t="s">
        <v>240</v>
      </c>
      <c r="B47" s="1095"/>
      <c r="C47" s="1096"/>
      <c r="D47" s="1096"/>
      <c r="E47" s="1096"/>
      <c r="F47" s="1096"/>
      <c r="G47" s="1096"/>
      <c r="H47" s="1096"/>
      <c r="I47" s="1096"/>
      <c r="J47" s="1096"/>
      <c r="K47" s="1096"/>
      <c r="L47" s="1097"/>
    </row>
    <row r="52" spans="2:2">
      <c r="B52" s="352"/>
    </row>
    <row r="68" ht="13.5" customHeight="1"/>
    <row r="108" ht="13.5" customHeight="1"/>
    <row r="147" ht="13.5" customHeight="1"/>
  </sheetData>
  <mergeCells count="40">
    <mergeCell ref="B45:L45"/>
    <mergeCell ref="B44:L44"/>
    <mergeCell ref="B18:L18"/>
    <mergeCell ref="B20:L20"/>
    <mergeCell ref="B21:L21"/>
    <mergeCell ref="B24:L24"/>
    <mergeCell ref="B25:L25"/>
    <mergeCell ref="B38:L38"/>
    <mergeCell ref="B39:L39"/>
    <mergeCell ref="B36:L36"/>
    <mergeCell ref="B37:L37"/>
    <mergeCell ref="I3:J3"/>
    <mergeCell ref="K3:L3"/>
    <mergeCell ref="I4:J4"/>
    <mergeCell ref="K4:L4"/>
    <mergeCell ref="I5:J5"/>
    <mergeCell ref="K5:L5"/>
    <mergeCell ref="A8:L8"/>
    <mergeCell ref="B14:L14"/>
    <mergeCell ref="B15:L16"/>
    <mergeCell ref="A15:A16"/>
    <mergeCell ref="B13:L13"/>
    <mergeCell ref="B10:L10"/>
    <mergeCell ref="B11:L11"/>
    <mergeCell ref="B17:L17"/>
    <mergeCell ref="B47:L47"/>
    <mergeCell ref="B22:L22"/>
    <mergeCell ref="B23:L23"/>
    <mergeCell ref="B34:L34"/>
    <mergeCell ref="B35:L35"/>
    <mergeCell ref="B41:L41"/>
    <mergeCell ref="B42:L42"/>
    <mergeCell ref="B26:L26"/>
    <mergeCell ref="B40:L40"/>
    <mergeCell ref="B31:L31"/>
    <mergeCell ref="B32:L32"/>
    <mergeCell ref="B33:L33"/>
    <mergeCell ref="B27:L27"/>
    <mergeCell ref="B28:L28"/>
    <mergeCell ref="B29:L29"/>
  </mergeCells>
  <phoneticPr fontId="3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R301"/>
  <sheetViews>
    <sheetView zoomScale="85" zoomScaleNormal="85" zoomScaleSheetLayoutView="80" workbookViewId="0">
      <selection activeCell="N69" sqref="N69"/>
    </sheetView>
  </sheetViews>
  <sheetFormatPr defaultColWidth="9" defaultRowHeight="13.5"/>
  <cols>
    <col min="1" max="2" customWidth="true" style="187" width="2.625" collapsed="false"/>
    <col min="3" max="3" customWidth="true" style="187" width="15.625" collapsed="false"/>
    <col min="4" max="4" customWidth="true" style="187" width="21.125" collapsed="false"/>
    <col min="5" max="5" customWidth="true" style="187" width="20.25" collapsed="false"/>
    <col min="6" max="6" customWidth="true" style="187" width="17.0" collapsed="false"/>
    <col min="7" max="16" customWidth="true" style="187" width="14.625" collapsed="false"/>
    <col min="17" max="17" customWidth="true" style="187" width="14.5" collapsed="false"/>
    <col min="18" max="18" customWidth="true" style="187" width="2.875" collapsed="false"/>
    <col min="19" max="16384" style="187" width="9.0" collapsed="false"/>
  </cols>
  <sheetData>
    <row r="1" spans="1:17" ht="14.25">
      <c r="A1" s="701" t="s">
        <v>313</v>
      </c>
      <c r="B1" s="186"/>
      <c r="C1" s="728"/>
      <c r="D1" s="728"/>
      <c r="E1" s="728"/>
      <c r="F1" s="728"/>
      <c r="G1" s="728"/>
      <c r="H1" s="728"/>
    </row>
    <row r="2" spans="1:17" ht="15" thickBot="1">
      <c r="A2" s="188"/>
      <c r="J2" s="189"/>
    </row>
    <row r="3" spans="1:17" ht="14.25" thickBot="1">
      <c r="B3" s="190"/>
      <c r="P3" s="727" t="s">
        <v>67</v>
      </c>
      <c r="Q3" s="191" t="str">
        <f>保険者名</f>
        <v>小野町</v>
      </c>
    </row>
    <row r="4" spans="1:17" ht="14.25" thickBot="1">
      <c r="B4" s="190"/>
      <c r="P4" s="617" t="s">
        <v>68</v>
      </c>
      <c r="Q4" s="192" t="str">
        <f>保険者番号</f>
        <v>07522</v>
      </c>
    </row>
    <row r="5" spans="1:17" ht="14.25" thickBot="1">
      <c r="B5" s="190"/>
      <c r="P5" s="193" t="s">
        <v>103</v>
      </c>
      <c r="Q5" s="194" t="str">
        <f>推計パターン名</f>
        <v>将来推計1</v>
      </c>
    </row>
    <row r="6" spans="1:17">
      <c r="B6" s="190"/>
    </row>
    <row r="7" spans="1:17" ht="14.25" thickBot="1">
      <c r="A7" s="195" t="s">
        <v>351</v>
      </c>
      <c r="B7" s="190"/>
    </row>
    <row r="8" spans="1:17" ht="14.25" thickBot="1">
      <c r="A8" s="196" t="s">
        <v>352</v>
      </c>
      <c r="B8" s="197"/>
      <c r="C8" s="197"/>
      <c r="D8" s="197"/>
      <c r="E8" s="197"/>
      <c r="F8" s="673" t="n">
        <v>6608.89984893206</v>
      </c>
      <c r="G8" s="189"/>
    </row>
    <row r="9" spans="1:17" ht="14.25" thickBot="1">
      <c r="G9" s="189"/>
      <c r="H9" s="189"/>
      <c r="I9" s="189"/>
      <c r="J9" s="189"/>
    </row>
    <row r="10" spans="1:17" ht="14.25" thickBot="1">
      <c r="A10" s="195" t="s">
        <v>131</v>
      </c>
      <c r="B10" s="198"/>
      <c r="C10" s="198"/>
      <c r="D10" s="198"/>
      <c r="E10" s="198"/>
      <c r="F10" s="1132" t="s">
        <v>346</v>
      </c>
      <c r="G10" s="1006" t="s">
        <v>424</v>
      </c>
      <c r="H10" s="1005" t="s">
        <v>425</v>
      </c>
      <c r="I10" s="1006" t="s">
        <v>426</v>
      </c>
      <c r="J10" s="1007" t="s">
        <v>427</v>
      </c>
      <c r="K10" s="1008" t="s">
        <v>423</v>
      </c>
    </row>
    <row r="11" spans="1:17" ht="14.25" thickBot="1">
      <c r="A11" s="199"/>
      <c r="B11" s="200"/>
      <c r="C11" s="200"/>
      <c r="D11" s="200"/>
      <c r="E11" s="200"/>
      <c r="F11" s="1133"/>
      <c r="G11" s="740" t="s">
        <v>382</v>
      </c>
      <c r="H11" s="741" t="s">
        <v>385</v>
      </c>
      <c r="I11" s="740" t="s">
        <v>388</v>
      </c>
      <c r="J11" s="743" t="s">
        <v>391</v>
      </c>
      <c r="K11" s="1009" t="s">
        <v>394</v>
      </c>
    </row>
    <row r="12" spans="1:17">
      <c r="A12" s="201" t="s">
        <v>230</v>
      </c>
      <c r="B12" s="202"/>
      <c r="C12" s="202"/>
      <c r="D12" s="202"/>
      <c r="E12" s="202"/>
      <c r="F12" s="950" t="e">
        <f>F103/F104/F212/12</f>
        <v>#DIV/0!</v>
      </c>
      <c r="G12" s="658" t="e">
        <f>J103/J104/J212/12</f>
        <v>#DIV/0!</v>
      </c>
      <c r="H12" s="658" t="e">
        <f>K103/K104/K212/12</f>
        <v>#DIV/0!</v>
      </c>
      <c r="I12" s="658" t="e">
        <f>L103/L104/L212/12</f>
        <v>#DIV/0!</v>
      </c>
      <c r="J12" s="658" t="e">
        <f>M103/M104/M212/12</f>
        <v>#DIV/0!</v>
      </c>
      <c r="K12" s="901" t="e">
        <f>N103/N104/N212/12</f>
        <v>#DIV/0!</v>
      </c>
    </row>
    <row r="13" spans="1:17">
      <c r="A13" s="203" t="s">
        <v>132</v>
      </c>
      <c r="B13" s="202"/>
      <c r="C13" s="202"/>
      <c r="D13" s="202"/>
      <c r="E13" s="202"/>
      <c r="F13" s="951" t="e">
        <f>(F103+F15)/F104/F212/12-F12</f>
        <v>#DIV/0!</v>
      </c>
      <c r="G13" s="658" t="e">
        <f>(J103+G15)/J104/J212/12-G12</f>
        <v>#DIV/0!</v>
      </c>
      <c r="H13" s="658" t="e">
        <f>(K103+H15)/K104/K212/12-H12</f>
        <v>#DIV/0!</v>
      </c>
      <c r="I13" s="658" t="e">
        <f>(L103+I15)/L104/L212/12-I12</f>
        <v>#DIV/0!</v>
      </c>
      <c r="J13" s="658" t="e">
        <f>(M103+J15)/M104/M212/12-J12</f>
        <v>#DIV/0!</v>
      </c>
      <c r="K13" s="902" t="e">
        <f>(N103+K15)/N104/N212/12-K12</f>
        <v>#DIV/0!</v>
      </c>
    </row>
    <row r="14" spans="1:17">
      <c r="A14" s="204"/>
      <c r="B14" s="205" t="s">
        <v>133</v>
      </c>
      <c r="C14" s="205"/>
      <c r="D14" s="205"/>
      <c r="E14" s="205"/>
      <c r="F14" s="956">
        <v>0</v>
      </c>
      <c r="G14" s="632">
        <v>0</v>
      </c>
      <c r="H14" s="774">
        <v>0</v>
      </c>
      <c r="I14" s="774">
        <v>0</v>
      </c>
      <c r="J14" s="774">
        <v>0</v>
      </c>
      <c r="K14" s="775">
        <v>0</v>
      </c>
    </row>
    <row r="15" spans="1:17">
      <c r="A15" s="204"/>
      <c r="B15" s="205" t="s">
        <v>134</v>
      </c>
      <c r="C15" s="205"/>
      <c r="D15" s="205"/>
      <c r="E15" s="205"/>
      <c r="F15" s="956">
        <v>0</v>
      </c>
      <c r="G15" s="632">
        <v>0</v>
      </c>
      <c r="H15" s="774">
        <v>0</v>
      </c>
      <c r="I15" s="774">
        <v>0</v>
      </c>
      <c r="J15" s="774">
        <v>0</v>
      </c>
      <c r="K15" s="775">
        <v>0</v>
      </c>
    </row>
    <row r="16" spans="1:17">
      <c r="A16" s="206"/>
      <c r="B16" s="202" t="s">
        <v>135</v>
      </c>
      <c r="C16" s="202"/>
      <c r="D16" s="202"/>
      <c r="E16" s="202"/>
      <c r="F16" s="952" t="n">
        <f>IF(F14=0,0, F15/F14)</f>
        <v>0.0</v>
      </c>
      <c r="G16" s="659" t="n">
        <f>IF(G14=0,0,G15/G14)</f>
        <v>0.0</v>
      </c>
      <c r="H16" s="776" t="n">
        <f>IF(H14=0,0,H15/H14)</f>
        <v>0.0</v>
      </c>
      <c r="I16" s="776" t="n">
        <f>IF(I14=0,0,I15/I14)</f>
        <v>0.0</v>
      </c>
      <c r="J16" s="776" t="n">
        <f>IF(J14=0,0,J15/J14)</f>
        <v>0.0</v>
      </c>
      <c r="K16" s="777" t="n">
        <f>IF(K14=0,0,K15/K14)</f>
        <v>0.0</v>
      </c>
    </row>
    <row r="17" spans="1:14">
      <c r="A17" s="203" t="s">
        <v>136</v>
      </c>
      <c r="B17" s="202"/>
      <c r="C17" s="202"/>
      <c r="D17" s="202"/>
      <c r="E17" s="202"/>
      <c r="F17" s="951" t="e">
        <f>F12-(F103-F18)/F104/F212/12</f>
        <v>#DIV/0!</v>
      </c>
      <c r="G17" s="658" t="e">
        <f>G12-(J103-G18)/J104/J212/12</f>
        <v>#DIV/0!</v>
      </c>
      <c r="H17" s="772" t="e">
        <f>H12-(K103-H18)/K104/K212/12</f>
        <v>#DIV/0!</v>
      </c>
      <c r="I17" s="772" t="e">
        <f>I12-(L103-I18)/L104/L212/12</f>
        <v>#DIV/0!</v>
      </c>
      <c r="J17" s="772" t="e">
        <f>J12-(M103-J18)/M104/M212/12</f>
        <v>#DIV/0!</v>
      </c>
      <c r="K17" s="773" t="e">
        <f>K12-(N103-K18)/N104/N212/12</f>
        <v>#DIV/0!</v>
      </c>
    </row>
    <row r="18" spans="1:14">
      <c r="A18" s="204"/>
      <c r="B18" s="202" t="s">
        <v>137</v>
      </c>
      <c r="C18" s="202"/>
      <c r="D18" s="202"/>
      <c r="E18" s="202"/>
      <c r="F18" s="951" t="n">
        <f>(F68+F86)*F19</f>
        <v>0.0</v>
      </c>
      <c r="G18" s="658" t="n">
        <f>(J68+J86)*G19</f>
        <v>0.0</v>
      </c>
      <c r="H18" s="772" t="n">
        <f>(K68+K86)*H19</f>
        <v>0.0</v>
      </c>
      <c r="I18" s="772" t="n">
        <f>(L68+L86)*I19</f>
        <v>0.0</v>
      </c>
      <c r="J18" s="772" t="n">
        <f>(M68+M86)*J19</f>
        <v>0.0</v>
      </c>
      <c r="K18" s="773" t="n">
        <f>(N68+N86)*K19</f>
        <v>0.0</v>
      </c>
    </row>
    <row r="19" spans="1:14">
      <c r="A19" s="206"/>
      <c r="B19" s="205" t="s">
        <v>138</v>
      </c>
      <c r="C19" s="205"/>
      <c r="D19" s="205"/>
      <c r="E19" s="205"/>
      <c r="F19" s="957">
        <v>0</v>
      </c>
      <c r="G19" s="662">
        <v>0</v>
      </c>
      <c r="H19" s="778">
        <v>0</v>
      </c>
      <c r="I19" s="778">
        <v>0</v>
      </c>
      <c r="J19" s="778">
        <v>0</v>
      </c>
      <c r="K19" s="909">
        <v>0</v>
      </c>
    </row>
    <row r="20" spans="1:14">
      <c r="A20" s="203" t="s">
        <v>139</v>
      </c>
      <c r="B20" s="202"/>
      <c r="C20" s="202"/>
      <c r="D20" s="202"/>
      <c r="E20" s="202"/>
      <c r="F20" s="951" t="e">
        <f>F12-(F103-F21)/F104/F212/12</f>
        <v>#DIV/0!</v>
      </c>
      <c r="G20" s="658" t="e">
        <f>G12-(J103-G21)/J104/J212/12</f>
        <v>#DIV/0!</v>
      </c>
      <c r="H20" s="772" t="e">
        <f>H12-(K103-H21)/K104/K212/12</f>
        <v>#DIV/0!</v>
      </c>
      <c r="I20" s="772" t="e">
        <f>I12-(L103-I21)/L104/L212/12</f>
        <v>#DIV/0!</v>
      </c>
      <c r="J20" s="772" t="e">
        <f>J12-(M103-J21)/M104/M212/12</f>
        <v>#DIV/0!</v>
      </c>
      <c r="K20" s="773" t="e">
        <f>K12-(N103-K21)/N104/N212/12</f>
        <v>#DIV/0!</v>
      </c>
    </row>
    <row r="21" spans="1:14">
      <c r="A21" s="207"/>
      <c r="B21" s="208" t="s">
        <v>140</v>
      </c>
      <c r="C21" s="205"/>
      <c r="D21" s="205"/>
      <c r="E21" s="205"/>
      <c r="F21" s="958">
        <v>0</v>
      </c>
      <c r="G21" s="632">
        <v>0</v>
      </c>
      <c r="H21" s="774">
        <v>0</v>
      </c>
      <c r="I21" s="774">
        <v>0</v>
      </c>
      <c r="J21" s="774">
        <v>0</v>
      </c>
      <c r="K21" s="775">
        <v>0</v>
      </c>
    </row>
    <row r="22" spans="1:14" ht="14.25" thickBot="1">
      <c r="A22" s="209" t="s">
        <v>353</v>
      </c>
      <c r="B22" s="210"/>
      <c r="C22" s="210"/>
      <c r="D22" s="210"/>
      <c r="E22" s="210"/>
      <c r="F22" s="954" t="e">
        <f>F12/$F$8-1</f>
        <v>#DIV/0!</v>
      </c>
      <c r="G22" s="661" t="e">
        <f t="shared" ref="G22:K22" si="0">G12/ROUND($F$8,0)-1</f>
        <v>#DIV/0!</v>
      </c>
      <c r="H22" s="779" t="e">
        <f t="shared" si="0"/>
        <v>#DIV/0!</v>
      </c>
      <c r="I22" s="779" t="e">
        <f t="shared" si="0"/>
        <v>#DIV/0!</v>
      </c>
      <c r="J22" s="779" t="e">
        <f t="shared" si="0"/>
        <v>#DIV/0!</v>
      </c>
      <c r="K22" s="780" t="e">
        <f t="shared" si="0"/>
        <v>#DIV/0!</v>
      </c>
    </row>
    <row r="23" spans="1:14" ht="14.25" thickBot="1"/>
    <row r="24" spans="1:14" ht="14.25" thickBot="1">
      <c r="A24" s="195" t="s">
        <v>141</v>
      </c>
      <c r="B24" s="198"/>
      <c r="C24" s="198"/>
      <c r="D24" s="198"/>
      <c r="E24" s="198"/>
      <c r="F24" s="1132" t="s">
        <v>346</v>
      </c>
      <c r="G24" s="1006" t="s">
        <v>424</v>
      </c>
      <c r="H24" s="1005" t="s">
        <v>425</v>
      </c>
      <c r="I24" s="1006" t="s">
        <v>426</v>
      </c>
      <c r="J24" s="1007" t="s">
        <v>427</v>
      </c>
      <c r="K24" s="1008" t="s">
        <v>423</v>
      </c>
    </row>
    <row r="25" spans="1:14" ht="14.25" thickBot="1">
      <c r="A25" s="199"/>
      <c r="B25" s="200"/>
      <c r="C25" s="200"/>
      <c r="D25" s="200"/>
      <c r="E25" s="200"/>
      <c r="F25" s="1133"/>
      <c r="G25" s="740" t="s">
        <v>382</v>
      </c>
      <c r="H25" s="741" t="s">
        <v>385</v>
      </c>
      <c r="I25" s="740" t="s">
        <v>388</v>
      </c>
      <c r="J25" s="743" t="s">
        <v>391</v>
      </c>
      <c r="K25" s="1009" t="s">
        <v>394</v>
      </c>
    </row>
    <row r="26" spans="1:14">
      <c r="A26" s="201" t="s">
        <v>230</v>
      </c>
      <c r="B26" s="202"/>
      <c r="C26" s="202"/>
      <c r="D26" s="202"/>
      <c r="E26" s="202"/>
      <c r="F26" s="950" t="str">
        <f>IFERROR(F103/F104/F213/12,"－")</f>
        <v>－</v>
      </c>
      <c r="G26" s="658" t="str">
        <f>IFERROR(J103/J104/J213/12,"－")</f>
        <v>－</v>
      </c>
      <c r="H26" s="772" t="str">
        <f>IFERROR(K103/K104/K213/12,"－")</f>
        <v>－</v>
      </c>
      <c r="I26" s="772" t="str">
        <f>IFERROR(L103/L104/L213/12,"－")</f>
        <v>－</v>
      </c>
      <c r="J26" s="772" t="str">
        <f>IFERROR(M103/M104/M213/12,"－")</f>
        <v>－</v>
      </c>
      <c r="K26" s="910" t="str">
        <f>IFERROR(N103/N104/N213/12,"－")</f>
        <v>－</v>
      </c>
      <c r="M26" s="211"/>
      <c r="N26" s="211"/>
    </row>
    <row r="27" spans="1:14">
      <c r="A27" s="203" t="s">
        <v>132</v>
      </c>
      <c r="B27" s="202"/>
      <c r="C27" s="202"/>
      <c r="D27" s="202"/>
      <c r="E27" s="202"/>
      <c r="F27" s="951" t="str">
        <f>IFERROR((F103+F29)/F104/F213/12-F26,"－")</f>
        <v>－</v>
      </c>
      <c r="G27" s="658" t="str">
        <f>IFERROR((J103+G29)/J104/J213/12-G26,"－")</f>
        <v>－</v>
      </c>
      <c r="H27" s="772" t="str">
        <f>IFERROR((K103+H29)/K104/K213/12-H26,"－")</f>
        <v>－</v>
      </c>
      <c r="I27" s="772" t="str">
        <f>IFERROR((L103+I29)/L104/L213/12-I26,"－")</f>
        <v>－</v>
      </c>
      <c r="J27" s="772" t="str">
        <f>IFERROR((M103+J29)/M104/M213/12-J26,"－")</f>
        <v>－</v>
      </c>
      <c r="K27" s="773" t="str">
        <f>IFERROR((N103+K29)/N104/N213/12-K26,"－")</f>
        <v>－</v>
      </c>
      <c r="M27" s="211"/>
      <c r="N27" s="721"/>
    </row>
    <row r="28" spans="1:14">
      <c r="A28" s="204"/>
      <c r="B28" s="202" t="s">
        <v>133</v>
      </c>
      <c r="C28" s="202"/>
      <c r="D28" s="202"/>
      <c r="E28" s="202"/>
      <c r="F28" s="951" t="str">
        <f t="shared" ref="F28:K28" si="1">IF(F26="－","－",F14)</f>
        <v>－</v>
      </c>
      <c r="G28" s="658" t="str">
        <f t="shared" si="1"/>
        <v>－</v>
      </c>
      <c r="H28" s="772" t="str">
        <f t="shared" si="1"/>
        <v>－</v>
      </c>
      <c r="I28" s="772" t="str">
        <f t="shared" si="1"/>
        <v>－</v>
      </c>
      <c r="J28" s="772" t="str">
        <f t="shared" si="1"/>
        <v>－</v>
      </c>
      <c r="K28" s="773" t="str">
        <f t="shared" si="1"/>
        <v>－</v>
      </c>
      <c r="M28" s="211"/>
    </row>
    <row r="29" spans="1:14">
      <c r="A29" s="204"/>
      <c r="B29" s="202" t="s">
        <v>134</v>
      </c>
      <c r="C29" s="202"/>
      <c r="D29" s="202"/>
      <c r="E29" s="202"/>
      <c r="F29" s="951" t="str">
        <f t="shared" ref="F29:K29" si="2">IF(F26="－","－",F15)</f>
        <v>－</v>
      </c>
      <c r="G29" s="658" t="str">
        <f t="shared" si="2"/>
        <v>－</v>
      </c>
      <c r="H29" s="772" t="str">
        <f t="shared" si="2"/>
        <v>－</v>
      </c>
      <c r="I29" s="772" t="str">
        <f t="shared" si="2"/>
        <v>－</v>
      </c>
      <c r="J29" s="772" t="str">
        <f t="shared" si="2"/>
        <v>－</v>
      </c>
      <c r="K29" s="773" t="str">
        <f t="shared" si="2"/>
        <v>－</v>
      </c>
      <c r="M29" s="211"/>
      <c r="N29" s="211"/>
    </row>
    <row r="30" spans="1:14">
      <c r="A30" s="206"/>
      <c r="B30" s="202" t="s">
        <v>135</v>
      </c>
      <c r="C30" s="202"/>
      <c r="D30" s="202"/>
      <c r="E30" s="202"/>
      <c r="F30" s="952" t="str">
        <f>IFERROR(F29/F28,"－")</f>
        <v>－</v>
      </c>
      <c r="G30" s="659" t="str">
        <f>IFERROR(G29/G28,"－")</f>
        <v>－</v>
      </c>
      <c r="H30" s="776" t="str">
        <f t="shared" ref="H30:I30" si="3">IFERROR(H29/H28,"－")</f>
        <v>－</v>
      </c>
      <c r="I30" s="776" t="str">
        <f t="shared" si="3"/>
        <v>－</v>
      </c>
      <c r="J30" s="776" t="str">
        <f t="shared" ref="J30:K30" si="4">IFERROR(J29/J28,"－")</f>
        <v>－</v>
      </c>
      <c r="K30" s="777" t="str">
        <f t="shared" si="4"/>
        <v>－</v>
      </c>
    </row>
    <row r="31" spans="1:14">
      <c r="A31" s="203" t="s">
        <v>136</v>
      </c>
      <c r="B31" s="202"/>
      <c r="C31" s="202"/>
      <c r="D31" s="202"/>
      <c r="E31" s="202"/>
      <c r="F31" s="951" t="str">
        <f>IFERROR(F26-(F103-F32)/F104/F213/12,"－")</f>
        <v>－</v>
      </c>
      <c r="G31" s="658" t="str">
        <f>IFERROR(G26-(J103-G32)/J104/J213/12,"－")</f>
        <v>－</v>
      </c>
      <c r="H31" s="772" t="str">
        <f>IFERROR(H26-(K103-H32)/K104/K213/12,"－")</f>
        <v>－</v>
      </c>
      <c r="I31" s="772" t="str">
        <f>IFERROR(I26-(L103-I32)/L104/L213/12,"－")</f>
        <v>－</v>
      </c>
      <c r="J31" s="772" t="str">
        <f>IFERROR(J26-(M103-J32)/M104/M213/12,"－")</f>
        <v>－</v>
      </c>
      <c r="K31" s="773" t="str">
        <f>IFERROR(K26-(N103-K32)/N104/N213/12,"－")</f>
        <v>－</v>
      </c>
    </row>
    <row r="32" spans="1:14">
      <c r="A32" s="204"/>
      <c r="B32" s="202" t="s">
        <v>137</v>
      </c>
      <c r="C32" s="202"/>
      <c r="D32" s="202"/>
      <c r="E32" s="202"/>
      <c r="F32" s="951" t="str">
        <f>IF(F26="－","－",(F68+F86)*F33)</f>
        <v>－</v>
      </c>
      <c r="G32" s="658" t="str">
        <f>IF(G26="－","－",(J68+J86)*G33)</f>
        <v>－</v>
      </c>
      <c r="H32" s="772" t="str">
        <f>IF(H26="－","－",(K68+K86)*H33)</f>
        <v>－</v>
      </c>
      <c r="I32" s="772" t="str">
        <f>IF(I26="－","－",(L68+L86)*I33)</f>
        <v>－</v>
      </c>
      <c r="J32" s="772" t="str">
        <f>IF(J26="－","－",(M68+M86)*J33)</f>
        <v>－</v>
      </c>
      <c r="K32" s="773" t="str">
        <f>IF(K26="－","－",(N68+N86)*K33)</f>
        <v>－</v>
      </c>
    </row>
    <row r="33" spans="1:17">
      <c r="A33" s="206"/>
      <c r="B33" s="202" t="s">
        <v>138</v>
      </c>
      <c r="C33" s="202"/>
      <c r="D33" s="202"/>
      <c r="E33" s="202"/>
      <c r="F33" s="953" t="str">
        <f t="shared" ref="F33:K33" si="5">IF(F26="－","－",F19)</f>
        <v>－</v>
      </c>
      <c r="G33" s="660" t="str">
        <f t="shared" si="5"/>
        <v>－</v>
      </c>
      <c r="H33" s="781" t="str">
        <f t="shared" si="5"/>
        <v>－</v>
      </c>
      <c r="I33" s="781" t="str">
        <f t="shared" si="5"/>
        <v>－</v>
      </c>
      <c r="J33" s="781" t="str">
        <f t="shared" si="5"/>
        <v>－</v>
      </c>
      <c r="K33" s="782" t="str">
        <f t="shared" si="5"/>
        <v>－</v>
      </c>
    </row>
    <row r="34" spans="1:17">
      <c r="A34" s="203" t="s">
        <v>139</v>
      </c>
      <c r="B34" s="202"/>
      <c r="C34" s="202"/>
      <c r="D34" s="202"/>
      <c r="E34" s="202"/>
      <c r="F34" s="951" t="str">
        <f>IFERROR(F26-(F103-F35)/F104/F213/12,"－")</f>
        <v>－</v>
      </c>
      <c r="G34" s="658" t="str">
        <f>IFERROR(G26-(J103-G35)/J104/J213/12,"－")</f>
        <v>－</v>
      </c>
      <c r="H34" s="772" t="str">
        <f>IFERROR(H26-(K103-H35)/K104/K213/12,"－")</f>
        <v>－</v>
      </c>
      <c r="I34" s="772" t="str">
        <f>IFERROR(I26-(L103-I35)/L104/L213/12,"－")</f>
        <v>－</v>
      </c>
      <c r="J34" s="772" t="str">
        <f>IFERROR(J26-(M103-J35)/M104/M213/12,"－")</f>
        <v>－</v>
      </c>
      <c r="K34" s="773" t="str">
        <f>IFERROR(K26-(N103-K35)/N104/N213/12,"－")</f>
        <v>－</v>
      </c>
    </row>
    <row r="35" spans="1:17">
      <c r="A35" s="207"/>
      <c r="B35" s="212" t="s">
        <v>140</v>
      </c>
      <c r="C35" s="202"/>
      <c r="D35" s="202"/>
      <c r="E35" s="202"/>
      <c r="F35" s="951" t="str">
        <f t="shared" ref="F35:K35" si="6">IF(F26="－","－",F21)</f>
        <v>－</v>
      </c>
      <c r="G35" s="658" t="str">
        <f t="shared" si="6"/>
        <v>－</v>
      </c>
      <c r="H35" s="772" t="str">
        <f t="shared" si="6"/>
        <v>－</v>
      </c>
      <c r="I35" s="772" t="str">
        <f t="shared" si="6"/>
        <v>－</v>
      </c>
      <c r="J35" s="772" t="str">
        <f t="shared" si="6"/>
        <v>－</v>
      </c>
      <c r="K35" s="773" t="str">
        <f t="shared" si="6"/>
        <v>－</v>
      </c>
    </row>
    <row r="36" spans="1:17" ht="14.25" thickBot="1">
      <c r="A36" s="209" t="s">
        <v>354</v>
      </c>
      <c r="B36" s="210"/>
      <c r="C36" s="210"/>
      <c r="D36" s="210"/>
      <c r="E36" s="210"/>
      <c r="F36" s="954" t="str">
        <f>IFERROR(F26/$F$8-1,"－")</f>
        <v>－</v>
      </c>
      <c r="G36" s="661" t="str">
        <f t="shared" ref="G36:K36" si="7">IFERROR(G26/ROUND($F$8,0)-1,"－")</f>
        <v>－</v>
      </c>
      <c r="H36" s="779" t="str">
        <f t="shared" si="7"/>
        <v>－</v>
      </c>
      <c r="I36" s="779" t="str">
        <f t="shared" si="7"/>
        <v>－</v>
      </c>
      <c r="J36" s="779" t="str">
        <f t="shared" si="7"/>
        <v>－</v>
      </c>
      <c r="K36" s="780" t="str">
        <f t="shared" si="7"/>
        <v>－</v>
      </c>
    </row>
    <row r="37" spans="1:17" ht="14.25" thickBot="1">
      <c r="A37" s="195"/>
      <c r="B37" s="198"/>
      <c r="C37" s="198"/>
      <c r="D37" s="198"/>
      <c r="E37" s="198"/>
      <c r="F37" s="198"/>
      <c r="G37" s="198"/>
      <c r="H37" s="198"/>
      <c r="I37" s="198"/>
      <c r="J37" s="198"/>
    </row>
    <row r="38" spans="1:17" ht="14.25" thickBot="1">
      <c r="A38" s="195" t="s">
        <v>142</v>
      </c>
      <c r="B38" s="198"/>
      <c r="C38" s="198"/>
      <c r="D38" s="198"/>
      <c r="E38" s="198"/>
      <c r="F38" s="1010" t="s">
        <v>80</v>
      </c>
      <c r="G38" s="1011"/>
      <c r="H38" s="1011"/>
      <c r="I38" s="1011"/>
      <c r="J38" s="1012"/>
      <c r="K38" s="1012"/>
      <c r="L38" s="664" t="s">
        <v>143</v>
      </c>
      <c r="M38" s="663"/>
      <c r="N38" s="663"/>
      <c r="O38" s="663"/>
      <c r="P38" s="665"/>
      <c r="Q38" s="665"/>
    </row>
    <row r="39" spans="1:17">
      <c r="A39" s="123"/>
      <c r="B39" s="213"/>
      <c r="C39" s="213"/>
      <c r="D39" s="213"/>
      <c r="E39" s="214"/>
      <c r="F39" s="1134" t="s">
        <v>418</v>
      </c>
      <c r="G39" s="1013" t="s">
        <v>424</v>
      </c>
      <c r="H39" s="1013" t="s">
        <v>425</v>
      </c>
      <c r="I39" s="1013" t="s">
        <v>426</v>
      </c>
      <c r="J39" s="1013" t="s">
        <v>427</v>
      </c>
      <c r="K39" s="1014" t="s">
        <v>423</v>
      </c>
      <c r="L39" s="1136" t="s">
        <v>418</v>
      </c>
      <c r="M39" s="1013" t="s">
        <v>424</v>
      </c>
      <c r="N39" s="1013" t="s">
        <v>425</v>
      </c>
      <c r="O39" s="1013" t="s">
        <v>426</v>
      </c>
      <c r="P39" s="1013" t="s">
        <v>427</v>
      </c>
      <c r="Q39" s="1015" t="s">
        <v>423</v>
      </c>
    </row>
    <row r="40" spans="1:17">
      <c r="A40" s="215"/>
      <c r="B40" s="216"/>
      <c r="C40" s="216"/>
      <c r="D40" s="216"/>
      <c r="E40" s="217"/>
      <c r="F40" s="1135"/>
      <c r="G40" s="1016" t="s">
        <v>382</v>
      </c>
      <c r="H40" s="1016" t="s">
        <v>385</v>
      </c>
      <c r="I40" s="1016" t="s">
        <v>388</v>
      </c>
      <c r="J40" s="1016" t="s">
        <v>391</v>
      </c>
      <c r="K40" s="1017" t="s">
        <v>394</v>
      </c>
      <c r="L40" s="1137"/>
      <c r="M40" s="1016" t="s">
        <v>382</v>
      </c>
      <c r="N40" s="1016" t="s">
        <v>385</v>
      </c>
      <c r="O40" s="1016" t="s">
        <v>388</v>
      </c>
      <c r="P40" s="1016" t="s">
        <v>391</v>
      </c>
      <c r="Q40" s="1018" t="s">
        <v>394</v>
      </c>
    </row>
    <row r="41" spans="1:17">
      <c r="A41" s="82" t="s">
        <v>64</v>
      </c>
      <c r="B41" s="82"/>
      <c r="C41" s="34"/>
      <c r="D41" s="124"/>
      <c r="E41" s="218"/>
      <c r="F41" s="955" t="e">
        <f>(F69*'(参考)保険料の推計に要する係数'!D5+(F91-F92))/(F212*F104*12)</f>
        <v>#DIV/0!</v>
      </c>
      <c r="G41" s="666" t="e">
        <f>(J69*'(参考)保険料の推計に要する係数'!E5+(J91-J92))/(J212*J104*12)</f>
        <v>#DIV/0!</v>
      </c>
      <c r="H41" s="666" t="e">
        <f>(K69*'(参考)保険料の推計に要する係数'!F5+(K91-K92))/(K212*K104*12)</f>
        <v>#DIV/0!</v>
      </c>
      <c r="I41" s="666" t="e">
        <f>(L69*'(参考)保険料の推計に要する係数'!G5+(L91-L92))/(L212*L104*12)</f>
        <v>#DIV/0!</v>
      </c>
      <c r="J41" s="666" t="e">
        <f>(M69*'(参考)保険料の推計に要する係数'!H5+(M91-M92))/(M212*M104*12)</f>
        <v>#DIV/0!</v>
      </c>
      <c r="K41" s="666" t="e">
        <f>(N69*'(参考)保険料の推計に要する係数'!I5+(N91-N92))/(N212*N104*12)</f>
        <v>#DIV/0!</v>
      </c>
      <c r="L41" s="668" t="e">
        <f t="shared" ref="L41:L51" si="8">F41/$F$49</f>
        <v>#DIV/0!</v>
      </c>
      <c r="M41" s="668" t="e">
        <f>G41/$G$49</f>
        <v>#DIV/0!</v>
      </c>
      <c r="N41" s="668" t="e">
        <f>H41/$H$49</f>
        <v>#DIV/0!</v>
      </c>
      <c r="O41" s="668" t="e">
        <f>I41/$I$49</f>
        <v>#DIV/0!</v>
      </c>
      <c r="P41" s="668" t="e">
        <f>J41/$J$49</f>
        <v>#DIV/0!</v>
      </c>
      <c r="Q41" s="912" t="e">
        <f>K41/$K$49</f>
        <v>#DIV/0!</v>
      </c>
    </row>
    <row r="42" spans="1:17">
      <c r="A42" s="82"/>
      <c r="B42" s="35" t="s">
        <v>70</v>
      </c>
      <c r="C42" s="125"/>
      <c r="D42" s="219"/>
      <c r="E42" s="220"/>
      <c r="F42" s="955" t="e">
        <f>$F$41*SUM('2_サービス別給付費'!G147:I147)/SUM('2_サービス別給付費'!$G$146:$I$146)</f>
        <v>#DIV/0!</v>
      </c>
      <c r="G42" s="666" t="e">
        <f>$G$41*SUM('2_サービス別給付費'!J147)/SUM('2_サービス別給付費'!$J$146)</f>
        <v>#DIV/0!</v>
      </c>
      <c r="H42" s="666" t="e">
        <f>$H$41*SUM('2_サービス別給付費'!K147)/SUM('2_サービス別給付費'!$K$146)</f>
        <v>#DIV/0!</v>
      </c>
      <c r="I42" s="666" t="e">
        <f>$I$41*SUM('2_サービス別給付費'!L147)/SUM('2_サービス別給付費'!$L$146)</f>
        <v>#DIV/0!</v>
      </c>
      <c r="J42" s="666" t="e">
        <f>$J$41*SUM('2_サービス別給付費'!M147)/SUM('2_サービス別給付費'!$M$146)</f>
        <v>#DIV/0!</v>
      </c>
      <c r="K42" s="666" t="e">
        <f>$K$41*SUM('2_サービス別給付費'!N147)/SUM('2_サービス別給付費'!$N$146)</f>
        <v>#DIV/0!</v>
      </c>
      <c r="L42" s="668" t="e">
        <f t="shared" si="8"/>
        <v>#DIV/0!</v>
      </c>
      <c r="M42" s="668" t="e">
        <f t="shared" ref="M42:M51" si="9">G42/$G$49</f>
        <v>#DIV/0!</v>
      </c>
      <c r="N42" s="668" t="e">
        <f t="shared" ref="N42:N51" si="10">H42/$H$49</f>
        <v>#DIV/0!</v>
      </c>
      <c r="O42" s="668" t="e">
        <f t="shared" ref="O42:O51" si="11">I42/$I$49</f>
        <v>#DIV/0!</v>
      </c>
      <c r="P42" s="668" t="e">
        <f t="shared" ref="P42:P51" si="12">J42/$J$49</f>
        <v>#DIV/0!</v>
      </c>
      <c r="Q42" s="912" t="e">
        <f t="shared" ref="Q42:Q51" si="13">K42/$K$49</f>
        <v>#DIV/0!</v>
      </c>
    </row>
    <row r="43" spans="1:17">
      <c r="A43" s="82"/>
      <c r="B43" s="35" t="s">
        <v>81</v>
      </c>
      <c r="C43" s="125"/>
      <c r="D43" s="219"/>
      <c r="E43" s="220"/>
      <c r="F43" s="955" t="e">
        <f>$F$41*SUM('2_サービス別給付費'!G148:I148)/SUM('2_サービス別給付費'!$G$146:$I$146)</f>
        <v>#DIV/0!</v>
      </c>
      <c r="G43" s="666" t="e">
        <f>$G$41*SUM('2_サービス別給付費'!J148)/SUM('2_サービス別給付費'!$J$146)</f>
        <v>#DIV/0!</v>
      </c>
      <c r="H43" s="666" t="e">
        <f>$H$41*SUM('2_サービス別給付費'!K148)/SUM('2_サービス別給付費'!$K$146)</f>
        <v>#DIV/0!</v>
      </c>
      <c r="I43" s="666" t="e">
        <f>$I$41*SUM('2_サービス別給付費'!L148)/SUM('2_サービス別給付費'!$L$146)</f>
        <v>#DIV/0!</v>
      </c>
      <c r="J43" s="666" t="e">
        <f>$J$41*SUM('2_サービス別給付費'!M148)/SUM('2_サービス別給付費'!$M$146)</f>
        <v>#DIV/0!</v>
      </c>
      <c r="K43" s="666" t="e">
        <f>$K$41*SUM('2_サービス別給付費'!N148)/SUM('2_サービス別給付費'!$N$146)</f>
        <v>#DIV/0!</v>
      </c>
      <c r="L43" s="668" t="e">
        <f t="shared" si="8"/>
        <v>#DIV/0!</v>
      </c>
      <c r="M43" s="668" t="e">
        <f t="shared" si="9"/>
        <v>#DIV/0!</v>
      </c>
      <c r="N43" s="668" t="e">
        <f t="shared" si="10"/>
        <v>#DIV/0!</v>
      </c>
      <c r="O43" s="668" t="e">
        <f t="shared" si="11"/>
        <v>#DIV/0!</v>
      </c>
      <c r="P43" s="668" t="e">
        <f t="shared" si="12"/>
        <v>#DIV/0!</v>
      </c>
      <c r="Q43" s="912" t="e">
        <f t="shared" si="13"/>
        <v>#DIV/0!</v>
      </c>
    </row>
    <row r="44" spans="1:17">
      <c r="A44" s="82"/>
      <c r="B44" s="35" t="s">
        <v>71</v>
      </c>
      <c r="C44" s="124"/>
      <c r="D44" s="221"/>
      <c r="E44" s="218"/>
      <c r="F44" s="955" t="e">
        <f>$F$41*SUM('2_サービス別給付費'!G149:I149)/SUM('2_サービス別給付費'!$G$146:$I$146)</f>
        <v>#DIV/0!</v>
      </c>
      <c r="G44" s="666" t="e">
        <f>$G$41*SUM('2_サービス別給付費'!J149)/SUM('2_サービス別給付費'!$J$146)</f>
        <v>#DIV/0!</v>
      </c>
      <c r="H44" s="666" t="e">
        <f>$H$41*SUM('2_サービス別給付費'!K149)/SUM('2_サービス別給付費'!$K$146)</f>
        <v>#DIV/0!</v>
      </c>
      <c r="I44" s="666" t="e">
        <f>$I$41*SUM('2_サービス別給付費'!L149)/SUM('2_サービス別給付費'!$L$146)</f>
        <v>#DIV/0!</v>
      </c>
      <c r="J44" s="666" t="e">
        <f>$J$41*SUM('2_サービス別給付費'!M149)/SUM('2_サービス別給付費'!$M$146)</f>
        <v>#DIV/0!</v>
      </c>
      <c r="K44" s="666" t="e">
        <f>$K$41*SUM('2_サービス別給付費'!N149)/SUM('2_サービス別給付費'!$N$146)</f>
        <v>#DIV/0!</v>
      </c>
      <c r="L44" s="668" t="e">
        <f t="shared" si="8"/>
        <v>#DIV/0!</v>
      </c>
      <c r="M44" s="668" t="e">
        <f t="shared" si="9"/>
        <v>#DIV/0!</v>
      </c>
      <c r="N44" s="668" t="e">
        <f t="shared" si="10"/>
        <v>#DIV/0!</v>
      </c>
      <c r="O44" s="668" t="e">
        <f t="shared" si="11"/>
        <v>#DIV/0!</v>
      </c>
      <c r="P44" s="668" t="e">
        <f t="shared" si="12"/>
        <v>#DIV/0!</v>
      </c>
      <c r="Q44" s="912" t="e">
        <f t="shared" si="13"/>
        <v>#DIV/0!</v>
      </c>
    </row>
    <row r="45" spans="1:17">
      <c r="A45" s="126" t="s">
        <v>82</v>
      </c>
      <c r="B45" s="126"/>
      <c r="C45" s="125"/>
      <c r="D45" s="219"/>
      <c r="E45" s="220"/>
      <c r="F45" s="955" t="e">
        <f>((F75+F78+F81+F82)*'(参考)保険料の推計に要する係数'!D5+F85)/(F212*F104*12)</f>
        <v>#DIV/0!</v>
      </c>
      <c r="G45" s="666" t="e">
        <f>((J75+J78+J81+J82)*'(参考)保険料の推計に要する係数'!E5+J85)/(J212*J104*12)</f>
        <v>#DIV/0!</v>
      </c>
      <c r="H45" s="666" t="e">
        <f>((K75+K78+K81+K82)*'(参考)保険料の推計に要する係数'!F5+K85)/(K212*K104*12)</f>
        <v>#DIV/0!</v>
      </c>
      <c r="I45" s="666" t="e">
        <f>((L75+L78+L81+L82)*'(参考)保険料の推計に要する係数'!G5+L85)/(L212*L104*12)</f>
        <v>#DIV/0!</v>
      </c>
      <c r="J45" s="666" t="e">
        <f>((M75+M78+M81+M82)*'(参考)保険料の推計に要する係数'!H5+M85)/(M212*M104*12)</f>
        <v>#DIV/0!</v>
      </c>
      <c r="K45" s="666" t="e">
        <f>((N75+N78+N81+N82)*'(参考)保険料の推計に要する係数'!I5+N85)/(N212*N104*12)</f>
        <v>#DIV/0!</v>
      </c>
      <c r="L45" s="668" t="e">
        <f t="shared" si="8"/>
        <v>#DIV/0!</v>
      </c>
      <c r="M45" s="668" t="e">
        <f t="shared" si="9"/>
        <v>#DIV/0!</v>
      </c>
      <c r="N45" s="668" t="e">
        <f t="shared" si="10"/>
        <v>#DIV/0!</v>
      </c>
      <c r="O45" s="668" t="e">
        <f t="shared" si="11"/>
        <v>#DIV/0!</v>
      </c>
      <c r="P45" s="668" t="e">
        <f t="shared" si="12"/>
        <v>#DIV/0!</v>
      </c>
      <c r="Q45" s="912" t="e">
        <f t="shared" si="13"/>
        <v>#DIV/0!</v>
      </c>
    </row>
    <row r="46" spans="1:17">
      <c r="A46" s="126" t="s">
        <v>83</v>
      </c>
      <c r="B46" s="222"/>
      <c r="C46" s="219"/>
      <c r="D46" s="219"/>
      <c r="E46" s="220"/>
      <c r="F46" s="955" t="e">
        <f>F86*'(参考)保険料の推計に要する係数'!D5/(F212*F104*12)</f>
        <v>#DIV/0!</v>
      </c>
      <c r="G46" s="666" t="e">
        <f>J86*'(参考)保険料の推計に要する係数'!E5/(J212*J104*12)</f>
        <v>#DIV/0!</v>
      </c>
      <c r="H46" s="666" t="e">
        <f>K86*'(参考)保険料の推計に要する係数'!F5/(K212*K104*12)</f>
        <v>#DIV/0!</v>
      </c>
      <c r="I46" s="666" t="e">
        <f>L86*'(参考)保険料の推計に要する係数'!G5/(L212*L104*12)</f>
        <v>#DIV/0!</v>
      </c>
      <c r="J46" s="666" t="e">
        <f>M86*'(参考)保険料の推計に要する係数'!H5/(M212*M104*12)</f>
        <v>#DIV/0!</v>
      </c>
      <c r="K46" s="666" t="e">
        <f>N86*'(参考)保険料の推計に要する係数'!I5/(N212*N104*12)</f>
        <v>#DIV/0!</v>
      </c>
      <c r="L46" s="668" t="e">
        <f t="shared" si="8"/>
        <v>#DIV/0!</v>
      </c>
      <c r="M46" s="668" t="e">
        <f t="shared" si="9"/>
        <v>#DIV/0!</v>
      </c>
      <c r="N46" s="668" t="e">
        <f t="shared" si="10"/>
        <v>#DIV/0!</v>
      </c>
      <c r="O46" s="668" t="e">
        <f t="shared" si="11"/>
        <v>#DIV/0!</v>
      </c>
      <c r="P46" s="668" t="e">
        <f t="shared" si="12"/>
        <v>#DIV/0!</v>
      </c>
      <c r="Q46" s="912" t="e">
        <f t="shared" si="13"/>
        <v>#DIV/0!</v>
      </c>
    </row>
    <row r="47" spans="1:17">
      <c r="A47" s="126" t="s">
        <v>84</v>
      </c>
      <c r="B47" s="222"/>
      <c r="C47" s="219"/>
      <c r="D47" s="219"/>
      <c r="E47" s="220"/>
      <c r="F47" s="955" t="e">
        <f>(F18+F21)/(F212*F104*12)</f>
        <v>#DIV/0!</v>
      </c>
      <c r="G47" s="666" t="e">
        <f>(G18+G21)/(J212*J104*12)</f>
        <v>#DIV/0!</v>
      </c>
      <c r="H47" s="666" t="e">
        <f>(H18+H21)/(K212*K104*12)</f>
        <v>#DIV/0!</v>
      </c>
      <c r="I47" s="666" t="e">
        <f>(I18+I21)/(L212*L104*12)</f>
        <v>#DIV/0!</v>
      </c>
      <c r="J47" s="666" t="e">
        <f>(J18+J21)/(M212*M104*12)</f>
        <v>#DIV/0!</v>
      </c>
      <c r="K47" s="666" t="e">
        <f>(K18+K21)/(N212*N104*12)</f>
        <v>#DIV/0!</v>
      </c>
      <c r="L47" s="668" t="e">
        <f t="shared" si="8"/>
        <v>#DIV/0!</v>
      </c>
      <c r="M47" s="668" t="e">
        <f t="shared" si="9"/>
        <v>#DIV/0!</v>
      </c>
      <c r="N47" s="668" t="e">
        <f t="shared" si="10"/>
        <v>#DIV/0!</v>
      </c>
      <c r="O47" s="668" t="e">
        <f t="shared" si="11"/>
        <v>#DIV/0!</v>
      </c>
      <c r="P47" s="668" t="e">
        <f t="shared" si="12"/>
        <v>#DIV/0!</v>
      </c>
      <c r="Q47" s="912" t="e">
        <f t="shared" si="13"/>
        <v>#DIV/0!</v>
      </c>
    </row>
    <row r="48" spans="1:17">
      <c r="A48" s="126" t="s">
        <v>85</v>
      </c>
      <c r="B48" s="126"/>
      <c r="C48" s="125"/>
      <c r="D48" s="125"/>
      <c r="E48" s="220"/>
      <c r="F48" s="955" t="e">
        <f>(F100+F101-F102)/(F212*F104*12)</f>
        <v>#DIV/0!</v>
      </c>
      <c r="G48" s="666" t="e">
        <f>(J100+J101-J102)/(J212*J104*12)</f>
        <v>#DIV/0!</v>
      </c>
      <c r="H48" s="666" t="e">
        <f>(K100+K101-K102)/(K212*K104*12)</f>
        <v>#DIV/0!</v>
      </c>
      <c r="I48" s="666" t="e">
        <f>(L100+L101-L102)/(L212*L104*12)</f>
        <v>#DIV/0!</v>
      </c>
      <c r="J48" s="666" t="e">
        <f>(M100+M101-M102)/(M212*M104*12)</f>
        <v>#DIV/0!</v>
      </c>
      <c r="K48" s="666" t="e">
        <f>(N100+N101-N102)/(N212*N104*12)</f>
        <v>#DIV/0!</v>
      </c>
      <c r="L48" s="668" t="e">
        <f t="shared" si="8"/>
        <v>#DIV/0!</v>
      </c>
      <c r="M48" s="668" t="e">
        <f t="shared" si="9"/>
        <v>#DIV/0!</v>
      </c>
      <c r="N48" s="668" t="e">
        <f t="shared" si="10"/>
        <v>#DIV/0!</v>
      </c>
      <c r="O48" s="668" t="e">
        <f t="shared" si="11"/>
        <v>#DIV/0!</v>
      </c>
      <c r="P48" s="668" t="e">
        <f t="shared" si="12"/>
        <v>#DIV/0!</v>
      </c>
      <c r="Q48" s="912" t="e">
        <f t="shared" si="13"/>
        <v>#DIV/0!</v>
      </c>
    </row>
    <row r="49" spans="1:17">
      <c r="A49" s="126" t="s">
        <v>86</v>
      </c>
      <c r="B49" s="126"/>
      <c r="C49" s="125"/>
      <c r="D49" s="125"/>
      <c r="E49" s="220"/>
      <c r="F49" s="955" t="e">
        <f>F41+SUM(F45:F48)</f>
        <v>#DIV/0!</v>
      </c>
      <c r="G49" s="666" t="e">
        <f>G41+SUM(G45:G48)</f>
        <v>#DIV/0!</v>
      </c>
      <c r="H49" s="666" t="e">
        <f t="shared" ref="H49:K49" si="14">H41+SUM(H45:H48)</f>
        <v>#DIV/0!</v>
      </c>
      <c r="I49" s="666" t="e">
        <f t="shared" si="14"/>
        <v>#DIV/0!</v>
      </c>
      <c r="J49" s="666" t="e">
        <f t="shared" si="14"/>
        <v>#DIV/0!</v>
      </c>
      <c r="K49" s="666" t="e">
        <f t="shared" si="14"/>
        <v>#DIV/0!</v>
      </c>
      <c r="L49" s="668" t="e">
        <f t="shared" si="8"/>
        <v>#DIV/0!</v>
      </c>
      <c r="M49" s="668" t="e">
        <f t="shared" si="9"/>
        <v>#DIV/0!</v>
      </c>
      <c r="N49" s="668" t="e">
        <f t="shared" si="10"/>
        <v>#DIV/0!</v>
      </c>
      <c r="O49" s="668" t="e">
        <f t="shared" si="11"/>
        <v>#DIV/0!</v>
      </c>
      <c r="P49" s="668" t="e">
        <f t="shared" si="12"/>
        <v>#DIV/0!</v>
      </c>
      <c r="Q49" s="912" t="e">
        <f t="shared" si="13"/>
        <v>#DIV/0!</v>
      </c>
    </row>
    <row r="50" spans="1:17">
      <c r="A50" s="126" t="s">
        <v>87</v>
      </c>
      <c r="B50" s="222"/>
      <c r="C50" s="219"/>
      <c r="D50" s="219"/>
      <c r="E50" s="220"/>
      <c r="F50" s="955" t="e">
        <f>F15/(F212*F104*12)</f>
        <v>#DIV/0!</v>
      </c>
      <c r="G50" s="666" t="e">
        <f>G15/(J212*J104*12)</f>
        <v>#DIV/0!</v>
      </c>
      <c r="H50" s="666" t="e">
        <f>H15/(K212*K104*12)</f>
        <v>#DIV/0!</v>
      </c>
      <c r="I50" s="666" t="e">
        <f>I15/(L212*L104*12)</f>
        <v>#DIV/0!</v>
      </c>
      <c r="J50" s="666" t="e">
        <f>J15/(M212*M104*12)</f>
        <v>#DIV/0!</v>
      </c>
      <c r="K50" s="666" t="e">
        <f>K15/(N212*N104*12)</f>
        <v>#DIV/0!</v>
      </c>
      <c r="L50" s="668" t="e">
        <f t="shared" si="8"/>
        <v>#DIV/0!</v>
      </c>
      <c r="M50" s="668" t="e">
        <f t="shared" si="9"/>
        <v>#DIV/0!</v>
      </c>
      <c r="N50" s="668" t="e">
        <f t="shared" si="10"/>
        <v>#DIV/0!</v>
      </c>
      <c r="O50" s="668" t="e">
        <f t="shared" si="11"/>
        <v>#DIV/0!</v>
      </c>
      <c r="P50" s="668" t="e">
        <f t="shared" si="12"/>
        <v>#DIV/0!</v>
      </c>
      <c r="Q50" s="912" t="e">
        <f t="shared" si="13"/>
        <v>#DIV/0!</v>
      </c>
    </row>
    <row r="51" spans="1:17" ht="14.25" thickBot="1">
      <c r="A51" s="127" t="s">
        <v>147</v>
      </c>
      <c r="B51" s="127"/>
      <c r="C51" s="128"/>
      <c r="D51" s="128"/>
      <c r="E51" s="223"/>
      <c r="F51" s="621" t="e">
        <f>F49-F50</f>
        <v>#DIV/0!</v>
      </c>
      <c r="G51" s="667" t="e">
        <f>G49-G50</f>
        <v>#DIV/0!</v>
      </c>
      <c r="H51" s="667" t="e">
        <f t="shared" ref="H51:K51" si="15">H49-H50</f>
        <v>#DIV/0!</v>
      </c>
      <c r="I51" s="667" t="e">
        <f t="shared" si="15"/>
        <v>#DIV/0!</v>
      </c>
      <c r="J51" s="667" t="e">
        <f t="shared" si="15"/>
        <v>#DIV/0!</v>
      </c>
      <c r="K51" s="667" t="e">
        <f t="shared" si="15"/>
        <v>#DIV/0!</v>
      </c>
      <c r="L51" s="671" t="e">
        <f t="shared" si="8"/>
        <v>#DIV/0!</v>
      </c>
      <c r="M51" s="671" t="e">
        <f t="shared" si="9"/>
        <v>#DIV/0!</v>
      </c>
      <c r="N51" s="671" t="e">
        <f t="shared" si="10"/>
        <v>#DIV/0!</v>
      </c>
      <c r="O51" s="671" t="e">
        <f t="shared" si="11"/>
        <v>#DIV/0!</v>
      </c>
      <c r="P51" s="671" t="e">
        <f t="shared" si="12"/>
        <v>#DIV/0!</v>
      </c>
      <c r="Q51" s="913" t="e">
        <f t="shared" si="13"/>
        <v>#DIV/0!</v>
      </c>
    </row>
    <row r="52" spans="1:17">
      <c r="A52" s="224" t="s">
        <v>148</v>
      </c>
      <c r="B52" s="225"/>
      <c r="C52" s="225"/>
      <c r="D52" s="225"/>
      <c r="E52" s="214"/>
      <c r="F52" s="672"/>
      <c r="G52" s="225"/>
      <c r="H52" s="787"/>
      <c r="I52" s="787"/>
      <c r="J52" s="787"/>
      <c r="K52" s="787"/>
      <c r="L52" s="225"/>
      <c r="M52" s="225"/>
      <c r="N52" s="787"/>
      <c r="O52" s="787"/>
      <c r="P52" s="787"/>
      <c r="Q52" s="788"/>
    </row>
    <row r="53" spans="1:17">
      <c r="A53" s="82" t="s">
        <v>64</v>
      </c>
      <c r="B53" s="82"/>
      <c r="C53" s="34"/>
      <c r="D53" s="124"/>
      <c r="E53" s="218"/>
      <c r="F53" s="620" t="str">
        <f>IFERROR((F69*'(参考)保険料の推計に要する係数'!D5+(F91-F92))/(F213*F104*12),"－")</f>
        <v>－</v>
      </c>
      <c r="G53" s="666" t="str">
        <f>IFERROR((J69*'(参考)保険料の推計に要する係数'!E5+(J91-J92))/(J213*J104*12),"－")</f>
        <v>－</v>
      </c>
      <c r="H53" s="666" t="str">
        <f>IFERROR((K69*'(参考)保険料の推計に要する係数'!F5+(K91-K92))/(K213*K104*12),"－")</f>
        <v>－</v>
      </c>
      <c r="I53" s="666" t="str">
        <f>IFERROR((L69*'(参考)保険料の推計に要する係数'!G5+(L91-L92))/(L213*L104*12),"－")</f>
        <v>－</v>
      </c>
      <c r="J53" s="666" t="str">
        <f>IFERROR((M69*'(参考)保険料の推計に要する係数'!H5+(M91-M92))/(M213*M104*12),"－")</f>
        <v>－</v>
      </c>
      <c r="K53" s="783" t="str">
        <f>IFERROR((N69*'(参考)保険料の推計に要する係数'!I5+(N91-N92))/(N213*N104*12),"－")</f>
        <v>－</v>
      </c>
      <c r="L53" s="668" t="str">
        <f t="shared" ref="L53:L63" si="16">IFERROR(F53/$F$61,"－")</f>
        <v>－</v>
      </c>
      <c r="M53" s="669" t="str">
        <f t="shared" ref="M53:M63" si="17">IFERROR(G53/$G$61,"－")</f>
        <v>－</v>
      </c>
      <c r="N53" s="669" t="str">
        <f t="shared" ref="N53:N63" si="18">IFERROR(H53/$H$61,"－")</f>
        <v>－</v>
      </c>
      <c r="O53" s="669" t="str">
        <f t="shared" ref="O53:O63" si="19">IFERROR(I53/$I$61,"－")</f>
        <v>－</v>
      </c>
      <c r="P53" s="874" t="str">
        <f>IFERROR(J53/$J$61,"－")</f>
        <v>－</v>
      </c>
      <c r="Q53" s="784" t="str">
        <f t="shared" ref="Q53:Q63" si="20">IFERROR(K53/$K$61,"－")</f>
        <v>－</v>
      </c>
    </row>
    <row r="54" spans="1:17">
      <c r="A54" s="82"/>
      <c r="B54" s="35" t="s">
        <v>70</v>
      </c>
      <c r="C54" s="125"/>
      <c r="D54" s="219"/>
      <c r="E54" s="220"/>
      <c r="F54" s="620" t="str">
        <f>IFERROR($F$53*SUM('2_サービス別給付費'!G147:I147)/SUM('2_サービス別給付費'!$G$146:$I$146),"－")</f>
        <v>－</v>
      </c>
      <c r="G54" s="666" t="str">
        <f>IFERROR(G53*SUM('2_サービス別給付費'!J147)/SUM('2_サービス別給付費'!J146),"－")</f>
        <v>－</v>
      </c>
      <c r="H54" s="666" t="str">
        <f>IFERROR(H53*SUM('2_サービス別給付費'!K147)/SUM('2_サービス別給付費'!K146),"－")</f>
        <v>－</v>
      </c>
      <c r="I54" s="666" t="str">
        <f>IFERROR(I53*SUM('2_サービス別給付費'!L147)/SUM('2_サービス別給付費'!L146),"－")</f>
        <v>－</v>
      </c>
      <c r="J54" s="666" t="str">
        <f>IFERROR(J53*SUM('2_サービス別給付費'!M147)/SUM('2_サービス別給付費'!M146),"－")</f>
        <v>－</v>
      </c>
      <c r="K54" s="783" t="str">
        <f>IFERROR(K53*SUM('2_サービス別給付費'!N147)/SUM('2_サービス別給付費'!N146),"－")</f>
        <v>－</v>
      </c>
      <c r="L54" s="668" t="str">
        <f t="shared" si="16"/>
        <v>－</v>
      </c>
      <c r="M54" s="669" t="str">
        <f t="shared" si="17"/>
        <v>－</v>
      </c>
      <c r="N54" s="669" t="str">
        <f t="shared" si="18"/>
        <v>－</v>
      </c>
      <c r="O54" s="669" t="str">
        <f t="shared" si="19"/>
        <v>－</v>
      </c>
      <c r="P54" s="874" t="str">
        <f t="shared" ref="P54:P63" si="21">IFERROR(J54/$J$61,"－")</f>
        <v>－</v>
      </c>
      <c r="Q54" s="784" t="str">
        <f t="shared" si="20"/>
        <v>－</v>
      </c>
    </row>
    <row r="55" spans="1:17">
      <c r="A55" s="82"/>
      <c r="B55" s="35" t="s">
        <v>81</v>
      </c>
      <c r="C55" s="125"/>
      <c r="D55" s="219"/>
      <c r="E55" s="220"/>
      <c r="F55" s="620" t="str">
        <f>IFERROR($F$53*SUM('2_サービス別給付費'!G148:I148)/SUM('2_サービス別給付費'!$G$146:$I$146),"－")</f>
        <v>－</v>
      </c>
      <c r="G55" s="666" t="str">
        <f>IFERROR(G53*SUM('2_サービス別給付費'!J148)/SUM('2_サービス別給付費'!J146),"－")</f>
        <v>－</v>
      </c>
      <c r="H55" s="666" t="str">
        <f>IFERROR(H53*SUM('2_サービス別給付費'!K148)/SUM('2_サービス別給付費'!K146),"－")</f>
        <v>－</v>
      </c>
      <c r="I55" s="666" t="str">
        <f>IFERROR(I53*SUM('2_サービス別給付費'!L148)/SUM('2_サービス別給付費'!L146),"－")</f>
        <v>－</v>
      </c>
      <c r="J55" s="666" t="str">
        <f>IFERROR(J53*SUM('2_サービス別給付費'!M148)/SUM('2_サービス別給付費'!M146),"－")</f>
        <v>－</v>
      </c>
      <c r="K55" s="783" t="str">
        <f>IFERROR(K53*SUM('2_サービス別給付費'!N148)/SUM('2_サービス別給付費'!N146),"－")</f>
        <v>－</v>
      </c>
      <c r="L55" s="668" t="str">
        <f t="shared" si="16"/>
        <v>－</v>
      </c>
      <c r="M55" s="669" t="str">
        <f t="shared" si="17"/>
        <v>－</v>
      </c>
      <c r="N55" s="669" t="str">
        <f t="shared" si="18"/>
        <v>－</v>
      </c>
      <c r="O55" s="669" t="str">
        <f t="shared" si="19"/>
        <v>－</v>
      </c>
      <c r="P55" s="874" t="str">
        <f t="shared" si="21"/>
        <v>－</v>
      </c>
      <c r="Q55" s="784" t="str">
        <f t="shared" si="20"/>
        <v>－</v>
      </c>
    </row>
    <row r="56" spans="1:17">
      <c r="A56" s="82"/>
      <c r="B56" s="35" t="s">
        <v>71</v>
      </c>
      <c r="C56" s="124"/>
      <c r="D56" s="221"/>
      <c r="E56" s="218"/>
      <c r="F56" s="620" t="str">
        <f>IFERROR($F$53*SUM('2_サービス別給付費'!G149:I149)/SUM('2_サービス別給付費'!$G$146:$I$146),"－")</f>
        <v>－</v>
      </c>
      <c r="G56" s="666" t="str">
        <f>IFERROR(G53*SUM('2_サービス別給付費'!J149)/SUM('2_サービス別給付費'!J146),"－")</f>
        <v>－</v>
      </c>
      <c r="H56" s="666" t="str">
        <f>IFERROR(H53*SUM('2_サービス別給付費'!K149)/SUM('2_サービス別給付費'!K146),"－")</f>
        <v>－</v>
      </c>
      <c r="I56" s="666" t="str">
        <f>IFERROR(I53*SUM('2_サービス別給付費'!L149)/SUM('2_サービス別給付費'!L146),"－")</f>
        <v>－</v>
      </c>
      <c r="J56" s="666" t="str">
        <f>IFERROR(J53*SUM('2_サービス別給付費'!M149)/SUM('2_サービス別給付費'!M146),"－")</f>
        <v>－</v>
      </c>
      <c r="K56" s="783" t="str">
        <f>IFERROR(K53*SUM('2_サービス別給付費'!N149)/SUM('2_サービス別給付費'!N146),"－")</f>
        <v>－</v>
      </c>
      <c r="L56" s="668" t="str">
        <f t="shared" si="16"/>
        <v>－</v>
      </c>
      <c r="M56" s="669" t="str">
        <f t="shared" si="17"/>
        <v>－</v>
      </c>
      <c r="N56" s="669" t="str">
        <f t="shared" si="18"/>
        <v>－</v>
      </c>
      <c r="O56" s="669" t="str">
        <f t="shared" si="19"/>
        <v>－</v>
      </c>
      <c r="P56" s="874" t="str">
        <f t="shared" si="21"/>
        <v>－</v>
      </c>
      <c r="Q56" s="784" t="str">
        <f t="shared" si="20"/>
        <v>－</v>
      </c>
    </row>
    <row r="57" spans="1:17">
      <c r="A57" s="126" t="s">
        <v>82</v>
      </c>
      <c r="B57" s="126"/>
      <c r="C57" s="125"/>
      <c r="D57" s="219"/>
      <c r="E57" s="220"/>
      <c r="F57" s="620" t="str">
        <f>IFERROR(((F75+F78+F81+F82)*'(参考)保険料の推計に要する係数'!D5+F85)/(F213*F104*12),"－")</f>
        <v>－</v>
      </c>
      <c r="G57" s="666" t="str">
        <f>IFERROR(((J75+J78+J81+J82)*'(参考)保険料の推計に要する係数'!E5+J85)/(J213*J104*12),"－")</f>
        <v>－</v>
      </c>
      <c r="H57" s="666" t="str">
        <f>IFERROR(((K75+K78+K81+K82)*'(参考)保険料の推計に要する係数'!F5+K85)/(K213*K104*12),"－")</f>
        <v>－</v>
      </c>
      <c r="I57" s="666" t="str">
        <f>IFERROR(((L75+L78+L81+L82)*'(参考)保険料の推計に要する係数'!G5+L85)/(L213*L104*12),"－")</f>
        <v>－</v>
      </c>
      <c r="J57" s="666" t="str">
        <f>IFERROR(((M75+M78+M81+M82)*'(参考)保険料の推計に要する係数'!H5+M85)/(M213*M104*12),"－")</f>
        <v>－</v>
      </c>
      <c r="K57" s="783" t="str">
        <f>IFERROR(((N75+N78+N81+N82)*'(参考)保険料の推計に要する係数'!I5+N85)/(N213*N104*12),"－")</f>
        <v>－</v>
      </c>
      <c r="L57" s="668" t="str">
        <f t="shared" si="16"/>
        <v>－</v>
      </c>
      <c r="M57" s="669" t="str">
        <f t="shared" si="17"/>
        <v>－</v>
      </c>
      <c r="N57" s="669" t="str">
        <f t="shared" si="18"/>
        <v>－</v>
      </c>
      <c r="O57" s="669" t="str">
        <f t="shared" si="19"/>
        <v>－</v>
      </c>
      <c r="P57" s="874" t="str">
        <f t="shared" si="21"/>
        <v>－</v>
      </c>
      <c r="Q57" s="784" t="str">
        <f t="shared" si="20"/>
        <v>－</v>
      </c>
    </row>
    <row r="58" spans="1:17">
      <c r="A58" s="126" t="s">
        <v>83</v>
      </c>
      <c r="B58" s="222"/>
      <c r="C58" s="219"/>
      <c r="D58" s="219"/>
      <c r="E58" s="220"/>
      <c r="F58" s="620" t="str">
        <f>IFERROR(F86*'(参考)保険料の推計に要する係数'!D5/(F213*F104*12),"－")</f>
        <v>－</v>
      </c>
      <c r="G58" s="666" t="str">
        <f>IFERROR(J86*'(参考)保険料の推計に要する係数'!E5/(J213*J104*12),"－")</f>
        <v>－</v>
      </c>
      <c r="H58" s="666" t="str">
        <f>IFERROR(K86*'(参考)保険料の推計に要する係数'!F5/(K213*K104*12),"－")</f>
        <v>－</v>
      </c>
      <c r="I58" s="666" t="str">
        <f>IFERROR(L86*'(参考)保険料の推計に要する係数'!G5/(L213*L104*12),"－")</f>
        <v>－</v>
      </c>
      <c r="J58" s="666" t="str">
        <f>IFERROR(M86*'(参考)保険料の推計に要する係数'!H5/(M213*M104*12),"－")</f>
        <v>－</v>
      </c>
      <c r="K58" s="783" t="str">
        <f>IFERROR(N86*'(参考)保険料の推計に要する係数'!I5/(N213*N104*12),"－")</f>
        <v>－</v>
      </c>
      <c r="L58" s="668" t="str">
        <f t="shared" si="16"/>
        <v>－</v>
      </c>
      <c r="M58" s="669" t="str">
        <f t="shared" si="17"/>
        <v>－</v>
      </c>
      <c r="N58" s="669" t="str">
        <f t="shared" si="18"/>
        <v>－</v>
      </c>
      <c r="O58" s="669" t="str">
        <f t="shared" si="19"/>
        <v>－</v>
      </c>
      <c r="P58" s="874" t="str">
        <f t="shared" si="21"/>
        <v>－</v>
      </c>
      <c r="Q58" s="784" t="str">
        <f t="shared" si="20"/>
        <v>－</v>
      </c>
    </row>
    <row r="59" spans="1:17">
      <c r="A59" s="126" t="s">
        <v>84</v>
      </c>
      <c r="B59" s="222"/>
      <c r="C59" s="219"/>
      <c r="D59" s="219"/>
      <c r="E59" s="220"/>
      <c r="F59" s="620" t="str">
        <f>IFERROR((F18+F21)/(F213*F104*12),"－")</f>
        <v>－</v>
      </c>
      <c r="G59" s="666" t="str">
        <f>IFERROR((G18+G21)/(J213*J104*12),"－")</f>
        <v>－</v>
      </c>
      <c r="H59" s="666" t="str">
        <f>IFERROR((H18+H21)/(K213*K104*12),"－")</f>
        <v>－</v>
      </c>
      <c r="I59" s="666" t="str">
        <f>IFERROR((I18+I21)/(L213*L104*12),"－")</f>
        <v>－</v>
      </c>
      <c r="J59" s="666" t="str">
        <f>IFERROR((J18+J21)/(M213*M104*12),"－")</f>
        <v>－</v>
      </c>
      <c r="K59" s="783" t="str">
        <f>IFERROR((K18+K21)/(N213*N104*12),"－")</f>
        <v>－</v>
      </c>
      <c r="L59" s="668" t="str">
        <f t="shared" si="16"/>
        <v>－</v>
      </c>
      <c r="M59" s="669" t="str">
        <f t="shared" si="17"/>
        <v>－</v>
      </c>
      <c r="N59" s="669" t="str">
        <f t="shared" si="18"/>
        <v>－</v>
      </c>
      <c r="O59" s="669" t="str">
        <f t="shared" si="19"/>
        <v>－</v>
      </c>
      <c r="P59" s="874" t="str">
        <f t="shared" si="21"/>
        <v>－</v>
      </c>
      <c r="Q59" s="784" t="str">
        <f t="shared" si="20"/>
        <v>－</v>
      </c>
    </row>
    <row r="60" spans="1:17">
      <c r="A60" s="126" t="s">
        <v>85</v>
      </c>
      <c r="B60" s="126"/>
      <c r="C60" s="125"/>
      <c r="D60" s="125"/>
      <c r="E60" s="220"/>
      <c r="F60" s="620" t="str">
        <f>IFERROR((F100+F101-F102)/(F213*F104*12),"－")</f>
        <v>－</v>
      </c>
      <c r="G60" s="666" t="str">
        <f>IFERROR((J100+J101-J102)/(J213*J104*12),"－")</f>
        <v>－</v>
      </c>
      <c r="H60" s="666" t="str">
        <f>IFERROR((K100+K101-K102)/(K213*K104*12),"－")</f>
        <v>－</v>
      </c>
      <c r="I60" s="666" t="str">
        <f>IFERROR((L100+L101-L102)/(L213*L104*12),"－")</f>
        <v>－</v>
      </c>
      <c r="J60" s="666" t="str">
        <f>IFERROR((M100+M101-M102)/(M213*M104*12),"－")</f>
        <v>－</v>
      </c>
      <c r="K60" s="783" t="str">
        <f>IFERROR((N100+N101-N102)/(N213*N104*12),"－")</f>
        <v>－</v>
      </c>
      <c r="L60" s="668" t="str">
        <f t="shared" si="16"/>
        <v>－</v>
      </c>
      <c r="M60" s="669" t="str">
        <f t="shared" si="17"/>
        <v>－</v>
      </c>
      <c r="N60" s="669" t="str">
        <f t="shared" si="18"/>
        <v>－</v>
      </c>
      <c r="O60" s="669" t="str">
        <f t="shared" si="19"/>
        <v>－</v>
      </c>
      <c r="P60" s="874" t="str">
        <f t="shared" si="21"/>
        <v>－</v>
      </c>
      <c r="Q60" s="784" t="str">
        <f t="shared" si="20"/>
        <v>－</v>
      </c>
    </row>
    <row r="61" spans="1:17">
      <c r="A61" s="126" t="s">
        <v>86</v>
      </c>
      <c r="B61" s="126"/>
      <c r="C61" s="125"/>
      <c r="D61" s="125"/>
      <c r="E61" s="220"/>
      <c r="F61" s="620" t="str">
        <f>IFERROR(F53+SUM(F57:F60),"－")</f>
        <v>－</v>
      </c>
      <c r="G61" s="666" t="str">
        <f>IFERROR(G53+SUM(G57:G60),"－")</f>
        <v>－</v>
      </c>
      <c r="H61" s="666" t="str">
        <f t="shared" ref="H61:K61" si="22">IFERROR(H53+SUM(H57:H60),"－")</f>
        <v>－</v>
      </c>
      <c r="I61" s="666" t="str">
        <f t="shared" si="22"/>
        <v>－</v>
      </c>
      <c r="J61" s="666" t="str">
        <f t="shared" si="22"/>
        <v>－</v>
      </c>
      <c r="K61" s="783" t="str">
        <f t="shared" si="22"/>
        <v>－</v>
      </c>
      <c r="L61" s="668" t="str">
        <f t="shared" si="16"/>
        <v>－</v>
      </c>
      <c r="M61" s="669" t="str">
        <f t="shared" si="17"/>
        <v>－</v>
      </c>
      <c r="N61" s="669" t="str">
        <f t="shared" si="18"/>
        <v>－</v>
      </c>
      <c r="O61" s="669" t="str">
        <f t="shared" si="19"/>
        <v>－</v>
      </c>
      <c r="P61" s="874" t="str">
        <f t="shared" si="21"/>
        <v>－</v>
      </c>
      <c r="Q61" s="784" t="str">
        <f t="shared" si="20"/>
        <v>－</v>
      </c>
    </row>
    <row r="62" spans="1:17">
      <c r="A62" s="126" t="s">
        <v>87</v>
      </c>
      <c r="B62" s="222"/>
      <c r="C62" s="219"/>
      <c r="D62" s="219"/>
      <c r="E62" s="220"/>
      <c r="F62" s="620" t="str">
        <f>IFERROR(F15/(F213*F104*12),"－")</f>
        <v>－</v>
      </c>
      <c r="G62" s="666" t="str">
        <f>IFERROR(G15/(J213*J104*12),"－")</f>
        <v>－</v>
      </c>
      <c r="H62" s="666" t="str">
        <f>IFERROR(H15/(K213*K104*12),"－")</f>
        <v>－</v>
      </c>
      <c r="I62" s="666" t="str">
        <f>IFERROR(I15/(L213*L104*12),"－")</f>
        <v>－</v>
      </c>
      <c r="J62" s="666" t="str">
        <f>IFERROR(J15/(M213*M104*12),"－")</f>
        <v>－</v>
      </c>
      <c r="K62" s="783" t="str">
        <f>IFERROR(K15/(N213*N104*12),"－")</f>
        <v>－</v>
      </c>
      <c r="L62" s="668" t="str">
        <f t="shared" si="16"/>
        <v>－</v>
      </c>
      <c r="M62" s="669" t="str">
        <f t="shared" si="17"/>
        <v>－</v>
      </c>
      <c r="N62" s="669" t="str">
        <f t="shared" si="18"/>
        <v>－</v>
      </c>
      <c r="O62" s="669" t="str">
        <f t="shared" si="19"/>
        <v>－</v>
      </c>
      <c r="P62" s="874" t="str">
        <f t="shared" si="21"/>
        <v>－</v>
      </c>
      <c r="Q62" s="784" t="str">
        <f t="shared" si="20"/>
        <v>－</v>
      </c>
    </row>
    <row r="63" spans="1:17" ht="14.25" thickBot="1">
      <c r="A63" s="127" t="s">
        <v>147</v>
      </c>
      <c r="B63" s="127"/>
      <c r="C63" s="128"/>
      <c r="D63" s="128"/>
      <c r="E63" s="223"/>
      <c r="F63" s="621" t="str">
        <f>IFERROR(F61-F62,"－")</f>
        <v>－</v>
      </c>
      <c r="G63" s="667" t="str">
        <f>IFERROR(G61-G62,"－")</f>
        <v>－</v>
      </c>
      <c r="H63" s="667" t="str">
        <f t="shared" ref="H63:K63" si="23">IFERROR(H61-H62,"－")</f>
        <v>－</v>
      </c>
      <c r="I63" s="667" t="str">
        <f t="shared" si="23"/>
        <v>－</v>
      </c>
      <c r="J63" s="667" t="str">
        <f t="shared" si="23"/>
        <v>－</v>
      </c>
      <c r="K63" s="785" t="str">
        <f t="shared" si="23"/>
        <v>－</v>
      </c>
      <c r="L63" s="671" t="str">
        <f t="shared" si="16"/>
        <v>－</v>
      </c>
      <c r="M63" s="670" t="str">
        <f t="shared" si="17"/>
        <v>－</v>
      </c>
      <c r="N63" s="670" t="str">
        <f t="shared" si="18"/>
        <v>－</v>
      </c>
      <c r="O63" s="670" t="str">
        <f t="shared" si="19"/>
        <v>－</v>
      </c>
      <c r="P63" s="875" t="str">
        <f t="shared" si="21"/>
        <v>－</v>
      </c>
      <c r="Q63" s="786" t="str">
        <f t="shared" si="20"/>
        <v>－</v>
      </c>
    </row>
    <row r="64" spans="1:17">
      <c r="A64" s="195"/>
      <c r="B64" s="198"/>
      <c r="C64" s="198"/>
      <c r="D64" s="198"/>
      <c r="E64" s="198"/>
      <c r="F64" s="198"/>
      <c r="G64" s="198"/>
      <c r="H64" s="198"/>
      <c r="I64" s="198"/>
      <c r="J64" s="198"/>
    </row>
    <row r="65" spans="1:14" ht="14.25" thickBot="1">
      <c r="A65" s="195" t="s">
        <v>149</v>
      </c>
    </row>
    <row r="66" spans="1:14">
      <c r="A66" s="226"/>
      <c r="B66" s="227"/>
      <c r="C66" s="227"/>
      <c r="D66" s="227"/>
      <c r="E66" s="227"/>
      <c r="F66" s="1132" t="s">
        <v>346</v>
      </c>
      <c r="G66" s="1142"/>
      <c r="H66" s="1142"/>
      <c r="I66" s="1142"/>
      <c r="J66" s="1019" t="s">
        <v>424</v>
      </c>
      <c r="K66" s="1020" t="s">
        <v>425</v>
      </c>
      <c r="L66" s="1020" t="s">
        <v>426</v>
      </c>
      <c r="M66" s="1020" t="s">
        <v>427</v>
      </c>
      <c r="N66" s="1021" t="s">
        <v>423</v>
      </c>
    </row>
    <row r="67" spans="1:14" ht="14.25" thickBot="1">
      <c r="A67" s="228"/>
      <c r="F67" s="229" t="s">
        <v>150</v>
      </c>
      <c r="G67" s="230" t="s">
        <v>359</v>
      </c>
      <c r="H67" s="231" t="s">
        <v>357</v>
      </c>
      <c r="I67" s="1022" t="s">
        <v>355</v>
      </c>
      <c r="J67" s="1023" t="s">
        <v>382</v>
      </c>
      <c r="K67" s="992" t="s">
        <v>385</v>
      </c>
      <c r="L67" s="992" t="s">
        <v>388</v>
      </c>
      <c r="M67" s="992" t="s">
        <v>391</v>
      </c>
      <c r="N67" s="1002" t="s">
        <v>394</v>
      </c>
    </row>
    <row r="68" spans="1:14">
      <c r="A68" s="129" t="s">
        <v>404</v>
      </c>
      <c r="B68" s="83"/>
      <c r="C68" s="83"/>
      <c r="D68" s="83"/>
      <c r="E68" s="83"/>
      <c r="F68" s="152" t="n">
        <f t="shared" ref="F68:F75" si="24">SUM(G68:I68)</f>
        <v>3.101295E9</v>
      </c>
      <c r="G68" s="232" t="n">
        <f t="shared" ref="G68:N68" si="25">G69+G75+G78+G81+G82</f>
        <v>1.035192E9</v>
      </c>
      <c r="H68" s="233" t="n">
        <f t="shared" si="25"/>
        <v>1.040183E9</v>
      </c>
      <c r="I68" s="234" t="n">
        <f t="shared" si="25"/>
        <v>1.02592E9</v>
      </c>
      <c r="J68" s="646" t="n">
        <f t="shared" si="25"/>
        <v>1.023789E9</v>
      </c>
      <c r="K68" s="789" t="n">
        <f t="shared" si="25"/>
        <v>1.029877E9</v>
      </c>
      <c r="L68" s="789" t="n">
        <f t="shared" si="25"/>
        <v>1.106325E9</v>
      </c>
      <c r="M68" s="876" t="n">
        <f t="shared" si="25"/>
        <v>1.131054E9</v>
      </c>
      <c r="N68" s="790" t="n">
        <f t="shared" si="25"/>
        <v>1.073871E9</v>
      </c>
    </row>
    <row r="69" spans="1:14">
      <c r="A69" s="235"/>
      <c r="B69" s="130" t="s">
        <v>338</v>
      </c>
      <c r="C69" s="130"/>
      <c r="D69" s="236"/>
      <c r="E69" s="34"/>
      <c r="F69" s="169" t="n">
        <f t="shared" si="24"/>
        <v>3.101295E9</v>
      </c>
      <c r="G69" s="237" t="n">
        <f>SUM(G70:G74)</f>
        <v>1.035192E9</v>
      </c>
      <c r="H69" s="237" t="n">
        <f>SUM(H70:H74)</f>
        <v>1.040183E9</v>
      </c>
      <c r="I69" s="237" t="n">
        <f>SUM(I70:I74)</f>
        <v>1.02592E9</v>
      </c>
      <c r="J69" s="647" t="n">
        <f>SUM(J70:J73)</f>
        <v>1.023789E9</v>
      </c>
      <c r="K69" s="647" t="n">
        <f>SUM(K70:K73)</f>
        <v>1.029877E9</v>
      </c>
      <c r="L69" s="647" t="n">
        <f>SUM(L70:L73)</f>
        <v>1.106325E9</v>
      </c>
      <c r="M69" s="647" t="n">
        <f>SUM(M70:M73)</f>
        <v>1.131054E9</v>
      </c>
      <c r="N69" s="914" t="n">
        <f>SUM(N70:N73)</f>
        <v>1.073871E9</v>
      </c>
    </row>
    <row r="70" spans="1:14" ht="13.15" customHeight="1">
      <c r="A70" s="82"/>
      <c r="B70" s="130"/>
      <c r="C70" s="238" t="s">
        <v>337</v>
      </c>
      <c r="D70" s="239"/>
      <c r="E70" s="239"/>
      <c r="F70" s="240" t="n">
        <f t="shared" si="24"/>
        <v>3.101295E9</v>
      </c>
      <c r="G70" s="237" t="n">
        <f>'2_サービス別給付費'!G146*1000</f>
        <v>1.035192E9</v>
      </c>
      <c r="H70" s="237" t="n">
        <f>'2_サービス別給付費'!H146*1000</f>
        <v>1.040183E9</v>
      </c>
      <c r="I70" s="933" t="n">
        <f>'2_サービス別給付費'!I146*1000</f>
        <v>1.02592E9</v>
      </c>
      <c r="J70" s="647" t="n">
        <f>'2_サービス別給付費'!J146*1000</f>
        <v>1.023789E9</v>
      </c>
      <c r="K70" s="647" t="n">
        <f>'2_サービス別給付費'!K146*1000</f>
        <v>1.029877E9</v>
      </c>
      <c r="L70" s="647" t="n">
        <f>'2_サービス別給付費'!L146*1000</f>
        <v>1.106325E9</v>
      </c>
      <c r="M70" s="647" t="n">
        <f>'2_サービス別給付費'!M146*1000</f>
        <v>1.131054E9</v>
      </c>
      <c r="N70" s="914" t="n">
        <f>'2_サービス別給付費'!N146*1000</f>
        <v>1.073871E9</v>
      </c>
    </row>
    <row r="71" spans="1:14" ht="13.15" customHeight="1">
      <c r="A71" s="82"/>
      <c r="B71" s="130"/>
      <c r="C71" s="1145" t="s">
        <v>398</v>
      </c>
      <c r="D71" s="1146"/>
      <c r="E71" s="1147"/>
      <c r="F71" s="240" t="n">
        <f t="shared" si="24"/>
        <v>0.0</v>
      </c>
      <c r="G71" s="244"/>
      <c r="H71" s="245"/>
      <c r="I71" s="246"/>
      <c r="J71" s="648"/>
      <c r="K71" s="794"/>
      <c r="L71" s="794"/>
      <c r="M71" s="879"/>
      <c r="N71" s="795"/>
    </row>
    <row r="72" spans="1:14" ht="13.15" customHeight="1">
      <c r="A72" s="82"/>
      <c r="B72" s="130"/>
      <c r="C72" s="1145" t="s">
        <v>399</v>
      </c>
      <c r="D72" s="1146"/>
      <c r="E72" s="1147"/>
      <c r="F72" s="240" t="n">
        <f>SUM(G72:I72)</f>
        <v>0.0</v>
      </c>
      <c r="G72" s="244"/>
      <c r="H72" s="245"/>
      <c r="I72" s="246"/>
      <c r="J72" s="648"/>
      <c r="K72" s="794"/>
      <c r="L72" s="794"/>
      <c r="M72" s="879"/>
      <c r="N72" s="795"/>
    </row>
    <row r="73" spans="1:14" ht="13.15" customHeight="1">
      <c r="A73" s="82"/>
      <c r="B73" s="130"/>
      <c r="C73" s="1145" t="s">
        <v>400</v>
      </c>
      <c r="D73" s="1146"/>
      <c r="E73" s="1147"/>
      <c r="F73" s="240" t="n">
        <f>SUM(G73:I73)</f>
        <v>0.0</v>
      </c>
      <c r="G73" s="244"/>
      <c r="H73" s="245"/>
      <c r="I73" s="246"/>
      <c r="J73" s="648"/>
      <c r="K73" s="794"/>
      <c r="L73" s="794"/>
      <c r="M73" s="879"/>
      <c r="N73" s="795"/>
    </row>
    <row r="74" spans="1:14" ht="13.15" customHeight="1">
      <c r="A74" s="82"/>
      <c r="B74" s="130"/>
      <c r="C74" s="1145" t="s">
        <v>401</v>
      </c>
      <c r="D74" s="1146"/>
      <c r="E74" s="1147"/>
      <c r="F74" s="240" t="n">
        <f t="shared" si="24"/>
        <v>0.0</v>
      </c>
      <c r="G74" s="244"/>
      <c r="H74" s="245"/>
      <c r="I74" s="246"/>
      <c r="J74" s="268"/>
      <c r="K74" s="268"/>
      <c r="L74" s="268"/>
      <c r="M74" s="268"/>
      <c r="N74" s="979"/>
    </row>
    <row r="75" spans="1:14">
      <c r="A75" s="235"/>
      <c r="B75" s="1143" t="s">
        <v>271</v>
      </c>
      <c r="C75" s="1144"/>
      <c r="D75" s="1144"/>
      <c r="E75" s="1144"/>
      <c r="F75" s="240" t="n">
        <f t="shared" si="24"/>
        <v>0.0</v>
      </c>
      <c r="G75" s="291" t="n">
        <f t="shared" ref="G75:N75" si="26">G76+G77</f>
        <v>0.0</v>
      </c>
      <c r="H75" s="796" t="n">
        <f t="shared" si="26"/>
        <v>0.0</v>
      </c>
      <c r="I75" s="797" t="n">
        <f t="shared" si="26"/>
        <v>0.0</v>
      </c>
      <c r="J75" s="699" t="n">
        <f t="shared" si="26"/>
        <v>0.0</v>
      </c>
      <c r="K75" s="699" t="n">
        <f t="shared" si="26"/>
        <v>0.0</v>
      </c>
      <c r="L75" s="699" t="n">
        <f t="shared" si="26"/>
        <v>0.0</v>
      </c>
      <c r="M75" s="699" t="n">
        <f t="shared" si="26"/>
        <v>0.0</v>
      </c>
      <c r="N75" s="915" t="n">
        <f t="shared" si="26"/>
        <v>0.0</v>
      </c>
    </row>
    <row r="76" spans="1:14">
      <c r="A76" s="82"/>
      <c r="B76" s="799"/>
      <c r="C76" s="800" t="s">
        <v>270</v>
      </c>
      <c r="D76" s="247"/>
      <c r="E76" s="247"/>
      <c r="F76" s="240" t="n">
        <f t="shared" ref="F76:F80" si="27">SUM(G76:I76)</f>
        <v>0.0</v>
      </c>
      <c r="G76" s="244"/>
      <c r="H76" s="245"/>
      <c r="I76" s="246"/>
      <c r="J76" s="648"/>
      <c r="K76" s="794"/>
      <c r="L76" s="794"/>
      <c r="M76" s="879"/>
      <c r="N76" s="795"/>
    </row>
    <row r="77" spans="1:14">
      <c r="A77" s="235"/>
      <c r="B77" s="131"/>
      <c r="C77" s="800" t="s">
        <v>339</v>
      </c>
      <c r="D77" s="247"/>
      <c r="E77" s="247"/>
      <c r="F77" s="240" t="n">
        <f t="shared" si="27"/>
        <v>0.0</v>
      </c>
      <c r="G77" s="801"/>
      <c r="H77" s="245"/>
      <c r="I77" s="246"/>
      <c r="J77" s="648"/>
      <c r="K77" s="794"/>
      <c r="L77" s="794"/>
      <c r="M77" s="879"/>
      <c r="N77" s="795"/>
    </row>
    <row r="78" spans="1:14">
      <c r="A78" s="235"/>
      <c r="B78" s="802" t="s">
        <v>273</v>
      </c>
      <c r="C78" s="803"/>
      <c r="D78" s="803"/>
      <c r="E78" s="803"/>
      <c r="F78" s="240" t="n">
        <f>SUM(G78:I78)</f>
        <v>0.0</v>
      </c>
      <c r="G78" s="291" t="n">
        <f t="shared" ref="G78:N78" si="28">G79+G80</f>
        <v>0.0</v>
      </c>
      <c r="H78" s="796" t="n">
        <f t="shared" si="28"/>
        <v>0.0</v>
      </c>
      <c r="I78" s="797" t="n">
        <f t="shared" si="28"/>
        <v>0.0</v>
      </c>
      <c r="J78" s="699" t="n">
        <f t="shared" si="28"/>
        <v>0.0</v>
      </c>
      <c r="K78" s="798" t="n">
        <f t="shared" si="28"/>
        <v>0.0</v>
      </c>
      <c r="L78" s="798" t="n">
        <f t="shared" si="28"/>
        <v>0.0</v>
      </c>
      <c r="M78" s="880" t="n">
        <f t="shared" si="28"/>
        <v>0.0</v>
      </c>
      <c r="N78" s="916" t="n">
        <f t="shared" si="28"/>
        <v>0.0</v>
      </c>
    </row>
    <row r="79" spans="1:14">
      <c r="A79" s="235"/>
      <c r="B79" s="804"/>
      <c r="C79" s="288" t="s">
        <v>272</v>
      </c>
      <c r="D79" s="288"/>
      <c r="E79" s="288"/>
      <c r="F79" s="240" t="n">
        <f t="shared" si="27"/>
        <v>0.0</v>
      </c>
      <c r="G79" s="244"/>
      <c r="H79" s="245"/>
      <c r="I79" s="246"/>
      <c r="J79" s="648"/>
      <c r="K79" s="794"/>
      <c r="L79" s="794"/>
      <c r="M79" s="879"/>
      <c r="N79" s="795"/>
    </row>
    <row r="80" spans="1:14">
      <c r="A80" s="235"/>
      <c r="B80" s="805"/>
      <c r="C80" s="800" t="s">
        <v>339</v>
      </c>
      <c r="D80" s="288"/>
      <c r="E80" s="288"/>
      <c r="F80" s="240" t="n">
        <f t="shared" si="27"/>
        <v>0.0</v>
      </c>
      <c r="G80" s="244"/>
      <c r="H80" s="245"/>
      <c r="I80" s="246"/>
      <c r="J80" s="648"/>
      <c r="K80" s="794"/>
      <c r="L80" s="794"/>
      <c r="M80" s="879"/>
      <c r="N80" s="795"/>
    </row>
    <row r="81" spans="1:14">
      <c r="A81" s="235"/>
      <c r="B81" s="132" t="s">
        <v>151</v>
      </c>
      <c r="C81" s="133"/>
      <c r="D81" s="133"/>
      <c r="E81" s="133"/>
      <c r="F81" s="240" t="n">
        <f>SUM(G81:I81)</f>
        <v>0.0</v>
      </c>
      <c r="G81" s="244"/>
      <c r="H81" s="245"/>
      <c r="I81" s="246"/>
      <c r="J81" s="648"/>
      <c r="K81" s="794"/>
      <c r="L81" s="794"/>
      <c r="M81" s="879"/>
      <c r="N81" s="795"/>
    </row>
    <row r="82" spans="1:14">
      <c r="A82" s="235"/>
      <c r="B82" s="130" t="s">
        <v>152</v>
      </c>
      <c r="C82" s="34"/>
      <c r="D82" s="34"/>
      <c r="E82" s="34"/>
      <c r="F82" s="240" t="n">
        <f>SUM(G82:I82)</f>
        <v>0.0</v>
      </c>
      <c r="G82" s="241" t="n">
        <f t="shared" ref="G82:N82" si="29">G83*G84-G85</f>
        <v>0.0</v>
      </c>
      <c r="H82" s="242" t="n">
        <f t="shared" si="29"/>
        <v>0.0</v>
      </c>
      <c r="I82" s="243" t="n">
        <f t="shared" si="29"/>
        <v>0.0</v>
      </c>
      <c r="J82" s="647" t="n">
        <f t="shared" si="29"/>
        <v>0.0</v>
      </c>
      <c r="K82" s="791" t="n">
        <f t="shared" si="29"/>
        <v>0.0</v>
      </c>
      <c r="L82" s="791" t="n">
        <f t="shared" si="29"/>
        <v>0.0</v>
      </c>
      <c r="M82" s="877" t="n">
        <f t="shared" si="29"/>
        <v>0.0</v>
      </c>
      <c r="N82" s="917" t="n">
        <f t="shared" si="29"/>
        <v>0.0</v>
      </c>
    </row>
    <row r="83" spans="1:14">
      <c r="A83" s="82"/>
      <c r="B83" s="130"/>
      <c r="C83" s="132" t="s">
        <v>231</v>
      </c>
      <c r="D83" s="250"/>
      <c r="E83" s="133"/>
      <c r="F83" s="153"/>
      <c r="G83" s="244"/>
      <c r="H83" s="245"/>
      <c r="I83" s="246"/>
      <c r="J83" s="648"/>
      <c r="K83" s="794"/>
      <c r="L83" s="794"/>
      <c r="M83" s="879"/>
      <c r="N83" s="795"/>
    </row>
    <row r="84" spans="1:14">
      <c r="A84" s="82"/>
      <c r="B84" s="130"/>
      <c r="C84" s="251" t="s">
        <v>232</v>
      </c>
      <c r="D84" s="252"/>
      <c r="E84" s="133"/>
      <c r="F84" s="169" t="n">
        <f t="shared" ref="F84:F86" si="30">SUM(G84:I84)</f>
        <v>0.0</v>
      </c>
      <c r="G84" s="244"/>
      <c r="H84" s="245"/>
      <c r="I84" s="246"/>
      <c r="J84" s="648"/>
      <c r="K84" s="794"/>
      <c r="L84" s="794"/>
      <c r="M84" s="879"/>
      <c r="N84" s="795"/>
    </row>
    <row r="85" spans="1:14" ht="13.5" customHeight="1">
      <c r="A85" s="134"/>
      <c r="B85" s="135"/>
      <c r="C85" s="253" t="s">
        <v>405</v>
      </c>
      <c r="D85" s="125"/>
      <c r="E85" s="125"/>
      <c r="F85" s="169" t="n">
        <f t="shared" si="30"/>
        <v>0.0</v>
      </c>
      <c r="G85" s="241" t="n">
        <f>IF(G83-'(参考)保険料の推計に要する係数'!$D$38&gt;0,(G83-'(参考)保険料の推計に要する係数'!$D$38)*G84,0)</f>
        <v>0.0</v>
      </c>
      <c r="H85" s="241" t="n">
        <f>IF(H83-'(参考)保険料の推計に要する係数'!$D$38&gt;0,(H83-'(参考)保険料の推計に要する係数'!$D$38)*H84,0)</f>
        <v>0.0</v>
      </c>
      <c r="I85" s="934" t="n">
        <f>IF(I83-'(参考)保険料の推計に要する係数'!$D$38&gt;0,(I83-'(参考)保険料の推計に要する係数'!$D$38)*I84,0)</f>
        <v>0.0</v>
      </c>
      <c r="J85" s="647" t="n">
        <f>IF(J83-'(参考)保険料の推計に要する係数'!$D$38&gt;0,(J83-'(参考)保険料の推計に要する係数'!$D$38)*J84,0)</f>
        <v>0.0</v>
      </c>
      <c r="K85" s="647" t="n">
        <f>IF(K83-'(参考)保険料の推計に要する係数'!$D$38&gt;0,(K83-'(参考)保険料の推計に要する係数'!$D$38)*K84,0)</f>
        <v>0.0</v>
      </c>
      <c r="L85" s="647" t="n">
        <f>IF(L83-'(参考)保険料の推計に要する係数'!$D$38&gt;0,(L83-'(参考)保険料の推計に要する係数'!$D$38)*L84,0)</f>
        <v>0.0</v>
      </c>
      <c r="M85" s="647" t="n">
        <f>IF(M83-'(参考)保険料の推計に要する係数'!$D$38&gt;0,(M83-'(参考)保険料の推計に要する係数'!$D$38)*M84,0)</f>
        <v>0.0</v>
      </c>
      <c r="N85" s="914" t="n">
        <f>IF(N83-'(参考)保険料の推計に要する係数'!$D$38&gt;0,(N83-'(参考)保険料の推計に要する係数'!$D$38)*N84,0)</f>
        <v>0.0</v>
      </c>
    </row>
    <row r="86" spans="1:14">
      <c r="A86" s="203" t="s">
        <v>83</v>
      </c>
      <c r="B86" s="254"/>
      <c r="C86" s="254"/>
      <c r="D86" s="254"/>
      <c r="E86" s="254"/>
      <c r="F86" s="169" t="n">
        <f t="shared" si="30"/>
        <v>0.0</v>
      </c>
      <c r="G86" s="242" t="n">
        <f>SUM(G87:G89)</f>
        <v>0.0</v>
      </c>
      <c r="H86" s="242" t="n">
        <f t="shared" ref="H86:I86" si="31">SUM(H87:H89)</f>
        <v>0.0</v>
      </c>
      <c r="I86" s="243" t="n">
        <f t="shared" si="31"/>
        <v>0.0</v>
      </c>
      <c r="J86" s="647" t="n">
        <f t="shared" ref="J86" si="32">SUM(J87:J89)</f>
        <v>0.0</v>
      </c>
      <c r="K86" s="647" t="n">
        <f t="shared" ref="K86:N86" si="33">SUM(K87:K89)</f>
        <v>0.0</v>
      </c>
      <c r="L86" s="647" t="n">
        <f t="shared" si="33"/>
        <v>0.0</v>
      </c>
      <c r="M86" s="647" t="n">
        <f t="shared" si="33"/>
        <v>0.0</v>
      </c>
      <c r="N86" s="914" t="n">
        <f t="shared" si="33"/>
        <v>0.0</v>
      </c>
    </row>
    <row r="87" spans="1:14">
      <c r="A87" s="228"/>
      <c r="B87" s="208" t="s">
        <v>153</v>
      </c>
      <c r="C87" s="205"/>
      <c r="D87" s="205"/>
      <c r="E87" s="205"/>
      <c r="F87" s="169" t="n">
        <f>SUM(G87:I87)</f>
        <v>0.0</v>
      </c>
      <c r="G87" s="796" t="n">
        <f>'3_地域支援事業費'!E52</f>
        <v>0.0</v>
      </c>
      <c r="H87" s="796" t="n">
        <f>'3_地域支援事業費'!F52</f>
        <v>0.0</v>
      </c>
      <c r="I87" s="797" t="n">
        <f>'3_地域支援事業費'!G52</f>
        <v>0.0</v>
      </c>
      <c r="J87" s="699" t="n">
        <f>'3_地域支援事業費'!H52</f>
        <v>0.0</v>
      </c>
      <c r="K87" s="699" t="n">
        <f>'3_地域支援事業費'!I52</f>
        <v>0.0</v>
      </c>
      <c r="L87" s="699" t="n">
        <f>'3_地域支援事業費'!J52</f>
        <v>0.0</v>
      </c>
      <c r="M87" s="699" t="n">
        <f>'3_地域支援事業費'!K52</f>
        <v>0.0</v>
      </c>
      <c r="N87" s="915" t="n">
        <f>'3_地域支援事業費'!L52</f>
        <v>0.0</v>
      </c>
    </row>
    <row r="88" spans="1:14">
      <c r="A88" s="228"/>
      <c r="B88" s="208" t="s">
        <v>327</v>
      </c>
      <c r="C88" s="205"/>
      <c r="D88" s="205"/>
      <c r="E88" s="205"/>
      <c r="F88" s="169" t="n">
        <f>SUM(G88:I88)</f>
        <v>0.0</v>
      </c>
      <c r="G88" s="796" t="n">
        <f>'3_地域支援事業費'!E53</f>
        <v>0.0</v>
      </c>
      <c r="H88" s="796" t="n">
        <f>'3_地域支援事業費'!F53</f>
        <v>0.0</v>
      </c>
      <c r="I88" s="797" t="n">
        <f>'3_地域支援事業費'!G53</f>
        <v>0.0</v>
      </c>
      <c r="J88" s="699" t="n">
        <f>'3_地域支援事業費'!H53</f>
        <v>0.0</v>
      </c>
      <c r="K88" s="699" t="n">
        <f>'3_地域支援事業費'!I53</f>
        <v>0.0</v>
      </c>
      <c r="L88" s="699" t="n">
        <f>'3_地域支援事業費'!J53</f>
        <v>0.0</v>
      </c>
      <c r="M88" s="699" t="n">
        <f>'3_地域支援事業費'!K53</f>
        <v>0.0</v>
      </c>
      <c r="N88" s="915" t="n">
        <f>'3_地域支援事業費'!L53</f>
        <v>0.0</v>
      </c>
    </row>
    <row r="89" spans="1:14" s="365" customFormat="1">
      <c r="A89" s="228"/>
      <c r="B89" s="208" t="s">
        <v>308</v>
      </c>
      <c r="C89" s="806"/>
      <c r="D89" s="806"/>
      <c r="E89" s="806"/>
      <c r="F89" s="169" t="n">
        <f>SUM(G89:I89)</f>
        <v>0.0</v>
      </c>
      <c r="G89" s="918" t="n">
        <f>'3_地域支援事業費'!E54</f>
        <v>0.0</v>
      </c>
      <c r="H89" s="918" t="n">
        <f>'3_地域支援事業費'!F54</f>
        <v>0.0</v>
      </c>
      <c r="I89" s="935" t="n">
        <f>'3_地域支援事業費'!G54</f>
        <v>0.0</v>
      </c>
      <c r="J89" s="798" t="n">
        <f>'3_地域支援事業費'!H54</f>
        <v>0.0</v>
      </c>
      <c r="K89" s="798" t="n">
        <f>'3_地域支援事業費'!I54</f>
        <v>0.0</v>
      </c>
      <c r="L89" s="798" t="n">
        <f>'3_地域支援事業費'!J54</f>
        <v>0.0</v>
      </c>
      <c r="M89" s="798" t="n">
        <f>'3_地域支援事業費'!K54</f>
        <v>0.0</v>
      </c>
      <c r="N89" s="916" t="n">
        <f>'3_地域支援事業費'!L54</f>
        <v>0.0</v>
      </c>
    </row>
    <row r="90" spans="1:14">
      <c r="A90" s="255" t="s">
        <v>406</v>
      </c>
      <c r="B90" s="256"/>
      <c r="C90" s="256"/>
      <c r="D90" s="256"/>
      <c r="E90" s="256"/>
      <c r="F90" s="169" t="n">
        <f>SUM(G90:I90)</f>
        <v>7.1329785E8</v>
      </c>
      <c r="G90" s="237" t="n">
        <f>(G68+G86)*'(参考)保険料の推計に要する係数'!$D$5</f>
        <v>2.3809416E8</v>
      </c>
      <c r="H90" s="237" t="n">
        <f>(H68+H86)*'(参考)保険料の推計に要する係数'!$D$5</f>
        <v>2.3924209E8</v>
      </c>
      <c r="I90" s="933" t="n">
        <f>(I68+I86)*'(参考)保険料の推計に要する係数'!$D$5</f>
        <v>2.359616E8</v>
      </c>
      <c r="J90" s="647" t="n">
        <f>(J68+J86)*'(参考)保険料の推計に要する係数'!$E$5</f>
        <v>2.4570936E8</v>
      </c>
      <c r="K90" s="647" t="n">
        <f>(K68+K86)*'(参考)保険料の推計に要する係数'!$F$5</f>
        <v>2.5746925E8</v>
      </c>
      <c r="L90" s="647" t="n">
        <f>(L68+L86)*'(参考)保険料の推計に要する係数'!$G$5</f>
        <v>2.876445E8</v>
      </c>
      <c r="M90" s="647" t="n">
        <f>(M68+M86)*'(参考)保険料の推計に要する係数'!$H$5</f>
        <v>3.0538458E8</v>
      </c>
      <c r="N90" s="914" t="n">
        <f>(N68+N86)*'(参考)保険料の推計に要する係数'!$I$5</f>
        <v>3.0068388E8</v>
      </c>
    </row>
    <row r="91" spans="1:14" s="259" customFormat="1" ht="13.5" customHeight="1">
      <c r="A91" s="257" t="s">
        <v>407</v>
      </c>
      <c r="B91" s="163"/>
      <c r="C91" s="163"/>
      <c r="D91" s="163"/>
      <c r="E91" s="164"/>
      <c r="F91" s="930" t="n">
        <f t="shared" ref="F91" si="34">SUM(G91:I91)</f>
        <v>1.5506475E8</v>
      </c>
      <c r="G91" s="936" t="n">
        <f t="shared" ref="G91:N91" si="35">(G68+G87)*0.05</f>
        <v>5.17596E7</v>
      </c>
      <c r="H91" s="258" t="n">
        <f t="shared" si="35"/>
        <v>5.200915E7</v>
      </c>
      <c r="I91" s="937" t="n">
        <f t="shared" si="35"/>
        <v>5.1296E7</v>
      </c>
      <c r="J91" s="649" t="n">
        <f t="shared" si="35"/>
        <v>5.118945E7</v>
      </c>
      <c r="K91" s="649" t="n">
        <f t="shared" si="35"/>
        <v>5.149385E7</v>
      </c>
      <c r="L91" s="649" t="n">
        <f t="shared" si="35"/>
        <v>5.531625E7</v>
      </c>
      <c r="M91" s="649" t="n">
        <f t="shared" si="35"/>
        <v>5.65527E7</v>
      </c>
      <c r="N91" s="919" t="n">
        <f t="shared" si="35"/>
        <v>5.369355E7</v>
      </c>
    </row>
    <row r="92" spans="1:14" s="259" customFormat="1" ht="13.5" customHeight="1">
      <c r="A92" s="158" t="s">
        <v>408</v>
      </c>
      <c r="B92" s="159"/>
      <c r="C92" s="160"/>
      <c r="D92" s="160"/>
      <c r="E92" s="260"/>
      <c r="F92" s="931" t="n">
        <f>SUM(G92:I92)</f>
        <v>0.0</v>
      </c>
      <c r="G92" s="938" t="n">
        <f t="shared" ref="G92:N92" si="36">ROUND((G68+G87)*G95*G93,-3)+G94</f>
        <v>0.0</v>
      </c>
      <c r="H92" s="157" t="n">
        <f t="shared" si="36"/>
        <v>0.0</v>
      </c>
      <c r="I92" s="939" t="n">
        <f t="shared" si="36"/>
        <v>0.0</v>
      </c>
      <c r="J92" s="650" t="n">
        <f t="shared" si="36"/>
        <v>0.0</v>
      </c>
      <c r="K92" s="650" t="n">
        <f t="shared" si="36"/>
        <v>0.0</v>
      </c>
      <c r="L92" s="650" t="n">
        <f t="shared" si="36"/>
        <v>0.0</v>
      </c>
      <c r="M92" s="650" t="n">
        <f t="shared" si="36"/>
        <v>0.0</v>
      </c>
      <c r="N92" s="920" t="n">
        <f t="shared" si="36"/>
        <v>0.0</v>
      </c>
    </row>
    <row r="93" spans="1:14" s="259" customFormat="1" ht="13.5" customHeight="1">
      <c r="A93" s="158"/>
      <c r="B93" s="261" t="s">
        <v>261</v>
      </c>
      <c r="C93" s="262"/>
      <c r="D93" s="262"/>
      <c r="E93" s="263"/>
      <c r="F93" s="932"/>
      <c r="G93" s="940"/>
      <c r="H93" s="170"/>
      <c r="I93" s="171"/>
      <c r="J93" s="651"/>
      <c r="K93" s="651"/>
      <c r="L93" s="651"/>
      <c r="M93" s="881"/>
      <c r="N93" s="921"/>
    </row>
    <row r="94" spans="1:14" s="259" customFormat="1" ht="13.5" customHeight="1">
      <c r="A94" s="158"/>
      <c r="B94" s="261" t="s">
        <v>262</v>
      </c>
      <c r="C94" s="262"/>
      <c r="D94" s="262"/>
      <c r="E94" s="263"/>
      <c r="F94" s="932"/>
      <c r="G94" s="941"/>
      <c r="H94" s="172"/>
      <c r="I94" s="173"/>
      <c r="J94" s="652"/>
      <c r="K94" s="652"/>
      <c r="L94" s="652"/>
      <c r="M94" s="882"/>
      <c r="N94" s="922"/>
    </row>
    <row r="95" spans="1:14" s="259" customFormat="1" ht="13.5" customHeight="1">
      <c r="A95" s="167" t="s">
        <v>409</v>
      </c>
      <c r="B95" s="161"/>
      <c r="C95" s="162"/>
      <c r="D95" s="162"/>
      <c r="E95" s="264"/>
      <c r="F95" s="932"/>
      <c r="G95" s="942" t="n">
        <f>IF(G99&lt;&gt;0,IF(('(参考)保険料の推計に要する係数'!$D$5+0.05)-'(参考)保険料の推計に要する係数'!$D$5*G96*G99&gt;0,ROUND(('(参考)保険料の推計に要する係数'!$D$5+0.05)-('(参考)保険料の推計に要する係数'!$D$5*G96*G99),4),0),0)</f>
        <v>0.0</v>
      </c>
      <c r="H95" s="168" t="n">
        <f>IF(H99&lt;&gt;0,IF(('(参考)保険料の推計に要する係数'!$D$5+0.05)-'(参考)保険料の推計に要する係数'!$D$5*H96*H99&gt;0,ROUND(('(参考)保険料の推計に要する係数'!$D$5+0.05)-('(参考)保険料の推計に要する係数'!$D$5*H96*H99),4),0),0)</f>
        <v>0.0</v>
      </c>
      <c r="I95" s="943" t="n">
        <f>IF(I99&lt;&gt;0,IF(('(参考)保険料の推計に要する係数'!$D$5+0.05)-'(参考)保険料の推計に要する係数'!$D$5*I96*I99&gt;0,ROUND(('(参考)保険料の推計に要する係数'!$D$5+0.05)-('(参考)保険料の推計に要する係数'!$D$5*I96*I99),4),0),0)</f>
        <v>0.0</v>
      </c>
      <c r="J95" s="653" t="n">
        <f>IF(J99&lt;&gt;0,IF(('(参考)保険料の推計に要する係数'!$E$5+0.05)-'(参考)保険料の推計に要する係数'!$E$5*J96*J99&gt;0,ROUND(('(参考)保険料の推計に要する係数'!$E$5+0.05)-('(参考)保険料の推計に要する係数'!$E$5*J96*J99),4),0),0)</f>
        <v>0.0</v>
      </c>
      <c r="K95" s="653" t="n">
        <f>IF(K99&lt;&gt;0,IF(('(参考)保険料の推計に要する係数'!$F$5+0.05)-'(参考)保険料の推計に要する係数'!$F$5*K96*K99&gt;0,ROUND(('(参考)保険料の推計に要する係数'!$F$5+0.05)-('(参考)保険料の推計に要する係数'!$F$5*K96*K99),4),0),0)</f>
        <v>0.0</v>
      </c>
      <c r="L95" s="653" t="n">
        <f>IF(L99&lt;&gt;0,IF(('(参考)保険料の推計に要する係数'!$G$5+0.05)-'(参考)保険料の推計に要する係数'!$G$5*L96*L99&gt;0,ROUND(('(参考)保険料の推計に要する係数'!$G$5+0.05)-('(参考)保険料の推計に要する係数'!$G$5*L96*L99),4),0),0)</f>
        <v>0.0</v>
      </c>
      <c r="M95" s="653" t="n">
        <f>IF(M99&lt;&gt;0,IF(('(参考)保険料の推計に要する係数'!$H$5+0.05)-'(参考)保険料の推計に要する係数'!$H$5*M96*M99&gt;0,ROUND(('(参考)保険料の推計に要する係数'!$H$5+0.05)-('(参考)保険料の推計に要する係数'!$H$5*M96*M99),4),0),0)</f>
        <v>0.0</v>
      </c>
      <c r="N95" s="923" t="n">
        <f>IF(N99&lt;&gt;0,IF(('(参考)保険料の推計に要する係数'!$I$5+0.05)-'(参考)保険料の推計に要する係数'!$I$5*N96*N99&gt;0,ROUND(('(参考)保険料の推計に要する係数'!$I$5+0.05)-('(参考)保険料の推計に要する係数'!$I$5*N96*N99),4),0),0)</f>
        <v>0.0</v>
      </c>
    </row>
    <row r="96" spans="1:14" s="259" customFormat="1" ht="13.5" customHeight="1">
      <c r="A96" s="807"/>
      <c r="B96" s="161" t="s">
        <v>410</v>
      </c>
      <c r="C96" s="163"/>
      <c r="D96" s="163"/>
      <c r="E96" s="164"/>
      <c r="F96" s="932"/>
      <c r="G96" s="863" t="n">
        <f>IF(SUM(G110:G111)&gt;0,
                 ROUND(
                              (
                                    '(参考)保険料の推計に要する係数'!D9*'(参考)保険料の推計に要する係数'!D12
                                  +'(参考)保険料の推計に要する係数'!D10*'(参考)保険料の推計に要する係数'!D13
                                  +'(参考)保険料の推計に要する係数'!D11*'(参考)保険料の推計に要する係数'!D14
                              )
                              /
                              (
                                   ROUND(G110/G109,4)*'(参考)保険料の推計に要する係数'!D12
                                  +ROUND(G112/G109,4)*'(参考)保険料の推計に要する係数'!D13
                                  +ROUND(G113/G109,4)*'(参考)保険料の推計に要する係数'!D14
                              ),4),0)</f>
        <v>0.9558</v>
      </c>
      <c r="H96" s="863" t="n">
        <f>IF(SUM(H110:H111)&gt;0,
                 ROUND(
                              (
                                    '(参考)保険料の推計に要する係数'!E9*'(参考)保険料の推計に要する係数'!E12
                                  +'(参考)保険料の推計に要する係数'!E10*'(参考)保険料の推計に要する係数'!E13
                                  +'(参考)保険料の推計に要する係数'!E11*'(参考)保険料の推計に要する係数'!E14
                              )
                              /
                              (
                                   ROUND(H110/H109,4)*'(参考)保険料の推計に要する係数'!E12
                                  +ROUND(H112/H109,4)*'(参考)保険料の推計に要する係数'!E13
                                  +ROUND(H113/H109,4)*'(参考)保険料の推計に要する係数'!E14
                              ),4),0)</f>
        <v>0.9802</v>
      </c>
      <c r="I96" s="864" t="n">
        <f>IF(SUM(I110:I111)&gt;0,
                 ROUND(
                              (
                                    '(参考)保険料の推計に要する係数'!F9*'(参考)保険料の推計に要する係数'!F12
                                  +'(参考)保険料の推計に要する係数'!F10*'(参考)保険料の推計に要する係数'!F13
                                  +'(参考)保険料の推計に要する係数'!F11*'(参考)保険料の推計に要する係数'!F14
                              )
                              /
                              (
                                   ROUND(I110/I109,4)*'(参考)保険料の推計に要する係数'!F12
                                  +ROUND(I112/I109,4)*'(参考)保険料の推計に要する係数'!F13
                                  +ROUND(I113/I109,4)*'(参考)保険料の推計に要する係数'!F14
                              ),4),0)</f>
        <v>1.0065</v>
      </c>
      <c r="J96" s="654" t="n">
        <f>IF(SUM(J110:J111)&gt;0,
                 ROUND(
                              (
                                    '(参考)保険料の推計に要する係数'!G9*'(参考)保険料の推計に要する係数'!G12
                                  +'(参考)保険料の推計に要する係数'!G10*'(参考)保険料の推計に要する係数'!G13
                                  +'(参考)保険料の推計に要する係数'!G11*'(参考)保険料の推計に要する係数'!G14
                              )
                              /
                              (
                                   ROUND(J110/J109,4)*'(参考)保険料の推計に要する係数'!G12
                                  +ROUND(J112/J109,4)*'(参考)保険料の推計に要する係数'!G13
                                  +ROUND(J113/J109,4)*'(参考)保険料の推計に要する係数'!G14
                              ),4),0)</f>
        <v>1.066</v>
      </c>
      <c r="K96" s="654" t="n">
        <f>IF(SUM(K110:K111)&gt;0,
                 ROUND(
                              (
                                    '(参考)保険料の推計に要する係数'!H9*'(参考)保険料の推計に要する係数'!H12
                                  +'(参考)保険料の推計に要する係数'!H10*'(参考)保険料の推計に要する係数'!H13
                                  +'(参考)保険料の推計に要する係数'!H11*'(参考)保険料の推計に要する係数'!H14
                              )
                              /
                              (
                                   ROUND(K110/K109,4)*'(参考)保険料の推計に要する係数'!H12
                                  +ROUND(K112/K109,4)*'(参考)保険料の推計に要する係数'!H13
                                  +ROUND(K113/K109,4)*'(参考)保険料の推計に要する係数'!H14
                              ),4),0)</f>
        <v>1.0427</v>
      </c>
      <c r="L96" s="654" t="n">
        <f>IF(SUM(L110:L111)&gt;0,
                 ROUND(
                              (
                                    '(参考)保険料の推計に要する係数'!I9*'(参考)保険料の推計に要する係数'!I12
                                  +'(参考)保険料の推計に要する係数'!I10*'(参考)保険料の推計に要する係数'!I13
                                  +'(参考)保険料の推計に要する係数'!I11*'(参考)保険料の推計に要する係数'!I14
                              )
                              /
                              (
                                   ROUND(L110/L109,4)*'(参考)保険料の推計に要する係数'!I12
                                  +ROUND(L112/L109,4)*'(参考)保険料の推計に要する係数'!I13
                                  +ROUND(L113/L109,4)*'(参考)保険料の推計に要する係数'!I14
                              ),4),0)</f>
        <v>0.866</v>
      </c>
      <c r="M96" s="654" t="n">
        <f>IF(SUM(M110:M111)&gt;0,
                 ROUND(
                              (
                                    '(参考)保険料の推計に要する係数'!J9*'(参考)保険料の推計に要する係数'!J12
                                  +'(参考)保険料の推計に要する係数'!J10*'(参考)保険料の推計に要する係数'!J13
                                  +'(参考)保険料の推計に要する係数'!J11*'(参考)保険料の推計に要する係数'!J14
                              )
                              /
                              (
                                   ROUND(M110/M109,4)*'(参考)保険料の推計に要する係数'!J12
                                  +ROUND(M112/M109,4)*'(参考)保険料の推計に要する係数'!J13
                                  +ROUND(M113/M109,4)*'(参考)保険料の推計に要する係数'!J14
                              ),4),0)</f>
        <v>0.7815</v>
      </c>
      <c r="N96" s="924" t="n">
        <f>IF(SUM(N110:N111)&gt;0,
                 ROUND(
                              (
                                    '(参考)保険料の推計に要する係数'!K9*'(参考)保険料の推計に要する係数'!K12
                                  +'(参考)保険料の推計に要する係数'!K10*'(参考)保険料の推計に要する係数'!K13
                                  +'(参考)保険料の推計に要する係数'!K11*'(参考)保険料の推計に要する係数'!K14
                              )
                              /
                              (
                                   ROUND(N110/N109,4)*'(参考)保険料の推計に要する係数'!K12
                                  +ROUND(N112/N109,4)*'(参考)保険料の推計に要する係数'!K13
                                  +ROUND(N113/N109,4)*'(参考)保険料の推計に要する係数'!K14
                              ),4),0)</f>
        <v>0.773</v>
      </c>
    </row>
    <row r="97" spans="1:14" s="259" customFormat="1" ht="13.5" hidden="1" customHeight="1">
      <c r="A97" s="158"/>
      <c r="B97" s="808"/>
      <c r="C97" s="862"/>
      <c r="D97" s="809"/>
      <c r="E97" s="810"/>
      <c r="F97" s="932"/>
      <c r="G97" s="944"/>
      <c r="H97" s="865"/>
      <c r="I97" s="945"/>
      <c r="J97" s="866"/>
      <c r="K97" s="866"/>
      <c r="L97" s="866"/>
      <c r="M97" s="866"/>
      <c r="N97" s="925"/>
    </row>
    <row r="98" spans="1:14" s="259" customFormat="1" ht="13.5" hidden="1" customHeight="1">
      <c r="A98" s="158"/>
      <c r="B98" s="811"/>
      <c r="C98" s="862"/>
      <c r="D98" s="809"/>
      <c r="E98" s="810"/>
      <c r="F98" s="932"/>
      <c r="G98" s="944"/>
      <c r="H98" s="865"/>
      <c r="I98" s="945"/>
      <c r="J98" s="867"/>
      <c r="K98" s="867"/>
      <c r="L98" s="867"/>
      <c r="M98" s="867"/>
      <c r="N98" s="926"/>
    </row>
    <row r="99" spans="1:14" s="259" customFormat="1" ht="13.5" customHeight="1">
      <c r="A99" s="158"/>
      <c r="B99" s="159" t="s">
        <v>411</v>
      </c>
      <c r="C99" s="165"/>
      <c r="D99" s="165"/>
      <c r="E99" s="166"/>
      <c r="F99" s="932"/>
      <c r="G99" s="946" t="n">
        <f>IF(G147&gt;0,ROUND(
                            1-(
                                    (1-G277)*(ROUND(G115,3)-'(参考)保険料の推計に要する係数'!$D17)
                                 +(1-G278)*(ROUND(G116,3)-'(参考)保険料の推計に要する係数'!$D18)
                                 +(1-G279)*(ROUND(G117,3)-'(参考)保険料の推計に要する係数'!$D19)
                                   +(1-G280)*(ROUND(G118,3)-'(参考)保険料の推計に要する係数'!$D20)
                                     +(1-G281)*(ROUND(G119,3)-'(参考)保険料の推計に要する係数'!$D21)
                                   +(1-G282)*(ROUND(G120,3)-'(参考)保険料の推計に要する係数'!$D22)
                                   +(1-G283)*(ROUND(G121,3)-'(参考)保険料の推計に要する係数'!$D23)
                                   +(1-G284)*(ROUND(G122,3)-'(参考)保険料の推計に要する係数'!$D24)
                                   +(1-G285)*(ROUND(G123,3)-'(参考)保険料の推計に要する係数'!$D25)
                                   +(1-G286)*(ROUND(G124,3)-'(参考)保険料の推計に要する係数'!$D26)
                                   +(1-G287)*(ROUND(G125,3)-'(参考)保険料の推計に要する係数'!$D27)
                                   +(1-G288)*(ROUND(G126,3)-'(参考)保険料の推計に要する係数'!$D28)
                                   +(1-G289)*(ROUND(G127,3)-'(参考)保険料の推計に要する係数'!$D29)
                                   +(1-G290)*(ROUND(G128,3)-'(参考)保険料の推計に要する係数'!$D30)
                                   +(1-G291)*(ROUND(G129,3)-'(参考)保険料の推計に要する係数'!$D31)
                                 ),4),0)</f>
        <v>0.0</v>
      </c>
      <c r="H99" s="946" t="n">
        <f>IF(H147&gt;0,ROUND(
                            1-(
                                    (1-H277)*(ROUND(H115,3)-'(参考)保険料の推計に要する係数'!$D17)
                                 +(1-H278)*(ROUND(H116,3)-'(参考)保険料の推計に要する係数'!$D18)
                                 +(1-H279)*(ROUND(H117,3)-'(参考)保険料の推計に要する係数'!$D19)
                                   +(1-H280)*(ROUND(H118,3)-'(参考)保険料の推計に要する係数'!$D20)
                                     +(1-H281)*(ROUND(H119,3)-'(参考)保険料の推計に要する係数'!$D21)
                                   +(1-H282)*(ROUND(H120,3)-'(参考)保険料の推計に要する係数'!$D22)
                                   +(1-H283)*(ROUND(H121,3)-'(参考)保険料の推計に要する係数'!$D23)
                                   +(1-H284)*(ROUND(H122,3)-'(参考)保険料の推計に要する係数'!$D24)
                                   +(1-H285)*(ROUND(H123,3)-'(参考)保険料の推計に要する係数'!$D25)
                                   +(1-H286)*(ROUND(H124,3)-'(参考)保険料の推計に要する係数'!$D26)
                                   +(1-H287)*(ROUND(H125,3)-'(参考)保険料の推計に要する係数'!$D27)
                                   +(1-H288)*(ROUND(H126,3)-'(参考)保険料の推計に要する係数'!$D28)
                                   +(1-H289)*(ROUND(H127,3)-'(参考)保険料の推計に要する係数'!$D29)
                                   +(1-H290)*(ROUND(H128,3)-'(参考)保険料の推計に要する係数'!$D30)
                                   +(1-H291)*(ROUND(H129,3)-'(参考)保険料の推計に要する係数'!$D31)
                                 ),4),0)</f>
        <v>0.0</v>
      </c>
      <c r="I99" s="970" t="n">
        <f>IF(I147&gt;0,ROUND(
                            1-(
                                    (1-I277)*(ROUND(I115,3)-'(参考)保険料の推計に要する係数'!$D17)
                                 +(1-I278)*(ROUND(I116,3)-'(参考)保険料の推計に要する係数'!$D18)
                                 +(1-I279)*(ROUND(I117,3)-'(参考)保険料の推計に要する係数'!$D19)
                                   +(1-I280)*(ROUND(I118,3)-'(参考)保険料の推計に要する係数'!$D20)
                                     +(1-I281)*(ROUND(I119,3)-'(参考)保険料の推計に要する係数'!$D21)
                                   +(1-I282)*(ROUND(I120,3)-'(参考)保険料の推計に要する係数'!$D22)
                                   +(1-I283)*(ROUND(I121,3)-'(参考)保険料の推計に要する係数'!$D23)
                                   +(1-I284)*(ROUND(I122,3)-'(参考)保険料の推計に要する係数'!$D24)
                                   +(1-I285)*(ROUND(I123,3)-'(参考)保険料の推計に要する係数'!$D25)
                                   +(1-I286)*(ROUND(I124,3)-'(参考)保険料の推計に要する係数'!$D26)
                                   +(1-I287)*(ROUND(I125,3)-'(参考)保険料の推計に要する係数'!$D27)
                                   +(1-I288)*(ROUND(I126,3)-'(参考)保険料の推計に要する係数'!$D28)
                                   +(1-I289)*(ROUND(I127,3)-'(参考)保険料の推計に要する係数'!$D29)
                                   +(1-I290)*(ROUND(I128,3)-'(参考)保険料の推計に要する係数'!$D30)
                                   +(1-I291)*(ROUND(I129,3)-'(参考)保険料の推計に要する係数'!$D31)
                                 ),4),0)</f>
        <v>0.0</v>
      </c>
      <c r="J99" s="971" t="n">
        <f>IF(J147&gt;0,ROUND(
                            1-(
                                    (1-J277)*(ROUND(J115,3)-'(参考)保険料の推計に要する係数'!$D17)
                                 +(1-J278)*(ROUND(J116,3)-'(参考)保険料の推計に要する係数'!$D18)
                                 +(1-J279)*(ROUND(J117,3)-'(参考)保険料の推計に要する係数'!$D19)
                                   +(1-J280)*(ROUND(J118,3)-'(参考)保険料の推計に要する係数'!$D20)
                                     +(1-J281)*(ROUND(J119,3)-'(参考)保険料の推計に要する係数'!$D21)
                                   +(1-J282)*(ROUND(J120,3)-'(参考)保険料の推計に要する係数'!$D22)
                                   +(1-J283)*(ROUND(J121,3)-'(参考)保険料の推計に要する係数'!$D23)
                                   +(1-J284)*(ROUND(J122,3)-'(参考)保険料の推計に要する係数'!$D24)
                                   +(1-J285)*(ROUND(J123,3)-'(参考)保険料の推計に要する係数'!$D25)
                                   +(1-J286)*(ROUND(J124,3)-'(参考)保険料の推計に要する係数'!$D26)
                                   +(1-J287)*(ROUND(J125,3)-'(参考)保険料の推計に要する係数'!$D27)
                                   +(1-J288)*(ROUND(J126,3)-'(参考)保険料の推計に要する係数'!$D28)
                                   +(1-J289)*(ROUND(J127,3)-'(参考)保険料の推計に要する係数'!$D29)
                                   +(1-J290)*(ROUND(J128,3)-'(参考)保険料の推計に要する係数'!$D30)
                                   +(1-J291)*(ROUND(J129,3)-'(参考)保険料の推計に要する係数'!$D31)
                                 ),4),0)</f>
        <v>0.0</v>
      </c>
      <c r="K99" s="971" t="n">
        <f>IF(K147&gt;0,ROUND(
                            1-(
                                    (1-K277)*(ROUND(K115,3)-'(参考)保険料の推計に要する係数'!$D17)
                                 +(1-K278)*(ROUND(K116,3)-'(参考)保険料の推計に要する係数'!$D18)
                                 +(1-K279)*(ROUND(K117,3)-'(参考)保険料の推計に要する係数'!$D19)
                                   +(1-K280)*(ROUND(K118,3)-'(参考)保険料の推計に要する係数'!$D20)
                                     +(1-K281)*(ROUND(K119,3)-'(参考)保険料の推計に要する係数'!$D21)
                                   +(1-K282)*(ROUND(K120,3)-'(参考)保険料の推計に要する係数'!$D22)
                                   +(1-K283)*(ROUND(K121,3)-'(参考)保険料の推計に要する係数'!$D23)
                                   +(1-K284)*(ROUND(K122,3)-'(参考)保険料の推計に要する係数'!$D24)
                                   +(1-K285)*(ROUND(K123,3)-'(参考)保険料の推計に要する係数'!$D25)
                                   +(1-K286)*(ROUND(K124,3)-'(参考)保険料の推計に要する係数'!$D26)
                                   +(1-K287)*(ROUND(K125,3)-'(参考)保険料の推計に要する係数'!$D27)
                                   +(1-K288)*(ROUND(K126,3)-'(参考)保険料の推計に要する係数'!$D28)
                                   +(1-K289)*(ROUND(K127,3)-'(参考)保険料の推計に要する係数'!$D29)
                                   +(1-K290)*(ROUND(K128,3)-'(参考)保険料の推計に要する係数'!$D30)
                                   +(1-K291)*(ROUND(K129,3)-'(参考)保険料の推計に要する係数'!$D31)
                                 ),4),0)</f>
        <v>0.0</v>
      </c>
      <c r="L99" s="971" t="n">
        <f>IF(L147&gt;0,ROUND(
                            1-(
                                    (1-L277)*(ROUND(L115,3)-'(参考)保険料の推計に要する係数'!$D17)
                                 +(1-L278)*(ROUND(L116,3)-'(参考)保険料の推計に要する係数'!$D18)
                                 +(1-L279)*(ROUND(L117,3)-'(参考)保険料の推計に要する係数'!$D19)
                                   +(1-L280)*(ROUND(L118,3)-'(参考)保険料の推計に要する係数'!$D20)
                                     +(1-L281)*(ROUND(L119,3)-'(参考)保険料の推計に要する係数'!$D21)
                                   +(1-L282)*(ROUND(L120,3)-'(参考)保険料の推計に要する係数'!$D22)
                                   +(1-L283)*(ROUND(L121,3)-'(参考)保険料の推計に要する係数'!$D23)
                                   +(1-L284)*(ROUND(L122,3)-'(参考)保険料の推計に要する係数'!$D24)
                                   +(1-L285)*(ROUND(L123,3)-'(参考)保険料の推計に要する係数'!$D25)
                                   +(1-L286)*(ROUND(L124,3)-'(参考)保険料の推計に要する係数'!$D26)
                                   +(1-L287)*(ROUND(L125,3)-'(参考)保険料の推計に要する係数'!$D27)
                                   +(1-L288)*(ROUND(L126,3)-'(参考)保険料の推計に要する係数'!$D28)
                                   +(1-L289)*(ROUND(L127,3)-'(参考)保険料の推計に要する係数'!$D29)
                                   +(1-L290)*(ROUND(L128,3)-'(参考)保険料の推計に要する係数'!$D30)
                                   +(1-L291)*(ROUND(L129,3)-'(参考)保険料の推計に要する係数'!$D31)
                                 ),4),0)</f>
        <v>0.0</v>
      </c>
      <c r="M99" s="971" t="n">
        <f>IF(M147&gt;0,ROUND(
                            1-(
                                    (1-M277)*(ROUND(M115,3)-'(参考)保険料の推計に要する係数'!$D17)
                                 +(1-M278)*(ROUND(M116,3)-'(参考)保険料の推計に要する係数'!$D18)
                                 +(1-M279)*(ROUND(M117,3)-'(参考)保険料の推計に要する係数'!$D19)
                                   +(1-M280)*(ROUND(M118,3)-'(参考)保険料の推計に要する係数'!$D20)
                                     +(1-M281)*(ROUND(M119,3)-'(参考)保険料の推計に要する係数'!$D21)
                                   +(1-M282)*(ROUND(M120,3)-'(参考)保険料の推計に要する係数'!$D22)
                                   +(1-M283)*(ROUND(M121,3)-'(参考)保険料の推計に要する係数'!$D23)
                                   +(1-M284)*(ROUND(M122,3)-'(参考)保険料の推計に要する係数'!$D24)
                                   +(1-M285)*(ROUND(M123,3)-'(参考)保険料の推計に要する係数'!$D25)
                                   +(1-M286)*(ROUND(M124,3)-'(参考)保険料の推計に要する係数'!$D26)
                                   +(1-M287)*(ROUND(M125,3)-'(参考)保険料の推計に要する係数'!$D27)
                                   +(1-M288)*(ROUND(M126,3)-'(参考)保険料の推計に要する係数'!$D28)
                                   +(1-M289)*(ROUND(M127,3)-'(参考)保険料の推計に要する係数'!$D29)
                                   +(1-M290)*(ROUND(M128,3)-'(参考)保険料の推計に要する係数'!$D30)
                                   +(1-M291)*(ROUND(M129,3)-'(参考)保険料の推計に要する係数'!$D31)
                                 ),4),0)</f>
        <v>0.0</v>
      </c>
      <c r="N99" s="972" t="n">
        <f>IF(N147&gt;0,ROUND(
                            1-(
                                    (1-N277)*(ROUND(N115,3)-'(参考)保険料の推計に要する係数'!$D17)
                                 +(1-N278)*(ROUND(N116,3)-'(参考)保険料の推計に要する係数'!$D18)
                                 +(1-N279)*(ROUND(N117,3)-'(参考)保険料の推計に要する係数'!$D19)
                                   +(1-N280)*(ROUND(N118,3)-'(参考)保険料の推計に要する係数'!$D20)
                                     +(1-N281)*(ROUND(N119,3)-'(参考)保険料の推計に要する係数'!$D21)
                                   +(1-N282)*(ROUND(N120,3)-'(参考)保険料の推計に要する係数'!$D22)
                                   +(1-N283)*(ROUND(N121,3)-'(参考)保険料の推計に要する係数'!$D23)
                                   +(1-N284)*(ROUND(N122,3)-'(参考)保険料の推計に要する係数'!$D24)
                                   +(1-N285)*(ROUND(N123,3)-'(参考)保険料の推計に要する係数'!$D25)
                                   +(1-N286)*(ROUND(N124,3)-'(参考)保険料の推計に要する係数'!$D26)
                                   +(1-N287)*(ROUND(N125,3)-'(参考)保険料の推計に要する係数'!$D27)
                                   +(1-N288)*(ROUND(N126,3)-'(参考)保険料の推計に要する係数'!$D28)
                                   +(1-N289)*(ROUND(N127,3)-'(参考)保険料の推計に要する係数'!$D29)
                                   +(1-N290)*(ROUND(N128,3)-'(参考)保険料の推計に要する係数'!$D30)
                                   +(1-N291)*(ROUND(N129,3)-'(参考)保険料の推計に要する係数'!$D31)
                                 ),4),0)</f>
        <v>0.0</v>
      </c>
    </row>
    <row r="100" spans="1:14">
      <c r="A100" s="265" t="s">
        <v>154</v>
      </c>
      <c r="B100" s="266"/>
      <c r="C100" s="266"/>
      <c r="D100" s="266"/>
      <c r="E100" s="266"/>
      <c r="F100" s="169" t="n">
        <f>SUM(G100:I100)</f>
        <v>0.0</v>
      </c>
      <c r="G100" s="244"/>
      <c r="H100" s="801"/>
      <c r="I100" s="927"/>
      <c r="J100" s="648"/>
      <c r="K100" s="794"/>
      <c r="L100" s="794"/>
      <c r="M100" s="879"/>
      <c r="N100" s="795"/>
    </row>
    <row r="101" spans="1:14">
      <c r="A101" s="267" t="s">
        <v>155</v>
      </c>
      <c r="B101" s="205"/>
      <c r="C101" s="205"/>
      <c r="D101" s="205"/>
      <c r="E101" s="205"/>
      <c r="F101" s="928">
        <v>0</v>
      </c>
      <c r="G101" s="268"/>
      <c r="H101" s="269"/>
      <c r="I101" s="270"/>
      <c r="J101" s="648"/>
      <c r="K101" s="794"/>
      <c r="L101" s="794"/>
      <c r="M101" s="879"/>
      <c r="N101" s="795"/>
    </row>
    <row r="102" spans="1:14" ht="14.25" thickBot="1">
      <c r="A102" s="271" t="s">
        <v>330</v>
      </c>
      <c r="B102" s="272"/>
      <c r="C102" s="272"/>
      <c r="D102" s="272"/>
      <c r="E102" s="272"/>
      <c r="F102" s="929">
        <v>0</v>
      </c>
      <c r="G102" s="273"/>
      <c r="H102" s="274"/>
      <c r="I102" s="275"/>
      <c r="J102" s="655"/>
      <c r="K102" s="812"/>
      <c r="L102" s="812"/>
      <c r="M102" s="883"/>
      <c r="N102" s="813"/>
    </row>
    <row r="103" spans="1:14" ht="14.25" thickBot="1">
      <c r="A103" s="199" t="s">
        <v>412</v>
      </c>
      <c r="B103" s="200"/>
      <c r="C103" s="200"/>
      <c r="D103" s="200"/>
      <c r="E103" s="200"/>
      <c r="F103" s="276" t="n">
        <f>F90+F91-F92+F18+F21-F15+F85+F100+F101-F102</f>
        <v>8.683626E8</v>
      </c>
      <c r="G103" s="277"/>
      <c r="H103" s="278"/>
      <c r="I103" s="279"/>
      <c r="J103" s="656" t="n">
        <f>J90+J91-J92+G18+G21-G15+J85+J100+J101-J102</f>
        <v>2.9689881E8</v>
      </c>
      <c r="K103" s="814" t="n">
        <f>K90+K91-K92+H18+H21-H15+K85+K100+K101-K102</f>
        <v>3.089631E8</v>
      </c>
      <c r="L103" s="814" t="n">
        <f>L90+L91-L92+I18+I21-I15+L85+L100+L101-L102</f>
        <v>3.4296075E8</v>
      </c>
      <c r="M103" s="884" t="n">
        <f>M90+M91-M92+J18+J21-J15+M85+M100+M101-M102</f>
        <v>3.6193728E8</v>
      </c>
      <c r="N103" s="815" t="n">
        <f>N90+N91-N92+K18+K21-K15+N85+N100+N101-N102</f>
        <v>3.5437743E8</v>
      </c>
    </row>
    <row r="104" spans="1:14" ht="14.25" thickBot="1">
      <c r="A104" s="196" t="s">
        <v>156</v>
      </c>
      <c r="B104" s="197"/>
      <c r="C104" s="197"/>
      <c r="D104" s="197"/>
      <c r="E104" s="197"/>
      <c r="F104" s="280"/>
      <c r="G104" s="281"/>
      <c r="H104" s="282"/>
      <c r="I104" s="283"/>
      <c r="J104" s="657"/>
      <c r="K104" s="816"/>
      <c r="L104" s="816"/>
      <c r="M104" s="885"/>
      <c r="N104" s="817"/>
    </row>
    <row r="105" spans="1:14">
      <c r="F105" s="211"/>
    </row>
    <row r="106" spans="1:14" ht="14.25" thickBot="1">
      <c r="A106" s="195" t="s">
        <v>157</v>
      </c>
    </row>
    <row r="107" spans="1:14">
      <c r="A107" s="226"/>
      <c r="B107" s="227"/>
      <c r="C107" s="227"/>
      <c r="D107" s="227"/>
      <c r="E107" s="227"/>
      <c r="F107" s="1132" t="s">
        <v>346</v>
      </c>
      <c r="G107" s="1142"/>
      <c r="H107" s="1142"/>
      <c r="I107" s="1142"/>
      <c r="J107" s="1019" t="s">
        <v>424</v>
      </c>
      <c r="K107" s="1020" t="s">
        <v>425</v>
      </c>
      <c r="L107" s="1020" t="s">
        <v>426</v>
      </c>
      <c r="M107" s="1020" t="s">
        <v>427</v>
      </c>
      <c r="N107" s="1021" t="s">
        <v>423</v>
      </c>
    </row>
    <row r="108" spans="1:14" ht="14.25" thickBot="1">
      <c r="A108" s="228"/>
      <c r="F108" s="229" t="s">
        <v>150</v>
      </c>
      <c r="G108" s="230" t="s">
        <v>359</v>
      </c>
      <c r="H108" s="231" t="s">
        <v>357</v>
      </c>
      <c r="I108" s="1022" t="s">
        <v>355</v>
      </c>
      <c r="J108" s="1023" t="s">
        <v>382</v>
      </c>
      <c r="K108" s="992" t="s">
        <v>385</v>
      </c>
      <c r="L108" s="992" t="s">
        <v>388</v>
      </c>
      <c r="M108" s="992" t="s">
        <v>391</v>
      </c>
      <c r="N108" s="1002" t="s">
        <v>394</v>
      </c>
    </row>
    <row r="109" spans="1:14">
      <c r="A109" s="129" t="s">
        <v>158</v>
      </c>
      <c r="B109" s="83"/>
      <c r="C109" s="83"/>
      <c r="D109" s="83"/>
      <c r="E109" s="284"/>
      <c r="F109" s="618" t="n">
        <f>SUM(G109:I109)</f>
        <v>10275.0</v>
      </c>
      <c r="G109" s="285" t="n">
        <f>'1_推計値サマリ'!G12</f>
        <v>3434.0</v>
      </c>
      <c r="H109" s="285" t="n">
        <f>'1_推計値サマリ'!H12</f>
        <v>3427.0</v>
      </c>
      <c r="I109" s="286" t="n">
        <f>'1_推計値サマリ'!I12</f>
        <v>3414.0</v>
      </c>
      <c r="J109" s="637" t="n">
        <f>'1_推計値サマリ'!K12</f>
        <v>3406.0</v>
      </c>
      <c r="K109" s="818" t="n">
        <f>'1_推計値サマリ'!M12</f>
        <v>3206.0</v>
      </c>
      <c r="L109" s="818" t="n">
        <f>'1_推計値サマリ'!O12</f>
        <v>2993.0</v>
      </c>
      <c r="M109" s="886" t="n">
        <f>'1_推計値サマリ'!Q12</f>
        <v>2818.0</v>
      </c>
      <c r="N109" s="819" t="n">
        <f>'1_推計値サマリ'!S12</f>
        <v>2565.0</v>
      </c>
    </row>
    <row r="110" spans="1:14">
      <c r="A110" s="82"/>
      <c r="B110" s="132" t="s">
        <v>159</v>
      </c>
      <c r="C110" s="133"/>
      <c r="D110" s="133"/>
      <c r="E110" s="138"/>
      <c r="F110" s="619" t="n">
        <f>SUM(G110:I110)</f>
        <v>4575.0</v>
      </c>
      <c r="G110" s="248" t="n">
        <v>1568.0</v>
      </c>
      <c r="H110" s="248" t="n">
        <v>1525.0</v>
      </c>
      <c r="I110" s="287" t="n">
        <v>1482.0</v>
      </c>
      <c r="J110" s="634" t="n">
        <v>1439.0</v>
      </c>
      <c r="K110" s="384" t="n">
        <v>1143.0</v>
      </c>
      <c r="L110" s="384" t="n">
        <v>948.0</v>
      </c>
      <c r="M110" s="887" t="n">
        <v>942.0</v>
      </c>
      <c r="N110" s="820" t="n">
        <v>886.0</v>
      </c>
    </row>
    <row r="111" spans="1:14">
      <c r="A111" s="82"/>
      <c r="B111" s="154" t="s">
        <v>238</v>
      </c>
      <c r="C111" s="288"/>
      <c r="D111" s="288"/>
      <c r="E111" s="289"/>
      <c r="F111" s="290" t="n">
        <f>SUM(F112:F113)</f>
        <v>5700.0</v>
      </c>
      <c r="G111" s="291" t="n">
        <f>SUM(G112:G113)</f>
        <v>1866.0</v>
      </c>
      <c r="H111" s="291" t="n">
        <f t="shared" ref="H111:J111" si="37">SUM(H112:H113)</f>
        <v>1902.0</v>
      </c>
      <c r="I111" s="292" t="n">
        <f t="shared" si="37"/>
        <v>1932.0</v>
      </c>
      <c r="J111" s="638" t="n">
        <f t="shared" si="37"/>
        <v>1967.0</v>
      </c>
      <c r="K111" s="821" t="n">
        <f t="shared" ref="K111:M111" si="38">SUM(K112:K113)</f>
        <v>2063.0</v>
      </c>
      <c r="L111" s="821" t="n">
        <f t="shared" si="38"/>
        <v>2045.0</v>
      </c>
      <c r="M111" s="888" t="n">
        <f t="shared" si="38"/>
        <v>1876.0</v>
      </c>
      <c r="N111" s="822" t="n">
        <f t="shared" ref="N111" si="39">SUM(N112:N113)</f>
        <v>1679.0</v>
      </c>
    </row>
    <row r="112" spans="1:14">
      <c r="A112" s="82"/>
      <c r="B112" s="155"/>
      <c r="C112" s="133" t="s">
        <v>225</v>
      </c>
      <c r="D112" s="133"/>
      <c r="E112" s="138"/>
      <c r="F112" s="619" t="n">
        <f>SUM(G112:I112)</f>
        <v>3596.0</v>
      </c>
      <c r="G112" s="248" t="n">
        <v>1148.0</v>
      </c>
      <c r="H112" s="248" t="n">
        <v>1200.0</v>
      </c>
      <c r="I112" s="287" t="n">
        <v>1248.0</v>
      </c>
      <c r="J112" s="634" t="n">
        <v>1299.0</v>
      </c>
      <c r="K112" s="384" t="n">
        <v>1356.0</v>
      </c>
      <c r="L112" s="384" t="n">
        <v>1194.0</v>
      </c>
      <c r="M112" s="887" t="n">
        <v>962.0</v>
      </c>
      <c r="N112" s="820" t="n">
        <v>812.0</v>
      </c>
    </row>
    <row r="113" spans="1:14">
      <c r="A113" s="82"/>
      <c r="B113" s="156"/>
      <c r="C113" s="133" t="s">
        <v>222</v>
      </c>
      <c r="D113" s="133"/>
      <c r="E113" s="138"/>
      <c r="F113" s="619" t="n">
        <f>SUM(G113:I113)</f>
        <v>2104.0</v>
      </c>
      <c r="G113" s="248" t="n">
        <v>718.0</v>
      </c>
      <c r="H113" s="248" t="n">
        <v>702.0</v>
      </c>
      <c r="I113" s="287" t="n">
        <v>684.0</v>
      </c>
      <c r="J113" s="634" t="n">
        <v>668.0</v>
      </c>
      <c r="K113" s="384" t="n">
        <v>707.0</v>
      </c>
      <c r="L113" s="384" t="n">
        <v>851.0</v>
      </c>
      <c r="M113" s="887" t="n">
        <v>914.0</v>
      </c>
      <c r="N113" s="820" t="n">
        <v>867.0</v>
      </c>
    </row>
    <row r="114" spans="1:14">
      <c r="A114" s="82"/>
      <c r="B114" s="130" t="s">
        <v>160</v>
      </c>
      <c r="C114" s="34"/>
      <c r="D114" s="34"/>
      <c r="E114" s="293"/>
      <c r="F114" s="201"/>
      <c r="G114" s="294"/>
      <c r="H114" s="294"/>
      <c r="I114" s="295"/>
      <c r="J114" s="639"/>
      <c r="K114" s="823"/>
      <c r="L114" s="823"/>
      <c r="M114" s="889"/>
      <c r="N114" s="824"/>
    </row>
    <row r="115" spans="1:14">
      <c r="A115" s="82"/>
      <c r="B115" s="130"/>
      <c r="C115" s="35" t="s">
        <v>161</v>
      </c>
      <c r="D115" s="125"/>
      <c r="E115" s="136"/>
      <c r="F115" s="296" t="n">
        <f t="shared" ref="F115" si="40">IF(F$109&gt;0,F132/F$109,0)</f>
        <v>0.0</v>
      </c>
      <c r="G115" s="968" t="n">
        <f t="shared" ref="G115:N115" si="41">IF(G$109&gt;0,G132/G$109,0)</f>
        <v>0.0</v>
      </c>
      <c r="H115" s="968" t="n">
        <f t="shared" si="41"/>
        <v>0.0</v>
      </c>
      <c r="I115" s="967" t="n">
        <f t="shared" si="41"/>
        <v>0.0</v>
      </c>
      <c r="J115" s="296" t="n">
        <f t="shared" si="41"/>
        <v>0.0</v>
      </c>
      <c r="K115" s="296" t="n">
        <f t="shared" si="41"/>
        <v>0.0</v>
      </c>
      <c r="L115" s="296" t="n">
        <f t="shared" si="41"/>
        <v>0.0</v>
      </c>
      <c r="M115" s="296" t="n">
        <f t="shared" si="41"/>
        <v>0.0</v>
      </c>
      <c r="N115" s="969" t="n">
        <f t="shared" si="41"/>
        <v>0.0</v>
      </c>
    </row>
    <row r="116" spans="1:14">
      <c r="A116" s="82"/>
      <c r="B116" s="130"/>
      <c r="C116" s="35" t="s">
        <v>162</v>
      </c>
      <c r="D116" s="125"/>
      <c r="E116" s="136"/>
      <c r="F116" s="296" t="n">
        <f t="shared" ref="F116:F130" si="42">IF(F$109&gt;0,F133/F$109,0)</f>
        <v>0.0</v>
      </c>
      <c r="G116" s="968" t="n">
        <f t="shared" ref="G116:N116" si="43">IF(G$109&gt;0,G133/G$109,0)</f>
        <v>0.0</v>
      </c>
      <c r="H116" s="968" t="n">
        <f t="shared" si="43"/>
        <v>0.0</v>
      </c>
      <c r="I116" s="967" t="n">
        <f t="shared" si="43"/>
        <v>0.0</v>
      </c>
      <c r="J116" s="296" t="n">
        <f t="shared" si="43"/>
        <v>0.0</v>
      </c>
      <c r="K116" s="296" t="n">
        <f t="shared" si="43"/>
        <v>0.0</v>
      </c>
      <c r="L116" s="296" t="n">
        <f t="shared" si="43"/>
        <v>0.0</v>
      </c>
      <c r="M116" s="296" t="n">
        <f t="shared" si="43"/>
        <v>0.0</v>
      </c>
      <c r="N116" s="969" t="n">
        <f t="shared" si="43"/>
        <v>0.0</v>
      </c>
    </row>
    <row r="117" spans="1:14">
      <c r="A117" s="82"/>
      <c r="B117" s="130"/>
      <c r="C117" s="35" t="s">
        <v>123</v>
      </c>
      <c r="D117" s="125"/>
      <c r="E117" s="136"/>
      <c r="F117" s="296" t="n">
        <f t="shared" si="42"/>
        <v>0.0</v>
      </c>
      <c r="G117" s="968" t="n">
        <f t="shared" ref="G117:N117" si="44">IF(G$109&gt;0,G134/G$109,0)</f>
        <v>0.0</v>
      </c>
      <c r="H117" s="968" t="n">
        <f t="shared" si="44"/>
        <v>0.0</v>
      </c>
      <c r="I117" s="967" t="n">
        <f t="shared" si="44"/>
        <v>0.0</v>
      </c>
      <c r="J117" s="296" t="n">
        <f t="shared" si="44"/>
        <v>0.0</v>
      </c>
      <c r="K117" s="296" t="n">
        <f t="shared" si="44"/>
        <v>0.0</v>
      </c>
      <c r="L117" s="296" t="n">
        <f t="shared" si="44"/>
        <v>0.0</v>
      </c>
      <c r="M117" s="296" t="n">
        <f t="shared" si="44"/>
        <v>0.0</v>
      </c>
      <c r="N117" s="969" t="n">
        <f t="shared" si="44"/>
        <v>0.0</v>
      </c>
    </row>
    <row r="118" spans="1:14">
      <c r="A118" s="82"/>
      <c r="B118" s="130"/>
      <c r="C118" s="35" t="s">
        <v>124</v>
      </c>
      <c r="D118" s="125"/>
      <c r="E118" s="136"/>
      <c r="F118" s="296" t="n">
        <f t="shared" si="42"/>
        <v>0.0</v>
      </c>
      <c r="G118" s="968" t="n">
        <f t="shared" ref="G118:N118" si="45">IF(G$109&gt;0,G135/G$109,0)</f>
        <v>0.0</v>
      </c>
      <c r="H118" s="968" t="n">
        <f t="shared" si="45"/>
        <v>0.0</v>
      </c>
      <c r="I118" s="967" t="n">
        <f t="shared" si="45"/>
        <v>0.0</v>
      </c>
      <c r="J118" s="296" t="n">
        <f t="shared" si="45"/>
        <v>0.0</v>
      </c>
      <c r="K118" s="296" t="n">
        <f t="shared" si="45"/>
        <v>0.0</v>
      </c>
      <c r="L118" s="296" t="n">
        <f t="shared" si="45"/>
        <v>0.0</v>
      </c>
      <c r="M118" s="296" t="n">
        <f t="shared" si="45"/>
        <v>0.0</v>
      </c>
      <c r="N118" s="969" t="n">
        <f t="shared" si="45"/>
        <v>0.0</v>
      </c>
    </row>
    <row r="119" spans="1:14">
      <c r="A119" s="82"/>
      <c r="B119" s="130"/>
      <c r="C119" s="35" t="s">
        <v>125</v>
      </c>
      <c r="D119" s="125"/>
      <c r="E119" s="136"/>
      <c r="F119" s="296" t="n">
        <f t="shared" si="42"/>
        <v>0.0</v>
      </c>
      <c r="G119" s="968" t="n">
        <f t="shared" ref="G119:N119" si="46">IF(G$109&gt;0,G136/G$109,0)</f>
        <v>0.0</v>
      </c>
      <c r="H119" s="968" t="n">
        <f t="shared" si="46"/>
        <v>0.0</v>
      </c>
      <c r="I119" s="967" t="n">
        <f t="shared" si="46"/>
        <v>0.0</v>
      </c>
      <c r="J119" s="296" t="n">
        <f t="shared" si="46"/>
        <v>0.0</v>
      </c>
      <c r="K119" s="296" t="n">
        <f t="shared" si="46"/>
        <v>0.0</v>
      </c>
      <c r="L119" s="296" t="n">
        <f t="shared" si="46"/>
        <v>0.0</v>
      </c>
      <c r="M119" s="296" t="n">
        <f t="shared" si="46"/>
        <v>0.0</v>
      </c>
      <c r="N119" s="969" t="n">
        <f t="shared" si="46"/>
        <v>0.0</v>
      </c>
    </row>
    <row r="120" spans="1:14">
      <c r="A120" s="82"/>
      <c r="B120" s="130"/>
      <c r="C120" s="35" t="s">
        <v>226</v>
      </c>
      <c r="D120" s="125"/>
      <c r="E120" s="136"/>
      <c r="F120" s="296" t="n">
        <f t="shared" si="42"/>
        <v>0.0</v>
      </c>
      <c r="G120" s="968" t="n">
        <f t="shared" ref="G120:N120" si="47">IF(G$109&gt;0,G137/G$109,0)</f>
        <v>0.0</v>
      </c>
      <c r="H120" s="968" t="n">
        <f t="shared" si="47"/>
        <v>0.0</v>
      </c>
      <c r="I120" s="967" t="n">
        <f t="shared" si="47"/>
        <v>0.0</v>
      </c>
      <c r="J120" s="296" t="n">
        <f t="shared" si="47"/>
        <v>0.0</v>
      </c>
      <c r="K120" s="296" t="n">
        <f t="shared" si="47"/>
        <v>0.0</v>
      </c>
      <c r="L120" s="296" t="n">
        <f t="shared" si="47"/>
        <v>0.0</v>
      </c>
      <c r="M120" s="296" t="n">
        <f t="shared" si="47"/>
        <v>0.0</v>
      </c>
      <c r="N120" s="969" t="n">
        <f t="shared" si="47"/>
        <v>0.0</v>
      </c>
    </row>
    <row r="121" spans="1:14">
      <c r="A121" s="82"/>
      <c r="B121" s="130"/>
      <c r="C121" s="35" t="s">
        <v>227</v>
      </c>
      <c r="D121" s="125"/>
      <c r="E121" s="136"/>
      <c r="F121" s="296" t="n">
        <f t="shared" si="42"/>
        <v>0.0</v>
      </c>
      <c r="G121" s="968" t="n">
        <f t="shared" ref="G121:N121" si="48">IF(G$109&gt;0,G138/G$109,0)</f>
        <v>0.0</v>
      </c>
      <c r="H121" s="968" t="n">
        <f t="shared" si="48"/>
        <v>0.0</v>
      </c>
      <c r="I121" s="967" t="n">
        <f t="shared" si="48"/>
        <v>0.0</v>
      </c>
      <c r="J121" s="296" t="n">
        <f t="shared" si="48"/>
        <v>0.0</v>
      </c>
      <c r="K121" s="296" t="n">
        <f t="shared" si="48"/>
        <v>0.0</v>
      </c>
      <c r="L121" s="296" t="n">
        <f t="shared" si="48"/>
        <v>0.0</v>
      </c>
      <c r="M121" s="296" t="n">
        <f t="shared" si="48"/>
        <v>0.0</v>
      </c>
      <c r="N121" s="969" t="n">
        <f t="shared" si="48"/>
        <v>0.0</v>
      </c>
    </row>
    <row r="122" spans="1:14">
      <c r="A122" s="82"/>
      <c r="B122" s="130"/>
      <c r="C122" s="35" t="s">
        <v>228</v>
      </c>
      <c r="D122" s="125"/>
      <c r="E122" s="136"/>
      <c r="F122" s="296" t="n">
        <f t="shared" si="42"/>
        <v>0.0</v>
      </c>
      <c r="G122" s="968" t="n">
        <f t="shared" ref="G122:N122" si="49">IF(G$109&gt;0,G139/G$109,0)</f>
        <v>0.0</v>
      </c>
      <c r="H122" s="968" t="n">
        <f t="shared" si="49"/>
        <v>0.0</v>
      </c>
      <c r="I122" s="967" t="n">
        <f t="shared" si="49"/>
        <v>0.0</v>
      </c>
      <c r="J122" s="296" t="n">
        <f t="shared" si="49"/>
        <v>0.0</v>
      </c>
      <c r="K122" s="296" t="n">
        <f t="shared" si="49"/>
        <v>0.0</v>
      </c>
      <c r="L122" s="296" t="n">
        <f t="shared" si="49"/>
        <v>0.0</v>
      </c>
      <c r="M122" s="296" t="n">
        <f t="shared" si="49"/>
        <v>0.0</v>
      </c>
      <c r="N122" s="969" t="n">
        <f t="shared" si="49"/>
        <v>0.0</v>
      </c>
    </row>
    <row r="123" spans="1:14">
      <c r="A123" s="82"/>
      <c r="B123" s="130"/>
      <c r="C123" s="35" t="s">
        <v>229</v>
      </c>
      <c r="D123" s="125"/>
      <c r="E123" s="136"/>
      <c r="F123" s="296" t="n">
        <f t="shared" si="42"/>
        <v>0.0</v>
      </c>
      <c r="G123" s="968" t="n">
        <f t="shared" ref="G123:N123" si="50">IF(G$109&gt;0,G140/G$109,0)</f>
        <v>0.0</v>
      </c>
      <c r="H123" s="968" t="n">
        <f t="shared" si="50"/>
        <v>0.0</v>
      </c>
      <c r="I123" s="967" t="n">
        <f t="shared" si="50"/>
        <v>0.0</v>
      </c>
      <c r="J123" s="296" t="n">
        <f t="shared" si="50"/>
        <v>0.0</v>
      </c>
      <c r="K123" s="296" t="n">
        <f t="shared" si="50"/>
        <v>0.0</v>
      </c>
      <c r="L123" s="296" t="n">
        <f t="shared" si="50"/>
        <v>0.0</v>
      </c>
      <c r="M123" s="296" t="n">
        <f t="shared" si="50"/>
        <v>0.0</v>
      </c>
      <c r="N123" s="969" t="n">
        <f t="shared" si="50"/>
        <v>0.0</v>
      </c>
    </row>
    <row r="124" spans="1:14">
      <c r="A124" s="82"/>
      <c r="B124" s="130"/>
      <c r="C124" s="35" t="s">
        <v>332</v>
      </c>
      <c r="D124" s="125"/>
      <c r="E124" s="136"/>
      <c r="F124" s="296" t="n">
        <f t="shared" si="42"/>
        <v>0.0</v>
      </c>
      <c r="G124" s="968" t="n">
        <f t="shared" ref="G124:N124" si="51">IF(G$109&gt;0,G141/G$109,0)</f>
        <v>0.0</v>
      </c>
      <c r="H124" s="968" t="n">
        <f t="shared" si="51"/>
        <v>0.0</v>
      </c>
      <c r="I124" s="967" t="n">
        <f t="shared" si="51"/>
        <v>0.0</v>
      </c>
      <c r="J124" s="296" t="n">
        <f t="shared" si="51"/>
        <v>0.0</v>
      </c>
      <c r="K124" s="296" t="n">
        <f t="shared" si="51"/>
        <v>0.0</v>
      </c>
      <c r="L124" s="296" t="n">
        <f t="shared" si="51"/>
        <v>0.0</v>
      </c>
      <c r="M124" s="296" t="n">
        <f t="shared" si="51"/>
        <v>0.0</v>
      </c>
      <c r="N124" s="969" t="n">
        <f t="shared" si="51"/>
        <v>0.0</v>
      </c>
    </row>
    <row r="125" spans="1:14">
      <c r="A125" s="82"/>
      <c r="B125" s="130"/>
      <c r="C125" s="35" t="s">
        <v>333</v>
      </c>
      <c r="D125" s="125"/>
      <c r="E125" s="136"/>
      <c r="F125" s="296" t="n">
        <f t="shared" si="42"/>
        <v>0.0</v>
      </c>
      <c r="G125" s="968" t="n">
        <f t="shared" ref="G125:N125" si="52">IF(G$109&gt;0,G142/G$109,0)</f>
        <v>0.0</v>
      </c>
      <c r="H125" s="968" t="n">
        <f t="shared" si="52"/>
        <v>0.0</v>
      </c>
      <c r="I125" s="967" t="n">
        <f t="shared" si="52"/>
        <v>0.0</v>
      </c>
      <c r="J125" s="296" t="n">
        <f t="shared" si="52"/>
        <v>0.0</v>
      </c>
      <c r="K125" s="296" t="n">
        <f>IF(K$109&gt;0,K142/K$109,0)</f>
        <v>0.0</v>
      </c>
      <c r="L125" s="296" t="n">
        <f t="shared" si="52"/>
        <v>0.0</v>
      </c>
      <c r="M125" s="296" t="n">
        <f t="shared" si="52"/>
        <v>0.0</v>
      </c>
      <c r="N125" s="969" t="n">
        <f t="shared" si="52"/>
        <v>0.0</v>
      </c>
    </row>
    <row r="126" spans="1:14">
      <c r="A126" s="82"/>
      <c r="B126" s="130"/>
      <c r="C126" s="35" t="s">
        <v>334</v>
      </c>
      <c r="D126" s="125"/>
      <c r="E126" s="136"/>
      <c r="F126" s="296" t="n">
        <f t="shared" si="42"/>
        <v>0.0</v>
      </c>
      <c r="G126" s="968" t="n">
        <f t="shared" ref="G126:N126" si="53">IF(G$109&gt;0,G143/G$109,0)</f>
        <v>0.0</v>
      </c>
      <c r="H126" s="968" t="n">
        <f t="shared" si="53"/>
        <v>0.0</v>
      </c>
      <c r="I126" s="967" t="n">
        <f t="shared" si="53"/>
        <v>0.0</v>
      </c>
      <c r="J126" s="296" t="n">
        <f t="shared" si="53"/>
        <v>0.0</v>
      </c>
      <c r="K126" s="296" t="n">
        <f>IF(K$109&gt;0,K143/K$109,0)</f>
        <v>0.0</v>
      </c>
      <c r="L126" s="296" t="n">
        <f t="shared" si="53"/>
        <v>0.0</v>
      </c>
      <c r="M126" s="296" t="n">
        <f t="shared" si="53"/>
        <v>0.0</v>
      </c>
      <c r="N126" s="969" t="n">
        <f t="shared" si="53"/>
        <v>0.0</v>
      </c>
    </row>
    <row r="127" spans="1:14">
      <c r="A127" s="82"/>
      <c r="B127" s="130"/>
      <c r="C127" s="35" t="s">
        <v>343</v>
      </c>
      <c r="D127" s="125"/>
      <c r="E127" s="136"/>
      <c r="F127" s="296" t="n">
        <f t="shared" si="42"/>
        <v>0.0</v>
      </c>
      <c r="G127" s="968" t="n">
        <f t="shared" ref="G127:N127" si="54">IF(G$109&gt;0,G144/G$109,0)</f>
        <v>0.0</v>
      </c>
      <c r="H127" s="968" t="n">
        <f t="shared" si="54"/>
        <v>0.0</v>
      </c>
      <c r="I127" s="967" t="n">
        <f t="shared" si="54"/>
        <v>0.0</v>
      </c>
      <c r="J127" s="296" t="n">
        <f t="shared" si="54"/>
        <v>0.0</v>
      </c>
      <c r="K127" s="296" t="n">
        <f>IF(K$109&gt;0,K144/K$109,0)</f>
        <v>0.0</v>
      </c>
      <c r="L127" s="296" t="n">
        <f t="shared" si="54"/>
        <v>0.0</v>
      </c>
      <c r="M127" s="296" t="n">
        <f t="shared" si="54"/>
        <v>0.0</v>
      </c>
      <c r="N127" s="969" t="n">
        <f t="shared" si="54"/>
        <v>0.0</v>
      </c>
    </row>
    <row r="128" spans="1:14" hidden="1">
      <c r="A128" s="82"/>
      <c r="B128" s="130"/>
      <c r="C128" s="35"/>
      <c r="D128" s="125"/>
      <c r="E128" s="136"/>
      <c r="F128" s="296" t="n">
        <f t="shared" si="42"/>
        <v>0.0</v>
      </c>
      <c r="G128" s="968" t="n">
        <f>IF(G$109&gt;0,G145/G$109,0)</f>
        <v>0.0</v>
      </c>
      <c r="H128" s="968" t="n">
        <f t="shared" ref="H128:N128" si="55">IF(H$109&gt;0,H145/H$109,0)</f>
        <v>0.0</v>
      </c>
      <c r="I128" s="967" t="n">
        <f t="shared" si="55"/>
        <v>0.0</v>
      </c>
      <c r="J128" s="296" t="n">
        <f t="shared" si="55"/>
        <v>0.0</v>
      </c>
      <c r="K128" s="296" t="n">
        <f>IF(K$109&gt;0,K145/K$109,0)</f>
        <v>0.0</v>
      </c>
      <c r="L128" s="296" t="n">
        <f t="shared" si="55"/>
        <v>0.0</v>
      </c>
      <c r="M128" s="296" t="n">
        <f t="shared" si="55"/>
        <v>0.0</v>
      </c>
      <c r="N128" s="969" t="n">
        <f t="shared" si="55"/>
        <v>0.0</v>
      </c>
    </row>
    <row r="129" spans="1:14" hidden="1">
      <c r="A129" s="82"/>
      <c r="B129" s="130"/>
      <c r="C129" s="35"/>
      <c r="D129" s="125"/>
      <c r="E129" s="136"/>
      <c r="F129" s="296" t="n">
        <f t="shared" si="42"/>
        <v>0.0</v>
      </c>
      <c r="G129" s="968" t="n">
        <f>IF(G$109&gt;0,G146/G$109,0)</f>
        <v>0.0</v>
      </c>
      <c r="H129" s="968" t="n">
        <f t="shared" ref="H129:N129" si="56">IF(H$109&gt;0,H146/H$109,0)</f>
        <v>0.0</v>
      </c>
      <c r="I129" s="967" t="n">
        <f t="shared" si="56"/>
        <v>0.0</v>
      </c>
      <c r="J129" s="296" t="n">
        <f t="shared" si="56"/>
        <v>0.0</v>
      </c>
      <c r="K129" s="296" t="n">
        <f>IF(K$109&gt;0,K146/K$109,0)</f>
        <v>0.0</v>
      </c>
      <c r="L129" s="296" t="n">
        <f t="shared" si="56"/>
        <v>0.0</v>
      </c>
      <c r="M129" s="296" t="n">
        <f t="shared" si="56"/>
        <v>0.0</v>
      </c>
      <c r="N129" s="969" t="n">
        <f t="shared" si="56"/>
        <v>0.0</v>
      </c>
    </row>
    <row r="130" spans="1:14">
      <c r="A130" s="82"/>
      <c r="B130" s="130"/>
      <c r="C130" s="35" t="s">
        <v>36</v>
      </c>
      <c r="D130" s="125"/>
      <c r="E130" s="136"/>
      <c r="F130" s="296" t="n">
        <f t="shared" si="42"/>
        <v>0.0</v>
      </c>
      <c r="G130" s="968" t="n">
        <f>IF(G$109&gt;0,G147/G$109,0)</f>
        <v>0.0</v>
      </c>
      <c r="H130" s="968" t="n">
        <f t="shared" ref="H130:N130" si="57">IF(H$109&gt;0,H147/H$109,0)</f>
        <v>0.0</v>
      </c>
      <c r="I130" s="967" t="n">
        <f t="shared" si="57"/>
        <v>0.0</v>
      </c>
      <c r="J130" s="296" t="n">
        <f t="shared" si="57"/>
        <v>0.0</v>
      </c>
      <c r="K130" s="296" t="n">
        <f t="shared" si="57"/>
        <v>0.0</v>
      </c>
      <c r="L130" s="296" t="n">
        <f t="shared" si="57"/>
        <v>0.0</v>
      </c>
      <c r="M130" s="296" t="n">
        <f t="shared" si="57"/>
        <v>0.0</v>
      </c>
      <c r="N130" s="969" t="n">
        <f t="shared" si="57"/>
        <v>0.0</v>
      </c>
    </row>
    <row r="131" spans="1:14">
      <c r="A131" s="82"/>
      <c r="B131" s="137" t="s">
        <v>163</v>
      </c>
      <c r="C131" s="35"/>
      <c r="D131" s="125"/>
      <c r="E131" s="136"/>
      <c r="F131" s="299"/>
      <c r="G131" s="300"/>
      <c r="H131" s="300"/>
      <c r="I131" s="301"/>
      <c r="J131" s="641"/>
      <c r="K131" s="827"/>
      <c r="L131" s="827"/>
      <c r="M131" s="891"/>
      <c r="N131" s="828"/>
    </row>
    <row r="132" spans="1:14">
      <c r="A132" s="82"/>
      <c r="B132" s="302"/>
      <c r="C132" s="132" t="s">
        <v>161</v>
      </c>
      <c r="D132" s="133"/>
      <c r="E132" s="138"/>
      <c r="F132" s="619" t="n">
        <f>SUM(G132:I132)</f>
        <v>0.0</v>
      </c>
      <c r="G132" s="248"/>
      <c r="H132" s="248"/>
      <c r="I132" s="287"/>
      <c r="J132" s="634"/>
      <c r="K132" s="384"/>
      <c r="L132" s="384"/>
      <c r="M132" s="887"/>
      <c r="N132" s="820"/>
    </row>
    <row r="133" spans="1:14">
      <c r="A133" s="82"/>
      <c r="B133" s="302"/>
      <c r="C133" s="132" t="s">
        <v>162</v>
      </c>
      <c r="D133" s="133"/>
      <c r="E133" s="138"/>
      <c r="F133" s="619" t="n">
        <f t="shared" ref="F133:F140" si="58">SUM(G133:I133)</f>
        <v>0.0</v>
      </c>
      <c r="G133" s="248"/>
      <c r="H133" s="248"/>
      <c r="I133" s="287"/>
      <c r="J133" s="634"/>
      <c r="K133" s="384"/>
      <c r="L133" s="384"/>
      <c r="M133" s="887"/>
      <c r="N133" s="820"/>
    </row>
    <row r="134" spans="1:14">
      <c r="A134" s="82"/>
      <c r="B134" s="302"/>
      <c r="C134" s="132" t="s">
        <v>123</v>
      </c>
      <c r="D134" s="133"/>
      <c r="E134" s="138"/>
      <c r="F134" s="619" t="n">
        <f t="shared" si="58"/>
        <v>0.0</v>
      </c>
      <c r="G134" s="248"/>
      <c r="H134" s="248"/>
      <c r="I134" s="287"/>
      <c r="J134" s="634"/>
      <c r="K134" s="384"/>
      <c r="L134" s="384"/>
      <c r="M134" s="887"/>
      <c r="N134" s="820"/>
    </row>
    <row r="135" spans="1:14">
      <c r="A135" s="82"/>
      <c r="B135" s="302"/>
      <c r="C135" s="132" t="s">
        <v>124</v>
      </c>
      <c r="D135" s="133"/>
      <c r="E135" s="138"/>
      <c r="F135" s="619" t="n">
        <f t="shared" si="58"/>
        <v>0.0</v>
      </c>
      <c r="G135" s="248"/>
      <c r="H135" s="248"/>
      <c r="I135" s="287"/>
      <c r="J135" s="634"/>
      <c r="K135" s="384"/>
      <c r="L135" s="384"/>
      <c r="M135" s="887"/>
      <c r="N135" s="820"/>
    </row>
    <row r="136" spans="1:14">
      <c r="A136" s="82"/>
      <c r="B136" s="302"/>
      <c r="C136" s="132" t="s">
        <v>125</v>
      </c>
      <c r="D136" s="133"/>
      <c r="E136" s="138"/>
      <c r="F136" s="619" t="n">
        <f t="shared" si="58"/>
        <v>0.0</v>
      </c>
      <c r="G136" s="248"/>
      <c r="H136" s="248"/>
      <c r="I136" s="287"/>
      <c r="J136" s="634"/>
      <c r="K136" s="384"/>
      <c r="L136" s="384"/>
      <c r="M136" s="887"/>
      <c r="N136" s="820"/>
    </row>
    <row r="137" spans="1:14">
      <c r="A137" s="82"/>
      <c r="B137" s="302"/>
      <c r="C137" s="132" t="s">
        <v>233</v>
      </c>
      <c r="D137" s="133"/>
      <c r="E137" s="138"/>
      <c r="F137" s="619" t="n">
        <f t="shared" si="58"/>
        <v>0.0</v>
      </c>
      <c r="G137" s="248"/>
      <c r="H137" s="248"/>
      <c r="I137" s="287"/>
      <c r="J137" s="634"/>
      <c r="K137" s="384"/>
      <c r="L137" s="384"/>
      <c r="M137" s="887"/>
      <c r="N137" s="820"/>
    </row>
    <row r="138" spans="1:14">
      <c r="A138" s="82"/>
      <c r="B138" s="302"/>
      <c r="C138" s="132" t="s">
        <v>234</v>
      </c>
      <c r="D138" s="133"/>
      <c r="E138" s="138"/>
      <c r="F138" s="619" t="n">
        <f t="shared" si="58"/>
        <v>0.0</v>
      </c>
      <c r="G138" s="248"/>
      <c r="H138" s="248"/>
      <c r="I138" s="287"/>
      <c r="J138" s="634"/>
      <c r="K138" s="384"/>
      <c r="L138" s="384"/>
      <c r="M138" s="887"/>
      <c r="N138" s="820"/>
    </row>
    <row r="139" spans="1:14">
      <c r="A139" s="82"/>
      <c r="B139" s="302"/>
      <c r="C139" s="132" t="s">
        <v>235</v>
      </c>
      <c r="D139" s="133"/>
      <c r="E139" s="138"/>
      <c r="F139" s="619" t="n">
        <f t="shared" si="58"/>
        <v>0.0</v>
      </c>
      <c r="G139" s="248"/>
      <c r="H139" s="248"/>
      <c r="I139" s="287"/>
      <c r="J139" s="634"/>
      <c r="K139" s="384"/>
      <c r="L139" s="384"/>
      <c r="M139" s="887"/>
      <c r="N139" s="820"/>
    </row>
    <row r="140" spans="1:14">
      <c r="A140" s="82"/>
      <c r="B140" s="302"/>
      <c r="C140" s="132" t="s">
        <v>236</v>
      </c>
      <c r="D140" s="133"/>
      <c r="E140" s="138"/>
      <c r="F140" s="619" t="n">
        <f t="shared" si="58"/>
        <v>0.0</v>
      </c>
      <c r="G140" s="248"/>
      <c r="H140" s="248"/>
      <c r="I140" s="287"/>
      <c r="J140" s="634"/>
      <c r="K140" s="384"/>
      <c r="L140" s="384"/>
      <c r="M140" s="887"/>
      <c r="N140" s="820"/>
    </row>
    <row r="141" spans="1:14">
      <c r="A141" s="82"/>
      <c r="B141" s="302"/>
      <c r="C141" s="132" t="s">
        <v>332</v>
      </c>
      <c r="D141" s="133"/>
      <c r="E141" s="138"/>
      <c r="F141" s="619" t="n">
        <f t="shared" ref="F141" si="59">SUM(G141:I141)</f>
        <v>0.0</v>
      </c>
      <c r="G141" s="248"/>
      <c r="H141" s="248"/>
      <c r="I141" s="287"/>
      <c r="J141" s="634"/>
      <c r="K141" s="384"/>
      <c r="L141" s="384"/>
      <c r="M141" s="887"/>
      <c r="N141" s="820"/>
    </row>
    <row r="142" spans="1:14">
      <c r="A142" s="82"/>
      <c r="B142" s="302"/>
      <c r="C142" s="132" t="s">
        <v>333</v>
      </c>
      <c r="D142" s="133"/>
      <c r="E142" s="138"/>
      <c r="F142" s="619" t="n">
        <f>SUM(G142:I142)</f>
        <v>0.0</v>
      </c>
      <c r="G142" s="248"/>
      <c r="H142" s="248"/>
      <c r="I142" s="287"/>
      <c r="J142" s="634"/>
      <c r="K142" s="384"/>
      <c r="L142" s="384"/>
      <c r="M142" s="887"/>
      <c r="N142" s="820"/>
    </row>
    <row r="143" spans="1:14">
      <c r="A143" s="82"/>
      <c r="B143" s="302"/>
      <c r="C143" s="132" t="s">
        <v>334</v>
      </c>
      <c r="D143" s="133"/>
      <c r="E143" s="138"/>
      <c r="F143" s="619" t="n">
        <f>SUM(G143:I143)</f>
        <v>0.0</v>
      </c>
      <c r="G143" s="248"/>
      <c r="H143" s="248"/>
      <c r="I143" s="287"/>
      <c r="J143" s="634"/>
      <c r="K143" s="384"/>
      <c r="L143" s="384"/>
      <c r="M143" s="887"/>
      <c r="N143" s="820"/>
    </row>
    <row r="144" spans="1:14">
      <c r="A144" s="82"/>
      <c r="B144" s="302"/>
      <c r="C144" s="132" t="s">
        <v>343</v>
      </c>
      <c r="D144" s="133"/>
      <c r="E144" s="138"/>
      <c r="F144" s="619" t="n">
        <f>SUM(G144:I144)</f>
        <v>0.0</v>
      </c>
      <c r="G144" s="248"/>
      <c r="H144" s="248"/>
      <c r="I144" s="287"/>
      <c r="J144" s="634"/>
      <c r="K144" s="384"/>
      <c r="L144" s="384"/>
      <c r="M144" s="887"/>
      <c r="N144" s="820"/>
    </row>
    <row r="145" spans="1:14" hidden="1">
      <c r="A145" s="82"/>
      <c r="B145" s="302"/>
      <c r="C145" s="132"/>
      <c r="D145" s="133"/>
      <c r="E145" s="138"/>
      <c r="F145" s="619" t="n">
        <f>SUM(G145:I145)</f>
        <v>0.0</v>
      </c>
      <c r="G145" s="248"/>
      <c r="H145" s="248"/>
      <c r="I145" s="287"/>
      <c r="J145" s="634"/>
      <c r="K145" s="384"/>
      <c r="L145" s="384"/>
      <c r="M145" s="887"/>
      <c r="N145" s="820"/>
    </row>
    <row r="146" spans="1:14" hidden="1">
      <c r="A146" s="82"/>
      <c r="B146" s="302"/>
      <c r="C146" s="132"/>
      <c r="D146" s="133"/>
      <c r="E146" s="138"/>
      <c r="F146" s="619" t="n">
        <f>SUM(G146:I146)</f>
        <v>0.0</v>
      </c>
      <c r="G146" s="248"/>
      <c r="H146" s="248"/>
      <c r="I146" s="287"/>
      <c r="J146" s="634"/>
      <c r="K146" s="384"/>
      <c r="L146" s="384"/>
      <c r="M146" s="887"/>
      <c r="N146" s="820"/>
    </row>
    <row r="147" spans="1:14">
      <c r="A147" s="82"/>
      <c r="B147" s="302"/>
      <c r="C147" s="303" t="s">
        <v>36</v>
      </c>
      <c r="D147" s="124"/>
      <c r="E147" s="304"/>
      <c r="F147" s="305" t="n">
        <f>SUM(F132:F146)</f>
        <v>0.0</v>
      </c>
      <c r="G147" s="306" t="n">
        <f>SUM(G132:G146)</f>
        <v>0.0</v>
      </c>
      <c r="H147" s="306" t="n">
        <f t="shared" ref="H147:M147" si="60">SUM(H132:H146)</f>
        <v>0.0</v>
      </c>
      <c r="I147" s="307" t="n">
        <f t="shared" si="60"/>
        <v>0.0</v>
      </c>
      <c r="J147" s="642" t="n">
        <f t="shared" si="60"/>
        <v>0.0</v>
      </c>
      <c r="K147" s="829" t="n">
        <f t="shared" si="60"/>
        <v>0.0</v>
      </c>
      <c r="L147" s="829" t="n">
        <f t="shared" si="60"/>
        <v>0.0</v>
      </c>
      <c r="M147" s="892" t="n">
        <f t="shared" si="60"/>
        <v>0.0</v>
      </c>
      <c r="N147" s="830" t="n">
        <f>SUM(N132:N146)</f>
        <v>0.0</v>
      </c>
    </row>
    <row r="148" spans="1:14">
      <c r="A148" s="82"/>
      <c r="B148" s="1138" t="s">
        <v>164</v>
      </c>
      <c r="C148" s="1139"/>
      <c r="D148" s="1139"/>
      <c r="E148" s="1148"/>
      <c r="F148" s="201"/>
      <c r="G148" s="294"/>
      <c r="H148" s="294"/>
      <c r="I148" s="295"/>
      <c r="J148" s="639"/>
      <c r="K148" s="823"/>
      <c r="L148" s="823"/>
      <c r="M148" s="889"/>
      <c r="N148" s="824"/>
    </row>
    <row r="149" spans="1:14">
      <c r="A149" s="82"/>
      <c r="B149" s="137"/>
      <c r="C149" s="125" t="s">
        <v>161</v>
      </c>
      <c r="D149" s="125"/>
      <c r="E149" s="136"/>
      <c r="F149" s="296" t="str">
        <f t="shared" ref="F149:N149" si="61">IF(AND(F$109&gt;0,F181&lt;&gt;""),F181/F$109,"")</f>
        <v/>
      </c>
      <c r="G149" s="297" t="str">
        <f t="shared" si="61"/>
        <v/>
      </c>
      <c r="H149" s="297" t="str">
        <f t="shared" si="61"/>
        <v/>
      </c>
      <c r="I149" s="298" t="str">
        <f t="shared" si="61"/>
        <v/>
      </c>
      <c r="J149" s="640" t="str">
        <f t="shared" si="61"/>
        <v/>
      </c>
      <c r="K149" s="825" t="str">
        <f t="shared" si="61"/>
        <v/>
      </c>
      <c r="L149" s="825" t="str">
        <f t="shared" si="61"/>
        <v/>
      </c>
      <c r="M149" s="890" t="str">
        <f t="shared" si="61"/>
        <v/>
      </c>
      <c r="N149" s="826" t="str">
        <f t="shared" si="61"/>
        <v/>
      </c>
    </row>
    <row r="150" spans="1:14">
      <c r="A150" s="82"/>
      <c r="B150" s="302"/>
      <c r="C150" s="125" t="s">
        <v>162</v>
      </c>
      <c r="D150" s="125"/>
      <c r="E150" s="136"/>
      <c r="F150" s="296" t="str">
        <f t="shared" ref="F150:N150" si="62">IF(AND(F$109&gt;0,F182&lt;&gt;""),F182/F$109,"")</f>
        <v/>
      </c>
      <c r="G150" s="297" t="str">
        <f t="shared" si="62"/>
        <v/>
      </c>
      <c r="H150" s="297" t="str">
        <f t="shared" si="62"/>
        <v/>
      </c>
      <c r="I150" s="298" t="str">
        <f t="shared" si="62"/>
        <v/>
      </c>
      <c r="J150" s="640" t="str">
        <f t="shared" si="62"/>
        <v/>
      </c>
      <c r="K150" s="825" t="str">
        <f t="shared" si="62"/>
        <v/>
      </c>
      <c r="L150" s="825" t="str">
        <f t="shared" si="62"/>
        <v/>
      </c>
      <c r="M150" s="890" t="str">
        <f t="shared" si="62"/>
        <v/>
      </c>
      <c r="N150" s="826" t="str">
        <f t="shared" si="62"/>
        <v/>
      </c>
    </row>
    <row r="151" spans="1:14">
      <c r="A151" s="82"/>
      <c r="B151" s="302"/>
      <c r="C151" s="125" t="s">
        <v>123</v>
      </c>
      <c r="D151" s="125"/>
      <c r="E151" s="136"/>
      <c r="F151" s="296" t="str">
        <f t="shared" ref="F151:N151" si="63">IF(AND(F$109&gt;0,F183&lt;&gt;""),F183/F$109,"")</f>
        <v/>
      </c>
      <c r="G151" s="297" t="str">
        <f t="shared" si="63"/>
        <v/>
      </c>
      <c r="H151" s="297" t="str">
        <f t="shared" si="63"/>
        <v/>
      </c>
      <c r="I151" s="298" t="str">
        <f t="shared" si="63"/>
        <v/>
      </c>
      <c r="J151" s="640" t="str">
        <f t="shared" si="63"/>
        <v/>
      </c>
      <c r="K151" s="825" t="str">
        <f t="shared" si="63"/>
        <v/>
      </c>
      <c r="L151" s="825" t="str">
        <f t="shared" si="63"/>
        <v/>
      </c>
      <c r="M151" s="890" t="str">
        <f t="shared" si="63"/>
        <v/>
      </c>
      <c r="N151" s="826" t="str">
        <f t="shared" si="63"/>
        <v/>
      </c>
    </row>
    <row r="152" spans="1:14">
      <c r="A152" s="82"/>
      <c r="B152" s="302"/>
      <c r="C152" s="125" t="s">
        <v>124</v>
      </c>
      <c r="D152" s="125"/>
      <c r="E152" s="136"/>
      <c r="F152" s="296" t="str">
        <f t="shared" ref="F152:N152" si="64">IF(AND(F$109&gt;0,F184&lt;&gt;""),F184/F$109,"")</f>
        <v/>
      </c>
      <c r="G152" s="297" t="str">
        <f t="shared" si="64"/>
        <v/>
      </c>
      <c r="H152" s="297" t="str">
        <f t="shared" si="64"/>
        <v/>
      </c>
      <c r="I152" s="298" t="str">
        <f t="shared" si="64"/>
        <v/>
      </c>
      <c r="J152" s="640" t="str">
        <f t="shared" si="64"/>
        <v/>
      </c>
      <c r="K152" s="825" t="str">
        <f t="shared" si="64"/>
        <v/>
      </c>
      <c r="L152" s="825" t="str">
        <f t="shared" si="64"/>
        <v/>
      </c>
      <c r="M152" s="890" t="str">
        <f t="shared" si="64"/>
        <v/>
      </c>
      <c r="N152" s="826" t="str">
        <f t="shared" si="64"/>
        <v/>
      </c>
    </row>
    <row r="153" spans="1:14">
      <c r="A153" s="82"/>
      <c r="B153" s="302"/>
      <c r="C153" s="125" t="s">
        <v>125</v>
      </c>
      <c r="D153" s="125"/>
      <c r="E153" s="136"/>
      <c r="F153" s="296" t="str">
        <f t="shared" ref="F153:N153" si="65">IF(AND(F$109&gt;0,F185&lt;&gt;""),F185/F$109,"")</f>
        <v/>
      </c>
      <c r="G153" s="297" t="str">
        <f t="shared" si="65"/>
        <v/>
      </c>
      <c r="H153" s="297" t="str">
        <f t="shared" si="65"/>
        <v/>
      </c>
      <c r="I153" s="298" t="str">
        <f t="shared" si="65"/>
        <v/>
      </c>
      <c r="J153" s="640" t="str">
        <f t="shared" si="65"/>
        <v/>
      </c>
      <c r="K153" s="825" t="str">
        <f t="shared" si="65"/>
        <v/>
      </c>
      <c r="L153" s="825" t="str">
        <f t="shared" si="65"/>
        <v/>
      </c>
      <c r="M153" s="890" t="str">
        <f t="shared" si="65"/>
        <v/>
      </c>
      <c r="N153" s="826" t="str">
        <f t="shared" si="65"/>
        <v/>
      </c>
    </row>
    <row r="154" spans="1:14">
      <c r="A154" s="82"/>
      <c r="B154" s="302"/>
      <c r="C154" s="125" t="s">
        <v>226</v>
      </c>
      <c r="D154" s="125"/>
      <c r="E154" s="136"/>
      <c r="F154" s="296" t="str">
        <f t="shared" ref="F154:N154" si="66">IF(AND(F$109&gt;0,F186&lt;&gt;""),F186/F$109,"")</f>
        <v/>
      </c>
      <c r="G154" s="297" t="str">
        <f t="shared" si="66"/>
        <v/>
      </c>
      <c r="H154" s="297" t="str">
        <f t="shared" si="66"/>
        <v/>
      </c>
      <c r="I154" s="298" t="str">
        <f t="shared" si="66"/>
        <v/>
      </c>
      <c r="J154" s="640" t="str">
        <f t="shared" si="66"/>
        <v/>
      </c>
      <c r="K154" s="825" t="str">
        <f t="shared" si="66"/>
        <v/>
      </c>
      <c r="L154" s="825" t="str">
        <f t="shared" si="66"/>
        <v/>
      </c>
      <c r="M154" s="890" t="str">
        <f t="shared" si="66"/>
        <v/>
      </c>
      <c r="N154" s="826" t="str">
        <f t="shared" si="66"/>
        <v/>
      </c>
    </row>
    <row r="155" spans="1:14">
      <c r="A155" s="82"/>
      <c r="B155" s="302"/>
      <c r="C155" s="125" t="s">
        <v>227</v>
      </c>
      <c r="D155" s="125"/>
      <c r="E155" s="136"/>
      <c r="F155" s="296" t="str">
        <f t="shared" ref="F155:N155" si="67">IF(AND(F$109&gt;0,F187&lt;&gt;""),F187/F$109,"")</f>
        <v/>
      </c>
      <c r="G155" s="297" t="str">
        <f t="shared" si="67"/>
        <v/>
      </c>
      <c r="H155" s="297" t="str">
        <f t="shared" si="67"/>
        <v/>
      </c>
      <c r="I155" s="298" t="str">
        <f t="shared" si="67"/>
        <v/>
      </c>
      <c r="J155" s="640" t="str">
        <f t="shared" si="67"/>
        <v/>
      </c>
      <c r="K155" s="825" t="str">
        <f t="shared" si="67"/>
        <v/>
      </c>
      <c r="L155" s="825" t="str">
        <f t="shared" si="67"/>
        <v/>
      </c>
      <c r="M155" s="890" t="str">
        <f t="shared" si="67"/>
        <v/>
      </c>
      <c r="N155" s="826" t="str">
        <f t="shared" si="67"/>
        <v/>
      </c>
    </row>
    <row r="156" spans="1:14">
      <c r="A156" s="82"/>
      <c r="B156" s="302"/>
      <c r="C156" s="125" t="s">
        <v>228</v>
      </c>
      <c r="D156" s="125"/>
      <c r="E156" s="136"/>
      <c r="F156" s="296" t="str">
        <f t="shared" ref="F156:N156" si="68">IF(AND(F$109&gt;0,F188&lt;&gt;""),F188/F$109,"")</f>
        <v/>
      </c>
      <c r="G156" s="297" t="str">
        <f t="shared" si="68"/>
        <v/>
      </c>
      <c r="H156" s="297" t="str">
        <f t="shared" si="68"/>
        <v/>
      </c>
      <c r="I156" s="298" t="str">
        <f t="shared" si="68"/>
        <v/>
      </c>
      <c r="J156" s="640" t="str">
        <f t="shared" si="68"/>
        <v/>
      </c>
      <c r="K156" s="825" t="str">
        <f t="shared" si="68"/>
        <v/>
      </c>
      <c r="L156" s="825" t="str">
        <f t="shared" si="68"/>
        <v/>
      </c>
      <c r="M156" s="890" t="str">
        <f t="shared" si="68"/>
        <v/>
      </c>
      <c r="N156" s="826" t="str">
        <f t="shared" si="68"/>
        <v/>
      </c>
    </row>
    <row r="157" spans="1:14">
      <c r="A157" s="82"/>
      <c r="B157" s="302"/>
      <c r="C157" s="125" t="s">
        <v>229</v>
      </c>
      <c r="D157" s="125"/>
      <c r="E157" s="136"/>
      <c r="F157" s="296" t="str">
        <f t="shared" ref="F157:N157" si="69">IF(AND(F$109&gt;0,F189&lt;&gt;""),F189/F$109,"")</f>
        <v/>
      </c>
      <c r="G157" s="297" t="str">
        <f t="shared" si="69"/>
        <v/>
      </c>
      <c r="H157" s="297" t="str">
        <f t="shared" si="69"/>
        <v/>
      </c>
      <c r="I157" s="298" t="str">
        <f t="shared" si="69"/>
        <v/>
      </c>
      <c r="J157" s="640" t="str">
        <f t="shared" si="69"/>
        <v/>
      </c>
      <c r="K157" s="825" t="str">
        <f t="shared" si="69"/>
        <v/>
      </c>
      <c r="L157" s="825" t="str">
        <f t="shared" si="69"/>
        <v/>
      </c>
      <c r="M157" s="890" t="str">
        <f t="shared" si="69"/>
        <v/>
      </c>
      <c r="N157" s="826" t="str">
        <f t="shared" si="69"/>
        <v/>
      </c>
    </row>
    <row r="158" spans="1:14">
      <c r="A158" s="82"/>
      <c r="B158" s="302"/>
      <c r="C158" s="125" t="s">
        <v>165</v>
      </c>
      <c r="D158" s="125"/>
      <c r="E158" s="136"/>
      <c r="F158" s="296" t="str">
        <f t="shared" ref="F158:N158" si="70">IF(AND(F$109&gt;0,F190&lt;&gt;""),F190/F$109,"")</f>
        <v/>
      </c>
      <c r="G158" s="297" t="str">
        <f t="shared" si="70"/>
        <v/>
      </c>
      <c r="H158" s="297" t="str">
        <f t="shared" si="70"/>
        <v/>
      </c>
      <c r="I158" s="298" t="str">
        <f t="shared" si="70"/>
        <v/>
      </c>
      <c r="J158" s="640" t="str">
        <f t="shared" si="70"/>
        <v/>
      </c>
      <c r="K158" s="825" t="str">
        <f t="shared" si="70"/>
        <v/>
      </c>
      <c r="L158" s="825" t="str">
        <f t="shared" si="70"/>
        <v/>
      </c>
      <c r="M158" s="890" t="str">
        <f t="shared" si="70"/>
        <v/>
      </c>
      <c r="N158" s="826" t="str">
        <f t="shared" si="70"/>
        <v/>
      </c>
    </row>
    <row r="159" spans="1:14">
      <c r="A159" s="82"/>
      <c r="B159" s="302"/>
      <c r="C159" s="125" t="s">
        <v>166</v>
      </c>
      <c r="D159" s="125"/>
      <c r="E159" s="136"/>
      <c r="F159" s="296" t="str">
        <f t="shared" ref="F159:N159" si="71">IF(AND(F$109&gt;0,F191&lt;&gt;""),F191/F$109,"")</f>
        <v/>
      </c>
      <c r="G159" s="297" t="str">
        <f t="shared" si="71"/>
        <v/>
      </c>
      <c r="H159" s="297" t="str">
        <f t="shared" si="71"/>
        <v/>
      </c>
      <c r="I159" s="298" t="str">
        <f t="shared" si="71"/>
        <v/>
      </c>
      <c r="J159" s="640" t="str">
        <f t="shared" si="71"/>
        <v/>
      </c>
      <c r="K159" s="825" t="str">
        <f t="shared" si="71"/>
        <v/>
      </c>
      <c r="L159" s="825" t="str">
        <f t="shared" si="71"/>
        <v/>
      </c>
      <c r="M159" s="890" t="str">
        <f t="shared" si="71"/>
        <v/>
      </c>
      <c r="N159" s="826" t="str">
        <f t="shared" si="71"/>
        <v/>
      </c>
    </row>
    <row r="160" spans="1:14">
      <c r="A160" s="82"/>
      <c r="B160" s="302"/>
      <c r="C160" s="125" t="s">
        <v>167</v>
      </c>
      <c r="D160" s="125"/>
      <c r="E160" s="136"/>
      <c r="F160" s="296" t="str">
        <f t="shared" ref="F160:N160" si="72">IF(AND(F$109&gt;0,F192&lt;&gt;""),F192/F$109,"")</f>
        <v/>
      </c>
      <c r="G160" s="297" t="str">
        <f t="shared" si="72"/>
        <v/>
      </c>
      <c r="H160" s="297" t="str">
        <f t="shared" si="72"/>
        <v/>
      </c>
      <c r="I160" s="298" t="str">
        <f t="shared" si="72"/>
        <v/>
      </c>
      <c r="J160" s="640" t="str">
        <f t="shared" si="72"/>
        <v/>
      </c>
      <c r="K160" s="825" t="str">
        <f t="shared" si="72"/>
        <v/>
      </c>
      <c r="L160" s="825" t="str">
        <f t="shared" si="72"/>
        <v/>
      </c>
      <c r="M160" s="890" t="str">
        <f t="shared" si="72"/>
        <v/>
      </c>
      <c r="N160" s="826" t="str">
        <f t="shared" si="72"/>
        <v/>
      </c>
    </row>
    <row r="161" spans="1:14">
      <c r="A161" s="82"/>
      <c r="B161" s="302"/>
      <c r="C161" s="125" t="s">
        <v>168</v>
      </c>
      <c r="D161" s="125"/>
      <c r="E161" s="136"/>
      <c r="F161" s="296" t="str">
        <f t="shared" ref="F161:N161" si="73">IF(AND(F$109&gt;0,F193&lt;&gt;""),F193/F$109,"")</f>
        <v/>
      </c>
      <c r="G161" s="297" t="str">
        <f t="shared" si="73"/>
        <v/>
      </c>
      <c r="H161" s="297" t="str">
        <f t="shared" si="73"/>
        <v/>
      </c>
      <c r="I161" s="298" t="str">
        <f t="shared" si="73"/>
        <v/>
      </c>
      <c r="J161" s="640" t="str">
        <f t="shared" si="73"/>
        <v/>
      </c>
      <c r="K161" s="825" t="str">
        <f t="shared" si="73"/>
        <v/>
      </c>
      <c r="L161" s="825" t="str">
        <f t="shared" si="73"/>
        <v/>
      </c>
      <c r="M161" s="890" t="str">
        <f t="shared" si="73"/>
        <v/>
      </c>
      <c r="N161" s="826" t="str">
        <f t="shared" si="73"/>
        <v/>
      </c>
    </row>
    <row r="162" spans="1:14">
      <c r="A162" s="82"/>
      <c r="B162" s="302"/>
      <c r="C162" s="125" t="s">
        <v>169</v>
      </c>
      <c r="D162" s="125"/>
      <c r="E162" s="136"/>
      <c r="F162" s="296" t="str">
        <f t="shared" ref="F162:N162" si="74">IF(AND(F$109&gt;0,F194&lt;&gt;""),F194/F$109,"")</f>
        <v/>
      </c>
      <c r="G162" s="297" t="str">
        <f t="shared" si="74"/>
        <v/>
      </c>
      <c r="H162" s="297" t="str">
        <f t="shared" si="74"/>
        <v/>
      </c>
      <c r="I162" s="298" t="str">
        <f t="shared" si="74"/>
        <v/>
      </c>
      <c r="J162" s="640" t="str">
        <f t="shared" si="74"/>
        <v/>
      </c>
      <c r="K162" s="825" t="str">
        <f t="shared" si="74"/>
        <v/>
      </c>
      <c r="L162" s="825" t="str">
        <f t="shared" si="74"/>
        <v/>
      </c>
      <c r="M162" s="890" t="str">
        <f t="shared" si="74"/>
        <v/>
      </c>
      <c r="N162" s="826" t="str">
        <f t="shared" si="74"/>
        <v/>
      </c>
    </row>
    <row r="163" spans="1:14">
      <c r="A163" s="82"/>
      <c r="B163" s="302"/>
      <c r="C163" s="125" t="s">
        <v>170</v>
      </c>
      <c r="D163" s="125"/>
      <c r="E163" s="136"/>
      <c r="F163" s="296" t="str">
        <f t="shared" ref="F163:N163" si="75">IF(AND(F$109&gt;0,F195&lt;&gt;""),F195/F$109,"")</f>
        <v/>
      </c>
      <c r="G163" s="297" t="str">
        <f t="shared" si="75"/>
        <v/>
      </c>
      <c r="H163" s="297" t="str">
        <f t="shared" si="75"/>
        <v/>
      </c>
      <c r="I163" s="298" t="str">
        <f t="shared" si="75"/>
        <v/>
      </c>
      <c r="J163" s="640" t="str">
        <f t="shared" si="75"/>
        <v/>
      </c>
      <c r="K163" s="825" t="str">
        <f t="shared" si="75"/>
        <v/>
      </c>
      <c r="L163" s="825" t="str">
        <f t="shared" si="75"/>
        <v/>
      </c>
      <c r="M163" s="890" t="str">
        <f t="shared" si="75"/>
        <v/>
      </c>
      <c r="N163" s="826" t="str">
        <f t="shared" si="75"/>
        <v/>
      </c>
    </row>
    <row r="164" spans="1:14">
      <c r="A164" s="82"/>
      <c r="B164" s="302"/>
      <c r="C164" s="125" t="s">
        <v>171</v>
      </c>
      <c r="D164" s="125"/>
      <c r="E164" s="136"/>
      <c r="F164" s="296" t="str">
        <f t="shared" ref="F164:N164" si="76">IF(AND(F$109&gt;0,F196&lt;&gt;""),F196/F$109,"")</f>
        <v/>
      </c>
      <c r="G164" s="297" t="str">
        <f t="shared" si="76"/>
        <v/>
      </c>
      <c r="H164" s="297" t="str">
        <f t="shared" si="76"/>
        <v/>
      </c>
      <c r="I164" s="298" t="str">
        <f t="shared" si="76"/>
        <v/>
      </c>
      <c r="J164" s="640" t="str">
        <f t="shared" si="76"/>
        <v/>
      </c>
      <c r="K164" s="825" t="str">
        <f t="shared" si="76"/>
        <v/>
      </c>
      <c r="L164" s="825" t="str">
        <f t="shared" si="76"/>
        <v/>
      </c>
      <c r="M164" s="890" t="str">
        <f t="shared" si="76"/>
        <v/>
      </c>
      <c r="N164" s="826" t="str">
        <f t="shared" si="76"/>
        <v/>
      </c>
    </row>
    <row r="165" spans="1:14">
      <c r="A165" s="82"/>
      <c r="B165" s="302"/>
      <c r="C165" s="125" t="s">
        <v>172</v>
      </c>
      <c r="D165" s="125"/>
      <c r="E165" s="136"/>
      <c r="F165" s="296" t="str">
        <f t="shared" ref="F165:N165" si="77">IF(AND(F$109&gt;0,F197&lt;&gt;""),F197/F$109,"")</f>
        <v/>
      </c>
      <c r="G165" s="297" t="str">
        <f t="shared" si="77"/>
        <v/>
      </c>
      <c r="H165" s="297" t="str">
        <f t="shared" si="77"/>
        <v/>
      </c>
      <c r="I165" s="298" t="str">
        <f t="shared" si="77"/>
        <v/>
      </c>
      <c r="J165" s="640" t="str">
        <f t="shared" si="77"/>
        <v/>
      </c>
      <c r="K165" s="825" t="str">
        <f t="shared" si="77"/>
        <v/>
      </c>
      <c r="L165" s="825" t="str">
        <f t="shared" si="77"/>
        <v/>
      </c>
      <c r="M165" s="890" t="str">
        <f t="shared" si="77"/>
        <v/>
      </c>
      <c r="N165" s="826" t="str">
        <f t="shared" si="77"/>
        <v/>
      </c>
    </row>
    <row r="166" spans="1:14">
      <c r="A166" s="82"/>
      <c r="B166" s="302"/>
      <c r="C166" s="125" t="s">
        <v>173</v>
      </c>
      <c r="D166" s="125"/>
      <c r="E166" s="136"/>
      <c r="F166" s="296" t="str">
        <f t="shared" ref="F166:N166" si="78">IF(AND(F$109&gt;0,F198&lt;&gt;""),F198/F$109,"")</f>
        <v/>
      </c>
      <c r="G166" s="297" t="str">
        <f t="shared" si="78"/>
        <v/>
      </c>
      <c r="H166" s="297" t="str">
        <f t="shared" si="78"/>
        <v/>
      </c>
      <c r="I166" s="298" t="str">
        <f t="shared" si="78"/>
        <v/>
      </c>
      <c r="J166" s="640" t="str">
        <f t="shared" si="78"/>
        <v/>
      </c>
      <c r="K166" s="825" t="str">
        <f t="shared" si="78"/>
        <v/>
      </c>
      <c r="L166" s="825" t="str">
        <f t="shared" si="78"/>
        <v/>
      </c>
      <c r="M166" s="890" t="str">
        <f t="shared" si="78"/>
        <v/>
      </c>
      <c r="N166" s="826" t="str">
        <f t="shared" si="78"/>
        <v/>
      </c>
    </row>
    <row r="167" spans="1:14">
      <c r="A167" s="82"/>
      <c r="B167" s="302"/>
      <c r="C167" s="125" t="s">
        <v>174</v>
      </c>
      <c r="D167" s="125"/>
      <c r="E167" s="136"/>
      <c r="F167" s="296" t="str">
        <f t="shared" ref="F167:N167" si="79">IF(AND(F$109&gt;0,F199&lt;&gt;""),F199/F$109,"")</f>
        <v/>
      </c>
      <c r="G167" s="297" t="str">
        <f t="shared" si="79"/>
        <v/>
      </c>
      <c r="H167" s="297" t="str">
        <f t="shared" si="79"/>
        <v/>
      </c>
      <c r="I167" s="298" t="str">
        <f t="shared" si="79"/>
        <v/>
      </c>
      <c r="J167" s="640" t="str">
        <f t="shared" si="79"/>
        <v/>
      </c>
      <c r="K167" s="825" t="str">
        <f t="shared" si="79"/>
        <v/>
      </c>
      <c r="L167" s="825" t="str">
        <f t="shared" si="79"/>
        <v/>
      </c>
      <c r="M167" s="890" t="str">
        <f t="shared" si="79"/>
        <v/>
      </c>
      <c r="N167" s="826" t="str">
        <f t="shared" si="79"/>
        <v/>
      </c>
    </row>
    <row r="168" spans="1:14">
      <c r="A168" s="82"/>
      <c r="B168" s="302"/>
      <c r="C168" s="125" t="s">
        <v>175</v>
      </c>
      <c r="D168" s="125"/>
      <c r="E168" s="136"/>
      <c r="F168" s="296" t="str">
        <f t="shared" ref="F168:N168" si="80">IF(AND(F$109&gt;0,F200&lt;&gt;""),F200/F$109,"")</f>
        <v/>
      </c>
      <c r="G168" s="297" t="str">
        <f t="shared" si="80"/>
        <v/>
      </c>
      <c r="H168" s="297" t="str">
        <f t="shared" si="80"/>
        <v/>
      </c>
      <c r="I168" s="298" t="str">
        <f t="shared" si="80"/>
        <v/>
      </c>
      <c r="J168" s="640" t="str">
        <f t="shared" si="80"/>
        <v/>
      </c>
      <c r="K168" s="825" t="str">
        <f t="shared" si="80"/>
        <v/>
      </c>
      <c r="L168" s="825" t="str">
        <f t="shared" si="80"/>
        <v/>
      </c>
      <c r="M168" s="890" t="str">
        <f t="shared" si="80"/>
        <v/>
      </c>
      <c r="N168" s="826" t="str">
        <f t="shared" si="80"/>
        <v/>
      </c>
    </row>
    <row r="169" spans="1:14">
      <c r="A169" s="82"/>
      <c r="B169" s="302"/>
      <c r="C169" s="125" t="s">
        <v>176</v>
      </c>
      <c r="D169" s="125"/>
      <c r="E169" s="136"/>
      <c r="F169" s="296" t="str">
        <f t="shared" ref="F169:N169" si="81">IF(AND(F$109&gt;0,F201&lt;&gt;""),F201/F$109,"")</f>
        <v/>
      </c>
      <c r="G169" s="297" t="str">
        <f t="shared" si="81"/>
        <v/>
      </c>
      <c r="H169" s="297" t="str">
        <f t="shared" si="81"/>
        <v/>
      </c>
      <c r="I169" s="298" t="str">
        <f t="shared" si="81"/>
        <v/>
      </c>
      <c r="J169" s="640" t="str">
        <f t="shared" si="81"/>
        <v/>
      </c>
      <c r="K169" s="825" t="str">
        <f t="shared" si="81"/>
        <v/>
      </c>
      <c r="L169" s="825" t="str">
        <f t="shared" si="81"/>
        <v/>
      </c>
      <c r="M169" s="890" t="str">
        <f t="shared" si="81"/>
        <v/>
      </c>
      <c r="N169" s="826" t="str">
        <f t="shared" si="81"/>
        <v/>
      </c>
    </row>
    <row r="170" spans="1:14">
      <c r="A170" s="82"/>
      <c r="B170" s="302"/>
      <c r="C170" s="125" t="s">
        <v>177</v>
      </c>
      <c r="D170" s="125"/>
      <c r="E170" s="136"/>
      <c r="F170" s="296" t="str">
        <f t="shared" ref="F170:N170" si="82">IF(AND(F$109&gt;0,F202&lt;&gt;""),F202/F$109,"")</f>
        <v/>
      </c>
      <c r="G170" s="297" t="str">
        <f t="shared" si="82"/>
        <v/>
      </c>
      <c r="H170" s="297" t="str">
        <f t="shared" si="82"/>
        <v/>
      </c>
      <c r="I170" s="298" t="str">
        <f t="shared" si="82"/>
        <v/>
      </c>
      <c r="J170" s="640" t="str">
        <f t="shared" si="82"/>
        <v/>
      </c>
      <c r="K170" s="825" t="str">
        <f t="shared" si="82"/>
        <v/>
      </c>
      <c r="L170" s="825" t="str">
        <f t="shared" si="82"/>
        <v/>
      </c>
      <c r="M170" s="890" t="str">
        <f t="shared" si="82"/>
        <v/>
      </c>
      <c r="N170" s="826" t="str">
        <f t="shared" si="82"/>
        <v/>
      </c>
    </row>
    <row r="171" spans="1:14">
      <c r="A171" s="82"/>
      <c r="B171" s="302"/>
      <c r="C171" s="125" t="s">
        <v>178</v>
      </c>
      <c r="D171" s="125"/>
      <c r="E171" s="136"/>
      <c r="F171" s="296" t="str">
        <f t="shared" ref="F171:N171" si="83">IF(AND(F$109&gt;0,F203&lt;&gt;""),F203/F$109,"")</f>
        <v/>
      </c>
      <c r="G171" s="297" t="str">
        <f t="shared" si="83"/>
        <v/>
      </c>
      <c r="H171" s="297" t="str">
        <f t="shared" si="83"/>
        <v/>
      </c>
      <c r="I171" s="298" t="str">
        <f t="shared" si="83"/>
        <v/>
      </c>
      <c r="J171" s="640" t="str">
        <f t="shared" si="83"/>
        <v/>
      </c>
      <c r="K171" s="825" t="str">
        <f t="shared" si="83"/>
        <v/>
      </c>
      <c r="L171" s="825" t="str">
        <f t="shared" si="83"/>
        <v/>
      </c>
      <c r="M171" s="890" t="str">
        <f t="shared" si="83"/>
        <v/>
      </c>
      <c r="N171" s="826" t="str">
        <f t="shared" si="83"/>
        <v/>
      </c>
    </row>
    <row r="172" spans="1:14">
      <c r="A172" s="82"/>
      <c r="B172" s="302"/>
      <c r="C172" s="125" t="s">
        <v>179</v>
      </c>
      <c r="D172" s="125"/>
      <c r="E172" s="136"/>
      <c r="F172" s="296" t="str">
        <f t="shared" ref="F172:N172" si="84">IF(AND(F$109&gt;0,F204&lt;&gt;""),F204/F$109,"")</f>
        <v/>
      </c>
      <c r="G172" s="297" t="str">
        <f t="shared" si="84"/>
        <v/>
      </c>
      <c r="H172" s="297" t="str">
        <f t="shared" si="84"/>
        <v/>
      </c>
      <c r="I172" s="298" t="str">
        <f t="shared" si="84"/>
        <v/>
      </c>
      <c r="J172" s="640" t="str">
        <f t="shared" si="84"/>
        <v/>
      </c>
      <c r="K172" s="825" t="str">
        <f t="shared" si="84"/>
        <v/>
      </c>
      <c r="L172" s="825" t="str">
        <f t="shared" si="84"/>
        <v/>
      </c>
      <c r="M172" s="890" t="str">
        <f t="shared" si="84"/>
        <v/>
      </c>
      <c r="N172" s="826" t="str">
        <f t="shared" si="84"/>
        <v/>
      </c>
    </row>
    <row r="173" spans="1:14">
      <c r="A173" s="82"/>
      <c r="B173" s="302"/>
      <c r="C173" s="125" t="s">
        <v>180</v>
      </c>
      <c r="D173" s="125"/>
      <c r="E173" s="136"/>
      <c r="F173" s="296" t="str">
        <f t="shared" ref="F173:N173" si="85">IF(AND(F$109&gt;0,F205&lt;&gt;""),F205/F$109,"")</f>
        <v/>
      </c>
      <c r="G173" s="297" t="str">
        <f t="shared" si="85"/>
        <v/>
      </c>
      <c r="H173" s="297" t="str">
        <f t="shared" si="85"/>
        <v/>
      </c>
      <c r="I173" s="298" t="str">
        <f t="shared" si="85"/>
        <v/>
      </c>
      <c r="J173" s="640" t="str">
        <f t="shared" si="85"/>
        <v/>
      </c>
      <c r="K173" s="825" t="str">
        <f t="shared" si="85"/>
        <v/>
      </c>
      <c r="L173" s="825" t="str">
        <f t="shared" si="85"/>
        <v/>
      </c>
      <c r="M173" s="890" t="str">
        <f t="shared" si="85"/>
        <v/>
      </c>
      <c r="N173" s="826" t="str">
        <f t="shared" si="85"/>
        <v/>
      </c>
    </row>
    <row r="174" spans="1:14">
      <c r="A174" s="82"/>
      <c r="B174" s="302"/>
      <c r="C174" s="125" t="s">
        <v>369</v>
      </c>
      <c r="D174" s="125"/>
      <c r="E174" s="136"/>
      <c r="F174" s="296" t="str">
        <f t="shared" ref="F174:N174" si="86">IF(AND(F$109&gt;0,F206&lt;&gt;""),F206/F$109,"")</f>
        <v/>
      </c>
      <c r="G174" s="297" t="str">
        <f t="shared" si="86"/>
        <v/>
      </c>
      <c r="H174" s="297" t="str">
        <f t="shared" si="86"/>
        <v/>
      </c>
      <c r="I174" s="298" t="str">
        <f t="shared" si="86"/>
        <v/>
      </c>
      <c r="J174" s="640" t="str">
        <f t="shared" si="86"/>
        <v/>
      </c>
      <c r="K174" s="825" t="str">
        <f t="shared" si="86"/>
        <v/>
      </c>
      <c r="L174" s="825" t="str">
        <f t="shared" si="86"/>
        <v/>
      </c>
      <c r="M174" s="890" t="str">
        <f t="shared" si="86"/>
        <v/>
      </c>
      <c r="N174" s="826" t="str">
        <f t="shared" si="86"/>
        <v/>
      </c>
    </row>
    <row r="175" spans="1:14">
      <c r="A175" s="82"/>
      <c r="B175" s="302"/>
      <c r="C175" s="125" t="s">
        <v>370</v>
      </c>
      <c r="D175" s="125"/>
      <c r="E175" s="136"/>
      <c r="F175" s="296" t="str">
        <f t="shared" ref="F175:N175" si="87">IF(AND(F$109&gt;0,F207&lt;&gt;""),F207/F$109,"")</f>
        <v/>
      </c>
      <c r="G175" s="297" t="str">
        <f t="shared" si="87"/>
        <v/>
      </c>
      <c r="H175" s="297" t="str">
        <f t="shared" si="87"/>
        <v/>
      </c>
      <c r="I175" s="298" t="str">
        <f t="shared" si="87"/>
        <v/>
      </c>
      <c r="J175" s="640" t="str">
        <f t="shared" si="87"/>
        <v/>
      </c>
      <c r="K175" s="825" t="str">
        <f t="shared" si="87"/>
        <v/>
      </c>
      <c r="L175" s="825" t="str">
        <f t="shared" si="87"/>
        <v/>
      </c>
      <c r="M175" s="890" t="str">
        <f t="shared" si="87"/>
        <v/>
      </c>
      <c r="N175" s="826" t="str">
        <f t="shared" si="87"/>
        <v/>
      </c>
    </row>
    <row r="176" spans="1:14">
      <c r="A176" s="82"/>
      <c r="B176" s="302"/>
      <c r="C176" s="125" t="s">
        <v>371</v>
      </c>
      <c r="D176" s="125"/>
      <c r="E176" s="136"/>
      <c r="F176" s="296" t="str">
        <f t="shared" ref="F176:N176" si="88">IF(AND(F$109&gt;0,F208&lt;&gt;""),F208/F$109,"")</f>
        <v/>
      </c>
      <c r="G176" s="297" t="str">
        <f t="shared" si="88"/>
        <v/>
      </c>
      <c r="H176" s="297" t="str">
        <f t="shared" si="88"/>
        <v/>
      </c>
      <c r="I176" s="298" t="str">
        <f t="shared" si="88"/>
        <v/>
      </c>
      <c r="J176" s="640" t="str">
        <f t="shared" si="88"/>
        <v/>
      </c>
      <c r="K176" s="825" t="str">
        <f t="shared" si="88"/>
        <v/>
      </c>
      <c r="L176" s="825" t="str">
        <f t="shared" si="88"/>
        <v/>
      </c>
      <c r="M176" s="890" t="str">
        <f t="shared" si="88"/>
        <v/>
      </c>
      <c r="N176" s="826" t="str">
        <f t="shared" si="88"/>
        <v/>
      </c>
    </row>
    <row r="177" spans="1:14">
      <c r="A177" s="82"/>
      <c r="B177" s="302"/>
      <c r="C177" s="125" t="s">
        <v>372</v>
      </c>
      <c r="D177" s="125"/>
      <c r="E177" s="136"/>
      <c r="F177" s="296" t="str">
        <f t="shared" ref="F177:N177" si="89">IF(AND(F$109&gt;0,F209&lt;&gt;""),F209/F$109,"")</f>
        <v/>
      </c>
      <c r="G177" s="297" t="str">
        <f t="shared" si="89"/>
        <v/>
      </c>
      <c r="H177" s="297" t="str">
        <f t="shared" si="89"/>
        <v/>
      </c>
      <c r="I177" s="298" t="str">
        <f t="shared" si="89"/>
        <v/>
      </c>
      <c r="J177" s="640" t="str">
        <f t="shared" si="89"/>
        <v/>
      </c>
      <c r="K177" s="825" t="str">
        <f t="shared" si="89"/>
        <v/>
      </c>
      <c r="L177" s="825" t="str">
        <f t="shared" si="89"/>
        <v/>
      </c>
      <c r="M177" s="890" t="str">
        <f t="shared" si="89"/>
        <v/>
      </c>
      <c r="N177" s="826" t="str">
        <f t="shared" si="89"/>
        <v/>
      </c>
    </row>
    <row r="178" spans="1:14">
      <c r="A178" s="82"/>
      <c r="B178" s="302"/>
      <c r="C178" s="125" t="s">
        <v>373</v>
      </c>
      <c r="D178" s="125"/>
      <c r="E178" s="136"/>
      <c r="F178" s="296" t="str">
        <f t="shared" ref="F178:N178" si="90">IF(AND(F$109&gt;0,F210&lt;&gt;""),F210/F$109,"")</f>
        <v/>
      </c>
      <c r="G178" s="297" t="str">
        <f t="shared" si="90"/>
        <v/>
      </c>
      <c r="H178" s="297" t="str">
        <f t="shared" si="90"/>
        <v/>
      </c>
      <c r="I178" s="298" t="str">
        <f t="shared" si="90"/>
        <v/>
      </c>
      <c r="J178" s="640" t="str">
        <f t="shared" si="90"/>
        <v/>
      </c>
      <c r="K178" s="825" t="str">
        <f t="shared" si="90"/>
        <v/>
      </c>
      <c r="L178" s="825" t="str">
        <f t="shared" si="90"/>
        <v/>
      </c>
      <c r="M178" s="890" t="str">
        <f t="shared" si="90"/>
        <v/>
      </c>
      <c r="N178" s="826" t="str">
        <f t="shared" si="90"/>
        <v/>
      </c>
    </row>
    <row r="179" spans="1:14">
      <c r="A179" s="82"/>
      <c r="B179" s="308"/>
      <c r="C179" s="125" t="s">
        <v>36</v>
      </c>
      <c r="D179" s="125"/>
      <c r="E179" s="136"/>
      <c r="F179" s="296" t="n">
        <f t="shared" ref="F179:N179" si="91">IF(AND(F$109&gt;0,F211&lt;&gt;""),F211/F$109,"")</f>
        <v>0.0</v>
      </c>
      <c r="G179" s="297" t="n">
        <f t="shared" si="91"/>
        <v>0.0</v>
      </c>
      <c r="H179" s="297" t="n">
        <f t="shared" si="91"/>
        <v>0.0</v>
      </c>
      <c r="I179" s="298" t="n">
        <f t="shared" si="91"/>
        <v>0.0</v>
      </c>
      <c r="J179" s="640" t="n">
        <f t="shared" si="91"/>
        <v>0.0</v>
      </c>
      <c r="K179" s="825" t="n">
        <f t="shared" si="91"/>
        <v>0.0</v>
      </c>
      <c r="L179" s="825" t="n">
        <f t="shared" si="91"/>
        <v>0.0</v>
      </c>
      <c r="M179" s="890" t="n">
        <f t="shared" si="91"/>
        <v>0.0</v>
      </c>
      <c r="N179" s="826" t="n">
        <f t="shared" si="91"/>
        <v>0.0</v>
      </c>
    </row>
    <row r="180" spans="1:14">
      <c r="A180" s="82"/>
      <c r="B180" s="1149" t="s">
        <v>181</v>
      </c>
      <c r="C180" s="1150"/>
      <c r="D180" s="1150"/>
      <c r="E180" s="1151"/>
      <c r="F180" s="201"/>
      <c r="G180" s="294"/>
      <c r="H180" s="294"/>
      <c r="I180" s="295"/>
      <c r="J180" s="639"/>
      <c r="K180" s="823"/>
      <c r="L180" s="823"/>
      <c r="M180" s="889"/>
      <c r="N180" s="824"/>
    </row>
    <row r="181" spans="1:14">
      <c r="A181" s="82"/>
      <c r="B181" s="130"/>
      <c r="C181" s="132" t="s">
        <v>161</v>
      </c>
      <c r="D181" s="133"/>
      <c r="E181" s="138"/>
      <c r="F181" s="619" t="str">
        <f t="shared" ref="F181:F193" si="92">IF(SUM(G181:I181)=0,"",SUM(G181:I181))</f>
        <v/>
      </c>
      <c r="G181" s="248"/>
      <c r="H181" s="248"/>
      <c r="I181" s="287"/>
      <c r="J181" s="634"/>
      <c r="K181" s="384"/>
      <c r="L181" s="384"/>
      <c r="M181" s="887"/>
      <c r="N181" s="820"/>
    </row>
    <row r="182" spans="1:14">
      <c r="A182" s="82"/>
      <c r="B182" s="130"/>
      <c r="C182" s="132" t="s">
        <v>162</v>
      </c>
      <c r="D182" s="133"/>
      <c r="E182" s="138"/>
      <c r="F182" s="619" t="str">
        <f t="shared" si="92"/>
        <v/>
      </c>
      <c r="G182" s="248"/>
      <c r="H182" s="248"/>
      <c r="I182" s="287"/>
      <c r="J182" s="634"/>
      <c r="K182" s="384"/>
      <c r="L182" s="384"/>
      <c r="M182" s="887"/>
      <c r="N182" s="820"/>
    </row>
    <row r="183" spans="1:14">
      <c r="A183" s="82"/>
      <c r="B183" s="130"/>
      <c r="C183" s="132" t="s">
        <v>123</v>
      </c>
      <c r="D183" s="133"/>
      <c r="E183" s="138"/>
      <c r="F183" s="619" t="str">
        <f t="shared" si="92"/>
        <v/>
      </c>
      <c r="G183" s="248"/>
      <c r="H183" s="248"/>
      <c r="I183" s="287"/>
      <c r="J183" s="634"/>
      <c r="K183" s="384"/>
      <c r="L183" s="384"/>
      <c r="M183" s="887"/>
      <c r="N183" s="820"/>
    </row>
    <row r="184" spans="1:14">
      <c r="A184" s="82"/>
      <c r="B184" s="130"/>
      <c r="C184" s="132" t="s">
        <v>124</v>
      </c>
      <c r="D184" s="133"/>
      <c r="E184" s="138"/>
      <c r="F184" s="619" t="str">
        <f t="shared" si="92"/>
        <v/>
      </c>
      <c r="G184" s="248"/>
      <c r="H184" s="248"/>
      <c r="I184" s="287"/>
      <c r="J184" s="634"/>
      <c r="K184" s="384"/>
      <c r="L184" s="384"/>
      <c r="M184" s="887"/>
      <c r="N184" s="820"/>
    </row>
    <row r="185" spans="1:14">
      <c r="A185" s="82"/>
      <c r="B185" s="130"/>
      <c r="C185" s="132" t="s">
        <v>125</v>
      </c>
      <c r="D185" s="133"/>
      <c r="E185" s="138"/>
      <c r="F185" s="619" t="str">
        <f t="shared" si="92"/>
        <v/>
      </c>
      <c r="G185" s="248"/>
      <c r="H185" s="248"/>
      <c r="I185" s="287"/>
      <c r="J185" s="634"/>
      <c r="K185" s="384"/>
      <c r="L185" s="384"/>
      <c r="M185" s="887"/>
      <c r="N185" s="820"/>
    </row>
    <row r="186" spans="1:14">
      <c r="A186" s="82"/>
      <c r="B186" s="130"/>
      <c r="C186" s="132" t="s">
        <v>226</v>
      </c>
      <c r="D186" s="133"/>
      <c r="E186" s="138"/>
      <c r="F186" s="619" t="str">
        <f t="shared" si="92"/>
        <v/>
      </c>
      <c r="G186" s="248"/>
      <c r="H186" s="248"/>
      <c r="I186" s="287"/>
      <c r="J186" s="634"/>
      <c r="K186" s="384"/>
      <c r="L186" s="384"/>
      <c r="M186" s="887"/>
      <c r="N186" s="820"/>
    </row>
    <row r="187" spans="1:14">
      <c r="A187" s="82"/>
      <c r="B187" s="130"/>
      <c r="C187" s="132" t="s">
        <v>227</v>
      </c>
      <c r="D187" s="133"/>
      <c r="E187" s="138"/>
      <c r="F187" s="619" t="str">
        <f t="shared" si="92"/>
        <v/>
      </c>
      <c r="G187" s="248"/>
      <c r="H187" s="248"/>
      <c r="I187" s="287"/>
      <c r="J187" s="634"/>
      <c r="K187" s="384"/>
      <c r="L187" s="384"/>
      <c r="M187" s="887"/>
      <c r="N187" s="820"/>
    </row>
    <row r="188" spans="1:14">
      <c r="A188" s="82"/>
      <c r="B188" s="130"/>
      <c r="C188" s="132" t="s">
        <v>228</v>
      </c>
      <c r="D188" s="133"/>
      <c r="E188" s="138"/>
      <c r="F188" s="619" t="str">
        <f t="shared" si="92"/>
        <v/>
      </c>
      <c r="G188" s="248"/>
      <c r="H188" s="248"/>
      <c r="I188" s="287"/>
      <c r="J188" s="634"/>
      <c r="K188" s="384"/>
      <c r="L188" s="384"/>
      <c r="M188" s="887"/>
      <c r="N188" s="820"/>
    </row>
    <row r="189" spans="1:14">
      <c r="A189" s="82"/>
      <c r="B189" s="130"/>
      <c r="C189" s="132" t="s">
        <v>229</v>
      </c>
      <c r="D189" s="133"/>
      <c r="E189" s="138"/>
      <c r="F189" s="619" t="str">
        <f t="shared" si="92"/>
        <v/>
      </c>
      <c r="G189" s="248"/>
      <c r="H189" s="248"/>
      <c r="I189" s="287"/>
      <c r="J189" s="634"/>
      <c r="K189" s="384"/>
      <c r="L189" s="384"/>
      <c r="M189" s="887"/>
      <c r="N189" s="820"/>
    </row>
    <row r="190" spans="1:14">
      <c r="A190" s="82"/>
      <c r="B190" s="130"/>
      <c r="C190" s="132" t="s">
        <v>165</v>
      </c>
      <c r="D190" s="133"/>
      <c r="E190" s="138"/>
      <c r="F190" s="619" t="str">
        <f t="shared" si="92"/>
        <v/>
      </c>
      <c r="G190" s="248"/>
      <c r="H190" s="248"/>
      <c r="I190" s="287"/>
      <c r="J190" s="634"/>
      <c r="K190" s="384"/>
      <c r="L190" s="384"/>
      <c r="M190" s="887"/>
      <c r="N190" s="820"/>
    </row>
    <row r="191" spans="1:14">
      <c r="A191" s="82"/>
      <c r="B191" s="130"/>
      <c r="C191" s="132" t="s">
        <v>166</v>
      </c>
      <c r="D191" s="133"/>
      <c r="E191" s="138"/>
      <c r="F191" s="619" t="str">
        <f t="shared" si="92"/>
        <v/>
      </c>
      <c r="G191" s="248"/>
      <c r="H191" s="248"/>
      <c r="I191" s="287"/>
      <c r="J191" s="634"/>
      <c r="K191" s="384"/>
      <c r="L191" s="384"/>
      <c r="M191" s="887"/>
      <c r="N191" s="820"/>
    </row>
    <row r="192" spans="1:14">
      <c r="A192" s="82"/>
      <c r="B192" s="130"/>
      <c r="C192" s="132" t="s">
        <v>167</v>
      </c>
      <c r="D192" s="133"/>
      <c r="E192" s="138"/>
      <c r="F192" s="619" t="str">
        <f t="shared" si="92"/>
        <v/>
      </c>
      <c r="G192" s="248"/>
      <c r="H192" s="248"/>
      <c r="I192" s="287"/>
      <c r="J192" s="634"/>
      <c r="K192" s="384"/>
      <c r="L192" s="384"/>
      <c r="M192" s="887"/>
      <c r="N192" s="820"/>
    </row>
    <row r="193" spans="1:14">
      <c r="A193" s="82"/>
      <c r="B193" s="130"/>
      <c r="C193" s="132" t="s">
        <v>168</v>
      </c>
      <c r="D193" s="133"/>
      <c r="E193" s="138"/>
      <c r="F193" s="619" t="str">
        <f t="shared" si="92"/>
        <v/>
      </c>
      <c r="G193" s="248"/>
      <c r="H193" s="248"/>
      <c r="I193" s="287"/>
      <c r="J193" s="634"/>
      <c r="K193" s="384"/>
      <c r="L193" s="384"/>
      <c r="M193" s="887"/>
      <c r="N193" s="820"/>
    </row>
    <row r="194" spans="1:14">
      <c r="A194" s="82"/>
      <c r="B194" s="130"/>
      <c r="C194" s="132" t="s">
        <v>169</v>
      </c>
      <c r="D194" s="133"/>
      <c r="E194" s="138"/>
      <c r="F194" s="619" t="str">
        <f>IF(SUM(G194:I194)=0,"",SUM(G194:I194))</f>
        <v/>
      </c>
      <c r="G194" s="248"/>
      <c r="H194" s="248"/>
      <c r="I194" s="287"/>
      <c r="J194" s="634"/>
      <c r="K194" s="384"/>
      <c r="L194" s="384"/>
      <c r="M194" s="887"/>
      <c r="N194" s="820"/>
    </row>
    <row r="195" spans="1:14">
      <c r="A195" s="82"/>
      <c r="B195" s="130"/>
      <c r="C195" s="132" t="s">
        <v>170</v>
      </c>
      <c r="D195" s="133"/>
      <c r="E195" s="138"/>
      <c r="F195" s="619" t="str">
        <f t="shared" ref="F195:F201" si="93">IF(SUM(G195:I195)=0,"",SUM(G195:I195))</f>
        <v/>
      </c>
      <c r="G195" s="248"/>
      <c r="H195" s="248"/>
      <c r="I195" s="287"/>
      <c r="J195" s="634"/>
      <c r="K195" s="384"/>
      <c r="L195" s="384"/>
      <c r="M195" s="887"/>
      <c r="N195" s="820"/>
    </row>
    <row r="196" spans="1:14">
      <c r="A196" s="82"/>
      <c r="B196" s="130"/>
      <c r="C196" s="132" t="s">
        <v>171</v>
      </c>
      <c r="D196" s="133"/>
      <c r="E196" s="138"/>
      <c r="F196" s="619" t="str">
        <f t="shared" si="93"/>
        <v/>
      </c>
      <c r="G196" s="248"/>
      <c r="H196" s="248"/>
      <c r="I196" s="287"/>
      <c r="J196" s="634"/>
      <c r="K196" s="384"/>
      <c r="L196" s="384"/>
      <c r="M196" s="887"/>
      <c r="N196" s="820"/>
    </row>
    <row r="197" spans="1:14">
      <c r="A197" s="82"/>
      <c r="B197" s="130"/>
      <c r="C197" s="132" t="s">
        <v>172</v>
      </c>
      <c r="D197" s="133"/>
      <c r="E197" s="138"/>
      <c r="F197" s="619" t="str">
        <f t="shared" si="93"/>
        <v/>
      </c>
      <c r="G197" s="248"/>
      <c r="H197" s="248"/>
      <c r="I197" s="287"/>
      <c r="J197" s="634"/>
      <c r="K197" s="384"/>
      <c r="L197" s="384"/>
      <c r="M197" s="887"/>
      <c r="N197" s="820"/>
    </row>
    <row r="198" spans="1:14">
      <c r="A198" s="82"/>
      <c r="B198" s="130"/>
      <c r="C198" s="132" t="s">
        <v>173</v>
      </c>
      <c r="D198" s="133"/>
      <c r="E198" s="138"/>
      <c r="F198" s="619" t="str">
        <f t="shared" si="93"/>
        <v/>
      </c>
      <c r="G198" s="248"/>
      <c r="H198" s="248"/>
      <c r="I198" s="287"/>
      <c r="J198" s="634"/>
      <c r="K198" s="384"/>
      <c r="L198" s="384"/>
      <c r="M198" s="887"/>
      <c r="N198" s="820"/>
    </row>
    <row r="199" spans="1:14">
      <c r="A199" s="82"/>
      <c r="B199" s="130"/>
      <c r="C199" s="309" t="s">
        <v>174</v>
      </c>
      <c r="D199" s="139"/>
      <c r="E199" s="140"/>
      <c r="F199" s="305" t="str">
        <f t="shared" si="93"/>
        <v/>
      </c>
      <c r="G199" s="248"/>
      <c r="H199" s="248"/>
      <c r="I199" s="287"/>
      <c r="J199" s="643"/>
      <c r="K199" s="420"/>
      <c r="L199" s="420"/>
      <c r="M199" s="893"/>
      <c r="N199" s="831"/>
    </row>
    <row r="200" spans="1:14">
      <c r="A200" s="82"/>
      <c r="B200" s="130"/>
      <c r="C200" s="309" t="s">
        <v>175</v>
      </c>
      <c r="D200" s="139"/>
      <c r="E200" s="140"/>
      <c r="F200" s="305" t="str">
        <f t="shared" si="93"/>
        <v/>
      </c>
      <c r="G200" s="248"/>
      <c r="H200" s="248"/>
      <c r="I200" s="287"/>
      <c r="J200" s="643"/>
      <c r="K200" s="420"/>
      <c r="L200" s="420"/>
      <c r="M200" s="893"/>
      <c r="N200" s="831"/>
    </row>
    <row r="201" spans="1:14">
      <c r="A201" s="82"/>
      <c r="B201" s="130"/>
      <c r="C201" s="309" t="s">
        <v>176</v>
      </c>
      <c r="D201" s="133"/>
      <c r="E201" s="138"/>
      <c r="F201" s="619" t="str">
        <f t="shared" si="93"/>
        <v/>
      </c>
      <c r="G201" s="248"/>
      <c r="H201" s="248"/>
      <c r="I201" s="287"/>
      <c r="J201" s="634"/>
      <c r="K201" s="384"/>
      <c r="L201" s="384"/>
      <c r="M201" s="887"/>
      <c r="N201" s="820"/>
    </row>
    <row r="202" spans="1:14">
      <c r="A202" s="82"/>
      <c r="B202" s="130"/>
      <c r="C202" s="309" t="s">
        <v>177</v>
      </c>
      <c r="D202" s="133"/>
      <c r="E202" s="138"/>
      <c r="F202" s="619" t="str">
        <f>IF(SUM(G202:I202)=0,"",SUM(G202:I202))</f>
        <v/>
      </c>
      <c r="G202" s="248"/>
      <c r="H202" s="248"/>
      <c r="I202" s="287"/>
      <c r="J202" s="634"/>
      <c r="K202" s="384"/>
      <c r="L202" s="384"/>
      <c r="M202" s="887"/>
      <c r="N202" s="820"/>
    </row>
    <row r="203" spans="1:14">
      <c r="A203" s="82"/>
      <c r="B203" s="130"/>
      <c r="C203" s="309" t="s">
        <v>178</v>
      </c>
      <c r="D203" s="139"/>
      <c r="E203" s="140"/>
      <c r="F203" s="305" t="str">
        <f>IF(SUM(G203:I203)=0,"",SUM(G203:I203))</f>
        <v/>
      </c>
      <c r="G203" s="248"/>
      <c r="H203" s="248"/>
      <c r="I203" s="287"/>
      <c r="J203" s="643"/>
      <c r="K203" s="420"/>
      <c r="L203" s="420"/>
      <c r="M203" s="893"/>
      <c r="N203" s="831"/>
    </row>
    <row r="204" spans="1:14">
      <c r="A204" s="82"/>
      <c r="B204" s="130"/>
      <c r="C204" s="309" t="s">
        <v>179</v>
      </c>
      <c r="D204" s="133"/>
      <c r="E204" s="138"/>
      <c r="F204" s="619" t="str">
        <f>IF(SUM(G204:I204)=0,"",SUM(G204:I204))</f>
        <v/>
      </c>
      <c r="G204" s="248"/>
      <c r="H204" s="248"/>
      <c r="I204" s="287"/>
      <c r="J204" s="634"/>
      <c r="K204" s="384"/>
      <c r="L204" s="384"/>
      <c r="M204" s="887"/>
      <c r="N204" s="820"/>
    </row>
    <row r="205" spans="1:14">
      <c r="A205" s="82"/>
      <c r="B205" s="130"/>
      <c r="C205" s="309" t="s">
        <v>180</v>
      </c>
      <c r="D205" s="133"/>
      <c r="E205" s="138"/>
      <c r="F205" s="619" t="str">
        <f>IF(SUM(G205:I205)=0,"",SUM(G205:I205))</f>
        <v/>
      </c>
      <c r="G205" s="248"/>
      <c r="H205" s="248"/>
      <c r="I205" s="287"/>
      <c r="J205" s="634"/>
      <c r="K205" s="384"/>
      <c r="L205" s="384"/>
      <c r="M205" s="887"/>
      <c r="N205" s="820"/>
    </row>
    <row r="206" spans="1:14">
      <c r="A206" s="82"/>
      <c r="B206" s="130"/>
      <c r="C206" s="309" t="s">
        <v>369</v>
      </c>
      <c r="D206" s="133"/>
      <c r="E206" s="138"/>
      <c r="F206" s="619" t="str">
        <f t="shared" ref="F206:F207" si="94">IF(SUM(G206:I206)=0,"",SUM(G206:I206))</f>
        <v/>
      </c>
      <c r="G206" s="248"/>
      <c r="H206" s="248"/>
      <c r="I206" s="287"/>
      <c r="J206" s="634"/>
      <c r="K206" s="384"/>
      <c r="L206" s="384"/>
      <c r="M206" s="887"/>
      <c r="N206" s="820"/>
    </row>
    <row r="207" spans="1:14">
      <c r="A207" s="82"/>
      <c r="B207" s="130"/>
      <c r="C207" s="309" t="s">
        <v>370</v>
      </c>
      <c r="D207" s="133"/>
      <c r="E207" s="138"/>
      <c r="F207" s="619" t="str">
        <f t="shared" si="94"/>
        <v/>
      </c>
      <c r="G207" s="248"/>
      <c r="H207" s="248"/>
      <c r="I207" s="287"/>
      <c r="J207" s="634"/>
      <c r="K207" s="384"/>
      <c r="L207" s="384"/>
      <c r="M207" s="887"/>
      <c r="N207" s="820"/>
    </row>
    <row r="208" spans="1:14">
      <c r="A208" s="82"/>
      <c r="B208" s="130"/>
      <c r="C208" s="309" t="s">
        <v>371</v>
      </c>
      <c r="D208" s="139"/>
      <c r="E208" s="140"/>
      <c r="F208" s="305" t="str">
        <f>IF(SUM(G208:I208)=0,"",SUM(G208:I208))</f>
        <v/>
      </c>
      <c r="G208" s="248"/>
      <c r="H208" s="248"/>
      <c r="I208" s="287"/>
      <c r="J208" s="643"/>
      <c r="K208" s="420"/>
      <c r="L208" s="420"/>
      <c r="M208" s="893"/>
      <c r="N208" s="831"/>
    </row>
    <row r="209" spans="1:14">
      <c r="A209" s="82"/>
      <c r="B209" s="130"/>
      <c r="C209" s="309" t="s">
        <v>372</v>
      </c>
      <c r="D209" s="133"/>
      <c r="E209" s="138"/>
      <c r="F209" s="619" t="str">
        <f>IF(SUM(G209:I209)=0,"",SUM(G209:I209))</f>
        <v/>
      </c>
      <c r="G209" s="248"/>
      <c r="H209" s="248"/>
      <c r="I209" s="287"/>
      <c r="J209" s="634"/>
      <c r="K209" s="384"/>
      <c r="L209" s="384"/>
      <c r="M209" s="887"/>
      <c r="N209" s="820"/>
    </row>
    <row r="210" spans="1:14">
      <c r="A210" s="82"/>
      <c r="B210" s="130"/>
      <c r="C210" s="309" t="s">
        <v>373</v>
      </c>
      <c r="D210" s="133"/>
      <c r="E210" s="138"/>
      <c r="F210" s="619" t="str">
        <f>IF(SUM(G210:I210)=0,"",SUM(G210:I210))</f>
        <v/>
      </c>
      <c r="G210" s="248"/>
      <c r="H210" s="248"/>
      <c r="I210" s="287"/>
      <c r="J210" s="634"/>
      <c r="K210" s="384"/>
      <c r="L210" s="384"/>
      <c r="M210" s="887"/>
      <c r="N210" s="820"/>
    </row>
    <row r="211" spans="1:14">
      <c r="A211" s="82"/>
      <c r="B211" s="130"/>
      <c r="C211" s="303" t="s">
        <v>36</v>
      </c>
      <c r="D211" s="124"/>
      <c r="E211" s="304"/>
      <c r="F211" s="305" t="n">
        <f t="shared" ref="F211:N211" si="95">SUM(F181:F210)</f>
        <v>0.0</v>
      </c>
      <c r="G211" s="306" t="n">
        <f t="shared" si="95"/>
        <v>0.0</v>
      </c>
      <c r="H211" s="306" t="n">
        <f t="shared" si="95"/>
        <v>0.0</v>
      </c>
      <c r="I211" s="307" t="n">
        <f t="shared" si="95"/>
        <v>0.0</v>
      </c>
      <c r="J211" s="642" t="n">
        <f t="shared" si="95"/>
        <v>0.0</v>
      </c>
      <c r="K211" s="829" t="n">
        <f t="shared" si="95"/>
        <v>0.0</v>
      </c>
      <c r="L211" s="829" t="n">
        <f t="shared" si="95"/>
        <v>0.0</v>
      </c>
      <c r="M211" s="892" t="n">
        <f t="shared" si="95"/>
        <v>0.0</v>
      </c>
      <c r="N211" s="830" t="n">
        <f t="shared" si="95"/>
        <v>0.0</v>
      </c>
    </row>
    <row r="212" spans="1:14">
      <c r="A212" s="82"/>
      <c r="B212" s="1138" t="s">
        <v>413</v>
      </c>
      <c r="C212" s="1139"/>
      <c r="D212" s="1139"/>
      <c r="E212" s="1139"/>
      <c r="F212" s="619" t="n">
        <f>SUM(G212:I212)</f>
        <v>0.0</v>
      </c>
      <c r="G212" s="249" t="n">
        <f t="shared" ref="G212:N212" si="96">SUMPRODUCT(G132:G144,G277:G289)</f>
        <v>0.0</v>
      </c>
      <c r="H212" s="249" t="n">
        <f t="shared" si="96"/>
        <v>0.0</v>
      </c>
      <c r="I212" s="310" t="n">
        <f t="shared" si="96"/>
        <v>0.0</v>
      </c>
      <c r="J212" s="644" t="n">
        <f t="shared" si="96"/>
        <v>0.0</v>
      </c>
      <c r="K212" s="792" t="n">
        <f t="shared" si="96"/>
        <v>0.0</v>
      </c>
      <c r="L212" s="792" t="n">
        <f t="shared" si="96"/>
        <v>0.0</v>
      </c>
      <c r="M212" s="878" t="n">
        <f t="shared" si="96"/>
        <v>0.0</v>
      </c>
      <c r="N212" s="793" t="n">
        <f t="shared" si="96"/>
        <v>0.0</v>
      </c>
    </row>
    <row r="213" spans="1:14" ht="14.25" thickBot="1">
      <c r="A213" s="311"/>
      <c r="B213" s="1140" t="s">
        <v>414</v>
      </c>
      <c r="C213" s="1141"/>
      <c r="D213" s="1141"/>
      <c r="E213" s="1141"/>
      <c r="F213" s="312" t="n">
        <f>SUM(G213:I213)</f>
        <v>0.0</v>
      </c>
      <c r="G213" s="313" t="n">
        <f t="shared" ref="G213:N213" si="97">SUMPRODUCT(G181:G210,G219:G248)</f>
        <v>0.0</v>
      </c>
      <c r="H213" s="313" t="n">
        <f t="shared" si="97"/>
        <v>0.0</v>
      </c>
      <c r="I213" s="314" t="n">
        <f t="shared" si="97"/>
        <v>0.0</v>
      </c>
      <c r="J213" s="645" t="n">
        <f t="shared" si="97"/>
        <v>0.0</v>
      </c>
      <c r="K213" s="832" t="n">
        <f t="shared" si="97"/>
        <v>0.0</v>
      </c>
      <c r="L213" s="832" t="n">
        <f t="shared" si="97"/>
        <v>0.0</v>
      </c>
      <c r="M213" s="894" t="n">
        <f t="shared" si="97"/>
        <v>0.0</v>
      </c>
      <c r="N213" s="833" t="n">
        <f t="shared" si="97"/>
        <v>0.0</v>
      </c>
    </row>
    <row r="214" spans="1:14">
      <c r="K214" s="365"/>
      <c r="L214" s="365"/>
      <c r="M214" s="365"/>
    </row>
    <row r="215" spans="1:14" ht="14.25" thickBot="1">
      <c r="A215" s="195" t="s">
        <v>182</v>
      </c>
      <c r="B215" s="198"/>
      <c r="C215" s="198"/>
      <c r="D215" s="198"/>
      <c r="E215" s="198"/>
      <c r="F215" s="198"/>
      <c r="G215" s="198"/>
      <c r="H215" s="198"/>
      <c r="I215" s="198"/>
      <c r="J215" s="198"/>
      <c r="K215" s="703"/>
      <c r="L215" s="703"/>
      <c r="M215" s="703"/>
    </row>
    <row r="216" spans="1:14">
      <c r="A216" s="226"/>
      <c r="B216" s="227"/>
      <c r="C216" s="227"/>
      <c r="D216" s="227"/>
      <c r="E216" s="227"/>
      <c r="F216" s="1132" t="s">
        <v>346</v>
      </c>
      <c r="G216" s="1142"/>
      <c r="H216" s="1142"/>
      <c r="I216" s="1142"/>
      <c r="J216" s="1019" t="s">
        <v>424</v>
      </c>
      <c r="K216" s="1020" t="s">
        <v>425</v>
      </c>
      <c r="L216" s="1020" t="s">
        <v>426</v>
      </c>
      <c r="M216" s="1020" t="s">
        <v>427</v>
      </c>
      <c r="N216" s="1021" t="s">
        <v>423</v>
      </c>
    </row>
    <row r="217" spans="1:14" ht="14.25" thickBot="1">
      <c r="A217" s="228"/>
      <c r="F217" s="229"/>
      <c r="G217" s="230" t="s">
        <v>359</v>
      </c>
      <c r="H217" s="231" t="s">
        <v>357</v>
      </c>
      <c r="I217" s="1022" t="s">
        <v>355</v>
      </c>
      <c r="J217" s="1023" t="s">
        <v>382</v>
      </c>
      <c r="K217" s="992" t="s">
        <v>385</v>
      </c>
      <c r="L217" s="992" t="s">
        <v>388</v>
      </c>
      <c r="M217" s="992" t="s">
        <v>391</v>
      </c>
      <c r="N217" s="1002" t="s">
        <v>394</v>
      </c>
    </row>
    <row r="218" spans="1:14">
      <c r="A218" s="315" t="s">
        <v>183</v>
      </c>
      <c r="B218" s="316"/>
      <c r="C218" s="316"/>
      <c r="D218" s="316"/>
      <c r="E218" s="316"/>
      <c r="F218" s="315"/>
      <c r="G218" s="317" t="n">
        <f>COUNT(G219:G248)</f>
        <v>0.0</v>
      </c>
      <c r="H218" s="317" t="n">
        <f t="shared" ref="H218:N218" si="98">COUNT(H219:H248)</f>
        <v>0.0</v>
      </c>
      <c r="I218" s="318" t="n">
        <f t="shared" si="98"/>
        <v>0.0</v>
      </c>
      <c r="J218" s="629" t="n">
        <f>COUNT(J219:J248)</f>
        <v>0.0</v>
      </c>
      <c r="K218" s="834" t="n">
        <f t="shared" si="98"/>
        <v>0.0</v>
      </c>
      <c r="L218" s="834" t="n">
        <f t="shared" si="98"/>
        <v>0.0</v>
      </c>
      <c r="M218" s="895" t="n">
        <f t="shared" si="98"/>
        <v>0.0</v>
      </c>
      <c r="N218" s="835" t="n">
        <f t="shared" si="98"/>
        <v>0.0</v>
      </c>
    </row>
    <row r="219" spans="1:14">
      <c r="A219" s="203" t="s">
        <v>184</v>
      </c>
      <c r="B219" s="254"/>
      <c r="D219" s="208" t="s">
        <v>185</v>
      </c>
      <c r="E219" s="205"/>
      <c r="F219" s="319"/>
      <c r="G219" s="320"/>
      <c r="H219" s="320"/>
      <c r="I219" s="321"/>
      <c r="J219" s="630"/>
      <c r="K219" s="836"/>
      <c r="L219" s="836"/>
      <c r="M219" s="896"/>
      <c r="N219" s="837"/>
    </row>
    <row r="220" spans="1:14">
      <c r="A220" s="228"/>
      <c r="D220" s="208" t="s">
        <v>186</v>
      </c>
      <c r="E220" s="205"/>
      <c r="F220" s="319"/>
      <c r="G220" s="320"/>
      <c r="H220" s="320"/>
      <c r="I220" s="321"/>
      <c r="J220" s="630"/>
      <c r="K220" s="836"/>
      <c r="L220" s="836"/>
      <c r="M220" s="896"/>
      <c r="N220" s="837"/>
    </row>
    <row r="221" spans="1:14">
      <c r="A221" s="228"/>
      <c r="C221" s="322"/>
      <c r="D221" s="208" t="s">
        <v>187</v>
      </c>
      <c r="E221" s="205"/>
      <c r="F221" s="319"/>
      <c r="G221" s="320"/>
      <c r="H221" s="320"/>
      <c r="I221" s="321"/>
      <c r="J221" s="630"/>
      <c r="K221" s="836"/>
      <c r="L221" s="836"/>
      <c r="M221" s="896"/>
      <c r="N221" s="837"/>
    </row>
    <row r="222" spans="1:14">
      <c r="A222" s="228"/>
      <c r="C222" s="322"/>
      <c r="D222" s="323" t="s">
        <v>188</v>
      </c>
      <c r="E222" s="324"/>
      <c r="F222" s="319"/>
      <c r="G222" s="325"/>
      <c r="H222" s="325"/>
      <c r="I222" s="326"/>
      <c r="J222" s="631"/>
      <c r="K222" s="838"/>
      <c r="L222" s="838"/>
      <c r="M222" s="897"/>
      <c r="N222" s="839"/>
    </row>
    <row r="223" spans="1:14">
      <c r="A223" s="228"/>
      <c r="C223" s="322"/>
      <c r="D223" s="323" t="s">
        <v>189</v>
      </c>
      <c r="E223" s="324"/>
      <c r="F223" s="319"/>
      <c r="G223" s="325"/>
      <c r="H223" s="325"/>
      <c r="I223" s="326"/>
      <c r="J223" s="631"/>
      <c r="K223" s="838"/>
      <c r="L223" s="838"/>
      <c r="M223" s="897"/>
      <c r="N223" s="839"/>
    </row>
    <row r="224" spans="1:14">
      <c r="A224" s="228"/>
      <c r="C224" s="322"/>
      <c r="D224" s="208" t="s">
        <v>190</v>
      </c>
      <c r="E224" s="205"/>
      <c r="F224" s="319"/>
      <c r="G224" s="320"/>
      <c r="H224" s="320"/>
      <c r="I224" s="321"/>
      <c r="J224" s="630"/>
      <c r="K224" s="836"/>
      <c r="L224" s="836"/>
      <c r="M224" s="896"/>
      <c r="N224" s="837"/>
    </row>
    <row r="225" spans="1:14">
      <c r="A225" s="228"/>
      <c r="C225" s="322"/>
      <c r="D225" s="208" t="s">
        <v>191</v>
      </c>
      <c r="E225" s="205"/>
      <c r="F225" s="319"/>
      <c r="G225" s="320"/>
      <c r="H225" s="320"/>
      <c r="I225" s="321"/>
      <c r="J225" s="630"/>
      <c r="K225" s="836"/>
      <c r="L225" s="836"/>
      <c r="M225" s="896"/>
      <c r="N225" s="837"/>
    </row>
    <row r="226" spans="1:14">
      <c r="A226" s="228"/>
      <c r="C226" s="322"/>
      <c r="D226" s="208" t="s">
        <v>192</v>
      </c>
      <c r="E226" s="205"/>
      <c r="F226" s="319"/>
      <c r="G226" s="320"/>
      <c r="H226" s="320"/>
      <c r="I226" s="321"/>
      <c r="J226" s="630"/>
      <c r="K226" s="836"/>
      <c r="L226" s="836"/>
      <c r="M226" s="896"/>
      <c r="N226" s="837"/>
    </row>
    <row r="227" spans="1:14">
      <c r="A227" s="228"/>
      <c r="C227" s="322"/>
      <c r="D227" s="208" t="s">
        <v>193</v>
      </c>
      <c r="E227" s="205"/>
      <c r="F227" s="319"/>
      <c r="G227" s="320"/>
      <c r="H227" s="320"/>
      <c r="I227" s="321"/>
      <c r="J227" s="630"/>
      <c r="K227" s="836"/>
      <c r="L227" s="836"/>
      <c r="M227" s="896"/>
      <c r="N227" s="837"/>
    </row>
    <row r="228" spans="1:14">
      <c r="A228" s="228"/>
      <c r="C228" s="322"/>
      <c r="D228" s="208" t="s">
        <v>165</v>
      </c>
      <c r="E228" s="205"/>
      <c r="F228" s="319"/>
      <c r="G228" s="320"/>
      <c r="H228" s="320"/>
      <c r="I228" s="321"/>
      <c r="J228" s="630"/>
      <c r="K228" s="836"/>
      <c r="L228" s="836"/>
      <c r="M228" s="896"/>
      <c r="N228" s="837"/>
    </row>
    <row r="229" spans="1:14">
      <c r="A229" s="228"/>
      <c r="C229" s="322"/>
      <c r="D229" s="208" t="s">
        <v>166</v>
      </c>
      <c r="E229" s="205"/>
      <c r="F229" s="319"/>
      <c r="G229" s="320"/>
      <c r="H229" s="320"/>
      <c r="I229" s="321"/>
      <c r="J229" s="630"/>
      <c r="K229" s="836"/>
      <c r="L229" s="836"/>
      <c r="M229" s="896"/>
      <c r="N229" s="837"/>
    </row>
    <row r="230" spans="1:14">
      <c r="A230" s="228"/>
      <c r="C230" s="322"/>
      <c r="D230" s="208" t="s">
        <v>167</v>
      </c>
      <c r="E230" s="205"/>
      <c r="F230" s="319"/>
      <c r="G230" s="320"/>
      <c r="H230" s="320"/>
      <c r="I230" s="321"/>
      <c r="J230" s="630"/>
      <c r="K230" s="836"/>
      <c r="L230" s="836"/>
      <c r="M230" s="896"/>
      <c r="N230" s="837"/>
    </row>
    <row r="231" spans="1:14">
      <c r="A231" s="228"/>
      <c r="C231" s="322"/>
      <c r="D231" s="208" t="s">
        <v>168</v>
      </c>
      <c r="E231" s="205"/>
      <c r="F231" s="319"/>
      <c r="G231" s="320"/>
      <c r="H231" s="320"/>
      <c r="I231" s="321"/>
      <c r="J231" s="630"/>
      <c r="K231" s="836"/>
      <c r="L231" s="836"/>
      <c r="M231" s="896"/>
      <c r="N231" s="837"/>
    </row>
    <row r="232" spans="1:14">
      <c r="A232" s="228"/>
      <c r="C232" s="322"/>
      <c r="D232" s="208" t="s">
        <v>169</v>
      </c>
      <c r="E232" s="205"/>
      <c r="F232" s="319"/>
      <c r="G232" s="320"/>
      <c r="H232" s="320"/>
      <c r="I232" s="321"/>
      <c r="J232" s="630"/>
      <c r="K232" s="836"/>
      <c r="L232" s="836"/>
      <c r="M232" s="896"/>
      <c r="N232" s="837"/>
    </row>
    <row r="233" spans="1:14">
      <c r="A233" s="228"/>
      <c r="C233" s="322"/>
      <c r="D233" s="208" t="s">
        <v>170</v>
      </c>
      <c r="E233" s="205"/>
      <c r="F233" s="319"/>
      <c r="G233" s="320"/>
      <c r="H233" s="320"/>
      <c r="I233" s="321"/>
      <c r="J233" s="630"/>
      <c r="K233" s="836"/>
      <c r="L233" s="836"/>
      <c r="M233" s="896"/>
      <c r="N233" s="837"/>
    </row>
    <row r="234" spans="1:14">
      <c r="A234" s="228"/>
      <c r="C234" s="322"/>
      <c r="D234" s="208" t="s">
        <v>171</v>
      </c>
      <c r="E234" s="205"/>
      <c r="F234" s="319"/>
      <c r="G234" s="320"/>
      <c r="H234" s="320"/>
      <c r="I234" s="321"/>
      <c r="J234" s="630"/>
      <c r="K234" s="836"/>
      <c r="L234" s="836"/>
      <c r="M234" s="896"/>
      <c r="N234" s="837"/>
    </row>
    <row r="235" spans="1:14">
      <c r="A235" s="228"/>
      <c r="C235" s="322"/>
      <c r="D235" s="208" t="s">
        <v>172</v>
      </c>
      <c r="E235" s="205"/>
      <c r="F235" s="319"/>
      <c r="G235" s="320"/>
      <c r="H235" s="320"/>
      <c r="I235" s="321"/>
      <c r="J235" s="630"/>
      <c r="K235" s="836"/>
      <c r="L235" s="836"/>
      <c r="M235" s="896"/>
      <c r="N235" s="837"/>
    </row>
    <row r="236" spans="1:14">
      <c r="A236" s="228"/>
      <c r="C236" s="322"/>
      <c r="D236" s="208" t="s">
        <v>173</v>
      </c>
      <c r="E236" s="205"/>
      <c r="F236" s="319"/>
      <c r="G236" s="320"/>
      <c r="H236" s="320"/>
      <c r="I236" s="321"/>
      <c r="J236" s="630"/>
      <c r="K236" s="836"/>
      <c r="L236" s="836"/>
      <c r="M236" s="896"/>
      <c r="N236" s="837"/>
    </row>
    <row r="237" spans="1:14">
      <c r="A237" s="228"/>
      <c r="C237" s="322"/>
      <c r="D237" s="208" t="s">
        <v>174</v>
      </c>
      <c r="E237" s="205"/>
      <c r="F237" s="319"/>
      <c r="G237" s="320"/>
      <c r="H237" s="320"/>
      <c r="I237" s="321"/>
      <c r="J237" s="630"/>
      <c r="K237" s="836"/>
      <c r="L237" s="836"/>
      <c r="M237" s="896"/>
      <c r="N237" s="837"/>
    </row>
    <row r="238" spans="1:14">
      <c r="A238" s="228"/>
      <c r="D238" s="208" t="s">
        <v>175</v>
      </c>
      <c r="E238" s="205"/>
      <c r="F238" s="319"/>
      <c r="G238" s="320"/>
      <c r="H238" s="320"/>
      <c r="I238" s="321"/>
      <c r="J238" s="630"/>
      <c r="K238" s="836"/>
      <c r="L238" s="836"/>
      <c r="M238" s="896"/>
      <c r="N238" s="837"/>
    </row>
    <row r="239" spans="1:14">
      <c r="A239" s="228"/>
      <c r="C239" s="322"/>
      <c r="D239" s="208" t="s">
        <v>176</v>
      </c>
      <c r="E239" s="205"/>
      <c r="F239" s="319"/>
      <c r="G239" s="320"/>
      <c r="H239" s="320"/>
      <c r="I239" s="321"/>
      <c r="J239" s="630"/>
      <c r="K239" s="836"/>
      <c r="L239" s="836"/>
      <c r="M239" s="896"/>
      <c r="N239" s="837"/>
    </row>
    <row r="240" spans="1:14">
      <c r="A240" s="228"/>
      <c r="C240" s="322"/>
      <c r="D240" s="208" t="s">
        <v>177</v>
      </c>
      <c r="E240" s="205"/>
      <c r="F240" s="319"/>
      <c r="G240" s="320"/>
      <c r="H240" s="320"/>
      <c r="I240" s="321"/>
      <c r="J240" s="630"/>
      <c r="K240" s="836"/>
      <c r="L240" s="836"/>
      <c r="M240" s="896"/>
      <c r="N240" s="837"/>
    </row>
    <row r="241" spans="1:14">
      <c r="A241" s="228"/>
      <c r="D241" s="208" t="s">
        <v>178</v>
      </c>
      <c r="E241" s="205"/>
      <c r="F241" s="319"/>
      <c r="G241" s="320"/>
      <c r="H241" s="320"/>
      <c r="I241" s="321"/>
      <c r="J241" s="630"/>
      <c r="K241" s="836"/>
      <c r="L241" s="836"/>
      <c r="M241" s="896"/>
      <c r="N241" s="837"/>
    </row>
    <row r="242" spans="1:14">
      <c r="A242" s="228"/>
      <c r="C242" s="322"/>
      <c r="D242" s="208" t="s">
        <v>179</v>
      </c>
      <c r="E242" s="205"/>
      <c r="F242" s="319"/>
      <c r="G242" s="320"/>
      <c r="H242" s="320"/>
      <c r="I242" s="321"/>
      <c r="J242" s="630"/>
      <c r="K242" s="836"/>
      <c r="L242" s="836"/>
      <c r="M242" s="896"/>
      <c r="N242" s="837"/>
    </row>
    <row r="243" spans="1:14">
      <c r="A243" s="228"/>
      <c r="C243" s="322"/>
      <c r="D243" s="208" t="s">
        <v>180</v>
      </c>
      <c r="E243" s="205"/>
      <c r="F243" s="319"/>
      <c r="G243" s="320"/>
      <c r="H243" s="320"/>
      <c r="I243" s="321"/>
      <c r="J243" s="630"/>
      <c r="K243" s="836"/>
      <c r="L243" s="836"/>
      <c r="M243" s="896"/>
      <c r="N243" s="837"/>
    </row>
    <row r="244" spans="1:14">
      <c r="A244" s="228"/>
      <c r="C244" s="322"/>
      <c r="D244" s="208" t="s">
        <v>369</v>
      </c>
      <c r="E244" s="205"/>
      <c r="F244" s="319"/>
      <c r="G244" s="320"/>
      <c r="H244" s="320"/>
      <c r="I244" s="321"/>
      <c r="J244" s="630"/>
      <c r="K244" s="836"/>
      <c r="L244" s="836"/>
      <c r="M244" s="896"/>
      <c r="N244" s="837"/>
    </row>
    <row r="245" spans="1:14">
      <c r="A245" s="228"/>
      <c r="C245" s="322"/>
      <c r="D245" s="208" t="s">
        <v>370</v>
      </c>
      <c r="E245" s="205"/>
      <c r="F245" s="319"/>
      <c r="G245" s="320"/>
      <c r="H245" s="320"/>
      <c r="I245" s="321"/>
      <c r="J245" s="630"/>
      <c r="K245" s="836"/>
      <c r="L245" s="836"/>
      <c r="M245" s="896"/>
      <c r="N245" s="837"/>
    </row>
    <row r="246" spans="1:14">
      <c r="A246" s="228"/>
      <c r="D246" s="208" t="s">
        <v>371</v>
      </c>
      <c r="E246" s="205"/>
      <c r="F246" s="319"/>
      <c r="G246" s="320"/>
      <c r="H246" s="320"/>
      <c r="I246" s="321"/>
      <c r="J246" s="630"/>
      <c r="K246" s="836"/>
      <c r="L246" s="836"/>
      <c r="M246" s="896"/>
      <c r="N246" s="837"/>
    </row>
    <row r="247" spans="1:14">
      <c r="A247" s="228"/>
      <c r="C247" s="322"/>
      <c r="D247" s="208" t="s">
        <v>372</v>
      </c>
      <c r="E247" s="205"/>
      <c r="F247" s="319"/>
      <c r="G247" s="320"/>
      <c r="H247" s="320"/>
      <c r="I247" s="321"/>
      <c r="J247" s="630"/>
      <c r="K247" s="836"/>
      <c r="L247" s="836"/>
      <c r="M247" s="896"/>
      <c r="N247" s="837"/>
    </row>
    <row r="248" spans="1:14">
      <c r="A248" s="228"/>
      <c r="C248" s="322"/>
      <c r="D248" s="208" t="s">
        <v>373</v>
      </c>
      <c r="E248" s="205"/>
      <c r="F248" s="319"/>
      <c r="G248" s="320"/>
      <c r="H248" s="320"/>
      <c r="I248" s="321"/>
      <c r="J248" s="630"/>
      <c r="K248" s="836"/>
      <c r="L248" s="836"/>
      <c r="M248" s="896"/>
      <c r="N248" s="837"/>
    </row>
    <row r="249" spans="1:14">
      <c r="A249" s="203" t="s">
        <v>194</v>
      </c>
      <c r="B249" s="254"/>
      <c r="C249" s="254"/>
      <c r="D249" s="208" t="s">
        <v>195</v>
      </c>
      <c r="E249" s="205"/>
      <c r="F249" s="616"/>
      <c r="G249" s="268"/>
      <c r="H249" s="268"/>
      <c r="I249" s="327"/>
      <c r="J249" s="632"/>
      <c r="K249" s="774" t="str">
        <f>IF(J249="","",$J249)</f>
        <v/>
      </c>
      <c r="L249" s="774" t="str">
        <f t="shared" ref="L249:N249" si="99">IF(K249="","",$J249)</f>
        <v/>
      </c>
      <c r="M249" s="774" t="str">
        <f t="shared" si="99"/>
        <v/>
      </c>
      <c r="N249" s="775" t="str">
        <f t="shared" si="99"/>
        <v/>
      </c>
    </row>
    <row r="250" spans="1:14">
      <c r="A250" s="228"/>
      <c r="D250" s="208" t="s">
        <v>196</v>
      </c>
      <c r="E250" s="205"/>
      <c r="F250" s="616"/>
      <c r="G250" s="268"/>
      <c r="H250" s="268"/>
      <c r="I250" s="327"/>
      <c r="J250" s="632"/>
      <c r="K250" s="774" t="str">
        <f t="shared" ref="K250:N250" si="100">IF(J250="","",$J250)</f>
        <v/>
      </c>
      <c r="L250" s="774" t="str">
        <f t="shared" si="100"/>
        <v/>
      </c>
      <c r="M250" s="774" t="str">
        <f t="shared" si="100"/>
        <v/>
      </c>
      <c r="N250" s="775" t="str">
        <f t="shared" si="100"/>
        <v/>
      </c>
    </row>
    <row r="251" spans="1:14">
      <c r="A251" s="228"/>
      <c r="C251" s="322"/>
      <c r="D251" s="208" t="s">
        <v>197</v>
      </c>
      <c r="E251" s="205"/>
      <c r="F251" s="616"/>
      <c r="G251" s="268"/>
      <c r="H251" s="268"/>
      <c r="I251" s="327"/>
      <c r="J251" s="632"/>
      <c r="K251" s="774" t="str">
        <f t="shared" ref="K251:N251" si="101">IF(J251="","",$J251)</f>
        <v/>
      </c>
      <c r="L251" s="774" t="str">
        <f t="shared" si="101"/>
        <v/>
      </c>
      <c r="M251" s="774" t="str">
        <f t="shared" si="101"/>
        <v/>
      </c>
      <c r="N251" s="775" t="str">
        <f t="shared" si="101"/>
        <v/>
      </c>
    </row>
    <row r="252" spans="1:14">
      <c r="A252" s="228"/>
      <c r="C252" s="322"/>
      <c r="D252" s="208" t="s">
        <v>198</v>
      </c>
      <c r="E252" s="205"/>
      <c r="F252" s="616"/>
      <c r="G252" s="268"/>
      <c r="H252" s="268"/>
      <c r="I252" s="327"/>
      <c r="J252" s="632"/>
      <c r="K252" s="774" t="str">
        <f t="shared" ref="K252:N252" si="102">IF(J252="","",$J252)</f>
        <v/>
      </c>
      <c r="L252" s="774" t="str">
        <f t="shared" si="102"/>
        <v/>
      </c>
      <c r="M252" s="774" t="str">
        <f t="shared" si="102"/>
        <v/>
      </c>
      <c r="N252" s="775" t="str">
        <f t="shared" si="102"/>
        <v/>
      </c>
    </row>
    <row r="253" spans="1:14">
      <c r="A253" s="228"/>
      <c r="C253" s="322"/>
      <c r="D253" s="208" t="s">
        <v>199</v>
      </c>
      <c r="E253" s="205"/>
      <c r="F253" s="616"/>
      <c r="G253" s="268"/>
      <c r="H253" s="268"/>
      <c r="I253" s="327"/>
      <c r="J253" s="632"/>
      <c r="K253" s="774" t="str">
        <f t="shared" ref="K253:N253" si="103">IF(J253="","",$J253)</f>
        <v/>
      </c>
      <c r="L253" s="774" t="str">
        <f t="shared" si="103"/>
        <v/>
      </c>
      <c r="M253" s="774" t="str">
        <f t="shared" si="103"/>
        <v/>
      </c>
      <c r="N253" s="775" t="str">
        <f t="shared" si="103"/>
        <v/>
      </c>
    </row>
    <row r="254" spans="1:14">
      <c r="A254" s="228"/>
      <c r="C254" s="322"/>
      <c r="D254" s="208" t="s">
        <v>200</v>
      </c>
      <c r="E254" s="205"/>
      <c r="F254" s="616"/>
      <c r="G254" s="268"/>
      <c r="H254" s="268"/>
      <c r="I254" s="327"/>
      <c r="J254" s="632"/>
      <c r="K254" s="774" t="str">
        <f t="shared" ref="K254:N254" si="104">IF(J254="","",$J254)</f>
        <v/>
      </c>
      <c r="L254" s="774" t="str">
        <f t="shared" si="104"/>
        <v/>
      </c>
      <c r="M254" s="774" t="str">
        <f t="shared" si="104"/>
        <v/>
      </c>
      <c r="N254" s="775" t="str">
        <f t="shared" si="104"/>
        <v/>
      </c>
    </row>
    <row r="255" spans="1:14">
      <c r="A255" s="228"/>
      <c r="C255" s="322"/>
      <c r="D255" s="208" t="s">
        <v>201</v>
      </c>
      <c r="E255" s="205"/>
      <c r="F255" s="616"/>
      <c r="G255" s="268"/>
      <c r="H255" s="268"/>
      <c r="I255" s="327"/>
      <c r="J255" s="632"/>
      <c r="K255" s="774" t="str">
        <f t="shared" ref="K255:N255" si="105">IF(J255="","",$J255)</f>
        <v/>
      </c>
      <c r="L255" s="774" t="str">
        <f t="shared" si="105"/>
        <v/>
      </c>
      <c r="M255" s="774" t="str">
        <f t="shared" si="105"/>
        <v/>
      </c>
      <c r="N255" s="775" t="str">
        <f t="shared" si="105"/>
        <v/>
      </c>
    </row>
    <row r="256" spans="1:14">
      <c r="A256" s="228"/>
      <c r="C256" s="322"/>
      <c r="D256" s="208" t="s">
        <v>202</v>
      </c>
      <c r="E256" s="205"/>
      <c r="F256" s="616"/>
      <c r="G256" s="268"/>
      <c r="H256" s="268"/>
      <c r="I256" s="327"/>
      <c r="J256" s="632"/>
      <c r="K256" s="774" t="str">
        <f t="shared" ref="K256:N256" si="106">IF(J256="","",$J256)</f>
        <v/>
      </c>
      <c r="L256" s="774" t="str">
        <f t="shared" si="106"/>
        <v/>
      </c>
      <c r="M256" s="774" t="str">
        <f t="shared" si="106"/>
        <v/>
      </c>
      <c r="N256" s="775" t="str">
        <f t="shared" si="106"/>
        <v/>
      </c>
    </row>
    <row r="257" spans="1:14">
      <c r="A257" s="228"/>
      <c r="C257" s="322"/>
      <c r="D257" s="208" t="s">
        <v>203</v>
      </c>
      <c r="E257" s="205"/>
      <c r="F257" s="616"/>
      <c r="G257" s="268"/>
      <c r="H257" s="268"/>
      <c r="I257" s="327"/>
      <c r="J257" s="632"/>
      <c r="K257" s="774" t="str">
        <f t="shared" ref="K257:N257" si="107">IF(J257="","",$J257)</f>
        <v/>
      </c>
      <c r="L257" s="774" t="str">
        <f t="shared" si="107"/>
        <v/>
      </c>
      <c r="M257" s="774" t="str">
        <f t="shared" si="107"/>
        <v/>
      </c>
      <c r="N257" s="775" t="str">
        <f t="shared" si="107"/>
        <v/>
      </c>
    </row>
    <row r="258" spans="1:14">
      <c r="A258" s="228"/>
      <c r="C258" s="322"/>
      <c r="D258" s="208" t="s">
        <v>204</v>
      </c>
      <c r="E258" s="205"/>
      <c r="F258" s="616"/>
      <c r="G258" s="268"/>
      <c r="H258" s="268"/>
      <c r="I258" s="327"/>
      <c r="J258" s="632"/>
      <c r="K258" s="774" t="str">
        <f t="shared" ref="K258:N258" si="108">IF(J258="","",$J258)</f>
        <v/>
      </c>
      <c r="L258" s="774" t="str">
        <f t="shared" si="108"/>
        <v/>
      </c>
      <c r="M258" s="774" t="str">
        <f t="shared" si="108"/>
        <v/>
      </c>
      <c r="N258" s="775" t="str">
        <f t="shared" si="108"/>
        <v/>
      </c>
    </row>
    <row r="259" spans="1:14">
      <c r="A259" s="228"/>
      <c r="C259" s="322"/>
      <c r="D259" s="208" t="s">
        <v>205</v>
      </c>
      <c r="E259" s="205"/>
      <c r="F259" s="616"/>
      <c r="G259" s="268"/>
      <c r="H259" s="268"/>
      <c r="I259" s="327"/>
      <c r="J259" s="632"/>
      <c r="K259" s="774" t="str">
        <f t="shared" ref="K259:N259" si="109">IF(J259="","",$J259)</f>
        <v/>
      </c>
      <c r="L259" s="774" t="str">
        <f t="shared" si="109"/>
        <v/>
      </c>
      <c r="M259" s="774" t="str">
        <f t="shared" si="109"/>
        <v/>
      </c>
      <c r="N259" s="775" t="str">
        <f t="shared" si="109"/>
        <v/>
      </c>
    </row>
    <row r="260" spans="1:14">
      <c r="A260" s="228"/>
      <c r="C260" s="322"/>
      <c r="D260" s="328" t="s">
        <v>206</v>
      </c>
      <c r="E260" s="272"/>
      <c r="F260" s="616"/>
      <c r="G260" s="268"/>
      <c r="H260" s="268"/>
      <c r="I260" s="327"/>
      <c r="J260" s="633"/>
      <c r="K260" s="774" t="str">
        <f t="shared" ref="K260:N260" si="110">IF(J260="","",$J260)</f>
        <v/>
      </c>
      <c r="L260" s="774" t="str">
        <f t="shared" si="110"/>
        <v/>
      </c>
      <c r="M260" s="774" t="str">
        <f t="shared" si="110"/>
        <v/>
      </c>
      <c r="N260" s="775" t="str">
        <f t="shared" si="110"/>
        <v/>
      </c>
    </row>
    <row r="261" spans="1:14">
      <c r="A261" s="228"/>
      <c r="D261" s="208" t="s">
        <v>207</v>
      </c>
      <c r="E261" s="205"/>
      <c r="F261" s="616"/>
      <c r="G261" s="268"/>
      <c r="H261" s="268"/>
      <c r="I261" s="327"/>
      <c r="J261" s="634"/>
      <c r="K261" s="774" t="str">
        <f t="shared" ref="K261:N261" si="111">IF(J261="","",$J261)</f>
        <v/>
      </c>
      <c r="L261" s="774" t="str">
        <f t="shared" si="111"/>
        <v/>
      </c>
      <c r="M261" s="774" t="str">
        <f t="shared" si="111"/>
        <v/>
      </c>
      <c r="N261" s="775" t="str">
        <f t="shared" si="111"/>
        <v/>
      </c>
    </row>
    <row r="262" spans="1:14">
      <c r="A262" s="228"/>
      <c r="D262" s="329" t="s">
        <v>208</v>
      </c>
      <c r="E262" s="330"/>
      <c r="F262" s="616"/>
      <c r="G262" s="268"/>
      <c r="H262" s="268"/>
      <c r="I262" s="327"/>
      <c r="J262" s="635"/>
      <c r="K262" s="774" t="str">
        <f t="shared" ref="K262:N262" si="112">IF(J262="","",$J262)</f>
        <v/>
      </c>
      <c r="L262" s="774" t="str">
        <f t="shared" si="112"/>
        <v/>
      </c>
      <c r="M262" s="774" t="str">
        <f t="shared" si="112"/>
        <v/>
      </c>
      <c r="N262" s="775" t="str">
        <f t="shared" si="112"/>
        <v/>
      </c>
    </row>
    <row r="263" spans="1:14">
      <c r="A263" s="228"/>
      <c r="C263" s="322"/>
      <c r="D263" s="208" t="s">
        <v>209</v>
      </c>
      <c r="E263" s="205"/>
      <c r="F263" s="616"/>
      <c r="G263" s="268"/>
      <c r="H263" s="268"/>
      <c r="I263" s="327"/>
      <c r="J263" s="632"/>
      <c r="K263" s="774" t="str">
        <f t="shared" ref="K263:N263" si="113">IF(J263="","",$J263)</f>
        <v/>
      </c>
      <c r="L263" s="774" t="str">
        <f t="shared" si="113"/>
        <v/>
      </c>
      <c r="M263" s="774" t="str">
        <f t="shared" si="113"/>
        <v/>
      </c>
      <c r="N263" s="775" t="str">
        <f t="shared" si="113"/>
        <v/>
      </c>
    </row>
    <row r="264" spans="1:14">
      <c r="A264" s="228"/>
      <c r="C264" s="322"/>
      <c r="D264" s="328" t="s">
        <v>210</v>
      </c>
      <c r="E264" s="272"/>
      <c r="F264" s="331"/>
      <c r="G264" s="273"/>
      <c r="H264" s="273"/>
      <c r="I264" s="332"/>
      <c r="J264" s="633"/>
      <c r="K264" s="774" t="str">
        <f t="shared" ref="K264:N264" si="114">IF(J264="","",$J264)</f>
        <v/>
      </c>
      <c r="L264" s="774" t="str">
        <f t="shared" si="114"/>
        <v/>
      </c>
      <c r="M264" s="774" t="str">
        <f t="shared" si="114"/>
        <v/>
      </c>
      <c r="N264" s="775" t="str">
        <f t="shared" si="114"/>
        <v/>
      </c>
    </row>
    <row r="265" spans="1:14">
      <c r="A265" s="228"/>
      <c r="C265" s="322"/>
      <c r="D265" s="328" t="s">
        <v>211</v>
      </c>
      <c r="E265" s="205"/>
      <c r="F265" s="616"/>
      <c r="G265" s="268"/>
      <c r="H265" s="268"/>
      <c r="I265" s="327"/>
      <c r="J265" s="634"/>
      <c r="K265" s="774" t="str">
        <f t="shared" ref="K265:N265" si="115">IF(J265="","",$J265)</f>
        <v/>
      </c>
      <c r="L265" s="774" t="str">
        <f t="shared" si="115"/>
        <v/>
      </c>
      <c r="M265" s="774" t="str">
        <f t="shared" si="115"/>
        <v/>
      </c>
      <c r="N265" s="775" t="str">
        <f t="shared" si="115"/>
        <v/>
      </c>
    </row>
    <row r="266" spans="1:14">
      <c r="A266" s="228"/>
      <c r="C266" s="322"/>
      <c r="D266" s="208" t="s">
        <v>212</v>
      </c>
      <c r="E266" s="205"/>
      <c r="F266" s="616"/>
      <c r="G266" s="268"/>
      <c r="H266" s="268"/>
      <c r="I266" s="327"/>
      <c r="J266" s="632"/>
      <c r="K266" s="774" t="str">
        <f t="shared" ref="K266:N270" si="116">IF(J266="","",$J266)</f>
        <v/>
      </c>
      <c r="L266" s="774" t="str">
        <f t="shared" si="116"/>
        <v/>
      </c>
      <c r="M266" s="774" t="str">
        <f t="shared" si="116"/>
        <v/>
      </c>
      <c r="N266" s="775" t="str">
        <f t="shared" si="116"/>
        <v/>
      </c>
    </row>
    <row r="267" spans="1:14">
      <c r="A267" s="228"/>
      <c r="D267" s="329" t="s">
        <v>374</v>
      </c>
      <c r="E267" s="330"/>
      <c r="F267" s="616"/>
      <c r="G267" s="268"/>
      <c r="H267" s="268"/>
      <c r="I267" s="327"/>
      <c r="J267" s="635"/>
      <c r="K267" s="774" t="str">
        <f t="shared" si="116"/>
        <v/>
      </c>
      <c r="L267" s="774" t="str">
        <f t="shared" si="116"/>
        <v/>
      </c>
      <c r="M267" s="774" t="str">
        <f t="shared" si="116"/>
        <v/>
      </c>
      <c r="N267" s="775" t="str">
        <f t="shared" si="116"/>
        <v/>
      </c>
    </row>
    <row r="268" spans="1:14">
      <c r="A268" s="228"/>
      <c r="C268" s="322"/>
      <c r="D268" s="208" t="s">
        <v>375</v>
      </c>
      <c r="E268" s="205"/>
      <c r="F268" s="616"/>
      <c r="G268" s="268"/>
      <c r="H268" s="268"/>
      <c r="I268" s="327"/>
      <c r="J268" s="632"/>
      <c r="K268" s="774" t="str">
        <f t="shared" si="116"/>
        <v/>
      </c>
      <c r="L268" s="774" t="str">
        <f t="shared" si="116"/>
        <v/>
      </c>
      <c r="M268" s="774" t="str">
        <f t="shared" si="116"/>
        <v/>
      </c>
      <c r="N268" s="775" t="str">
        <f t="shared" si="116"/>
        <v/>
      </c>
    </row>
    <row r="269" spans="1:14">
      <c r="A269" s="228"/>
      <c r="C269" s="322"/>
      <c r="D269" s="328" t="s">
        <v>376</v>
      </c>
      <c r="E269" s="272"/>
      <c r="F269" s="331"/>
      <c r="G269" s="273"/>
      <c r="H269" s="273"/>
      <c r="I269" s="332"/>
      <c r="J269" s="633"/>
      <c r="K269" s="774" t="str">
        <f t="shared" si="116"/>
        <v/>
      </c>
      <c r="L269" s="774" t="str">
        <f t="shared" si="116"/>
        <v/>
      </c>
      <c r="M269" s="774" t="str">
        <f t="shared" si="116"/>
        <v/>
      </c>
      <c r="N269" s="775" t="str">
        <f t="shared" si="116"/>
        <v/>
      </c>
    </row>
    <row r="270" spans="1:14">
      <c r="A270" s="228"/>
      <c r="C270" s="322"/>
      <c r="D270" s="328" t="s">
        <v>377</v>
      </c>
      <c r="E270" s="205"/>
      <c r="F270" s="616"/>
      <c r="G270" s="268"/>
      <c r="H270" s="268"/>
      <c r="I270" s="327"/>
      <c r="J270" s="634"/>
      <c r="K270" s="774" t="str">
        <f t="shared" si="116"/>
        <v/>
      </c>
      <c r="L270" s="774" t="str">
        <f t="shared" si="116"/>
        <v/>
      </c>
      <c r="M270" s="774" t="str">
        <f t="shared" si="116"/>
        <v/>
      </c>
      <c r="N270" s="775" t="str">
        <f t="shared" si="116"/>
        <v/>
      </c>
    </row>
    <row r="271" spans="1:14">
      <c r="A271" s="228"/>
      <c r="C271" s="322"/>
      <c r="D271" s="208" t="s">
        <v>378</v>
      </c>
      <c r="E271" s="205"/>
      <c r="F271" s="616"/>
      <c r="G271" s="268"/>
      <c r="H271" s="268"/>
      <c r="I271" s="327"/>
      <c r="J271" s="632"/>
      <c r="K271" s="774" t="str">
        <f t="shared" ref="K271" si="117">IF(J271="","",$J271)</f>
        <v/>
      </c>
      <c r="L271" s="774" t="str">
        <f t="shared" ref="L271" si="118">IF(K271="","",$J271)</f>
        <v/>
      </c>
      <c r="M271" s="774" t="str">
        <f t="shared" ref="M271" si="119">IF(L271="","",$J271)</f>
        <v/>
      </c>
      <c r="N271" s="775" t="str">
        <f t="shared" ref="N271" si="120">IF(M271="","",$J271)</f>
        <v/>
      </c>
    </row>
    <row r="272" spans="1:14" ht="14.25" thickBot="1">
      <c r="A272" s="333"/>
      <c r="B272" s="334"/>
      <c r="C272" s="335"/>
      <c r="D272" s="336" t="s">
        <v>379</v>
      </c>
      <c r="E272" s="337"/>
      <c r="F272" s="338"/>
      <c r="G272" s="339"/>
      <c r="H272" s="339"/>
      <c r="I272" s="340"/>
      <c r="J272" s="636"/>
      <c r="K272" s="840" t="str">
        <f t="shared" ref="K272:N272" si="121">IF(J272="","",$J272)</f>
        <v/>
      </c>
      <c r="L272" s="840" t="str">
        <f t="shared" si="121"/>
        <v/>
      </c>
      <c r="M272" s="840" t="str">
        <f t="shared" si="121"/>
        <v/>
      </c>
      <c r="N272" s="841" t="str">
        <f t="shared" si="121"/>
        <v/>
      </c>
    </row>
    <row r="273" spans="1:14">
      <c r="K273" s="365"/>
      <c r="L273" s="365"/>
      <c r="M273" s="365"/>
    </row>
    <row r="274" spans="1:14" ht="14.25" thickBot="1">
      <c r="A274" s="195" t="s">
        <v>213</v>
      </c>
      <c r="B274" s="198"/>
      <c r="C274" s="198"/>
      <c r="D274" s="198"/>
      <c r="E274" s="198"/>
      <c r="F274" s="198"/>
      <c r="G274" s="198"/>
      <c r="H274" s="198"/>
      <c r="I274" s="198"/>
      <c r="J274" s="198"/>
      <c r="K274" s="703"/>
      <c r="L274" s="703"/>
      <c r="M274" s="703"/>
    </row>
    <row r="275" spans="1:14">
      <c r="A275" s="226"/>
      <c r="B275" s="227"/>
      <c r="C275" s="227"/>
      <c r="D275" s="227"/>
      <c r="E275" s="227"/>
      <c r="F275" s="1132" t="s">
        <v>346</v>
      </c>
      <c r="G275" s="1142"/>
      <c r="H275" s="1142"/>
      <c r="I275" s="1142"/>
      <c r="J275" s="1019" t="s">
        <v>424</v>
      </c>
      <c r="K275" s="1020" t="s">
        <v>425</v>
      </c>
      <c r="L275" s="1020" t="s">
        <v>426</v>
      </c>
      <c r="M275" s="1020" t="s">
        <v>427</v>
      </c>
      <c r="N275" s="1021" t="s">
        <v>423</v>
      </c>
    </row>
    <row r="276" spans="1:14" ht="14.25" thickBot="1">
      <c r="A276" s="228"/>
      <c r="F276" s="229"/>
      <c r="G276" s="230" t="s">
        <v>359</v>
      </c>
      <c r="H276" s="231" t="s">
        <v>357</v>
      </c>
      <c r="I276" s="1022" t="s">
        <v>355</v>
      </c>
      <c r="J276" s="1023" t="s">
        <v>382</v>
      </c>
      <c r="K276" s="992" t="s">
        <v>385</v>
      </c>
      <c r="L276" s="992" t="s">
        <v>388</v>
      </c>
      <c r="M276" s="992" t="s">
        <v>391</v>
      </c>
      <c r="N276" s="1002" t="s">
        <v>394</v>
      </c>
    </row>
    <row r="277" spans="1:14">
      <c r="A277" s="226" t="s">
        <v>184</v>
      </c>
      <c r="B277" s="227"/>
      <c r="C277" s="341"/>
      <c r="D277" s="342" t="s">
        <v>185</v>
      </c>
      <c r="E277" s="343"/>
      <c r="F277" s="319"/>
      <c r="G277" s="973">
        <v>0.45500000000000002</v>
      </c>
      <c r="H277" s="973">
        <v>0.45500000000000002</v>
      </c>
      <c r="I277" s="974">
        <v>0.45500000000000002</v>
      </c>
      <c r="J277" s="975">
        <v>0.45500000000000002</v>
      </c>
      <c r="K277" s="976">
        <v>0.45500000000000002</v>
      </c>
      <c r="L277" s="976">
        <v>0.45500000000000002</v>
      </c>
      <c r="M277" s="977">
        <v>0.45500000000000002</v>
      </c>
      <c r="N277" s="978">
        <v>0.45500000000000002</v>
      </c>
    </row>
    <row r="278" spans="1:14">
      <c r="A278" s="228"/>
      <c r="D278" s="959" t="s">
        <v>186</v>
      </c>
      <c r="E278" s="960"/>
      <c r="F278" s="319"/>
      <c r="G278" s="973">
        <v>0.68500000000000005</v>
      </c>
      <c r="H278" s="973">
        <v>0.68500000000000005</v>
      </c>
      <c r="I278" s="974">
        <v>0.68500000000000005</v>
      </c>
      <c r="J278" s="975">
        <v>0.68500000000000005</v>
      </c>
      <c r="K278" s="976">
        <v>0.68500000000000005</v>
      </c>
      <c r="L278" s="976">
        <v>0.68500000000000005</v>
      </c>
      <c r="M278" s="977">
        <v>0.68500000000000005</v>
      </c>
      <c r="N278" s="978">
        <v>0.68500000000000005</v>
      </c>
    </row>
    <row r="279" spans="1:14">
      <c r="A279" s="228"/>
      <c r="C279" s="322"/>
      <c r="D279" s="959" t="s">
        <v>187</v>
      </c>
      <c r="E279" s="960"/>
      <c r="F279" s="319"/>
      <c r="G279" s="973">
        <v>0.69</v>
      </c>
      <c r="H279" s="973">
        <v>0.69</v>
      </c>
      <c r="I279" s="974">
        <v>0.69</v>
      </c>
      <c r="J279" s="975">
        <v>0.69</v>
      </c>
      <c r="K279" s="976">
        <v>0.69</v>
      </c>
      <c r="L279" s="976">
        <v>0.69</v>
      </c>
      <c r="M279" s="977">
        <v>0.69</v>
      </c>
      <c r="N279" s="978">
        <v>0.69</v>
      </c>
    </row>
    <row r="280" spans="1:14">
      <c r="A280" s="228"/>
      <c r="C280" s="322"/>
      <c r="D280" s="959" t="s">
        <v>188</v>
      </c>
      <c r="E280" s="960"/>
      <c r="F280" s="319"/>
      <c r="G280" s="973">
        <v>0.9</v>
      </c>
      <c r="H280" s="973">
        <v>0.9</v>
      </c>
      <c r="I280" s="974">
        <v>0.9</v>
      </c>
      <c r="J280" s="975">
        <v>0.9</v>
      </c>
      <c r="K280" s="976">
        <v>0.9</v>
      </c>
      <c r="L280" s="976">
        <v>0.9</v>
      </c>
      <c r="M280" s="977">
        <v>0.9</v>
      </c>
      <c r="N280" s="978">
        <v>0.9</v>
      </c>
    </row>
    <row r="281" spans="1:14">
      <c r="A281" s="228"/>
      <c r="C281" s="322"/>
      <c r="D281" s="959" t="s">
        <v>189</v>
      </c>
      <c r="E281" s="960"/>
      <c r="F281" s="319"/>
      <c r="G281" s="973">
        <v>1</v>
      </c>
      <c r="H281" s="973">
        <v>1</v>
      </c>
      <c r="I281" s="974">
        <v>1</v>
      </c>
      <c r="J281" s="975">
        <v>1</v>
      </c>
      <c r="K281" s="976">
        <v>1</v>
      </c>
      <c r="L281" s="976">
        <v>1</v>
      </c>
      <c r="M281" s="977">
        <v>1</v>
      </c>
      <c r="N281" s="978">
        <v>1</v>
      </c>
    </row>
    <row r="282" spans="1:14">
      <c r="A282" s="228"/>
      <c r="C282" s="322"/>
      <c r="D282" s="959" t="s">
        <v>190</v>
      </c>
      <c r="E282" s="960"/>
      <c r="F282" s="319"/>
      <c r="G282" s="973">
        <v>1.2</v>
      </c>
      <c r="H282" s="973">
        <v>1.2</v>
      </c>
      <c r="I282" s="974">
        <v>1.2</v>
      </c>
      <c r="J282" s="975">
        <v>1.2</v>
      </c>
      <c r="K282" s="976">
        <v>1.2</v>
      </c>
      <c r="L282" s="976">
        <v>1.2</v>
      </c>
      <c r="M282" s="977">
        <v>1.2</v>
      </c>
      <c r="N282" s="978">
        <v>1.2</v>
      </c>
    </row>
    <row r="283" spans="1:14">
      <c r="A283" s="228"/>
      <c r="C283" s="322"/>
      <c r="D283" s="959" t="s">
        <v>191</v>
      </c>
      <c r="E283" s="960"/>
      <c r="F283" s="319"/>
      <c r="G283" s="973">
        <v>1.3</v>
      </c>
      <c r="H283" s="973">
        <v>1.3</v>
      </c>
      <c r="I283" s="974">
        <v>1.3</v>
      </c>
      <c r="J283" s="975">
        <v>1.3</v>
      </c>
      <c r="K283" s="976">
        <v>1.3</v>
      </c>
      <c r="L283" s="976">
        <v>1.3</v>
      </c>
      <c r="M283" s="977">
        <v>1.3</v>
      </c>
      <c r="N283" s="978">
        <v>1.3</v>
      </c>
    </row>
    <row r="284" spans="1:14">
      <c r="A284" s="228"/>
      <c r="C284" s="322"/>
      <c r="D284" s="959" t="s">
        <v>192</v>
      </c>
      <c r="E284" s="960"/>
      <c r="F284" s="319"/>
      <c r="G284" s="973">
        <v>1.5</v>
      </c>
      <c r="H284" s="973">
        <v>1.5</v>
      </c>
      <c r="I284" s="974">
        <v>1.5</v>
      </c>
      <c r="J284" s="975">
        <v>1.5</v>
      </c>
      <c r="K284" s="976">
        <v>1.5</v>
      </c>
      <c r="L284" s="976">
        <v>1.5</v>
      </c>
      <c r="M284" s="977">
        <v>1.5</v>
      </c>
      <c r="N284" s="978">
        <v>1.5</v>
      </c>
    </row>
    <row r="285" spans="1:14">
      <c r="A285" s="228"/>
      <c r="C285" s="322"/>
      <c r="D285" s="959" t="s">
        <v>193</v>
      </c>
      <c r="E285" s="960"/>
      <c r="F285" s="319"/>
      <c r="G285" s="973">
        <v>1.7</v>
      </c>
      <c r="H285" s="973">
        <v>1.7</v>
      </c>
      <c r="I285" s="974">
        <v>1.7</v>
      </c>
      <c r="J285" s="975">
        <v>1.7</v>
      </c>
      <c r="K285" s="976">
        <v>1.7</v>
      </c>
      <c r="L285" s="976">
        <v>1.7</v>
      </c>
      <c r="M285" s="977">
        <v>1.7</v>
      </c>
      <c r="N285" s="978">
        <v>1.7</v>
      </c>
    </row>
    <row r="286" spans="1:14">
      <c r="A286" s="228"/>
      <c r="C286" s="322"/>
      <c r="D286" s="959" t="s">
        <v>165</v>
      </c>
      <c r="E286" s="960"/>
      <c r="F286" s="319"/>
      <c r="G286" s="973">
        <v>1.9</v>
      </c>
      <c r="H286" s="973">
        <v>1.9</v>
      </c>
      <c r="I286" s="974">
        <v>1.9</v>
      </c>
      <c r="J286" s="975">
        <v>1.9</v>
      </c>
      <c r="K286" s="976">
        <v>1.9</v>
      </c>
      <c r="L286" s="976">
        <v>1.9</v>
      </c>
      <c r="M286" s="977">
        <v>1.9</v>
      </c>
      <c r="N286" s="978">
        <v>1.9</v>
      </c>
    </row>
    <row r="287" spans="1:14">
      <c r="A287" s="228"/>
      <c r="C287" s="322"/>
      <c r="D287" s="959" t="s">
        <v>166</v>
      </c>
      <c r="E287" s="960"/>
      <c r="F287" s="319"/>
      <c r="G287" s="973">
        <v>2.1</v>
      </c>
      <c r="H287" s="973">
        <v>2.1</v>
      </c>
      <c r="I287" s="974">
        <v>2.1</v>
      </c>
      <c r="J287" s="975">
        <v>2.1</v>
      </c>
      <c r="K287" s="976">
        <v>2.1</v>
      </c>
      <c r="L287" s="976">
        <v>2.1</v>
      </c>
      <c r="M287" s="977">
        <v>2.1</v>
      </c>
      <c r="N287" s="978">
        <v>2.1</v>
      </c>
    </row>
    <row r="288" spans="1:14">
      <c r="A288" s="228"/>
      <c r="C288" s="322"/>
      <c r="D288" s="959" t="s">
        <v>167</v>
      </c>
      <c r="E288" s="960"/>
      <c r="F288" s="319"/>
      <c r="G288" s="973">
        <v>2.2999999999999998</v>
      </c>
      <c r="H288" s="973">
        <v>2.2999999999999998</v>
      </c>
      <c r="I288" s="974">
        <v>2.2999999999999998</v>
      </c>
      <c r="J288" s="975">
        <v>2.2999999999999998</v>
      </c>
      <c r="K288" s="976">
        <v>2.2999999999999998</v>
      </c>
      <c r="L288" s="976">
        <v>2.2999999999999998</v>
      </c>
      <c r="M288" s="977">
        <v>2.2999999999999998</v>
      </c>
      <c r="N288" s="978">
        <v>2.2999999999999998</v>
      </c>
    </row>
    <row r="289" spans="1:14">
      <c r="A289" s="228"/>
      <c r="C289" s="322"/>
      <c r="D289" s="959" t="s">
        <v>168</v>
      </c>
      <c r="E289" s="960"/>
      <c r="F289" s="319"/>
      <c r="G289" s="973">
        <v>2.4</v>
      </c>
      <c r="H289" s="973">
        <v>2.4</v>
      </c>
      <c r="I289" s="974">
        <v>2.4</v>
      </c>
      <c r="J289" s="975">
        <v>2.4</v>
      </c>
      <c r="K289" s="976">
        <v>2.4</v>
      </c>
      <c r="L289" s="976">
        <v>2.4</v>
      </c>
      <c r="M289" s="977">
        <v>2.4</v>
      </c>
      <c r="N289" s="978">
        <v>2.4</v>
      </c>
    </row>
    <row r="290" spans="1:14" hidden="1">
      <c r="A290" s="228"/>
      <c r="C290" s="322"/>
      <c r="D290" s="959"/>
      <c r="E290" s="960"/>
      <c r="F290" s="319"/>
      <c r="G290" s="961">
        <v>0</v>
      </c>
      <c r="H290" s="961">
        <v>0</v>
      </c>
      <c r="I290" s="962">
        <v>0</v>
      </c>
      <c r="J290" s="626">
        <v>0</v>
      </c>
      <c r="K290" s="842">
        <v>0</v>
      </c>
      <c r="L290" s="842">
        <v>0</v>
      </c>
      <c r="M290" s="898">
        <v>0</v>
      </c>
      <c r="N290" s="843">
        <v>0</v>
      </c>
    </row>
    <row r="291" spans="1:14" hidden="1">
      <c r="A291" s="228"/>
      <c r="C291" s="322"/>
      <c r="D291" s="959"/>
      <c r="E291" s="960"/>
      <c r="F291" s="319"/>
      <c r="G291" s="961">
        <v>0</v>
      </c>
      <c r="H291" s="961">
        <v>0</v>
      </c>
      <c r="I291" s="962">
        <v>0</v>
      </c>
      <c r="J291" s="626">
        <v>0</v>
      </c>
      <c r="K291" s="842">
        <v>0</v>
      </c>
      <c r="L291" s="842">
        <v>0</v>
      </c>
      <c r="M291" s="898">
        <v>0</v>
      </c>
      <c r="N291" s="843">
        <v>0</v>
      </c>
    </row>
    <row r="292" spans="1:14">
      <c r="A292" s="255" t="s">
        <v>194</v>
      </c>
      <c r="B292" s="256"/>
      <c r="C292" s="256"/>
      <c r="D292" s="959" t="s">
        <v>195</v>
      </c>
      <c r="E292" s="960"/>
      <c r="F292" s="963">
        <v>1200000</v>
      </c>
      <c r="G292" s="268"/>
      <c r="H292" s="268"/>
      <c r="I292" s="327"/>
      <c r="J292" s="627">
        <v>1200000</v>
      </c>
      <c r="K292" s="844">
        <v>1200000</v>
      </c>
      <c r="L292" s="844">
        <v>1200000</v>
      </c>
      <c r="M292" s="899">
        <v>1200000</v>
      </c>
      <c r="N292" s="845">
        <v>1200000</v>
      </c>
    </row>
    <row r="293" spans="1:14">
      <c r="A293" s="228"/>
      <c r="D293" s="959" t="s">
        <v>196</v>
      </c>
      <c r="E293" s="960"/>
      <c r="F293" s="963">
        <v>2100000</v>
      </c>
      <c r="G293" s="268"/>
      <c r="H293" s="268"/>
      <c r="I293" s="327"/>
      <c r="J293" s="627">
        <v>2100000</v>
      </c>
      <c r="K293" s="844">
        <v>2100000</v>
      </c>
      <c r="L293" s="844">
        <v>2100000</v>
      </c>
      <c r="M293" s="899">
        <v>2100000</v>
      </c>
      <c r="N293" s="845">
        <v>2100000</v>
      </c>
    </row>
    <row r="294" spans="1:14">
      <c r="A294" s="228"/>
      <c r="D294" s="959" t="s">
        <v>335</v>
      </c>
      <c r="E294" s="960"/>
      <c r="F294" s="963">
        <v>3200000</v>
      </c>
      <c r="G294" s="268"/>
      <c r="H294" s="268"/>
      <c r="I294" s="327"/>
      <c r="J294" s="627">
        <v>3200000</v>
      </c>
      <c r="K294" s="844">
        <v>3200000</v>
      </c>
      <c r="L294" s="844">
        <v>3200000</v>
      </c>
      <c r="M294" s="899">
        <v>3200000</v>
      </c>
      <c r="N294" s="845">
        <v>3200000</v>
      </c>
    </row>
    <row r="295" spans="1:14">
      <c r="A295" s="228"/>
      <c r="D295" s="959" t="s">
        <v>198</v>
      </c>
      <c r="E295" s="960"/>
      <c r="F295" s="963">
        <v>4200000</v>
      </c>
      <c r="G295" s="268"/>
      <c r="H295" s="268"/>
      <c r="I295" s="327"/>
      <c r="J295" s="627">
        <v>4200000</v>
      </c>
      <c r="K295" s="844">
        <v>4200000</v>
      </c>
      <c r="L295" s="844">
        <v>4200000</v>
      </c>
      <c r="M295" s="899">
        <v>4200000</v>
      </c>
      <c r="N295" s="845">
        <v>4200000</v>
      </c>
    </row>
    <row r="296" spans="1:14">
      <c r="A296" s="228"/>
      <c r="D296" s="959" t="s">
        <v>336</v>
      </c>
      <c r="E296" s="960"/>
      <c r="F296" s="963">
        <v>5200000</v>
      </c>
      <c r="G296" s="268"/>
      <c r="H296" s="268"/>
      <c r="I296" s="327"/>
      <c r="J296" s="627">
        <v>5200000</v>
      </c>
      <c r="K296" s="844">
        <v>5200000</v>
      </c>
      <c r="L296" s="844">
        <v>5200000</v>
      </c>
      <c r="M296" s="899">
        <v>5200000</v>
      </c>
      <c r="N296" s="845">
        <v>5200000</v>
      </c>
    </row>
    <row r="297" spans="1:14">
      <c r="A297" s="228"/>
      <c r="D297" s="959" t="s">
        <v>200</v>
      </c>
      <c r="E297" s="960"/>
      <c r="F297" s="963">
        <v>6200000</v>
      </c>
      <c r="G297" s="268"/>
      <c r="H297" s="268"/>
      <c r="I297" s="327"/>
      <c r="J297" s="627">
        <v>6200000</v>
      </c>
      <c r="K297" s="844">
        <v>6200000</v>
      </c>
      <c r="L297" s="844">
        <v>6200000</v>
      </c>
      <c r="M297" s="899">
        <v>6200000</v>
      </c>
      <c r="N297" s="845">
        <v>6200000</v>
      </c>
    </row>
    <row r="298" spans="1:14" ht="14.25" thickBot="1">
      <c r="A298" s="228"/>
      <c r="D298" s="959" t="s">
        <v>201</v>
      </c>
      <c r="E298" s="960"/>
      <c r="F298" s="963">
        <v>7200000</v>
      </c>
      <c r="G298" s="268"/>
      <c r="H298" s="268"/>
      <c r="I298" s="327"/>
      <c r="J298" s="627">
        <v>7200000</v>
      </c>
      <c r="K298" s="844">
        <v>7200000</v>
      </c>
      <c r="L298" s="844">
        <v>7200000</v>
      </c>
      <c r="M298" s="899">
        <v>7200000</v>
      </c>
      <c r="N298" s="845">
        <v>7200000</v>
      </c>
    </row>
    <row r="299" spans="1:14" hidden="1">
      <c r="A299" s="228"/>
      <c r="D299" s="959"/>
      <c r="E299" s="960"/>
      <c r="F299" s="963"/>
      <c r="G299" s="268"/>
      <c r="H299" s="268"/>
      <c r="I299" s="327"/>
      <c r="J299" s="627">
        <v>0</v>
      </c>
      <c r="K299" s="844">
        <v>0</v>
      </c>
      <c r="L299" s="844">
        <v>0</v>
      </c>
      <c r="M299" s="899">
        <v>0</v>
      </c>
      <c r="N299" s="845">
        <v>0</v>
      </c>
    </row>
    <row r="300" spans="1:14" ht="14.25" hidden="1" thickBot="1">
      <c r="A300" s="333"/>
      <c r="B300" s="334"/>
      <c r="C300" s="334"/>
      <c r="D300" s="344"/>
      <c r="E300" s="345"/>
      <c r="F300" s="346"/>
      <c r="G300" s="339"/>
      <c r="H300" s="339"/>
      <c r="I300" s="340"/>
      <c r="J300" s="628">
        <v>0</v>
      </c>
      <c r="K300" s="846">
        <v>0</v>
      </c>
      <c r="L300" s="846">
        <v>0</v>
      </c>
      <c r="M300" s="900">
        <v>0</v>
      </c>
      <c r="N300" s="847">
        <v>0</v>
      </c>
    </row>
    <row r="301" spans="1:14">
      <c r="A301" s="227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</row>
  </sheetData>
  <mergeCells count="17">
    <mergeCell ref="F275:I275"/>
    <mergeCell ref="F107:I107"/>
    <mergeCell ref="B213:E213"/>
    <mergeCell ref="F66:I66"/>
    <mergeCell ref="F216:I216"/>
    <mergeCell ref="B75:E75"/>
    <mergeCell ref="C71:E71"/>
    <mergeCell ref="B148:E148"/>
    <mergeCell ref="B180:E180"/>
    <mergeCell ref="C73:E73"/>
    <mergeCell ref="C74:E74"/>
    <mergeCell ref="C72:E72"/>
    <mergeCell ref="F10:F11"/>
    <mergeCell ref="F24:F25"/>
    <mergeCell ref="F39:F40"/>
    <mergeCell ref="L39:L40"/>
    <mergeCell ref="B212:E212"/>
  </mergeCells>
  <phoneticPr fontId="3"/>
  <dataValidations disablePrompts="1" count="1">
    <dataValidation type="custom" imeMode="off" allowBlank="1" showInputMessage="1" showErrorMessage="1" error="・前の段階と後ろの段階の間の数値を入力してください。_x000a_・前後の段階と同じ割合を入力することはできません。" sqref="G223" xr:uid="{00000000-0002-0000-0400-000000000000}">
      <formula1>AND(G222&lt;G223,G223&lt;G224)</formula1>
    </dataValidation>
  </dataValidations>
  <pageMargins left="0.70866141732283472" right="0.70866141732283472" top="0.74803149606299213" bottom="0.74803149606299213" header="0.31496062992125984" footer="0.31496062992125984"/>
  <pageSetup paperSize="9" scale="37" orientation="portrait" r:id="rId1"/>
  <headerFooter>
    <oddHeader>&amp;C「&amp;A」シート</oddHeader>
    <oddFooter>&amp;C&amp;P</oddFooter>
  </headerFooter>
  <rowBreaks count="3" manualBreakCount="3">
    <brk id="64" max="16" man="1"/>
    <brk id="105" max="16" man="1"/>
    <brk id="214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L38"/>
  <sheetViews>
    <sheetView view="pageBreakPreview" zoomScale="85" zoomScaleNormal="100" zoomScaleSheetLayoutView="85" workbookViewId="0"/>
  </sheetViews>
  <sheetFormatPr defaultColWidth="9" defaultRowHeight="11.25"/>
  <cols>
    <col min="1" max="1" customWidth="true" style="848" width="2.625" collapsed="false"/>
    <col min="2" max="2" customWidth="true" style="848" width="4.25" collapsed="false"/>
    <col min="3" max="3" customWidth="true" style="848" width="46.75" collapsed="false"/>
    <col min="4" max="11" customWidth="true" style="848" width="13.0" collapsed="false"/>
    <col min="12" max="12" customWidth="true" style="848" width="1.625" collapsed="false"/>
    <col min="13" max="16384" style="848" width="9.0" collapsed="false"/>
  </cols>
  <sheetData>
    <row r="1" spans="2:11">
      <c r="B1" s="848" t="s">
        <v>119</v>
      </c>
    </row>
    <row r="2" spans="2:11" ht="12" thickBot="1"/>
    <row r="3" spans="2:11" ht="18.75" customHeight="1">
      <c r="D3" s="1024" t="s">
        <v>428</v>
      </c>
      <c r="E3" s="1020" t="s">
        <v>424</v>
      </c>
      <c r="F3" s="1020" t="s">
        <v>425</v>
      </c>
      <c r="G3" s="1020" t="s">
        <v>426</v>
      </c>
      <c r="H3" s="1020" t="s">
        <v>427</v>
      </c>
      <c r="I3" s="1021" t="s">
        <v>423</v>
      </c>
    </row>
    <row r="4" spans="2:11" ht="18.75" customHeight="1" thickBot="1">
      <c r="D4" s="1025" t="s">
        <v>432</v>
      </c>
      <c r="E4" s="1026" t="s">
        <v>382</v>
      </c>
      <c r="F4" s="992" t="s">
        <v>385</v>
      </c>
      <c r="G4" s="992" t="s">
        <v>388</v>
      </c>
      <c r="H4" s="992" t="s">
        <v>391</v>
      </c>
      <c r="I4" s="1002" t="s">
        <v>394</v>
      </c>
    </row>
    <row r="5" spans="2:11" ht="18.75" customHeight="1" thickBot="1">
      <c r="C5" s="109" t="s">
        <v>223</v>
      </c>
      <c r="D5" s="110">
        <v>0.23</v>
      </c>
      <c r="E5" s="615">
        <v>0.24</v>
      </c>
      <c r="F5" s="615">
        <v>0.25</v>
      </c>
      <c r="G5" s="615">
        <v>0.26</v>
      </c>
      <c r="H5" s="615">
        <v>0.27</v>
      </c>
      <c r="I5" s="111">
        <v>0.28000000000000003</v>
      </c>
    </row>
    <row r="6" spans="2:11" ht="12" thickBot="1"/>
    <row r="7" spans="2:11" ht="18.75" customHeight="1" thickBot="1">
      <c r="B7" s="848" t="s">
        <v>415</v>
      </c>
      <c r="D7" s="1033" t="s">
        <v>428</v>
      </c>
      <c r="E7" s="1057"/>
      <c r="F7" s="1057"/>
      <c r="G7" s="1019" t="s">
        <v>424</v>
      </c>
      <c r="H7" s="1020" t="s">
        <v>425</v>
      </c>
      <c r="I7" s="1020" t="s">
        <v>426</v>
      </c>
      <c r="J7" s="1020" t="s">
        <v>427</v>
      </c>
      <c r="K7" s="1021" t="s">
        <v>423</v>
      </c>
    </row>
    <row r="8" spans="2:11" ht="18.75" customHeight="1" thickBot="1">
      <c r="C8" s="676"/>
      <c r="D8" s="1001" t="s">
        <v>429</v>
      </c>
      <c r="E8" s="992" t="s">
        <v>430</v>
      </c>
      <c r="F8" s="1027" t="s">
        <v>431</v>
      </c>
      <c r="G8" s="1028" t="s">
        <v>382</v>
      </c>
      <c r="H8" s="992" t="s">
        <v>385</v>
      </c>
      <c r="I8" s="992" t="s">
        <v>388</v>
      </c>
      <c r="J8" s="992" t="s">
        <v>391</v>
      </c>
      <c r="K8" s="1002" t="s">
        <v>394</v>
      </c>
    </row>
    <row r="9" spans="2:11" ht="18.75" customHeight="1">
      <c r="C9" s="677" t="s">
        <v>120</v>
      </c>
      <c r="D9" s="674">
        <v>0.43120000000000003</v>
      </c>
      <c r="E9" s="151">
        <v>0.41660000000000003</v>
      </c>
      <c r="F9" s="151">
        <v>0.40760000000000002</v>
      </c>
      <c r="G9" s="151">
        <v>0.39460000000000001</v>
      </c>
      <c r="H9" s="151">
        <v>0.41560000000000002</v>
      </c>
      <c r="I9" s="151">
        <v>0.44490000000000002</v>
      </c>
      <c r="J9" s="907">
        <v>0.43769999999999998</v>
      </c>
      <c r="K9" s="903">
        <v>0.40620000000000001</v>
      </c>
    </row>
    <row r="10" spans="2:11" ht="18.75" customHeight="1">
      <c r="C10" s="678" t="s">
        <v>259</v>
      </c>
      <c r="D10" s="675">
        <v>0.38250000000000001</v>
      </c>
      <c r="E10" s="114">
        <v>0.39240000000000003</v>
      </c>
      <c r="F10" s="114">
        <v>0.39510000000000001</v>
      </c>
      <c r="G10" s="114">
        <v>0.38979999999999998</v>
      </c>
      <c r="H10" s="114">
        <v>0.33300000000000002</v>
      </c>
      <c r="I10" s="114">
        <v>0.31030000000000002</v>
      </c>
      <c r="J10" s="908">
        <v>0.33279999999999998</v>
      </c>
      <c r="K10" s="904">
        <v>0.3669</v>
      </c>
    </row>
    <row r="11" spans="2:11" ht="18.75" customHeight="1">
      <c r="C11" s="678" t="s">
        <v>260</v>
      </c>
      <c r="D11" s="675">
        <v>0.18629999999999999</v>
      </c>
      <c r="E11" s="114">
        <v>0.191</v>
      </c>
      <c r="F11" s="114">
        <v>0.1973</v>
      </c>
      <c r="G11" s="114">
        <v>0.2157</v>
      </c>
      <c r="H11" s="114">
        <v>0.25130000000000002</v>
      </c>
      <c r="I11" s="114">
        <v>0.24479999999999999</v>
      </c>
      <c r="J11" s="908">
        <v>0.22950000000000001</v>
      </c>
      <c r="K11" s="904">
        <v>0.22700000000000001</v>
      </c>
    </row>
    <row r="12" spans="2:11" ht="18.75" customHeight="1">
      <c r="C12" s="849" t="s">
        <v>267</v>
      </c>
      <c r="D12" s="850">
        <v>4296</v>
      </c>
      <c r="E12" s="851">
        <v>4296</v>
      </c>
      <c r="F12" s="851">
        <v>4296</v>
      </c>
      <c r="G12" s="851">
        <v>4296</v>
      </c>
      <c r="H12" s="851">
        <v>4296</v>
      </c>
      <c r="I12" s="851">
        <v>4296</v>
      </c>
      <c r="J12" s="851">
        <v>4296</v>
      </c>
      <c r="K12" s="905">
        <v>4296</v>
      </c>
    </row>
    <row r="13" spans="2:11" ht="18.75" customHeight="1">
      <c r="C13" s="849" t="s">
        <v>268</v>
      </c>
      <c r="D13" s="850">
        <v>17647</v>
      </c>
      <c r="E13" s="851">
        <v>17647</v>
      </c>
      <c r="F13" s="851">
        <v>17647</v>
      </c>
      <c r="G13" s="851">
        <v>17647</v>
      </c>
      <c r="H13" s="851">
        <v>17647</v>
      </c>
      <c r="I13" s="851">
        <v>17647</v>
      </c>
      <c r="J13" s="851">
        <v>17647</v>
      </c>
      <c r="K13" s="905">
        <v>17647</v>
      </c>
    </row>
    <row r="14" spans="2:11" ht="18.75" customHeight="1" thickBot="1">
      <c r="C14" s="852" t="s">
        <v>269</v>
      </c>
      <c r="D14" s="853">
        <v>80362</v>
      </c>
      <c r="E14" s="854">
        <v>80362</v>
      </c>
      <c r="F14" s="854">
        <v>80362</v>
      </c>
      <c r="G14" s="854">
        <v>80362</v>
      </c>
      <c r="H14" s="854">
        <v>80362</v>
      </c>
      <c r="I14" s="854">
        <v>80362</v>
      </c>
      <c r="J14" s="854">
        <v>80362</v>
      </c>
      <c r="K14" s="906">
        <v>80362</v>
      </c>
    </row>
    <row r="16" spans="2:11" ht="18.75" customHeight="1" thickBot="1">
      <c r="B16" s="848" t="s">
        <v>416</v>
      </c>
      <c r="D16" s="112"/>
    </row>
    <row r="17" spans="3:4" ht="18.75" customHeight="1">
      <c r="C17" s="116" t="s">
        <v>121</v>
      </c>
      <c r="D17" s="857">
        <v>0.1749</v>
      </c>
    </row>
    <row r="18" spans="3:4" ht="18.75" customHeight="1">
      <c r="C18" s="113" t="s">
        <v>122</v>
      </c>
      <c r="D18" s="858">
        <v>9.6699999999999994E-2</v>
      </c>
    </row>
    <row r="19" spans="3:4" ht="18.75" customHeight="1">
      <c r="C19" s="113" t="s">
        <v>123</v>
      </c>
      <c r="D19" s="858">
        <v>8.6400000000000005E-2</v>
      </c>
    </row>
    <row r="20" spans="3:4" ht="18.75" customHeight="1">
      <c r="C20" s="113" t="s">
        <v>124</v>
      </c>
      <c r="D20" s="858">
        <v>0.1074</v>
      </c>
    </row>
    <row r="21" spans="3:4" ht="18.75" customHeight="1">
      <c r="C21" s="113" t="s">
        <v>125</v>
      </c>
      <c r="D21" s="858">
        <v>0.14050000000000001</v>
      </c>
    </row>
    <row r="22" spans="3:4" ht="18.75" customHeight="1">
      <c r="C22" s="113" t="s">
        <v>126</v>
      </c>
      <c r="D22" s="858">
        <v>0.1333</v>
      </c>
    </row>
    <row r="23" spans="3:4" ht="18.75" customHeight="1">
      <c r="C23" s="113" t="s">
        <v>127</v>
      </c>
      <c r="D23" s="858">
        <v>0.1361</v>
      </c>
    </row>
    <row r="24" spans="3:4" ht="18.75" customHeight="1">
      <c r="C24" s="113" t="s">
        <v>128</v>
      </c>
      <c r="D24" s="858">
        <v>6.0999999999999999E-2</v>
      </c>
    </row>
    <row r="25" spans="3:4" ht="18.75" customHeight="1">
      <c r="C25" s="113" t="s">
        <v>129</v>
      </c>
      <c r="D25" s="965">
        <v>2.41E-2</v>
      </c>
    </row>
    <row r="26" spans="3:4" ht="18.75" customHeight="1">
      <c r="C26" s="113" t="s">
        <v>332</v>
      </c>
      <c r="D26" s="965">
        <v>1.15E-2</v>
      </c>
    </row>
    <row r="27" spans="3:4" ht="18.75" customHeight="1">
      <c r="C27" s="113" t="s">
        <v>333</v>
      </c>
      <c r="D27" s="965">
        <v>6.1000000000000004E-3</v>
      </c>
    </row>
    <row r="28" spans="3:4" ht="18.75" customHeight="1">
      <c r="C28" s="113" t="s">
        <v>344</v>
      </c>
      <c r="D28" s="965">
        <v>3.8999999999999998E-3</v>
      </c>
    </row>
    <row r="29" spans="3:4" ht="18.75" customHeight="1" thickBot="1">
      <c r="C29" s="964" t="s">
        <v>343</v>
      </c>
      <c r="D29" s="965">
        <v>1.8100000000000002E-2</v>
      </c>
    </row>
    <row r="30" spans="3:4" ht="18.75" hidden="1" customHeight="1">
      <c r="C30" s="964"/>
      <c r="D30" s="965"/>
    </row>
    <row r="31" spans="3:4" ht="18.75" hidden="1" customHeight="1" thickBot="1">
      <c r="C31" s="115"/>
      <c r="D31" s="859"/>
    </row>
    <row r="32" spans="3:4">
      <c r="C32" s="966"/>
      <c r="D32" s="966"/>
    </row>
    <row r="33" spans="2:4" ht="18.75" customHeight="1" thickBot="1">
      <c r="B33" s="848" t="s">
        <v>224</v>
      </c>
      <c r="D33" s="112"/>
    </row>
    <row r="34" spans="2:4" ht="18.75" customHeight="1">
      <c r="C34" s="117" t="s">
        <v>341</v>
      </c>
      <c r="D34" s="118">
        <v>1</v>
      </c>
    </row>
    <row r="35" spans="2:4" ht="18.75" customHeight="1" thickBot="1">
      <c r="C35" s="119" t="s">
        <v>342</v>
      </c>
      <c r="D35" s="120">
        <v>1</v>
      </c>
    </row>
    <row r="37" spans="2:4" ht="18.75" customHeight="1" thickBot="1">
      <c r="B37" s="855"/>
      <c r="D37" s="112"/>
    </row>
    <row r="38" spans="2:4" ht="36" customHeight="1" thickBot="1">
      <c r="C38" s="121" t="s">
        <v>130</v>
      </c>
      <c r="D38" s="122">
        <v>95</v>
      </c>
    </row>
  </sheetData>
  <mergeCells count="1">
    <mergeCell ref="D7:F7"/>
  </mergeCells>
  <phoneticPr fontId="3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&amp;C「&amp;A」シート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1_推計値サマリ</vt:lpstr>
      <vt:lpstr>2_サービス別給付費</vt:lpstr>
      <vt:lpstr>3_地域支援事業費</vt:lpstr>
      <vt:lpstr>4_施策反映の解説</vt:lpstr>
      <vt:lpstr>5_保険料推計</vt:lpstr>
      <vt:lpstr>(参考)保険料の推計に要する係数</vt:lpstr>
      <vt:lpstr>'(参考)保険料の推計に要する係数'!Print_Area</vt:lpstr>
      <vt:lpstr>'1_推計値サマリ'!Print_Area</vt:lpstr>
      <vt:lpstr>'2_サービス別給付費'!Print_Area</vt:lpstr>
      <vt:lpstr>'3_地域支援事業費'!Print_Area</vt:lpstr>
      <vt:lpstr>'4_施策反映の解説'!Print_Area</vt:lpstr>
      <vt:lpstr>'5_保険料推計'!Print_Area</vt:lpstr>
      <vt:lpstr>推計パターン名</vt:lpstr>
      <vt:lpstr>保険者番号</vt:lpstr>
      <vt:lpstr>保険者名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2015-10-28T05:07:20Z</dcterms:created>
  <dc:creator>曹福泉</dc:creator>
  <cp:lastModifiedBy>70118 井領 茜</cp:lastModifiedBy>
  <cp:lastPrinted>2023-03-02T06:26:57Z</cp:lastPrinted>
  <dcterms:modified xsi:type="dcterms:W3CDTF">2026-08-07T10:42:30Z</dcterms:modified>
</cp:coreProperties>
</file>