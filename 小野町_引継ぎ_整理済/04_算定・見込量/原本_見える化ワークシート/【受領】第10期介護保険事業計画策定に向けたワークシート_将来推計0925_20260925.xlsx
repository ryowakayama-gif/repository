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<sst xmlns="http://schemas.openxmlformats.org/spreadsheetml/2006/main" count="1036" uniqueCount="439">
  <si>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</si>
  <si>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</si>
  <si>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</si>
  <si>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</si>
  <si>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</si>
  <si>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</si>
  <si>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</si>
  <si>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</si>
  <si>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</si>
  <si>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</si>
  <si>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</si>
  <si>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</si>
  <si>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</si>
  <si>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</si>
  <si>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</si>
  <si>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</si>
  <si>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</si>
  <si>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</si>
  <si>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</si>
  <si>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</si>
  <si>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</si>
  <si>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</si>
  <si>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</si>
  <si>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</si>
  <si>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</si>
  <si>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</si>
  <si>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</si>
  <si>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</si>
  <si>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</si>
  <si>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</si>
  <si>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</si>
  <si>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</si>
  <si>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</si>
  <si>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</si>
  <si>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</si>
  <si>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</si>
  <si>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</si>
  <si>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</si>
  <si>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</si>
  <si>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</si>
  <si>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</si>
  <si>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</si>
  <si>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</si>
  <si>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</si>
  <si>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</si>
  <si>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</si>
  <si>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</si>
  <si>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</si>
  <si>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</si>
  <si>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</si>
  <si>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</si>
  <si>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</si>
  <si>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</si>
  <si>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</si>
  <si>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</si>
  <si>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</si>
  <si>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</si>
  <si>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</si>
  <si>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</si>
  <si>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</si>
  <si>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</si>
  <si>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</si>
  <si>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</si>
  <si>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</si>
  <si>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</si>
  <si>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</si>
  <si>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</si>
  <si>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</si>
  <si>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</si>
  <si>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</si>
  <si>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</si>
  <si>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</si>
  <si>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</si>
  <si>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</si>
  <si>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</si>
  <si>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</si>
  <si>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</si>
  <si>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</si>
  <si>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</si>
  <si>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</si>
  <si>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</si>
  <si>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</si>
  <si>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</si>
  <si>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</si>
  <si>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</si>
  <si>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</si>
  <si>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</si>
  <si>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</si>
  <si>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</si>
  <si>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</si>
  <si>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</si>
  <si>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</si>
  <si>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</si>
  <si>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</si>
  <si>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</si>
  <si>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</si>
  <si>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</si>
  <si>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</si>
  <si>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</si>
  <si>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</si>
  <si>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</si>
  <si>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</si>
  <si>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</si>
  <si>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</si>
  <si>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</si>
  <si>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</si>
  <si>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</si>
  <si>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</si>
  <si>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</si>
  <si>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</si>
  <si>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</si>
  <si>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</si>
  <si>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</si>
  <si>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</si>
  <si>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</si>
  <si>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</si>
  <si>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</si>
  <si>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</si>
  <si>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</si>
  <si>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</si>
  <si>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</si>
  <si>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</si>
  <si>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</si>
  <si>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</si>
  <si>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</si>
  <si>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</si>
  <si>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</si>
  <si>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</si>
  <si>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</si>
  <si>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</si>
  <si>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</si>
  <si>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</si>
  <si>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</si>
  <si>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</si>
  <si>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</si>
  <si>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</si>
  <si>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</si>
  <si>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</si>
  <si>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</si>
  <si>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</si>
  <si>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</si>
  <si>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</si>
  <si>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</si>
  <si>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</si>
  <si>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</si>
  <si>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</si>
  <si>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</si>
  <si>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</si>
  <si>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</si>
  <si>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</si>
  <si>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</si>
  <si>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</si>
  <si>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</si>
  <si>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</si>
  <si>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</si>
  <si>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</si>
  <si>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</si>
  <si>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</si>
  <si>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</si>
  <si>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</si>
  <si>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</si>
  <si>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</si>
  <si>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</si>
  <si>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</si>
  <si>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</si>
  <si>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</si>
  <si>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</si>
  <si>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</si>
  <si>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</si>
  <si>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</si>
  <si>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</si>
  <si>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</si>
  <si>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</si>
  <si>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</si>
  <si>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</si>
  <si>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</si>
  <si>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</si>
  <si>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</si>
  <si>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</si>
  <si>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</si>
  <si>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</si>
  <si>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</si>
  <si>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</si>
  <si>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</si>
  <si>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</si>
  <si>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</si>
  <si>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</si>
  <si>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</si>
  <si>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</si>
  <si>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</si>
  <si>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</si>
  <si>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</si>
  <si>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</si>
  <si>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</si>
  <si>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</si>
  <si>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</si>
  <si>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</si>
  <si>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</si>
  <si>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</si>
  <si>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</si>
  <si>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</si>
  <si>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</si>
  <si>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</si>
  <si>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</si>
  <si>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</si>
  <si>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</si>
  <si>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</si>
  <si>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</si>
  <si>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</si>
  <si>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</si>
  <si>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</si>
  <si>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</si>
  <si>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</si>
  <si>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</si>
  <si>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</si>
  <si>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</si>
  <si>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</si>
  <si>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</si>
  <si>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</si>
  <si>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</si>
  <si>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</si>
  <si>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</si>
  <si>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</si>
  <si>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</si>
  <si>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</si>
  <si>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</si>
  <si>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</si>
  <si>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</si>
  <si>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</si>
  <si>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</si>
  <si>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</si>
  <si>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</si>
  <si>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</si>
  <si>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</si>
  <si>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</si>
  <si>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</si>
  <si>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</si>
  <si>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</si>
  <si>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</si>
  <si>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</si>
  <si>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</si>
  <si>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</si>
  <si>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</si>
  <si>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</si>
  <si>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</si>
  <si>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</si>
  <si>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</si>
  <si>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</si>
  <si>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</si>
  <si>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</si>
  <si>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</si>
  <si>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</si>
  <si>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</si>
  <si>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</si>
  <si>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</si>
  <si>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</si>
  <si>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</si>
  <si>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</si>
  <si>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</si>
  <si>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</si>
  <si>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</si>
  <si>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</si>
  <si>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</si>
  <si>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</si>
  <si>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</si>
  <si>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</si>
  <si>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</si>
  <si>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</si>
  <si>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</si>
  <si>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</si>
  <si>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</si>
  <si>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</si>
  <si>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</si>
  <si>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</si>
  <si>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</si>
  <si>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</si>
  <si>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</si>
  <si>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</si>
  <si>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</si>
  <si>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</si>
  <si>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</si>
  <si>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</si>
  <si>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</si>
  <si>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</si>
  <si>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</si>
  <si>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</si>
  <si>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</si>
  <si>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</si>
  <si>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</si>
  <si>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</si>
  <si>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</si>
  <si>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</si>
  <si>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</si>
  <si>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</si>
  <si>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</si>
  <si>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</si>
  <si>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</si>
  <si>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</si>
  <si>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</si>
  <si>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</si>
  <si>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</si>
  <si>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</si>
  <si>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</si>
  <si>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</si>
  <si>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</si>
  <si>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</si>
  <si>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</si>
  <si>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</si>
  <si>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</si>
  <si>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</si>
  <si>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</si>
  <si>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</si>
  <si>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</si>
  <si>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</si>
  <si>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</si>
  <si>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</si>
  <si>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</si>
  <si>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</si>
  <si>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</si>
  <si>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</si>
  <si>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</si>
  <si>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</si>
  <si>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</si>
  <si>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</si>
  <si>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</si>
  <si>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</si>
  <si>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</si>
  <si>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</si>
  <si>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</si>
  <si>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</si>
  <si>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</si>
  <si>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</si>
  <si>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</si>
  <si>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</si>
  <si>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</si>
  <si>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</si>
  <si>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</si>
  <si>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</si>
  <si>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</si>
  <si>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</si>
  <si>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</si>
  <si>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</si>
  <si>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</si>
  <si>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</si>
  <si>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</si>
  <si>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</si>
  <si>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</si>
  <si>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</si>
  <si>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</si>
  <si>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</si>
  <si>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</si>
  <si>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</si>
  <si>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</si>
  <si>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</si>
  <si>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</si>
  <si>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</si>
  <si>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</si>
  <si>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</si>
  <si>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</si>
  <si>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</si>
  <si>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</si>
  <si>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</si>
  <si>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</si>
  <si>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</si>
  <si>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</si>
  <si>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</si>
  <si>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</si>
  <si>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</si>
  <si>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</si>
  <si>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</si>
  <si>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</si>
  <si>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</si>
  <si>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</si>
  <si>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</si>
  <si>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</si>
  <si>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</si>
  <si>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</si>
  <si>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</si>
  <si>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</si>
  <si>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</si>
  <si>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</si>
  <si>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</si>
  <si>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</si>
  <si>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</si>
  <si>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</si>
  <si>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</si>
  <si>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</si>
  <si>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</si>
  <si>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</si>
  <si>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</si>
  <si>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</si>
  <si>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</si>
  <si>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</si>
  <si>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</si>
  <si>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</si>
  <si>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</si>
  <si>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</si>
  <si>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</si>
  <si>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</si>
  <si>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</si>
  <si>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</si>
  <si>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</si>
  <si>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</si>
  <si>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</si>
  <si>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</si>
  <si>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</si>
  <si>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</si>
  <si>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</si>
  <si>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</si>
  <si>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</si>
  <si>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</si>
  <si>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</si>
  <si>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</si>
  <si>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</si>
  <si>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</si>
  <si>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</si>
  <si>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</si>
  <si>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</si>
  <si>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</si>
  <si>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</si>
  <si>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</si>
  <si>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</si>
  <si>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</si>
  <si>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</si>
  <si>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</si>
  <si>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</si>
  <si>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</si>
  <si>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</si>
  <si>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</si>
  <si>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</si>
  <si>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</si>
  <si>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2026/09/25</t>
  </si>
  <si>
    <t>小野町</t>
  </si>
  <si>
    <t>07522</t>
  </si>
  <si>
    <t>将来推計0925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</si>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</sst>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434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6265.0</v>
      </c>
      <c r="E11" s="57" t="n">
        <f t="shared" si="0"/>
        <v>6188.0</v>
      </c>
      <c r="F11" s="58" t="n">
        <f t="shared" si="0"/>
        <v>6110.0</v>
      </c>
      <c r="G11" s="59" t="n">
        <f t="shared" si="0"/>
        <v>6027.0</v>
      </c>
      <c r="H11" s="60" t="n">
        <f t="shared" si="0"/>
        <v>5949.0</v>
      </c>
      <c r="I11" s="48" t="n">
        <f t="shared" si="0"/>
        <v>5866.0</v>
      </c>
      <c r="J11" s="86" t="n">
        <f>IFERROR((SUM(G11:I11)/3)/F11,"－")</f>
        <v>0.9733769776322967</v>
      </c>
      <c r="K11" s="59" t="n">
        <f>SUM(K12:K13)</f>
        <v>5788.0</v>
      </c>
      <c r="L11" s="88" t="n">
        <f>IFERROR(K11/F11,"－")</f>
        <v>0.9472995090016366</v>
      </c>
      <c r="M11" s="59" t="n">
        <f>SUM(M12:M13)</f>
        <v>5318.0</v>
      </c>
      <c r="N11" s="88" t="n">
        <f>IFERROR(M11/F11,"－")</f>
        <v>0.8703764320785597</v>
      </c>
      <c r="O11" s="59" t="n">
        <f>SUM(O12:O13)</f>
        <v>4873.0</v>
      </c>
      <c r="P11" s="88" t="n">
        <f>IFERROR(O11/F11,"－")</f>
        <v>0.7975450081833061</v>
      </c>
      <c r="Q11" s="59" t="n">
        <f>SUM(Q12:Q13)</f>
        <v>4390.0</v>
      </c>
      <c r="R11" s="88" t="n">
        <f>IFERROR(Q11/F11,"－")</f>
        <v>0.7184942716857611</v>
      </c>
      <c r="S11" s="59" t="n">
        <f>SUM(S12:S13)</f>
        <v>3878.0</v>
      </c>
      <c r="T11" s="88" t="n">
        <f>IFERROR(S11/F11,"－")</f>
        <v>0.6346972176759411</v>
      </c>
    </row>
    <row r="12" spans="1:20">
      <c r="A12" s="5"/>
      <c r="B12" s="6" t="s">
        <v>2</v>
      </c>
      <c r="C12" s="555"/>
      <c r="D12" s="55" t="n">
        <v>3443.0</v>
      </c>
      <c r="E12" s="50" t="n">
        <v>3455.0</v>
      </c>
      <c r="F12" s="51" t="n">
        <v>3447.0</v>
      </c>
      <c r="G12" s="52" t="n">
        <v>3434.0</v>
      </c>
      <c r="H12" s="53" t="n">
        <v>3427.0</v>
      </c>
      <c r="I12" s="54" t="n">
        <v>3414.0</v>
      </c>
      <c r="J12" s="86" t="n">
        <f>IFERROR((SUM(G12:I12)/3)/F12,"－")</f>
        <v>0.9936176385262547</v>
      </c>
      <c r="K12" s="61" t="n">
        <v>3406.0</v>
      </c>
      <c r="L12" s="88" t="n">
        <f>IFERROR(K12/F12,"－")</f>
        <v>0.9881055990716565</v>
      </c>
      <c r="M12" s="61" t="n">
        <v>3206.0</v>
      </c>
      <c r="N12" s="88" t="n">
        <f>IFERROR(M12/F12,"－")</f>
        <v>0.9300841311285175</v>
      </c>
      <c r="O12" s="61" t="n">
        <v>2993.0</v>
      </c>
      <c r="P12" s="88" t="n">
        <f>IFERROR(O12/F12,"－")</f>
        <v>0.8682912677690745</v>
      </c>
      <c r="Q12" s="61" t="n">
        <v>2818.0</v>
      </c>
      <c r="R12" s="88" t="n">
        <f>IFERROR(Q12/F12,"－")</f>
        <v>0.8175224833188279</v>
      </c>
      <c r="S12" s="61" t="n">
        <v>2565.0</v>
      </c>
      <c r="T12" s="88" t="n">
        <f>IFERROR(S12/F12,"－")</f>
        <v>0.7441253263707572</v>
      </c>
    </row>
    <row r="13" spans="1:20" ht="14.25" thickBot="1">
      <c r="A13" s="5"/>
      <c r="B13" s="62" t="s">
        <v>3</v>
      </c>
      <c r="C13" s="555"/>
      <c r="D13" s="55" t="n">
        <v>2822.0</v>
      </c>
      <c r="E13" s="50" t="n">
        <v>2733.0</v>
      </c>
      <c r="F13" s="51" t="n">
        <v>2663.0</v>
      </c>
      <c r="G13" s="63" t="n">
        <v>2593.0</v>
      </c>
      <c r="H13" s="50" t="n">
        <v>2522.0</v>
      </c>
      <c r="I13" s="64" t="n">
        <v>2452.0</v>
      </c>
      <c r="J13" s="87" t="n">
        <f>IFERROR((SUM(G13:I13)/3)/F13,"－")</f>
        <v>0.947177368882213</v>
      </c>
      <c r="K13" s="47" t="n">
        <v>2382.0</v>
      </c>
      <c r="L13" s="89" t="n">
        <f>IFERROR(K13/F13,"－")</f>
        <v>0.8944799098760796</v>
      </c>
      <c r="M13" s="47" t="n">
        <v>2112.0</v>
      </c>
      <c r="N13" s="89" t="n">
        <f>IFERROR(M13/F13,"－")</f>
        <v>0.7930904994367255</v>
      </c>
      <c r="O13" s="47" t="n">
        <v>1880.0</v>
      </c>
      <c r="P13" s="89" t="n">
        <f>IFERROR(O13/F13,"－")</f>
        <v>0.7059707097258731</v>
      </c>
      <c r="Q13" s="47" t="n">
        <v>1572.0</v>
      </c>
      <c r="R13" s="89" t="n">
        <f>IFERROR(Q13/F13,"－")</f>
        <v>0.5903116785580172</v>
      </c>
      <c r="S13" s="47" t="n">
        <v>1313.0</v>
      </c>
      <c r="T13" s="89" t="n">
        <f>IFERROR(S13/F13,"－")</f>
        <v>0.49305294780322945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937.0</v>
      </c>
      <c r="E19" s="60" t="n">
        <f t="shared" ref="E19:I19" si="1">SUM(E20:E26)</f>
        <v>865.0</v>
      </c>
      <c r="F19" s="48" t="n">
        <f t="shared" si="1"/>
        <v>790.0</v>
      </c>
      <c r="G19" s="59" t="n">
        <f t="shared" si="1"/>
        <v>778.0</v>
      </c>
      <c r="H19" s="60" t="n">
        <f t="shared" si="1"/>
        <v>784.0</v>
      </c>
      <c r="I19" s="48" t="n">
        <f t="shared" si="1"/>
        <v>780.0</v>
      </c>
      <c r="J19" s="86" t="n">
        <f t="shared" ref="J19:J34" si="2">IFERROR((SUM(G19:I19)/3)/F19,"－")</f>
        <v>0.9881856540084387</v>
      </c>
      <c r="K19" s="59" t="n">
        <f t="shared" ref="K19:M19" si="3">SUM(K20:K26)</f>
        <v>779.0</v>
      </c>
      <c r="L19" s="88" t="n">
        <f t="shared" ref="L19:L34" si="4">IFERROR(K19/F19,"－")</f>
        <v>0.9860759493670886</v>
      </c>
      <c r="M19" s="59" t="n">
        <f t="shared" si="3"/>
        <v>793.0</v>
      </c>
      <c r="N19" s="88" t="n">
        <f>IFERROR(M19/F19,"－")</f>
        <v>1.0037974683544304</v>
      </c>
      <c r="O19" s="59" t="n">
        <f t="shared" ref="O19" si="5">SUM(O20:O26)</f>
        <v>844.0</v>
      </c>
      <c r="P19" s="88" t="n">
        <f>IFERROR(O19/F19,"－")</f>
        <v>1.0683544303797468</v>
      </c>
      <c r="Q19" s="59" t="n">
        <f t="shared" ref="Q19:S19" si="6">SUM(Q20:Q26)</f>
        <v>853.0</v>
      </c>
      <c r="R19" s="88" t="n">
        <f>IFERROR(Q19/F19,"－")</f>
        <v>1.079746835443038</v>
      </c>
      <c r="S19" s="59" t="n">
        <f t="shared" si="6"/>
        <v>809.0</v>
      </c>
      <c r="T19" s="90" t="n">
        <f t="shared" ref="T19:T34" si="7">IFERROR(S19/F19,"－")</f>
        <v>1.0240506329113923</v>
      </c>
    </row>
    <row r="20" spans="1:20">
      <c r="A20" s="13"/>
      <c r="B20" s="7"/>
      <c r="C20" s="8" t="s">
        <v>6</v>
      </c>
      <c r="D20" s="40" t="n">
        <v>56.0</v>
      </c>
      <c r="E20" s="42" t="n">
        <v>72.0</v>
      </c>
      <c r="F20" s="41" t="n">
        <v>73.0</v>
      </c>
      <c r="G20" s="40" t="n">
        <v>76.0</v>
      </c>
      <c r="H20" s="42" t="n">
        <v>75.0</v>
      </c>
      <c r="I20" s="41" t="n">
        <v>75.0</v>
      </c>
      <c r="J20" s="93" t="n">
        <f t="shared" si="2"/>
        <v>1.0319634703196345</v>
      </c>
      <c r="K20" s="46" t="n">
        <v>75.0</v>
      </c>
      <c r="L20" s="90" t="n">
        <f t="shared" si="4"/>
        <v>1.0273972602739727</v>
      </c>
      <c r="M20" s="46" t="n">
        <v>79.0</v>
      </c>
      <c r="N20" s="90" t="n">
        <f t="shared" ref="N20:N34" si="8">IFERROR(M20/F20,"－")</f>
        <v>1.082191780821918</v>
      </c>
      <c r="O20" s="46" t="n">
        <v>82.0</v>
      </c>
      <c r="P20" s="90" t="n">
        <f t="shared" ref="P20:P34" si="9">IFERROR(O20/F20,"－")</f>
        <v>1.1232876712328768</v>
      </c>
      <c r="Q20" s="46" t="n">
        <v>81.0</v>
      </c>
      <c r="R20" s="90" t="n">
        <f t="shared" ref="R20:R34" si="10">IFERROR(Q20/F20,"－")</f>
        <v>1.1095890410958904</v>
      </c>
      <c r="S20" s="46" t="n">
        <v>77.0</v>
      </c>
      <c r="T20" s="90" t="n">
        <f t="shared" si="7"/>
        <v>1.0547945205479452</v>
      </c>
    </row>
    <row r="21" spans="1:20">
      <c r="A21" s="13"/>
      <c r="B21" s="7"/>
      <c r="C21" s="8" t="s">
        <v>7</v>
      </c>
      <c r="D21" s="40" t="n">
        <v>142.0</v>
      </c>
      <c r="E21" s="42" t="n">
        <v>137.0</v>
      </c>
      <c r="F21" s="41" t="n">
        <v>127.0</v>
      </c>
      <c r="G21" s="40" t="n">
        <v>127.0</v>
      </c>
      <c r="H21" s="42" t="n">
        <v>126.0</v>
      </c>
      <c r="I21" s="41" t="n">
        <v>125.0</v>
      </c>
      <c r="J21" s="93" t="n">
        <f t="shared" si="2"/>
        <v>0.9921259842519685</v>
      </c>
      <c r="K21" s="46" t="n">
        <v>127.0</v>
      </c>
      <c r="L21" s="90" t="n">
        <f t="shared" si="4"/>
        <v>1.0</v>
      </c>
      <c r="M21" s="46" t="n">
        <v>136.0</v>
      </c>
      <c r="N21" s="90" t="n">
        <f t="shared" si="8"/>
        <v>1.0708661417322836</v>
      </c>
      <c r="O21" s="46" t="n">
        <v>141.0</v>
      </c>
      <c r="P21" s="90" t="n">
        <f t="shared" si="9"/>
        <v>1.110236220472441</v>
      </c>
      <c r="Q21" s="46" t="n">
        <v>138.0</v>
      </c>
      <c r="R21" s="90" t="n">
        <f t="shared" si="10"/>
        <v>1.0866141732283465</v>
      </c>
      <c r="S21" s="46" t="n">
        <v>126.0</v>
      </c>
      <c r="T21" s="90" t="n">
        <f t="shared" si="7"/>
        <v>0.9921259842519685</v>
      </c>
    </row>
    <row r="22" spans="1:20">
      <c r="A22" s="13"/>
      <c r="B22" s="7"/>
      <c r="C22" s="8" t="s">
        <v>8</v>
      </c>
      <c r="D22" s="40" t="n">
        <v>151.0</v>
      </c>
      <c r="E22" s="42" t="n">
        <v>153.0</v>
      </c>
      <c r="F22" s="41" t="n">
        <v>141.0</v>
      </c>
      <c r="G22" s="40" t="n">
        <v>145.0</v>
      </c>
      <c r="H22" s="42" t="n">
        <v>147.0</v>
      </c>
      <c r="I22" s="41" t="n">
        <v>147.0</v>
      </c>
      <c r="J22" s="93" t="n">
        <f t="shared" si="2"/>
        <v>1.037825059101655</v>
      </c>
      <c r="K22" s="46" t="n">
        <v>146.0</v>
      </c>
      <c r="L22" s="90" t="n">
        <f t="shared" si="4"/>
        <v>1.0354609929078014</v>
      </c>
      <c r="M22" s="46" t="n">
        <v>149.0</v>
      </c>
      <c r="N22" s="90" t="n">
        <f t="shared" si="8"/>
        <v>1.0567375886524824</v>
      </c>
      <c r="O22" s="46" t="n">
        <v>161.0</v>
      </c>
      <c r="P22" s="90" t="n">
        <f t="shared" si="9"/>
        <v>1.1418439716312057</v>
      </c>
      <c r="Q22" s="46" t="n">
        <v>162.0</v>
      </c>
      <c r="R22" s="90" t="n">
        <f t="shared" si="10"/>
        <v>1.148936170212766</v>
      </c>
      <c r="S22" s="46" t="n">
        <v>156.0</v>
      </c>
      <c r="T22" s="90" t="n">
        <f t="shared" si="7"/>
        <v>1.1063829787234043</v>
      </c>
    </row>
    <row r="23" spans="1:20">
      <c r="A23" s="13"/>
      <c r="B23" s="7"/>
      <c r="C23" s="8" t="s">
        <v>9</v>
      </c>
      <c r="D23" s="40" t="n">
        <v>169.0</v>
      </c>
      <c r="E23" s="42" t="n">
        <v>134.0</v>
      </c>
      <c r="F23" s="41" t="n">
        <v>131.0</v>
      </c>
      <c r="G23" s="40" t="n">
        <v>122.0</v>
      </c>
      <c r="H23" s="42" t="n">
        <v>125.0</v>
      </c>
      <c r="I23" s="41" t="n">
        <v>122.0</v>
      </c>
      <c r="J23" s="93" t="n">
        <f t="shared" si="2"/>
        <v>0.9389312977099237</v>
      </c>
      <c r="K23" s="46" t="n">
        <v>123.0</v>
      </c>
      <c r="L23" s="90" t="n">
        <f t="shared" si="4"/>
        <v>0.9389312977099237</v>
      </c>
      <c r="M23" s="46" t="n">
        <v>121.0</v>
      </c>
      <c r="N23" s="90" t="n">
        <f t="shared" si="8"/>
        <v>0.9236641221374046</v>
      </c>
      <c r="O23" s="46" t="n">
        <v>131.0</v>
      </c>
      <c r="P23" s="90" t="n">
        <f t="shared" si="9"/>
        <v>1.0</v>
      </c>
      <c r="Q23" s="46" t="n">
        <v>133.0</v>
      </c>
      <c r="R23" s="90" t="n">
        <f t="shared" si="10"/>
        <v>1.015267175572519</v>
      </c>
      <c r="S23" s="46" t="n">
        <v>125.0</v>
      </c>
      <c r="T23" s="90" t="n">
        <f t="shared" si="7"/>
        <v>0.9541984732824428</v>
      </c>
    </row>
    <row r="24" spans="1:20">
      <c r="A24" s="13"/>
      <c r="B24" s="7"/>
      <c r="C24" s="8" t="s">
        <v>10</v>
      </c>
      <c r="D24" s="40" t="n">
        <v>159.0</v>
      </c>
      <c r="E24" s="42" t="n">
        <v>157.0</v>
      </c>
      <c r="F24" s="41" t="n">
        <v>143.0</v>
      </c>
      <c r="G24" s="40" t="n">
        <v>141.0</v>
      </c>
      <c r="H24" s="42" t="n">
        <v>141.0</v>
      </c>
      <c r="I24" s="41" t="n">
        <v>140.0</v>
      </c>
      <c r="J24" s="93" t="n">
        <f t="shared" si="2"/>
        <v>0.9836829836829836</v>
      </c>
      <c r="K24" s="46" t="n">
        <v>140.0</v>
      </c>
      <c r="L24" s="90" t="n">
        <f t="shared" si="4"/>
        <v>0.9790209790209791</v>
      </c>
      <c r="M24" s="46" t="n">
        <v>139.0</v>
      </c>
      <c r="N24" s="90" t="n">
        <f t="shared" si="8"/>
        <v>0.972027972027972</v>
      </c>
      <c r="O24" s="46" t="n">
        <v>150.0</v>
      </c>
      <c r="P24" s="90" t="n">
        <f t="shared" si="9"/>
        <v>1.048951048951049</v>
      </c>
      <c r="Q24" s="46" t="n">
        <v>150.0</v>
      </c>
      <c r="R24" s="90" t="n">
        <f t="shared" si="10"/>
        <v>1.048951048951049</v>
      </c>
      <c r="S24" s="46" t="n">
        <v>143.0</v>
      </c>
      <c r="T24" s="90" t="n">
        <f t="shared" si="7"/>
        <v>1.0</v>
      </c>
    </row>
    <row r="25" spans="1:20">
      <c r="A25" s="13"/>
      <c r="B25" s="7"/>
      <c r="C25" s="8" t="s">
        <v>11</v>
      </c>
      <c r="D25" s="40" t="n">
        <v>146.0</v>
      </c>
      <c r="E25" s="42" t="n">
        <v>123.0</v>
      </c>
      <c r="F25" s="41" t="n">
        <v>107.0</v>
      </c>
      <c r="G25" s="40" t="n">
        <v>101.0</v>
      </c>
      <c r="H25" s="42" t="n">
        <v>102.0</v>
      </c>
      <c r="I25" s="41" t="n">
        <v>103.0</v>
      </c>
      <c r="J25" s="93" t="n">
        <f t="shared" si="2"/>
        <v>0.9532710280373832</v>
      </c>
      <c r="K25" s="46" t="n">
        <v>101.0</v>
      </c>
      <c r="L25" s="90" t="n">
        <f t="shared" si="4"/>
        <v>0.9439252336448598</v>
      </c>
      <c r="M25" s="46" t="n">
        <v>101.0</v>
      </c>
      <c r="N25" s="90" t="n">
        <f t="shared" si="8"/>
        <v>0.9439252336448598</v>
      </c>
      <c r="O25" s="46" t="n">
        <v>107.0</v>
      </c>
      <c r="P25" s="90" t="n">
        <f t="shared" si="9"/>
        <v>1.0</v>
      </c>
      <c r="Q25" s="46" t="n">
        <v>116.0</v>
      </c>
      <c r="R25" s="90" t="n">
        <f t="shared" si="10"/>
        <v>1.0841121495327102</v>
      </c>
      <c r="S25" s="46" t="n">
        <v>111.0</v>
      </c>
      <c r="T25" s="90" t="n">
        <f t="shared" si="7"/>
        <v>1.0373831775700935</v>
      </c>
    </row>
    <row r="26" spans="1:20">
      <c r="A26" s="232"/>
      <c r="B26" s="559"/>
      <c r="C26" s="8" t="s">
        <v>12</v>
      </c>
      <c r="D26" s="40" t="n">
        <v>114.0</v>
      </c>
      <c r="E26" s="42" t="n">
        <v>89.0</v>
      </c>
      <c r="F26" s="41" t="n">
        <v>68.0</v>
      </c>
      <c r="G26" s="40" t="n">
        <v>66.0</v>
      </c>
      <c r="H26" s="42" t="n">
        <v>68.0</v>
      </c>
      <c r="I26" s="41" t="n">
        <v>68.0</v>
      </c>
      <c r="J26" s="93" t="n">
        <f t="shared" si="2"/>
        <v>0.9901960784313725</v>
      </c>
      <c r="K26" s="46" t="n">
        <v>67.0</v>
      </c>
      <c r="L26" s="90" t="n">
        <f t="shared" si="4"/>
        <v>0.9852941176470589</v>
      </c>
      <c r="M26" s="46" t="n">
        <v>68.0</v>
      </c>
      <c r="N26" s="90" t="n">
        <f t="shared" si="8"/>
        <v>1.0</v>
      </c>
      <c r="O26" s="46" t="n">
        <v>72.0</v>
      </c>
      <c r="P26" s="90" t="n">
        <f t="shared" si="9"/>
        <v>1.0588235294117647</v>
      </c>
      <c r="Q26" s="46" t="n">
        <v>73.0</v>
      </c>
      <c r="R26" s="90" t="n">
        <f t="shared" si="10"/>
        <v>1.0735294117647058</v>
      </c>
      <c r="S26" s="46" t="n">
        <v>71.0</v>
      </c>
      <c r="T26" s="90" t="n">
        <f t="shared" si="7"/>
        <v>1.0441176470588236</v>
      </c>
    </row>
    <row r="27" spans="1:20">
      <c r="A27" s="208"/>
      <c r="B27" s="9" t="s">
        <v>13</v>
      </c>
      <c r="C27" s="10"/>
      <c r="D27" s="65" t="n">
        <f t="shared" ref="D27:K27" si="11">SUM(D28:D34)</f>
        <v>928.0</v>
      </c>
      <c r="E27" s="66" t="n">
        <f t="shared" si="11"/>
        <v>856.0</v>
      </c>
      <c r="F27" s="49" t="n">
        <f t="shared" si="11"/>
        <v>781.0</v>
      </c>
      <c r="G27" s="65" t="n">
        <f t="shared" si="11"/>
        <v>769.0</v>
      </c>
      <c r="H27" s="66" t="n">
        <f t="shared" si="11"/>
        <v>775.0</v>
      </c>
      <c r="I27" s="49" t="n">
        <f t="shared" si="11"/>
        <v>771.0</v>
      </c>
      <c r="J27" s="94" t="n">
        <f t="shared" si="2"/>
        <v>0.9880495091762697</v>
      </c>
      <c r="K27" s="67" t="n">
        <f t="shared" si="11"/>
        <v>770.0</v>
      </c>
      <c r="L27" s="91" t="n">
        <f t="shared" si="4"/>
        <v>0.9859154929577465</v>
      </c>
      <c r="M27" s="67" t="n">
        <f t="shared" ref="M27" si="12">SUM(M28:M34)</f>
        <v>784.0</v>
      </c>
      <c r="N27" s="91" t="n">
        <f t="shared" si="8"/>
        <v>1.0038412291933418</v>
      </c>
      <c r="O27" s="67" t="n">
        <f t="shared" ref="O27" si="13">SUM(O28:O34)</f>
        <v>836.0</v>
      </c>
      <c r="P27" s="91" t="n">
        <f t="shared" si="9"/>
        <v>1.0704225352112675</v>
      </c>
      <c r="Q27" s="67" t="n">
        <f t="shared" ref="Q27:S27" si="14">SUM(Q28:Q34)</f>
        <v>846.0</v>
      </c>
      <c r="R27" s="91" t="n">
        <f t="shared" si="10"/>
        <v>1.0832266325224071</v>
      </c>
      <c r="S27" s="67" t="n">
        <f t="shared" si="14"/>
        <v>804.0</v>
      </c>
      <c r="T27" s="90" t="n">
        <f t="shared" si="7"/>
        <v>1.029449423815621</v>
      </c>
    </row>
    <row r="28" spans="1:20">
      <c r="A28" s="5"/>
      <c r="B28" s="11"/>
      <c r="C28" s="8" t="s">
        <v>6</v>
      </c>
      <c r="D28" s="40" t="n">
        <v>55.0</v>
      </c>
      <c r="E28" s="42" t="n">
        <v>72.0</v>
      </c>
      <c r="F28" s="41" t="n">
        <v>73.0</v>
      </c>
      <c r="G28" s="40" t="n">
        <v>76.0</v>
      </c>
      <c r="H28" s="42" t="n">
        <v>75.0</v>
      </c>
      <c r="I28" s="41" t="n">
        <v>75.0</v>
      </c>
      <c r="J28" s="93" t="n">
        <f t="shared" si="2"/>
        <v>1.0319634703196345</v>
      </c>
      <c r="K28" s="46" t="n">
        <v>75.0</v>
      </c>
      <c r="L28" s="90" t="n">
        <f t="shared" si="4"/>
        <v>1.0273972602739727</v>
      </c>
      <c r="M28" s="46" t="n">
        <v>79.0</v>
      </c>
      <c r="N28" s="90" t="n">
        <f t="shared" si="8"/>
        <v>1.082191780821918</v>
      </c>
      <c r="O28" s="46" t="n">
        <v>82.0</v>
      </c>
      <c r="P28" s="90" t="n">
        <f t="shared" si="9"/>
        <v>1.1232876712328768</v>
      </c>
      <c r="Q28" s="46" t="n">
        <v>81.0</v>
      </c>
      <c r="R28" s="90" t="n">
        <f t="shared" si="10"/>
        <v>1.1095890410958904</v>
      </c>
      <c r="S28" s="46" t="n">
        <v>77.0</v>
      </c>
      <c r="T28" s="90" t="n">
        <f t="shared" si="7"/>
        <v>1.0547945205479452</v>
      </c>
    </row>
    <row r="29" spans="1:20">
      <c r="A29" s="5"/>
      <c r="B29" s="11"/>
      <c r="C29" s="8" t="s">
        <v>7</v>
      </c>
      <c r="D29" s="40" t="n">
        <v>142.0</v>
      </c>
      <c r="E29" s="42" t="n">
        <v>136.0</v>
      </c>
      <c r="F29" s="41" t="n">
        <v>126.0</v>
      </c>
      <c r="G29" s="40" t="n">
        <v>126.0</v>
      </c>
      <c r="H29" s="42" t="n">
        <v>125.0</v>
      </c>
      <c r="I29" s="41" t="n">
        <v>124.0</v>
      </c>
      <c r="J29" s="93" t="n">
        <f t="shared" si="2"/>
        <v>0.9920634920634921</v>
      </c>
      <c r="K29" s="46" t="n">
        <v>126.0</v>
      </c>
      <c r="L29" s="90" t="n">
        <f t="shared" si="4"/>
        <v>1.0</v>
      </c>
      <c r="M29" s="46" t="n">
        <v>135.0</v>
      </c>
      <c r="N29" s="90" t="n">
        <f t="shared" si="8"/>
        <v>1.0714285714285714</v>
      </c>
      <c r="O29" s="46" t="n">
        <v>140.0</v>
      </c>
      <c r="P29" s="90" t="n">
        <f t="shared" si="9"/>
        <v>1.1111111111111112</v>
      </c>
      <c r="Q29" s="46" t="n">
        <v>137.0</v>
      </c>
      <c r="R29" s="90" t="n">
        <f t="shared" si="10"/>
        <v>1.0873015873015872</v>
      </c>
      <c r="S29" s="46" t="n">
        <v>125.0</v>
      </c>
      <c r="T29" s="90" t="n">
        <f t="shared" si="7"/>
        <v>0.9920634920634921</v>
      </c>
    </row>
    <row r="30" spans="1:20">
      <c r="A30" s="208"/>
      <c r="B30" s="560"/>
      <c r="C30" s="8" t="s">
        <v>8</v>
      </c>
      <c r="D30" s="40" t="n">
        <v>151.0</v>
      </c>
      <c r="E30" s="42" t="n">
        <v>153.0</v>
      </c>
      <c r="F30" s="41" t="n">
        <v>141.0</v>
      </c>
      <c r="G30" s="40" t="n">
        <v>145.0</v>
      </c>
      <c r="H30" s="42" t="n">
        <v>147.0</v>
      </c>
      <c r="I30" s="41" t="n">
        <v>147.0</v>
      </c>
      <c r="J30" s="93" t="n">
        <f t="shared" si="2"/>
        <v>1.037825059101655</v>
      </c>
      <c r="K30" s="46" t="n">
        <v>146.0</v>
      </c>
      <c r="L30" s="90" t="n">
        <f t="shared" si="4"/>
        <v>1.0354609929078014</v>
      </c>
      <c r="M30" s="46" t="n">
        <v>149.0</v>
      </c>
      <c r="N30" s="90" t="n">
        <f t="shared" si="8"/>
        <v>1.0567375886524824</v>
      </c>
      <c r="O30" s="46" t="n">
        <v>161.0</v>
      </c>
      <c r="P30" s="90" t="n">
        <f t="shared" si="9"/>
        <v>1.1418439716312057</v>
      </c>
      <c r="Q30" s="46" t="n">
        <v>162.0</v>
      </c>
      <c r="R30" s="90" t="n">
        <f t="shared" si="10"/>
        <v>1.148936170212766</v>
      </c>
      <c r="S30" s="46" t="n">
        <v>156.0</v>
      </c>
      <c r="T30" s="90" t="n">
        <f t="shared" si="7"/>
        <v>1.1063829787234043</v>
      </c>
    </row>
    <row r="31" spans="1:20">
      <c r="A31" s="208"/>
      <c r="B31" s="560"/>
      <c r="C31" s="8" t="s">
        <v>9</v>
      </c>
      <c r="D31" s="40" t="n">
        <v>169.0</v>
      </c>
      <c r="E31" s="42" t="n">
        <v>133.0</v>
      </c>
      <c r="F31" s="41" t="n">
        <v>130.0</v>
      </c>
      <c r="G31" s="40" t="n">
        <v>121.0</v>
      </c>
      <c r="H31" s="42" t="n">
        <v>124.0</v>
      </c>
      <c r="I31" s="41" t="n">
        <v>121.0</v>
      </c>
      <c r="J31" s="93" t="n">
        <f t="shared" si="2"/>
        <v>0.9384615384615385</v>
      </c>
      <c r="K31" s="46" t="n">
        <v>122.0</v>
      </c>
      <c r="L31" s="90" t="n">
        <f t="shared" si="4"/>
        <v>0.9384615384615385</v>
      </c>
      <c r="M31" s="46" t="n">
        <v>120.0</v>
      </c>
      <c r="N31" s="90" t="n">
        <f t="shared" si="8"/>
        <v>0.9230769230769231</v>
      </c>
      <c r="O31" s="46" t="n">
        <v>130.0</v>
      </c>
      <c r="P31" s="90" t="n">
        <f t="shared" si="9"/>
        <v>1.0</v>
      </c>
      <c r="Q31" s="46" t="n">
        <v>132.0</v>
      </c>
      <c r="R31" s="90" t="n">
        <f t="shared" si="10"/>
        <v>1.0153846153846153</v>
      </c>
      <c r="S31" s="46" t="n">
        <v>124.0</v>
      </c>
      <c r="T31" s="90" t="n">
        <f t="shared" si="7"/>
        <v>0.9538461538461539</v>
      </c>
    </row>
    <row r="32" spans="1:20">
      <c r="A32" s="208"/>
      <c r="B32" s="560"/>
      <c r="C32" s="8" t="s">
        <v>10</v>
      </c>
      <c r="D32" s="40" t="n">
        <v>157.0</v>
      </c>
      <c r="E32" s="42" t="n">
        <v>155.0</v>
      </c>
      <c r="F32" s="41" t="n">
        <v>140.0</v>
      </c>
      <c r="G32" s="40" t="n">
        <v>138.0</v>
      </c>
      <c r="H32" s="42" t="n">
        <v>138.0</v>
      </c>
      <c r="I32" s="41" t="n">
        <v>137.0</v>
      </c>
      <c r="J32" s="93" t="n">
        <f t="shared" si="2"/>
        <v>0.9833333333333333</v>
      </c>
      <c r="K32" s="46" t="n">
        <v>137.0</v>
      </c>
      <c r="L32" s="90" t="n">
        <f t="shared" si="4"/>
        <v>0.9785714285714285</v>
      </c>
      <c r="M32" s="46" t="n">
        <v>136.0</v>
      </c>
      <c r="N32" s="90" t="n">
        <f t="shared" si="8"/>
        <v>0.9714285714285714</v>
      </c>
      <c r="O32" s="46" t="n">
        <v>148.0</v>
      </c>
      <c r="P32" s="90" t="n">
        <f t="shared" si="9"/>
        <v>1.0571428571428572</v>
      </c>
      <c r="Q32" s="46" t="n">
        <v>148.0</v>
      </c>
      <c r="R32" s="90" t="n">
        <f t="shared" si="10"/>
        <v>1.0571428571428572</v>
      </c>
      <c r="S32" s="46" t="n">
        <v>141.0</v>
      </c>
      <c r="T32" s="90" t="n">
        <f t="shared" si="7"/>
        <v>1.0071428571428571</v>
      </c>
    </row>
    <row r="33" spans="1:20">
      <c r="A33" s="208"/>
      <c r="B33" s="560"/>
      <c r="C33" s="8" t="s">
        <v>11</v>
      </c>
      <c r="D33" s="40" t="n">
        <v>143.0</v>
      </c>
      <c r="E33" s="42" t="n">
        <v>120.0</v>
      </c>
      <c r="F33" s="41" t="n">
        <v>104.0</v>
      </c>
      <c r="G33" s="40" t="n">
        <v>98.0</v>
      </c>
      <c r="H33" s="42" t="n">
        <v>99.0</v>
      </c>
      <c r="I33" s="41" t="n">
        <v>100.0</v>
      </c>
      <c r="J33" s="93" t="n">
        <f t="shared" si="2"/>
        <v>0.9519230769230769</v>
      </c>
      <c r="K33" s="46" t="n">
        <v>98.0</v>
      </c>
      <c r="L33" s="90" t="n">
        <f t="shared" si="4"/>
        <v>0.9423076923076923</v>
      </c>
      <c r="M33" s="46" t="n">
        <v>98.0</v>
      </c>
      <c r="N33" s="90" t="n">
        <f t="shared" si="8"/>
        <v>0.9423076923076923</v>
      </c>
      <c r="O33" s="46" t="n">
        <v>104.0</v>
      </c>
      <c r="P33" s="90" t="n">
        <f t="shared" si="9"/>
        <v>1.0</v>
      </c>
      <c r="Q33" s="46" t="n">
        <v>114.0</v>
      </c>
      <c r="R33" s="90" t="n">
        <f t="shared" si="10"/>
        <v>1.0961538461538463</v>
      </c>
      <c r="S33" s="46" t="n">
        <v>110.0</v>
      </c>
      <c r="T33" s="90" t="n">
        <f t="shared" si="7"/>
        <v>1.0576923076923077</v>
      </c>
    </row>
    <row r="34" spans="1:20" ht="14.25" thickBot="1">
      <c r="A34" s="561"/>
      <c r="B34" s="562"/>
      <c r="C34" s="12" t="s">
        <v>12</v>
      </c>
      <c r="D34" s="43" t="n">
        <v>111.0</v>
      </c>
      <c r="E34" s="44" t="n">
        <v>87.0</v>
      </c>
      <c r="F34" s="45" t="n">
        <v>67.0</v>
      </c>
      <c r="G34" s="43" t="n">
        <v>65.0</v>
      </c>
      <c r="H34" s="44" t="n">
        <v>67.0</v>
      </c>
      <c r="I34" s="45" t="n">
        <v>67.0</v>
      </c>
      <c r="J34" s="95" t="n">
        <f t="shared" si="2"/>
        <v>0.990049751243781</v>
      </c>
      <c r="K34" s="47" t="n">
        <v>66.0</v>
      </c>
      <c r="L34" s="92" t="n">
        <f t="shared" si="4"/>
        <v>0.9850746268656716</v>
      </c>
      <c r="M34" s="47" t="n">
        <v>67.0</v>
      </c>
      <c r="N34" s="92" t="n">
        <f t="shared" si="8"/>
        <v>1.0</v>
      </c>
      <c r="O34" s="47" t="n">
        <v>71.0</v>
      </c>
      <c r="P34" s="92" t="n">
        <f t="shared" si="9"/>
        <v>1.0597014925373134</v>
      </c>
      <c r="Q34" s="47" t="n">
        <v>72.0</v>
      </c>
      <c r="R34" s="92" t="n">
        <f t="shared" si="10"/>
        <v>1.0746268656716418</v>
      </c>
      <c r="S34" s="47" t="n">
        <v>71.0</v>
      </c>
      <c r="T34" s="92" t="n">
        <f t="shared" si="7"/>
        <v>1.0597014925373134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29583.771000000004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33173.924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33811.4136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32585.0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33956.0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33950.0</v>
      </c>
      <c r="J40" s="96" t="n">
        <f>IFERROR((SUM(G40:I40)/3)/F40,"－")</f>
        <v>0.9907009625885621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34109.0</v>
      </c>
      <c r="L40" s="96" t="n">
        <f>IFERROR(K40/F40,"－")</f>
        <v>1.0088013593137672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35159.0</v>
      </c>
      <c r="N40" s="610" t="n">
        <f>IFERROR(M40/F40,"－")</f>
        <v>1.0398559615383842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37440.0</v>
      </c>
      <c r="P40" s="610" t="n">
        <f>IFERROR(O40/F40,"－")</f>
        <v>1.1073183878949089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35488.0</v>
      </c>
      <c r="R40" s="610" t="n">
        <f>IFERROR(Q40/F40,"－")</f>
        <v>1.049586403568764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34120.0</v>
      </c>
      <c r="T40" s="610" t="n">
        <f>IFERROR(S40/F40,"－")</f>
        <v>1.0091266932418348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8402.31</v>
      </c>
      <c r="E41" s="72" t="n">
        <f>('2_サービス別給付費'!E47+'2_サービス別給付費'!E55)</f>
        <v>3343.368</v>
      </c>
      <c r="F41" s="179" t="n">
        <f>('2_サービス別給付費'!F47+'2_サービス別給付費'!F55)</f>
        <v>2919.564</v>
      </c>
      <c r="G41" s="73" t="n">
        <f>('2_サービス別給付費'!G47+'2_サービス別給付費'!G55)</f>
        <v>2866.0</v>
      </c>
      <c r="H41" s="72" t="n">
        <f>('2_サービス別給付費'!H47+'2_サービス別給付費'!H55)</f>
        <v>2866.0</v>
      </c>
      <c r="I41" s="72" t="n">
        <f>('2_サービス別給付費'!I47+'2_サービス別給付費'!I55)</f>
        <v>2866.0</v>
      </c>
      <c r="J41" s="97" t="n">
        <f>IFERROR((SUM(G41:I41)/3)/F41,"－")</f>
        <v>0.9816534249634535</v>
      </c>
      <c r="K41" s="73" t="n">
        <f>('2_サービス別給付費'!K47+'2_サービス別給付費'!K55)</f>
        <v>2866.0</v>
      </c>
      <c r="L41" s="97" t="n">
        <f>IFERROR(K41/F41,"－")</f>
        <v>0.9816534249634535</v>
      </c>
      <c r="M41" s="757" t="n">
        <f>('2_サービス別給付費'!M47+'2_サービス別給付費'!M55)</f>
        <v>2866.0</v>
      </c>
      <c r="N41" s="456" t="n">
        <f t="shared" ref="N41:N42" si="15">IFERROR(M41/F41,"－")</f>
        <v>0.9816534249634535</v>
      </c>
      <c r="O41" s="757" t="n">
        <f>('2_サービス別給付費'!O47+'2_サービス別給付費'!O55)</f>
        <v>2866.0</v>
      </c>
      <c r="P41" s="456" t="n">
        <f t="shared" ref="P41:P42" si="16">IFERROR(O41/F41,"－")</f>
        <v>0.9816534249634535</v>
      </c>
      <c r="Q41" s="757" t="n">
        <f>('2_サービス別給付費'!Q47+'2_サービス別給付費'!Q55)</f>
        <v>2866.0</v>
      </c>
      <c r="R41" s="456" t="n">
        <f t="shared" ref="R41:R42" si="17">IFERROR(Q41/F41,"－")</f>
        <v>0.9816534249634535</v>
      </c>
      <c r="S41" s="757" t="n">
        <f>('2_サービス別給付費'!S47+'2_サービス別給付費'!S55)</f>
        <v>2866.0</v>
      </c>
      <c r="T41" s="456" t="n">
        <f>IFERROR(S41/F41,"－")</f>
        <v>0.9816534249634535</v>
      </c>
    </row>
    <row r="42" spans="1:20" ht="14.25" thickBot="1">
      <c r="A42" s="569" t="s">
        <v>36</v>
      </c>
      <c r="B42" s="375"/>
      <c r="C42" s="570"/>
      <c r="D42" s="78" t="n">
        <f>SUM(D40:D41)</f>
        <v>37986.081000000006</v>
      </c>
      <c r="E42" s="79" t="n">
        <f t="shared" ref="E42:K42" si="18">SUM(E40:E41)</f>
        <v>36517.292</v>
      </c>
      <c r="F42" s="180" t="n">
        <f t="shared" si="18"/>
        <v>36730.9776</v>
      </c>
      <c r="G42" s="81" t="n">
        <f t="shared" si="18"/>
        <v>35451.0</v>
      </c>
      <c r="H42" s="81" t="n">
        <f t="shared" si="18"/>
        <v>36822.0</v>
      </c>
      <c r="I42" s="79" t="n">
        <f t="shared" si="18"/>
        <v>36816.0</v>
      </c>
      <c r="J42" s="98" t="n">
        <f>IFERROR((SUM(G42:I42)/3)/F42,"－")</f>
        <v>0.9899818185073299</v>
      </c>
      <c r="K42" s="81" t="n">
        <f t="shared" si="18"/>
        <v>36975.0</v>
      </c>
      <c r="L42" s="98" t="n">
        <f>IFERROR(K42/F42,"－")</f>
        <v>1.006643504092306</v>
      </c>
      <c r="M42" s="758" t="n">
        <f t="shared" ref="M42" si="19">SUM(M40:M41)</f>
        <v>38025.0</v>
      </c>
      <c r="N42" s="759" t="n">
        <f t="shared" si="15"/>
        <v>1.0352297293606474</v>
      </c>
      <c r="O42" s="758" t="n">
        <f t="shared" ref="O42" si="20">SUM(O40:O41)</f>
        <v>40306.0</v>
      </c>
      <c r="P42" s="759" t="n">
        <f t="shared" si="16"/>
        <v>1.0973299006340633</v>
      </c>
      <c r="Q42" s="758" t="n">
        <f t="shared" ref="Q42:S42" si="21">SUM(Q40:Q41)</f>
        <v>38354.0</v>
      </c>
      <c r="R42" s="759" t="n">
        <f t="shared" si="17"/>
        <v>1.0441867466113943</v>
      </c>
      <c r="S42" s="758" t="n">
        <f t="shared" si="21"/>
        <v>36986.0</v>
      </c>
      <c r="T42" s="759" t="n">
        <f>IFERROR(S42/F42,"－")</f>
        <v>1.0069429788332125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415030.372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396499.40799999994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477706.25999999995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471816.0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478709.0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470998.0</v>
      </c>
      <c r="J62" s="99" t="n">
        <f>IFERROR((SUM(G62:I62)/3)/F62,"－")</f>
        <v>0.9919087097581682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469290.0</v>
      </c>
      <c r="L62" s="99" t="n">
        <f>IFERROR(K62/F62,"－")</f>
        <v>0.9823819348735352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467508.0</v>
      </c>
      <c r="N62" s="761" t="n">
        <f>IFERROR(M62/F62,"－")</f>
        <v>0.978651609045274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503271.0</v>
      </c>
      <c r="P62" s="761" t="n">
        <f>IFERROR(O62/F62,"－")</f>
        <v>1.053515606012783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511809.0</v>
      </c>
      <c r="R62" s="761" t="n">
        <f>IFERROR(Q62/F62,"－")</f>
        <v>1.0713885139374142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495584.0</v>
      </c>
      <c r="T62" s="761" t="n">
        <f>IFERROR(S62/F62,"－")</f>
        <v>1.0374241275381237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165359.817</v>
      </c>
      <c r="E63" s="76" t="n">
        <f>('2_サービス別給付費'!E106+'2_サービス別給付費'!E121+'2_サービス別給付費'!E123)</f>
        <v>144098.885</v>
      </c>
      <c r="F63" s="77" t="n">
        <f>('2_サービス別給付費'!F106+'2_サービス別給付費'!F121+'2_サービス別給付費'!F123)</f>
        <v>151666.19999999998</v>
      </c>
      <c r="G63" s="74" t="n">
        <f>('2_サービス別給付費'!G106+'2_サービス別給付費'!G121+'2_サービス別給付費'!G123)</f>
        <v>135695.0</v>
      </c>
      <c r="H63" s="75" t="n">
        <f>('2_サービス別給付費'!H106+'2_サービス別給付費'!H121+'2_サービス別給付費'!H123)</f>
        <v>138779.0</v>
      </c>
      <c r="I63" s="76" t="n">
        <f>('2_サービス別給付費'!I106+'2_サービス別給付費'!I121+'2_サービス別給付費'!I123)</f>
        <v>135695.0</v>
      </c>
      <c r="J63" s="100" t="n">
        <f>IFERROR((SUM(G63:I63)/3)/F63,"－")</f>
        <v>0.901473103433725</v>
      </c>
      <c r="K63" s="74" t="n">
        <f>('2_サービス別給付費'!K106+'2_サービス別給付費'!K121+'2_サービス別給付費'!K123)</f>
        <v>138779.0</v>
      </c>
      <c r="L63" s="100" t="n">
        <f>IFERROR(K63/F63,"－")</f>
        <v>0.9150291891008018</v>
      </c>
      <c r="M63" s="408" t="n">
        <f>('2_サービス別給付費'!M106+'2_サービス別給付費'!M121+'2_サービス別給付費'!M123)</f>
        <v>135695.0</v>
      </c>
      <c r="N63" s="411" t="n">
        <f t="shared" ref="N63:N65" si="22">IFERROR(M63/F63,"－")</f>
        <v>0.8946950606001866</v>
      </c>
      <c r="O63" s="408" t="n">
        <f>('2_サービス別給付費'!O106+'2_サービス別給付費'!O121+'2_サービス別給付費'!O123)</f>
        <v>144719.0</v>
      </c>
      <c r="P63" s="411" t="n">
        <f t="shared" ref="P63:P65" si="23">IFERROR(O63/F63,"－")</f>
        <v>0.9541941447731929</v>
      </c>
      <c r="Q63" s="408" t="n">
        <f>('2_サービス別給付費'!Q106+'2_サービス別給付費'!Q121+'2_サービス別給付費'!Q123)</f>
        <v>147897.0</v>
      </c>
      <c r="R63" s="411" t="n">
        <f t="shared" ref="R63:R65" si="24">IFERROR(Q63/F63,"－")</f>
        <v>0.9751480554006101</v>
      </c>
      <c r="S63" s="408" t="n">
        <f>('2_サービス別給付費'!S106+'2_サービス別給付費'!S121+'2_サービス別給付費'!S123)</f>
        <v>141635.0</v>
      </c>
      <c r="T63" s="411" t="n">
        <f>IFERROR(S63/F63,"－")</f>
        <v>0.9338600162725776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467622.205</v>
      </c>
      <c r="E64" s="186" t="n">
        <f>('2_サービス別給付費'!E125+'2_サービス別給付費'!E132+'2_サービス別給付費'!E134+'2_サービス別給付費'!E136+'2_サービス別給付費'!E138)</f>
        <v>428032.104</v>
      </c>
      <c r="F64" s="187" t="n">
        <f>('2_サービス別給付費'!F125+'2_サービス別給付費'!F132+'2_サービス別給付費'!F134+'2_サービス別給付費'!F136+'2_サービス別給付費'!F138)</f>
        <v>401171.61600000004</v>
      </c>
      <c r="G64" s="185" t="n">
        <f>('2_サービス別給付費'!G125+'2_サービス別給付費'!G132+'2_サービス別給付費'!G134+'2_サービス別給付費'!G136+'2_サービス別給付費'!G138)</f>
        <v>387688.0</v>
      </c>
      <c r="H64" s="188" t="n">
        <f>('2_サービス別給付費'!H125+'2_サービス別給付費'!H132+'2_サービス別給付費'!H134+'2_サービス別給付費'!H136+'2_サービス別給付費'!H138)</f>
        <v>387688.0</v>
      </c>
      <c r="I64" s="186" t="n">
        <f>('2_サービス別給付費'!I125+'2_サービス別給付費'!I132+'2_サービス別給付費'!I134+'2_サービス別給付費'!I136+'2_サービス別給付費'!I138)</f>
        <v>387688.0</v>
      </c>
      <c r="J64" s="101" t="n">
        <f>IFERROR((SUM(G64:I64)/3)/F64,"－")</f>
        <v>0.9663894067719885</v>
      </c>
      <c r="K64" s="186" t="n">
        <f>('2_サービス別給付費'!K125+'2_サービス別給付費'!K132+'2_サービス別給付費'!K134+'2_サービス別給付費'!K136+'2_サービス別給付費'!K138)</f>
        <v>384366.0</v>
      </c>
      <c r="L64" s="102" t="n">
        <f>IFERROR(K64/F64,"－")</f>
        <v>0.9581086614063942</v>
      </c>
      <c r="M64" s="502" t="n">
        <f>('2_サービス別給付費'!M125+'2_サービス別給付費'!M132+'2_サービス別給付費'!M134+'2_サービス別給付費'!M136+'2_サービス別給付費'!M138)</f>
        <v>384366.0</v>
      </c>
      <c r="N64" s="762" t="n">
        <f t="shared" si="22"/>
        <v>0.9581086614063942</v>
      </c>
      <c r="O64" s="502" t="n">
        <f>('2_サービス別給付費'!O125+'2_サービス別給付費'!O132+'2_サービス別給付費'!O134+'2_サービス別給付費'!O136+'2_サービス別給付費'!O138)</f>
        <v>415786.0</v>
      </c>
      <c r="P64" s="762" t="n">
        <f t="shared" si="23"/>
        <v>1.0364292572483491</v>
      </c>
      <c r="Q64" s="502" t="n">
        <f>('2_サービス別給付費'!Q125+'2_サービス別給付費'!Q132+'2_サービス別給付費'!Q134+'2_サービス別給付費'!Q136+'2_サービス別給付費'!Q138)</f>
        <v>431255.0</v>
      </c>
      <c r="R64" s="762" t="n">
        <f t="shared" si="24"/>
        <v>1.0749888147620095</v>
      </c>
      <c r="S64" s="502" t="n">
        <f>('2_サービス別給付費'!S125+'2_サービス別給付費'!S132+'2_サービス別給付費'!S134+'2_サービス別給付費'!S136+'2_サービス別給付費'!S138)</f>
        <v>409291.0</v>
      </c>
      <c r="T64" s="762" t="n">
        <f>IFERROR(S64/F64,"－")</f>
        <v>1.0202391786362073</v>
      </c>
    </row>
    <row r="65" spans="1:20" ht="14.25" thickBot="1">
      <c r="A65" s="569" t="s">
        <v>36</v>
      </c>
      <c r="B65" s="375"/>
      <c r="C65" s="570"/>
      <c r="D65" s="78" t="n">
        <f>SUM(D62:D64)</f>
        <v>1048012.3940000001</v>
      </c>
      <c r="E65" s="79" t="n">
        <f t="shared" ref="E65:I65" si="25">SUM(E62:E64)</f>
        <v>968630.3969999999</v>
      </c>
      <c r="F65" s="80" t="n">
        <f>SUM(F62:F64)</f>
        <v>1030544.076</v>
      </c>
      <c r="G65" s="78" t="n">
        <f t="shared" si="25"/>
        <v>995199.0</v>
      </c>
      <c r="H65" s="81" t="n">
        <f t="shared" si="25"/>
        <v>1005176.0</v>
      </c>
      <c r="I65" s="79" t="n">
        <f t="shared" si="25"/>
        <v>994381.0</v>
      </c>
      <c r="J65" s="98" t="n">
        <f>IFERROR((SUM(G65:I65)/3)/F65,"－")</f>
        <v>0.9686650219509874</v>
      </c>
      <c r="K65" s="81" t="n">
        <f>SUM(K62:K64)</f>
        <v>992435.0</v>
      </c>
      <c r="L65" s="98" t="n">
        <f>IFERROR(K65/F65,"－")</f>
        <v>0.9630204307729192</v>
      </c>
      <c r="M65" s="758" t="n">
        <f>SUM(M62:M64)</f>
        <v>987569.0</v>
      </c>
      <c r="N65" s="759" t="n">
        <f t="shared" si="22"/>
        <v>0.9582986531087487</v>
      </c>
      <c r="O65" s="758" t="n">
        <f>SUM(O62:O64)</f>
        <v>1063776.0</v>
      </c>
      <c r="P65" s="759" t="n">
        <f t="shared" si="23"/>
        <v>1.032246970094659</v>
      </c>
      <c r="Q65" s="758" t="n">
        <f>SUM(Q62:Q64)</f>
        <v>1090961.0</v>
      </c>
      <c r="R65" s="759" t="n">
        <f t="shared" si="24"/>
        <v>1.058626239679631</v>
      </c>
      <c r="S65" s="758" t="n">
        <f>SUM(S62:S64)</f>
        <v>1046510.0</v>
      </c>
      <c r="T65" s="759" t="n">
        <f>IFERROR(S65/F65,"－")</f>
        <v>1.0154927133849248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1085998.475</v>
      </c>
      <c r="E85" s="581" t="n">
        <f>E65+E42</f>
        <v>1005147.6889999999</v>
      </c>
      <c r="F85" s="582" t="n">
        <f>F65+F42</f>
        <v>1067275.0536</v>
      </c>
      <c r="G85" s="580" t="n">
        <f>G65+G42</f>
        <v>1030650.0</v>
      </c>
      <c r="H85" s="581" t="n">
        <f>H65+H42</f>
        <v>1041998.0</v>
      </c>
      <c r="I85" s="582" t="n">
        <f>I65+I42</f>
        <v>1031197.0</v>
      </c>
      <c r="J85" s="98" t="n">
        <f>IFERROR((SUM(G85:I85)/3)/F85,"－")</f>
        <v>0.9693986536180761</v>
      </c>
      <c r="K85" s="580" t="n">
        <f>K65+K42</f>
        <v>1029410.0</v>
      </c>
      <c r="L85" s="98" t="n">
        <f>IFERROR(K85/F85,"－")</f>
        <v>0.9645217477235336</v>
      </c>
      <c r="M85" s="763" t="n">
        <f>M65+M42</f>
        <v>1025594.0</v>
      </c>
      <c r="N85" s="759" t="n">
        <f>IFERROR(M85/F85,"－")</f>
        <v>0.9609462870331255</v>
      </c>
      <c r="O85" s="763" t="n">
        <f>O65+O42</f>
        <v>1104082.0</v>
      </c>
      <c r="P85" s="759" t="n">
        <f>IFERROR(O85/F85,"－")</f>
        <v>1.0344868422398212</v>
      </c>
      <c r="Q85" s="763" t="n">
        <f>Q65+Q42</f>
        <v>1129315.0</v>
      </c>
      <c r="R85" s="759" t="n">
        <f>IFERROR(Q85/F85,"－")</f>
        <v>1.058129294965468</v>
      </c>
      <c r="S85" s="763" t="n">
        <f>S65+S42</f>
        <v>1083496.0</v>
      </c>
      <c r="T85" s="759" t="n">
        <f>IFERROR(S85/F85,"－")</f>
        <v>1.015198468609648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129.1356790589602</v>
      </c>
      <c r="E91" s="104" t="n">
        <f t="shared" si="26"/>
        <v>124.3627589001447</v>
      </c>
      <c r="F91" s="105" t="n">
        <f t="shared" si="26"/>
        <v>148.3950315056571</v>
      </c>
      <c r="G91" s="103" t="n">
        <f t="shared" si="26"/>
        <v>146.8843913803145</v>
      </c>
      <c r="H91" s="104" t="n">
        <f t="shared" si="26"/>
        <v>149.59585643419902</v>
      </c>
      <c r="I91" s="105" t="n">
        <f t="shared" si="26"/>
        <v>147.90509666080843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135.8182413592797</v>
      </c>
      <c r="E92" s="107" t="n">
        <f t="shared" si="27"/>
        <v>123.88772908827785</v>
      </c>
      <c r="F92" s="108" t="n">
        <f t="shared" si="27"/>
        <v>116.38283028720627</v>
      </c>
      <c r="G92" s="106" t="n">
        <f t="shared" si="27"/>
        <v>112.89691322073384</v>
      </c>
      <c r="H92" s="107" t="n">
        <f t="shared" si="27"/>
        <v>113.12751677852349</v>
      </c>
      <c r="I92" s="108" t="n">
        <f t="shared" si="27"/>
        <v>113.55828939660222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0.10562493949075417</v>
      </c>
      <c r="E116" s="621" t="n">
        <f>IFERROR(('2_サービス別給付費'!E54+'2_サービス別給付費'!E58+'2_サービス別給付費'!E120+'2_サービス別給付費'!E128+'2_サービス別給付費'!E141)/E12,"－")</f>
        <v>0.10279787747226243</v>
      </c>
      <c r="F116" s="622" t="n">
        <f>IFERROR(('2_サービス別給付費'!F54+'2_サービス別給付費'!F58+'2_サービス別給付費'!F120+'2_サービス別給付費'!F128+'2_サービス別給付費'!F141)/F12,"－")</f>
        <v>0.1116913257905425</v>
      </c>
      <c r="G116" s="620" t="n">
        <f>IFERROR(('2_サービス別給付費'!G54+'2_サービス別給付費'!G58+'2_サービス別給付費'!G120+'2_サービス別給付費'!G128+'2_サービス別給付費'!G141)/G12,"－")</f>
        <v>0.11386138613861387</v>
      </c>
      <c r="H116" s="621" t="n">
        <f>IFERROR(('2_サービス別給付費'!H54+'2_サービス別給付費'!H58+'2_サービス別給付費'!H120+'2_サービス別給付費'!H128+'2_サービス別給付費'!H141)/H12,"－")</f>
        <v>0.1152611613656259</v>
      </c>
      <c r="I116" s="622" t="n">
        <f>IFERROR(('2_サービス別給付費'!I54+'2_サービス別給付費'!I58+'2_サービス別給付費'!I120+'2_サービス別給付費'!I128+'2_サービス別給付費'!I141)/I12,"－")</f>
        <v>0.11511423550087874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0.05917804240487946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0.05419681620839363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0.04960835509138381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0.049796156086196856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0.050189670265538375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0.05008787346221441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6608.89984893206</v>
      </c>
      <c r="G143" s="82" t="n">
        <v>6104.30629773848</v>
      </c>
      <c r="H143" s="83" t="n">
        <v>6930.49696365923</v>
      </c>
      <c r="I143" s="765" t="n">
        <v>7484.29457035128</v>
      </c>
      <c r="J143" s="765" t="n">
        <v>7444.08906613366</v>
      </c>
      <c r="K143" s="765" t="n">
        <v>7578.98038420445</v>
      </c>
      <c r="L143" s="765" t="n">
        <v>8193.84158646186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0.9236493875338241</v>
      </c>
      <c r="H144" s="110" t="n">
        <f>IFERROR(H143/F143,"－")</f>
        <v>1.04866121776367</v>
      </c>
      <c r="I144" s="766" t="n">
        <f>IFERROR(I143/F143,"－")</f>
        <v>1.13245695069213</v>
      </c>
      <c r="J144" s="766" t="n">
        <f>IFERROR(J143/F143,"－")</f>
        <v>1.1263734110506394</v>
      </c>
      <c r="K144" s="766" t="n">
        <f>IFERROR(K143/F143,"－")</f>
        <v>1.146783966688366</v>
      </c>
      <c r="L144" s="766" t="n">
        <f>IFERROR(L143/F143,"－")</f>
        <v>1.2398193003009286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6079.234725322671</v>
      </c>
      <c r="E151" s="610" t="n">
        <f t="shared" ref="E151:E161" si="28">IFERROR(D151/D$159,"－")</f>
        <v>0.8811860794265807</v>
      </c>
      <c r="F151" s="609" t="n">
        <v>5706.53353957763</v>
      </c>
      <c r="G151" s="610" t="n">
        <f t="shared" ref="G151:G161" si="29">IFERROR(F151/F$159,"－")</f>
        <v>0.9348373527212721</v>
      </c>
      <c r="H151" s="611" t="n">
        <v>6514.09219187746</v>
      </c>
      <c r="I151" s="610" t="n">
        <f t="shared" ref="I151:I161" si="30">IFERROR(H151/H$159,"－")</f>
        <v>0.9399170400095072</v>
      </c>
      <c r="J151" s="611" t="n">
        <v>7014.99653954707</v>
      </c>
      <c r="K151" s="610" t="n">
        <f t="shared" ref="K151:K161" si="31">IFERROR(J151/J$159,"－")</f>
        <v>0.9372956226678578</v>
      </c>
      <c r="L151" s="611" t="n">
        <v>6887.53182181329</v>
      </c>
      <c r="M151" s="610" t="n">
        <f t="shared" ref="M151:M161" si="32">IFERROR(L151/L$159,"－")</f>
        <v>0.9252350100360316</v>
      </c>
      <c r="N151" s="611" t="n">
        <v>6958.64858666756</v>
      </c>
      <c r="O151" s="610" t="n">
        <f t="shared" ref="O151:O161" si="33">IFERROR(N151/N$159,"－")</f>
        <v>0.9181510221573156</v>
      </c>
      <c r="P151" s="611" t="n">
        <v>7523.67125237752</v>
      </c>
      <c r="Q151" s="610" t="n">
        <f t="shared" ref="Q151:Q161" si="34">IFERROR(P151/P$159,"－")</f>
        <v>0.91821048442142</v>
      </c>
    </row>
    <row r="152" spans="1:17">
      <c r="A152" s="33"/>
      <c r="B152" s="35" t="s">
        <v>70</v>
      </c>
      <c r="C152" s="612"/>
      <c r="D152" s="613" t="n">
        <v>2805.82887117516</v>
      </c>
      <c r="E152" s="403" t="n">
        <f t="shared" si="28"/>
        <v>0.4067053591850767</v>
      </c>
      <c r="F152" s="613" t="n">
        <v>2798.27888915416</v>
      </c>
      <c r="G152" s="403" t="n">
        <f t="shared" si="29"/>
        <v>0.4584106289343418</v>
      </c>
      <c r="H152" s="614" t="n">
        <v>3185.50188486504</v>
      </c>
      <c r="I152" s="403" t="n">
        <f t="shared" si="30"/>
        <v>0.4596354203123593</v>
      </c>
      <c r="J152" s="614" t="n">
        <v>3438.20972582182</v>
      </c>
      <c r="K152" s="403" t="n">
        <f t="shared" si="31"/>
        <v>0.4593899523199079</v>
      </c>
      <c r="L152" s="614" t="n">
        <v>3373.08661757413</v>
      </c>
      <c r="M152" s="403" t="n">
        <f t="shared" si="32"/>
        <v>0.4531228183337759</v>
      </c>
      <c r="N152" s="614" t="n">
        <v>3372.35181994164</v>
      </c>
      <c r="O152" s="403" t="n">
        <f t="shared" si="33"/>
        <v>0.44496114899176226</v>
      </c>
      <c r="P152" s="614" t="n">
        <v>3678.20347935699</v>
      </c>
      <c r="Q152" s="403" t="n">
        <f t="shared" si="34"/>
        <v>0.4488985344107996</v>
      </c>
    </row>
    <row r="153" spans="1:17">
      <c r="A153" s="33"/>
      <c r="B153" s="35" t="s">
        <v>81</v>
      </c>
      <c r="C153" s="612"/>
      <c r="D153" s="613" t="n">
        <v>1072.17742974268</v>
      </c>
      <c r="E153" s="403" t="n">
        <f t="shared" si="28"/>
        <v>0.1554122958649986</v>
      </c>
      <c r="F153" s="613" t="n">
        <v>769.918578655927</v>
      </c>
      <c r="G153" s="403" t="n">
        <f t="shared" si="29"/>
        <v>0.12612712093774947</v>
      </c>
      <c r="H153" s="614" t="n">
        <v>896.327593979544</v>
      </c>
      <c r="I153" s="403" t="n">
        <f t="shared" si="30"/>
        <v>0.12933092658138795</v>
      </c>
      <c r="J153" s="614" t="n">
        <v>947.748266386291</v>
      </c>
      <c r="K153" s="403" t="n">
        <f t="shared" si="31"/>
        <v>0.12663160936245832</v>
      </c>
      <c r="L153" s="614" t="n">
        <v>920.671095011343</v>
      </c>
      <c r="M153" s="403" t="n">
        <f t="shared" si="32"/>
        <v>0.1236781407143379</v>
      </c>
      <c r="N153" s="614" t="n">
        <v>928.976181908291</v>
      </c>
      <c r="O153" s="403" t="n">
        <f t="shared" si="33"/>
        <v>0.12257271226673107</v>
      </c>
      <c r="P153" s="614" t="n">
        <v>1003.39827709544</v>
      </c>
      <c r="Q153" s="403" t="n">
        <f t="shared" si="34"/>
        <v>0.12245761240408752</v>
      </c>
    </row>
    <row r="154" spans="1:17">
      <c r="A154" s="31"/>
      <c r="B154" s="35" t="s">
        <v>71</v>
      </c>
      <c r="C154" s="612"/>
      <c r="D154" s="613" t="n">
        <v>2201.22842440483</v>
      </c>
      <c r="E154" s="403" t="n">
        <f t="shared" si="28"/>
        <v>0.31906842437650534</v>
      </c>
      <c r="F154" s="613" t="n">
        <v>2138.33607176754</v>
      </c>
      <c r="G154" s="403" t="n">
        <f t="shared" si="29"/>
        <v>0.3502996028491804</v>
      </c>
      <c r="H154" s="614" t="n">
        <v>2432.26271303287</v>
      </c>
      <c r="I154" s="403" t="n">
        <f t="shared" si="30"/>
        <v>0.35095069311575905</v>
      </c>
      <c r="J154" s="614" t="n">
        <v>2629.03854733896</v>
      </c>
      <c r="K154" s="403" t="n">
        <f t="shared" si="31"/>
        <v>0.35127406098549174</v>
      </c>
      <c r="L154" s="614" t="n">
        <v>2593.77410922781</v>
      </c>
      <c r="M154" s="403" t="n">
        <f t="shared" si="32"/>
        <v>0.34843405098791685</v>
      </c>
      <c r="N154" s="614" t="n">
        <v>2657.32058481763</v>
      </c>
      <c r="O154" s="403" t="n">
        <f t="shared" si="33"/>
        <v>0.35061716089882233</v>
      </c>
      <c r="P154" s="614" t="n">
        <v>2842.06949592508</v>
      </c>
      <c r="Q154" s="403" t="n">
        <f t="shared" si="34"/>
        <v>0.34685433760653156</v>
      </c>
    </row>
    <row r="155" spans="1:17">
      <c r="A155" s="30" t="s">
        <v>82</v>
      </c>
      <c r="B155" s="35"/>
      <c r="C155" s="612"/>
      <c r="D155" s="613" t="n">
        <v>451.2031458509291</v>
      </c>
      <c r="E155" s="403" t="n">
        <f t="shared" si="28"/>
        <v>0.0654019706561366</v>
      </c>
      <c r="F155" s="613" t="n">
        <v>397.772758160856</v>
      </c>
      <c r="G155" s="403" t="n">
        <f t="shared" si="29"/>
        <v>0.06516264727872889</v>
      </c>
      <c r="H155" s="614" t="n">
        <v>416.40477178177</v>
      </c>
      <c r="I155" s="403" t="n">
        <f t="shared" si="30"/>
        <v>0.0600829599904929</v>
      </c>
      <c r="J155" s="614" t="n">
        <v>469.298030804209</v>
      </c>
      <c r="K155" s="403" t="n">
        <f t="shared" si="31"/>
        <v>0.06270437733214211</v>
      </c>
      <c r="L155" s="614" t="n">
        <v>556.557244320371</v>
      </c>
      <c r="M155" s="403" t="n">
        <f t="shared" si="32"/>
        <v>0.07476498996396853</v>
      </c>
      <c r="N155" s="614" t="n">
        <v>620.331797536885</v>
      </c>
      <c r="O155" s="403" t="n">
        <f t="shared" si="33"/>
        <v>0.08184897784268377</v>
      </c>
      <c r="P155" s="614" t="n">
        <v>670.170334084342</v>
      </c>
      <c r="Q155" s="403" t="n">
        <f t="shared" si="34"/>
        <v>0.08178951557858037</v>
      </c>
    </row>
    <row r="156" spans="1:17">
      <c r="A156" s="30" t="s">
        <v>83</v>
      </c>
      <c r="B156" s="615"/>
      <c r="C156" s="612"/>
      <c r="D156" s="613" t="n">
        <v>395.009588052356</v>
      </c>
      <c r="E156" s="403" t="n">
        <f t="shared" si="28"/>
        <v>0.057256705154329963</v>
      </c>
      <c r="F156" s="613" t="n">
        <v>0.0</v>
      </c>
      <c r="G156" s="403" t="n">
        <f t="shared" si="29"/>
        <v>0.0</v>
      </c>
      <c r="H156" s="614" t="n">
        <v>0.0</v>
      </c>
      <c r="I156" s="403" t="n">
        <f t="shared" si="30"/>
        <v>0.0</v>
      </c>
      <c r="J156" s="614" t="n">
        <v>0.0</v>
      </c>
      <c r="K156" s="403" t="n">
        <f t="shared" si="31"/>
        <v>0.0</v>
      </c>
      <c r="L156" s="614" t="n">
        <v>0.0</v>
      </c>
      <c r="M156" s="403" t="n">
        <f t="shared" si="32"/>
        <v>0.0</v>
      </c>
      <c r="N156" s="614" t="n">
        <v>0.0</v>
      </c>
      <c r="O156" s="403" t="n">
        <f t="shared" si="33"/>
        <v>0.0</v>
      </c>
      <c r="P156" s="614" t="n">
        <v>0.0</v>
      </c>
      <c r="Q156" s="403" t="n">
        <f t="shared" si="34"/>
        <v>0.0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-26.524669525687</v>
      </c>
      <c r="E158" s="403" t="n">
        <f t="shared" si="28"/>
        <v>-0.0038447552370475774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6898.922789700271</v>
      </c>
      <c r="E159" s="403" t="n">
        <f t="shared" si="28"/>
        <v>1.0</v>
      </c>
      <c r="F159" s="613" t="n">
        <v>6104.30629773848</v>
      </c>
      <c r="G159" s="403" t="n">
        <f t="shared" si="29"/>
        <v>1.0</v>
      </c>
      <c r="H159" s="614" t="n">
        <v>6930.49696365923</v>
      </c>
      <c r="I159" s="403" t="n">
        <f t="shared" si="30"/>
        <v>1.0</v>
      </c>
      <c r="J159" s="614" t="n">
        <v>7484.29457035128</v>
      </c>
      <c r="K159" s="403" t="n">
        <f t="shared" si="31"/>
        <v>1.0</v>
      </c>
      <c r="L159" s="614" t="n">
        <v>7444.08906613366</v>
      </c>
      <c r="M159" s="403" t="n">
        <f t="shared" si="32"/>
        <v>1.0</v>
      </c>
      <c r="N159" s="614" t="n">
        <v>7578.98038420445</v>
      </c>
      <c r="O159" s="403" t="n">
        <f t="shared" si="33"/>
        <v>1.0</v>
      </c>
      <c r="P159" s="614" t="n">
        <v>8193.84158646186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290.022940768211</v>
      </c>
      <c r="E160" s="403" t="n">
        <f t="shared" si="28"/>
        <v>0.042038873257314896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6608.89984893206</v>
      </c>
      <c r="E161" s="456" t="n">
        <f t="shared" si="28"/>
        <v>0.9579611267426851</v>
      </c>
      <c r="F161" s="618" t="n">
        <v>6104.30629773848</v>
      </c>
      <c r="G161" s="456" t="n">
        <f t="shared" si="29"/>
        <v>1.0</v>
      </c>
      <c r="H161" s="619" t="n">
        <v>6930.49696365923</v>
      </c>
      <c r="I161" s="456" t="n">
        <f t="shared" si="30"/>
        <v>1.0</v>
      </c>
      <c r="J161" s="619" t="n">
        <v>7484.29457035128</v>
      </c>
      <c r="K161" s="456" t="n">
        <f t="shared" si="31"/>
        <v>1.0</v>
      </c>
      <c r="L161" s="619" t="n">
        <v>7444.08906613366</v>
      </c>
      <c r="M161" s="456" t="n">
        <f t="shared" si="32"/>
        <v>1.0</v>
      </c>
      <c r="N161" s="619" t="n">
        <v>7578.98038420445</v>
      </c>
      <c r="O161" s="456" t="n">
        <f t="shared" si="33"/>
        <v>1.0</v>
      </c>
      <c r="P161" s="619" t="n">
        <v>8193.84158646186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2026/09/25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小野町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07522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将来推計0925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0.0</v>
      </c>
      <c r="E14" s="391" t="n">
        <v>0.0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0.0</v>
      </c>
      <c r="E15" s="405" t="n">
        <v>0.0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0.0</v>
      </c>
      <c r="E16" s="391" t="n">
        <v>0.0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1872.428</v>
      </c>
      <c r="E17" s="391" t="n">
        <v>2213.878</v>
      </c>
      <c r="F17" s="392" t="n">
        <v>212.6256</v>
      </c>
      <c r="G17" s="408" t="n">
        <v>-3345.0</v>
      </c>
      <c r="H17" s="409" t="n">
        <v>-3345.0</v>
      </c>
      <c r="I17" s="409" t="n">
        <v>-3345.0</v>
      </c>
      <c r="J17" s="410" t="n">
        <f t="shared" si="0"/>
        <v>-15.731878005282525</v>
      </c>
      <c r="K17" s="408" t="n">
        <v>-3345.0</v>
      </c>
      <c r="L17" s="411" t="n">
        <f t="shared" si="1"/>
        <v>-15.731878005282525</v>
      </c>
      <c r="M17" s="408" t="n">
        <v>-4230.0</v>
      </c>
      <c r="N17" s="411" t="n">
        <f t="shared" si="2"/>
        <v>-19.894123755559068</v>
      </c>
      <c r="O17" s="408" t="n">
        <v>-4230.0</v>
      </c>
      <c r="P17" s="411" t="n">
        <f t="shared" si="3"/>
        <v>-19.894123755559068</v>
      </c>
      <c r="Q17" s="408" t="n">
        <v>-4230.0</v>
      </c>
      <c r="R17" s="411" t="n">
        <f t="shared" si="4"/>
        <v>-19.894123755559068</v>
      </c>
      <c r="S17" s="408" t="n">
        <v>-3345.0</v>
      </c>
      <c r="T17" s="403" t="n">
        <f t="shared" si="5"/>
        <v>-15.731878005282525</v>
      </c>
    </row>
    <row r="18" spans="1:20">
      <c r="A18" s="19"/>
      <c r="B18" s="1056"/>
      <c r="C18" s="389" t="s">
        <v>19</v>
      </c>
      <c r="D18" s="404" t="n">
        <v>30.833333333333332</v>
      </c>
      <c r="E18" s="405" t="n">
        <v>30.083333333333332</v>
      </c>
      <c r="F18" s="406" t="n">
        <v>-53.8</v>
      </c>
      <c r="G18" s="407" t="n">
        <v>-48.4</v>
      </c>
      <c r="H18" s="405" t="n">
        <v>-48.4</v>
      </c>
      <c r="I18" s="405" t="n">
        <v>-48.4</v>
      </c>
      <c r="J18" s="412" t="n">
        <f t="shared" si="0"/>
        <v>0.8996282527881041</v>
      </c>
      <c r="K18" s="407" t="n">
        <v>-48.4</v>
      </c>
      <c r="L18" s="403" t="n">
        <f t="shared" si="1"/>
        <v>0.8996282527881041</v>
      </c>
      <c r="M18" s="407" t="n">
        <v>-61.0</v>
      </c>
      <c r="N18" s="403" t="n">
        <f t="shared" si="2"/>
        <v>1.1338289962825279</v>
      </c>
      <c r="O18" s="407" t="n">
        <v>-61.0</v>
      </c>
      <c r="P18" s="403" t="n">
        <f t="shared" si="3"/>
        <v>1.1338289962825279</v>
      </c>
      <c r="Q18" s="407" t="n">
        <v>-61.0</v>
      </c>
      <c r="R18" s="403" t="n">
        <f t="shared" si="4"/>
        <v>1.1338289962825279</v>
      </c>
      <c r="S18" s="407" t="n">
        <v>-48.4</v>
      </c>
      <c r="T18" s="403" t="n">
        <f t="shared" si="5"/>
        <v>0.8996282527881041</v>
      </c>
    </row>
    <row r="19" spans="1:20">
      <c r="A19" s="19"/>
      <c r="B19" s="753"/>
      <c r="C19" s="389" t="s">
        <v>17</v>
      </c>
      <c r="D19" s="390" t="n">
        <v>5.166666666666667</v>
      </c>
      <c r="E19" s="391" t="n">
        <v>6.833333333333333</v>
      </c>
      <c r="F19" s="392" t="n">
        <v>6.0</v>
      </c>
      <c r="G19" s="401" t="n">
        <v>6.0</v>
      </c>
      <c r="H19" s="391" t="n">
        <v>6.0</v>
      </c>
      <c r="I19" s="391" t="n">
        <v>6.0</v>
      </c>
      <c r="J19" s="402" t="n">
        <f t="shared" si="0"/>
        <v>1.0</v>
      </c>
      <c r="K19" s="401" t="n">
        <v>6.0</v>
      </c>
      <c r="L19" s="403" t="n">
        <f t="shared" si="1"/>
        <v>1.0</v>
      </c>
      <c r="M19" s="401" t="n">
        <v>7.0</v>
      </c>
      <c r="N19" s="403" t="n">
        <f t="shared" si="2"/>
        <v>1.1666666666666667</v>
      </c>
      <c r="O19" s="401" t="n">
        <v>7.0</v>
      </c>
      <c r="P19" s="403" t="n">
        <f t="shared" si="3"/>
        <v>1.1666666666666667</v>
      </c>
      <c r="Q19" s="401" t="n">
        <v>7.0</v>
      </c>
      <c r="R19" s="403" t="n">
        <f t="shared" si="4"/>
        <v>1.1666666666666667</v>
      </c>
      <c r="S19" s="401" t="n">
        <v>6.0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0.0</v>
      </c>
      <c r="E20" s="391" t="n">
        <v>0.0</v>
      </c>
      <c r="F20" s="392" t="n">
        <v>0.0</v>
      </c>
      <c r="G20" s="408" t="n">
        <v>0.0</v>
      </c>
      <c r="H20" s="409" t="n">
        <v>0.0</v>
      </c>
      <c r="I20" s="409" t="n">
        <v>0.0</v>
      </c>
      <c r="J20" s="410" t="str">
        <f t="shared" si="0"/>
        <v>－</v>
      </c>
      <c r="K20" s="408" t="n">
        <v>0.0</v>
      </c>
      <c r="L20" s="411" t="str">
        <f t="shared" si="1"/>
        <v>－</v>
      </c>
      <c r="M20" s="408" t="n">
        <v>0.0</v>
      </c>
      <c r="N20" s="411" t="str">
        <f t="shared" si="2"/>
        <v>－</v>
      </c>
      <c r="O20" s="408" t="n">
        <v>0.0</v>
      </c>
      <c r="P20" s="411" t="str">
        <f t="shared" si="3"/>
        <v>－</v>
      </c>
      <c r="Q20" s="408" t="n">
        <v>0.0</v>
      </c>
      <c r="R20" s="411" t="str">
        <f t="shared" si="4"/>
        <v>－</v>
      </c>
      <c r="S20" s="408" t="n">
        <v>0.0</v>
      </c>
      <c r="T20" s="403" t="str">
        <f t="shared" si="5"/>
        <v>－</v>
      </c>
    </row>
    <row r="21" spans="1:20">
      <c r="A21" s="19"/>
      <c r="B21" s="1056"/>
      <c r="C21" s="389" t="s">
        <v>19</v>
      </c>
      <c r="D21" s="404" t="n">
        <v>0.0</v>
      </c>
      <c r="E21" s="405" t="n">
        <v>0.0</v>
      </c>
      <c r="F21" s="406" t="n">
        <v>0.0</v>
      </c>
      <c r="G21" s="407" t="n">
        <v>0.0</v>
      </c>
      <c r="H21" s="405" t="n">
        <v>0.0</v>
      </c>
      <c r="I21" s="405" t="n">
        <v>0.0</v>
      </c>
      <c r="J21" s="402" t="str">
        <f t="shared" si="0"/>
        <v>－</v>
      </c>
      <c r="K21" s="407" t="n">
        <v>0.0</v>
      </c>
      <c r="L21" s="403" t="str">
        <f t="shared" si="1"/>
        <v>－</v>
      </c>
      <c r="M21" s="407" t="n">
        <v>0.0</v>
      </c>
      <c r="N21" s="403" t="str">
        <f t="shared" si="2"/>
        <v>－</v>
      </c>
      <c r="O21" s="407" t="n">
        <v>0.0</v>
      </c>
      <c r="P21" s="403" t="str">
        <f t="shared" si="3"/>
        <v>－</v>
      </c>
      <c r="Q21" s="407" t="n">
        <v>0.0</v>
      </c>
      <c r="R21" s="403" t="str">
        <f t="shared" si="4"/>
        <v>－</v>
      </c>
      <c r="S21" s="407" t="n">
        <v>0.0</v>
      </c>
      <c r="T21" s="403" t="str">
        <f t="shared" si="5"/>
        <v>－</v>
      </c>
    </row>
    <row r="22" spans="1:20">
      <c r="A22" s="19"/>
      <c r="B22" s="753"/>
      <c r="C22" s="389" t="s">
        <v>17</v>
      </c>
      <c r="D22" s="390" t="n">
        <v>0.0</v>
      </c>
      <c r="E22" s="391" t="n">
        <v>0.0</v>
      </c>
      <c r="F22" s="392" t="n">
        <v>0.0</v>
      </c>
      <c r="G22" s="401" t="n">
        <v>0.0</v>
      </c>
      <c r="H22" s="391" t="n">
        <v>0.0</v>
      </c>
      <c r="I22" s="391" t="n">
        <v>0.0</v>
      </c>
      <c r="J22" s="402" t="str">
        <f t="shared" si="0"/>
        <v>－</v>
      </c>
      <c r="K22" s="401" t="n">
        <v>0.0</v>
      </c>
      <c r="L22" s="403" t="str">
        <f t="shared" si="1"/>
        <v>－</v>
      </c>
      <c r="M22" s="401" t="n">
        <v>0.0</v>
      </c>
      <c r="N22" s="403" t="str">
        <f t="shared" si="2"/>
        <v>－</v>
      </c>
      <c r="O22" s="401" t="n">
        <v>0.0</v>
      </c>
      <c r="P22" s="403" t="str">
        <f t="shared" si="3"/>
        <v>－</v>
      </c>
      <c r="Q22" s="401" t="n">
        <v>0.0</v>
      </c>
      <c r="R22" s="403" t="str">
        <f t="shared" si="4"/>
        <v>－</v>
      </c>
      <c r="S22" s="401" t="n">
        <v>0.0</v>
      </c>
      <c r="T22" s="403" t="str">
        <f t="shared" si="5"/>
        <v>－</v>
      </c>
    </row>
    <row r="23" spans="1:20">
      <c r="A23" s="19"/>
      <c r="B23" s="1055" t="s">
        <v>22</v>
      </c>
      <c r="C23" s="389" t="s">
        <v>16</v>
      </c>
      <c r="D23" s="390" t="n">
        <v>126.852</v>
      </c>
      <c r="E23" s="391" t="n">
        <v>132.36599999999999</v>
      </c>
      <c r="F23" s="392" t="n">
        <v>56.16</v>
      </c>
      <c r="G23" s="408" t="n">
        <v>122.0</v>
      </c>
      <c r="H23" s="409" t="n">
        <v>122.0</v>
      </c>
      <c r="I23" s="409" t="n">
        <v>122.0</v>
      </c>
      <c r="J23" s="410" t="n">
        <f t="shared" si="0"/>
        <v>2.1723646723646723</v>
      </c>
      <c r="K23" s="408" t="n">
        <v>122.0</v>
      </c>
      <c r="L23" s="411" t="n">
        <f t="shared" si="1"/>
        <v>2.1723646723646723</v>
      </c>
      <c r="M23" s="408" t="n">
        <v>122.0</v>
      </c>
      <c r="N23" s="411" t="n">
        <f t="shared" si="2"/>
        <v>2.1723646723646723</v>
      </c>
      <c r="O23" s="408" t="n">
        <v>122.0</v>
      </c>
      <c r="P23" s="411" t="n">
        <f t="shared" si="3"/>
        <v>2.1723646723646723</v>
      </c>
      <c r="Q23" s="408" t="n">
        <v>122.0</v>
      </c>
      <c r="R23" s="411" t="n">
        <f t="shared" si="4"/>
        <v>2.1723646723646723</v>
      </c>
      <c r="S23" s="408" t="n">
        <v>122.0</v>
      </c>
      <c r="T23" s="403" t="n">
        <f t="shared" si="5"/>
        <v>2.1723646723646723</v>
      </c>
    </row>
    <row r="24" spans="1:20">
      <c r="A24" s="19"/>
      <c r="B24" s="1059"/>
      <c r="C24" s="389" t="s">
        <v>17</v>
      </c>
      <c r="D24" s="390" t="n">
        <v>1.0</v>
      </c>
      <c r="E24" s="391" t="n">
        <v>1.0833333333333333</v>
      </c>
      <c r="F24" s="392" t="n">
        <v>1.0</v>
      </c>
      <c r="G24" s="401" t="n">
        <v>1.0</v>
      </c>
      <c r="H24" s="391" t="n">
        <v>1.0</v>
      </c>
      <c r="I24" s="391" t="n">
        <v>1.0</v>
      </c>
      <c r="J24" s="402" t="n">
        <f t="shared" si="0"/>
        <v>1.0</v>
      </c>
      <c r="K24" s="401" t="n">
        <v>1.0</v>
      </c>
      <c r="L24" s="403" t="n">
        <f t="shared" si="1"/>
        <v>1.0</v>
      </c>
      <c r="M24" s="401" t="n">
        <v>1.0</v>
      </c>
      <c r="N24" s="403" t="n">
        <f t="shared" si="2"/>
        <v>1.0</v>
      </c>
      <c r="O24" s="401" t="n">
        <v>1.0</v>
      </c>
      <c r="P24" s="403" t="n">
        <f t="shared" si="3"/>
        <v>1.0</v>
      </c>
      <c r="Q24" s="401" t="n">
        <v>1.0</v>
      </c>
      <c r="R24" s="403" t="n">
        <f t="shared" si="4"/>
        <v>1.0</v>
      </c>
      <c r="S24" s="401" t="n">
        <v>1.0</v>
      </c>
      <c r="T24" s="403" t="n">
        <f t="shared" si="5"/>
        <v>1.0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10597.307999999999</v>
      </c>
      <c r="E27" s="391" t="n">
        <v>11689.231</v>
      </c>
      <c r="F27" s="392" t="n">
        <v>13894.812</v>
      </c>
      <c r="G27" s="408" t="n">
        <v>14927.0</v>
      </c>
      <c r="H27" s="409" t="n">
        <v>15390.0</v>
      </c>
      <c r="I27" s="409" t="n">
        <v>15390.0</v>
      </c>
      <c r="J27" s="410" t="n">
        <f t="shared" ref="J27:J46" si="6">IFERROR(SUM(G27:I27)/3/F27,"－")</f>
        <v>1.0965003820610646</v>
      </c>
      <c r="K27" s="408" t="n">
        <v>15390.0</v>
      </c>
      <c r="L27" s="411" t="n">
        <f t="shared" ref="L27:L47" si="7">IFERROR(K27/F27,"－")</f>
        <v>1.1076076452131918</v>
      </c>
      <c r="M27" s="408" t="n">
        <v>16567.0</v>
      </c>
      <c r="N27" s="411" t="n">
        <f t="shared" si="2"/>
        <v>1.1923155203539277</v>
      </c>
      <c r="O27" s="408" t="n">
        <v>17282.0</v>
      </c>
      <c r="P27" s="411" t="n">
        <f t="shared" si="3"/>
        <v>1.2437735753459638</v>
      </c>
      <c r="Q27" s="408" t="n">
        <v>16567.0</v>
      </c>
      <c r="R27" s="411" t="n">
        <f t="shared" si="4"/>
        <v>1.1923155203539277</v>
      </c>
      <c r="S27" s="408" t="n">
        <v>15390.0</v>
      </c>
      <c r="T27" s="403" t="n">
        <f t="shared" si="5"/>
        <v>1.1076076452131918</v>
      </c>
    </row>
    <row r="28" spans="1:20">
      <c r="A28" s="19"/>
      <c r="B28" s="1059"/>
      <c r="C28" s="389" t="s">
        <v>17</v>
      </c>
      <c r="D28" s="390" t="n">
        <v>22.833333333333332</v>
      </c>
      <c r="E28" s="391" t="n">
        <v>27.333333333333332</v>
      </c>
      <c r="F28" s="392" t="n">
        <v>37.0</v>
      </c>
      <c r="G28" s="401" t="n">
        <v>40.0</v>
      </c>
      <c r="H28" s="391" t="n">
        <v>41.0</v>
      </c>
      <c r="I28" s="391" t="n">
        <v>41.0</v>
      </c>
      <c r="J28" s="402" t="n">
        <f t="shared" si="6"/>
        <v>1.099099099099099</v>
      </c>
      <c r="K28" s="401" t="n">
        <v>41.0</v>
      </c>
      <c r="L28" s="403" t="n">
        <f t="shared" si="7"/>
        <v>1.1081081081081081</v>
      </c>
      <c r="M28" s="401" t="n">
        <v>44.0</v>
      </c>
      <c r="N28" s="403" t="n">
        <f t="shared" si="2"/>
        <v>1.1891891891891893</v>
      </c>
      <c r="O28" s="401" t="n">
        <v>46.0</v>
      </c>
      <c r="P28" s="403" t="n">
        <f t="shared" si="3"/>
        <v>1.2432432432432432</v>
      </c>
      <c r="Q28" s="401" t="n">
        <v>44.0</v>
      </c>
      <c r="R28" s="403" t="n">
        <f t="shared" si="4"/>
        <v>1.1891891891891893</v>
      </c>
      <c r="S28" s="401" t="n">
        <v>41.0</v>
      </c>
      <c r="T28" s="403" t="n">
        <f t="shared" si="5"/>
        <v>1.1081081081081081</v>
      </c>
    </row>
    <row r="29" spans="1:20">
      <c r="A29" s="19"/>
      <c r="B29" s="1055" t="s">
        <v>24</v>
      </c>
      <c r="C29" s="389" t="s">
        <v>16</v>
      </c>
      <c r="D29" s="390" t="n">
        <v>58.664</v>
      </c>
      <c r="E29" s="391" t="n">
        <v>292.945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0.6666666666666666</v>
      </c>
      <c r="E30" s="405" t="n">
        <v>3.4166666666666665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0.75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0.0</v>
      </c>
      <c r="E32" s="391" t="n">
        <v>50.005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0.0</v>
      </c>
      <c r="E33" s="405" t="n">
        <v>0.4166666666666667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0.0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4885.061</v>
      </c>
      <c r="E41" s="391" t="n">
        <v>6000.354</v>
      </c>
      <c r="F41" s="392" t="n">
        <v>6718.248</v>
      </c>
      <c r="G41" s="408" t="n">
        <v>7678.0</v>
      </c>
      <c r="H41" s="409" t="n">
        <v>7563.0</v>
      </c>
      <c r="I41" s="409" t="n">
        <v>7448.0</v>
      </c>
      <c r="J41" s="402" t="n">
        <f t="shared" si="6"/>
        <v>1.1257399250518887</v>
      </c>
      <c r="K41" s="408" t="n">
        <v>7552.0</v>
      </c>
      <c r="L41" s="403" t="n">
        <f t="shared" si="7"/>
        <v>1.1241025934142355</v>
      </c>
      <c r="M41" s="408" t="n">
        <v>7983.0</v>
      </c>
      <c r="N41" s="403" t="n">
        <f t="shared" si="2"/>
        <v>1.1882562239440997</v>
      </c>
      <c r="O41" s="408" t="n">
        <v>8308.0</v>
      </c>
      <c r="P41" s="403" t="n">
        <f t="shared" si="3"/>
        <v>1.2366319314202157</v>
      </c>
      <c r="Q41" s="408" t="n">
        <v>8203.0</v>
      </c>
      <c r="R41" s="403" t="n">
        <f t="shared" si="4"/>
        <v>1.2210028566971627</v>
      </c>
      <c r="S41" s="408" t="n">
        <v>7563.0</v>
      </c>
      <c r="T41" s="403" t="n">
        <f t="shared" si="5"/>
        <v>1.1257399250518887</v>
      </c>
    </row>
    <row r="42" spans="1:20">
      <c r="A42" s="19"/>
      <c r="B42" s="1059"/>
      <c r="C42" s="389" t="s">
        <v>17</v>
      </c>
      <c r="D42" s="390" t="n">
        <v>50.25</v>
      </c>
      <c r="E42" s="391" t="n">
        <v>55.833333333333336</v>
      </c>
      <c r="F42" s="392" t="n">
        <v>66.0</v>
      </c>
      <c r="G42" s="401" t="n">
        <v>71.0</v>
      </c>
      <c r="H42" s="391" t="n">
        <v>70.0</v>
      </c>
      <c r="I42" s="391" t="n">
        <v>69.0</v>
      </c>
      <c r="J42" s="402" t="n">
        <f t="shared" si="6"/>
        <v>1.0606060606060606</v>
      </c>
      <c r="K42" s="401" t="n">
        <v>70.0</v>
      </c>
      <c r="L42" s="403" t="n">
        <f t="shared" si="7"/>
        <v>1.0606060606060606</v>
      </c>
      <c r="M42" s="401" t="n">
        <v>74.0</v>
      </c>
      <c r="N42" s="403" t="n">
        <f t="shared" si="2"/>
        <v>1.121212121212121</v>
      </c>
      <c r="O42" s="401" t="n">
        <v>77.0</v>
      </c>
      <c r="P42" s="403" t="n">
        <f t="shared" si="3"/>
        <v>1.1666666666666667</v>
      </c>
      <c r="Q42" s="401" t="n">
        <v>76.0</v>
      </c>
      <c r="R42" s="403" t="n">
        <f t="shared" si="4"/>
        <v>1.1515151515151516</v>
      </c>
      <c r="S42" s="401" t="n">
        <v>70.0</v>
      </c>
      <c r="T42" s="403" t="n">
        <f t="shared" si="5"/>
        <v>1.0606060606060606</v>
      </c>
    </row>
    <row r="43" spans="1:20">
      <c r="A43" s="19"/>
      <c r="B43" s="1055" t="s">
        <v>29</v>
      </c>
      <c r="C43" s="389" t="s">
        <v>16</v>
      </c>
      <c r="D43" s="390" t="n">
        <v>334.521</v>
      </c>
      <c r="E43" s="391" t="n">
        <v>484.058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1.0</v>
      </c>
      <c r="E44" s="391" t="n">
        <v>1.4166666666666667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1470.629</v>
      </c>
      <c r="E45" s="391" t="n">
        <v>876.751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1.0833333333333333</v>
      </c>
      <c r="E46" s="391" t="n">
        <v>0.9166666666666666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6632.188</v>
      </c>
      <c r="E53" s="391" t="n">
        <v>7288.138</v>
      </c>
      <c r="F53" s="392" t="n">
        <v>7918.344</v>
      </c>
      <c r="G53" s="408" t="n">
        <v>7750.0</v>
      </c>
      <c r="H53" s="409" t="n">
        <v>8773.0</v>
      </c>
      <c r="I53" s="409" t="n">
        <v>8773.0</v>
      </c>
      <c r="J53" s="410" t="n">
        <f t="shared" si="8"/>
        <v>1.06486911909864</v>
      </c>
      <c r="K53" s="408" t="n">
        <v>8773.0</v>
      </c>
      <c r="L53" s="411" t="n">
        <f t="shared" si="9"/>
        <v>1.1079336790621876</v>
      </c>
      <c r="M53" s="408" t="n">
        <v>8773.0</v>
      </c>
      <c r="N53" s="411" t="n">
        <f t="shared" si="2"/>
        <v>1.1079336790621876</v>
      </c>
      <c r="O53" s="408" t="n">
        <v>9796.0</v>
      </c>
      <c r="P53" s="411" t="n">
        <f t="shared" si="3"/>
        <v>1.2371273589528315</v>
      </c>
      <c r="Q53" s="408" t="n">
        <v>8773.0</v>
      </c>
      <c r="R53" s="411" t="n">
        <f t="shared" si="4"/>
        <v>1.1079336790621876</v>
      </c>
      <c r="S53" s="408" t="n">
        <v>8773.0</v>
      </c>
      <c r="T53" s="403" t="n">
        <f t="shared" si="10"/>
        <v>1.1079336790621876</v>
      </c>
    </row>
    <row r="54" spans="1:20">
      <c r="A54" s="19"/>
      <c r="B54" s="1059"/>
      <c r="C54" s="389" t="s">
        <v>17</v>
      </c>
      <c r="D54" s="390" t="n">
        <v>7.333333333333333</v>
      </c>
      <c r="E54" s="391" t="n">
        <v>7.583333333333333</v>
      </c>
      <c r="F54" s="392" t="n">
        <v>8.0</v>
      </c>
      <c r="G54" s="401" t="n">
        <v>8.0</v>
      </c>
      <c r="H54" s="391" t="n">
        <v>9.0</v>
      </c>
      <c r="I54" s="391" t="n">
        <v>9.0</v>
      </c>
      <c r="J54" s="402" t="n">
        <f t="shared" si="8"/>
        <v>1.0833333333333333</v>
      </c>
      <c r="K54" s="401" t="n">
        <v>9.0</v>
      </c>
      <c r="L54" s="403" t="n">
        <f t="shared" si="9"/>
        <v>1.125</v>
      </c>
      <c r="M54" s="401" t="n">
        <v>9.0</v>
      </c>
      <c r="N54" s="403" t="n">
        <f t="shared" si="2"/>
        <v>1.125</v>
      </c>
      <c r="O54" s="401" t="n">
        <v>10.0</v>
      </c>
      <c r="P54" s="403" t="n">
        <f t="shared" si="3"/>
        <v>1.25</v>
      </c>
      <c r="Q54" s="401" t="n">
        <v>9.0</v>
      </c>
      <c r="R54" s="403" t="n">
        <f t="shared" si="4"/>
        <v>1.125</v>
      </c>
      <c r="S54" s="401" t="n">
        <v>9.0</v>
      </c>
      <c r="T54" s="403" t="n">
        <f t="shared" si="10"/>
        <v>1.125</v>
      </c>
    </row>
    <row r="55" spans="1:20">
      <c r="A55" s="19"/>
      <c r="B55" s="1060" t="s">
        <v>35</v>
      </c>
      <c r="C55" s="389" t="s">
        <v>16</v>
      </c>
      <c r="D55" s="390" t="n">
        <v>8402.31</v>
      </c>
      <c r="E55" s="391" t="n">
        <v>3343.368</v>
      </c>
      <c r="F55" s="392" t="n">
        <v>2919.564</v>
      </c>
      <c r="G55" s="408" t="n">
        <v>2866.0</v>
      </c>
      <c r="H55" s="409" t="n">
        <v>2866.0</v>
      </c>
      <c r="I55" s="409" t="n">
        <v>2866.0</v>
      </c>
      <c r="J55" s="410" t="n">
        <f t="shared" si="8"/>
        <v>0.9816534249634535</v>
      </c>
      <c r="K55" s="408" t="n">
        <v>2866.0</v>
      </c>
      <c r="L55" s="411" t="n">
        <f t="shared" si="9"/>
        <v>0.9816534249634535</v>
      </c>
      <c r="M55" s="408" t="n">
        <v>2866.0</v>
      </c>
      <c r="N55" s="411" t="n">
        <f t="shared" si="2"/>
        <v>0.9816534249634535</v>
      </c>
      <c r="O55" s="408" t="n">
        <v>2866.0</v>
      </c>
      <c r="P55" s="411" t="n">
        <f t="shared" si="3"/>
        <v>0.9816534249634535</v>
      </c>
      <c r="Q55" s="408" t="n">
        <v>2866.0</v>
      </c>
      <c r="R55" s="411" t="n">
        <f t="shared" si="4"/>
        <v>0.9816534249634535</v>
      </c>
      <c r="S55" s="408" t="n">
        <v>2866.0</v>
      </c>
      <c r="T55" s="403" t="n">
        <f t="shared" si="10"/>
        <v>0.9816534249634535</v>
      </c>
    </row>
    <row r="56" spans="1:20" ht="14.25" thickBot="1">
      <c r="A56" s="19"/>
      <c r="B56" s="1062"/>
      <c r="C56" s="389" t="s">
        <v>17</v>
      </c>
      <c r="D56" s="438" t="n">
        <v>2.9166666666666665</v>
      </c>
      <c r="E56" s="427" t="n">
        <v>1.1666666666666667</v>
      </c>
      <c r="F56" s="439" t="n">
        <v>1.0</v>
      </c>
      <c r="G56" s="426" t="n">
        <v>1.0</v>
      </c>
      <c r="H56" s="427" t="n">
        <v>1.0</v>
      </c>
      <c r="I56" s="427" t="n">
        <v>1.0</v>
      </c>
      <c r="J56" s="428" t="n">
        <f t="shared" si="8"/>
        <v>1.0</v>
      </c>
      <c r="K56" s="426" t="n">
        <v>1.0</v>
      </c>
      <c r="L56" s="429" t="n">
        <f t="shared" si="9"/>
        <v>1.0</v>
      </c>
      <c r="M56" s="426" t="n">
        <v>1.0</v>
      </c>
      <c r="N56" s="429" t="n">
        <f t="shared" si="2"/>
        <v>1.0</v>
      </c>
      <c r="O56" s="426" t="n">
        <v>1.0</v>
      </c>
      <c r="P56" s="429" t="n">
        <f t="shared" si="3"/>
        <v>1.0</v>
      </c>
      <c r="Q56" s="426" t="n">
        <v>1.0</v>
      </c>
      <c r="R56" s="429" t="n">
        <f t="shared" si="4"/>
        <v>1.0</v>
      </c>
      <c r="S56" s="426" t="n">
        <v>1.0</v>
      </c>
      <c r="T56" s="429" t="n">
        <f t="shared" ref="T56:T61" si="11">IFERROR(S56/F56,"－")</f>
        <v>1.0</v>
      </c>
    </row>
    <row r="57" spans="1:20">
      <c r="A57" s="20" t="s">
        <v>111</v>
      </c>
      <c r="B57" s="440"/>
      <c r="C57" s="441" t="s">
        <v>16</v>
      </c>
      <c r="D57" s="442" t="n">
        <v>3606.12</v>
      </c>
      <c r="E57" s="443" t="n">
        <v>4146.198</v>
      </c>
      <c r="F57" s="444" t="n">
        <v>5011.224</v>
      </c>
      <c r="G57" s="445" t="n">
        <v>5453.0</v>
      </c>
      <c r="H57" s="446" t="n">
        <v>5453.0</v>
      </c>
      <c r="I57" s="446" t="n">
        <v>5562.0</v>
      </c>
      <c r="J57" s="447" t="n">
        <f t="shared" si="8"/>
        <v>1.0954076954718712</v>
      </c>
      <c r="K57" s="445" t="n">
        <v>5617.0</v>
      </c>
      <c r="L57" s="448" t="n">
        <f t="shared" si="9"/>
        <v>1.1208838399560666</v>
      </c>
      <c r="M57" s="445" t="n">
        <v>5944.0</v>
      </c>
      <c r="N57" s="448" t="n">
        <f t="shared" si="2"/>
        <v>1.1861373588568382</v>
      </c>
      <c r="O57" s="445" t="n">
        <v>6162.0</v>
      </c>
      <c r="P57" s="448" t="n">
        <f t="shared" si="3"/>
        <v>1.2296397047906857</v>
      </c>
      <c r="Q57" s="445" t="n">
        <v>6053.0</v>
      </c>
      <c r="R57" s="448" t="n">
        <f t="shared" si="4"/>
        <v>1.207888531823762</v>
      </c>
      <c r="S57" s="445" t="n">
        <v>5617.0</v>
      </c>
      <c r="T57" s="448" t="n">
        <f t="shared" si="11"/>
        <v>1.1208838399560666</v>
      </c>
    </row>
    <row r="58" spans="1:20" ht="14.25" thickBot="1">
      <c r="A58" s="21"/>
      <c r="B58" s="449"/>
      <c r="C58" s="450" t="s">
        <v>17</v>
      </c>
      <c r="D58" s="451" t="n">
        <v>67.0</v>
      </c>
      <c r="E58" s="452" t="n">
        <v>76.08333333333333</v>
      </c>
      <c r="F58" s="453" t="n">
        <v>92.0</v>
      </c>
      <c r="G58" s="454" t="n">
        <v>100.0</v>
      </c>
      <c r="H58" s="452" t="n">
        <v>100.0</v>
      </c>
      <c r="I58" s="452" t="n">
        <v>102.0</v>
      </c>
      <c r="J58" s="455" t="n">
        <f t="shared" si="8"/>
        <v>1.0942028985507246</v>
      </c>
      <c r="K58" s="454" t="n">
        <v>103.0</v>
      </c>
      <c r="L58" s="456" t="n">
        <f t="shared" si="9"/>
        <v>1.1195652173913044</v>
      </c>
      <c r="M58" s="454" t="n">
        <v>109.0</v>
      </c>
      <c r="N58" s="456" t="n">
        <f t="shared" si="2"/>
        <v>1.184782608695652</v>
      </c>
      <c r="O58" s="454" t="n">
        <v>113.0</v>
      </c>
      <c r="P58" s="456" t="n">
        <f t="shared" si="3"/>
        <v>1.2282608695652173</v>
      </c>
      <c r="Q58" s="454" t="n">
        <v>111.0</v>
      </c>
      <c r="R58" s="456" t="n">
        <f t="shared" si="4"/>
        <v>1.2065217391304348</v>
      </c>
      <c r="S58" s="454" t="n">
        <v>103.0</v>
      </c>
      <c r="T58" s="456" t="n">
        <f t="shared" si="11"/>
        <v>1.1195652173913044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37986.081000000006</v>
      </c>
      <c r="E61" s="460" t="n">
        <f>IF(ISERROR(SUM(E12,E14,E17,E20,E23,E25,E27,E29,E32,E35,E38,E41,E43,E45,E47,E50,E53,E55,E57)),0,(SUM(E12,E14,E17,E20,E23,E25,E27,E29,E32,E35,E38,E41,E43,E45,E47,E50,E53,E55,E57)))</f>
        <v>36517.292</v>
      </c>
      <c r="F61" s="461" t="n">
        <f>IF(ISERROR(SUM(F12,F14,F17,F20,F23,F25,F27,F29,F32,F35,F38,F41,F43,F45,F47,F50,F53,F55,F57)),0,(SUM(F12,F14,F17,F20,F23,F25,F27,F29,F32,F35,F38,F41,F43,F45,F47,F50,F53,F55,F57)))</f>
        <v>36730.9776</v>
      </c>
      <c r="G61" s="462" t="n">
        <f>IF(ISERROR(SUM(G12,G14,G17,G20,G23,G25,G27,G29,G32,G35,G38,G41,G43,G45,G47,G50,G53,G55,G57)),0,(SUM(G12,G14,G17,G20,G23,G25,G27,G29,G32,G35,G38,G41,G43,G45,G47,G50,G53,G55,G57)))</f>
        <v>35451.0</v>
      </c>
      <c r="H61" s="460" t="n">
        <f>IF(ISERROR(SUM(H12,H14,H17,H20,H23,H25,H27,H29,H32,H35,H38,H41,H43,H45,H47,H50,H53,H55,H57,H59)),0,(SUM(H12,H14,H17,H20,H23,H25,H27,H29,H32,H35,H38,H41,H43,H45,H47,H50,H53,H55,H57,H59)))</f>
        <v>36822.0</v>
      </c>
      <c r="I61" s="460" t="n">
        <f>IF(ISERROR(SUM(I12,I14,I17,I20,I23,I25,I27,I29,I32,I35,I38,I41,I43,I45,I47,I50,I53,I55,I57,I59)),0,(SUM(I12,I14,I17,I20,I23,I25,I27,I29,I32,I35,I38,I41,I43,I45,I47,I50,I53,I55,I57,I59)))</f>
        <v>36816.0</v>
      </c>
      <c r="J61" s="463" t="n">
        <f t="shared" si="8"/>
        <v>0.9899818185073299</v>
      </c>
      <c r="K61" s="462" t="n">
        <f>IF(ISERROR(SUM(K12,K14,K17,K20,K23,K25,K27,K29,K32,K35,K38,K41,K43,K45,K47,K50,K53,K55,K57,K59)),0,(SUM(K12,K14,K17,K20,K23,K25,K27,K29,K32,K35,K38,K41,K43,K45,K47,K50,K53,K55,K57,K59)))</f>
        <v>36975.0</v>
      </c>
      <c r="L61" s="464" t="n">
        <f t="shared" si="9"/>
        <v>1.006643504092306</v>
      </c>
      <c r="M61" s="462" t="n">
        <f>IF(ISERROR(SUM(M12,M14,M17,M20,M23,M25,M27,M29,M32,M35,M38,M41,M43,M45,M47,M50,M53,M55,M57,M59)),0,(SUM(M12,M14,M17,M20,M23,M25,M27,M29,M32,M35,M38,M41,M43,M45,M47,M50,M53,M55,M57,M59)))</f>
        <v>38025.0</v>
      </c>
      <c r="N61" s="464" t="n">
        <f t="shared" si="2"/>
        <v>1.0352297293606474</v>
      </c>
      <c r="O61" s="462" t="n">
        <f>IF(ISERROR(SUM(O12,O14,O17,O20,O23,O25,O27,O29,O32,O35,O38,O41,O43,O45,O47,O50,O53,O55,O57,O59)),0,(SUM(O12,O14,O17,O20,O23,O25,O27,O29,O32,O35,O38,O41,O43,O45,O47,O50,O53,O55,O57,O59)))</f>
        <v>40306.0</v>
      </c>
      <c r="P61" s="464" t="n">
        <f t="shared" si="3"/>
        <v>1.0973299006340633</v>
      </c>
      <c r="Q61" s="462" t="n">
        <f>IF(ISERROR(SUM(Q12,Q14,Q17,Q20,Q23,Q25,Q27,Q29,Q32,Q35,Q38,Q41,Q43,Q45,Q47,Q50,Q53,Q55,Q57,Q59)),0,(SUM(Q12,Q14,Q17,Q20,Q23,Q25,Q27,Q29,Q32,Q35,Q38,Q41,Q43,Q45,Q47,Q50,Q53,Q55,Q57,Q59)))</f>
        <v>38354.0</v>
      </c>
      <c r="R61" s="464" t="n">
        <f t="shared" si="4"/>
        <v>1.0441867466113943</v>
      </c>
      <c r="S61" s="462" t="n">
        <f>IF(ISERROR(SUM(S12,S14,S17,S20,S23,S25,S27,S29,S32,S35,S38,S41,S43,S45,S47,S50,S53,S55,S57,S59)),0,(SUM(S12,S14,S17,S20,S23,S25,S27,S29,S32,S35,S38,S41,S43,S45,S47,S50,S53,S55,S57,S59)))</f>
        <v>36986.0</v>
      </c>
      <c r="T61" s="464" t="n">
        <f t="shared" si="11"/>
        <v>1.0069429788332125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32837.418</v>
      </c>
      <c r="E68" s="409" t="n">
        <v>29747.385</v>
      </c>
      <c r="F68" s="473" t="n">
        <v>45552.7308</v>
      </c>
      <c r="G68" s="408" t="n">
        <v>44654.0</v>
      </c>
      <c r="H68" s="409" t="n">
        <v>46473.0</v>
      </c>
      <c r="I68" s="474" t="n">
        <v>45736.0</v>
      </c>
      <c r="J68" s="410" t="n">
        <f t="shared" ref="J68:J101" si="17">IFERROR(SUM(G68:I68)/3/F68,"－")</f>
        <v>1.0014986851238346</v>
      </c>
      <c r="K68" s="408" t="n">
        <v>45736.0</v>
      </c>
      <c r="L68" s="411" t="n">
        <f t="shared" ref="L68:L105" si="18">IFERROR(K68/F68,"－")</f>
        <v>1.0040232319068785</v>
      </c>
      <c r="M68" s="408" t="n">
        <v>45736.0</v>
      </c>
      <c r="N68" s="411" t="n">
        <f>IFERROR(M68/F68,"－")</f>
        <v>1.0040232319068785</v>
      </c>
      <c r="O68" s="408" t="n">
        <v>49300.0</v>
      </c>
      <c r="P68" s="411" t="n">
        <f>IFERROR(O68/F68,"－")</f>
        <v>1.082262229600514</v>
      </c>
      <c r="Q68" s="408" t="n">
        <v>49885.0</v>
      </c>
      <c r="R68" s="411" t="n">
        <f>IFERROR(Q68/F68,"－")</f>
        <v>1.095104489322954</v>
      </c>
      <c r="S68" s="408" t="n">
        <v>48581.0</v>
      </c>
      <c r="T68" s="411" t="n">
        <f>IFERROR(S68/F68,"－")</f>
        <v>1.0664783240613096</v>
      </c>
    </row>
    <row r="69" spans="1:20">
      <c r="A69" s="19"/>
      <c r="B69" s="1056"/>
      <c r="C69" s="389" t="s">
        <v>19</v>
      </c>
      <c r="D69" s="475" t="n">
        <v>993.8333333333334</v>
      </c>
      <c r="E69" s="476" t="n">
        <v>800.75</v>
      </c>
      <c r="F69" s="477" t="n">
        <v>1295.6</v>
      </c>
      <c r="G69" s="478" t="n">
        <v>1328.2</v>
      </c>
      <c r="H69" s="476" t="n">
        <v>1391.4</v>
      </c>
      <c r="I69" s="479" t="n">
        <v>1373.5</v>
      </c>
      <c r="J69" s="402" t="n">
        <f t="shared" si="17"/>
        <v>1.0530770814037256</v>
      </c>
      <c r="K69" s="478" t="n">
        <v>1373.5</v>
      </c>
      <c r="L69" s="403" t="n">
        <f t="shared" si="18"/>
        <v>1.0601265822784811</v>
      </c>
      <c r="M69" s="478" t="n">
        <v>1373.5</v>
      </c>
      <c r="N69" s="403" t="n">
        <f t="shared" ref="N69:N134" si="19">IFERROR(M69/F69,"－")</f>
        <v>1.0601265822784811</v>
      </c>
      <c r="O69" s="478" t="n">
        <v>1480.3</v>
      </c>
      <c r="P69" s="403" t="n">
        <f t="shared" ref="P69:P134" si="20">IFERROR(O69/F69,"－")</f>
        <v>1.1425594319234331</v>
      </c>
      <c r="Q69" s="478" t="n">
        <v>1497.1</v>
      </c>
      <c r="R69" s="403" t="n">
        <f t="shared" ref="R69:R134" si="21">IFERROR(Q69/F69,"－")</f>
        <v>1.1555263970361223</v>
      </c>
      <c r="S69" s="478" t="n">
        <v>1462.4</v>
      </c>
      <c r="T69" s="411" t="n">
        <f t="shared" ref="T69:T106" si="22">IFERROR(S69/F69,"－")</f>
        <v>1.1287434393331277</v>
      </c>
    </row>
    <row r="70" spans="1:20">
      <c r="A70" s="19"/>
      <c r="B70" s="753"/>
      <c r="C70" s="389" t="s">
        <v>17</v>
      </c>
      <c r="D70" s="472" t="n">
        <v>61.416666666666664</v>
      </c>
      <c r="E70" s="409" t="n">
        <v>51.25</v>
      </c>
      <c r="F70" s="473" t="n">
        <v>67.0</v>
      </c>
      <c r="G70" s="408" t="n">
        <v>64.0</v>
      </c>
      <c r="H70" s="409" t="n">
        <v>65.0</v>
      </c>
      <c r="I70" s="474" t="n">
        <v>64.0</v>
      </c>
      <c r="J70" s="402" t="n">
        <f t="shared" si="17"/>
        <v>0.9601990049751243</v>
      </c>
      <c r="K70" s="408" t="n">
        <v>64.0</v>
      </c>
      <c r="L70" s="403" t="n">
        <f t="shared" si="18"/>
        <v>0.9552238805970149</v>
      </c>
      <c r="M70" s="408" t="n">
        <v>64.0</v>
      </c>
      <c r="N70" s="403" t="n">
        <f t="shared" si="19"/>
        <v>0.9552238805970149</v>
      </c>
      <c r="O70" s="408" t="n">
        <v>69.0</v>
      </c>
      <c r="P70" s="403" t="n">
        <f t="shared" si="20"/>
        <v>1.0298507462686568</v>
      </c>
      <c r="Q70" s="408" t="n">
        <v>70.0</v>
      </c>
      <c r="R70" s="403" t="n">
        <f t="shared" si="21"/>
        <v>1.044776119402985</v>
      </c>
      <c r="S70" s="408" t="n">
        <v>67.0</v>
      </c>
      <c r="T70" s="411" t="n">
        <f t="shared" si="22"/>
        <v>1.0</v>
      </c>
    </row>
    <row r="71" spans="1:20">
      <c r="A71" s="19"/>
      <c r="B71" s="1055" t="s">
        <v>40</v>
      </c>
      <c r="C71" s="389" t="s">
        <v>16</v>
      </c>
      <c r="D71" s="472" t="n">
        <v>4283.467</v>
      </c>
      <c r="E71" s="409" t="n">
        <v>3170.417</v>
      </c>
      <c r="F71" s="473" t="n">
        <v>3239.8488</v>
      </c>
      <c r="G71" s="408" t="n">
        <v>3295.0</v>
      </c>
      <c r="H71" s="409" t="n">
        <v>3426.0</v>
      </c>
      <c r="I71" s="474" t="n">
        <v>3484.0</v>
      </c>
      <c r="J71" s="410" t="n">
        <f t="shared" si="17"/>
        <v>1.0499461168270157</v>
      </c>
      <c r="K71" s="408" t="n">
        <v>3484.0</v>
      </c>
      <c r="L71" s="411" t="n">
        <f t="shared" si="18"/>
        <v>1.07535882538716</v>
      </c>
      <c r="M71" s="408" t="n">
        <v>3484.0</v>
      </c>
      <c r="N71" s="411" t="n">
        <f t="shared" si="19"/>
        <v>1.07535882538716</v>
      </c>
      <c r="O71" s="408" t="n">
        <v>3484.0</v>
      </c>
      <c r="P71" s="411" t="n">
        <f t="shared" si="20"/>
        <v>1.07535882538716</v>
      </c>
      <c r="Q71" s="408" t="n">
        <v>3484.0</v>
      </c>
      <c r="R71" s="411" t="n">
        <f t="shared" si="21"/>
        <v>1.07535882538716</v>
      </c>
      <c r="S71" s="408" t="n">
        <v>3484.0</v>
      </c>
      <c r="T71" s="411" t="n">
        <f t="shared" si="22"/>
        <v>1.07535882538716</v>
      </c>
    </row>
    <row r="72" spans="1:20">
      <c r="A72" s="19"/>
      <c r="B72" s="1056"/>
      <c r="C72" s="389" t="s">
        <v>19</v>
      </c>
      <c r="D72" s="472" t="n">
        <v>29.083333333333332</v>
      </c>
      <c r="E72" s="409" t="n">
        <v>21.666666666666668</v>
      </c>
      <c r="F72" s="473" t="n">
        <v>22.1</v>
      </c>
      <c r="G72" s="478" t="n">
        <v>22.6</v>
      </c>
      <c r="H72" s="476" t="n">
        <v>23.5</v>
      </c>
      <c r="I72" s="479" t="n">
        <v>23.9</v>
      </c>
      <c r="J72" s="402" t="n">
        <f t="shared" si="17"/>
        <v>1.0558069381598791</v>
      </c>
      <c r="K72" s="478" t="n">
        <v>23.9</v>
      </c>
      <c r="L72" s="403" t="n">
        <f t="shared" si="18"/>
        <v>1.081447963800905</v>
      </c>
      <c r="M72" s="478" t="n">
        <v>23.9</v>
      </c>
      <c r="N72" s="403" t="n">
        <f t="shared" si="19"/>
        <v>1.081447963800905</v>
      </c>
      <c r="O72" s="478" t="n">
        <v>23.9</v>
      </c>
      <c r="P72" s="403" t="n">
        <f t="shared" si="20"/>
        <v>1.081447963800905</v>
      </c>
      <c r="Q72" s="478" t="n">
        <v>23.9</v>
      </c>
      <c r="R72" s="403" t="n">
        <f t="shared" si="21"/>
        <v>1.081447963800905</v>
      </c>
      <c r="S72" s="478" t="n">
        <v>23.9</v>
      </c>
      <c r="T72" s="411" t="n">
        <f t="shared" si="22"/>
        <v>1.081447963800905</v>
      </c>
    </row>
    <row r="73" spans="1:20">
      <c r="A73" s="19"/>
      <c r="B73" s="753"/>
      <c r="C73" s="389" t="s">
        <v>17</v>
      </c>
      <c r="D73" s="472" t="n">
        <v>7.416666666666667</v>
      </c>
      <c r="E73" s="409" t="n">
        <v>5.75</v>
      </c>
      <c r="F73" s="473" t="n">
        <v>5.0</v>
      </c>
      <c r="G73" s="408" t="n">
        <v>5.0</v>
      </c>
      <c r="H73" s="409" t="n">
        <v>5.0</v>
      </c>
      <c r="I73" s="474" t="n">
        <v>5.0</v>
      </c>
      <c r="J73" s="402" t="n">
        <f t="shared" si="17"/>
        <v>1.0</v>
      </c>
      <c r="K73" s="408" t="n">
        <v>5.0</v>
      </c>
      <c r="L73" s="403" t="n">
        <f t="shared" si="18"/>
        <v>1.0</v>
      </c>
      <c r="M73" s="408" t="n">
        <v>5.0</v>
      </c>
      <c r="N73" s="403" t="n">
        <f t="shared" si="19"/>
        <v>1.0</v>
      </c>
      <c r="O73" s="408" t="n">
        <v>5.0</v>
      </c>
      <c r="P73" s="403" t="n">
        <f t="shared" si="20"/>
        <v>1.0</v>
      </c>
      <c r="Q73" s="408" t="n">
        <v>5.0</v>
      </c>
      <c r="R73" s="403" t="n">
        <f t="shared" si="21"/>
        <v>1.0</v>
      </c>
      <c r="S73" s="408" t="n">
        <v>5.0</v>
      </c>
      <c r="T73" s="411" t="n">
        <f t="shared" si="22"/>
        <v>1.0</v>
      </c>
    </row>
    <row r="74" spans="1:20">
      <c r="A74" s="19"/>
      <c r="B74" s="1055" t="s">
        <v>41</v>
      </c>
      <c r="C74" s="389" t="s">
        <v>16</v>
      </c>
      <c r="D74" s="472" t="n">
        <v>19136.972</v>
      </c>
      <c r="E74" s="409" t="n">
        <v>20187.627</v>
      </c>
      <c r="F74" s="473" t="n">
        <v>20605.1124</v>
      </c>
      <c r="G74" s="408" t="n">
        <v>20435.0</v>
      </c>
      <c r="H74" s="409" t="n">
        <v>20180.0</v>
      </c>
      <c r="I74" s="474" t="n">
        <v>20180.0</v>
      </c>
      <c r="J74" s="410" t="n">
        <f t="shared" si="17"/>
        <v>0.9834937857461044</v>
      </c>
      <c r="K74" s="408" t="n">
        <v>19840.0</v>
      </c>
      <c r="L74" s="411" t="n">
        <f t="shared" si="18"/>
        <v>0.9628678366248562</v>
      </c>
      <c r="M74" s="408" t="n">
        <v>19840.0</v>
      </c>
      <c r="N74" s="411" t="n">
        <f t="shared" si="19"/>
        <v>0.9628678366248562</v>
      </c>
      <c r="O74" s="408" t="n">
        <v>21753.0</v>
      </c>
      <c r="P74" s="411" t="n">
        <f t="shared" si="20"/>
        <v>1.0557088734929685</v>
      </c>
      <c r="Q74" s="408" t="n">
        <v>22093.0</v>
      </c>
      <c r="R74" s="411" t="n">
        <f t="shared" si="21"/>
        <v>1.072209632789967</v>
      </c>
      <c r="S74" s="408" t="n">
        <v>21317.0</v>
      </c>
      <c r="T74" s="411" t="n">
        <f t="shared" si="22"/>
        <v>1.0345490762768175</v>
      </c>
    </row>
    <row r="75" spans="1:20">
      <c r="A75" s="19"/>
      <c r="B75" s="1056"/>
      <c r="C75" s="389" t="s">
        <v>19</v>
      </c>
      <c r="D75" s="475" t="n">
        <v>265.5833333333333</v>
      </c>
      <c r="E75" s="476" t="n">
        <v>281.0833333333333</v>
      </c>
      <c r="F75" s="477" t="n">
        <v>286.3</v>
      </c>
      <c r="G75" s="478" t="n">
        <v>289.5</v>
      </c>
      <c r="H75" s="476" t="n">
        <v>286.5</v>
      </c>
      <c r="I75" s="479" t="n">
        <v>286.5</v>
      </c>
      <c r="J75" s="402" t="n">
        <f t="shared" si="17"/>
        <v>1.0041914076143905</v>
      </c>
      <c r="K75" s="478" t="n">
        <v>282.4</v>
      </c>
      <c r="L75" s="403" t="n">
        <f t="shared" si="18"/>
        <v>0.9863779252532308</v>
      </c>
      <c r="M75" s="478" t="n">
        <v>282.4</v>
      </c>
      <c r="N75" s="403" t="n">
        <f t="shared" si="19"/>
        <v>0.9863779252532308</v>
      </c>
      <c r="O75" s="478" t="n">
        <v>309.8</v>
      </c>
      <c r="P75" s="403" t="n">
        <f t="shared" si="20"/>
        <v>1.0820817324484806</v>
      </c>
      <c r="Q75" s="478" t="n">
        <v>313.9</v>
      </c>
      <c r="R75" s="403" t="n">
        <f t="shared" si="21"/>
        <v>1.0964023751309813</v>
      </c>
      <c r="S75" s="478" t="n">
        <v>302.5</v>
      </c>
      <c r="T75" s="411" t="n">
        <f t="shared" si="22"/>
        <v>1.0565840027942717</v>
      </c>
    </row>
    <row r="76" spans="1:20">
      <c r="A76" s="19"/>
      <c r="B76" s="753"/>
      <c r="C76" s="389" t="s">
        <v>17</v>
      </c>
      <c r="D76" s="472" t="n">
        <v>36.666666666666664</v>
      </c>
      <c r="E76" s="409" t="n">
        <v>39.583333333333336</v>
      </c>
      <c r="F76" s="473" t="n">
        <v>46.0</v>
      </c>
      <c r="G76" s="408" t="n">
        <v>48.0</v>
      </c>
      <c r="H76" s="409" t="n">
        <v>48.0</v>
      </c>
      <c r="I76" s="474" t="n">
        <v>48.0</v>
      </c>
      <c r="J76" s="402" t="n">
        <f t="shared" si="17"/>
        <v>1.0434782608695652</v>
      </c>
      <c r="K76" s="408" t="n">
        <v>47.0</v>
      </c>
      <c r="L76" s="403" t="n">
        <f t="shared" si="18"/>
        <v>1.0217391304347827</v>
      </c>
      <c r="M76" s="408" t="n">
        <v>47.0</v>
      </c>
      <c r="N76" s="403" t="n">
        <f t="shared" si="19"/>
        <v>1.0217391304347827</v>
      </c>
      <c r="O76" s="408" t="n">
        <v>52.0</v>
      </c>
      <c r="P76" s="403" t="n">
        <f t="shared" si="20"/>
        <v>1.1304347826086956</v>
      </c>
      <c r="Q76" s="408" t="n">
        <v>53.0</v>
      </c>
      <c r="R76" s="403" t="n">
        <f t="shared" si="21"/>
        <v>1.1521739130434783</v>
      </c>
      <c r="S76" s="408" t="n">
        <v>51.0</v>
      </c>
      <c r="T76" s="411" t="n">
        <f t="shared" si="22"/>
        <v>1.108695652173913</v>
      </c>
    </row>
    <row r="77" spans="1:20">
      <c r="A77" s="19"/>
      <c r="B77" s="1055" t="s">
        <v>42</v>
      </c>
      <c r="C77" s="389" t="s">
        <v>16</v>
      </c>
      <c r="D77" s="472" t="n">
        <v>0.0</v>
      </c>
      <c r="E77" s="409" t="n">
        <v>0.0</v>
      </c>
      <c r="F77" s="473" t="n">
        <v>0.0</v>
      </c>
      <c r="G77" s="408" t="n">
        <v>0.0</v>
      </c>
      <c r="H77" s="409" t="n">
        <v>0.0</v>
      </c>
      <c r="I77" s="474" t="n">
        <v>0.0</v>
      </c>
      <c r="J77" s="410" t="str">
        <f t="shared" si="17"/>
        <v>－</v>
      </c>
      <c r="K77" s="408" t="n">
        <v>0.0</v>
      </c>
      <c r="L77" s="411" t="str">
        <f t="shared" si="18"/>
        <v>－</v>
      </c>
      <c r="M77" s="408" t="n">
        <v>0.0</v>
      </c>
      <c r="N77" s="411" t="str">
        <f t="shared" si="19"/>
        <v>－</v>
      </c>
      <c r="O77" s="408" t="n">
        <v>0.0</v>
      </c>
      <c r="P77" s="411" t="str">
        <f t="shared" si="20"/>
        <v>－</v>
      </c>
      <c r="Q77" s="408" t="n">
        <v>0.0</v>
      </c>
      <c r="R77" s="411" t="str">
        <f t="shared" si="21"/>
        <v>－</v>
      </c>
      <c r="S77" s="408" t="n">
        <v>0.0</v>
      </c>
      <c r="T77" s="411" t="str">
        <f t="shared" si="22"/>
        <v>－</v>
      </c>
    </row>
    <row r="78" spans="1:20">
      <c r="A78" s="19"/>
      <c r="B78" s="1056"/>
      <c r="C78" s="389" t="s">
        <v>19</v>
      </c>
      <c r="D78" s="475" t="n">
        <v>0.0</v>
      </c>
      <c r="E78" s="476" t="n">
        <v>0.0</v>
      </c>
      <c r="F78" s="477" t="n">
        <v>0.0</v>
      </c>
      <c r="G78" s="478" t="n">
        <v>0.0</v>
      </c>
      <c r="H78" s="476" t="n">
        <v>0.0</v>
      </c>
      <c r="I78" s="479" t="n">
        <v>0.0</v>
      </c>
      <c r="J78" s="402" t="str">
        <f t="shared" si="17"/>
        <v>－</v>
      </c>
      <c r="K78" s="478" t="n">
        <v>0.0</v>
      </c>
      <c r="L78" s="403" t="str">
        <f t="shared" si="18"/>
        <v>－</v>
      </c>
      <c r="M78" s="478" t="n">
        <v>0.0</v>
      </c>
      <c r="N78" s="403" t="str">
        <f t="shared" si="19"/>
        <v>－</v>
      </c>
      <c r="O78" s="478" t="n">
        <v>0.0</v>
      </c>
      <c r="P78" s="403" t="str">
        <f t="shared" si="20"/>
        <v>－</v>
      </c>
      <c r="Q78" s="478" t="n">
        <v>0.0</v>
      </c>
      <c r="R78" s="403" t="str">
        <f t="shared" si="21"/>
        <v>－</v>
      </c>
      <c r="S78" s="478" t="n">
        <v>0.0</v>
      </c>
      <c r="T78" s="411" t="str">
        <f t="shared" si="22"/>
        <v>－</v>
      </c>
    </row>
    <row r="79" spans="1:20">
      <c r="A79" s="19"/>
      <c r="B79" s="753"/>
      <c r="C79" s="389" t="s">
        <v>17</v>
      </c>
      <c r="D79" s="472" t="n">
        <v>0.0</v>
      </c>
      <c r="E79" s="409" t="n">
        <v>0.0</v>
      </c>
      <c r="F79" s="473" t="n">
        <v>0.0</v>
      </c>
      <c r="G79" s="408" t="n">
        <v>0.0</v>
      </c>
      <c r="H79" s="409" t="n">
        <v>0.0</v>
      </c>
      <c r="I79" s="474" t="n">
        <v>0.0</v>
      </c>
      <c r="J79" s="402" t="str">
        <f t="shared" si="17"/>
        <v>－</v>
      </c>
      <c r="K79" s="408" t="n">
        <v>0.0</v>
      </c>
      <c r="L79" s="403" t="str">
        <f t="shared" si="18"/>
        <v>－</v>
      </c>
      <c r="M79" s="408" t="n">
        <v>0.0</v>
      </c>
      <c r="N79" s="403" t="str">
        <f t="shared" si="19"/>
        <v>－</v>
      </c>
      <c r="O79" s="408" t="n">
        <v>0.0</v>
      </c>
      <c r="P79" s="403" t="str">
        <f t="shared" si="20"/>
        <v>－</v>
      </c>
      <c r="Q79" s="408" t="n">
        <v>0.0</v>
      </c>
      <c r="R79" s="403" t="str">
        <f t="shared" si="21"/>
        <v>－</v>
      </c>
      <c r="S79" s="408" t="n">
        <v>0.0</v>
      </c>
      <c r="T79" s="411" t="str">
        <f t="shared" si="22"/>
        <v>－</v>
      </c>
    </row>
    <row r="80" spans="1:20">
      <c r="A80" s="19"/>
      <c r="B80" s="1055" t="s">
        <v>43</v>
      </c>
      <c r="C80" s="389" t="s">
        <v>16</v>
      </c>
      <c r="D80" s="472" t="n">
        <v>1166.1009999999999</v>
      </c>
      <c r="E80" s="409" t="n">
        <v>866.458</v>
      </c>
      <c r="F80" s="473" t="n">
        <v>460.008</v>
      </c>
      <c r="G80" s="408" t="n">
        <v>652.0</v>
      </c>
      <c r="H80" s="409" t="n">
        <v>652.0</v>
      </c>
      <c r="I80" s="474" t="n">
        <v>652.0</v>
      </c>
      <c r="J80" s="410" t="n">
        <f t="shared" si="17"/>
        <v>1.4173666544929655</v>
      </c>
      <c r="K80" s="408" t="n">
        <v>652.0</v>
      </c>
      <c r="L80" s="411" t="n">
        <f t="shared" si="18"/>
        <v>1.4173666544929655</v>
      </c>
      <c r="M80" s="408" t="n">
        <v>652.0</v>
      </c>
      <c r="N80" s="411" t="n">
        <f t="shared" si="19"/>
        <v>1.4173666544929655</v>
      </c>
      <c r="O80" s="408" t="n">
        <v>652.0</v>
      </c>
      <c r="P80" s="411" t="n">
        <f t="shared" si="20"/>
        <v>1.4173666544929655</v>
      </c>
      <c r="Q80" s="408" t="n">
        <v>652.0</v>
      </c>
      <c r="R80" s="411" t="n">
        <f t="shared" si="21"/>
        <v>1.4173666544929655</v>
      </c>
      <c r="S80" s="408" t="n">
        <v>652.0</v>
      </c>
      <c r="T80" s="411" t="n">
        <f t="shared" si="22"/>
        <v>1.4173666544929655</v>
      </c>
    </row>
    <row r="81" spans="1:20">
      <c r="A81" s="19"/>
      <c r="B81" s="1059"/>
      <c r="C81" s="389" t="s">
        <v>17</v>
      </c>
      <c r="D81" s="472" t="n">
        <v>14.583333333333334</v>
      </c>
      <c r="E81" s="409" t="n">
        <v>11.5</v>
      </c>
      <c r="F81" s="473" t="n">
        <v>8.0</v>
      </c>
      <c r="G81" s="408" t="n">
        <v>8.0</v>
      </c>
      <c r="H81" s="409" t="n">
        <v>8.0</v>
      </c>
      <c r="I81" s="474" t="n">
        <v>8.0</v>
      </c>
      <c r="J81" s="402" t="n">
        <f t="shared" si="17"/>
        <v>1.0</v>
      </c>
      <c r="K81" s="408" t="n">
        <v>8.0</v>
      </c>
      <c r="L81" s="403" t="n">
        <f t="shared" si="18"/>
        <v>1.0</v>
      </c>
      <c r="M81" s="408" t="n">
        <v>8.0</v>
      </c>
      <c r="N81" s="403" t="n">
        <f t="shared" si="19"/>
        <v>1.0</v>
      </c>
      <c r="O81" s="408" t="n">
        <v>8.0</v>
      </c>
      <c r="P81" s="403" t="n">
        <f t="shared" si="20"/>
        <v>1.0</v>
      </c>
      <c r="Q81" s="408" t="n">
        <v>8.0</v>
      </c>
      <c r="R81" s="403" t="n">
        <f t="shared" si="21"/>
        <v>1.0</v>
      </c>
      <c r="S81" s="408" t="n">
        <v>8.0</v>
      </c>
      <c r="T81" s="411" t="n">
        <f t="shared" si="22"/>
        <v>1.0</v>
      </c>
    </row>
    <row r="82" spans="1:20">
      <c r="A82" s="19"/>
      <c r="B82" s="1055" t="s">
        <v>44</v>
      </c>
      <c r="C82" s="389" t="s">
        <v>16</v>
      </c>
      <c r="D82" s="472" t="n">
        <v>163099.428</v>
      </c>
      <c r="E82" s="409" t="n">
        <v>152492.501</v>
      </c>
      <c r="F82" s="473" t="n">
        <v>151267.1604</v>
      </c>
      <c r="G82" s="408" t="n">
        <v>147188.0</v>
      </c>
      <c r="H82" s="409" t="n">
        <v>151813.0</v>
      </c>
      <c r="I82" s="474" t="n">
        <v>147826.0</v>
      </c>
      <c r="J82" s="410" t="n">
        <f t="shared" si="17"/>
        <v>0.9846309862595487</v>
      </c>
      <c r="K82" s="408" t="n">
        <v>148946.0</v>
      </c>
      <c r="L82" s="411" t="n">
        <f t="shared" si="18"/>
        <v>0.9846552259336258</v>
      </c>
      <c r="M82" s="408" t="n">
        <v>147464.0</v>
      </c>
      <c r="N82" s="411" t="n">
        <f t="shared" si="19"/>
        <v>0.9748579903930028</v>
      </c>
      <c r="O82" s="408" t="n">
        <v>159453.0</v>
      </c>
      <c r="P82" s="411" t="n">
        <f t="shared" si="20"/>
        <v>1.0541151138049658</v>
      </c>
      <c r="Q82" s="408" t="n">
        <v>161643.0</v>
      </c>
      <c r="R82" s="411" t="n">
        <f t="shared" si="21"/>
        <v>1.0685928100492061</v>
      </c>
      <c r="S82" s="408" t="n">
        <v>154878.0</v>
      </c>
      <c r="T82" s="411" t="n">
        <f t="shared" si="22"/>
        <v>1.0238706113769291</v>
      </c>
    </row>
    <row r="83" spans="1:20">
      <c r="A83" s="19"/>
      <c r="B83" s="1056"/>
      <c r="C83" s="389" t="s">
        <v>19</v>
      </c>
      <c r="D83" s="472" t="n">
        <v>1623.8333333333333</v>
      </c>
      <c r="E83" s="409" t="n">
        <v>1509.0833333333333</v>
      </c>
      <c r="F83" s="473" t="n">
        <v>1475.3</v>
      </c>
      <c r="G83" s="478" t="n">
        <v>1446.6</v>
      </c>
      <c r="H83" s="476" t="n">
        <v>1493.2</v>
      </c>
      <c r="I83" s="479" t="n">
        <v>1456.4</v>
      </c>
      <c r="J83" s="402" t="n">
        <f t="shared" si="17"/>
        <v>0.9932895004405886</v>
      </c>
      <c r="K83" s="478" t="n">
        <v>1469.0</v>
      </c>
      <c r="L83" s="403" t="n">
        <f t="shared" si="18"/>
        <v>0.9957296820985563</v>
      </c>
      <c r="M83" s="478" t="n">
        <v>1456.3</v>
      </c>
      <c r="N83" s="403" t="n">
        <f t="shared" si="19"/>
        <v>0.9871212634718363</v>
      </c>
      <c r="O83" s="478" t="n">
        <v>1573.1</v>
      </c>
      <c r="P83" s="403" t="n">
        <f t="shared" si="20"/>
        <v>1.0662916017081272</v>
      </c>
      <c r="Q83" s="478" t="n">
        <v>1592.8</v>
      </c>
      <c r="R83" s="403" t="n">
        <f t="shared" si="21"/>
        <v>1.079644818003118</v>
      </c>
      <c r="S83" s="478" t="n">
        <v>1524.7</v>
      </c>
      <c r="T83" s="411" t="n">
        <f t="shared" si="22"/>
        <v>1.0334847149732258</v>
      </c>
    </row>
    <row r="84" spans="1:20">
      <c r="A84" s="19"/>
      <c r="B84" s="753"/>
      <c r="C84" s="389" t="s">
        <v>17</v>
      </c>
      <c r="D84" s="472" t="n">
        <v>177.5</v>
      </c>
      <c r="E84" s="409" t="n">
        <v>162.91666666666666</v>
      </c>
      <c r="F84" s="473" t="n">
        <v>169.0</v>
      </c>
      <c r="G84" s="408" t="n">
        <v>163.0</v>
      </c>
      <c r="H84" s="409" t="n">
        <v>164.0</v>
      </c>
      <c r="I84" s="474" t="n">
        <v>160.0</v>
      </c>
      <c r="J84" s="402" t="n">
        <f t="shared" si="17"/>
        <v>0.960552268244576</v>
      </c>
      <c r="K84" s="408" t="n">
        <v>161.0</v>
      </c>
      <c r="L84" s="403" t="n">
        <f t="shared" si="18"/>
        <v>0.9526627218934911</v>
      </c>
      <c r="M84" s="408" t="n">
        <v>160.0</v>
      </c>
      <c r="N84" s="403" t="n">
        <f t="shared" si="19"/>
        <v>0.9467455621301775</v>
      </c>
      <c r="O84" s="408" t="n">
        <v>173.0</v>
      </c>
      <c r="P84" s="403" t="n">
        <f t="shared" si="20"/>
        <v>1.0236686390532543</v>
      </c>
      <c r="Q84" s="408" t="n">
        <v>175.0</v>
      </c>
      <c r="R84" s="403" t="n">
        <f t="shared" si="21"/>
        <v>1.0355029585798816</v>
      </c>
      <c r="S84" s="408" t="n">
        <v>168.0</v>
      </c>
      <c r="T84" s="411" t="n">
        <f t="shared" si="22"/>
        <v>0.9940828402366864</v>
      </c>
    </row>
    <row r="85" spans="1:20">
      <c r="A85" s="19"/>
      <c r="B85" s="1055" t="s">
        <v>45</v>
      </c>
      <c r="C85" s="389" t="s">
        <v>16</v>
      </c>
      <c r="D85" s="472" t="n">
        <v>14336.785</v>
      </c>
      <c r="E85" s="409" t="n">
        <v>15575.845</v>
      </c>
      <c r="F85" s="473" t="n">
        <v>22534.2888</v>
      </c>
      <c r="G85" s="408" t="n">
        <v>24094.0</v>
      </c>
      <c r="H85" s="409" t="n">
        <v>24777.0</v>
      </c>
      <c r="I85" s="474" t="n">
        <v>24415.0</v>
      </c>
      <c r="J85" s="410" t="n">
        <f t="shared" si="17"/>
        <v>1.0840664590518014</v>
      </c>
      <c r="K85" s="408" t="n">
        <v>24824.0</v>
      </c>
      <c r="L85" s="411" t="n">
        <f t="shared" si="18"/>
        <v>1.101610093858387</v>
      </c>
      <c r="M85" s="408" t="n">
        <v>24415.0</v>
      </c>
      <c r="N85" s="411" t="n">
        <f t="shared" si="19"/>
        <v>1.0834599758923833</v>
      </c>
      <c r="O85" s="408" t="n">
        <v>25886.0</v>
      </c>
      <c r="P85" s="411" t="n">
        <f t="shared" si="20"/>
        <v>1.1487382730268374</v>
      </c>
      <c r="Q85" s="408" t="n">
        <v>25886.0</v>
      </c>
      <c r="R85" s="411" t="n">
        <f t="shared" si="21"/>
        <v>1.1487382730268374</v>
      </c>
      <c r="S85" s="408" t="n">
        <v>25886.0</v>
      </c>
      <c r="T85" s="411" t="n">
        <f t="shared" si="22"/>
        <v>1.1487382730268374</v>
      </c>
    </row>
    <row r="86" spans="1:20">
      <c r="A86" s="19"/>
      <c r="B86" s="1056"/>
      <c r="C86" s="389" t="s">
        <v>19</v>
      </c>
      <c r="D86" s="475" t="n">
        <v>164.66666666666666</v>
      </c>
      <c r="E86" s="476" t="n">
        <v>173.5</v>
      </c>
      <c r="F86" s="477" t="n">
        <v>227.1</v>
      </c>
      <c r="G86" s="478" t="n">
        <v>251.7</v>
      </c>
      <c r="H86" s="476" t="n">
        <v>260.3</v>
      </c>
      <c r="I86" s="479" t="n">
        <v>255.6</v>
      </c>
      <c r="J86" s="402" t="n">
        <f t="shared" si="17"/>
        <v>1.126669602231029</v>
      </c>
      <c r="K86" s="478" t="n">
        <v>260.6</v>
      </c>
      <c r="L86" s="403" t="n">
        <f t="shared" si="18"/>
        <v>1.1475121092029945</v>
      </c>
      <c r="M86" s="478" t="n">
        <v>255.6</v>
      </c>
      <c r="N86" s="403" t="n">
        <f t="shared" si="19"/>
        <v>1.1254953764861295</v>
      </c>
      <c r="O86" s="478" t="n">
        <v>273.9</v>
      </c>
      <c r="P86" s="403" t="n">
        <f t="shared" si="20"/>
        <v>1.2060766182298546</v>
      </c>
      <c r="Q86" s="478" t="n">
        <v>273.9</v>
      </c>
      <c r="R86" s="403" t="n">
        <f t="shared" si="21"/>
        <v>1.2060766182298546</v>
      </c>
      <c r="S86" s="478" t="n">
        <v>273.9</v>
      </c>
      <c r="T86" s="411" t="n">
        <f t="shared" si="22"/>
        <v>1.2060766182298546</v>
      </c>
    </row>
    <row r="87" spans="1:20">
      <c r="A87" s="19"/>
      <c r="B87" s="753"/>
      <c r="C87" s="389" t="s">
        <v>17</v>
      </c>
      <c r="D87" s="472" t="n">
        <v>25.166666666666668</v>
      </c>
      <c r="E87" s="409" t="n">
        <v>25.75</v>
      </c>
      <c r="F87" s="473" t="n">
        <v>29.0</v>
      </c>
      <c r="G87" s="408" t="n">
        <v>30.0</v>
      </c>
      <c r="H87" s="409" t="n">
        <v>31.0</v>
      </c>
      <c r="I87" s="474" t="n">
        <v>30.0</v>
      </c>
      <c r="J87" s="402" t="n">
        <f t="shared" si="17"/>
        <v>1.0459770114942528</v>
      </c>
      <c r="K87" s="408" t="n">
        <v>31.0</v>
      </c>
      <c r="L87" s="403" t="n">
        <f t="shared" si="18"/>
        <v>1.0689655172413792</v>
      </c>
      <c r="M87" s="408" t="n">
        <v>30.0</v>
      </c>
      <c r="N87" s="403" t="n">
        <f t="shared" si="19"/>
        <v>1.0344827586206897</v>
      </c>
      <c r="O87" s="408" t="n">
        <v>33.0</v>
      </c>
      <c r="P87" s="403" t="n">
        <f t="shared" si="20"/>
        <v>1.1379310344827587</v>
      </c>
      <c r="Q87" s="408" t="n">
        <v>33.0</v>
      </c>
      <c r="R87" s="403" t="n">
        <f t="shared" si="21"/>
        <v>1.1379310344827587</v>
      </c>
      <c r="S87" s="408" t="n">
        <v>33.0</v>
      </c>
      <c r="T87" s="411" t="n">
        <f t="shared" si="22"/>
        <v>1.1379310344827587</v>
      </c>
    </row>
    <row r="88" spans="1:20">
      <c r="A88" s="19"/>
      <c r="B88" s="1055" t="s">
        <v>46</v>
      </c>
      <c r="C88" s="389" t="s">
        <v>16</v>
      </c>
      <c r="D88" s="472" t="n">
        <v>25408.342</v>
      </c>
      <c r="E88" s="409" t="n">
        <v>27393.558</v>
      </c>
      <c r="F88" s="473" t="n">
        <v>90099.3072</v>
      </c>
      <c r="G88" s="408" t="n">
        <v>87672.0</v>
      </c>
      <c r="H88" s="409" t="n">
        <v>86674.0</v>
      </c>
      <c r="I88" s="474" t="n">
        <v>85320.0</v>
      </c>
      <c r="J88" s="410" t="n">
        <f t="shared" si="17"/>
        <v>0.9606659143471564</v>
      </c>
      <c r="K88" s="408" t="n">
        <v>83003.0</v>
      </c>
      <c r="L88" s="411" t="n">
        <f t="shared" si="18"/>
        <v>0.9212390481066873</v>
      </c>
      <c r="M88" s="408" t="n">
        <v>83003.0</v>
      </c>
      <c r="N88" s="411" t="n">
        <f t="shared" si="19"/>
        <v>0.9212390481066873</v>
      </c>
      <c r="O88" s="408" t="n">
        <v>87712.0</v>
      </c>
      <c r="P88" s="411" t="n">
        <f t="shared" si="20"/>
        <v>0.9735036009244697</v>
      </c>
      <c r="Q88" s="408" t="n">
        <v>91751.0</v>
      </c>
      <c r="R88" s="411" t="n">
        <f t="shared" si="21"/>
        <v>1.0183319145432896</v>
      </c>
      <c r="S88" s="408" t="n">
        <v>88834.0</v>
      </c>
      <c r="T88" s="411" t="n">
        <f t="shared" si="22"/>
        <v>0.9859565268666128</v>
      </c>
    </row>
    <row r="89" spans="1:20">
      <c r="A89" s="19"/>
      <c r="B89" s="1056"/>
      <c r="C89" s="389" t="s">
        <v>25</v>
      </c>
      <c r="D89" s="475" t="n">
        <v>248.83333333333334</v>
      </c>
      <c r="E89" s="476" t="n">
        <v>270.3333333333333</v>
      </c>
      <c r="F89" s="477" t="n">
        <v>893.2</v>
      </c>
      <c r="G89" s="478" t="n">
        <v>858.4</v>
      </c>
      <c r="H89" s="476" t="n">
        <v>850.5</v>
      </c>
      <c r="I89" s="479" t="n">
        <v>837.3</v>
      </c>
      <c r="J89" s="402" t="n">
        <f t="shared" si="17"/>
        <v>0.9502164502164501</v>
      </c>
      <c r="K89" s="478" t="n">
        <v>816.7</v>
      </c>
      <c r="L89" s="403" t="n">
        <f t="shared" si="18"/>
        <v>0.9143528884908195</v>
      </c>
      <c r="M89" s="478" t="n">
        <v>816.7</v>
      </c>
      <c r="N89" s="403" t="n">
        <f t="shared" si="19"/>
        <v>0.9143528884908195</v>
      </c>
      <c r="O89" s="478" t="n">
        <v>860.9</v>
      </c>
      <c r="P89" s="403" t="n">
        <f t="shared" si="20"/>
        <v>0.9638378862516793</v>
      </c>
      <c r="Q89" s="478" t="n">
        <v>902.0</v>
      </c>
      <c r="R89" s="403" t="n">
        <f t="shared" si="21"/>
        <v>1.0098522167487685</v>
      </c>
      <c r="S89" s="478" t="n">
        <v>869.7</v>
      </c>
      <c r="T89" s="411" t="n">
        <f t="shared" si="22"/>
        <v>0.9736901030004478</v>
      </c>
    </row>
    <row r="90" spans="1:20">
      <c r="A90" s="19"/>
      <c r="B90" s="753"/>
      <c r="C90" s="389" t="s">
        <v>17</v>
      </c>
      <c r="D90" s="472" t="n">
        <v>26.833333333333332</v>
      </c>
      <c r="E90" s="409" t="n">
        <v>27.166666666666668</v>
      </c>
      <c r="F90" s="473" t="n">
        <v>60.0</v>
      </c>
      <c r="G90" s="408" t="n">
        <v>59.0</v>
      </c>
      <c r="H90" s="409" t="n">
        <v>60.0</v>
      </c>
      <c r="I90" s="474" t="n">
        <v>59.0</v>
      </c>
      <c r="J90" s="402" t="n">
        <f t="shared" si="17"/>
        <v>0.9888888888888889</v>
      </c>
      <c r="K90" s="408" t="n">
        <v>58.0</v>
      </c>
      <c r="L90" s="403" t="n">
        <f t="shared" si="18"/>
        <v>0.9666666666666667</v>
      </c>
      <c r="M90" s="408" t="n">
        <v>58.0</v>
      </c>
      <c r="N90" s="403" t="n">
        <f t="shared" si="19"/>
        <v>0.9666666666666667</v>
      </c>
      <c r="O90" s="408" t="n">
        <v>61.0</v>
      </c>
      <c r="P90" s="403" t="n">
        <f t="shared" si="20"/>
        <v>1.0166666666666666</v>
      </c>
      <c r="Q90" s="408" t="n">
        <v>63.0</v>
      </c>
      <c r="R90" s="403" t="n">
        <f t="shared" si="21"/>
        <v>1.05</v>
      </c>
      <c r="S90" s="408" t="n">
        <v>61.0</v>
      </c>
      <c r="T90" s="411" t="n">
        <f t="shared" si="22"/>
        <v>1.0166666666666666</v>
      </c>
    </row>
    <row r="91" spans="1:20">
      <c r="A91" s="19"/>
      <c r="B91" s="1057" t="s">
        <v>47</v>
      </c>
      <c r="C91" s="389" t="s">
        <v>16</v>
      </c>
      <c r="D91" s="472" t="n">
        <v>1218.821</v>
      </c>
      <c r="E91" s="409" t="n">
        <v>2327.563</v>
      </c>
      <c r="F91" s="473" t="n">
        <v>924.9984</v>
      </c>
      <c r="G91" s="408" t="n">
        <v>834.0</v>
      </c>
      <c r="H91" s="409" t="n">
        <v>834.0</v>
      </c>
      <c r="I91" s="474" t="n">
        <v>834.0</v>
      </c>
      <c r="J91" s="410" t="n">
        <f t="shared" si="17"/>
        <v>0.9016231811860432</v>
      </c>
      <c r="K91" s="408" t="n">
        <v>834.0</v>
      </c>
      <c r="L91" s="411" t="n">
        <f t="shared" si="18"/>
        <v>0.9016231811860432</v>
      </c>
      <c r="M91" s="408" t="n">
        <v>834.0</v>
      </c>
      <c r="N91" s="411" t="n">
        <f t="shared" si="19"/>
        <v>0.9016231811860432</v>
      </c>
      <c r="O91" s="408" t="n">
        <v>834.0</v>
      </c>
      <c r="P91" s="411" t="n">
        <f t="shared" si="20"/>
        <v>0.9016231811860432</v>
      </c>
      <c r="Q91" s="408" t="n">
        <v>834.0</v>
      </c>
      <c r="R91" s="411" t="n">
        <f t="shared" si="21"/>
        <v>0.9016231811860432</v>
      </c>
      <c r="S91" s="408" t="n">
        <v>834.0</v>
      </c>
      <c r="T91" s="411" t="n">
        <f t="shared" si="22"/>
        <v>0.9016231811860432</v>
      </c>
    </row>
    <row r="92" spans="1:20">
      <c r="A92" s="19"/>
      <c r="B92" s="1058"/>
      <c r="C92" s="389" t="s">
        <v>25</v>
      </c>
      <c r="D92" s="475" t="n">
        <v>10.083333333333334</v>
      </c>
      <c r="E92" s="476" t="n">
        <v>17.75</v>
      </c>
      <c r="F92" s="477" t="n">
        <v>7.2</v>
      </c>
      <c r="G92" s="478" t="n">
        <v>6.4</v>
      </c>
      <c r="H92" s="476" t="n">
        <v>6.4</v>
      </c>
      <c r="I92" s="479" t="n">
        <v>6.4</v>
      </c>
      <c r="J92" s="402" t="n">
        <f t="shared" si="17"/>
        <v>0.8888888888888891</v>
      </c>
      <c r="K92" s="478" t="n">
        <v>6.4</v>
      </c>
      <c r="L92" s="403" t="n">
        <f t="shared" si="18"/>
        <v>0.888888888888889</v>
      </c>
      <c r="M92" s="478" t="n">
        <v>6.4</v>
      </c>
      <c r="N92" s="403" t="n">
        <f t="shared" si="19"/>
        <v>0.888888888888889</v>
      </c>
      <c r="O92" s="478" t="n">
        <v>6.4</v>
      </c>
      <c r="P92" s="403" t="n">
        <f t="shared" si="20"/>
        <v>0.888888888888889</v>
      </c>
      <c r="Q92" s="478" t="n">
        <v>6.4</v>
      </c>
      <c r="R92" s="403" t="n">
        <f t="shared" si="21"/>
        <v>0.888888888888889</v>
      </c>
      <c r="S92" s="478" t="n">
        <v>6.4</v>
      </c>
      <c r="T92" s="411" t="n">
        <f t="shared" si="22"/>
        <v>0.888888888888889</v>
      </c>
    </row>
    <row r="93" spans="1:20">
      <c r="A93" s="19"/>
      <c r="B93" s="753"/>
      <c r="C93" s="389" t="s">
        <v>17</v>
      </c>
      <c r="D93" s="472" t="n">
        <v>1.0833333333333333</v>
      </c>
      <c r="E93" s="409" t="n">
        <v>2.25</v>
      </c>
      <c r="F93" s="473" t="n">
        <v>2.0</v>
      </c>
      <c r="G93" s="408" t="n">
        <v>2.0</v>
      </c>
      <c r="H93" s="409" t="n">
        <v>2.0</v>
      </c>
      <c r="I93" s="474" t="n">
        <v>2.0</v>
      </c>
      <c r="J93" s="402" t="n">
        <f t="shared" si="17"/>
        <v>1.0</v>
      </c>
      <c r="K93" s="408" t="n">
        <v>2.0</v>
      </c>
      <c r="L93" s="403" t="n">
        <f t="shared" si="18"/>
        <v>1.0</v>
      </c>
      <c r="M93" s="408" t="n">
        <v>2.0</v>
      </c>
      <c r="N93" s="403" t="n">
        <f t="shared" si="19"/>
        <v>1.0</v>
      </c>
      <c r="O93" s="408" t="n">
        <v>2.0</v>
      </c>
      <c r="P93" s="403" t="n">
        <f t="shared" si="20"/>
        <v>1.0</v>
      </c>
      <c r="Q93" s="408" t="n">
        <v>2.0</v>
      </c>
      <c r="R93" s="403" t="n">
        <f t="shared" si="21"/>
        <v>1.0</v>
      </c>
      <c r="S93" s="408" t="n">
        <v>2.0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30679.294</v>
      </c>
      <c r="E100" s="409" t="n">
        <v>31305.06</v>
      </c>
      <c r="F100" s="473" t="n">
        <v>33050.424</v>
      </c>
      <c r="G100" s="408" t="n">
        <v>33990.0</v>
      </c>
      <c r="H100" s="409" t="n">
        <v>34287.0</v>
      </c>
      <c r="I100" s="474" t="n">
        <v>33771.0</v>
      </c>
      <c r="J100" s="410" t="n">
        <f t="shared" si="17"/>
        <v>1.0292152379043609</v>
      </c>
      <c r="K100" s="408" t="n">
        <v>33641.0</v>
      </c>
      <c r="L100" s="411" t="n">
        <f t="shared" si="18"/>
        <v>1.0178689386859303</v>
      </c>
      <c r="M100" s="408" t="n">
        <v>33392.0</v>
      </c>
      <c r="N100" s="411" t="n">
        <f t="shared" si="19"/>
        <v>1.0103349960048924</v>
      </c>
      <c r="O100" s="408" t="n">
        <v>36252.0</v>
      </c>
      <c r="P100" s="411" t="n">
        <f t="shared" si="20"/>
        <v>1.096869438044123</v>
      </c>
      <c r="Q100" s="408" t="n">
        <v>37007.0</v>
      </c>
      <c r="R100" s="411" t="n">
        <f t="shared" si="21"/>
        <v>1.1197133204705634</v>
      </c>
      <c r="S100" s="408" t="n">
        <v>35402.0</v>
      </c>
      <c r="T100" s="411" t="n">
        <f t="shared" si="22"/>
        <v>1.0711511598156804</v>
      </c>
    </row>
    <row r="101" spans="1:20">
      <c r="A101" s="19"/>
      <c r="B101" s="1059"/>
      <c r="C101" s="389" t="s">
        <v>17</v>
      </c>
      <c r="D101" s="472" t="n">
        <v>199.58333333333334</v>
      </c>
      <c r="E101" s="409" t="n">
        <v>191.33333333333334</v>
      </c>
      <c r="F101" s="473" t="n">
        <v>204.0</v>
      </c>
      <c r="G101" s="408" t="n">
        <v>204.0</v>
      </c>
      <c r="H101" s="409" t="n">
        <v>207.0</v>
      </c>
      <c r="I101" s="474" t="n">
        <v>204.0</v>
      </c>
      <c r="J101" s="402" t="n">
        <f t="shared" si="17"/>
        <v>1.0049019607843137</v>
      </c>
      <c r="K101" s="408" t="n">
        <v>204.0</v>
      </c>
      <c r="L101" s="403" t="n">
        <f t="shared" si="18"/>
        <v>1.0</v>
      </c>
      <c r="M101" s="408" t="n">
        <v>203.0</v>
      </c>
      <c r="N101" s="403" t="n">
        <f t="shared" si="19"/>
        <v>0.9950980392156863</v>
      </c>
      <c r="O101" s="408" t="n">
        <v>220.0</v>
      </c>
      <c r="P101" s="403" t="n">
        <f t="shared" si="20"/>
        <v>1.0784313725490196</v>
      </c>
      <c r="Q101" s="408" t="n">
        <v>224.0</v>
      </c>
      <c r="R101" s="403" t="n">
        <f t="shared" si="21"/>
        <v>1.0980392156862746</v>
      </c>
      <c r="S101" s="408" t="n">
        <v>214.0</v>
      </c>
      <c r="T101" s="411" t="n">
        <f t="shared" si="22"/>
        <v>1.0490196078431373</v>
      </c>
    </row>
    <row r="102" spans="1:20">
      <c r="A102" s="19"/>
      <c r="B102" s="1057" t="s">
        <v>50</v>
      </c>
      <c r="C102" s="389" t="s">
        <v>16</v>
      </c>
      <c r="D102" s="472" t="n">
        <v>1345.838</v>
      </c>
      <c r="E102" s="409" t="n">
        <v>1722.55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3.1666666666666665</v>
      </c>
      <c r="E103" s="409" t="n">
        <v>3.75</v>
      </c>
      <c r="F103" s="473" t="n">
        <v>0.0</v>
      </c>
      <c r="G103" s="408" t="n">
        <v>0.0</v>
      </c>
      <c r="H103" s="409" t="n">
        <v>0.0</v>
      </c>
      <c r="I103" s="474" t="n">
        <v>0.0</v>
      </c>
      <c r="J103" s="402" t="str">
        <f t="shared" si="24"/>
        <v>－</v>
      </c>
      <c r="K103" s="408" t="n">
        <v>0.0</v>
      </c>
      <c r="L103" s="403" t="str">
        <f t="shared" si="18"/>
        <v>－</v>
      </c>
      <c r="M103" s="408" t="n">
        <v>0.0</v>
      </c>
      <c r="N103" s="403" t="str">
        <f t="shared" si="19"/>
        <v>－</v>
      </c>
      <c r="O103" s="408" t="n">
        <v>0.0</v>
      </c>
      <c r="P103" s="403" t="str">
        <f t="shared" si="20"/>
        <v>－</v>
      </c>
      <c r="Q103" s="408" t="n">
        <v>0.0</v>
      </c>
      <c r="R103" s="403" t="str">
        <f t="shared" si="21"/>
        <v>－</v>
      </c>
      <c r="S103" s="408" t="n">
        <v>0.0</v>
      </c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2244.187</v>
      </c>
      <c r="E104" s="409" t="n">
        <v>1812.993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2.5</v>
      </c>
      <c r="E105" s="409" t="n">
        <v>1.8333333333333333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9985.366</v>
      </c>
      <c r="E106" s="409" t="n">
        <v>9718.954</v>
      </c>
      <c r="F106" s="473" t="n">
        <v>4862.832</v>
      </c>
      <c r="G106" s="408" t="n">
        <v>4722.0</v>
      </c>
      <c r="H106" s="409" t="n">
        <v>4722.0</v>
      </c>
      <c r="I106" s="481" t="n">
        <v>4722.0</v>
      </c>
      <c r="J106" s="482" t="n">
        <f>IFERROR(SUM(G106:I106)/3/F106,"－")</f>
        <v>0.971039098204503</v>
      </c>
      <c r="K106" s="408" t="n">
        <v>4722.0</v>
      </c>
      <c r="L106" s="483" t="n">
        <f>IFERROR(K106/F106,"－")</f>
        <v>0.971039098204503</v>
      </c>
      <c r="M106" s="408" t="n">
        <v>4722.0</v>
      </c>
      <c r="N106" s="483" t="n">
        <f t="shared" si="19"/>
        <v>0.971039098204503</v>
      </c>
      <c r="O106" s="408" t="n">
        <v>4722.0</v>
      </c>
      <c r="P106" s="483" t="n">
        <f t="shared" si="20"/>
        <v>0.971039098204503</v>
      </c>
      <c r="Q106" s="408" t="n">
        <v>4722.0</v>
      </c>
      <c r="R106" s="483" t="n">
        <f t="shared" si="21"/>
        <v>0.971039098204503</v>
      </c>
      <c r="S106" s="408" t="n">
        <v>4722.0</v>
      </c>
      <c r="T106" s="483" t="n">
        <f t="shared" si="22"/>
        <v>0.971039098204503</v>
      </c>
    </row>
    <row r="107" spans="1:20" ht="14.25" thickBot="1">
      <c r="A107" s="25"/>
      <c r="B107" s="1064"/>
      <c r="C107" s="1011" t="s">
        <v>17</v>
      </c>
      <c r="D107" s="480" t="n">
        <v>4.0</v>
      </c>
      <c r="E107" s="409" t="n">
        <v>3.8333333333333335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3429.375</v>
      </c>
      <c r="E109" s="409" t="n">
        <v>0.0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2.0833333333333335</v>
      </c>
      <c r="E110" s="409" t="n">
        <v>0.0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0.0</v>
      </c>
      <c r="E113" s="409" t="n">
        <v>0.0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0.0</v>
      </c>
      <c r="E114" s="476" t="n">
        <v>0.0</v>
      </c>
      <c r="F114" s="499" t="n">
        <v>0.0</v>
      </c>
      <c r="G114" s="477" t="n">
        <v>0.0</v>
      </c>
      <c r="H114" s="476" t="n">
        <v>0.0</v>
      </c>
      <c r="I114" s="479" t="n">
        <v>0.0</v>
      </c>
      <c r="J114" s="402" t="str">
        <f>IFERROR(SUM(G114:I114)/3/F114,"－")</f>
        <v>－</v>
      </c>
      <c r="K114" s="478" t="n">
        <v>0.0</v>
      </c>
      <c r="L114" s="429" t="str">
        <f t="shared" si="28"/>
        <v>－</v>
      </c>
      <c r="M114" s="478" t="n">
        <v>0.0</v>
      </c>
      <c r="N114" s="429" t="str">
        <f t="shared" si="19"/>
        <v>－</v>
      </c>
      <c r="O114" s="478" t="n">
        <v>0.0</v>
      </c>
      <c r="P114" s="429" t="str">
        <f t="shared" si="20"/>
        <v>－</v>
      </c>
      <c r="Q114" s="478" t="n">
        <v>0.0</v>
      </c>
      <c r="R114" s="429" t="str">
        <f t="shared" si="21"/>
        <v>－</v>
      </c>
      <c r="S114" s="478" t="n">
        <v>0.0</v>
      </c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0.0</v>
      </c>
      <c r="E115" s="409" t="n">
        <v>0.0</v>
      </c>
      <c r="F115" s="498" t="n">
        <v>0.0</v>
      </c>
      <c r="G115" s="473" t="n">
        <v>0.0</v>
      </c>
      <c r="H115" s="409" t="n">
        <v>0.0</v>
      </c>
      <c r="I115" s="474" t="n">
        <v>0.0</v>
      </c>
      <c r="J115" s="402" t="str">
        <f>IFERROR(SUM(G115:I115)/3/F115,"－")</f>
        <v>－</v>
      </c>
      <c r="K115" s="408" t="n">
        <v>0.0</v>
      </c>
      <c r="L115" s="429" t="str">
        <f t="shared" si="28"/>
        <v>－</v>
      </c>
      <c r="M115" s="408" t="n">
        <v>0.0</v>
      </c>
      <c r="N115" s="429" t="str">
        <f t="shared" si="19"/>
        <v>－</v>
      </c>
      <c r="O115" s="408" t="n">
        <v>0.0</v>
      </c>
      <c r="P115" s="429" t="str">
        <f t="shared" si="20"/>
        <v>－</v>
      </c>
      <c r="Q115" s="408" t="n">
        <v>0.0</v>
      </c>
      <c r="R115" s="429" t="str">
        <f t="shared" si="21"/>
        <v>－</v>
      </c>
      <c r="S115" s="408" t="n">
        <v>0.0</v>
      </c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10760.465</v>
      </c>
      <c r="E116" s="409" t="n">
        <v>12237.593</v>
      </c>
      <c r="F116" s="498" t="n">
        <v>8762.2092</v>
      </c>
      <c r="G116" s="473" t="n">
        <v>8507.0</v>
      </c>
      <c r="H116" s="409" t="n">
        <v>8507.0</v>
      </c>
      <c r="I116" s="474" t="n">
        <v>8507.0</v>
      </c>
      <c r="J116" s="410" t="n">
        <f t="shared" si="25"/>
        <v>0.970873875049685</v>
      </c>
      <c r="K116" s="408" t="n">
        <v>8507.0</v>
      </c>
      <c r="L116" s="411" t="n">
        <f t="shared" si="26"/>
        <v>0.970873875049685</v>
      </c>
      <c r="M116" s="408" t="n">
        <v>8507.0</v>
      </c>
      <c r="N116" s="411" t="n">
        <f t="shared" si="19"/>
        <v>0.970873875049685</v>
      </c>
      <c r="O116" s="408" t="n">
        <v>9041.0</v>
      </c>
      <c r="P116" s="411" t="n">
        <f t="shared" si="20"/>
        <v>1.0318174097007409</v>
      </c>
      <c r="Q116" s="408" t="n">
        <v>9041.0</v>
      </c>
      <c r="R116" s="411" t="n">
        <f t="shared" si="21"/>
        <v>1.0318174097007409</v>
      </c>
      <c r="S116" s="408" t="n">
        <v>8507.0</v>
      </c>
      <c r="T116" s="411" t="n">
        <f t="shared" si="27"/>
        <v>0.970873875049685</v>
      </c>
    </row>
    <row r="117" spans="1:20">
      <c r="A117" s="19"/>
      <c r="B117" s="1056"/>
      <c r="C117" s="389" t="s">
        <v>19</v>
      </c>
      <c r="D117" s="475" t="n">
        <v>87.5</v>
      </c>
      <c r="E117" s="476" t="n">
        <v>93.5</v>
      </c>
      <c r="F117" s="499" t="n">
        <v>66.3</v>
      </c>
      <c r="G117" s="477" t="n">
        <v>64.9</v>
      </c>
      <c r="H117" s="476" t="n">
        <v>64.9</v>
      </c>
      <c r="I117" s="479" t="n">
        <v>64.9</v>
      </c>
      <c r="J117" s="402" t="n">
        <f t="shared" si="25"/>
        <v>0.9788838612368025</v>
      </c>
      <c r="K117" s="478" t="n">
        <v>64.9</v>
      </c>
      <c r="L117" s="403" t="n">
        <f t="shared" si="26"/>
        <v>0.9788838612368025</v>
      </c>
      <c r="M117" s="478" t="n">
        <v>64.9</v>
      </c>
      <c r="N117" s="403" t="n">
        <f t="shared" si="19"/>
        <v>0.9788838612368025</v>
      </c>
      <c r="O117" s="478" t="n">
        <v>69.0</v>
      </c>
      <c r="P117" s="403" t="n">
        <f t="shared" si="20"/>
        <v>1.0407239819004526</v>
      </c>
      <c r="Q117" s="478" t="n">
        <v>69.0</v>
      </c>
      <c r="R117" s="403" t="n">
        <f t="shared" si="21"/>
        <v>1.0407239819004526</v>
      </c>
      <c r="S117" s="478" t="n">
        <v>64.9</v>
      </c>
      <c r="T117" s="411" t="n">
        <f t="shared" si="27"/>
        <v>0.9788838612368025</v>
      </c>
    </row>
    <row r="118" spans="1:20">
      <c r="A118" s="19"/>
      <c r="B118" s="437"/>
      <c r="C118" s="389" t="s">
        <v>17</v>
      </c>
      <c r="D118" s="472" t="n">
        <v>7.333333333333333</v>
      </c>
      <c r="E118" s="409" t="n">
        <v>9.5</v>
      </c>
      <c r="F118" s="498" t="n">
        <v>14.0</v>
      </c>
      <c r="G118" s="473" t="n">
        <v>15.0</v>
      </c>
      <c r="H118" s="409" t="n">
        <v>15.0</v>
      </c>
      <c r="I118" s="474" t="n">
        <v>15.0</v>
      </c>
      <c r="J118" s="402" t="n">
        <f t="shared" si="25"/>
        <v>1.0714285714285714</v>
      </c>
      <c r="K118" s="408" t="n">
        <v>15.0</v>
      </c>
      <c r="L118" s="403" t="n">
        <f t="shared" si="26"/>
        <v>1.0714285714285714</v>
      </c>
      <c r="M118" s="408" t="n">
        <v>15.0</v>
      </c>
      <c r="N118" s="403" t="n">
        <f t="shared" si="19"/>
        <v>1.0714285714285714</v>
      </c>
      <c r="O118" s="408" t="n">
        <v>16.0</v>
      </c>
      <c r="P118" s="403" t="n">
        <f t="shared" si="20"/>
        <v>1.1428571428571428</v>
      </c>
      <c r="Q118" s="408" t="n">
        <v>16.0</v>
      </c>
      <c r="R118" s="403" t="n">
        <f t="shared" si="21"/>
        <v>1.1428571428571428</v>
      </c>
      <c r="S118" s="408" t="n">
        <v>15.0</v>
      </c>
      <c r="T118" s="411" t="n">
        <f t="shared" si="27"/>
        <v>1.0714285714285714</v>
      </c>
    </row>
    <row r="119" spans="1:20">
      <c r="A119" s="24"/>
      <c r="B119" s="1055" t="s">
        <v>57</v>
      </c>
      <c r="C119" s="389" t="s">
        <v>16</v>
      </c>
      <c r="D119" s="472" t="n">
        <v>54142.693</v>
      </c>
      <c r="E119" s="409" t="n">
        <v>49578.79</v>
      </c>
      <c r="F119" s="498" t="n">
        <v>49850.796</v>
      </c>
      <c r="G119" s="473" t="n">
        <v>49183.0</v>
      </c>
      <c r="H119" s="409" t="n">
        <v>49183.0</v>
      </c>
      <c r="I119" s="474" t="n">
        <v>49183.0</v>
      </c>
      <c r="J119" s="410" t="n">
        <f t="shared" si="25"/>
        <v>0.9866041055793773</v>
      </c>
      <c r="K119" s="408" t="n">
        <v>49183.0</v>
      </c>
      <c r="L119" s="411" t="n">
        <f t="shared" si="26"/>
        <v>0.9866041055793773</v>
      </c>
      <c r="M119" s="408" t="n">
        <v>49183.0</v>
      </c>
      <c r="N119" s="411" t="n">
        <f t="shared" si="19"/>
        <v>0.9866041055793773</v>
      </c>
      <c r="O119" s="408" t="n">
        <v>53919.0</v>
      </c>
      <c r="P119" s="411" t="n">
        <f t="shared" si="20"/>
        <v>1.0816076036178037</v>
      </c>
      <c r="Q119" s="408" t="n">
        <v>53919.0</v>
      </c>
      <c r="R119" s="411" t="n">
        <f t="shared" si="21"/>
        <v>1.0816076036178037</v>
      </c>
      <c r="S119" s="408" t="n">
        <v>53919.0</v>
      </c>
      <c r="T119" s="411" t="n">
        <f t="shared" si="27"/>
        <v>1.0816076036178037</v>
      </c>
    </row>
    <row r="120" spans="1:20">
      <c r="A120" s="19"/>
      <c r="B120" s="1059"/>
      <c r="C120" s="389" t="s">
        <v>17</v>
      </c>
      <c r="D120" s="472" t="n">
        <v>25.333333333333332</v>
      </c>
      <c r="E120" s="409" t="n">
        <v>22.166666666666668</v>
      </c>
      <c r="F120" s="498" t="n">
        <v>24.0</v>
      </c>
      <c r="G120" s="473" t="n">
        <v>22.0</v>
      </c>
      <c r="H120" s="409" t="n">
        <v>22.0</v>
      </c>
      <c r="I120" s="474" t="n">
        <v>22.0</v>
      </c>
      <c r="J120" s="402" t="n">
        <f t="shared" si="25"/>
        <v>0.9166666666666666</v>
      </c>
      <c r="K120" s="408" t="n">
        <v>22.0</v>
      </c>
      <c r="L120" s="403" t="n">
        <f t="shared" si="26"/>
        <v>0.9166666666666666</v>
      </c>
      <c r="M120" s="408" t="n">
        <v>22.0</v>
      </c>
      <c r="N120" s="403" t="n">
        <f t="shared" si="19"/>
        <v>0.9166666666666666</v>
      </c>
      <c r="O120" s="408" t="n">
        <v>24.0</v>
      </c>
      <c r="P120" s="403" t="n">
        <f t="shared" si="20"/>
        <v>1.0</v>
      </c>
      <c r="Q120" s="408" t="n">
        <v>24.0</v>
      </c>
      <c r="R120" s="403" t="n">
        <f t="shared" si="21"/>
        <v>1.0</v>
      </c>
      <c r="S120" s="408" t="n">
        <v>24.0</v>
      </c>
      <c r="T120" s="411" t="n">
        <f t="shared" si="27"/>
        <v>1.0</v>
      </c>
    </row>
    <row r="121" spans="1:20">
      <c r="A121" s="19"/>
      <c r="B121" s="1060" t="s">
        <v>58</v>
      </c>
      <c r="C121" s="389" t="s">
        <v>16</v>
      </c>
      <c r="D121" s="472" t="n">
        <v>155374.451</v>
      </c>
      <c r="E121" s="409" t="n">
        <v>134379.931</v>
      </c>
      <c r="F121" s="498" t="n">
        <v>146803.368</v>
      </c>
      <c r="G121" s="473" t="n">
        <v>130973.0</v>
      </c>
      <c r="H121" s="409" t="n">
        <v>134057.0</v>
      </c>
      <c r="I121" s="474" t="n">
        <v>130973.0</v>
      </c>
      <c r="J121" s="410" t="n">
        <f t="shared" si="25"/>
        <v>0.8991687438669664</v>
      </c>
      <c r="K121" s="408" t="n">
        <v>134057.0</v>
      </c>
      <c r="L121" s="411" t="n">
        <f t="shared" si="26"/>
        <v>0.9131738721416801</v>
      </c>
      <c r="M121" s="408" t="n">
        <v>130973.0</v>
      </c>
      <c r="N121" s="411" t="n">
        <f t="shared" si="19"/>
        <v>0.8921661797296095</v>
      </c>
      <c r="O121" s="408" t="n">
        <v>139997.0</v>
      </c>
      <c r="P121" s="411" t="n">
        <f t="shared" si="20"/>
        <v>0.9536361590832168</v>
      </c>
      <c r="Q121" s="408" t="n">
        <v>143175.0</v>
      </c>
      <c r="R121" s="411" t="n">
        <f t="shared" si="21"/>
        <v>0.9752841637802208</v>
      </c>
      <c r="S121" s="408" t="n">
        <v>136913.0</v>
      </c>
      <c r="T121" s="411" t="n">
        <f t="shared" si="27"/>
        <v>0.9326284666711462</v>
      </c>
    </row>
    <row r="122" spans="1:20">
      <c r="A122" s="19"/>
      <c r="B122" s="1061"/>
      <c r="C122" s="389" t="s">
        <v>17</v>
      </c>
      <c r="D122" s="472" t="n">
        <v>48.666666666666664</v>
      </c>
      <c r="E122" s="409" t="n">
        <v>43.916666666666664</v>
      </c>
      <c r="F122" s="498" t="n">
        <v>43.0</v>
      </c>
      <c r="G122" s="473" t="n">
        <v>43.0</v>
      </c>
      <c r="H122" s="409" t="n">
        <v>44.0</v>
      </c>
      <c r="I122" s="474" t="n">
        <v>43.0</v>
      </c>
      <c r="J122" s="402" t="n">
        <f t="shared" si="25"/>
        <v>1.0077519379844961</v>
      </c>
      <c r="K122" s="408" t="n">
        <v>44.0</v>
      </c>
      <c r="L122" s="403" t="n">
        <f t="shared" si="26"/>
        <v>1.0232558139534884</v>
      </c>
      <c r="M122" s="408" t="n">
        <v>43.0</v>
      </c>
      <c r="N122" s="403" t="n">
        <f t="shared" si="19"/>
        <v>1.0</v>
      </c>
      <c r="O122" s="408" t="n">
        <v>46.0</v>
      </c>
      <c r="P122" s="403" t="n">
        <f t="shared" si="20"/>
        <v>1.069767441860465</v>
      </c>
      <c r="Q122" s="408" t="n">
        <v>47.0</v>
      </c>
      <c r="R122" s="403" t="n">
        <f t="shared" si="21"/>
        <v>1.0930232558139534</v>
      </c>
      <c r="S122" s="408" t="n">
        <v>45.0</v>
      </c>
      <c r="T122" s="411" t="n">
        <f t="shared" si="27"/>
        <v>1.0465116279069768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131702.142</v>
      </c>
      <c r="E125" s="409" t="n">
        <v>126349.635</v>
      </c>
      <c r="F125" s="498" t="n">
        <v>129127.584</v>
      </c>
      <c r="G125" s="473" t="n">
        <v>123350.0</v>
      </c>
      <c r="H125" s="409" t="n">
        <v>123350.0</v>
      </c>
      <c r="I125" s="474" t="n">
        <v>123350.0</v>
      </c>
      <c r="J125" s="410" t="n">
        <f t="shared" si="25"/>
        <v>0.9552567792176767</v>
      </c>
      <c r="K125" s="408" t="n">
        <v>123991.0</v>
      </c>
      <c r="L125" s="411" t="n">
        <f t="shared" ref="L125:L130" si="29">IFERROR(K125/F125,"－")</f>
        <v>0.9602208618725492</v>
      </c>
      <c r="M125" s="408" t="n">
        <v>123991.0</v>
      </c>
      <c r="N125" s="411" t="n">
        <f t="shared" si="19"/>
        <v>0.9602208618725492</v>
      </c>
      <c r="O125" s="408" t="n">
        <v>130032.0</v>
      </c>
      <c r="P125" s="411" t="n">
        <f t="shared" si="20"/>
        <v>1.0070040495762702</v>
      </c>
      <c r="Q125" s="408" t="n">
        <v>133160.0</v>
      </c>
      <c r="R125" s="411" t="n">
        <f t="shared" si="21"/>
        <v>1.0312281533897514</v>
      </c>
      <c r="S125" s="408" t="n">
        <v>127120.0</v>
      </c>
      <c r="T125" s="411" t="n">
        <f t="shared" si="27"/>
        <v>0.9844527099647431</v>
      </c>
    </row>
    <row r="126" spans="1:20">
      <c r="A126" s="19"/>
      <c r="B126" s="1061"/>
      <c r="C126" s="389" t="s">
        <v>17</v>
      </c>
      <c r="D126" s="472" t="n">
        <v>42.166666666666664</v>
      </c>
      <c r="E126" s="409" t="n">
        <v>41.166666666666664</v>
      </c>
      <c r="F126" s="498" t="n">
        <v>40.0</v>
      </c>
      <c r="G126" s="473" t="n">
        <v>40.0</v>
      </c>
      <c r="H126" s="409" t="n">
        <v>40.0</v>
      </c>
      <c r="I126" s="474" t="n">
        <v>40.0</v>
      </c>
      <c r="J126" s="402" t="n">
        <f t="shared" si="25"/>
        <v>1.0</v>
      </c>
      <c r="K126" s="408" t="n">
        <v>40.0</v>
      </c>
      <c r="L126" s="403" t="n">
        <f t="shared" si="29"/>
        <v>1.0</v>
      </c>
      <c r="M126" s="408" t="n">
        <v>40.0</v>
      </c>
      <c r="N126" s="403" t="n">
        <f t="shared" si="19"/>
        <v>1.0</v>
      </c>
      <c r="O126" s="408" t="n">
        <v>42.0</v>
      </c>
      <c r="P126" s="403" t="n">
        <f t="shared" si="20"/>
        <v>1.05</v>
      </c>
      <c r="Q126" s="408" t="n">
        <v>43.0</v>
      </c>
      <c r="R126" s="403" t="n">
        <f t="shared" si="21"/>
        <v>1.075</v>
      </c>
      <c r="S126" s="408" t="n">
        <v>41.0</v>
      </c>
      <c r="T126" s="411" t="n">
        <f t="shared" si="27"/>
        <v>1.025</v>
      </c>
    </row>
    <row r="127" spans="1:20">
      <c r="A127" s="19"/>
      <c r="B127" s="1057" t="s">
        <v>91</v>
      </c>
      <c r="C127" s="389" t="s">
        <v>16</v>
      </c>
      <c r="D127" s="472" t="n">
        <v>0.0</v>
      </c>
      <c r="E127" s="409" t="n">
        <v>0.0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0.0</v>
      </c>
      <c r="E128" s="409" t="n">
        <v>0.0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219177.381</v>
      </c>
      <c r="E132" s="409" t="n">
        <v>204849.691</v>
      </c>
      <c r="F132" s="498" t="n">
        <v>184309.152</v>
      </c>
      <c r="G132" s="473" t="n">
        <v>178304.0</v>
      </c>
      <c r="H132" s="409" t="n">
        <v>178304.0</v>
      </c>
      <c r="I132" s="474" t="n">
        <v>178304.0</v>
      </c>
      <c r="J132" s="410" t="n">
        <f t="shared" ref="J132:J141" si="34">IFERROR(SUM(G132:I132)/3/F132,"－")</f>
        <v>0.9674180476941264</v>
      </c>
      <c r="K132" s="408" t="n">
        <v>180933.0</v>
      </c>
      <c r="L132" s="411" t="n">
        <f t="shared" ref="L132:L144" si="35">IFERROR(K132/F132,"－")</f>
        <v>0.9816821250417342</v>
      </c>
      <c r="M132" s="408" t="n">
        <v>180933.0</v>
      </c>
      <c r="N132" s="411" t="n">
        <f t="shared" si="19"/>
        <v>0.9816821250417342</v>
      </c>
      <c r="O132" s="408" t="n">
        <v>189872.0</v>
      </c>
      <c r="P132" s="411" t="n">
        <f t="shared" si="20"/>
        <v>1.0301821582902189</v>
      </c>
      <c r="Q132" s="408" t="n">
        <v>202213.0</v>
      </c>
      <c r="R132" s="411" t="n">
        <f t="shared" si="21"/>
        <v>1.0971403091258323</v>
      </c>
      <c r="S132" s="408" t="n">
        <v>192887.0</v>
      </c>
      <c r="T132" s="411" t="n">
        <f>IFERROR(S132/F132,"－")</f>
        <v>1.0465405429243144</v>
      </c>
    </row>
    <row r="133" spans="1:20">
      <c r="A133" s="19"/>
      <c r="B133" s="1061"/>
      <c r="C133" s="389" t="s">
        <v>17</v>
      </c>
      <c r="D133" s="472" t="n">
        <v>70.75</v>
      </c>
      <c r="E133" s="409" t="n">
        <v>67.91666666666667</v>
      </c>
      <c r="F133" s="498" t="n">
        <v>59.0</v>
      </c>
      <c r="G133" s="473" t="n">
        <v>59.0</v>
      </c>
      <c r="H133" s="409" t="n">
        <v>59.0</v>
      </c>
      <c r="I133" s="474" t="n">
        <v>59.0</v>
      </c>
      <c r="J133" s="402" t="n">
        <f t="shared" si="34"/>
        <v>1.0</v>
      </c>
      <c r="K133" s="408" t="n">
        <v>60.0</v>
      </c>
      <c r="L133" s="403" t="n">
        <f t="shared" si="35"/>
        <v>1.0169491525423728</v>
      </c>
      <c r="M133" s="408" t="n">
        <v>60.0</v>
      </c>
      <c r="N133" s="403" t="n">
        <f t="shared" si="19"/>
        <v>1.0169491525423728</v>
      </c>
      <c r="O133" s="408" t="n">
        <v>63.0</v>
      </c>
      <c r="P133" s="403" t="n">
        <f t="shared" si="20"/>
        <v>1.0677966101694916</v>
      </c>
      <c r="Q133" s="408" t="n">
        <v>67.0</v>
      </c>
      <c r="R133" s="403" t="n">
        <f t="shared" si="21"/>
        <v>1.1355932203389831</v>
      </c>
      <c r="S133" s="408" t="n">
        <v>64.0</v>
      </c>
      <c r="T133" s="411" t="n">
        <f t="shared" ref="T133:T137" si="36">IFERROR(S133/F133,"－")</f>
        <v>1.0847457627118644</v>
      </c>
    </row>
    <row r="134" spans="1:20">
      <c r="A134" s="19"/>
      <c r="B134" s="1060" t="s">
        <v>65</v>
      </c>
      <c r="C134" s="389" t="s">
        <v>16</v>
      </c>
      <c r="D134" s="472" t="n">
        <v>116436.88</v>
      </c>
      <c r="E134" s="409" t="n">
        <v>92523.146</v>
      </c>
      <c r="F134" s="498" t="n">
        <v>87734.88</v>
      </c>
      <c r="G134" s="473" t="n">
        <v>86034.0</v>
      </c>
      <c r="H134" s="409" t="n">
        <v>86034.0</v>
      </c>
      <c r="I134" s="474" t="n">
        <v>86034.0</v>
      </c>
      <c r="J134" s="410" t="n">
        <f t="shared" si="34"/>
        <v>0.9806134116784567</v>
      </c>
      <c r="K134" s="408" t="n">
        <v>79442.0</v>
      </c>
      <c r="L134" s="411" t="n">
        <f t="shared" si="35"/>
        <v>0.9054779581393397</v>
      </c>
      <c r="M134" s="408" t="n">
        <v>79442.0</v>
      </c>
      <c r="N134" s="411" t="n">
        <f t="shared" si="19"/>
        <v>0.9054779581393397</v>
      </c>
      <c r="O134" s="408" t="n">
        <v>95882.0</v>
      </c>
      <c r="P134" s="411" t="n">
        <f t="shared" si="20"/>
        <v>1.0928606729729384</v>
      </c>
      <c r="Q134" s="408" t="n">
        <v>95882.0</v>
      </c>
      <c r="R134" s="411" t="n">
        <f t="shared" si="21"/>
        <v>1.0928606729729384</v>
      </c>
      <c r="S134" s="408" t="n">
        <v>89284.0</v>
      </c>
      <c r="T134" s="411" t="n">
        <f t="shared" si="36"/>
        <v>1.0176568315816925</v>
      </c>
    </row>
    <row r="135" spans="1:20">
      <c r="A135" s="19"/>
      <c r="B135" s="1061"/>
      <c r="C135" s="389" t="s">
        <v>17</v>
      </c>
      <c r="D135" s="472" t="n">
        <v>35.166666666666664</v>
      </c>
      <c r="E135" s="409" t="n">
        <v>28.166666666666668</v>
      </c>
      <c r="F135" s="498" t="n">
        <v>26.0</v>
      </c>
      <c r="G135" s="473" t="n">
        <v>26.0</v>
      </c>
      <c r="H135" s="409" t="n">
        <v>26.0</v>
      </c>
      <c r="I135" s="474" t="n">
        <v>26.0</v>
      </c>
      <c r="J135" s="402" t="n">
        <f t="shared" si="34"/>
        <v>1.0</v>
      </c>
      <c r="K135" s="408" t="n">
        <v>24.0</v>
      </c>
      <c r="L135" s="403" t="n">
        <f t="shared" si="35"/>
        <v>0.9230769230769231</v>
      </c>
      <c r="M135" s="408" t="n">
        <v>24.0</v>
      </c>
      <c r="N135" s="403" t="n">
        <f t="shared" ref="N135:N144" si="37">IFERROR(M135/F135,"－")</f>
        <v>0.9230769230769231</v>
      </c>
      <c r="O135" s="408" t="n">
        <v>29.0</v>
      </c>
      <c r="P135" s="403" t="n">
        <f t="shared" ref="P135:P144" si="38">IFERROR(O135/F135,"－")</f>
        <v>1.1153846153846154</v>
      </c>
      <c r="Q135" s="408" t="n">
        <v>29.0</v>
      </c>
      <c r="R135" s="403" t="n">
        <f t="shared" ref="R135:R144" si="39">IFERROR(Q135/F135,"－")</f>
        <v>1.1153846153846154</v>
      </c>
      <c r="S135" s="408" t="n">
        <v>27.0</v>
      </c>
      <c r="T135" s="411" t="n">
        <f t="shared" si="36"/>
        <v>1.0384615384615385</v>
      </c>
    </row>
    <row r="136" spans="1:20">
      <c r="A136" s="19"/>
      <c r="B136" s="752" t="s">
        <v>215</v>
      </c>
      <c r="C136" s="389" t="s">
        <v>216</v>
      </c>
      <c r="D136" s="472" t="n">
        <v>305.802</v>
      </c>
      <c r="E136" s="409" t="n">
        <v>4309.632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0.08333333333333333</v>
      </c>
      <c r="E137" s="409" t="n">
        <v>1.0833333333333333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50941.186</v>
      </c>
      <c r="E140" s="446" t="n">
        <v>48081.068</v>
      </c>
      <c r="F140" s="517" t="n">
        <v>51359.376</v>
      </c>
      <c r="G140" s="518" t="n">
        <v>51312.0</v>
      </c>
      <c r="H140" s="446" t="n">
        <v>51903.0</v>
      </c>
      <c r="I140" s="519" t="n">
        <v>51090.0</v>
      </c>
      <c r="J140" s="447" t="n">
        <f t="shared" si="34"/>
        <v>1.0014724477960948</v>
      </c>
      <c r="K140" s="445" t="n">
        <v>50640.0</v>
      </c>
      <c r="L140" s="448" t="n">
        <f t="shared" si="35"/>
        <v>0.9859932877689169</v>
      </c>
      <c r="M140" s="445" t="n">
        <v>50998.0</v>
      </c>
      <c r="N140" s="448" t="n">
        <f t="shared" si="37"/>
        <v>0.9929637774415329</v>
      </c>
      <c r="O140" s="445" t="n">
        <v>54985.0</v>
      </c>
      <c r="P140" s="448" t="n">
        <f t="shared" si="38"/>
        <v>1.0705932252759458</v>
      </c>
      <c r="Q140" s="445" t="n">
        <v>55614.0</v>
      </c>
      <c r="R140" s="448" t="n">
        <f t="shared" si="39"/>
        <v>1.0828402588068828</v>
      </c>
      <c r="S140" s="445" t="n">
        <v>53290.0</v>
      </c>
      <c r="T140" s="448" t="n">
        <f>IFERROR(S140/F140,"－")</f>
        <v>1.03759048785951</v>
      </c>
    </row>
    <row r="141" spans="1:20" ht="14.25" thickBot="1">
      <c r="A141" s="21"/>
      <c r="B141" s="449"/>
      <c r="C141" s="450" t="s">
        <v>17</v>
      </c>
      <c r="D141" s="520" t="n">
        <v>264.0</v>
      </c>
      <c r="E141" s="487" t="n">
        <v>249.33333333333334</v>
      </c>
      <c r="F141" s="521" t="n">
        <v>261.0</v>
      </c>
      <c r="G141" s="511" t="n">
        <v>261.0</v>
      </c>
      <c r="H141" s="487" t="n">
        <v>264.0</v>
      </c>
      <c r="I141" s="488" t="n">
        <v>260.0</v>
      </c>
      <c r="J141" s="455" t="n">
        <f t="shared" si="34"/>
        <v>1.0025542784163475</v>
      </c>
      <c r="K141" s="486" t="n">
        <v>258.0</v>
      </c>
      <c r="L141" s="456" t="n">
        <f t="shared" si="35"/>
        <v>0.9885057471264368</v>
      </c>
      <c r="M141" s="486" t="n">
        <v>260.0</v>
      </c>
      <c r="N141" s="456" t="n">
        <f t="shared" si="37"/>
        <v>0.9961685823754789</v>
      </c>
      <c r="O141" s="486" t="n">
        <v>280.0</v>
      </c>
      <c r="P141" s="456" t="n">
        <f t="shared" si="38"/>
        <v>1.0727969348659003</v>
      </c>
      <c r="Q141" s="486" t="n">
        <v>283.0</v>
      </c>
      <c r="R141" s="456" t="n">
        <f t="shared" si="39"/>
        <v>1.0842911877394636</v>
      </c>
      <c r="S141" s="486" t="n">
        <v>271.0</v>
      </c>
      <c r="T141" s="456" t="n">
        <f>IFERROR(S141/F141,"－")</f>
        <v>1.0383141762452108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1048012.3940000001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968630.3969999999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1030544.0760000001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995199.0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1005176.0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994381.0</v>
      </c>
      <c r="J144" s="463" t="n">
        <f t="shared" ref="J144" si="45">IFERROR(SUM(G144:I144)/3/F144,"－")</f>
        <v>0.9686650219509872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992435.0</v>
      </c>
      <c r="L144" s="464" t="n">
        <f t="shared" si="35"/>
        <v>0.9630204307729191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987569.0</v>
      </c>
      <c r="N144" s="464" t="n">
        <f t="shared" si="37"/>
        <v>0.9582986531087486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1063776.0</v>
      </c>
      <c r="P144" s="464" t="n">
        <f t="shared" si="38"/>
        <v>1.0322469700946588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1090961.0</v>
      </c>
      <c r="R144" s="464" t="n">
        <f t="shared" si="39"/>
        <v>1.058626239679631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1046510.0</v>
      </c>
      <c r="T144" s="464" t="n">
        <f>IFERROR(S144/F144,"－")</f>
        <v>1.0154927133849245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1085998.475</v>
      </c>
      <c r="E150" s="529" t="n">
        <f t="shared" si="46"/>
        <v>1005147.6889999999</v>
      </c>
      <c r="F150" s="530" t="n">
        <f t="shared" si="46"/>
        <v>1067275.0536000002</v>
      </c>
      <c r="G150" s="531" t="n">
        <f t="shared" si="46"/>
        <v>1030650.0</v>
      </c>
      <c r="H150" s="529" t="n">
        <f t="shared" si="46"/>
        <v>1041998.0</v>
      </c>
      <c r="I150" s="530" t="n">
        <f t="shared" si="46"/>
        <v>1031197.0</v>
      </c>
      <c r="J150" s="532" t="n">
        <f>K61+K144</f>
        <v>1029410.0</v>
      </c>
      <c r="K150" s="532" t="n">
        <f>M61+M144</f>
        <v>1025594.0</v>
      </c>
      <c r="L150" s="532" t="n">
        <f>O61+O144</f>
        <v>1104082.0</v>
      </c>
      <c r="M150" s="532" t="n">
        <f>Q61+Q144</f>
        <v>1129315.0</v>
      </c>
      <c r="N150" s="532" t="n">
        <f>S61+S144</f>
        <v>1083496.0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444614.1429999999</v>
      </c>
      <c r="E151" s="536" t="n">
        <f>E12+E14+E17+E20+E23+E25+E27+E29+E32+E35+E38+E41+E43+E45+E50+E53+E57+E68+E71+E74+E77+E80+E82+E85+E88+E91+E94+E97+E100+E102+E104+E109+E111+E116+E119+E127+E113+E140</f>
        <v>429673.33199999994</v>
      </c>
      <c r="F151" s="536" t="n">
        <f>F12+F14+F17+F20+F23+F25+F27+F29+F32+F35+F38+F41+F43+F45+F50+F53+F57+F68+F71+F74+F77+F80+F82+F85+F88+F91+F94+F97+F100+F102+F104+F109+F111+F116+F119+F127+F113+F140</f>
        <v>511517.6735999999</v>
      </c>
      <c r="G151" s="535" t="n">
        <f>G14+G17+G20+G23+G27+G29+G32+G35+G38+G41+G43+G45+G50+G53+G57+G68+G71+G74+G77+G80+G82+G85+G88+G91+G94+G97+G100+G102+G104+G109+G111+G116+G119+G127+G113+G140</f>
        <v>504401.0</v>
      </c>
      <c r="H151" s="536" t="n">
        <f>H14+H17+H20+H23+H27+H29+H32+H35+H38+H41+H43+H45+H50+H53+H57+H59+H68+H71+H74+H77+H80+H82+H85+H88+H91+H94+H97+H100+H102+H104+H109+H111+H116+H119+H127+H113+H140+H142</f>
        <v>512665.0</v>
      </c>
      <c r="I151" s="537" t="n">
        <f>I14+I17+I20+I23+I27+I29+I32+I35+I38+I41+I43+I45+I50+I53+I57+I59+I68+I71+I74+I77+I80+I82+I85+I88+I91+I94+I97+I100+I102+I104+I109+I111+I116+I119+I127+I113+I140+I142</f>
        <v>504948.0</v>
      </c>
      <c r="J151" s="538" t="n">
        <f>K14+K17+K20+K23+K27+K29+K32+K35+K38+K41+K43+K45+K50+K53+K57+K59+K68+K71+K74+K77+K80+K82+K85+K88+K91+K94+K97+K100+K102+K104+K109+K111+K116+K119+K127+K113+K140+K142</f>
        <v>503399.0</v>
      </c>
      <c r="K151" s="538" t="n">
        <f>M14+M17+M20+M23+M27+M29+M32+M35+M38+M41+M43+M45+M50+M53+M57+M59+M68+M71+M74+M77+M80+M82+M85+M88+M91+M94+M97+M100+M102+M104+M109+M111+M116+M119+M127+M113+M140+M142</f>
        <v>502667.0</v>
      </c>
      <c r="L151" s="538" t="n">
        <f>O14+O17+O20+O23+O27+O29+O32+O35+O38+O41+O43+O45+O50+O53+O57+O59+O68+O71+O74+O77+O80+O82+O85+O88+O91+O94+O97+O100+O102+O104+O109+O111+O116+O119+O127+O113+O140+O142</f>
        <v>540711.0</v>
      </c>
      <c r="M151" s="538" t="n">
        <f>Q14+Q17+Q20+Q23+Q27+Q29+Q32+Q35+Q38+Q41+Q43+Q45+Q50+Q53+Q57+Q59+Q68+Q71+Q74+Q77+Q80+Q82+Q85+Q88+Q91+Q94+Q97+Q100+Q102+Q104+Q109+Q111+Q116+Q119+Q127+Q113+Q140+Q142</f>
        <v>547297.0</v>
      </c>
      <c r="N151" s="538" t="n">
        <f>S14+S17+S20+S23+S27+S29+S32+S35+S38+S41+S43+S45+S50+S53+S57+S59+S68+S71+S74+S77+S80+S82+S85+S88+S91+S94+S97+S100+S102+S104+S109+S111+S116+S119+S127+S113+S140+S142</f>
        <v>529704.0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173762.127</v>
      </c>
      <c r="E152" s="536" t="n">
        <f t="shared" si="47"/>
        <v>147442.25300000003</v>
      </c>
      <c r="F152" s="540" t="n">
        <f t="shared" si="47"/>
        <v>154585.764</v>
      </c>
      <c r="G152" s="539" t="n">
        <f t="shared" si="47"/>
        <v>138561.0</v>
      </c>
      <c r="H152" s="536" t="n">
        <f t="shared" si="47"/>
        <v>141645.0</v>
      </c>
      <c r="I152" s="540" t="n">
        <f t="shared" si="47"/>
        <v>138561.0</v>
      </c>
      <c r="J152" s="538" t="n">
        <f>K47+K55+K106+K121+K123</f>
        <v>141645.0</v>
      </c>
      <c r="K152" s="538" t="n">
        <f>M47+M55+M106+M121+M123</f>
        <v>138561.0</v>
      </c>
      <c r="L152" s="538" t="n">
        <f>O47+O55+O106+O121+O123</f>
        <v>147585.0</v>
      </c>
      <c r="M152" s="538" t="n">
        <f>Q47+Q55+Q106+Q121+Q123</f>
        <v>150763.0</v>
      </c>
      <c r="N152" s="538" t="n">
        <f>S47+S55+S106+S121+S123</f>
        <v>144501.0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467622.205</v>
      </c>
      <c r="E153" s="545" t="n">
        <f t="shared" si="48"/>
        <v>428032.104</v>
      </c>
      <c r="F153" s="546" t="n">
        <f t="shared" si="48"/>
        <v>401171.61600000004</v>
      </c>
      <c r="G153" s="544" t="n">
        <f t="shared" si="48"/>
        <v>387688.0</v>
      </c>
      <c r="H153" s="545" t="n">
        <f t="shared" si="48"/>
        <v>387688.0</v>
      </c>
      <c r="I153" s="546" t="n">
        <f t="shared" si="48"/>
        <v>387688.0</v>
      </c>
      <c r="J153" s="547" t="n">
        <f>K125+K132+K134+K136</f>
        <v>384366.0</v>
      </c>
      <c r="K153" s="547" t="n">
        <f>M125+M132+M134+M136</f>
        <v>384366.0</v>
      </c>
      <c r="L153" s="547" t="n">
        <f>O125+O132+O134+O136</f>
        <v>415786.0</v>
      </c>
      <c r="M153" s="547" t="n">
        <f>Q125+Q132+Q134+Q136</f>
        <v>431255.0</v>
      </c>
      <c r="N153" s="547" t="n">
        <f>S125+S132+S134+S136</f>
        <v>409291.0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105.99999999999999</v>
      </c>
      <c r="E157" s="146" t="n">
        <f>E133+E135+E137+E139</f>
        <v>97.16666666666667</v>
      </c>
      <c r="F157" s="147" t="n">
        <f>F133+F135+F137+F139</f>
        <v>85.0</v>
      </c>
      <c r="G157" s="145" t="n">
        <f>G133+G135+G137+G139</f>
        <v>85.0</v>
      </c>
      <c r="H157" s="147" t="n">
        <f>H133+H135+H137+H139</f>
        <v>85.0</v>
      </c>
      <c r="I157" s="147" t="n">
        <f t="shared" ref="I157" si="49">I133+I135+I137+I139</f>
        <v>85.0</v>
      </c>
      <c r="J157" s="152" t="n">
        <f>K133+K135+K137</f>
        <v>84.0</v>
      </c>
      <c r="K157" s="152" t="n">
        <f>M133+M135+M137</f>
        <v>84.0</v>
      </c>
      <c r="L157" s="152" t="n">
        <f>O133+O135+O137</f>
        <v>92.0</v>
      </c>
      <c r="M157" s="152" t="n">
        <f>Q133+Q135+Q137</f>
        <v>96.0</v>
      </c>
      <c r="N157" s="152" t="n">
        <f>S133+S135+S137</f>
        <v>91.0</v>
      </c>
    </row>
    <row r="158" spans="1:14">
      <c r="A158" s="5"/>
      <c r="B158" s="148" t="s">
        <v>219</v>
      </c>
      <c r="C158" s="548"/>
      <c r="D158" s="46" t="n">
        <v>62.083333333333336</v>
      </c>
      <c r="E158" s="149" t="n">
        <v>53.666666666666664</v>
      </c>
      <c r="F158" s="177" t="n">
        <v>50.0</v>
      </c>
      <c r="G158" s="46" t="n">
        <v>50.0</v>
      </c>
      <c r="H158" s="177" t="n">
        <v>50.0</v>
      </c>
      <c r="I158" s="177" t="n">
        <v>50.0</v>
      </c>
      <c r="J158" s="153" t="n">
        <v>49.0</v>
      </c>
      <c r="K158" s="153" t="n">
        <v>49.0</v>
      </c>
      <c r="L158" s="153" t="n">
        <v>53.0</v>
      </c>
      <c r="M158" s="153" t="n">
        <v>57.0</v>
      </c>
      <c r="N158" s="153" t="n">
        <v>54.0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58.6</v>
      </c>
      <c r="E159" s="735" t="n">
        <f t="shared" ref="E159:J159" si="50">IFERROR(ROUND(E158/E157*100,1),"－")</f>
        <v>55.2</v>
      </c>
      <c r="F159" s="736" t="n">
        <f t="shared" si="50"/>
        <v>58.8</v>
      </c>
      <c r="G159" s="734" t="n">
        <f t="shared" si="50"/>
        <v>58.8</v>
      </c>
      <c r="H159" s="736" t="n">
        <f t="shared" si="50"/>
        <v>58.8</v>
      </c>
      <c r="I159" s="736" t="n">
        <f t="shared" si="50"/>
        <v>58.8</v>
      </c>
      <c r="J159" s="737" t="n">
        <f t="shared" si="50"/>
        <v>58.3</v>
      </c>
      <c r="K159" s="737" t="n">
        <f t="shared" ref="K159:M159" si="51">IFERROR(ROUND(K158/K157*100,1),"－")</f>
        <v>58.3</v>
      </c>
      <c r="L159" s="737" t="n">
        <f t="shared" si="51"/>
        <v>57.6</v>
      </c>
      <c r="M159" s="737" t="n">
        <f t="shared" si="51"/>
        <v>59.4</v>
      </c>
      <c r="N159" s="737" t="n">
        <f>IFERROR(ROUND(N158/N157*100,1),"－")</f>
        <v>59.3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1.040540541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小野町</v>
      </c>
    </row>
    <row r="4" spans="1:12" ht="14.25" thickBot="1">
      <c r="K4" s="770" t="s">
        <v>68</v>
      </c>
      <c r="L4" s="769" t="str">
        <f>保険者番号</f>
        <v>07522</v>
      </c>
    </row>
    <row r="5" spans="1:12" ht="14.25" thickBot="1">
      <c r="K5" s="771" t="s">
        <v>103</v>
      </c>
      <c r="L5" s="358" t="str">
        <f>推計パターン名</f>
        <v>将来推計0925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0.0</v>
      </c>
      <c r="C9" s="739" t="n">
        <v>0.0</v>
      </c>
      <c r="D9" s="740" t="n">
        <v>0.0</v>
      </c>
      <c r="E9" s="738" t="n">
        <v>0.0</v>
      </c>
      <c r="F9" s="739" t="n">
        <v>0.0</v>
      </c>
      <c r="G9" s="740" t="n">
        <v>0.0</v>
      </c>
      <c r="H9" s="738" t="n">
        <v>0.0</v>
      </c>
      <c r="I9" s="739" t="n">
        <v>0.0</v>
      </c>
      <c r="J9" s="739" t="n">
        <v>0.0</v>
      </c>
      <c r="K9" s="739" t="n">
        <v>0.0</v>
      </c>
      <c r="L9" s="740" t="n">
        <v>0.0</v>
      </c>
    </row>
    <row r="10" spans="1:12">
      <c r="A10" s="774" t="s">
        <v>313</v>
      </c>
      <c r="B10" s="775" t="n">
        <v>0.0</v>
      </c>
      <c r="C10" s="776" t="n">
        <v>0.0</v>
      </c>
      <c r="D10" s="777" t="n">
        <v>0.0</v>
      </c>
      <c r="E10" s="775" t="n">
        <v>0.0</v>
      </c>
      <c r="F10" s="776" t="n">
        <v>0.0</v>
      </c>
      <c r="G10" s="777" t="n">
        <v>0.0</v>
      </c>
      <c r="H10" s="775" t="n">
        <v>0.0</v>
      </c>
      <c r="I10" s="776" t="n">
        <v>0.0</v>
      </c>
      <c r="J10" s="776" t="n">
        <v>0.0</v>
      </c>
      <c r="K10" s="776" t="n">
        <v>0.0</v>
      </c>
      <c r="L10" s="777" t="n">
        <v>0.0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0.0</v>
      </c>
      <c r="C17" s="739" t="n">
        <v>0.0</v>
      </c>
      <c r="D17" s="740" t="n">
        <v>0.0</v>
      </c>
      <c r="E17" s="738" t="n">
        <v>0.0</v>
      </c>
      <c r="F17" s="739" t="n">
        <v>0.0</v>
      </c>
      <c r="G17" s="740" t="n">
        <v>0.0</v>
      </c>
      <c r="H17" s="738" t="n">
        <v>0.0</v>
      </c>
      <c r="I17" s="739" t="n">
        <v>0.0</v>
      </c>
      <c r="J17" s="739" t="n">
        <v>0.0</v>
      </c>
      <c r="K17" s="739" t="n">
        <v>0.0</v>
      </c>
      <c r="L17" s="740" t="n">
        <v>0.0</v>
      </c>
    </row>
    <row r="18" spans="1:12">
      <c r="A18" s="774" t="s">
        <v>313</v>
      </c>
      <c r="B18" s="775" t="n">
        <v>0.0</v>
      </c>
      <c r="C18" s="776" t="n">
        <v>0.0</v>
      </c>
      <c r="D18" s="777" t="n">
        <v>0.0</v>
      </c>
      <c r="E18" s="775" t="n">
        <v>0.0</v>
      </c>
      <c r="F18" s="776" t="n">
        <v>0.0</v>
      </c>
      <c r="G18" s="777" t="n">
        <v>0.0</v>
      </c>
      <c r="H18" s="775" t="n">
        <v>0.0</v>
      </c>
      <c r="I18" s="776" t="n">
        <v>0.0</v>
      </c>
      <c r="J18" s="776" t="n">
        <v>0.0</v>
      </c>
      <c r="K18" s="776" t="n">
        <v>0.0</v>
      </c>
      <c r="L18" s="777" t="n">
        <v>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0.0</v>
      </c>
      <c r="C27" s="1008" t="n">
        <v>0.0</v>
      </c>
      <c r="D27" s="1009" t="n">
        <v>0.0</v>
      </c>
      <c r="E27" s="1007" t="n">
        <v>0.0</v>
      </c>
      <c r="F27" s="1008" t="n">
        <v>0.0</v>
      </c>
      <c r="G27" s="1009" t="n">
        <v>0.0</v>
      </c>
      <c r="H27" s="1007" t="n">
        <v>0.0</v>
      </c>
      <c r="I27" s="1008" t="n">
        <v>0.0</v>
      </c>
      <c r="J27" s="1008" t="n">
        <v>0.0</v>
      </c>
      <c r="K27" s="1008" t="n">
        <v>0.0</v>
      </c>
      <c r="L27" s="1009" t="n">
        <v>0.0</v>
      </c>
    </row>
    <row r="28" spans="1:12">
      <c r="A28" s="1002" t="s">
        <v>382</v>
      </c>
      <c r="B28" s="1003" t="n">
        <v>0.0</v>
      </c>
      <c r="C28" s="1004" t="n">
        <v>0.0</v>
      </c>
      <c r="D28" s="1005" t="n">
        <v>0.0</v>
      </c>
      <c r="E28" s="1003" t="n">
        <v>0.0</v>
      </c>
      <c r="F28" s="1004" t="n">
        <v>0.0</v>
      </c>
      <c r="G28" s="1005" t="n">
        <v>0.0</v>
      </c>
      <c r="H28" s="1003" t="n">
        <v>0.0</v>
      </c>
      <c r="I28" s="1004" t="n">
        <v>0.0</v>
      </c>
      <c r="J28" s="1004" t="n">
        <v>0.0</v>
      </c>
      <c r="K28" s="1004" t="n">
        <v>0.0</v>
      </c>
      <c r="L28" s="1005" t="n">
        <v>0.0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0.0</v>
      </c>
      <c r="C33" s="710" t="n">
        <v>0.0</v>
      </c>
      <c r="D33" s="705" t="n">
        <v>0.0</v>
      </c>
      <c r="E33" s="700" t="n">
        <v>0.0</v>
      </c>
      <c r="F33" s="710" t="n">
        <v>0.0</v>
      </c>
      <c r="G33" s="705" t="n">
        <v>0.0</v>
      </c>
      <c r="H33" s="700" t="n">
        <v>0.0</v>
      </c>
      <c r="I33" s="710" t="n">
        <v>0.0</v>
      </c>
      <c r="J33" s="710" t="n">
        <v>0.0</v>
      </c>
      <c r="K33" s="710" t="n">
        <v>0.0</v>
      </c>
      <c r="L33" s="705" t="n">
        <v>0.0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0.0</v>
      </c>
      <c r="C39" s="715" t="n">
        <v>0.0</v>
      </c>
      <c r="D39" s="704" t="n">
        <v>0.0</v>
      </c>
      <c r="E39" s="699" t="n">
        <v>0.0</v>
      </c>
      <c r="F39" s="715" t="n">
        <v>0.0</v>
      </c>
      <c r="G39" s="704" t="n">
        <v>0.0</v>
      </c>
      <c r="H39" s="699" t="n">
        <v>0.0</v>
      </c>
      <c r="I39" s="715" t="n">
        <v>0.0</v>
      </c>
      <c r="J39" s="715" t="n">
        <v>0.0</v>
      </c>
      <c r="K39" s="709" t="n">
        <v>0.0</v>
      </c>
      <c r="L39" s="704" t="n">
        <v>0.0</v>
      </c>
    </row>
    <row r="40" spans="1:12" ht="14.25" thickBot="1">
      <c r="A40" s="733" t="s">
        <v>295</v>
      </c>
      <c r="B40" s="701" t="n">
        <v>0.0</v>
      </c>
      <c r="C40" s="716" t="n">
        <v>0.0</v>
      </c>
      <c r="D40" s="706" t="n">
        <v>0.0</v>
      </c>
      <c r="E40" s="701" t="n">
        <v>0.0</v>
      </c>
      <c r="F40" s="716" t="n">
        <v>0.0</v>
      </c>
      <c r="G40" s="706" t="n">
        <v>0.0</v>
      </c>
      <c r="H40" s="701" t="n">
        <v>0.0</v>
      </c>
      <c r="I40" s="716" t="n">
        <v>0.0</v>
      </c>
      <c r="J40" s="716" t="n">
        <v>0.0</v>
      </c>
      <c r="K40" s="711" t="n">
        <v>0.0</v>
      </c>
      <c r="L40" s="706" t="n">
        <v>0.0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0.0</v>
      </c>
      <c r="D44" s="704" t="n">
        <v>0.0</v>
      </c>
      <c r="E44" s="699" t="n">
        <v>0.0</v>
      </c>
      <c r="F44" s="709" t="n">
        <v>0.0</v>
      </c>
      <c r="G44" s="704" t="n">
        <v>0.0</v>
      </c>
      <c r="H44" s="699" t="n">
        <v>0.0</v>
      </c>
      <c r="I44" s="709" t="n">
        <v>0.0</v>
      </c>
      <c r="J44" s="709" t="n">
        <v>0.0</v>
      </c>
      <c r="K44" s="709" t="n">
        <v>0.0</v>
      </c>
      <c r="L44" s="704" t="n">
        <v>0.0</v>
      </c>
    </row>
    <row r="45" spans="1:12">
      <c r="A45" s="729" t="s">
        <v>297</v>
      </c>
      <c r="B45" s="700" t="n">
        <v>0.0</v>
      </c>
      <c r="C45" s="710" t="n">
        <v>0.0</v>
      </c>
      <c r="D45" s="705" t="n">
        <v>0.0</v>
      </c>
      <c r="E45" s="700" t="n">
        <v>0.0</v>
      </c>
      <c r="F45" s="710" t="n">
        <v>0.0</v>
      </c>
      <c r="G45" s="705" t="n">
        <v>0.0</v>
      </c>
      <c r="H45" s="700" t="n">
        <v>0.0</v>
      </c>
      <c r="I45" s="710" t="n">
        <v>0.0</v>
      </c>
      <c r="J45" s="710" t="n">
        <v>0.0</v>
      </c>
      <c r="K45" s="710" t="n">
        <v>0.0</v>
      </c>
      <c r="L45" s="705" t="n">
        <v>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0.0</v>
      </c>
      <c r="C61" s="779" t="n">
        <f t="shared" ref="C61:D61" si="0">SUM(C9,C11,C13:C17,C19,C21:C34)</f>
        <v>0.0</v>
      </c>
      <c r="D61" s="780" t="n">
        <f t="shared" si="0"/>
        <v>0.0</v>
      </c>
      <c r="E61" s="778" t="n">
        <f t="shared" ref="E61:L61" si="1">SUM(E9,E11,E13:E17,E19,E21:E35)</f>
        <v>0.0</v>
      </c>
      <c r="F61" s="779" t="n">
        <f t="shared" si="1"/>
        <v>0.0</v>
      </c>
      <c r="G61" s="780" t="n">
        <f t="shared" si="1"/>
        <v>0.0</v>
      </c>
      <c r="H61" s="778" t="n">
        <f t="shared" si="1"/>
        <v>0.0</v>
      </c>
      <c r="I61" s="779" t="n">
        <f t="shared" si="1"/>
        <v>0.0</v>
      </c>
      <c r="J61" s="779" t="n">
        <f t="shared" si="1"/>
        <v>0.0</v>
      </c>
      <c r="K61" s="779" t="n">
        <f t="shared" si="1"/>
        <v>0.0</v>
      </c>
      <c r="L61" s="780" t="n">
        <f t="shared" si="1"/>
        <v>0.0</v>
      </c>
    </row>
    <row r="62" spans="1:12">
      <c r="A62" s="729" t="s">
        <v>318</v>
      </c>
      <c r="B62" s="781" t="n">
        <f t="shared" ref="B62:L62" si="2">SUM(B39:B40)</f>
        <v>0.0</v>
      </c>
      <c r="C62" s="782" t="n">
        <f t="shared" si="2"/>
        <v>0.0</v>
      </c>
      <c r="D62" s="783" t="n">
        <f t="shared" si="2"/>
        <v>0.0</v>
      </c>
      <c r="E62" s="781" t="n">
        <f t="shared" si="2"/>
        <v>0.0</v>
      </c>
      <c r="F62" s="782" t="n">
        <f t="shared" si="2"/>
        <v>0.0</v>
      </c>
      <c r="G62" s="783" t="n">
        <f t="shared" si="2"/>
        <v>0.0</v>
      </c>
      <c r="H62" s="781" t="n">
        <f t="shared" si="2"/>
        <v>0.0</v>
      </c>
      <c r="I62" s="782" t="n">
        <f t="shared" si="2"/>
        <v>0.0</v>
      </c>
      <c r="J62" s="782" t="n">
        <f t="shared" si="2"/>
        <v>0.0</v>
      </c>
      <c r="K62" s="782" t="n">
        <f t="shared" si="2"/>
        <v>0.0</v>
      </c>
      <c r="L62" s="783" t="n">
        <f t="shared" si="2"/>
        <v>0.0</v>
      </c>
    </row>
    <row r="63" spans="1:12">
      <c r="A63" s="729" t="s">
        <v>302</v>
      </c>
      <c r="B63" s="781" t="n">
        <f t="shared" ref="B63:L63" si="3">SUM(B44:B49)</f>
        <v>0.0</v>
      </c>
      <c r="C63" s="782" t="n">
        <f t="shared" si="3"/>
        <v>0.0</v>
      </c>
      <c r="D63" s="783" t="n">
        <f t="shared" si="3"/>
        <v>0.0</v>
      </c>
      <c r="E63" s="781" t="n">
        <f t="shared" si="3"/>
        <v>0.0</v>
      </c>
      <c r="F63" s="782" t="n">
        <f t="shared" si="3"/>
        <v>0.0</v>
      </c>
      <c r="G63" s="783" t="n">
        <f t="shared" si="3"/>
        <v>0.0</v>
      </c>
      <c r="H63" s="781" t="n">
        <f t="shared" si="3"/>
        <v>0.0</v>
      </c>
      <c r="I63" s="782" t="n">
        <f t="shared" si="3"/>
        <v>0.0</v>
      </c>
      <c r="J63" s="782" t="n">
        <f t="shared" si="3"/>
        <v>0.0</v>
      </c>
      <c r="K63" s="782" t="n">
        <f t="shared" si="3"/>
        <v>0.0</v>
      </c>
      <c r="L63" s="783" t="n">
        <f t="shared" si="3"/>
        <v>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0.0</v>
      </c>
      <c r="C66" s="721" t="n">
        <f t="shared" ref="C66:L66" si="6">SUM(C61:C65)</f>
        <v>0.0</v>
      </c>
      <c r="D66" s="720" t="n">
        <f t="shared" si="6"/>
        <v>0.0</v>
      </c>
      <c r="E66" s="719" t="n">
        <f t="shared" si="6"/>
        <v>0.0</v>
      </c>
      <c r="F66" s="721" t="n">
        <f t="shared" si="6"/>
        <v>0.0</v>
      </c>
      <c r="G66" s="720" t="n">
        <f t="shared" si="6"/>
        <v>0.0</v>
      </c>
      <c r="H66" s="719" t="n">
        <f t="shared" si="6"/>
        <v>0.0</v>
      </c>
      <c r="I66" s="721" t="n">
        <f t="shared" si="6"/>
        <v>0.0</v>
      </c>
      <c r="J66" s="721" t="n">
        <f t="shared" si="6"/>
        <v>0.0</v>
      </c>
      <c r="K66" s="721" t="n">
        <f t="shared" si="6"/>
        <v>0.0</v>
      </c>
      <c r="L66" s="720" t="n">
        <f t="shared" si="6"/>
        <v>0.0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2026/09/25</v>
      </c>
    </row>
    <row r="3" spans="1:12" ht="14.25" thickBot="1">
      <c r="I3" s="1051" t="s">
        <v>67</v>
      </c>
      <c r="J3" s="1052"/>
      <c r="K3" s="1065" t="str">
        <f>保険者名</f>
        <v>小野町</v>
      </c>
      <c r="L3" s="1066"/>
    </row>
    <row r="4" spans="1:12" ht="14.25" thickBot="1">
      <c r="I4" s="1051" t="s">
        <v>68</v>
      </c>
      <c r="J4" s="1052"/>
      <c r="K4" s="1065" t="str">
        <f>保険者番号</f>
        <v>07522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将来推計0925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435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436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437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437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438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437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437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438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小野町</v>
      </c>
    </row>
    <row r="4" spans="1:17" ht="14.25" thickBot="1">
      <c r="B4" s="193"/>
      <c r="P4" s="628" t="s">
        <v>68</v>
      </c>
      <c r="Q4" s="195" t="str">
        <f>保険者番号</f>
        <v>07522</v>
      </c>
    </row>
    <row r="5" spans="1:17" ht="14.25" thickBot="1">
      <c r="B5" s="193"/>
      <c r="P5" s="196" t="s">
        <v>103</v>
      </c>
      <c r="Q5" s="197" t="str">
        <f>推計パターン名</f>
        <v>将来推計0925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6608.89984893206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6104.3062977384825</v>
      </c>
      <c r="G12" s="671" t="n">
        <f>J105/J106/J214/12</f>
        <v>6930.496963659228</v>
      </c>
      <c r="H12" s="671" t="n">
        <f>K105/K106/K214/12</f>
        <v>7484.2945703512805</v>
      </c>
      <c r="I12" s="671" t="n">
        <f>L105/L106/L214/12</f>
        <v>7444.089066133659</v>
      </c>
      <c r="J12" s="671" t="n">
        <f>M105/M106/M214/12</f>
        <v>7578.9803842044485</v>
      </c>
      <c r="K12" s="921" t="n">
        <f>N105/N106/N214/12</f>
        <v>8193.84158646186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-0.07635061246617547</v>
      </c>
      <c r="G22" s="674" t="n">
        <f t="shared" ref="G22:K22" si="0">G12/ROUND($F$8,0)-1</f>
        <v>0.048645326624183305</v>
      </c>
      <c r="H22" s="791" t="n">
        <f t="shared" si="0"/>
        <v>0.13243978973389026</v>
      </c>
      <c r="I22" s="791" t="n">
        <f t="shared" si="0"/>
        <v>0.12635634228077763</v>
      </c>
      <c r="J22" s="791" t="n">
        <f t="shared" si="0"/>
        <v>0.14676658862224978</v>
      </c>
      <c r="K22" s="792" t="n">
        <f t="shared" si="0"/>
        <v>0.23980051240155253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5706.533539577626</v>
      </c>
      <c r="G41" s="682" t="n">
        <f>(J69*'(参考)保険料の推計に要する係数'!E5+(J93-J94))/(J214*J106*12)</f>
        <v>6514.092191877458</v>
      </c>
      <c r="H41" s="682" t="n">
        <f>(K69*'(参考)保険料の推計に要する係数'!F5+(K93-K94))/(K214*K106*12)</f>
        <v>7014.996539547071</v>
      </c>
      <c r="I41" s="682" t="n">
        <f>(L69*'(参考)保険料の推計に要する係数'!G5+(L93-L94))/(L214*L106*12)</f>
        <v>6887.531821813287</v>
      </c>
      <c r="J41" s="682" t="n">
        <f>(M69*'(参考)保険料の推計に要する係数'!H5+(M93-M94))/(M214*M106*12)</f>
        <v>6958.648586667561</v>
      </c>
      <c r="K41" s="682" t="n">
        <f>(N69*'(参考)保険料の推計に要する係数'!I5+(N93-N94))/(N214*N106*12)</f>
        <v>7523.671252377518</v>
      </c>
      <c r="L41" s="684" t="n">
        <f t="shared" ref="L41:L51" si="8">F41/$F$49</f>
        <v>0.9348373527212711</v>
      </c>
      <c r="M41" s="684" t="n">
        <f>G41/$G$49</f>
        <v>0.939917040009507</v>
      </c>
      <c r="N41" s="684" t="n">
        <f>H41/$H$49</f>
        <v>0.9372956226678579</v>
      </c>
      <c r="O41" s="684" t="n">
        <f>I41/$I$49</f>
        <v>0.9252350100360315</v>
      </c>
      <c r="P41" s="684" t="n">
        <f>J41/$J$49</f>
        <v>0.9181510221573161</v>
      </c>
      <c r="Q41" s="934" t="n">
        <f>K41/$K$49</f>
        <v>0.9182104844214196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2798.278889154162</v>
      </c>
      <c r="G42" s="682" t="n">
        <f>$G$41*SUM('2_サービス別給付費'!J151)/SUM('2_サービス別給付費'!$J$150)</f>
        <v>3185.5018848650398</v>
      </c>
      <c r="H42" s="682" t="n">
        <f>$H$41*SUM('2_サービス別給付費'!K151)/SUM('2_サービス別給付費'!$K$150)</f>
        <v>3438.2097258218237</v>
      </c>
      <c r="I42" s="682" t="n">
        <f>$I$41*SUM('2_サービス別給付費'!L151)/SUM('2_サービス別給付費'!$L$150)</f>
        <v>3373.0866175741335</v>
      </c>
      <c r="J42" s="682" t="n">
        <f>$J$41*SUM('2_サービス別給付費'!M151)/SUM('2_サービス別給付費'!$M$150)</f>
        <v>3372.351819941643</v>
      </c>
      <c r="K42" s="682" t="n">
        <f>$K$41*SUM('2_サービス別給付費'!N151)/SUM('2_サービス別給付費'!$N$150)</f>
        <v>3678.2034793569896</v>
      </c>
      <c r="L42" s="684" t="n">
        <f t="shared" si="8"/>
        <v>0.458410628934342</v>
      </c>
      <c r="M42" s="684" t="n">
        <f t="shared" ref="M42:M51" si="9">G42/$G$49</f>
        <v>0.4596354203123593</v>
      </c>
      <c r="N42" s="684" t="n">
        <f t="shared" ref="N42:N51" si="10">H42/$H$49</f>
        <v>0.4593899523199084</v>
      </c>
      <c r="O42" s="684" t="n">
        <f t="shared" ref="O42:O51" si="11">I42/$I$49</f>
        <v>0.4531228183337765</v>
      </c>
      <c r="P42" s="684" t="n">
        <f t="shared" ref="P42:P51" si="12">J42/$J$49</f>
        <v>0.44496114899176287</v>
      </c>
      <c r="Q42" s="934" t="n">
        <f t="shared" ref="Q42:Q51" si="13">K42/$K$49</f>
        <v>0.4488985344107995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769.9185786559262</v>
      </c>
      <c r="G43" s="682" t="n">
        <f>$G$41*SUM('2_サービス別給付費'!J152)/SUM('2_サービス別給付費'!$J$150)</f>
        <v>896.3275939795442</v>
      </c>
      <c r="H43" s="682" t="n">
        <f>$H$41*SUM('2_サービス別給付費'!K152)/SUM('2_サービス別給付費'!$K$150)</f>
        <v>947.748266386291</v>
      </c>
      <c r="I43" s="682" t="n">
        <f>$I$41*SUM('2_サービス別給付費'!L152)/SUM('2_サービス別給付費'!$L$150)</f>
        <v>920.6710950113433</v>
      </c>
      <c r="J43" s="682" t="n">
        <f>$J$41*SUM('2_サービス別給付費'!M152)/SUM('2_サービス別給付費'!$M$150)</f>
        <v>928.9761819082909</v>
      </c>
      <c r="K43" s="682" t="n">
        <f>$K$41*SUM('2_サービス別給付費'!N152)/SUM('2_サービス別給付費'!$N$150)</f>
        <v>1003.3982770954426</v>
      </c>
      <c r="L43" s="684" t="n">
        <f t="shared" si="8"/>
        <v>0.1261271209377493</v>
      </c>
      <c r="M43" s="684" t="n">
        <f t="shared" si="9"/>
        <v>0.129330926581388</v>
      </c>
      <c r="N43" s="684" t="n">
        <f t="shared" si="10"/>
        <v>0.12663160936245832</v>
      </c>
      <c r="O43" s="684" t="n">
        <f t="shared" si="11"/>
        <v>0.12367814071433797</v>
      </c>
      <c r="P43" s="684" t="n">
        <f t="shared" si="12"/>
        <v>0.12257271226673111</v>
      </c>
      <c r="Q43" s="934" t="n">
        <f t="shared" si="13"/>
        <v>0.12245761240408784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2138.336071767537</v>
      </c>
      <c r="G44" s="682" t="n">
        <f>$G$41*SUM('2_サービス別給付費'!J153)/SUM('2_サービス別給付費'!$J$150)</f>
        <v>2432.262713032874</v>
      </c>
      <c r="H44" s="682" t="n">
        <f>$H$41*SUM('2_サービス別給付費'!K153)/SUM('2_サービス別給付費'!$K$150)</f>
        <v>2629.038547338956</v>
      </c>
      <c r="I44" s="682" t="n">
        <f>$I$41*SUM('2_サービス別給付費'!L153)/SUM('2_サービス別給付費'!$L$150)</f>
        <v>2593.77410922781</v>
      </c>
      <c r="J44" s="682" t="n">
        <f>$J$41*SUM('2_サービス別給付費'!M153)/SUM('2_サービス別給付費'!$M$150)</f>
        <v>2657.3205848176276</v>
      </c>
      <c r="K44" s="682" t="n">
        <f>$K$41*SUM('2_サービス別給付費'!N153)/SUM('2_サービス別給付費'!$N$150)</f>
        <v>2842.0694959250854</v>
      </c>
      <c r="L44" s="684" t="n">
        <f t="shared" si="8"/>
        <v>0.35029960284917977</v>
      </c>
      <c r="M44" s="684" t="n">
        <f t="shared" si="9"/>
        <v>0.35095069311575966</v>
      </c>
      <c r="N44" s="684" t="n">
        <f t="shared" si="10"/>
        <v>0.3512740609854912</v>
      </c>
      <c r="O44" s="684" t="n">
        <f t="shared" si="11"/>
        <v>0.34843405098791697</v>
      </c>
      <c r="P44" s="684" t="n">
        <f t="shared" si="12"/>
        <v>0.35061716089882217</v>
      </c>
      <c r="Q44" s="934" t="n">
        <f t="shared" si="13"/>
        <v>0.3468543376065322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397.77275816085563</v>
      </c>
      <c r="G45" s="682" t="n">
        <f>((J75+J78+J81+J82)*'(参考)保険料の推計に要する係数'!E5+J85)/(J214*J106*12)</f>
        <v>416.40477178177014</v>
      </c>
      <c r="H45" s="682" t="n">
        <f>((K75+K78+K81+K82)*'(参考)保険料の推計に要する係数'!F5+K85)/(K214*K106*12)</f>
        <v>469.29803080420913</v>
      </c>
      <c r="I45" s="682" t="n">
        <f>((L75+L78+L81+L82)*'(参考)保険料の推計に要する係数'!G5+L85)/(L214*L106*12)</f>
        <v>556.5572443203706</v>
      </c>
      <c r="J45" s="682" t="n">
        <f>((M75+M78+M81+M82)*'(参考)保険料の推計に要する係数'!H5+M85)/(M214*M106*12)</f>
        <v>620.3317975368851</v>
      </c>
      <c r="K45" s="682" t="n">
        <f>((N75+N78+N81+N82)*'(参考)保険料の推計に要する係数'!I5+N85)/(N214*N106*12)</f>
        <v>670.1703340843425</v>
      </c>
      <c r="L45" s="684" t="n">
        <f t="shared" si="8"/>
        <v>0.06516264727872881</v>
      </c>
      <c r="M45" s="684" t="n">
        <f t="shared" si="9"/>
        <v>0.06008295999049292</v>
      </c>
      <c r="N45" s="684" t="n">
        <f t="shared" si="10"/>
        <v>0.06270437733214212</v>
      </c>
      <c r="O45" s="684" t="n">
        <f t="shared" si="11"/>
        <v>0.0747649899639685</v>
      </c>
      <c r="P45" s="684" t="n">
        <f t="shared" si="12"/>
        <v>0.08184897784268383</v>
      </c>
      <c r="Q45" s="934" t="n">
        <f t="shared" si="13"/>
        <v>0.08178951557858043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0.0</v>
      </c>
      <c r="G46" s="682" t="n">
        <f>J86*'(参考)保険料の推計に要する係数'!E5/(J214*J106*12)</f>
        <v>0.0</v>
      </c>
      <c r="H46" s="682" t="n">
        <f>K86*'(参考)保険料の推計に要する係数'!F5/(K214*K106*12)</f>
        <v>0.0</v>
      </c>
      <c r="I46" s="682" t="n">
        <f>L86*'(参考)保険料の推計に要する係数'!G5/(L214*L106*12)</f>
        <v>0.0</v>
      </c>
      <c r="J46" s="682" t="n">
        <f>M86*'(参考)保険料の推計に要する係数'!H5/(M214*M106*12)</f>
        <v>0.0</v>
      </c>
      <c r="K46" s="682" t="n">
        <f>N86*'(参考)保険料の推計に要する係数'!I5/(N214*N106*12)</f>
        <v>0.0</v>
      </c>
      <c r="L46" s="684" t="n">
        <f t="shared" si="8"/>
        <v>0.0</v>
      </c>
      <c r="M46" s="684" t="n">
        <f t="shared" si="9"/>
        <v>0.0</v>
      </c>
      <c r="N46" s="684" t="n">
        <f t="shared" si="10"/>
        <v>0.0</v>
      </c>
      <c r="O46" s="684" t="n">
        <f t="shared" si="11"/>
        <v>0.0</v>
      </c>
      <c r="P46" s="684" t="n">
        <f t="shared" si="12"/>
        <v>0.0</v>
      </c>
      <c r="Q46" s="934" t="n">
        <f t="shared" si="13"/>
        <v>0.0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6104.306297738482</v>
      </c>
      <c r="G49" s="682" t="n">
        <f>G41+SUM(G45:G48)</f>
        <v>6930.496963659229</v>
      </c>
      <c r="H49" s="682" t="n">
        <f t="shared" ref="H49:K49" si="14">H41+SUM(H45:H48)</f>
        <v>7484.29457035128</v>
      </c>
      <c r="I49" s="682" t="n">
        <f t="shared" si="14"/>
        <v>7444.089066133658</v>
      </c>
      <c r="J49" s="682" t="n">
        <f t="shared" si="14"/>
        <v>7578.980384204447</v>
      </c>
      <c r="K49" s="682" t="n">
        <f t="shared" si="14"/>
        <v>8193.84158646186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6104.306297738482</v>
      </c>
      <c r="G51" s="683" t="n">
        <f>G49-G50</f>
        <v>6930.496963659229</v>
      </c>
      <c r="H51" s="683" t="n">
        <f t="shared" ref="H51:K51" si="15">H49-H50</f>
        <v>7484.29457035128</v>
      </c>
      <c r="I51" s="683" t="n">
        <f t="shared" si="15"/>
        <v>7444.089066133658</v>
      </c>
      <c r="J51" s="683" t="n">
        <f t="shared" si="15"/>
        <v>7578.980384204447</v>
      </c>
      <c r="K51" s="683" t="n">
        <f t="shared" si="15"/>
        <v>8193.84158646186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3.314974794E9</v>
      </c>
      <c r="G68" s="237" t="n">
        <f t="shared" ref="G68:N68" si="25">G69+G75+G78+G81+G82</f>
        <v>1.100786222E9</v>
      </c>
      <c r="H68" s="238" t="n">
        <f t="shared" si="25"/>
        <v>1.112675091E9</v>
      </c>
      <c r="I68" s="239" t="n">
        <f t="shared" si="25"/>
        <v>1.101513481E9</v>
      </c>
      <c r="J68" s="658" t="n">
        <f t="shared" si="25"/>
        <v>1.099636351E9</v>
      </c>
      <c r="K68" s="803" t="n">
        <f t="shared" si="25"/>
        <v>1.097082441E9</v>
      </c>
      <c r="L68" s="803" t="n">
        <f t="shared" si="25"/>
        <v>1.180168058E9</v>
      </c>
      <c r="M68" s="896" t="n">
        <f t="shared" si="25"/>
        <v>1.206212409E9</v>
      </c>
      <c r="N68" s="804" t="n">
        <f t="shared" si="25"/>
        <v>1.156426788E9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3.103845E9</v>
      </c>
      <c r="G69" s="242" t="n">
        <f>SUM(G70:G74)</f>
        <v>1.03065E9</v>
      </c>
      <c r="H69" s="242" t="n">
        <f t="shared" ref="H69:I69" si="26">SUM(H70:H74)</f>
        <v>1.041998E9</v>
      </c>
      <c r="I69" s="242" t="n">
        <f t="shared" si="26"/>
        <v>1.031197E9</v>
      </c>
      <c r="J69" s="659" t="n">
        <f>SUM(J70:J73)</f>
        <v>1.02941E9</v>
      </c>
      <c r="K69" s="659" t="n">
        <f t="shared" ref="K69:N69" si="27">SUM(K70:K73)</f>
        <v>1.025594E9</v>
      </c>
      <c r="L69" s="659" t="n">
        <f t="shared" si="27"/>
        <v>1.104082E9</v>
      </c>
      <c r="M69" s="659" t="n">
        <f t="shared" si="27"/>
        <v>1.129315E9</v>
      </c>
      <c r="N69" s="936" t="n">
        <f t="shared" si="27"/>
        <v>1.083496E9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3.103845E9</v>
      </c>
      <c r="G70" s="242" t="n">
        <f>'2_サービス別給付費'!G150*1000</f>
        <v>1.03065E9</v>
      </c>
      <c r="H70" s="242" t="n">
        <f>'2_サービス別給付費'!H150*1000</f>
        <v>1.041998E9</v>
      </c>
      <c r="I70" s="955" t="n">
        <f>'2_サービス別給付費'!I150*1000</f>
        <v>1.031197E9</v>
      </c>
      <c r="J70" s="659" t="n">
        <f>'2_サービス別給付費'!J150*1000</f>
        <v>1.02941E9</v>
      </c>
      <c r="K70" s="659" t="n">
        <f>'2_サービス別給付費'!K150*1000</f>
        <v>1.025594E9</v>
      </c>
      <c r="L70" s="659" t="n">
        <f>'2_サービス別給付費'!L150*1000</f>
        <v>1.104082E9</v>
      </c>
      <c r="M70" s="659" t="n">
        <f>'2_サービス別給付費'!M150*1000</f>
        <v>1.129315E9</v>
      </c>
      <c r="N70" s="936" t="n">
        <f>'2_サービス別給付費'!N150*1000</f>
        <v>1.083496E9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1.3244574E8</v>
      </c>
      <c r="G75" s="296" t="n">
        <f t="shared" ref="G75:N75" si="28">G76+G77</f>
        <v>4.3997773E7</v>
      </c>
      <c r="H75" s="810" t="n">
        <f t="shared" si="28"/>
        <v>4.4337088E7</v>
      </c>
      <c r="I75" s="811" t="n">
        <f t="shared" si="28"/>
        <v>4.4110879E7</v>
      </c>
      <c r="J75" s="722" t="n">
        <f t="shared" si="28"/>
        <v>4.4054326E7</v>
      </c>
      <c r="K75" s="722" t="n">
        <f t="shared" si="28"/>
        <v>4.484606E7</v>
      </c>
      <c r="L75" s="722" t="n">
        <f t="shared" si="28"/>
        <v>4.7730233E7</v>
      </c>
      <c r="M75" s="722" t="n">
        <f t="shared" si="28"/>
        <v>4.8239205E7</v>
      </c>
      <c r="N75" s="937" t="n">
        <f t="shared" si="28"/>
        <v>4.5750898E7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1.3244574E8</v>
      </c>
      <c r="G76" s="249" t="n">
        <v>4.3997773E7</v>
      </c>
      <c r="H76" s="250" t="n">
        <v>4.4337088E7</v>
      </c>
      <c r="I76" s="251" t="n">
        <v>4.4110879E7</v>
      </c>
      <c r="J76" s="660" t="n">
        <v>4.4054326E7</v>
      </c>
      <c r="K76" s="808" t="n">
        <v>4.484606E7</v>
      </c>
      <c r="L76" s="808" t="n">
        <v>4.7730233E7</v>
      </c>
      <c r="M76" s="899" t="n">
        <v>4.8239205E7</v>
      </c>
      <c r="N76" s="809" t="n">
        <v>4.5750898E7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7.0487819E7</v>
      </c>
      <c r="G78" s="296" t="n">
        <f t="shared" ref="G78:N78" si="30">G79+G80</f>
        <v>2.341568E7</v>
      </c>
      <c r="H78" s="810" t="n">
        <f t="shared" si="30"/>
        <v>2.3596264E7</v>
      </c>
      <c r="I78" s="811" t="n">
        <f t="shared" si="30"/>
        <v>2.3475875E7</v>
      </c>
      <c r="J78" s="722" t="n">
        <f t="shared" si="30"/>
        <v>2.3445777E7</v>
      </c>
      <c r="K78" s="812" t="n">
        <f t="shared" si="30"/>
        <v>2.3867139E7</v>
      </c>
      <c r="L78" s="812" t="n">
        <f t="shared" si="30"/>
        <v>2.54021E7</v>
      </c>
      <c r="M78" s="900" t="n">
        <f t="shared" si="30"/>
        <v>2.5672976E7</v>
      </c>
      <c r="N78" s="938" t="n">
        <f t="shared" si="30"/>
        <v>2.4348696E7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7.0487819E7</v>
      </c>
      <c r="G79" s="249" t="n">
        <v>2.341568E7</v>
      </c>
      <c r="H79" s="250" t="n">
        <v>2.3596264E7</v>
      </c>
      <c r="I79" s="251" t="n">
        <v>2.3475875E7</v>
      </c>
      <c r="J79" s="660" t="n">
        <v>2.3445777E7</v>
      </c>
      <c r="K79" s="808" t="n">
        <v>2.3867139E7</v>
      </c>
      <c r="L79" s="808" t="n">
        <v>2.54021E7</v>
      </c>
      <c r="M79" s="899" t="n">
        <v>2.5672976E7</v>
      </c>
      <c r="N79" s="809" t="n">
        <v>2.4348696E7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5700870.0</v>
      </c>
      <c r="G81" s="249" t="n">
        <v>1893799.0</v>
      </c>
      <c r="H81" s="250" t="n">
        <v>1908404.0</v>
      </c>
      <c r="I81" s="251" t="n">
        <v>1898667.0</v>
      </c>
      <c r="J81" s="660" t="n">
        <v>1896233.0</v>
      </c>
      <c r="K81" s="808" t="n">
        <v>1930312.0</v>
      </c>
      <c r="L81" s="808" t="n">
        <v>2054455.0</v>
      </c>
      <c r="M81" s="899" t="n">
        <v>2076363.0</v>
      </c>
      <c r="N81" s="809" t="n">
        <v>1969259.0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2495365.0</v>
      </c>
      <c r="G82" s="246" t="n">
        <f t="shared" ref="G82:N82" si="31">G83*G84-G85</f>
        <v>828970.0</v>
      </c>
      <c r="H82" s="247" t="n">
        <f t="shared" si="31"/>
        <v>835335.0</v>
      </c>
      <c r="I82" s="248" t="n">
        <f t="shared" si="31"/>
        <v>831060.0</v>
      </c>
      <c r="J82" s="659" t="n">
        <f t="shared" si="31"/>
        <v>830015.0</v>
      </c>
      <c r="K82" s="805" t="n">
        <f t="shared" si="31"/>
        <v>844930.0</v>
      </c>
      <c r="L82" s="805" t="n">
        <f t="shared" si="31"/>
        <v>899270.0</v>
      </c>
      <c r="M82" s="897" t="n">
        <f t="shared" si="31"/>
        <v>908865.0</v>
      </c>
      <c r="N82" s="939" t="n">
        <f t="shared" si="31"/>
        <v>861935.0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95.0</v>
      </c>
      <c r="H83" s="250" t="n">
        <v>95.0</v>
      </c>
      <c r="I83" s="251" t="n">
        <v>95.0</v>
      </c>
      <c r="J83" s="660" t="n">
        <v>95.0</v>
      </c>
      <c r="K83" s="808" t="n">
        <v>95.0</v>
      </c>
      <c r="L83" s="808" t="n">
        <v>95.0</v>
      </c>
      <c r="M83" s="899" t="n">
        <v>95.0</v>
      </c>
      <c r="N83" s="809" t="n">
        <v>95.0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26267.0</v>
      </c>
      <c r="G84" s="249" t="n">
        <v>8726.0</v>
      </c>
      <c r="H84" s="250" t="n">
        <v>8793.0</v>
      </c>
      <c r="I84" s="251" t="n">
        <v>8748.0</v>
      </c>
      <c r="J84" s="660" t="n">
        <v>8737.0</v>
      </c>
      <c r="K84" s="808" t="n">
        <v>8894.0</v>
      </c>
      <c r="L84" s="808" t="n">
        <v>9466.0</v>
      </c>
      <c r="M84" s="899" t="n">
        <v>9567.0</v>
      </c>
      <c r="N84" s="809" t="n">
        <v>9073.0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0.0</v>
      </c>
      <c r="G86" s="247" t="n">
        <f>SUM(G87:G91)</f>
        <v>0.0</v>
      </c>
      <c r="H86" s="247" t="n">
        <f t="shared" ref="H86:N86" si="33">SUM(H87:H91)</f>
        <v>0.0</v>
      </c>
      <c r="I86" s="248" t="n">
        <f t="shared" si="33"/>
        <v>0.0</v>
      </c>
      <c r="J86" s="659" t="n">
        <f t="shared" si="33"/>
        <v>0.0</v>
      </c>
      <c r="K86" s="659" t="n">
        <f t="shared" si="33"/>
        <v>0.0</v>
      </c>
      <c r="L86" s="659" t="n">
        <f t="shared" si="33"/>
        <v>0.0</v>
      </c>
      <c r="M86" s="659" t="n">
        <f t="shared" si="33"/>
        <v>0.0</v>
      </c>
      <c r="N86" s="936" t="n">
        <f t="shared" si="33"/>
        <v>0.0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0.0</v>
      </c>
      <c r="G87" s="810" t="n">
        <f>'3_地域支援事業費'!E61</f>
        <v>0.0</v>
      </c>
      <c r="H87" s="810" t="n">
        <f>'3_地域支援事業費'!F61</f>
        <v>0.0</v>
      </c>
      <c r="I87" s="811" t="n">
        <f>'3_地域支援事業費'!G61</f>
        <v>0.0</v>
      </c>
      <c r="J87" s="722" t="n">
        <f>'3_地域支援事業費'!H61</f>
        <v>0.0</v>
      </c>
      <c r="K87" s="722" t="n">
        <f>'3_地域支援事業費'!I61</f>
        <v>0.0</v>
      </c>
      <c r="L87" s="722" t="n">
        <f>'3_地域支援事業費'!J61</f>
        <v>0.0</v>
      </c>
      <c r="M87" s="722" t="n">
        <f>'3_地域支援事業費'!K61</f>
        <v>0.0</v>
      </c>
      <c r="N87" s="937" t="n">
        <f>'3_地域支援事業費'!L61</f>
        <v>0.0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0.0</v>
      </c>
      <c r="G88" s="810" t="n">
        <f>'3_地域支援事業費'!E62</f>
        <v>0.0</v>
      </c>
      <c r="H88" s="810" t="n">
        <f>'3_地域支援事業費'!F62</f>
        <v>0.0</v>
      </c>
      <c r="I88" s="811" t="n">
        <f>'3_地域支援事業費'!G62</f>
        <v>0.0</v>
      </c>
      <c r="J88" s="722" t="n">
        <f>'3_地域支援事業費'!H62</f>
        <v>0.0</v>
      </c>
      <c r="K88" s="722" t="n">
        <f>'3_地域支援事業費'!I62</f>
        <v>0.0</v>
      </c>
      <c r="L88" s="722" t="n">
        <f>'3_地域支援事業費'!J62</f>
        <v>0.0</v>
      </c>
      <c r="M88" s="722" t="n">
        <f>'3_地域支援事業費'!K62</f>
        <v>0.0</v>
      </c>
      <c r="N88" s="937" t="n">
        <f>'3_地域支援事業費'!L62</f>
        <v>0.0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0.0</v>
      </c>
      <c r="G89" s="940" t="n">
        <f>'3_地域支援事業費'!E63</f>
        <v>0.0</v>
      </c>
      <c r="H89" s="940" t="n">
        <f>'3_地域支援事業費'!F63</f>
        <v>0.0</v>
      </c>
      <c r="I89" s="957" t="n">
        <f>'3_地域支援事業費'!G63</f>
        <v>0.0</v>
      </c>
      <c r="J89" s="812" t="n">
        <f>'3_地域支援事業費'!H63</f>
        <v>0.0</v>
      </c>
      <c r="K89" s="812" t="n">
        <f>'3_地域支援事業費'!I63</f>
        <v>0.0</v>
      </c>
      <c r="L89" s="812" t="n">
        <f>'3_地域支援事業費'!J63</f>
        <v>0.0</v>
      </c>
      <c r="M89" s="812" t="n">
        <f>'3_地域支援事業費'!K63</f>
        <v>0.0</v>
      </c>
      <c r="N89" s="938" t="n">
        <f>'3_地域支援事業費'!L63</f>
        <v>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7.6244420262E8</v>
      </c>
      <c r="G92" s="242" t="n">
        <f>(G68+G86)*'(参考)保険料の推計に要する係数'!$D$5</f>
        <v>2.5318083106E8</v>
      </c>
      <c r="H92" s="242" t="n">
        <f>(H68+H86)*'(参考)保険料の推計に要する係数'!$D$5</f>
        <v>2.5591527093E8</v>
      </c>
      <c r="I92" s="955" t="n">
        <f>(I68+I86)*'(参考)保険料の推計に要する係数'!$D$5</f>
        <v>2.5334810063000003E8</v>
      </c>
      <c r="J92" s="659" t="n">
        <f>(J68+J86)*'(参考)保険料の推計に要する係数'!$E$5</f>
        <v>2.6391272423999998E8</v>
      </c>
      <c r="K92" s="659" t="n">
        <f>(K68+K86)*'(参考)保険料の推計に要する係数'!$F$5</f>
        <v>2.7427061025E8</v>
      </c>
      <c r="L92" s="659" t="n">
        <f>(L68+L86)*'(参考)保険料の推計に要する係数'!$G$5</f>
        <v>3.0684369508E8</v>
      </c>
      <c r="M92" s="659" t="n">
        <f>(M68+M86)*'(参考)保険料の推計に要する係数'!$H$5</f>
        <v>3.2567735043E8</v>
      </c>
      <c r="N92" s="936" t="n">
        <f>(N68+N86)*'(参考)保険料の推計に要する係数'!$I$5</f>
        <v>3.2379950064000005E8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1.6574873970000002E8</v>
      </c>
      <c r="G93" s="958" t="n">
        <f t="shared" ref="G93:N93" si="36">(G68+G87)*0.05</f>
        <v>5.50393111E7</v>
      </c>
      <c r="H93" s="263" t="n">
        <f t="shared" si="36"/>
        <v>5.5633754550000004E7</v>
      </c>
      <c r="I93" s="959" t="n">
        <f t="shared" si="36"/>
        <v>5.5075674050000004E7</v>
      </c>
      <c r="J93" s="661" t="n">
        <f t="shared" si="36"/>
        <v>5.4981817550000004E7</v>
      </c>
      <c r="K93" s="661" t="n">
        <f t="shared" si="36"/>
        <v>5.4854122050000004E7</v>
      </c>
      <c r="L93" s="661" t="n">
        <f t="shared" si="36"/>
        <v>5.9008402900000006E7</v>
      </c>
      <c r="M93" s="661" t="n">
        <f t="shared" si="36"/>
        <v>6.031062045E7</v>
      </c>
      <c r="N93" s="941" t="n">
        <f t="shared" si="36"/>
        <v>5.7821339400000006E7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1.82983E8</v>
      </c>
      <c r="G94" s="960" t="n">
        <f t="shared" ref="G94:N94" si="37">ROUND((G68+G87)*G97*G95,-3)+G96</f>
        <v>6.7258E7</v>
      </c>
      <c r="H94" s="160" t="n">
        <f t="shared" si="37"/>
        <v>6.142E7</v>
      </c>
      <c r="I94" s="961" t="n">
        <f t="shared" si="37"/>
        <v>5.4305E7</v>
      </c>
      <c r="J94" s="662" t="n">
        <f t="shared" si="37"/>
        <v>3.8377E7</v>
      </c>
      <c r="K94" s="662" t="n">
        <f t="shared" si="37"/>
        <v>4.4103E7</v>
      </c>
      <c r="L94" s="662" t="n">
        <f t="shared" si="37"/>
        <v>1.01258E8</v>
      </c>
      <c r="M94" s="662" t="n">
        <f t="shared" si="37"/>
        <v>1.32322E8</v>
      </c>
      <c r="N94" s="942" t="n">
        <f t="shared" si="37"/>
        <v>1.31948E8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0.0611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0.0552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0.0493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0.0349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0.0402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0.0858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0.1097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0.1141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0.9558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0.9802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1.0065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1.066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1.0427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0.866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0.7815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0.773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0.9958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0.9973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0.9967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0.9973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0.9967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0.9958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0.9967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0.9973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7.4520994232E8</v>
      </c>
      <c r="G105" s="282"/>
      <c r="H105" s="283"/>
      <c r="I105" s="284"/>
      <c r="J105" s="668" t="n">
        <f>J92+J93-J94+G18+G21-G15+J85+J102+J103-J104</f>
        <v>2.8051754178999996E8</v>
      </c>
      <c r="K105" s="828" t="n">
        <f>K92+K93-K94+H18+H21-H15+K85+K102+K103-K104</f>
        <v>2.850217323E8</v>
      </c>
      <c r="L105" s="828" t="n">
        <f>L92+L93-L94+I18+I21-I15+L85+L102+L103-L104</f>
        <v>2.6459409798000002E8</v>
      </c>
      <c r="M105" s="904" t="n">
        <f>M92+M93-M94+J18+J21-J15+M85+M102+M103-M104</f>
        <v>2.5366597088E8</v>
      </c>
      <c r="N105" s="829" t="n">
        <f>N92+N93-N94+K18+K21-K15+N85+N102+N103-N104</f>
        <v>2.4967284004000008E8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0.994</v>
      </c>
      <c r="G106" s="286"/>
      <c r="H106" s="287"/>
      <c r="I106" s="288"/>
      <c r="J106" s="669" t="n">
        <v>0.994</v>
      </c>
      <c r="K106" s="830" t="n">
        <v>0.994</v>
      </c>
      <c r="L106" s="830" t="n">
        <v>0.994</v>
      </c>
      <c r="M106" s="905" t="n">
        <v>0.994</v>
      </c>
      <c r="N106" s="831" t="n">
        <v>0.994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10275.0</v>
      </c>
      <c r="G111" s="290" t="n">
        <f>'1_推計値サマリ'!G12</f>
        <v>3434.0</v>
      </c>
      <c r="H111" s="290" t="n">
        <f>'1_推計値サマリ'!H12</f>
        <v>3427.0</v>
      </c>
      <c r="I111" s="291" t="n">
        <f>'1_推計値サマリ'!I12</f>
        <v>3414.0</v>
      </c>
      <c r="J111" s="649" t="n">
        <f>'1_推計値サマリ'!K12</f>
        <v>3406.0</v>
      </c>
      <c r="K111" s="832" t="n">
        <f>'1_推計値サマリ'!M12</f>
        <v>3206.0</v>
      </c>
      <c r="L111" s="832" t="n">
        <f>'1_推計値サマリ'!O12</f>
        <v>2993.0</v>
      </c>
      <c r="M111" s="906" t="n">
        <f>'1_推計値サマリ'!Q12</f>
        <v>2818.0</v>
      </c>
      <c r="N111" s="833" t="n">
        <f>'1_推計値サマリ'!S12</f>
        <v>2565.0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4575.0</v>
      </c>
      <c r="G112" s="253" t="n">
        <v>1568.0</v>
      </c>
      <c r="H112" s="253" t="n">
        <v>1525.0</v>
      </c>
      <c r="I112" s="292" t="n">
        <v>1482.0</v>
      </c>
      <c r="J112" s="646" t="n">
        <v>1439.0</v>
      </c>
      <c r="K112" s="391" t="n">
        <v>1143.0</v>
      </c>
      <c r="L112" s="391" t="n">
        <v>948.0</v>
      </c>
      <c r="M112" s="907" t="n">
        <v>942.0</v>
      </c>
      <c r="N112" s="834" t="n">
        <v>886.0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5700.0</v>
      </c>
      <c r="G113" s="296" t="n">
        <f>SUM(G114:G115)</f>
        <v>1866.0</v>
      </c>
      <c r="H113" s="296" t="n">
        <f t="shared" ref="H113:J113" si="38">SUM(H114:H115)</f>
        <v>1902.0</v>
      </c>
      <c r="I113" s="297" t="n">
        <f t="shared" si="38"/>
        <v>1932.0</v>
      </c>
      <c r="J113" s="650" t="n">
        <f t="shared" si="38"/>
        <v>1967.0</v>
      </c>
      <c r="K113" s="835" t="n">
        <f t="shared" ref="K113:M113" si="39">SUM(K114:K115)</f>
        <v>2063.0</v>
      </c>
      <c r="L113" s="835" t="n">
        <f t="shared" si="39"/>
        <v>2045.0</v>
      </c>
      <c r="M113" s="908" t="n">
        <f t="shared" si="39"/>
        <v>1876.0</v>
      </c>
      <c r="N113" s="836" t="n">
        <f t="shared" ref="N113" si="40">SUM(N114:N115)</f>
        <v>1679.0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3596.0</v>
      </c>
      <c r="G114" s="253" t="n">
        <v>1148.0</v>
      </c>
      <c r="H114" s="253" t="n">
        <v>1200.0</v>
      </c>
      <c r="I114" s="292" t="n">
        <v>1248.0</v>
      </c>
      <c r="J114" s="646" t="n">
        <v>1299.0</v>
      </c>
      <c r="K114" s="391" t="n">
        <v>1356.0</v>
      </c>
      <c r="L114" s="391" t="n">
        <v>1194.0</v>
      </c>
      <c r="M114" s="907" t="n">
        <v>962.0</v>
      </c>
      <c r="N114" s="834" t="n">
        <v>812.0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2104.0</v>
      </c>
      <c r="G115" s="253" t="n">
        <v>718.0</v>
      </c>
      <c r="H115" s="253" t="n">
        <v>702.0</v>
      </c>
      <c r="I115" s="292" t="n">
        <v>684.0</v>
      </c>
      <c r="J115" s="646" t="n">
        <v>668.0</v>
      </c>
      <c r="K115" s="391" t="n">
        <v>707.0</v>
      </c>
      <c r="L115" s="391" t="n">
        <v>851.0</v>
      </c>
      <c r="M115" s="907" t="n">
        <v>914.0</v>
      </c>
      <c r="N115" s="834" t="n">
        <v>867.0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0.15250608272506083</v>
      </c>
      <c r="G117" s="990" t="n">
        <f t="shared" ref="G117:N117" si="42">IF(G$111&gt;0,G134/G$111,0)</f>
        <v>0.1525917297612114</v>
      </c>
      <c r="H117" s="990" t="n">
        <f t="shared" si="42"/>
        <v>0.15231981324773855</v>
      </c>
      <c r="I117" s="989" t="n">
        <f t="shared" si="42"/>
        <v>0.15260691271236088</v>
      </c>
      <c r="J117" s="301" t="n">
        <f t="shared" si="42"/>
        <v>0.1523781561949501</v>
      </c>
      <c r="K117" s="301" t="n">
        <f t="shared" si="42"/>
        <v>0.15252651278852153</v>
      </c>
      <c r="L117" s="301" t="n">
        <f t="shared" si="42"/>
        <v>0.1526896090878717</v>
      </c>
      <c r="M117" s="301" t="n">
        <f t="shared" si="42"/>
        <v>0.15259048970901348</v>
      </c>
      <c r="N117" s="991" t="n">
        <f t="shared" si="42"/>
        <v>0.1524366471734893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0.08613138686131387</v>
      </c>
      <c r="G118" s="990" t="n">
        <f t="shared" ref="G118:N118" si="44">IF(G$111&gt;0,G135/G$111,0)</f>
        <v>0.08619685497961561</v>
      </c>
      <c r="H118" s="990" t="n">
        <f t="shared" si="44"/>
        <v>0.08608112051356871</v>
      </c>
      <c r="I118" s="989" t="n">
        <f t="shared" si="44"/>
        <v>0.08611599297012303</v>
      </c>
      <c r="J118" s="301" t="n">
        <f t="shared" si="44"/>
        <v>0.08631826189078097</v>
      </c>
      <c r="K118" s="301" t="n">
        <f t="shared" si="44"/>
        <v>0.08640049906425452</v>
      </c>
      <c r="L118" s="301" t="n">
        <f t="shared" si="44"/>
        <v>0.08620113598396258</v>
      </c>
      <c r="M118" s="301" t="n">
        <f t="shared" si="44"/>
        <v>0.08623136976579134</v>
      </c>
      <c r="N118" s="991" t="n">
        <f t="shared" si="44"/>
        <v>0.0861598440545809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0.07902676399026765</v>
      </c>
      <c r="G119" s="990" t="n">
        <f t="shared" ref="G119:N119" si="45">IF(G$111&gt;0,G136/G$111,0)</f>
        <v>0.07891671520093185</v>
      </c>
      <c r="H119" s="990" t="n">
        <f t="shared" si="45"/>
        <v>0.079077910709075</v>
      </c>
      <c r="I119" s="989" t="n">
        <f t="shared" si="45"/>
        <v>0.07908611599297012</v>
      </c>
      <c r="J119" s="301" t="n">
        <f t="shared" si="45"/>
        <v>0.07897827363476219</v>
      </c>
      <c r="K119" s="301" t="n">
        <f t="shared" si="45"/>
        <v>0.07891453524641298</v>
      </c>
      <c r="L119" s="301" t="n">
        <f t="shared" si="45"/>
        <v>0.07918476445038423</v>
      </c>
      <c r="M119" s="301" t="n">
        <f t="shared" si="45"/>
        <v>0.07913413768630234</v>
      </c>
      <c r="N119" s="991" t="n">
        <f t="shared" si="45"/>
        <v>0.07914230019493178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0.12603406326034064</v>
      </c>
      <c r="G120" s="990" t="n">
        <f t="shared" ref="G120:N120" si="46">IF(G$111&gt;0,G137/G$111,0)</f>
        <v>0.12609202096680255</v>
      </c>
      <c r="H120" s="990" t="n">
        <f t="shared" si="46"/>
        <v>0.12605777648088706</v>
      </c>
      <c r="I120" s="989" t="n">
        <f t="shared" si="46"/>
        <v>0.1259519625073228</v>
      </c>
      <c r="J120" s="301" t="n">
        <f t="shared" si="46"/>
        <v>0.12595419847328243</v>
      </c>
      <c r="K120" s="301" t="n">
        <f t="shared" si="46"/>
        <v>0.1260137242669994</v>
      </c>
      <c r="L120" s="301" t="n">
        <f t="shared" si="46"/>
        <v>0.1259605746742399</v>
      </c>
      <c r="M120" s="301" t="n">
        <f t="shared" si="46"/>
        <v>0.12597586941092973</v>
      </c>
      <c r="N120" s="991" t="n">
        <f t="shared" si="46"/>
        <v>0.1259259259259259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0.17712895377128954</v>
      </c>
      <c r="G121" s="990" t="n">
        <f t="shared" ref="G121:N121" si="47">IF(G$111&gt;0,G138/G$111,0)</f>
        <v>0.1770529994175888</v>
      </c>
      <c r="H121" s="990" t="n">
        <f t="shared" si="47"/>
        <v>0.17712284797198716</v>
      </c>
      <c r="I121" s="989" t="n">
        <f t="shared" si="47"/>
        <v>0.17721148213239601</v>
      </c>
      <c r="J121" s="301" t="n">
        <f t="shared" si="47"/>
        <v>0.17704051673517324</v>
      </c>
      <c r="K121" s="301" t="n">
        <f t="shared" si="47"/>
        <v>0.1771678103555833</v>
      </c>
      <c r="L121" s="301" t="n">
        <f t="shared" si="47"/>
        <v>0.17707985299031073</v>
      </c>
      <c r="M121" s="301" t="n">
        <f t="shared" si="47"/>
        <v>0.17707594038325053</v>
      </c>
      <c r="N121" s="991" t="n">
        <f t="shared" si="47"/>
        <v>0.17738791423001948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0.142676399026764</v>
      </c>
      <c r="G122" s="990" t="n">
        <f t="shared" ref="G122:N122" si="48">IF(G$111&gt;0,G139/G$111,0)</f>
        <v>0.14269073966220153</v>
      </c>
      <c r="H122" s="990" t="n">
        <f t="shared" si="48"/>
        <v>0.14269039976655967</v>
      </c>
      <c r="I122" s="989" t="n">
        <f t="shared" si="48"/>
        <v>0.14264792032806092</v>
      </c>
      <c r="J122" s="301" t="n">
        <f t="shared" si="48"/>
        <v>0.1426893716970053</v>
      </c>
      <c r="K122" s="301" t="n">
        <f t="shared" si="48"/>
        <v>0.14254522769806613</v>
      </c>
      <c r="L122" s="301" t="n">
        <f t="shared" si="48"/>
        <v>0.14266622118275976</v>
      </c>
      <c r="M122" s="301" t="n">
        <f t="shared" si="48"/>
        <v>0.1426543647977289</v>
      </c>
      <c r="N122" s="991" t="n">
        <f t="shared" si="48"/>
        <v>0.14269005847953217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0.12136253041362531</v>
      </c>
      <c r="G123" s="990" t="n">
        <f t="shared" ref="G123:N123" si="49">IF(G$111&gt;0,G140/G$111,0)</f>
        <v>0.12143273150844497</v>
      </c>
      <c r="H123" s="990" t="n">
        <f t="shared" si="49"/>
        <v>0.12138896994455792</v>
      </c>
      <c r="I123" s="989" t="n">
        <f t="shared" si="49"/>
        <v>0.12126537785588752</v>
      </c>
      <c r="J123" s="301" t="n">
        <f t="shared" si="49"/>
        <v>0.12125660598943042</v>
      </c>
      <c r="K123" s="301" t="n">
        <f t="shared" si="49"/>
        <v>0.12133499688084841</v>
      </c>
      <c r="L123" s="301" t="n">
        <f t="shared" si="49"/>
        <v>0.12128299365185433</v>
      </c>
      <c r="M123" s="301" t="n">
        <f t="shared" si="49"/>
        <v>0.1213626685592619</v>
      </c>
      <c r="N123" s="991" t="n">
        <f t="shared" si="49"/>
        <v>0.1212475633528265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0.06705596107055961</v>
      </c>
      <c r="G124" s="990" t="n">
        <f t="shared" ref="G124:N124" si="50">IF(G$111&gt;0,G141/G$111,0)</f>
        <v>0.0669772859638905</v>
      </c>
      <c r="H124" s="990" t="n">
        <f t="shared" si="50"/>
        <v>0.06711409395973154</v>
      </c>
      <c r="I124" s="989" t="n">
        <f t="shared" si="50"/>
        <v>0.06707674282366725</v>
      </c>
      <c r="J124" s="301" t="n">
        <f t="shared" si="50"/>
        <v>0.06723429242513213</v>
      </c>
      <c r="K124" s="301" t="n">
        <f t="shared" si="50"/>
        <v>0.06706175920149719</v>
      </c>
      <c r="L124" s="301" t="n">
        <f t="shared" si="50"/>
        <v>0.06715669896424992</v>
      </c>
      <c r="M124" s="301" t="n">
        <f t="shared" si="50"/>
        <v>0.06706884315117104</v>
      </c>
      <c r="N124" s="991" t="n">
        <f t="shared" si="50"/>
        <v>0.06705653021442495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0.02238442822384428</v>
      </c>
      <c r="G125" s="990" t="n">
        <f t="shared" ref="G125:N125" si="51">IF(G$111&gt;0,G142/G$111,0)</f>
        <v>0.02242283051834595</v>
      </c>
      <c r="H125" s="990" t="n">
        <f t="shared" si="51"/>
        <v>0.022468631456084038</v>
      </c>
      <c r="I125" s="989" t="n">
        <f t="shared" si="51"/>
        <v>0.022261277094317515</v>
      </c>
      <c r="J125" s="301" t="n">
        <f t="shared" si="51"/>
        <v>0.022313564298297124</v>
      </c>
      <c r="K125" s="301" t="n">
        <f t="shared" si="51"/>
        <v>0.022457891453524642</v>
      </c>
      <c r="L125" s="301" t="n">
        <f t="shared" si="51"/>
        <v>0.02238556632141664</v>
      </c>
      <c r="M125" s="301" t="n">
        <f t="shared" si="51"/>
        <v>0.022356281050390347</v>
      </c>
      <c r="N125" s="991" t="n">
        <f t="shared" si="51"/>
        <v>0.022222222222222223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0.010510948905109488</v>
      </c>
      <c r="G126" s="990" t="n">
        <f t="shared" ref="G126:N126" si="52">IF(G$111&gt;0,G143/G$111,0)</f>
        <v>0.010483401281304601</v>
      </c>
      <c r="H126" s="990" t="n">
        <f t="shared" si="52"/>
        <v>0.01050481470674059</v>
      </c>
      <c r="I126" s="989" t="n">
        <f t="shared" si="52"/>
        <v>0.01054481546572935</v>
      </c>
      <c r="J126" s="301" t="n">
        <f t="shared" si="52"/>
        <v>0.010569583088667059</v>
      </c>
      <c r="K126" s="301" t="n">
        <f t="shared" si="52"/>
        <v>0.010605115408608859</v>
      </c>
      <c r="L126" s="301" t="n">
        <f t="shared" si="52"/>
        <v>0.010357500835282325</v>
      </c>
      <c r="M126" s="301" t="n">
        <f t="shared" si="52"/>
        <v>0.0106458481192335</v>
      </c>
      <c r="N126" s="991" t="n">
        <f t="shared" si="52"/>
        <v>0.010526315789473684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0.004087591240875913</v>
      </c>
      <c r="G127" s="990" t="n">
        <f t="shared" ref="G127:N127" si="53">IF(G$111&gt;0,G144/G$111,0)</f>
        <v>0.004076878276062901</v>
      </c>
      <c r="H127" s="990" t="n">
        <f t="shared" si="53"/>
        <v>0.004085205719288007</v>
      </c>
      <c r="I127" s="989" t="n">
        <f t="shared" si="53"/>
        <v>0.004100761570005858</v>
      </c>
      <c r="J127" s="301" t="n">
        <f t="shared" si="53"/>
        <v>0.004110393423370522</v>
      </c>
      <c r="K127" s="301" t="n">
        <f>IF(K$111&gt;0,K144/K$111,0)</f>
        <v>0.004054897067997504</v>
      </c>
      <c r="L127" s="301" t="n">
        <f t="shared" si="53"/>
        <v>0.004009355162044771</v>
      </c>
      <c r="M127" s="301" t="n">
        <f t="shared" si="53"/>
        <v>0.0039034776437189495</v>
      </c>
      <c r="N127" s="991" t="n">
        <f t="shared" si="53"/>
        <v>0.0042884990253411305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0.0020437956204379564</v>
      </c>
      <c r="G128" s="990" t="n">
        <f t="shared" ref="G128:N128" si="54">IF(G$111&gt;0,G145/G$111,0)</f>
        <v>0.0020384391380314504</v>
      </c>
      <c r="H128" s="990" t="n">
        <f t="shared" si="54"/>
        <v>0.0020426028596440037</v>
      </c>
      <c r="I128" s="989" t="n">
        <f t="shared" si="54"/>
        <v>0.002050380785002929</v>
      </c>
      <c r="J128" s="301" t="n">
        <f t="shared" si="54"/>
        <v>0.002055196711685261</v>
      </c>
      <c r="K128" s="301" t="n">
        <f>IF(K$111&gt;0,K145/K$111,0)</f>
        <v>0.0018714909544603868</v>
      </c>
      <c r="L128" s="301" t="n">
        <f t="shared" si="54"/>
        <v>0.0020046775810223854</v>
      </c>
      <c r="M128" s="301" t="n">
        <f t="shared" si="54"/>
        <v>0.0021291696238466998</v>
      </c>
      <c r="N128" s="991" t="n">
        <f t="shared" si="54"/>
        <v>0.001949317738791423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0.009051094890510949</v>
      </c>
      <c r="G129" s="990" t="n">
        <f t="shared" ref="G129:N129" si="55">IF(G$111&gt;0,G146/G$111,0)</f>
        <v>0.00902737332556785</v>
      </c>
      <c r="H129" s="990" t="n">
        <f t="shared" si="55"/>
        <v>0.00904581266413773</v>
      </c>
      <c r="I129" s="989" t="n">
        <f t="shared" si="55"/>
        <v>0.00908025776215583</v>
      </c>
      <c r="J129" s="301" t="n">
        <f t="shared" si="55"/>
        <v>0.0091015854374633</v>
      </c>
      <c r="K129" s="301" t="n">
        <f>IF(K$111&gt;0,K146/K$111,0)</f>
        <v>0.009045539613225203</v>
      </c>
      <c r="L129" s="301" t="n">
        <f t="shared" si="55"/>
        <v>0.009021049114600735</v>
      </c>
      <c r="M129" s="301" t="n">
        <f t="shared" si="55"/>
        <v>0.008871540099361249</v>
      </c>
      <c r="N129" s="991" t="n">
        <f t="shared" si="55"/>
        <v>0.008966861598440545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1567.0</v>
      </c>
      <c r="G134" s="253" t="n">
        <v>524.0</v>
      </c>
      <c r="H134" s="253" t="n">
        <v>522.0</v>
      </c>
      <c r="I134" s="292" t="n">
        <v>521.0</v>
      </c>
      <c r="J134" s="646" t="n">
        <v>519.0</v>
      </c>
      <c r="K134" s="391" t="n">
        <v>489.0</v>
      </c>
      <c r="L134" s="391" t="n">
        <v>457.0</v>
      </c>
      <c r="M134" s="907" t="n">
        <v>430.0</v>
      </c>
      <c r="N134" s="834" t="n">
        <v>391.0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885.0</v>
      </c>
      <c r="G135" s="253" t="n">
        <v>296.0</v>
      </c>
      <c r="H135" s="253" t="n">
        <v>295.0</v>
      </c>
      <c r="I135" s="292" t="n">
        <v>294.0</v>
      </c>
      <c r="J135" s="646" t="n">
        <v>294.0</v>
      </c>
      <c r="K135" s="391" t="n">
        <v>277.0</v>
      </c>
      <c r="L135" s="391" t="n">
        <v>258.0</v>
      </c>
      <c r="M135" s="907" t="n">
        <v>243.0</v>
      </c>
      <c r="N135" s="834" t="n">
        <v>221.0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812.0</v>
      </c>
      <c r="G136" s="253" t="n">
        <v>271.0</v>
      </c>
      <c r="H136" s="253" t="n">
        <v>271.0</v>
      </c>
      <c r="I136" s="292" t="n">
        <v>270.0</v>
      </c>
      <c r="J136" s="646" t="n">
        <v>269.0</v>
      </c>
      <c r="K136" s="391" t="n">
        <v>253.0</v>
      </c>
      <c r="L136" s="391" t="n">
        <v>237.0</v>
      </c>
      <c r="M136" s="907" t="n">
        <v>223.0</v>
      </c>
      <c r="N136" s="834" t="n">
        <v>203.0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1295.0</v>
      </c>
      <c r="G137" s="253" t="n">
        <v>433.0</v>
      </c>
      <c r="H137" s="253" t="n">
        <v>432.0</v>
      </c>
      <c r="I137" s="292" t="n">
        <v>430.0</v>
      </c>
      <c r="J137" s="646" t="n">
        <v>429.0</v>
      </c>
      <c r="K137" s="391" t="n">
        <v>404.0</v>
      </c>
      <c r="L137" s="391" t="n">
        <v>377.0</v>
      </c>
      <c r="M137" s="907" t="n">
        <v>355.0</v>
      </c>
      <c r="N137" s="834" t="n">
        <v>323.0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1820.0</v>
      </c>
      <c r="G138" s="253" t="n">
        <v>608.0</v>
      </c>
      <c r="H138" s="253" t="n">
        <v>607.0</v>
      </c>
      <c r="I138" s="292" t="n">
        <v>605.0</v>
      </c>
      <c r="J138" s="646" t="n">
        <v>603.0</v>
      </c>
      <c r="K138" s="391" t="n">
        <v>568.0</v>
      </c>
      <c r="L138" s="391" t="n">
        <v>530.0</v>
      </c>
      <c r="M138" s="907" t="n">
        <v>499.0</v>
      </c>
      <c r="N138" s="834" t="n">
        <v>455.0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1466.0</v>
      </c>
      <c r="G139" s="253" t="n">
        <v>490.0</v>
      </c>
      <c r="H139" s="253" t="n">
        <v>489.0</v>
      </c>
      <c r="I139" s="292" t="n">
        <v>487.0</v>
      </c>
      <c r="J139" s="646" t="n">
        <v>486.0</v>
      </c>
      <c r="K139" s="391" t="n">
        <v>457.0</v>
      </c>
      <c r="L139" s="391" t="n">
        <v>427.0</v>
      </c>
      <c r="M139" s="907" t="n">
        <v>402.0</v>
      </c>
      <c r="N139" s="834" t="n">
        <v>366.0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1247.0</v>
      </c>
      <c r="G140" s="253" t="n">
        <v>417.0</v>
      </c>
      <c r="H140" s="253" t="n">
        <v>416.0</v>
      </c>
      <c r="I140" s="292" t="n">
        <v>414.0</v>
      </c>
      <c r="J140" s="646" t="n">
        <v>413.0</v>
      </c>
      <c r="K140" s="391" t="n">
        <v>389.0</v>
      </c>
      <c r="L140" s="391" t="n">
        <v>363.0</v>
      </c>
      <c r="M140" s="907" t="n">
        <v>342.0</v>
      </c>
      <c r="N140" s="834" t="n">
        <v>311.0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689.0</v>
      </c>
      <c r="G141" s="253" t="n">
        <v>230.0</v>
      </c>
      <c r="H141" s="253" t="n">
        <v>230.0</v>
      </c>
      <c r="I141" s="292" t="n">
        <v>229.0</v>
      </c>
      <c r="J141" s="646" t="n">
        <v>229.0</v>
      </c>
      <c r="K141" s="391" t="n">
        <v>215.0</v>
      </c>
      <c r="L141" s="391" t="n">
        <v>201.0</v>
      </c>
      <c r="M141" s="907" t="n">
        <v>189.0</v>
      </c>
      <c r="N141" s="834" t="n">
        <v>172.0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230.0</v>
      </c>
      <c r="G142" s="253" t="n">
        <v>77.0</v>
      </c>
      <c r="H142" s="253" t="n">
        <v>77.0</v>
      </c>
      <c r="I142" s="292" t="n">
        <v>76.0</v>
      </c>
      <c r="J142" s="646" t="n">
        <v>76.0</v>
      </c>
      <c r="K142" s="391" t="n">
        <v>72.0</v>
      </c>
      <c r="L142" s="391" t="n">
        <v>67.0</v>
      </c>
      <c r="M142" s="907" t="n">
        <v>63.0</v>
      </c>
      <c r="N142" s="834" t="n">
        <v>57.0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108.0</v>
      </c>
      <c r="G143" s="253" t="n">
        <v>36.0</v>
      </c>
      <c r="H143" s="253" t="n">
        <v>36.0</v>
      </c>
      <c r="I143" s="292" t="n">
        <v>36.0</v>
      </c>
      <c r="J143" s="646" t="n">
        <v>36.0</v>
      </c>
      <c r="K143" s="391" t="n">
        <v>34.0</v>
      </c>
      <c r="L143" s="391" t="n">
        <v>31.0</v>
      </c>
      <c r="M143" s="907" t="n">
        <v>30.0</v>
      </c>
      <c r="N143" s="834" t="n">
        <v>27.0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42.0</v>
      </c>
      <c r="G144" s="253" t="n">
        <v>14.0</v>
      </c>
      <c r="H144" s="253" t="n">
        <v>14.0</v>
      </c>
      <c r="I144" s="292" t="n">
        <v>14.0</v>
      </c>
      <c r="J144" s="646" t="n">
        <v>14.0</v>
      </c>
      <c r="K144" s="391" t="n">
        <v>13.0</v>
      </c>
      <c r="L144" s="391" t="n">
        <v>12.0</v>
      </c>
      <c r="M144" s="907" t="n">
        <v>11.0</v>
      </c>
      <c r="N144" s="834" t="n">
        <v>11.0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21.0</v>
      </c>
      <c r="G145" s="253" t="n">
        <v>7.0</v>
      </c>
      <c r="H145" s="253" t="n">
        <v>7.0</v>
      </c>
      <c r="I145" s="292" t="n">
        <v>7.0</v>
      </c>
      <c r="J145" s="646" t="n">
        <v>7.0</v>
      </c>
      <c r="K145" s="391" t="n">
        <v>6.0</v>
      </c>
      <c r="L145" s="391" t="n">
        <v>6.0</v>
      </c>
      <c r="M145" s="907" t="n">
        <v>6.0</v>
      </c>
      <c r="N145" s="834" t="n">
        <v>5.0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93.0</v>
      </c>
      <c r="G146" s="253" t="n">
        <v>31.0</v>
      </c>
      <c r="H146" s="253" t="n">
        <v>31.0</v>
      </c>
      <c r="I146" s="292" t="n">
        <v>31.0</v>
      </c>
      <c r="J146" s="646" t="n">
        <v>31.0</v>
      </c>
      <c r="K146" s="391" t="n">
        <v>29.0</v>
      </c>
      <c r="L146" s="391" t="n">
        <v>27.0</v>
      </c>
      <c r="M146" s="907" t="n">
        <v>25.0</v>
      </c>
      <c r="N146" s="834" t="n">
        <v>23.0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10275.0</v>
      </c>
      <c r="G149" s="311" t="n">
        <f>SUM(G134:G148)</f>
        <v>3434.0</v>
      </c>
      <c r="H149" s="311" t="n">
        <f t="shared" ref="H149:M149" si="61">SUM(H134:H148)</f>
        <v>3427.0</v>
      </c>
      <c r="I149" s="312" t="n">
        <f t="shared" si="61"/>
        <v>3414.0</v>
      </c>
      <c r="J149" s="654" t="n">
        <f t="shared" si="61"/>
        <v>3406.0</v>
      </c>
      <c r="K149" s="843" t="n">
        <f t="shared" si="61"/>
        <v>3206.0</v>
      </c>
      <c r="L149" s="843" t="n">
        <f t="shared" si="61"/>
        <v>2993.0</v>
      </c>
      <c r="M149" s="912" t="n">
        <f t="shared" si="61"/>
        <v>2818.0</v>
      </c>
      <c r="N149" s="844" t="n">
        <f>SUM(N134:N148)</f>
        <v>2565.0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10234.690000000002</v>
      </c>
      <c r="G214" s="254" t="n">
        <f t="shared" ref="G214:N214" si="97">SUMPRODUCT(G134:G146,G279:G291)</f>
        <v>3420.17</v>
      </c>
      <c r="H214" s="254" t="n">
        <f t="shared" si="97"/>
        <v>3414.1750000000006</v>
      </c>
      <c r="I214" s="315" t="n">
        <f t="shared" si="97"/>
        <v>3400.3450000000003</v>
      </c>
      <c r="J214" s="656" t="n">
        <f t="shared" si="97"/>
        <v>3393.345</v>
      </c>
      <c r="K214" s="806" t="n">
        <f t="shared" si="97"/>
        <v>3192.7100000000005</v>
      </c>
      <c r="L214" s="806" t="n">
        <f t="shared" si="97"/>
        <v>2979.8950000000004</v>
      </c>
      <c r="M214" s="898" t="n">
        <f t="shared" si="97"/>
        <v>2805.975</v>
      </c>
      <c r="N214" s="807" t="n">
        <f t="shared" si="97"/>
        <v>2554.56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