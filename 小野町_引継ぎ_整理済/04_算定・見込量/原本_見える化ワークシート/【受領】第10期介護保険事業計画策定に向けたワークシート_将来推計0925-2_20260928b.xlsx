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>
    <mc:Choice Requires="x15">
      <x15ac:absPath xmlns:x15ac="http://schemas.microsoft.com/office/spreadsheetml/2010/11/ac" url="C:\Users\118iryo\Desktop\TODO\作業\sagyou\20260728\ソースコード\mieruka\src\template\excel\"/>
    </mc:Choice>
  </mc:AlternateContent>
  <xr:revisionPtr revIDLastSave="0" documentId="13_ncr:1_{0F85324E-8E67-481B-B91B-18BB203BA625}" xr6:coauthVersionLast="47" xr6:coauthVersionMax="47" xr10:uidLastSave="{00000000-0000-0000-0000-000000000000}"/>
  <bookViews>
    <workbookView xWindow="5685" yWindow="3405" windowWidth="19185" windowHeight="11685" tabRatio="705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'(参考)保険料の推計に要する係数'!$A$1:$L$39</definedName>
    <definedName name="_xlnm.Print_Area" localSheetId="0">'1_推計値サマリ'!$A$1:$T$163</definedName>
    <definedName name="_xlnm.Print_Area" localSheetId="1">'2_サービス別給付費'!$A$1:$U$169</definedName>
    <definedName name="_xlnm.Print_Area" localSheetId="2">'3_地域支援事業費'!$A$1:$L$68</definedName>
    <definedName name="_xlnm.Print_Area" localSheetId="3">'4_施策反映の解説'!$A$1:$L$47</definedName>
    <definedName name="_xlnm.Print_Area" localSheetId="4">'5_保険料推計'!$A$1:$Q$302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S62" i="1"/>
  <c r="Q62" i="1"/>
  <c r="O62" i="1"/>
  <c r="M62" i="1"/>
  <c r="K62" i="1"/>
  <c r="I62" i="1"/>
  <c r="H62" i="1"/>
  <c r="D144" i="10"/>
  <c r="I151" i="10"/>
  <c r="H151" i="10"/>
  <c r="D61" i="11"/>
  <c r="C61" i="11"/>
  <c r="B61" i="11"/>
  <c r="L61" i="11"/>
  <c r="K61" i="11"/>
  <c r="J61" i="11"/>
  <c r="I61" i="11"/>
  <c r="H61" i="11"/>
  <c r="G61" i="11"/>
  <c r="F61" i="11"/>
  <c r="E61" i="11"/>
  <c r="J90" i="8"/>
  <c r="G90" i="8"/>
  <c r="L64" i="11"/>
  <c r="N90" i="8" s="1"/>
  <c r="K64" i="11"/>
  <c r="M90" i="8" s="1"/>
  <c r="J64" i="11"/>
  <c r="L90" i="8" s="1"/>
  <c r="I64" i="11"/>
  <c r="K90" i="8" s="1"/>
  <c r="H64" i="11"/>
  <c r="G64" i="11"/>
  <c r="I90" i="8" s="1"/>
  <c r="F64" i="11"/>
  <c r="H90" i="8" s="1"/>
  <c r="E64" i="11"/>
  <c r="N151" i="10"/>
  <c r="M151" i="10"/>
  <c r="L151" i="10"/>
  <c r="K151" i="10"/>
  <c r="J151" i="10"/>
  <c r="G151" i="10"/>
  <c r="S144" i="10"/>
  <c r="Q144" i="10"/>
  <c r="O144" i="10"/>
  <c r="M144" i="10"/>
  <c r="K144" i="10"/>
  <c r="I144" i="10"/>
  <c r="H144" i="10"/>
  <c r="G144" i="10"/>
  <c r="S61" i="10"/>
  <c r="Q61" i="10"/>
  <c r="O61" i="10"/>
  <c r="M61" i="10"/>
  <c r="K61" i="10"/>
  <c r="I61" i="10"/>
  <c r="H61" i="10"/>
  <c r="S40" i="1"/>
  <c r="Q40" i="1"/>
  <c r="O40" i="1"/>
  <c r="M40" i="1"/>
  <c r="K40" i="1"/>
  <c r="I40" i="1"/>
  <c r="H40" i="1"/>
  <c r="T143" i="10"/>
  <c r="R143" i="10"/>
  <c r="P143" i="10"/>
  <c r="N143" i="10"/>
  <c r="L143" i="10"/>
  <c r="J143" i="10"/>
  <c r="T142" i="10"/>
  <c r="R142" i="10"/>
  <c r="P142" i="10"/>
  <c r="N142" i="10"/>
  <c r="L142" i="10"/>
  <c r="J142" i="10"/>
  <c r="T60" i="10"/>
  <c r="R60" i="10"/>
  <c r="P60" i="10"/>
  <c r="N60" i="10"/>
  <c r="L60" i="10"/>
  <c r="J60" i="10"/>
  <c r="T59" i="10"/>
  <c r="R59" i="10"/>
  <c r="P59" i="10"/>
  <c r="N59" i="10"/>
  <c r="L59" i="10"/>
  <c r="J59" i="10"/>
  <c r="F90" i="8" l="1"/>
  <c r="E65" i="11"/>
  <c r="G91" i="8" s="1"/>
  <c r="F65" i="11"/>
  <c r="H91" i="8" s="1"/>
  <c r="G65" i="11"/>
  <c r="I91" i="8" s="1"/>
  <c r="H65" i="11"/>
  <c r="J91" i="8" s="1"/>
  <c r="I65" i="11"/>
  <c r="K91" i="8" s="1"/>
  <c r="J65" i="11"/>
  <c r="L91" i="8" s="1"/>
  <c r="K65" i="11"/>
  <c r="M91" i="8" s="1"/>
  <c r="L65" i="11"/>
  <c r="N91" i="8" s="1"/>
  <c r="N215" i="8"/>
  <c r="M215" i="8"/>
  <c r="L215" i="8"/>
  <c r="K215" i="8"/>
  <c r="J215" i="8"/>
  <c r="I215" i="8"/>
  <c r="H215" i="8"/>
  <c r="G215" i="8"/>
  <c r="F73" i="8"/>
  <c r="F72" i="8"/>
  <c r="B63" i="11"/>
  <c r="B62" i="11"/>
  <c r="B66" i="11" l="1"/>
  <c r="F91" i="8"/>
  <c r="F74" i="8"/>
  <c r="F71" i="8"/>
  <c r="G213" i="8"/>
  <c r="F204" i="8"/>
  <c r="F210" i="8"/>
  <c r="F206" i="8"/>
  <c r="J220" i="8"/>
  <c r="H220" i="8"/>
  <c r="I220" i="8"/>
  <c r="K220" i="8"/>
  <c r="L220" i="8"/>
  <c r="M220" i="8"/>
  <c r="N220" i="8"/>
  <c r="G220" i="8"/>
  <c r="H214" i="8"/>
  <c r="G214" i="8"/>
  <c r="N213" i="8"/>
  <c r="M213" i="8"/>
  <c r="L213" i="8"/>
  <c r="K213" i="8"/>
  <c r="J213" i="8"/>
  <c r="I213" i="8"/>
  <c r="H213" i="8"/>
  <c r="K273" i="8"/>
  <c r="L273" i="8" s="1"/>
  <c r="M273" i="8" s="1"/>
  <c r="N273" i="8" s="1"/>
  <c r="K272" i="8"/>
  <c r="L272" i="8" s="1"/>
  <c r="M272" i="8" s="1"/>
  <c r="N272" i="8" s="1"/>
  <c r="K271" i="8"/>
  <c r="L271" i="8" s="1"/>
  <c r="M271" i="8" s="1"/>
  <c r="N271" i="8" s="1"/>
  <c r="K270" i="8"/>
  <c r="L270" i="8" s="1"/>
  <c r="M270" i="8" s="1"/>
  <c r="N270" i="8" s="1"/>
  <c r="K269" i="8"/>
  <c r="L269" i="8" s="1"/>
  <c r="M269" i="8" s="1"/>
  <c r="N269" i="8" s="1"/>
  <c r="F212" i="8"/>
  <c r="F211" i="8"/>
  <c r="F209" i="8"/>
  <c r="F208" i="8"/>
  <c r="L144" i="1" l="1"/>
  <c r="T2" i="10"/>
  <c r="N111" i="8" l="1"/>
  <c r="N214" i="8"/>
  <c r="M214" i="8"/>
  <c r="L214" i="8"/>
  <c r="K214" i="8"/>
  <c r="J214" i="8"/>
  <c r="I214" i="8"/>
  <c r="F214" i="8" s="1"/>
  <c r="D151" i="10"/>
  <c r="Q5" i="8"/>
  <c r="Q4" i="8"/>
  <c r="Q3" i="8"/>
  <c r="K5" i="3"/>
  <c r="K4" i="3"/>
  <c r="K3" i="3"/>
  <c r="L5" i="11"/>
  <c r="L4" i="11"/>
  <c r="L3" i="11"/>
  <c r="S5" i="10"/>
  <c r="S4" i="10"/>
  <c r="S3" i="10"/>
  <c r="K252" i="8"/>
  <c r="L252" i="8" s="1"/>
  <c r="M252" i="8" s="1"/>
  <c r="N252" i="8" s="1"/>
  <c r="K253" i="8"/>
  <c r="L253" i="8" s="1"/>
  <c r="M253" i="8" s="1"/>
  <c r="N253" i="8" s="1"/>
  <c r="K254" i="8"/>
  <c r="L254" i="8" s="1"/>
  <c r="M254" i="8" s="1"/>
  <c r="N254" i="8" s="1"/>
  <c r="K255" i="8"/>
  <c r="L255" i="8" s="1"/>
  <c r="M255" i="8" s="1"/>
  <c r="N255" i="8" s="1"/>
  <c r="K256" i="8"/>
  <c r="L256" i="8" s="1"/>
  <c r="M256" i="8" s="1"/>
  <c r="N256" i="8" s="1"/>
  <c r="K257" i="8"/>
  <c r="L257" i="8" s="1"/>
  <c r="M257" i="8" s="1"/>
  <c r="N257" i="8" s="1"/>
  <c r="K258" i="8"/>
  <c r="L258" i="8" s="1"/>
  <c r="M258" i="8" s="1"/>
  <c r="N258" i="8" s="1"/>
  <c r="K259" i="8"/>
  <c r="L259" i="8" s="1"/>
  <c r="M259" i="8" s="1"/>
  <c r="N259" i="8" s="1"/>
  <c r="K260" i="8"/>
  <c r="L260" i="8" s="1"/>
  <c r="M260" i="8" s="1"/>
  <c r="N260" i="8" s="1"/>
  <c r="K261" i="8"/>
  <c r="L261" i="8" s="1"/>
  <c r="M261" i="8" s="1"/>
  <c r="N261" i="8" s="1"/>
  <c r="K262" i="8"/>
  <c r="L262" i="8" s="1"/>
  <c r="M262" i="8" s="1"/>
  <c r="N262" i="8" s="1"/>
  <c r="K263" i="8"/>
  <c r="L263" i="8" s="1"/>
  <c r="M263" i="8" s="1"/>
  <c r="N263" i="8" s="1"/>
  <c r="K264" i="8"/>
  <c r="L264" i="8" s="1"/>
  <c r="M264" i="8" s="1"/>
  <c r="N264" i="8" s="1"/>
  <c r="K265" i="8"/>
  <c r="L265" i="8" s="1"/>
  <c r="M265" i="8" s="1"/>
  <c r="N265" i="8" s="1"/>
  <c r="K266" i="8"/>
  <c r="L266" i="8" s="1"/>
  <c r="M266" i="8" s="1"/>
  <c r="N266" i="8" s="1"/>
  <c r="K267" i="8"/>
  <c r="L267" i="8" s="1"/>
  <c r="M267" i="8" s="1"/>
  <c r="N267" i="8" s="1"/>
  <c r="K268" i="8"/>
  <c r="L268" i="8" s="1"/>
  <c r="M268" i="8" s="1"/>
  <c r="N268" i="8" s="1"/>
  <c r="K274" i="8"/>
  <c r="L274" i="8" s="1"/>
  <c r="M274" i="8" s="1"/>
  <c r="N274" i="8" s="1"/>
  <c r="K251" i="8"/>
  <c r="L251" i="8" s="1"/>
  <c r="M251" i="8" s="1"/>
  <c r="N251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F75" i="8" l="1"/>
  <c r="N177" i="8"/>
  <c r="N180" i="8"/>
  <c r="N178" i="8"/>
  <c r="N181" i="8"/>
  <c r="N179" i="8"/>
  <c r="N176" i="8"/>
  <c r="N149" i="8"/>
  <c r="N101" i="8" s="1"/>
  <c r="N97" i="8" s="1"/>
  <c r="G149" i="8"/>
  <c r="G101" i="8" s="1"/>
  <c r="F148" i="8"/>
  <c r="F147" i="8"/>
  <c r="F146" i="8"/>
  <c r="F145" i="8"/>
  <c r="F144" i="8"/>
  <c r="S41" i="1" l="1"/>
  <c r="S64" i="1" l="1"/>
  <c r="S63" i="1"/>
  <c r="H149" i="8" l="1"/>
  <c r="H101" i="8" s="1"/>
  <c r="I149" i="8"/>
  <c r="I101" i="8" s="1"/>
  <c r="J149" i="8"/>
  <c r="J101" i="8" s="1"/>
  <c r="K149" i="8"/>
  <c r="K101" i="8" s="1"/>
  <c r="K97" i="8" s="1"/>
  <c r="L149" i="8"/>
  <c r="L101" i="8" s="1"/>
  <c r="L97" i="8" s="1"/>
  <c r="M149" i="8"/>
  <c r="M101" i="8" s="1"/>
  <c r="M97" i="8" s="1"/>
  <c r="F143" i="8"/>
  <c r="J130" i="10"/>
  <c r="J129" i="10"/>
  <c r="T130" i="10"/>
  <c r="R130" i="10"/>
  <c r="P130" i="10"/>
  <c r="N130" i="10"/>
  <c r="L130" i="10"/>
  <c r="T129" i="10"/>
  <c r="R129" i="10"/>
  <c r="P129" i="10"/>
  <c r="N129" i="10"/>
  <c r="L129" i="10"/>
  <c r="K85" i="8" l="1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2" i="8"/>
  <c r="F84" i="8"/>
  <c r="F81" i="8"/>
  <c r="F80" i="8"/>
  <c r="F79" i="8"/>
  <c r="F77" i="8"/>
  <c r="F76" i="8"/>
  <c r="L63" i="11"/>
  <c r="N89" i="8" s="1"/>
  <c r="L62" i="11"/>
  <c r="N88" i="8" s="1"/>
  <c r="N157" i="10"/>
  <c r="N159" i="10" s="1"/>
  <c r="N153" i="10"/>
  <c r="N152" i="10"/>
  <c r="T141" i="10"/>
  <c r="T140" i="10"/>
  <c r="T133" i="10"/>
  <c r="T134" i="10"/>
  <c r="T135" i="10"/>
  <c r="T136" i="10"/>
  <c r="T137" i="10"/>
  <c r="T132" i="10"/>
  <c r="T128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09" i="10"/>
  <c r="T107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68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L66" i="11" l="1"/>
  <c r="N128" i="8"/>
  <c r="N121" i="8"/>
  <c r="N123" i="8"/>
  <c r="N124" i="8"/>
  <c r="N125" i="8"/>
  <c r="N126" i="8"/>
  <c r="N132" i="8"/>
  <c r="N129" i="8"/>
  <c r="N127" i="8"/>
  <c r="N130" i="8"/>
  <c r="N117" i="8"/>
  <c r="N118" i="8"/>
  <c r="N119" i="8"/>
  <c r="N120" i="8"/>
  <c r="N122" i="8"/>
  <c r="N131" i="8"/>
  <c r="F78" i="8"/>
  <c r="N87" i="8"/>
  <c r="N86" i="8" s="1"/>
  <c r="F85" i="8"/>
  <c r="N150" i="10"/>
  <c r="N70" i="8" s="1"/>
  <c r="N69" i="8" s="1"/>
  <c r="S65" i="1"/>
  <c r="F82" i="8"/>
  <c r="S42" i="1"/>
  <c r="H16" i="8"/>
  <c r="I16" i="8"/>
  <c r="J16" i="8"/>
  <c r="K16" i="8"/>
  <c r="K45" i="8"/>
  <c r="N113" i="8"/>
  <c r="N98" i="8" s="1"/>
  <c r="N175" i="8"/>
  <c r="K46" i="8" l="1"/>
  <c r="K60" i="8"/>
  <c r="K62" i="8"/>
  <c r="K57" i="8"/>
  <c r="K48" i="8"/>
  <c r="K50" i="8"/>
  <c r="K58" i="8"/>
  <c r="S85" i="1"/>
  <c r="N152" i="8"/>
  <c r="N156" i="8"/>
  <c r="N160" i="8"/>
  <c r="N164" i="8"/>
  <c r="N168" i="8"/>
  <c r="N172" i="8"/>
  <c r="N153" i="8"/>
  <c r="N157" i="8"/>
  <c r="N161" i="8"/>
  <c r="N165" i="8"/>
  <c r="N169" i="8"/>
  <c r="N173" i="8"/>
  <c r="N154" i="8"/>
  <c r="N158" i="8"/>
  <c r="N162" i="8"/>
  <c r="N166" i="8"/>
  <c r="N170" i="8"/>
  <c r="N174" i="8"/>
  <c r="N151" i="8"/>
  <c r="N155" i="8"/>
  <c r="N159" i="8"/>
  <c r="N163" i="8"/>
  <c r="N167" i="8"/>
  <c r="N171" i="8"/>
  <c r="I41" i="1"/>
  <c r="D63" i="11" l="1"/>
  <c r="C63" i="11"/>
  <c r="D62" i="11"/>
  <c r="C62" i="11"/>
  <c r="C66" i="11" l="1"/>
  <c r="D66" i="11"/>
  <c r="E63" i="11"/>
  <c r="G89" i="8" s="1"/>
  <c r="E62" i="11"/>
  <c r="G87" i="8"/>
  <c r="J87" i="8" l="1"/>
  <c r="K87" i="8"/>
  <c r="M87" i="8"/>
  <c r="H87" i="8"/>
  <c r="L87" i="8"/>
  <c r="I87" i="8"/>
  <c r="G88" i="8"/>
  <c r="G86" i="8" s="1"/>
  <c r="E66" i="11"/>
  <c r="K63" i="11"/>
  <c r="M89" i="8" s="1"/>
  <c r="K62" i="11"/>
  <c r="M88" i="8" s="1"/>
  <c r="J63" i="11"/>
  <c r="L89" i="8" s="1"/>
  <c r="J62" i="11"/>
  <c r="L88" i="8" s="1"/>
  <c r="I63" i="11"/>
  <c r="K89" i="8" s="1"/>
  <c r="I62" i="11"/>
  <c r="K88" i="8" s="1"/>
  <c r="H63" i="11"/>
  <c r="J89" i="8" s="1"/>
  <c r="H62" i="11"/>
  <c r="J88" i="8" s="1"/>
  <c r="G63" i="11"/>
  <c r="I89" i="8" s="1"/>
  <c r="G62" i="11"/>
  <c r="I88" i="8" s="1"/>
  <c r="F63" i="11"/>
  <c r="H89" i="8" s="1"/>
  <c r="F62" i="11"/>
  <c r="H88" i="8" s="1"/>
  <c r="F87" i="8" l="1"/>
  <c r="I86" i="8"/>
  <c r="K86" i="8"/>
  <c r="K66" i="11"/>
  <c r="H86" i="8"/>
  <c r="J66" i="11"/>
  <c r="L86" i="8"/>
  <c r="M86" i="8"/>
  <c r="H66" i="11"/>
  <c r="G66" i="11"/>
  <c r="F66" i="11"/>
  <c r="I66" i="11"/>
  <c r="J86" i="8"/>
  <c r="F89" i="8"/>
  <c r="F88" i="8"/>
  <c r="F86" i="8" l="1"/>
  <c r="L2" i="3" l="1"/>
  <c r="M111" i="8"/>
  <c r="L111" i="8"/>
  <c r="K111" i="8"/>
  <c r="K176" i="8" l="1"/>
  <c r="K180" i="8"/>
  <c r="K177" i="8"/>
  <c r="K178" i="8"/>
  <c r="K179" i="8"/>
  <c r="L179" i="8"/>
  <c r="L176" i="8"/>
  <c r="L180" i="8"/>
  <c r="L177" i="8"/>
  <c r="L178" i="8"/>
  <c r="M178" i="8"/>
  <c r="M179" i="8"/>
  <c r="M176" i="8"/>
  <c r="M180" i="8"/>
  <c r="M177" i="8"/>
  <c r="M127" i="8"/>
  <c r="M130" i="8"/>
  <c r="M131" i="8"/>
  <c r="M128" i="8"/>
  <c r="M117" i="8"/>
  <c r="M118" i="8"/>
  <c r="M119" i="8"/>
  <c r="M120" i="8"/>
  <c r="M121" i="8"/>
  <c r="M122" i="8"/>
  <c r="M123" i="8"/>
  <c r="M124" i="8"/>
  <c r="M125" i="8"/>
  <c r="M126" i="8"/>
  <c r="M132" i="8"/>
  <c r="M129" i="8"/>
  <c r="K130" i="8"/>
  <c r="K131" i="8"/>
  <c r="K127" i="8"/>
  <c r="K117" i="8"/>
  <c r="K118" i="8"/>
  <c r="K119" i="8"/>
  <c r="K120" i="8"/>
  <c r="K125" i="8"/>
  <c r="K126" i="8"/>
  <c r="K132" i="8"/>
  <c r="K129" i="8"/>
  <c r="K128" i="8"/>
  <c r="K121" i="8"/>
  <c r="K122" i="8"/>
  <c r="K123" i="8"/>
  <c r="K124" i="8"/>
  <c r="L117" i="8"/>
  <c r="L118" i="8"/>
  <c r="L119" i="8"/>
  <c r="L120" i="8"/>
  <c r="L121" i="8"/>
  <c r="L122" i="8"/>
  <c r="L123" i="8"/>
  <c r="L124" i="8"/>
  <c r="L125" i="8"/>
  <c r="L126" i="8"/>
  <c r="L132" i="8"/>
  <c r="L127" i="8"/>
  <c r="L129" i="8"/>
  <c r="L131" i="8"/>
  <c r="L128" i="8"/>
  <c r="L130" i="8"/>
  <c r="M181" i="8"/>
  <c r="M173" i="8"/>
  <c r="M169" i="8"/>
  <c r="M165" i="8"/>
  <c r="M161" i="8"/>
  <c r="M157" i="8"/>
  <c r="M153" i="8"/>
  <c r="M113" i="8"/>
  <c r="M98" i="8" s="1"/>
  <c r="L181" i="8"/>
  <c r="L173" i="8"/>
  <c r="L169" i="8"/>
  <c r="L165" i="8"/>
  <c r="L161" i="8"/>
  <c r="L157" i="8"/>
  <c r="L153" i="8"/>
  <c r="L113" i="8"/>
  <c r="L98" i="8" s="1"/>
  <c r="K181" i="8"/>
  <c r="K173" i="8"/>
  <c r="K169" i="8"/>
  <c r="K165" i="8"/>
  <c r="K161" i="8"/>
  <c r="K157" i="8"/>
  <c r="K153" i="8"/>
  <c r="K113" i="8"/>
  <c r="K98" i="8" s="1"/>
  <c r="M157" i="10"/>
  <c r="M159" i="10" s="1"/>
  <c r="L157" i="10"/>
  <c r="L159" i="10" s="1"/>
  <c r="K157" i="10"/>
  <c r="K159" i="10" s="1"/>
  <c r="M153" i="10"/>
  <c r="M152" i="10"/>
  <c r="L153" i="10"/>
  <c r="L152" i="10"/>
  <c r="K153" i="10"/>
  <c r="K152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2" i="10"/>
  <c r="R133" i="10"/>
  <c r="R134" i="10"/>
  <c r="R135" i="10"/>
  <c r="R136" i="10"/>
  <c r="R137" i="10"/>
  <c r="R140" i="10"/>
  <c r="R141" i="10"/>
  <c r="R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32" i="10"/>
  <c r="P133" i="10"/>
  <c r="P134" i="10"/>
  <c r="P135" i="10"/>
  <c r="P136" i="10"/>
  <c r="P137" i="10"/>
  <c r="P140" i="10"/>
  <c r="P141" i="10"/>
  <c r="P68" i="10"/>
  <c r="N134" i="10"/>
  <c r="N135" i="10"/>
  <c r="N136" i="10"/>
  <c r="N137" i="10"/>
  <c r="N140" i="10"/>
  <c r="N141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32" i="10"/>
  <c r="N133" i="10"/>
  <c r="N68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50" i="10"/>
  <c r="K70" i="8" s="1"/>
  <c r="K69" i="8" s="1"/>
  <c r="M150" i="10"/>
  <c r="M70" i="8" s="1"/>
  <c r="M69" i="8" s="1"/>
  <c r="L150" i="10"/>
  <c r="L70" i="8" s="1"/>
  <c r="L69" i="8" s="1"/>
  <c r="O65" i="1"/>
  <c r="M154" i="8"/>
  <c r="M158" i="8"/>
  <c r="M162" i="8"/>
  <c r="M166" i="8"/>
  <c r="M170" i="8"/>
  <c r="M174" i="8"/>
  <c r="M151" i="8"/>
  <c r="M155" i="8"/>
  <c r="M159" i="8"/>
  <c r="M163" i="8"/>
  <c r="M167" i="8"/>
  <c r="M171" i="8"/>
  <c r="M175" i="8"/>
  <c r="M152" i="8"/>
  <c r="M156" i="8"/>
  <c r="M160" i="8"/>
  <c r="M164" i="8"/>
  <c r="M168" i="8"/>
  <c r="M172" i="8"/>
  <c r="L154" i="8"/>
  <c r="L158" i="8"/>
  <c r="L162" i="8"/>
  <c r="L166" i="8"/>
  <c r="L170" i="8"/>
  <c r="L174" i="8"/>
  <c r="L151" i="8"/>
  <c r="L155" i="8"/>
  <c r="L159" i="8"/>
  <c r="L163" i="8"/>
  <c r="L167" i="8"/>
  <c r="L171" i="8"/>
  <c r="L175" i="8"/>
  <c r="L152" i="8"/>
  <c r="L156" i="8"/>
  <c r="L160" i="8"/>
  <c r="L164" i="8"/>
  <c r="L168" i="8"/>
  <c r="L172" i="8"/>
  <c r="K154" i="8"/>
  <c r="K158" i="8"/>
  <c r="K162" i="8"/>
  <c r="K166" i="8"/>
  <c r="K170" i="8"/>
  <c r="K174" i="8"/>
  <c r="K151" i="8"/>
  <c r="K155" i="8"/>
  <c r="K159" i="8"/>
  <c r="K163" i="8"/>
  <c r="K167" i="8"/>
  <c r="K171" i="8"/>
  <c r="K175" i="8"/>
  <c r="K152" i="8"/>
  <c r="K156" i="8"/>
  <c r="K160" i="8"/>
  <c r="K164" i="8"/>
  <c r="K168" i="8"/>
  <c r="K172" i="8"/>
  <c r="Q65" i="1"/>
  <c r="M65" i="1"/>
  <c r="K68" i="8" l="1"/>
  <c r="K92" i="8" s="1"/>
  <c r="L68" i="8"/>
  <c r="L92" i="8" s="1"/>
  <c r="M68" i="8"/>
  <c r="M92" i="8" s="1"/>
  <c r="N68" i="8"/>
  <c r="N92" i="8" s="1"/>
  <c r="L94" i="8" l="1"/>
  <c r="L93" i="8"/>
  <c r="M94" i="8"/>
  <c r="J18" i="8"/>
  <c r="M93" i="8"/>
  <c r="K93" i="8"/>
  <c r="K94" i="8"/>
  <c r="K18" i="8"/>
  <c r="K59" i="8" s="1"/>
  <c r="N93" i="8"/>
  <c r="N94" i="8"/>
  <c r="H18" i="8"/>
  <c r="I18" i="8"/>
  <c r="N105" i="8" l="1"/>
  <c r="K47" i="8"/>
  <c r="M105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5" i="8"/>
  <c r="K105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O41" i="1"/>
  <c r="M41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91" i="1"/>
  <c r="I91" i="1"/>
  <c r="D41" i="1"/>
  <c r="E41" i="1"/>
  <c r="F41" i="1"/>
  <c r="T41" i="1" s="1"/>
  <c r="G41" i="1"/>
  <c r="H41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7" i="10" l="1"/>
  <c r="D157" i="10"/>
  <c r="D159" i="10" s="1"/>
  <c r="D153" i="10"/>
  <c r="D152" i="10"/>
  <c r="D61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7" i="10" l="1"/>
  <c r="J159" i="10" s="1"/>
  <c r="I157" i="10"/>
  <c r="I159" i="10" s="1"/>
  <c r="H157" i="10"/>
  <c r="H159" i="10" s="1"/>
  <c r="G159" i="10"/>
  <c r="F157" i="10"/>
  <c r="F159" i="10" s="1"/>
  <c r="E157" i="10"/>
  <c r="E159" i="10" s="1"/>
  <c r="J153" i="10"/>
  <c r="I153" i="10"/>
  <c r="H153" i="10"/>
  <c r="G153" i="10"/>
  <c r="F153" i="10"/>
  <c r="E153" i="10"/>
  <c r="J152" i="10"/>
  <c r="I152" i="10"/>
  <c r="H152" i="10"/>
  <c r="G152" i="10"/>
  <c r="F152" i="10"/>
  <c r="E152" i="10"/>
  <c r="F151" i="10"/>
  <c r="E151" i="10"/>
  <c r="F144" i="10"/>
  <c r="T144" i="10" s="1"/>
  <c r="E144" i="10"/>
  <c r="G61" i="10"/>
  <c r="F61" i="10"/>
  <c r="T61" i="10" s="1"/>
  <c r="E61" i="10"/>
  <c r="D150" i="10"/>
  <c r="L99" i="10"/>
  <c r="J99" i="10"/>
  <c r="L98" i="10"/>
  <c r="J98" i="10"/>
  <c r="L97" i="10"/>
  <c r="J97" i="10"/>
  <c r="L40" i="10"/>
  <c r="J40" i="10"/>
  <c r="L39" i="10"/>
  <c r="J39" i="10"/>
  <c r="L38" i="10"/>
  <c r="J38" i="10"/>
  <c r="L141" i="10"/>
  <c r="J141" i="10"/>
  <c r="L140" i="10"/>
  <c r="J140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15" i="10"/>
  <c r="J115" i="10"/>
  <c r="L114" i="10"/>
  <c r="J114" i="10"/>
  <c r="L113" i="10"/>
  <c r="J113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2" i="10"/>
  <c r="J112" i="10"/>
  <c r="L111" i="10"/>
  <c r="J111" i="10"/>
  <c r="L110" i="10"/>
  <c r="J110" i="10"/>
  <c r="L109" i="10"/>
  <c r="J109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4" i="10" l="1"/>
  <c r="P144" i="10"/>
  <c r="R144" i="10"/>
  <c r="P61" i="10"/>
  <c r="R61" i="10"/>
  <c r="N61" i="10"/>
  <c r="F150" i="10"/>
  <c r="I150" i="10"/>
  <c r="H150" i="10"/>
  <c r="E150" i="10"/>
  <c r="L61" i="10"/>
  <c r="L144" i="10"/>
  <c r="J61" i="10"/>
  <c r="J150" i="10"/>
  <c r="J70" i="8" s="1"/>
  <c r="J69" i="8" s="1"/>
  <c r="J144" i="10"/>
  <c r="G150" i="10"/>
  <c r="G70" i="8" s="1"/>
  <c r="G69" i="8" s="1"/>
  <c r="G97" i="8"/>
  <c r="I70" i="8" l="1"/>
  <c r="I69" i="8" s="1"/>
  <c r="H70" i="8"/>
  <c r="H69" i="8" s="1"/>
  <c r="J68" i="8"/>
  <c r="O56" i="8"/>
  <c r="N55" i="8"/>
  <c r="N56" i="8"/>
  <c r="O55" i="8"/>
  <c r="F207" i="8"/>
  <c r="F69" i="8" l="1"/>
  <c r="H68" i="8"/>
  <c r="I68" i="8"/>
  <c r="F70" i="8"/>
  <c r="G68" i="8"/>
  <c r="G92" i="8" s="1"/>
  <c r="J92" i="8"/>
  <c r="J93" i="8"/>
  <c r="G113" i="8"/>
  <c r="G98" i="8" s="1"/>
  <c r="G111" i="8"/>
  <c r="J113" i="8"/>
  <c r="J98" i="8" s="1"/>
  <c r="I113" i="8"/>
  <c r="I98" i="8" s="1"/>
  <c r="H113" i="8"/>
  <c r="H98" i="8" s="1"/>
  <c r="G176" i="8" l="1"/>
  <c r="G180" i="8"/>
  <c r="G177" i="8"/>
  <c r="G178" i="8"/>
  <c r="G181" i="8"/>
  <c r="G179" i="8"/>
  <c r="I93" i="8"/>
  <c r="I92" i="8"/>
  <c r="H92" i="8"/>
  <c r="H93" i="8"/>
  <c r="G132" i="8"/>
  <c r="G130" i="8"/>
  <c r="G128" i="8"/>
  <c r="G117" i="8"/>
  <c r="G118" i="8"/>
  <c r="G120" i="8"/>
  <c r="G121" i="8"/>
  <c r="G122" i="8"/>
  <c r="G123" i="8"/>
  <c r="G124" i="8"/>
  <c r="G131" i="8"/>
  <c r="G129" i="8"/>
  <c r="G119" i="8"/>
  <c r="G125" i="8"/>
  <c r="G126" i="8"/>
  <c r="G127" i="8"/>
  <c r="G94" i="8"/>
  <c r="F68" i="8"/>
  <c r="G93" i="8"/>
  <c r="G16" i="8"/>
  <c r="F16" i="8"/>
  <c r="F92" i="8" l="1"/>
  <c r="F93" i="8"/>
  <c r="J111" i="8"/>
  <c r="I111" i="8"/>
  <c r="H111" i="8"/>
  <c r="F205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J97" i="8"/>
  <c r="J94" i="8" s="1"/>
  <c r="I97" i="8"/>
  <c r="I94" i="8" s="1"/>
  <c r="H97" i="8"/>
  <c r="H94" i="8" s="1"/>
  <c r="F142" i="8"/>
  <c r="F141" i="8"/>
  <c r="F140" i="8"/>
  <c r="F139" i="8"/>
  <c r="F138" i="8"/>
  <c r="F137" i="8"/>
  <c r="F136" i="8"/>
  <c r="F135" i="8"/>
  <c r="F134" i="8"/>
  <c r="F115" i="8"/>
  <c r="F114" i="8"/>
  <c r="F112" i="8"/>
  <c r="F213" i="8" l="1"/>
  <c r="I178" i="8"/>
  <c r="I179" i="8"/>
  <c r="I176" i="8"/>
  <c r="I180" i="8"/>
  <c r="I177" i="8"/>
  <c r="J177" i="8"/>
  <c r="J178" i="8"/>
  <c r="J179" i="8"/>
  <c r="J176" i="8"/>
  <c r="J180" i="8"/>
  <c r="H179" i="8"/>
  <c r="H176" i="8"/>
  <c r="H180" i="8"/>
  <c r="H177" i="8"/>
  <c r="H178" i="8"/>
  <c r="F149" i="8"/>
  <c r="H117" i="8"/>
  <c r="H118" i="8"/>
  <c r="H119" i="8"/>
  <c r="H120" i="8"/>
  <c r="H121" i="8"/>
  <c r="H122" i="8"/>
  <c r="H123" i="8"/>
  <c r="H124" i="8"/>
  <c r="H125" i="8"/>
  <c r="H126" i="8"/>
  <c r="H127" i="8"/>
  <c r="H130" i="8"/>
  <c r="H132" i="8"/>
  <c r="H129" i="8"/>
  <c r="H131" i="8"/>
  <c r="H128" i="8"/>
  <c r="I128" i="8"/>
  <c r="I131" i="8"/>
  <c r="I117" i="8"/>
  <c r="I118" i="8"/>
  <c r="I119" i="8"/>
  <c r="I120" i="8"/>
  <c r="I121" i="8"/>
  <c r="I122" i="8"/>
  <c r="I123" i="8"/>
  <c r="I124" i="8"/>
  <c r="I125" i="8"/>
  <c r="I126" i="8"/>
  <c r="I127" i="8"/>
  <c r="I130" i="8"/>
  <c r="I132" i="8"/>
  <c r="I129" i="8"/>
  <c r="J129" i="8"/>
  <c r="J131" i="8"/>
  <c r="J118" i="8"/>
  <c r="J119" i="8"/>
  <c r="J120" i="8"/>
  <c r="J130" i="8"/>
  <c r="J128" i="8"/>
  <c r="J117" i="8"/>
  <c r="J121" i="8"/>
  <c r="J122" i="8"/>
  <c r="J123" i="8"/>
  <c r="J124" i="8"/>
  <c r="J125" i="8"/>
  <c r="J126" i="8"/>
  <c r="J127" i="8"/>
  <c r="J132" i="8"/>
  <c r="F94" i="8"/>
  <c r="F41" i="8" s="1"/>
  <c r="F111" i="8"/>
  <c r="F180" i="8" s="1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13" i="8"/>
  <c r="H151" i="8"/>
  <c r="I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8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81" i="8"/>
  <c r="H153" i="8"/>
  <c r="H155" i="8"/>
  <c r="H157" i="8"/>
  <c r="H159" i="8"/>
  <c r="H161" i="8"/>
  <c r="H163" i="8"/>
  <c r="H165" i="8"/>
  <c r="H167" i="8"/>
  <c r="H169" i="8"/>
  <c r="H171" i="8"/>
  <c r="H173" i="8"/>
  <c r="H175" i="8"/>
  <c r="H152" i="8"/>
  <c r="H154" i="8"/>
  <c r="H156" i="8"/>
  <c r="H158" i="8"/>
  <c r="H160" i="8"/>
  <c r="H162" i="8"/>
  <c r="H164" i="8"/>
  <c r="H166" i="8"/>
  <c r="H168" i="8"/>
  <c r="H170" i="8"/>
  <c r="H172" i="8"/>
  <c r="H174" i="8"/>
  <c r="H181" i="8"/>
  <c r="G153" i="8"/>
  <c r="G159" i="8"/>
  <c r="G162" i="8"/>
  <c r="G164" i="8"/>
  <c r="G166" i="8"/>
  <c r="G168" i="8"/>
  <c r="G170" i="8"/>
  <c r="G172" i="8"/>
  <c r="G174" i="8"/>
  <c r="G152" i="8"/>
  <c r="G154" i="8"/>
  <c r="G155" i="8"/>
  <c r="G156" i="8"/>
  <c r="G157" i="8"/>
  <c r="G158" i="8"/>
  <c r="G160" i="8"/>
  <c r="G161" i="8"/>
  <c r="G163" i="8"/>
  <c r="G165" i="8"/>
  <c r="G167" i="8"/>
  <c r="G169" i="8"/>
  <c r="G171" i="8"/>
  <c r="G173" i="8"/>
  <c r="G175" i="8"/>
  <c r="J151" i="8"/>
  <c r="F215" i="8"/>
  <c r="G151" i="8"/>
  <c r="F53" i="8" l="1"/>
  <c r="F54" i="8" s="1"/>
  <c r="F177" i="8"/>
  <c r="F178" i="8"/>
  <c r="F179" i="8"/>
  <c r="F176" i="8"/>
  <c r="F131" i="8"/>
  <c r="F127" i="8"/>
  <c r="F123" i="8"/>
  <c r="F119" i="8"/>
  <c r="F125" i="8"/>
  <c r="F128" i="8"/>
  <c r="F120" i="8"/>
  <c r="F130" i="8"/>
  <c r="F126" i="8"/>
  <c r="F122" i="8"/>
  <c r="F118" i="8"/>
  <c r="F129" i="8"/>
  <c r="F121" i="8"/>
  <c r="F132" i="8"/>
  <c r="F124" i="8"/>
  <c r="G56" i="8"/>
  <c r="G55" i="8"/>
  <c r="G54" i="8"/>
  <c r="F62" i="8"/>
  <c r="F60" i="8"/>
  <c r="F57" i="8"/>
  <c r="F58" i="8"/>
  <c r="F151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7" i="8"/>
  <c r="F155" i="8"/>
  <c r="F159" i="8"/>
  <c r="F163" i="8"/>
  <c r="F167" i="8"/>
  <c r="F171" i="8"/>
  <c r="F175" i="8"/>
  <c r="F174" i="8"/>
  <c r="F153" i="8"/>
  <c r="F161" i="8"/>
  <c r="F165" i="8"/>
  <c r="F173" i="8"/>
  <c r="F156" i="8"/>
  <c r="F168" i="8"/>
  <c r="F181" i="8"/>
  <c r="F154" i="8"/>
  <c r="F158" i="8"/>
  <c r="F162" i="8"/>
  <c r="F166" i="8"/>
  <c r="F170" i="8"/>
  <c r="F157" i="8"/>
  <c r="F169" i="8"/>
  <c r="F152" i="8"/>
  <c r="F160" i="8"/>
  <c r="F164" i="8"/>
  <c r="F172" i="8"/>
  <c r="F55" i="8" l="1"/>
  <c r="F56" i="8"/>
  <c r="M44" i="8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5" i="8"/>
  <c r="F12" i="8" s="1"/>
  <c r="F22" i="8" s="1"/>
  <c r="J105" i="8"/>
  <c r="G12" i="8" s="1"/>
  <c r="G22" i="8" s="1"/>
  <c r="G26" i="8" l="1"/>
  <c r="G36" i="8" s="1"/>
  <c r="M54" i="8" l="1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<sst xmlns="http://schemas.openxmlformats.org/spreadsheetml/2006/main" count="1036" uniqueCount="440">
  <si>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</si>
  <si>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</si>
  <si>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</si>
  <si>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</si>
  <si>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</si>
  <si>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</si>
  <si>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</si>
  <si>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</si>
  <si>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</si>
  <si>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</si>
  <si>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</si>
  <si>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</si>
  <si>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</si>
  <si>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</si>
  <si>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</si>
  <si>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</si>
  <si>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</si>
  <si>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</si>
  <si>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</si>
  <si>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</si>
  <si>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</si>
  <si>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</si>
  <si>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</si>
  <si>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</si>
  <si>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</si>
  <si>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</si>
  <si>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</si>
  <si>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</si>
  <si>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</si>
  <si>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</si>
  <si>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</si>
  <si>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</si>
  <si>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</si>
  <si>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</si>
  <si>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</si>
  <si>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</si>
  <si>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</si>
  <si>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</si>
  <si>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</si>
  <si>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</si>
  <si>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</si>
  <si>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</si>
  <si>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</si>
  <si>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</si>
  <si>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</si>
  <si>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</si>
  <si>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</si>
  <si>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</si>
  <si>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</si>
  <si>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</si>
  <si>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</si>
  <si>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</si>
  <si>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</si>
  <si>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</si>
  <si>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</si>
  <si>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</si>
  <si>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</si>
  <si>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</si>
  <si>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</si>
  <si>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</si>
  <si>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</si>
  <si>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</si>
  <si>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</si>
  <si>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</si>
  <si>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</si>
  <si>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</si>
  <si>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</si>
  <si>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</si>
  <si>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</si>
  <si>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</si>
  <si>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</si>
  <si>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</si>
  <si>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</si>
  <si>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</si>
  <si>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</si>
  <si>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</si>
  <si>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</si>
  <si>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</si>
  <si>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</si>
  <si>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</si>
  <si>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</si>
  <si>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</si>
  <si>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</si>
  <si>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</si>
  <si>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</si>
  <si>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</si>
  <si>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</si>
  <si>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</si>
  <si>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</si>
  <si>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</si>
  <si>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</si>
  <si>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</si>
  <si>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</si>
  <si>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</si>
  <si>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</si>
  <si>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</si>
  <si>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</si>
  <si>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</si>
  <si>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</si>
  <si>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</si>
  <si>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</si>
  <si>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</si>
  <si>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</si>
  <si>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</si>
  <si>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</si>
  <si>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</si>
  <si>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</si>
  <si>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</si>
  <si>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</si>
  <si>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</si>
  <si>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</si>
  <si>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</si>
  <si>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</si>
  <si>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</si>
  <si>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</si>
  <si>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</si>
  <si>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</si>
  <si>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</si>
  <si>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</si>
  <si>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</si>
  <si>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</si>
  <si>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</si>
  <si>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</si>
  <si>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</si>
  <si>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</si>
  <si>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</si>
  <si>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</si>
  <si>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</si>
  <si>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</si>
  <si>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</si>
  <si>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</si>
  <si>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</si>
  <si>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</si>
  <si>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</si>
  <si>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</si>
  <si>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</si>
  <si>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</si>
  <si>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</si>
  <si>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</si>
  <si>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</si>
  <si>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</si>
  <si>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</si>
  <si>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</si>
  <si>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</si>
  <si>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</si>
  <si>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</si>
  <si>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</si>
  <si>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</si>
  <si>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</si>
  <si>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</si>
  <si>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</si>
  <si>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</si>
  <si>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</si>
  <si>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</si>
  <si>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</si>
  <si>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</si>
  <si>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</si>
  <si>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</si>
  <si>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</si>
  <si>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</si>
  <si>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</si>
  <si>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</si>
  <si>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</si>
  <si>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</si>
  <si>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</si>
  <si>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</si>
  <si>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</si>
  <si>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</si>
  <si>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</si>
  <si>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</si>
  <si>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</si>
  <si>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</si>
  <si>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</si>
  <si>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</si>
  <si>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</si>
  <si>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</si>
  <si>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</si>
  <si>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</si>
  <si>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</si>
  <si>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</si>
  <si>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</si>
  <si>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</si>
  <si>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</si>
  <si>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</si>
  <si>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</si>
  <si>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</si>
  <si>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</si>
  <si>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</si>
  <si>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</si>
  <si>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</si>
  <si>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</si>
  <si>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</si>
  <si>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</si>
  <si>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</si>
  <si>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</si>
  <si>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</si>
  <si>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</si>
  <si>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</si>
  <si>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</si>
  <si>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</si>
  <si>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</si>
  <si>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</si>
  <si>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</si>
  <si>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</si>
  <si>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</si>
  <si>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</si>
  <si>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</si>
  <si>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</si>
  <si>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</si>
  <si>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</si>
  <si>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</si>
  <si>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</si>
  <si>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</si>
  <si>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</si>
  <si>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</si>
  <si>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</si>
  <si>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</si>
  <si>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</si>
  <si>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</si>
  <si>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</si>
  <si>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</si>
  <si>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</si>
  <si>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</si>
  <si>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</si>
  <si>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</si>
  <si>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</si>
  <si>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</si>
  <si>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</si>
  <si>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</si>
  <si>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</si>
  <si>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</si>
  <si>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</si>
  <si>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</si>
  <si>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</si>
  <si>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</si>
  <si>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</si>
  <si>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</si>
  <si>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</si>
  <si>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</si>
  <si>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</si>
  <si>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</si>
  <si>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</si>
  <si>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</si>
  <si>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</si>
  <si>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</si>
  <si>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</si>
  <si>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</si>
  <si>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</si>
  <si>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</si>
  <si>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</si>
  <si>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</si>
  <si>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</si>
  <si>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</si>
  <si>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</si>
  <si>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</si>
  <si>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</si>
  <si>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</si>
  <si>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</si>
  <si>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</si>
  <si>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</si>
  <si>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</si>
  <si>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</si>
  <si>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</si>
  <si>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</si>
  <si>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</si>
  <si>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2020/03/26</t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</si>
  <si>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</si>
  <si>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</si>
  <si>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</si>
  <si>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</si>
  <si>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</si>
  <si>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</si>
  <si>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</si>
  <si>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</si>
  <si>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</si>
  <si>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</si>
  <si>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</si>
  <si>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</si>
  <si>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</si>
  <si>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</si>
  <si>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</si>
  <si>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</si>
  <si>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</si>
  <si>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</si>
  <si>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</si>
  <si>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</si>
  <si>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</si>
  <si>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</si>
  <si>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</si>
  <si>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</si>
  <si>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</si>
  <si>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</si>
  <si>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</si>
  <si>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</si>
  <si>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</si>
  <si>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</si>
  <si>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</si>
  <si>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</si>
  <si>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</si>
  <si>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</si>
  <si>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</si>
  <si>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</si>
  <si>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</si>
  <si>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</si>
  <si>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</si>
  <si>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</si>
  <si>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</si>
  <si>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</si>
  <si>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</si>
  <si>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</si>
  <si>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</si>
  <si>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</si>
  <si>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</si>
  <si>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</si>
  <si>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</si>
  <si>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</si>
  <si>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※事業費は年間累計の金額。人数は１月当たりの利用者数。</t>
    <rPh sb="1" eb="3">
      <t>ジギョウ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</si>
  <si>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</si>
  <si>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</si>
  <si>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</si>
  <si>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</si>
  <si>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</si>
  <si>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令和27年度</t>
  </si>
  <si>
    <t>令和22年度</t>
  </si>
  <si>
    <t>令和17年度</t>
  </si>
  <si>
    <t>R6</t>
  </si>
  <si>
    <t>R7</t>
  </si>
  <si>
    <t>R8</t>
  </si>
  <si>
    <t>R17</t>
  </si>
  <si>
    <t>R22</t>
  </si>
  <si>
    <t>R27</t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</si>
  <si>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</si>
  <si>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</si>
  <si>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</si>
  <si>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</si>
  <si>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</si>
  <si>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</si>
  <si>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</si>
  <si>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</si>
  <si>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</si>
  <si>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</si>
  <si>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</si>
  <si>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</si>
  <si>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</si>
  <si>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R32</t>
  </si>
  <si>
    <t>R11</t>
  </si>
  <si>
    <t>R10</t>
  </si>
  <si>
    <t>R9</t>
  </si>
  <si>
    <t>R9～R11</t>
  </si>
  <si>
    <t>令和32年度</t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</si>
  <si>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</si>
  <si>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</si>
  <si>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</si>
  <si>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</si>
  <si>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</si>
  <si>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</si>
  <si>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</si>
  <si>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</si>
  <si>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</si>
  <si>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</si>
  <si>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</si>
  <si>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令和10年度</t>
    <rPh sb="0" eb="2">
      <t>レイワ</t>
    </rPh>
    <phoneticPr fontId="8"/>
  </si>
  <si>
    <t>令和9年度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</si>
  <si>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</si>
  <si>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</si>
  <si>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</si>
  <si>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</si>
  <si>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</si>
  <si>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</si>
  <si>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</si>
  <si>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</si>
  <si>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</si>
  <si>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</si>
  <si>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</si>
  <si>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</si>
  <si>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</si>
  <si>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</si>
  <si>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</si>
  <si>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</si>
  <si>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</si>
  <si>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</si>
  <si>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</si>
  <si>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</si>
  <si>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</si>
  <si>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</si>
  <si>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</si>
  <si>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</si>
  <si>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</si>
  <si>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</si>
  <si>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</si>
  <si>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</si>
  <si>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</si>
  <si>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</si>
  <si>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</si>
  <si>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</si>
  <si>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</si>
  <si>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</si>
  <si>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</si>
  <si>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</si>
  <si>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R12</t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</si>
  <si>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</si>
  <si>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</si>
  <si>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</si>
  <si>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</si>
  <si>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</si>
  <si>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</si>
  <si>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</si>
  <si>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</si>
  <si>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</si>
  <si>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</si>
  <si>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</si>
  <si>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</si>
  <si>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</si>
  <si>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介護情報利活用事業</t>
    <rPh sb="0" eb="2">
      <t>カイゴ</t>
    </rPh>
    <rPh sb="2" eb="4">
      <t>ジョウホウ</t>
    </rPh>
    <rPh sb="4" eb="7">
      <t>リカツヨウ</t>
    </rPh>
    <rPh sb="7" eb="9">
      <t>ジギョウ</t>
    </rPh>
    <phoneticPr fontId="3"/>
  </si>
  <si>
    <t>介護情報利活用事業</t>
    <phoneticPr fontId="3"/>
  </si>
  <si>
    <t>介護情報利活用事業</t>
    <rPh sb="0" eb="4">
      <t>カイゴジョウホウ</t>
    </rPh>
    <rPh sb="4" eb="9">
      <t>リカツヨウジギョウ</t>
    </rPh>
    <phoneticPr fontId="3"/>
  </si>
  <si>
    <t>保険者機能強化推進交付金の交付見込額</t>
    <phoneticPr fontId="3"/>
  </si>
  <si>
    <t>（４）登録施設介護予防支援</t>
    <phoneticPr fontId="3"/>
  </si>
  <si>
    <t>（５）登録施設介護支援</t>
    <phoneticPr fontId="3"/>
  </si>
  <si>
    <t>制度改正による影響額</t>
    <phoneticPr fontId="3"/>
  </si>
  <si>
    <t>介護予防等の取組による影響額</t>
    <phoneticPr fontId="3"/>
  </si>
  <si>
    <t>介護給付適正化事業による影響額</t>
    <phoneticPr fontId="3"/>
  </si>
  <si>
    <t>不正・不当利得返還による影響額</t>
    <phoneticPr fontId="3"/>
  </si>
  <si>
    <t>４．特定地域居宅サービス等事業</t>
    <rPh sb="2" eb="4">
      <t>トクテイ</t>
    </rPh>
    <rPh sb="4" eb="6">
      <t>チイキ</t>
    </rPh>
    <rPh sb="6" eb="8">
      <t>キョタク</t>
    </rPh>
    <rPh sb="12" eb="13">
      <t>トウ</t>
    </rPh>
    <rPh sb="13" eb="15">
      <t>ジギョウ</t>
    </rPh>
    <phoneticPr fontId="3"/>
  </si>
  <si>
    <t>特定地域居宅サービス等事業</t>
    <rPh sb="0" eb="2">
      <t>トクテイ</t>
    </rPh>
    <rPh sb="2" eb="4">
      <t>チイキ</t>
    </rPh>
    <rPh sb="4" eb="6">
      <t>キョタク</t>
    </rPh>
    <rPh sb="10" eb="11">
      <t>トウ</t>
    </rPh>
    <rPh sb="11" eb="13">
      <t>ジギョウ</t>
    </rPh>
    <phoneticPr fontId="3"/>
  </si>
  <si>
    <t>５．介護情報利活用事業</t>
    <rPh sb="2" eb="6">
      <t>カイゴジョウホウ</t>
    </rPh>
    <rPh sb="6" eb="9">
      <t>リカツヨウ</t>
    </rPh>
    <rPh sb="9" eb="11">
      <t>ジギョウ</t>
    </rPh>
    <phoneticPr fontId="3"/>
  </si>
  <si>
    <t>６．地域支援事業費計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</si>
  <si>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介護予防・地域ささえあいサポート拠点事業</t>
    <rPh sb="0" eb="2">
      <t>カイゴ</t>
    </rPh>
    <rPh sb="2" eb="4">
      <t>ヨボウ</t>
    </rPh>
    <rPh sb="5" eb="7">
      <t>チイキ</t>
    </rPh>
    <rPh sb="16" eb="18">
      <t>キョテン</t>
    </rPh>
    <rPh sb="18" eb="20">
      <t>ジギョウ</t>
    </rPh>
    <phoneticPr fontId="3"/>
  </si>
  <si>
    <t>特定地域居宅サービス等事業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</si>
  <si>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</si>
  <si>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3">
      <t>カリオ</t>
    </rPh>
    <rPh sb="33" eb="34">
      <t>アタイ</t>
    </rPh>
    <phoneticPr fontId="3"/>
  </si>
  <si>
    <t>2026/09/28</t>
  </si>
  <si>
    <t>小野町</t>
  </si>
  <si>
    <t>07522</t>
  </si>
  <si>
    <t>将来推計0925-2</t>
  </si>
  <si>
    <t>性別／年齢５歳階級別／要介護度別に推計する　※初期値</t>
  </si>
  <si>
    <t>サービス別／要介護度別に推計する　※初期値</t>
  </si>
  <si>
    <t>全国における令和６年度→令和７年度の伸び</t>
  </si>
  <si>
    <t>当該市町村における令和６年度→令和７年度の伸び</t>
  </si>
  <si>
    <t>令和7年度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</si>
</sst>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32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0" fontId="27" fillId="2" borderId="3" xfId="2" applyFont="1" applyFill="1" applyBorder="1" applyAlignment="1">
      <alignment horizontal="center" vertical="center" wrapText="1"/>
    </xf>
    <xf numFmtId="0" fontId="27" fillId="2" borderId="4" xfId="2" applyFont="1" applyFill="1" applyBorder="1" applyAlignment="1">
      <alignment horizontal="center" vertical="center" wrapText="1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6" fillId="2" borderId="119" xfId="81" applyFont="1" applyFill="1" applyBorder="1" applyAlignment="1">
      <alignment horizontal="center"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5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53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6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32" xfId="81" applyNumberFormat="1" applyFont="1" applyFill="1" applyBorder="1" applyAlignment="1">
      <alignment vertical="center" shrinkToFit="1"/>
    </xf>
    <xf numFmtId="0" fontId="26" fillId="27" borderId="165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8" xfId="0" applyNumberFormat="1" applyFont="1" applyFill="1" applyBorder="1">
      <alignment vertical="center"/>
    </xf>
    <xf numFmtId="0" fontId="6" fillId="2" borderId="174" xfId="0" applyFont="1" applyFill="1" applyBorder="1">
      <alignment vertical="center"/>
    </xf>
    <xf numFmtId="0" fontId="6" fillId="2" borderId="163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65" xfId="0" applyFont="1" applyFill="1" applyBorder="1">
      <alignment vertical="center"/>
    </xf>
    <xf numFmtId="0" fontId="6" fillId="2" borderId="159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172" xfId="0" applyFont="1" applyFill="1" applyBorder="1">
      <alignment vertical="center"/>
    </xf>
    <xf numFmtId="0" fontId="6" fillId="2" borderId="176" xfId="0" applyFont="1" applyFill="1" applyBorder="1">
      <alignment vertical="center"/>
    </xf>
    <xf numFmtId="0" fontId="6" fillId="2" borderId="179" xfId="0" applyFont="1" applyFill="1" applyBorder="1">
      <alignment vertical="center"/>
    </xf>
    <xf numFmtId="10" fontId="6" fillId="28" borderId="168" xfId="0" applyNumberFormat="1" applyFont="1" applyFill="1" applyBorder="1" applyAlignment="1">
      <alignment vertical="center" shrinkToFit="1"/>
    </xf>
    <xf numFmtId="176" fontId="6" fillId="29" borderId="157" xfId="81" applyNumberFormat="1" applyFont="1" applyFill="1" applyBorder="1" applyAlignment="1">
      <alignment vertical="center" shrinkToFit="1"/>
    </xf>
    <xf numFmtId="187" fontId="6" fillId="27" borderId="168" xfId="0" applyNumberFormat="1" applyFont="1" applyFill="1" applyBorder="1" applyAlignment="1">
      <alignment vertical="center" shrinkToFit="1"/>
    </xf>
    <xf numFmtId="187" fontId="6" fillId="27" borderId="169" xfId="0" applyNumberFormat="1" applyFont="1" applyFill="1" applyBorder="1" applyAlignment="1">
      <alignment vertical="center" shrinkToFit="1"/>
    </xf>
    <xf numFmtId="176" fontId="6" fillId="27" borderId="168" xfId="0" applyNumberFormat="1" applyFont="1" applyFill="1" applyBorder="1" applyAlignment="1">
      <alignment vertical="center" shrinkToFit="1"/>
    </xf>
    <xf numFmtId="176" fontId="6" fillId="27" borderId="169" xfId="0" applyNumberFormat="1" applyFont="1" applyFill="1" applyBorder="1" applyAlignment="1">
      <alignment vertical="center" shrinkToFit="1"/>
    </xf>
    <xf numFmtId="176" fontId="6" fillId="27" borderId="163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7" xfId="0" applyFont="1" applyFill="1" applyBorder="1" applyAlignment="1">
      <alignment horizontal="center" vertical="center" wrapText="1"/>
    </xf>
    <xf numFmtId="0" fontId="37" fillId="2" borderId="127" xfId="0" applyFont="1" applyFill="1" applyBorder="1" applyAlignment="1">
      <alignment horizontal="center" vertical="center" wrapText="1"/>
    </xf>
    <xf numFmtId="0" fontId="37" fillId="2" borderId="128" xfId="0" applyFont="1" applyFill="1" applyBorder="1" applyAlignment="1">
      <alignment horizontal="center" vertical="center" wrapText="1"/>
    </xf>
    <xf numFmtId="176" fontId="28" fillId="29" borderId="12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 applyAlignment="1">
      <alignment horizontal="right" vertical="center" shrinkToFit="1"/>
    </xf>
    <xf numFmtId="176" fontId="28" fillId="29" borderId="130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8" xfId="81" applyFill="1" applyBorder="1" applyAlignment="1">
      <alignment vertical="center"/>
    </xf>
    <xf numFmtId="176" fontId="28" fillId="29" borderId="160" xfId="0" applyNumberFormat="1" applyFont="1" applyFill="1" applyBorder="1" applyAlignment="1">
      <alignment vertical="center" shrinkToFit="1"/>
    </xf>
    <xf numFmtId="0" fontId="26" fillId="2" borderId="163" xfId="81" applyFill="1" applyBorder="1" applyAlignment="1">
      <alignment vertical="center"/>
    </xf>
    <xf numFmtId="0" fontId="28" fillId="2" borderId="158" xfId="0" applyFont="1" applyFill="1" applyBorder="1">
      <alignment vertical="center"/>
    </xf>
    <xf numFmtId="176" fontId="6" fillId="29" borderId="157" xfId="0" applyNumberFormat="1" applyFont="1" applyFill="1" applyBorder="1">
      <alignment vertical="center"/>
    </xf>
    <xf numFmtId="176" fontId="28" fillId="29" borderId="160" xfId="0" applyNumberFormat="1" applyFont="1" applyFill="1" applyBorder="1">
      <alignment vertical="center"/>
    </xf>
    <xf numFmtId="176" fontId="28" fillId="29" borderId="160" xfId="0" applyNumberFormat="1" applyFont="1" applyFill="1" applyBorder="1" applyAlignment="1">
      <alignment horizontal="right" vertical="center" shrinkToFit="1"/>
    </xf>
    <xf numFmtId="176" fontId="28" fillId="29" borderId="161" xfId="0" applyNumberFormat="1" applyFont="1" applyFill="1" applyBorder="1" applyAlignment="1">
      <alignment horizontal="right" vertical="center" shrinkToFit="1"/>
    </xf>
    <xf numFmtId="176" fontId="28" fillId="27" borderId="160" xfId="0" applyNumberFormat="1" applyFont="1" applyFill="1" applyBorder="1">
      <alignment vertical="center"/>
    </xf>
    <xf numFmtId="176" fontId="28" fillId="27" borderId="160" xfId="0" applyNumberFormat="1" applyFont="1" applyFill="1" applyBorder="1" applyAlignment="1">
      <alignment horizontal="right" vertical="center" shrinkToFit="1"/>
    </xf>
    <xf numFmtId="176" fontId="28" fillId="27" borderId="161" xfId="0" applyNumberFormat="1" applyFont="1" applyFill="1" applyBorder="1" applyAlignment="1">
      <alignment horizontal="right" vertical="center" shrinkToFit="1"/>
    </xf>
    <xf numFmtId="0" fontId="28" fillId="27" borderId="158" xfId="0" applyFont="1" applyFill="1" applyBorder="1">
      <alignment vertical="center"/>
    </xf>
    <xf numFmtId="176" fontId="28" fillId="27" borderId="131" xfId="0" applyNumberFormat="1" applyFont="1" applyFill="1" applyBorder="1">
      <alignment vertical="center"/>
    </xf>
    <xf numFmtId="176" fontId="28" fillId="29" borderId="131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33" xfId="81" applyFill="1" applyBorder="1" applyAlignment="1">
      <alignment vertical="center"/>
    </xf>
    <xf numFmtId="0" fontId="35" fillId="27" borderId="134" xfId="55" applyFont="1" applyFill="1" applyBorder="1">
      <alignment vertical="center"/>
    </xf>
    <xf numFmtId="0" fontId="26" fillId="2" borderId="133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70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176" fontId="6" fillId="28" borderId="167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7" xfId="0" applyFont="1" applyFill="1" applyBorder="1">
      <alignment vertical="center"/>
    </xf>
    <xf numFmtId="0" fontId="6" fillId="27" borderId="165" xfId="0" applyFont="1" applyFill="1" applyBorder="1">
      <alignment vertical="center"/>
    </xf>
    <xf numFmtId="0" fontId="6" fillId="27" borderId="159" xfId="0" applyFont="1" applyFill="1" applyBorder="1">
      <alignment vertical="center"/>
    </xf>
    <xf numFmtId="0" fontId="6" fillId="27" borderId="175" xfId="0" applyFont="1" applyFill="1" applyBorder="1">
      <alignment vertical="center"/>
    </xf>
    <xf numFmtId="0" fontId="6" fillId="2" borderId="175" xfId="0" applyFont="1" applyFill="1" applyBorder="1">
      <alignment vertical="center"/>
    </xf>
    <xf numFmtId="0" fontId="28" fillId="27" borderId="157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5" xfId="0" applyNumberFormat="1" applyFont="1" applyFill="1" applyBorder="1">
      <alignment vertical="center"/>
    </xf>
    <xf numFmtId="176" fontId="28" fillId="2" borderId="135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7" xfId="0" applyNumberFormat="1" applyFont="1" applyFill="1" applyBorder="1">
      <alignment vertical="center"/>
    </xf>
    <xf numFmtId="176" fontId="28" fillId="2" borderId="137" xfId="0" applyNumberFormat="1" applyFont="1" applyFill="1" applyBorder="1" applyAlignment="1">
      <alignment vertical="center" shrinkToFit="1"/>
    </xf>
    <xf numFmtId="176" fontId="28" fillId="2" borderId="138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9" xfId="0" applyNumberFormat="1" applyFont="1" applyFill="1" applyBorder="1">
      <alignment vertical="center"/>
    </xf>
    <xf numFmtId="176" fontId="28" fillId="2" borderId="139" xfId="0" applyNumberFormat="1" applyFont="1" applyFill="1" applyBorder="1" applyAlignment="1">
      <alignment vertical="center" shrinkToFit="1"/>
    </xf>
    <xf numFmtId="176" fontId="28" fillId="2" borderId="140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41" xfId="0" applyNumberFormat="1" applyFont="1" applyFill="1" applyBorder="1">
      <alignment vertical="center"/>
    </xf>
    <xf numFmtId="176" fontId="28" fillId="2" borderId="141" xfId="0" applyNumberFormat="1" applyFont="1" applyFill="1" applyBorder="1" applyAlignment="1">
      <alignment vertical="center" shrinkToFit="1"/>
    </xf>
    <xf numFmtId="176" fontId="28" fillId="2" borderId="142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44" xfId="0" applyNumberFormat="1" applyFont="1" applyFill="1" applyBorder="1">
      <alignment vertical="center"/>
    </xf>
    <xf numFmtId="176" fontId="28" fillId="27" borderId="121" xfId="0" applyNumberFormat="1" applyFont="1" applyFill="1" applyBorder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176" fontId="28" fillId="29" borderId="157" xfId="0" applyNumberFormat="1" applyFont="1" applyFill="1" applyBorder="1">
      <alignment vertical="center"/>
    </xf>
    <xf numFmtId="176" fontId="28" fillId="28" borderId="160" xfId="0" applyNumberFormat="1" applyFont="1" applyFill="1" applyBorder="1">
      <alignment vertical="center"/>
    </xf>
    <xf numFmtId="176" fontId="28" fillId="28" borderId="161" xfId="0" applyNumberFormat="1" applyFont="1" applyFill="1" applyBorder="1">
      <alignment vertical="center"/>
    </xf>
    <xf numFmtId="0" fontId="26" fillId="2" borderId="145" xfId="81" applyFill="1" applyBorder="1" applyAlignment="1">
      <alignment vertical="center"/>
    </xf>
    <xf numFmtId="0" fontId="28" fillId="2" borderId="131" xfId="0" applyFont="1" applyFill="1" applyBorder="1">
      <alignment vertical="center"/>
    </xf>
    <xf numFmtId="0" fontId="28" fillId="2" borderId="121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31" xfId="0" applyNumberFormat="1" applyFont="1" applyFill="1" applyBorder="1">
      <alignment vertical="center"/>
    </xf>
    <xf numFmtId="180" fontId="28" fillId="29" borderId="121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176" fontId="28" fillId="2" borderId="121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6" xfId="0" applyNumberFormat="1" applyFont="1" applyFill="1" applyBorder="1">
      <alignment vertical="center"/>
    </xf>
    <xf numFmtId="176" fontId="28" fillId="29" borderId="147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176" fontId="28" fillId="29" borderId="121" xfId="0" applyNumberFormat="1" applyFont="1" applyFill="1" applyBorder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8" xfId="0" applyNumberFormat="1" applyFont="1" applyFill="1" applyBorder="1">
      <alignment vertical="center"/>
    </xf>
    <xf numFmtId="176" fontId="28" fillId="29" borderId="123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43" xfId="0" applyFont="1" applyFill="1" applyBorder="1">
      <alignment vertical="center"/>
    </xf>
    <xf numFmtId="0" fontId="28" fillId="29" borderId="144" xfId="0" applyFont="1" applyFill="1" applyBorder="1">
      <alignment vertical="center"/>
    </xf>
    <xf numFmtId="185" fontId="28" fillId="2" borderId="149" xfId="0" applyNumberFormat="1" applyFont="1" applyFill="1" applyBorder="1">
      <alignment vertical="center"/>
    </xf>
    <xf numFmtId="186" fontId="28" fillId="27" borderId="131" xfId="0" applyNumberFormat="1" applyFont="1" applyFill="1" applyBorder="1">
      <alignment vertical="center"/>
    </xf>
    <xf numFmtId="186" fontId="28" fillId="27" borderId="121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31" xfId="0" applyNumberFormat="1" applyFont="1" applyFill="1" applyBorder="1">
      <alignment vertical="center"/>
    </xf>
    <xf numFmtId="186" fontId="28" fillId="30" borderId="121" xfId="0" applyNumberFormat="1" applyFont="1" applyFill="1" applyBorder="1">
      <alignment vertical="center"/>
    </xf>
    <xf numFmtId="176" fontId="28" fillId="2" borderId="136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8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50" xfId="0" applyNumberFormat="1" applyFont="1" applyFill="1" applyBorder="1">
      <alignment vertical="center"/>
    </xf>
    <xf numFmtId="176" fontId="28" fillId="2" borderId="151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6" fillId="2" borderId="31" xfId="2" applyFill="1" applyBorder="1" applyAlignment="1">
      <alignment horizontal="center" vertical="center"/>
    </xf>
    <xf numFmtId="0" fontId="6" fillId="2" borderId="34" xfId="2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5" xfId="3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7" borderId="164" xfId="0" applyNumberFormat="1" applyFont="1" applyFill="1" applyBorder="1">
      <alignment vertical="center"/>
    </xf>
    <xf numFmtId="180" fontId="35" fillId="28" borderId="163" xfId="86" applyNumberFormat="1" applyFont="1" applyFill="1" applyBorder="1" applyAlignment="1">
      <alignment horizontal="right" vertical="center"/>
    </xf>
    <xf numFmtId="180" fontId="35" fillId="28" borderId="162" xfId="86" applyNumberFormat="1" applyFont="1" applyFill="1" applyBorder="1" applyAlignment="1">
      <alignment horizontal="right" vertical="center"/>
    </xf>
    <xf numFmtId="177" fontId="35" fillId="27" borderId="157" xfId="0" applyNumberFormat="1" applyFont="1" applyFill="1" applyBorder="1">
      <alignment vertical="center"/>
    </xf>
    <xf numFmtId="177" fontId="35" fillId="27" borderId="164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7" xfId="0" applyNumberFormat="1" applyFont="1" applyFill="1" applyBorder="1" applyAlignment="1">
      <alignment vertical="center" shrinkToFit="1"/>
    </xf>
    <xf numFmtId="176" fontId="35" fillId="27" borderId="163" xfId="0" applyNumberFormat="1" applyFont="1" applyFill="1" applyBorder="1" applyAlignment="1">
      <alignment vertical="center" shrinkToFit="1"/>
    </xf>
    <xf numFmtId="180" fontId="35" fillId="28" borderId="163" xfId="86" applyNumberFormat="1" applyFont="1" applyFill="1" applyBorder="1" applyAlignment="1">
      <alignment horizontal="right" vertical="center" shrinkToFit="1"/>
    </xf>
    <xf numFmtId="180" fontId="35" fillId="28" borderId="162" xfId="86" applyNumberFormat="1" applyFont="1" applyFill="1" applyBorder="1" applyAlignment="1">
      <alignment horizontal="right" vertical="center" shrinkToFit="1"/>
    </xf>
    <xf numFmtId="177" fontId="35" fillId="27" borderId="157" xfId="0" applyNumberFormat="1" applyFont="1" applyFill="1" applyBorder="1" applyAlignment="1">
      <alignment vertical="center" shrinkToFit="1"/>
    </xf>
    <xf numFmtId="177" fontId="35" fillId="27" borderId="163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54" xfId="0" applyNumberFormat="1" applyFont="1" applyBorder="1" applyAlignment="1">
      <alignment vertical="center" shrinkToFit="1"/>
    </xf>
    <xf numFmtId="180" fontId="35" fillId="0" borderId="155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6" fillId="2" borderId="33" xfId="2" applyFill="1" applyBorder="1" applyAlignment="1">
      <alignment horizontal="center"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5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52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7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63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6" fillId="2" borderId="4" xfId="2" applyFill="1" applyBorder="1" applyAlignment="1">
      <alignment horizontal="center" vertical="center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33" fillId="0" borderId="0" xfId="0" applyFont="1">
      <alignment vertical="center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33" xfId="0" applyFont="1" applyBorder="1" applyAlignment="1">
      <alignment horizontal="center"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0" fontId="6" fillId="2" borderId="117" xfId="81" applyFont="1" applyFill="1" applyBorder="1" applyAlignment="1">
      <alignment horizontal="center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81" xfId="0" applyNumberFormat="1" applyFont="1" applyFill="1" applyBorder="1" applyAlignment="1">
      <alignment horizontal="right" vertical="center" shrinkToFit="1"/>
    </xf>
    <xf numFmtId="176" fontId="6" fillId="28" borderId="182" xfId="0" applyNumberFormat="1" applyFont="1" applyFill="1" applyBorder="1" applyAlignment="1">
      <alignment horizontal="right" vertical="center" shrinkToFit="1"/>
    </xf>
    <xf numFmtId="187" fontId="6" fillId="27" borderId="182" xfId="0" applyNumberFormat="1" applyFont="1" applyFill="1" applyBorder="1" applyAlignment="1">
      <alignment horizontal="right" vertical="center" shrinkToFit="1"/>
    </xf>
    <xf numFmtId="176" fontId="6" fillId="27" borderId="182" xfId="0" applyNumberFormat="1" applyFont="1" applyFill="1" applyBorder="1" applyAlignment="1">
      <alignment horizontal="right" vertical="center" shrinkToFit="1"/>
    </xf>
    <xf numFmtId="10" fontId="6" fillId="28" borderId="182" xfId="0" applyNumberFormat="1" applyFont="1" applyFill="1" applyBorder="1" applyAlignment="1">
      <alignment vertical="center" shrinkToFit="1"/>
    </xf>
    <xf numFmtId="184" fontId="6" fillId="28" borderId="182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0" fontId="28" fillId="2" borderId="2" xfId="0" applyFont="1" applyFill="1" applyBorder="1" applyAlignment="1">
      <alignment horizontal="center" vertical="center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2" xfId="55" applyFont="1" applyFill="1" applyBorder="1" applyAlignment="1">
      <alignment horizontal="centerContinuous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4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0" fontId="6" fillId="2" borderId="183" xfId="81" applyFont="1" applyFill="1" applyBorder="1" applyAlignment="1">
      <alignment horizontal="center" vertical="center"/>
    </xf>
    <xf numFmtId="176" fontId="35" fillId="29" borderId="160" xfId="55" applyNumberFormat="1" applyFont="1" applyFill="1" applyBorder="1" applyAlignment="1">
      <alignment horizontal="right" vertical="center"/>
    </xf>
    <xf numFmtId="176" fontId="35" fillId="29" borderId="148" xfId="55" applyNumberFormat="1" applyFont="1" applyFill="1" applyBorder="1" applyAlignment="1">
      <alignment horizontal="right" vertical="center"/>
    </xf>
    <xf numFmtId="180" fontId="35" fillId="29" borderId="133" xfId="55" applyNumberFormat="1" applyFont="1" applyFill="1" applyBorder="1" applyAlignment="1">
      <alignment horizontal="right" vertical="center"/>
    </xf>
    <xf numFmtId="180" fontId="35" fillId="29" borderId="160" xfId="55" applyNumberFormat="1" applyFont="1" applyFill="1" applyBorder="1" applyAlignment="1">
      <alignment horizontal="right" vertical="center"/>
    </xf>
    <xf numFmtId="180" fontId="35" fillId="29" borderId="148" xfId="55" applyNumberFormat="1" applyFont="1" applyFill="1" applyBorder="1" applyAlignment="1">
      <alignment horizontal="right" vertical="center"/>
    </xf>
    <xf numFmtId="180" fontId="35" fillId="29" borderId="184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0" fontId="31" fillId="2" borderId="187" xfId="2" applyFont="1" applyFill="1" applyBorder="1" applyAlignment="1">
      <alignment horizontal="center" vertical="center" shrinkToFit="1"/>
    </xf>
    <xf numFmtId="0" fontId="31" fillId="2" borderId="188" xfId="2" applyFont="1" applyFill="1" applyBorder="1" applyAlignment="1">
      <alignment horizontal="center" vertical="center" shrinkToFit="1"/>
    </xf>
    <xf numFmtId="183" fontId="31" fillId="28" borderId="189" xfId="2" applyNumberFormat="1" applyFont="1" applyFill="1" applyBorder="1" applyAlignment="1">
      <alignment horizontal="right" vertical="center"/>
    </xf>
    <xf numFmtId="183" fontId="31" fillId="28" borderId="190" xfId="2" applyNumberFormat="1" applyFont="1" applyFill="1" applyBorder="1" applyAlignment="1">
      <alignment vertical="center"/>
    </xf>
    <xf numFmtId="0" fontId="31" fillId="2" borderId="191" xfId="2" applyFont="1" applyFill="1" applyBorder="1" applyAlignment="1">
      <alignment horizontal="center" vertical="center" shrinkToFit="1"/>
    </xf>
    <xf numFmtId="0" fontId="31" fillId="2" borderId="192" xfId="2" applyFont="1" applyFill="1" applyBorder="1" applyAlignment="1">
      <alignment horizontal="left" vertical="center"/>
    </xf>
    <xf numFmtId="0" fontId="31" fillId="2" borderId="193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0" fontId="41" fillId="2" borderId="125" xfId="2" applyFont="1" applyFill="1" applyBorder="1" applyAlignment="1">
      <alignment horizontal="center" vertical="center" shrinkToFit="1"/>
    </xf>
    <xf numFmtId="176" fontId="41" fillId="27" borderId="7" xfId="2" applyNumberFormat="1" applyFont="1" applyFill="1" applyBorder="1" applyAlignment="1">
      <alignment vertical="center"/>
    </xf>
    <xf numFmtId="176" fontId="41" fillId="27" borderId="164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5" xfId="2" applyNumberFormat="1" applyFont="1" applyFill="1" applyBorder="1" applyAlignment="1">
      <alignment vertical="center"/>
    </xf>
    <xf numFmtId="0" fontId="41" fillId="2" borderId="180" xfId="2" applyFont="1" applyFill="1" applyBorder="1" applyAlignment="1">
      <alignment horizontal="center" vertical="center" shrinkToFit="1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0" fontId="41" fillId="2" borderId="54" xfId="2" applyFont="1" applyFill="1" applyBorder="1" applyAlignment="1">
      <alignment horizontal="center" vertical="center" shrinkToFit="1"/>
    </xf>
    <xf numFmtId="0" fontId="41" fillId="2" borderId="34" xfId="2" applyFont="1" applyFill="1" applyBorder="1" applyAlignment="1">
      <alignment horizontal="center" vertical="center" shrinkToFit="1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0" fontId="41" fillId="2" borderId="2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80" xfId="2" applyNumberFormat="1" applyFont="1" applyFill="1" applyBorder="1" applyAlignment="1">
      <alignment vertical="center"/>
    </xf>
    <xf numFmtId="176" fontId="41" fillId="27" borderId="125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0" fontId="41" fillId="2" borderId="44" xfId="2" applyFont="1" applyFill="1" applyBorder="1" applyAlignment="1">
      <alignment horizontal="center" vertical="center" shrinkToFit="1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0" fontId="35" fillId="2" borderId="4" xfId="0" applyFont="1" applyFill="1" applyBorder="1" applyAlignment="1">
      <alignment horizontal="center" vertical="center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6" fillId="2" borderId="0" xfId="2" applyFill="1" applyAlignment="1">
      <alignment horizontal="right" vertical="center"/>
    </xf>
    <xf numFmtId="0" fontId="41" fillId="2" borderId="194" xfId="2" applyFont="1" applyFill="1" applyBorder="1" applyAlignment="1">
      <alignment horizontal="right" vertical="center" wrapText="1"/>
    </xf>
    <xf numFmtId="190" fontId="41" fillId="27" borderId="195" xfId="2" applyNumberFormat="1" applyFont="1" applyFill="1" applyBorder="1" applyAlignment="1">
      <alignment vertical="center"/>
    </xf>
    <xf numFmtId="190" fontId="41" fillId="27" borderId="196" xfId="2" applyNumberFormat="1" applyFont="1" applyFill="1" applyBorder="1" applyAlignment="1">
      <alignment vertical="center"/>
    </xf>
    <xf numFmtId="190" fontId="41" fillId="27" borderId="197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64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62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62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62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62" xfId="0" applyNumberFormat="1" applyFont="1" applyFill="1" applyBorder="1" applyAlignment="1">
      <alignment horizontal="right" vertical="center"/>
    </xf>
    <xf numFmtId="0" fontId="6" fillId="2" borderId="118" xfId="81" applyFont="1" applyFill="1" applyBorder="1" applyAlignment="1">
      <alignment horizontal="center" vertical="center"/>
    </xf>
    <xf numFmtId="0" fontId="6" fillId="2" borderId="120" xfId="81" applyFont="1" applyFill="1" applyBorder="1" applyAlignment="1">
      <alignment horizontal="center" vertical="center"/>
    </xf>
    <xf numFmtId="176" fontId="35" fillId="29" borderId="161" xfId="55" applyNumberFormat="1" applyFont="1" applyFill="1" applyBorder="1" applyAlignment="1">
      <alignment horizontal="right" vertical="center"/>
    </xf>
    <xf numFmtId="180" fontId="35" fillId="29" borderId="122" xfId="55" applyNumberFormat="1" applyFont="1" applyFill="1" applyBorder="1" applyAlignment="1">
      <alignment horizontal="right" vertical="center"/>
    </xf>
    <xf numFmtId="176" fontId="35" fillId="29" borderId="123" xfId="55" applyNumberFormat="1" applyFont="1" applyFill="1" applyBorder="1" applyAlignment="1">
      <alignment horizontal="right" vertical="center"/>
    </xf>
    <xf numFmtId="180" fontId="35" fillId="29" borderId="124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>
      <alignment vertical="center"/>
    </xf>
    <xf numFmtId="176" fontId="35" fillId="29" borderId="162" xfId="0" applyNumberFormat="1" applyFont="1" applyFill="1" applyBorder="1">
      <alignment vertical="center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62" xfId="0" applyNumberFormat="1" applyFont="1" applyFill="1" applyBorder="1" applyAlignment="1">
      <alignment horizontal="right" vertical="center" shrinkToFit="1"/>
    </xf>
    <xf numFmtId="176" fontId="28" fillId="28" borderId="160" xfId="0" applyNumberFormat="1" applyFont="1" applyFill="1" applyBorder="1" applyAlignment="1">
      <alignment horizontal="right" vertical="center" shrinkToFit="1"/>
    </xf>
    <xf numFmtId="176" fontId="28" fillId="28" borderId="161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63" xfId="81" applyFill="1" applyBorder="1" applyAlignment="1">
      <alignment vertical="center"/>
    </xf>
    <xf numFmtId="176" fontId="28" fillId="27" borderId="160" xfId="0" applyNumberFormat="1" applyFont="1" applyFill="1" applyBorder="1" applyAlignment="1">
      <alignment vertical="center" shrinkToFit="1"/>
    </xf>
    <xf numFmtId="0" fontId="26" fillId="0" borderId="165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8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5" xfId="0" applyFont="1" applyFill="1" applyBorder="1">
      <alignment vertical="center"/>
    </xf>
    <xf numFmtId="0" fontId="6" fillId="2" borderId="186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62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62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62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62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62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62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62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62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62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8" xfId="0" applyNumberFormat="1" applyFont="1" applyBorder="1" applyAlignment="1">
      <alignment vertical="center" shrinkToFit="1"/>
    </xf>
    <xf numFmtId="0" fontId="45" fillId="2" borderId="185" xfId="0" applyFont="1" applyFill="1" applyBorder="1">
      <alignment vertical="center"/>
    </xf>
    <xf numFmtId="184" fontId="6" fillId="28" borderId="199" xfId="0" applyNumberFormat="1" applyFont="1" applyFill="1" applyBorder="1" applyAlignment="1">
      <alignment vertical="center" shrinkToFit="1"/>
    </xf>
    <xf numFmtId="184" fontId="6" fillId="28" borderId="200" xfId="0" applyNumberFormat="1" applyFont="1" applyFill="1" applyBorder="1" applyAlignment="1">
      <alignment vertical="center" shrinkToFit="1"/>
    </xf>
    <xf numFmtId="184" fontId="6" fillId="28" borderId="201" xfId="0" applyNumberFormat="1" applyFont="1" applyFill="1" applyBorder="1" applyAlignment="1">
      <alignment vertical="center" shrinkToFit="1"/>
    </xf>
    <xf numFmtId="184" fontId="6" fillId="0" borderId="202" xfId="0" applyNumberFormat="1" applyFont="1" applyBorder="1" applyAlignment="1">
      <alignment vertical="center" shrinkToFit="1"/>
    </xf>
    <xf numFmtId="184" fontId="6" fillId="28" borderId="202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0" fontId="35" fillId="2" borderId="3" xfId="0" applyFont="1" applyFill="1" applyBorder="1" applyAlignment="1">
      <alignment horizontal="center" vertical="center"/>
    </xf>
    <xf numFmtId="180" fontId="35" fillId="29" borderId="134" xfId="55" applyNumberFormat="1" applyFont="1" applyFill="1" applyBorder="1" applyAlignment="1">
      <alignment horizontal="right" vertical="center"/>
    </xf>
    <xf numFmtId="180" fontId="35" fillId="29" borderId="203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>
      <alignment vertical="center"/>
    </xf>
    <xf numFmtId="176" fontId="35" fillId="27" borderId="163" xfId="0" applyNumberFormat="1" applyFont="1" applyFill="1" applyBorder="1" applyAlignment="1">
      <alignment horizontal="right" vertical="center" shrinkToFit="1"/>
    </xf>
    <xf numFmtId="176" fontId="35" fillId="28" borderId="163" xfId="0" applyNumberFormat="1" applyFont="1" applyFill="1" applyBorder="1" applyAlignment="1">
      <alignment horizontal="right" vertical="center" shrinkToFit="1"/>
    </xf>
    <xf numFmtId="187" fontId="6" fillId="27" borderId="204" xfId="0" applyNumberFormat="1" applyFont="1" applyFill="1" applyBorder="1" applyAlignment="1">
      <alignment horizontal="right" vertical="center" shrinkToFit="1"/>
    </xf>
    <xf numFmtId="176" fontId="6" fillId="27" borderId="204" xfId="0" applyNumberFormat="1" applyFont="1" applyFill="1" applyBorder="1" applyAlignment="1">
      <alignment horizontal="right" vertical="center" shrinkToFit="1"/>
    </xf>
    <xf numFmtId="176" fontId="35" fillId="27" borderId="165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63" xfId="0" applyNumberFormat="1" applyFont="1" applyFill="1" applyBorder="1">
      <alignment vertical="center"/>
    </xf>
    <xf numFmtId="176" fontId="35" fillId="28" borderId="163" xfId="0" applyNumberFormat="1" applyFont="1" applyFill="1" applyBorder="1">
      <alignment vertical="center"/>
    </xf>
    <xf numFmtId="0" fontId="35" fillId="2" borderId="163" xfId="0" applyFont="1" applyFill="1" applyBorder="1">
      <alignment vertical="center"/>
    </xf>
    <xf numFmtId="180" fontId="35" fillId="29" borderId="163" xfId="0" applyNumberFormat="1" applyFont="1" applyFill="1" applyBorder="1">
      <alignment vertical="center"/>
    </xf>
    <xf numFmtId="176" fontId="35" fillId="2" borderId="163" xfId="0" applyNumberFormat="1" applyFont="1" applyFill="1" applyBorder="1">
      <alignment vertical="center"/>
    </xf>
    <xf numFmtId="176" fontId="35" fillId="29" borderId="165" xfId="0" applyNumberFormat="1" applyFont="1" applyFill="1" applyBorder="1">
      <alignment vertical="center"/>
    </xf>
    <xf numFmtId="176" fontId="35" fillId="27" borderId="165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63" xfId="0" applyNumberFormat="1" applyFont="1" applyFill="1" applyBorder="1" applyAlignment="1">
      <alignment horizontal="right" vertical="center"/>
    </xf>
    <xf numFmtId="186" fontId="35" fillId="30" borderId="163" xfId="0" applyNumberFormat="1" applyFont="1" applyFill="1" applyBorder="1" applyAlignment="1">
      <alignment horizontal="right" vertical="center"/>
    </xf>
    <xf numFmtId="185" fontId="35" fillId="2" borderId="163" xfId="0" applyNumberFormat="1" applyFont="1" applyFill="1" applyBorder="1" applyAlignment="1">
      <alignment horizontal="right" vertical="center"/>
    </xf>
    <xf numFmtId="176" fontId="35" fillId="2" borderId="163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/>
    </xf>
    <xf numFmtId="0" fontId="31" fillId="2" borderId="205" xfId="2" applyFont="1" applyFill="1" applyBorder="1" applyAlignment="1">
      <alignment horizontal="center" vertical="center" shrinkToFit="1"/>
    </xf>
    <xf numFmtId="183" fontId="31" fillId="28" borderId="206" xfId="2" applyNumberFormat="1" applyFont="1" applyFill="1" applyBorder="1" applyAlignment="1">
      <alignment horizontal="right" vertical="center"/>
    </xf>
    <xf numFmtId="183" fontId="31" fillId="28" borderId="207" xfId="2" applyNumberFormat="1" applyFont="1" applyFill="1" applyBorder="1" applyAlignment="1">
      <alignment vertical="center"/>
    </xf>
    <xf numFmtId="182" fontId="31" fillId="28" borderId="164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0" fontId="31" fillId="2" borderId="208" xfId="2" applyFont="1" applyFill="1" applyBorder="1" applyAlignment="1">
      <alignment horizontal="center" vertical="center" shrinkToFit="1"/>
    </xf>
    <xf numFmtId="183" fontId="31" fillId="28" borderId="209" xfId="2" applyNumberFormat="1" applyFont="1" applyFill="1" applyBorder="1" applyAlignment="1">
      <alignment horizontal="right" vertical="center"/>
    </xf>
    <xf numFmtId="183" fontId="31" fillId="28" borderId="210" xfId="2" applyNumberFormat="1" applyFont="1" applyFill="1" applyBorder="1" applyAlignment="1">
      <alignment vertical="center"/>
    </xf>
    <xf numFmtId="188" fontId="35" fillId="27" borderId="162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62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 shrinkToFit="1"/>
    </xf>
    <xf numFmtId="176" fontId="28" fillId="28" borderId="162" xfId="0" applyNumberFormat="1" applyFont="1" applyFill="1" applyBorder="1" applyAlignment="1">
      <alignment horizontal="right" vertical="center" shrinkToFit="1"/>
    </xf>
    <xf numFmtId="176" fontId="35" fillId="28" borderId="162" xfId="0" applyNumberFormat="1" applyFont="1" applyFill="1" applyBorder="1" applyAlignment="1">
      <alignment horizontal="right" vertical="center" shrinkToFit="1"/>
    </xf>
    <xf numFmtId="176" fontId="35" fillId="29" borderId="162" xfId="0" applyNumberFormat="1" applyFont="1" applyFill="1" applyBorder="1" applyAlignment="1">
      <alignment horizontal="right" vertical="center" shrinkToFit="1"/>
    </xf>
    <xf numFmtId="176" fontId="35" fillId="28" borderId="160" xfId="0" applyNumberFormat="1" applyFont="1" applyFill="1" applyBorder="1" applyAlignment="1">
      <alignment horizontal="right" vertical="center" shrinkToFit="1"/>
    </xf>
    <xf numFmtId="176" fontId="6" fillId="28" borderId="211" xfId="0" applyNumberFormat="1" applyFont="1" applyFill="1" applyBorder="1" applyAlignment="1">
      <alignment horizontal="right" vertical="center" shrinkToFit="1"/>
    </xf>
    <xf numFmtId="176" fontId="6" fillId="28" borderId="212" xfId="0" applyNumberFormat="1" applyFont="1" applyFill="1" applyBorder="1" applyAlignment="1">
      <alignment horizontal="right" vertical="center" shrinkToFit="1"/>
    </xf>
    <xf numFmtId="187" fontId="6" fillId="27" borderId="212" xfId="0" applyNumberFormat="1" applyFont="1" applyFill="1" applyBorder="1" applyAlignment="1">
      <alignment horizontal="right" vertical="center" shrinkToFit="1"/>
    </xf>
    <xf numFmtId="176" fontId="6" fillId="27" borderId="212" xfId="0" applyNumberFormat="1" applyFont="1" applyFill="1" applyBorder="1" applyAlignment="1">
      <alignment horizontal="right" vertical="center" shrinkToFit="1"/>
    </xf>
    <xf numFmtId="10" fontId="6" fillId="28" borderId="212" xfId="0" applyNumberFormat="1" applyFont="1" applyFill="1" applyBorder="1" applyAlignment="1">
      <alignment vertical="center" shrinkToFit="1"/>
    </xf>
    <xf numFmtId="184" fontId="6" fillId="28" borderId="212" xfId="0" applyNumberFormat="1" applyFont="1" applyFill="1" applyBorder="1" applyAlignment="1">
      <alignment vertical="center" shrinkToFit="1"/>
    </xf>
    <xf numFmtId="184" fontId="6" fillId="0" borderId="213" xfId="0" applyNumberFormat="1" applyFont="1" applyBorder="1" applyAlignment="1">
      <alignment vertical="center" shrinkToFit="1"/>
    </xf>
    <xf numFmtId="184" fontId="6" fillId="28" borderId="213" xfId="0" applyNumberFormat="1" applyFont="1" applyFill="1" applyBorder="1" applyAlignment="1">
      <alignment vertical="center" shrinkToFit="1"/>
    </xf>
    <xf numFmtId="176" fontId="28" fillId="27" borderId="161" xfId="0" applyNumberFormat="1" applyFont="1" applyFill="1" applyBorder="1" applyAlignment="1">
      <alignment vertical="center" shrinkToFit="1"/>
    </xf>
    <xf numFmtId="176" fontId="6" fillId="27" borderId="157" xfId="0" applyNumberFormat="1" applyFont="1" applyFill="1" applyBorder="1" applyAlignment="1">
      <alignment vertical="center" shrinkToFit="1"/>
    </xf>
    <xf numFmtId="176" fontId="6" fillId="27" borderId="170" xfId="0" applyNumberFormat="1" applyFont="1" applyFill="1" applyBorder="1" applyAlignment="1">
      <alignment vertical="center" shrinkToFit="1"/>
    </xf>
    <xf numFmtId="176" fontId="6" fillId="28" borderId="214" xfId="81" applyNumberFormat="1" applyFont="1" applyFill="1" applyBorder="1" applyAlignment="1">
      <alignment vertical="center" shrinkToFit="1"/>
    </xf>
    <xf numFmtId="176" fontId="6" fillId="28" borderId="166" xfId="0" applyNumberFormat="1" applyFont="1" applyFill="1" applyBorder="1" applyAlignment="1">
      <alignment vertical="center" shrinkToFit="1"/>
    </xf>
    <xf numFmtId="176" fontId="6" fillId="28" borderId="215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>
      <alignment vertical="center"/>
    </xf>
    <xf numFmtId="176" fontId="35" fillId="28" borderId="161" xfId="0" applyNumberFormat="1" applyFont="1" applyFill="1" applyBorder="1" applyAlignment="1">
      <alignment horizontal="right" vertical="center" shrinkToFit="1"/>
    </xf>
    <xf numFmtId="176" fontId="6" fillId="28" borderId="216" xfId="0" applyNumberFormat="1" applyFont="1" applyFill="1" applyBorder="1" applyAlignment="1">
      <alignment vertical="center" shrinkToFit="1"/>
    </xf>
    <xf numFmtId="176" fontId="6" fillId="28" borderId="217" xfId="0" applyNumberFormat="1" applyFont="1" applyFill="1" applyBorder="1" applyAlignment="1">
      <alignment vertical="center" shrinkToFit="1"/>
    </xf>
    <xf numFmtId="176" fontId="6" fillId="28" borderId="218" xfId="0" applyNumberFormat="1" applyFont="1" applyFill="1" applyBorder="1">
      <alignment vertical="center"/>
    </xf>
    <xf numFmtId="176" fontId="6" fillId="28" borderId="169" xfId="0" applyNumberFormat="1" applyFont="1" applyFill="1" applyBorder="1">
      <alignment vertical="center"/>
    </xf>
    <xf numFmtId="187" fontId="6" fillId="27" borderId="218" xfId="0" applyNumberFormat="1" applyFont="1" applyFill="1" applyBorder="1">
      <alignment vertical="center"/>
    </xf>
    <xf numFmtId="176" fontId="6" fillId="27" borderId="218" xfId="0" applyNumberFormat="1" applyFont="1" applyFill="1" applyBorder="1">
      <alignment vertical="center"/>
    </xf>
    <xf numFmtId="10" fontId="6" fillId="28" borderId="218" xfId="0" applyNumberFormat="1" applyFont="1" applyFill="1" applyBorder="1" applyAlignment="1">
      <alignment vertical="center" shrinkToFit="1"/>
    </xf>
    <xf numFmtId="10" fontId="6" fillId="28" borderId="169" xfId="0" applyNumberFormat="1" applyFont="1" applyFill="1" applyBorder="1" applyAlignment="1">
      <alignment vertical="center" shrinkToFit="1"/>
    </xf>
    <xf numFmtId="184" fontId="6" fillId="28" borderId="219" xfId="0" applyNumberFormat="1" applyFont="1" applyFill="1" applyBorder="1" applyAlignment="1">
      <alignment vertical="center" shrinkToFit="1"/>
    </xf>
    <xf numFmtId="184" fontId="6" fillId="28" borderId="220" xfId="0" applyNumberFormat="1" applyFont="1" applyFill="1" applyBorder="1" applyAlignment="1">
      <alignment vertical="center" shrinkToFit="1"/>
    </xf>
    <xf numFmtId="184" fontId="6" fillId="28" borderId="218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5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7" xfId="55" applyNumberFormat="1" applyFont="1" applyFill="1" applyBorder="1" applyAlignment="1">
      <alignment horizontal="right" vertical="center"/>
    </xf>
    <xf numFmtId="176" fontId="28" fillId="27" borderId="157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63" xfId="0" applyFont="1" applyFill="1" applyBorder="1">
      <alignment vertical="center"/>
    </xf>
    <xf numFmtId="0" fontId="28" fillId="2" borderId="164" xfId="0" applyFont="1" applyFill="1" applyBorder="1">
      <alignment vertical="center"/>
    </xf>
    <xf numFmtId="185" fontId="28" fillId="2" borderId="160" xfId="0" applyNumberFormat="1" applyFont="1" applyFill="1" applyBorder="1">
      <alignment vertical="center"/>
    </xf>
    <xf numFmtId="185" fontId="28" fillId="2" borderId="161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31" fillId="2" borderId="221" xfId="2" applyFont="1" applyFill="1" applyBorder="1" applyAlignment="1">
      <alignment horizontal="left" vertical="center"/>
    </xf>
    <xf numFmtId="10" fontId="31" fillId="28" borderId="221" xfId="2" applyNumberFormat="1" applyFont="1" applyFill="1" applyBorder="1" applyAlignment="1">
      <alignment vertical="center"/>
    </xf>
    <xf numFmtId="0" fontId="31" fillId="2" borderId="222" xfId="0" applyFont="1" applyFill="1" applyBorder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60" xfId="0" applyNumberFormat="1" applyFont="1" applyFill="1" applyBorder="1">
      <alignment vertical="center"/>
    </xf>
    <xf numFmtId="180" fontId="28" fillId="29" borderId="162" xfId="0" applyNumberFormat="1" applyFont="1" applyFill="1" applyBorder="1">
      <alignment vertical="center"/>
    </xf>
    <xf numFmtId="184" fontId="6" fillId="28" borderId="224" xfId="0" applyNumberFormat="1" applyFont="1" applyFill="1" applyBorder="1" applyAlignment="1">
      <alignment vertical="center" shrinkToFit="1"/>
    </xf>
    <xf numFmtId="184" fontId="6" fillId="28" borderId="225" xfId="0" applyNumberFormat="1" applyFont="1" applyFill="1" applyBorder="1" applyAlignment="1">
      <alignment vertical="center" shrinkToFit="1"/>
    </xf>
    <xf numFmtId="184" fontId="6" fillId="28" borderId="223" xfId="0" applyNumberFormat="1" applyFont="1" applyFill="1" applyBorder="1" applyAlignment="1">
      <alignment vertical="center" shrinkToFit="1"/>
    </xf>
    <xf numFmtId="193" fontId="28" fillId="2" borderId="160" xfId="0" applyNumberFormat="1" applyFont="1" applyFill="1" applyBorder="1">
      <alignment vertical="center"/>
    </xf>
    <xf numFmtId="193" fontId="28" fillId="2" borderId="161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63" xfId="0" applyNumberFormat="1" applyFont="1" applyFill="1" applyBorder="1" applyAlignment="1">
      <alignment horizontal="right" vertical="center"/>
    </xf>
    <xf numFmtId="193" fontId="35" fillId="2" borderId="162" xfId="0" applyNumberFormat="1" applyFont="1" applyFill="1" applyBorder="1" applyAlignment="1">
      <alignment horizontal="right" vertical="center"/>
    </xf>
    <xf numFmtId="176" fontId="28" fillId="2" borderId="226" xfId="0" applyNumberFormat="1" applyFont="1" applyFill="1" applyBorder="1">
      <alignment vertical="center"/>
    </xf>
    <xf numFmtId="0" fontId="46" fillId="0" borderId="227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41" fillId="27" borderId="1" xfId="2" applyFont="1" applyFill="1" applyBorder="1" applyAlignment="1">
      <alignment vertical="center"/>
    </xf>
    <xf numFmtId="0" fontId="41" fillId="27" borderId="2" xfId="2" applyFont="1" applyFill="1" applyBorder="1" applyAlignment="1">
      <alignment vertical="center"/>
    </xf>
    <xf numFmtId="0" fontId="41" fillId="27" borderId="54" xfId="2" applyFont="1" applyFill="1" applyBorder="1" applyAlignment="1">
      <alignment vertical="center"/>
    </xf>
    <xf numFmtId="0" fontId="41" fillId="2" borderId="67" xfId="2" applyFont="1" applyFill="1" applyBorder="1" applyAlignment="1">
      <alignment horizontal="left" vertical="center" wrapText="1"/>
    </xf>
    <xf numFmtId="176" fontId="41" fillId="28" borderId="67" xfId="2" applyNumberFormat="1" applyFont="1" applyFill="1" applyBorder="1" applyAlignment="1">
      <alignment vertical="center"/>
    </xf>
    <xf numFmtId="176" fontId="41" fillId="28" borderId="66" xfId="2" applyNumberFormat="1" applyFont="1" applyFill="1" applyBorder="1" applyAlignment="1">
      <alignment vertical="center"/>
    </xf>
    <xf numFmtId="176" fontId="41" fillId="28" borderId="19" xfId="2" applyNumberFormat="1" applyFont="1" applyFill="1" applyBorder="1" applyAlignment="1">
      <alignment vertical="center"/>
    </xf>
    <xf numFmtId="0" fontId="35" fillId="27" borderId="159" xfId="0" applyFont="1" applyFill="1" applyBorder="1">
      <alignment vertical="center"/>
    </xf>
    <xf numFmtId="0" fontId="28" fillId="27" borderId="163" xfId="0" applyFont="1" applyFill="1" applyBorder="1">
      <alignment vertical="center"/>
    </xf>
    <xf numFmtId="0" fontId="35" fillId="2" borderId="163" xfId="3" applyFont="1" applyFill="1" applyBorder="1">
      <alignment vertical="center"/>
    </xf>
    <xf numFmtId="0" fontId="35" fillId="2" borderId="78" xfId="3" applyFont="1" applyFill="1" applyBorder="1">
      <alignment vertical="center"/>
    </xf>
    <xf numFmtId="176" fontId="35" fillId="0" borderId="228" xfId="0" applyNumberFormat="1" applyFont="1" applyBorder="1" applyAlignment="1">
      <alignment vertical="center" shrinkToFit="1"/>
    </xf>
    <xf numFmtId="176" fontId="35" fillId="0" borderId="229" xfId="0" applyNumberFormat="1" applyFont="1" applyBorder="1" applyAlignment="1">
      <alignment vertical="center" shrinkToFit="1"/>
    </xf>
    <xf numFmtId="176" fontId="35" fillId="0" borderId="230" xfId="0" applyNumberFormat="1" applyFont="1" applyBorder="1" applyAlignment="1">
      <alignment vertical="center" shrinkToFit="1"/>
    </xf>
    <xf numFmtId="176" fontId="35" fillId="0" borderId="231" xfId="0" applyNumberFormat="1" applyFont="1" applyBorder="1" applyAlignment="1">
      <alignment vertical="center" shrinkToFit="1"/>
    </xf>
    <xf numFmtId="176" fontId="35" fillId="0" borderId="232" xfId="0" applyNumberFormat="1" applyFont="1" applyBorder="1" applyAlignment="1">
      <alignment vertical="center" shrinkToFit="1"/>
    </xf>
    <xf numFmtId="176" fontId="35" fillId="0" borderId="233" xfId="0" applyNumberFormat="1" applyFont="1" applyBorder="1" applyAlignment="1">
      <alignment vertical="center" shrinkToFit="1"/>
    </xf>
    <xf numFmtId="0" fontId="47" fillId="2" borderId="0" xfId="0" applyFont="1" applyFill="1">
      <alignment vertical="center"/>
    </xf>
    <xf numFmtId="0" fontId="48" fillId="2" borderId="0" xfId="2" applyFont="1" applyFill="1" applyAlignment="1">
      <alignment horizontal="center" vertical="center"/>
    </xf>
    <xf numFmtId="0" fontId="47" fillId="2" borderId="0" xfId="0" applyFont="1" applyFill="1" applyAlignment="1">
      <alignment horizontal="left" vertical="center" wrapText="1" shrinkToFit="1"/>
    </xf>
    <xf numFmtId="0" fontId="48" fillId="2" borderId="0" xfId="2" applyFont="1" applyFill="1" applyAlignment="1">
      <alignment horizontal="center" vertical="center" wrapText="1"/>
    </xf>
    <xf numFmtId="176" fontId="47" fillId="2" borderId="0" xfId="0" applyNumberFormat="1" applyFont="1" applyFill="1">
      <alignment vertical="center"/>
    </xf>
    <xf numFmtId="191" fontId="47" fillId="2" borderId="0" xfId="0" applyNumberFormat="1" applyFont="1" applyFill="1">
      <alignment vertical="center"/>
    </xf>
    <xf numFmtId="192" fontId="47" fillId="2" borderId="0" xfId="88" applyNumberFormat="1" applyFont="1" applyFill="1" applyBorder="1">
      <alignment vertical="center"/>
    </xf>
    <xf numFmtId="0" fontId="47" fillId="2" borderId="0" xfId="0" applyFont="1" applyFill="1" applyAlignment="1">
      <alignment vertical="top" wrapText="1"/>
    </xf>
    <xf numFmtId="0" fontId="47" fillId="2" borderId="0" xfId="0" applyFont="1" applyFill="1" applyAlignment="1">
      <alignment vertical="top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8" fillId="0" borderId="31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180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6" fillId="0" borderId="165" xfId="81" applyBorder="1" applyAlignment="1">
      <alignment vertical="center" shrinkToFit="1"/>
    </xf>
    <xf numFmtId="0" fontId="28" fillId="0" borderId="159" xfId="0" applyFont="1" applyBorder="1" applyAlignment="1">
      <alignment vertical="center" shrinkToFit="1"/>
    </xf>
    <xf numFmtId="0" fontId="26" fillId="27" borderId="163" xfId="81" applyFill="1" applyBorder="1" applyAlignment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5" xfId="0" applyFont="1" applyFill="1" applyBorder="1" applyAlignment="1">
      <alignment vertical="center" shrinkToFit="1"/>
    </xf>
    <xf numFmtId="0" fontId="35" fillId="2" borderId="30" xfId="0" applyFont="1" applyFill="1" applyBorder="1" applyAlignment="1">
      <alignment horizontal="center" vertical="center"/>
    </xf>
    <xf numFmtId="0" fontId="35" fillId="2" borderId="126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horizontal="center" vertical="center"/>
    </xf>
    <xf numFmtId="0" fontId="35" fillId="2" borderId="45" xfId="0" applyFont="1" applyFill="1" applyBorder="1" applyAlignment="1">
      <alignment horizontal="center" vertical="center"/>
    </xf>
    <xf numFmtId="0" fontId="35" fillId="2" borderId="49" xfId="0" applyFont="1" applyFill="1" applyBorder="1" applyAlignment="1">
      <alignment horizontal="center" vertical="center"/>
    </xf>
    <xf numFmtId="176" fontId="28" fillId="2" borderId="162" xfId="0" applyNumberFormat="1" applyFont="1" applyFill="1" applyBorder="1">
      <alignment vertical="center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'1_推計値サマリ'!$D$92:$E$92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'1_推計値サマリ'!$E$92:$F$92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'1_推計値サマリ'!$F$92:$G$92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'1_推計値サマリ'!$G$92:$H$92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'1_推計値サマリ'!$H$92:$I$92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'1_推計値サマリ'!$I$92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'1_推計値サマリ'!$D$117:$E$117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'1_推計値サマリ'!$E$117:$F$117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'1_推計値サマリ'!$F$117:$G$117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'1_推計値サマリ'!$G$117:$H$117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'1_推計値サマリ'!$H$117:$I$117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'1_推計値サマリ'!$I$117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charts/chart2.xml" Type="http://schemas.openxmlformats.org/officeDocument/2006/relationships/chart"/>
<Relationship Id="rId3" Target="../charts/chart3.xml" Type="http://schemas.openxmlformats.org/officeDocument/2006/relationships/chart"/>
<Relationship Id="rId4" Target="../charts/chart4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_rels/sheet5.xml.rels><?xml version="1.0" encoding="UTF-8" standalone="no"?>
<Relationships xmlns="http://schemas.openxmlformats.org/package/2006/relationships">
<Relationship Id="rId1" Target="../printerSettings/printerSettings5.bin" Type="http://schemas.openxmlformats.org/officeDocument/2006/relationships/printerSettings"/>
</Relationships>

</file>

<file path=xl/worksheets/_rels/sheet6.xml.rels><?xml version="1.0" encoding="UTF-8" standalone="no"?>
<Relationships xmlns="http://schemas.openxmlformats.org/package/2006/relationships">
<Relationship Id="rId1" Target="../printerSettings/printerSettings6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61"/>
  <sheetViews>
    <sheetView showGridLines="0" tabSelected="1" zoomScale="85" zoomScaleNormal="85" zoomScaleSheetLayoutView="70" workbookViewId="0">
      <selection sqref="A1:M1"/>
    </sheetView>
  </sheetViews>
  <sheetFormatPr defaultColWidth="9" defaultRowHeight="13.5"/>
  <cols>
    <col min="1" max="1" style="550" width="9.0" collapsed="false"/>
    <col min="2" max="2" customWidth="true" style="550" width="28.5" collapsed="false"/>
    <col min="3" max="18" customWidth="true" style="550" width="11.125" collapsed="false"/>
    <col min="19" max="20" customWidth="true" style="550" width="11.25" collapsed="false"/>
    <col min="21" max="16384" style="550" width="9.0" collapsed="false"/>
  </cols>
  <sheetData>
    <row r="1" spans="1:20" ht="54.75" customHeight="1">
      <c r="A1" s="1038" t="s">
        <v>350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</row>
    <row r="2" spans="1:20" ht="15" thickBot="1">
      <c r="A2" s="352"/>
      <c r="S2" s="551" t="s">
        <v>98</v>
      </c>
      <c r="T2" s="552" t="s">
        <v>431</v>
      </c>
    </row>
    <row r="3" spans="1:20" ht="14.25" thickBot="1">
      <c r="Q3" s="1043" t="s">
        <v>67</v>
      </c>
      <c r="R3" s="1044"/>
      <c r="S3" s="887" t="s">
        <v>432</v>
      </c>
      <c r="T3" s="888"/>
    </row>
    <row r="4" spans="1:20" ht="14.25" thickBot="1">
      <c r="Q4" s="1043" t="s">
        <v>68</v>
      </c>
      <c r="R4" s="1044"/>
      <c r="S4" s="889" t="s">
        <v>433</v>
      </c>
      <c r="T4" s="890"/>
    </row>
    <row r="5" spans="1:20" ht="31.5" customHeight="1" thickBot="1">
      <c r="Q5" s="1045" t="s">
        <v>103</v>
      </c>
      <c r="R5" s="1046"/>
      <c r="S5" s="891" t="s">
        <v>434</v>
      </c>
      <c r="T5" s="892"/>
    </row>
    <row r="6" spans="1:20" ht="14.25">
      <c r="A6" s="352" t="s">
        <v>72</v>
      </c>
    </row>
    <row r="7" spans="1:20" ht="14.25">
      <c r="A7" s="352"/>
    </row>
    <row r="8" spans="1:20">
      <c r="A8" s="373" t="s">
        <v>0</v>
      </c>
      <c r="B8" s="193"/>
      <c r="C8" s="190"/>
      <c r="D8" s="190"/>
      <c r="E8" s="190"/>
      <c r="F8" s="190"/>
      <c r="G8" s="190"/>
      <c r="H8" s="190"/>
      <c r="I8" s="190"/>
      <c r="J8" s="190"/>
      <c r="K8" s="190"/>
      <c r="L8" s="190"/>
    </row>
    <row r="9" spans="1:20" ht="14.25" thickBot="1">
      <c r="A9" s="553"/>
      <c r="B9" s="554"/>
      <c r="C9" s="1"/>
      <c r="D9" s="1"/>
      <c r="E9" s="1"/>
      <c r="F9" s="1"/>
      <c r="G9" s="1"/>
      <c r="H9" s="1"/>
      <c r="L9" s="2"/>
      <c r="N9" s="2"/>
      <c r="R9" s="2"/>
      <c r="T9" s="971" t="s">
        <v>331</v>
      </c>
    </row>
    <row r="10" spans="1:20" ht="30" customHeight="1" thickBot="1">
      <c r="A10" s="1040"/>
      <c r="B10" s="1041"/>
      <c r="C10" s="1042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0">
      <c r="A11" s="13" t="s">
        <v>1</v>
      </c>
      <c r="B11" s="3"/>
      <c r="C11" s="4"/>
      <c r="D11" s="56" t="n">
        <f t="shared" ref="D11:I11" si="0">SUM(D12:D13)</f>
        <v>6265.0</v>
      </c>
      <c r="E11" s="57" t="n">
        <f t="shared" si="0"/>
        <v>6188.0</v>
      </c>
      <c r="F11" s="58" t="n">
        <f t="shared" si="0"/>
        <v>6110.0</v>
      </c>
      <c r="G11" s="59" t="n">
        <f t="shared" si="0"/>
        <v>6027.0</v>
      </c>
      <c r="H11" s="60" t="n">
        <f t="shared" si="0"/>
        <v>5949.0</v>
      </c>
      <c r="I11" s="48" t="n">
        <f t="shared" si="0"/>
        <v>5866.0</v>
      </c>
      <c r="J11" s="86" t="n">
        <f>IFERROR((SUM(G11:I11)/3)/F11,"－")</f>
        <v>0.9733769776322967</v>
      </c>
      <c r="K11" s="59" t="n">
        <f>SUM(K12:K13)</f>
        <v>5788.0</v>
      </c>
      <c r="L11" s="88" t="n">
        <f>IFERROR(K11/F11,"－")</f>
        <v>0.9472995090016366</v>
      </c>
      <c r="M11" s="59" t="n">
        <f>SUM(M12:M13)</f>
        <v>5318.0</v>
      </c>
      <c r="N11" s="88" t="n">
        <f>IFERROR(M11/F11,"－")</f>
        <v>0.8703764320785597</v>
      </c>
      <c r="O11" s="59" t="n">
        <f>SUM(O12:O13)</f>
        <v>4873.0</v>
      </c>
      <c r="P11" s="88" t="n">
        <f>IFERROR(O11/F11,"－")</f>
        <v>0.7975450081833061</v>
      </c>
      <c r="Q11" s="59" t="n">
        <f>SUM(Q12:Q13)</f>
        <v>4390.0</v>
      </c>
      <c r="R11" s="88" t="n">
        <f>IFERROR(Q11/F11,"－")</f>
        <v>0.7184942716857611</v>
      </c>
      <c r="S11" s="59" t="n">
        <f>SUM(S12:S13)</f>
        <v>3878.0</v>
      </c>
      <c r="T11" s="88" t="n">
        <f>IFERROR(S11/F11,"－")</f>
        <v>0.6346972176759411</v>
      </c>
    </row>
    <row r="12" spans="1:20">
      <c r="A12" s="5"/>
      <c r="B12" s="6" t="s">
        <v>2</v>
      </c>
      <c r="C12" s="555"/>
      <c r="D12" s="55" t="n">
        <v>3443.0</v>
      </c>
      <c r="E12" s="50" t="n">
        <v>3455.0</v>
      </c>
      <c r="F12" s="51" t="n">
        <v>3447.0</v>
      </c>
      <c r="G12" s="52" t="n">
        <v>3434.0</v>
      </c>
      <c r="H12" s="53" t="n">
        <v>3427.0</v>
      </c>
      <c r="I12" s="54" t="n">
        <v>3414.0</v>
      </c>
      <c r="J12" s="86" t="n">
        <f>IFERROR((SUM(G12:I12)/3)/F12,"－")</f>
        <v>0.9936176385262547</v>
      </c>
      <c r="K12" s="61" t="n">
        <v>3406.0</v>
      </c>
      <c r="L12" s="88" t="n">
        <f>IFERROR(K12/F12,"－")</f>
        <v>0.9881055990716565</v>
      </c>
      <c r="M12" s="61" t="n">
        <v>3206.0</v>
      </c>
      <c r="N12" s="88" t="n">
        <f>IFERROR(M12/F12,"－")</f>
        <v>0.9300841311285175</v>
      </c>
      <c r="O12" s="61" t="n">
        <v>2993.0</v>
      </c>
      <c r="P12" s="88" t="n">
        <f>IFERROR(O12/F12,"－")</f>
        <v>0.8682912677690745</v>
      </c>
      <c r="Q12" s="61" t="n">
        <v>2818.0</v>
      </c>
      <c r="R12" s="88" t="n">
        <f>IFERROR(Q12/F12,"－")</f>
        <v>0.8175224833188279</v>
      </c>
      <c r="S12" s="61" t="n">
        <v>2565.0</v>
      </c>
      <c r="T12" s="88" t="n">
        <f>IFERROR(S12/F12,"－")</f>
        <v>0.7441253263707572</v>
      </c>
    </row>
    <row r="13" spans="1:20" ht="14.25" thickBot="1">
      <c r="A13" s="5"/>
      <c r="B13" s="62" t="s">
        <v>3</v>
      </c>
      <c r="C13" s="555"/>
      <c r="D13" s="55" t="n">
        <v>2822.0</v>
      </c>
      <c r="E13" s="50" t="n">
        <v>2733.0</v>
      </c>
      <c r="F13" s="51" t="n">
        <v>2663.0</v>
      </c>
      <c r="G13" s="63" t="n">
        <v>2593.0</v>
      </c>
      <c r="H13" s="50" t="n">
        <v>2522.0</v>
      </c>
      <c r="I13" s="64" t="n">
        <v>2452.0</v>
      </c>
      <c r="J13" s="87" t="n">
        <f>IFERROR((SUM(G13:I13)/3)/F13,"－")</f>
        <v>0.947177368882213</v>
      </c>
      <c r="K13" s="47" t="n">
        <v>2382.0</v>
      </c>
      <c r="L13" s="89" t="n">
        <f>IFERROR(K13/F13,"－")</f>
        <v>0.8944799098760796</v>
      </c>
      <c r="M13" s="47" t="n">
        <v>2112.0</v>
      </c>
      <c r="N13" s="89" t="n">
        <f>IFERROR(M13/F13,"－")</f>
        <v>0.7930904994367255</v>
      </c>
      <c r="O13" s="47" t="n">
        <v>1880.0</v>
      </c>
      <c r="P13" s="89" t="n">
        <f>IFERROR(O13/F13,"－")</f>
        <v>0.7059707097258731</v>
      </c>
      <c r="Q13" s="47" t="n">
        <v>1572.0</v>
      </c>
      <c r="R13" s="89" t="n">
        <f>IFERROR(Q13/F13,"－")</f>
        <v>0.5903116785580172</v>
      </c>
      <c r="S13" s="47" t="n">
        <v>1313.0</v>
      </c>
      <c r="T13" s="89" t="n">
        <f>IFERROR(S13/F13,"－")</f>
        <v>0.49305294780322945</v>
      </c>
    </row>
    <row r="14" spans="1:20" ht="13.5" customHeight="1">
      <c r="A14" s="231"/>
      <c r="B14" s="556"/>
      <c r="C14" s="231"/>
      <c r="D14" s="231"/>
      <c r="E14" s="231"/>
      <c r="F14" s="231"/>
      <c r="G14" s="557" t="s">
        <v>365</v>
      </c>
      <c r="H14" s="231"/>
      <c r="I14" s="231"/>
      <c r="J14" s="231"/>
      <c r="K14" s="635" t="s">
        <v>401</v>
      </c>
      <c r="L14" s="634"/>
      <c r="M14" s="634"/>
    </row>
    <row r="15" spans="1:20">
      <c r="A15" s="190"/>
      <c r="B15" s="193"/>
      <c r="C15" s="190"/>
      <c r="D15" s="190"/>
      <c r="E15" s="190"/>
      <c r="F15" s="190"/>
      <c r="G15" s="558"/>
      <c r="H15" s="558"/>
      <c r="I15" s="558"/>
      <c r="J15" s="558"/>
      <c r="K15" s="634"/>
      <c r="L15" s="634"/>
      <c r="M15" s="634"/>
    </row>
    <row r="16" spans="1:20">
      <c r="A16" s="373" t="s">
        <v>4</v>
      </c>
      <c r="B16" s="193"/>
      <c r="C16" s="190"/>
      <c r="D16" s="190"/>
      <c r="E16" s="190"/>
      <c r="F16" s="190"/>
      <c r="G16" s="190"/>
      <c r="H16" s="190"/>
      <c r="I16" s="190"/>
      <c r="J16" s="190"/>
    </row>
    <row r="17" spans="1:20" ht="14.25" thickBot="1">
      <c r="A17" s="190"/>
      <c r="B17" s="193"/>
      <c r="C17" s="190"/>
      <c r="D17" s="190"/>
      <c r="E17" s="190"/>
      <c r="F17" s="190"/>
      <c r="G17" s="190"/>
      <c r="H17" s="190"/>
      <c r="L17" s="2"/>
      <c r="R17" s="2"/>
      <c r="T17" s="971" t="s">
        <v>331</v>
      </c>
    </row>
    <row r="18" spans="1:20" ht="23.25" thickBot="1">
      <c r="A18" s="1040"/>
      <c r="B18" s="1041"/>
      <c r="C18" s="1042"/>
      <c r="D18" s="377" t="s">
        <v>367</v>
      </c>
      <c r="E18" s="750" t="s">
        <v>366</v>
      </c>
      <c r="F18" s="750" t="s">
        <v>363</v>
      </c>
      <c r="G18" s="748" t="s">
        <v>362</v>
      </c>
      <c r="H18" s="749" t="s">
        <v>361</v>
      </c>
      <c r="I18" s="750" t="s">
        <v>360</v>
      </c>
      <c r="J18" s="38" t="s">
        <v>104</v>
      </c>
      <c r="K18" s="748" t="s">
        <v>384</v>
      </c>
      <c r="L18" s="39" t="s">
        <v>105</v>
      </c>
      <c r="M18" s="748" t="s">
        <v>387</v>
      </c>
      <c r="N18" s="39" t="s">
        <v>105</v>
      </c>
      <c r="O18" s="748" t="s">
        <v>390</v>
      </c>
      <c r="P18" s="39" t="s">
        <v>105</v>
      </c>
      <c r="Q18" s="748" t="s">
        <v>393</v>
      </c>
      <c r="R18" s="39" t="s">
        <v>105</v>
      </c>
      <c r="S18" s="748" t="s">
        <v>396</v>
      </c>
      <c r="T18" s="39" t="s">
        <v>105</v>
      </c>
    </row>
    <row r="19" spans="1:20">
      <c r="A19" s="13" t="s">
        <v>5</v>
      </c>
      <c r="B19" s="14"/>
      <c r="C19" s="4"/>
      <c r="D19" s="59" t="n">
        <f>SUM(D20:D26)</f>
        <v>937.0</v>
      </c>
      <c r="E19" s="60" t="n">
        <f t="shared" ref="E19:I19" si="1">SUM(E20:E26)</f>
        <v>865.0</v>
      </c>
      <c r="F19" s="48" t="n">
        <f t="shared" si="1"/>
        <v>790.0</v>
      </c>
      <c r="G19" s="59" t="n">
        <f t="shared" si="1"/>
        <v>787.0</v>
      </c>
      <c r="H19" s="60" t="n">
        <f t="shared" si="1"/>
        <v>783.0</v>
      </c>
      <c r="I19" s="48" t="n">
        <f t="shared" si="1"/>
        <v>783.0</v>
      </c>
      <c r="J19" s="86" t="n">
        <f t="shared" ref="J19:J34" si="2">IFERROR((SUM(G19:I19)/3)/F19,"－")</f>
        <v>0.9928270042194093</v>
      </c>
      <c r="K19" s="59" t="n">
        <f t="shared" ref="K19:M19" si="3">SUM(K20:K26)</f>
        <v>791.0</v>
      </c>
      <c r="L19" s="88" t="n">
        <f t="shared" ref="L19:L34" si="4">IFERROR(K19/F19,"－")</f>
        <v>1.0012658227848101</v>
      </c>
      <c r="M19" s="59" t="n">
        <f t="shared" si="3"/>
        <v>784.0</v>
      </c>
      <c r="N19" s="88" t="n">
        <f>IFERROR(M19/F19,"－")</f>
        <v>0.9924050632911392</v>
      </c>
      <c r="O19" s="59" t="n">
        <f t="shared" ref="O19" si="5">SUM(O20:O26)</f>
        <v>849.0</v>
      </c>
      <c r="P19" s="88" t="n">
        <f>IFERROR(O19/F19,"－")</f>
        <v>1.0746835443037974</v>
      </c>
      <c r="Q19" s="59" t="n">
        <f t="shared" ref="Q19:S19" si="6">SUM(Q20:Q26)</f>
        <v>861.0</v>
      </c>
      <c r="R19" s="88" t="n">
        <f>IFERROR(Q19/F19,"－")</f>
        <v>1.089873417721519</v>
      </c>
      <c r="S19" s="59" t="n">
        <f t="shared" si="6"/>
        <v>818.0</v>
      </c>
      <c r="T19" s="90" t="n">
        <f t="shared" ref="T19:T34" si="7">IFERROR(S19/F19,"－")</f>
        <v>1.0354430379746835</v>
      </c>
    </row>
    <row r="20" spans="1:20">
      <c r="A20" s="13"/>
      <c r="B20" s="7"/>
      <c r="C20" s="8" t="s">
        <v>6</v>
      </c>
      <c r="D20" s="40" t="n">
        <v>56.0</v>
      </c>
      <c r="E20" s="42" t="n">
        <v>72.0</v>
      </c>
      <c r="F20" s="41" t="n">
        <v>73.0</v>
      </c>
      <c r="G20" s="40" t="n">
        <v>74.0</v>
      </c>
      <c r="H20" s="42" t="n">
        <v>75.0</v>
      </c>
      <c r="I20" s="41" t="n">
        <v>74.0</v>
      </c>
      <c r="J20" s="93" t="n">
        <f t="shared" si="2"/>
        <v>1.0182648401826484</v>
      </c>
      <c r="K20" s="46" t="n">
        <v>75.0</v>
      </c>
      <c r="L20" s="90" t="n">
        <f t="shared" si="4"/>
        <v>1.0273972602739727</v>
      </c>
      <c r="M20" s="46" t="n">
        <v>77.0</v>
      </c>
      <c r="N20" s="90" t="n">
        <f t="shared" ref="N20:N34" si="8">IFERROR(M20/F20,"－")</f>
        <v>1.0547945205479452</v>
      </c>
      <c r="O20" s="46" t="n">
        <v>82.0</v>
      </c>
      <c r="P20" s="90" t="n">
        <f t="shared" ref="P20:P34" si="9">IFERROR(O20/F20,"－")</f>
        <v>1.1232876712328768</v>
      </c>
      <c r="Q20" s="46" t="n">
        <v>81.0</v>
      </c>
      <c r="R20" s="90" t="n">
        <f t="shared" ref="R20:R34" si="10">IFERROR(Q20/F20,"－")</f>
        <v>1.1095890410958904</v>
      </c>
      <c r="S20" s="46" t="n">
        <v>75.0</v>
      </c>
      <c r="T20" s="90" t="n">
        <f t="shared" si="7"/>
        <v>1.0273972602739727</v>
      </c>
    </row>
    <row r="21" spans="1:20">
      <c r="A21" s="13"/>
      <c r="B21" s="7"/>
      <c r="C21" s="8" t="s">
        <v>7</v>
      </c>
      <c r="D21" s="40" t="n">
        <v>142.0</v>
      </c>
      <c r="E21" s="42" t="n">
        <v>137.0</v>
      </c>
      <c r="F21" s="41" t="n">
        <v>127.0</v>
      </c>
      <c r="G21" s="40" t="n">
        <v>127.0</v>
      </c>
      <c r="H21" s="42" t="n">
        <v>129.0</v>
      </c>
      <c r="I21" s="41" t="n">
        <v>129.0</v>
      </c>
      <c r="J21" s="93" t="n">
        <f t="shared" si="2"/>
        <v>1.010498687664042</v>
      </c>
      <c r="K21" s="46" t="n">
        <v>129.0</v>
      </c>
      <c r="L21" s="90" t="n">
        <f t="shared" si="4"/>
        <v>1.015748031496063</v>
      </c>
      <c r="M21" s="46" t="n">
        <v>136.0</v>
      </c>
      <c r="N21" s="90" t="n">
        <f t="shared" si="8"/>
        <v>1.0708661417322836</v>
      </c>
      <c r="O21" s="46" t="n">
        <v>145.0</v>
      </c>
      <c r="P21" s="90" t="n">
        <f t="shared" si="9"/>
        <v>1.141732283464567</v>
      </c>
      <c r="Q21" s="46" t="n">
        <v>142.0</v>
      </c>
      <c r="R21" s="90" t="n">
        <f t="shared" si="10"/>
        <v>1.1181102362204725</v>
      </c>
      <c r="S21" s="46" t="n">
        <v>130.0</v>
      </c>
      <c r="T21" s="90" t="n">
        <f t="shared" si="7"/>
        <v>1.0236220472440944</v>
      </c>
    </row>
    <row r="22" spans="1:20">
      <c r="A22" s="13"/>
      <c r="B22" s="7"/>
      <c r="C22" s="8" t="s">
        <v>8</v>
      </c>
      <c r="D22" s="40" t="n">
        <v>151.0</v>
      </c>
      <c r="E22" s="42" t="n">
        <v>153.0</v>
      </c>
      <c r="F22" s="41" t="n">
        <v>141.0</v>
      </c>
      <c r="G22" s="40" t="n">
        <v>141.0</v>
      </c>
      <c r="H22" s="42" t="n">
        <v>141.0</v>
      </c>
      <c r="I22" s="41" t="n">
        <v>141.0</v>
      </c>
      <c r="J22" s="93" t="n">
        <f t="shared" si="2"/>
        <v>1.0</v>
      </c>
      <c r="K22" s="46" t="n">
        <v>142.0</v>
      </c>
      <c r="L22" s="90" t="n">
        <f t="shared" si="4"/>
        <v>1.0070921985815602</v>
      </c>
      <c r="M22" s="46" t="n">
        <v>144.0</v>
      </c>
      <c r="N22" s="90" t="n">
        <f t="shared" si="8"/>
        <v>1.0212765957446808</v>
      </c>
      <c r="O22" s="46" t="n">
        <v>157.0</v>
      </c>
      <c r="P22" s="90" t="n">
        <f t="shared" si="9"/>
        <v>1.1134751773049645</v>
      </c>
      <c r="Q22" s="46" t="n">
        <v>159.0</v>
      </c>
      <c r="R22" s="90" t="n">
        <f t="shared" si="10"/>
        <v>1.127659574468085</v>
      </c>
      <c r="S22" s="46" t="n">
        <v>151.0</v>
      </c>
      <c r="T22" s="90" t="n">
        <f t="shared" si="7"/>
        <v>1.070921985815603</v>
      </c>
    </row>
    <row r="23" spans="1:20">
      <c r="A23" s="13"/>
      <c r="B23" s="7"/>
      <c r="C23" s="8" t="s">
        <v>9</v>
      </c>
      <c r="D23" s="40" t="n">
        <v>169.0</v>
      </c>
      <c r="E23" s="42" t="n">
        <v>134.0</v>
      </c>
      <c r="F23" s="41" t="n">
        <v>131.0</v>
      </c>
      <c r="G23" s="40" t="n">
        <v>131.0</v>
      </c>
      <c r="H23" s="42" t="n">
        <v>128.0</v>
      </c>
      <c r="I23" s="41" t="n">
        <v>129.0</v>
      </c>
      <c r="J23" s="93" t="n">
        <f t="shared" si="2"/>
        <v>0.9872773536895675</v>
      </c>
      <c r="K23" s="46" t="n">
        <v>129.0</v>
      </c>
      <c r="L23" s="90" t="n">
        <f t="shared" si="4"/>
        <v>0.9847328244274809</v>
      </c>
      <c r="M23" s="46" t="n">
        <v>126.0</v>
      </c>
      <c r="N23" s="90" t="n">
        <f t="shared" si="8"/>
        <v>0.9618320610687023</v>
      </c>
      <c r="O23" s="46" t="n">
        <v>137.0</v>
      </c>
      <c r="P23" s="90" t="n">
        <f t="shared" si="9"/>
        <v>1.0458015267175573</v>
      </c>
      <c r="Q23" s="46" t="n">
        <v>139.0</v>
      </c>
      <c r="R23" s="90" t="n">
        <f t="shared" si="10"/>
        <v>1.0610687022900764</v>
      </c>
      <c r="S23" s="46" t="n">
        <v>133.0</v>
      </c>
      <c r="T23" s="90" t="n">
        <f t="shared" si="7"/>
        <v>1.015267175572519</v>
      </c>
    </row>
    <row r="24" spans="1:20">
      <c r="A24" s="13"/>
      <c r="B24" s="7"/>
      <c r="C24" s="8" t="s">
        <v>10</v>
      </c>
      <c r="D24" s="40" t="n">
        <v>159.0</v>
      </c>
      <c r="E24" s="42" t="n">
        <v>157.0</v>
      </c>
      <c r="F24" s="41" t="n">
        <v>143.0</v>
      </c>
      <c r="G24" s="40" t="n">
        <v>141.0</v>
      </c>
      <c r="H24" s="42" t="n">
        <v>141.0</v>
      </c>
      <c r="I24" s="41" t="n">
        <v>140.0</v>
      </c>
      <c r="J24" s="93" t="n">
        <f t="shared" si="2"/>
        <v>0.9836829836829836</v>
      </c>
      <c r="K24" s="46" t="n">
        <v>144.0</v>
      </c>
      <c r="L24" s="90" t="n">
        <f t="shared" si="4"/>
        <v>1.006993006993007</v>
      </c>
      <c r="M24" s="46" t="n">
        <v>139.0</v>
      </c>
      <c r="N24" s="90" t="n">
        <f t="shared" si="8"/>
        <v>0.972027972027972</v>
      </c>
      <c r="O24" s="46" t="n">
        <v>149.0</v>
      </c>
      <c r="P24" s="90" t="n">
        <f t="shared" si="9"/>
        <v>1.0419580419580419</v>
      </c>
      <c r="Q24" s="46" t="n">
        <v>153.0</v>
      </c>
      <c r="R24" s="90" t="n">
        <f t="shared" si="10"/>
        <v>1.06993006993007</v>
      </c>
      <c r="S24" s="46" t="n">
        <v>146.0</v>
      </c>
      <c r="T24" s="90" t="n">
        <f t="shared" si="7"/>
        <v>1.020979020979021</v>
      </c>
    </row>
    <row r="25" spans="1:20">
      <c r="A25" s="13"/>
      <c r="B25" s="7"/>
      <c r="C25" s="8" t="s">
        <v>11</v>
      </c>
      <c r="D25" s="40" t="n">
        <v>146.0</v>
      </c>
      <c r="E25" s="42" t="n">
        <v>123.0</v>
      </c>
      <c r="F25" s="41" t="n">
        <v>107.0</v>
      </c>
      <c r="G25" s="40" t="n">
        <v>107.0</v>
      </c>
      <c r="H25" s="42" t="n">
        <v>104.0</v>
      </c>
      <c r="I25" s="41" t="n">
        <v>105.0</v>
      </c>
      <c r="J25" s="93" t="n">
        <f t="shared" si="2"/>
        <v>0.9844236760124611</v>
      </c>
      <c r="K25" s="46" t="n">
        <v>107.0</v>
      </c>
      <c r="L25" s="90" t="n">
        <f t="shared" si="4"/>
        <v>1.0</v>
      </c>
      <c r="M25" s="46" t="n">
        <v>99.0</v>
      </c>
      <c r="N25" s="90" t="n">
        <f t="shared" si="8"/>
        <v>0.9252336448598131</v>
      </c>
      <c r="O25" s="46" t="n">
        <v>110.0</v>
      </c>
      <c r="P25" s="90" t="n">
        <f t="shared" si="9"/>
        <v>1.02803738317757</v>
      </c>
      <c r="Q25" s="46" t="n">
        <v>116.0</v>
      </c>
      <c r="R25" s="90" t="n">
        <f t="shared" si="10"/>
        <v>1.0841121495327102</v>
      </c>
      <c r="S25" s="46" t="n">
        <v>112.0</v>
      </c>
      <c r="T25" s="90" t="n">
        <f t="shared" si="7"/>
        <v>1.0467289719626167</v>
      </c>
    </row>
    <row r="26" spans="1:20">
      <c r="A26" s="232"/>
      <c r="B26" s="559"/>
      <c r="C26" s="8" t="s">
        <v>12</v>
      </c>
      <c r="D26" s="40" t="n">
        <v>114.0</v>
      </c>
      <c r="E26" s="42" t="n">
        <v>89.0</v>
      </c>
      <c r="F26" s="41" t="n">
        <v>68.0</v>
      </c>
      <c r="G26" s="40" t="n">
        <v>66.0</v>
      </c>
      <c r="H26" s="42" t="n">
        <v>65.0</v>
      </c>
      <c r="I26" s="41" t="n">
        <v>65.0</v>
      </c>
      <c r="J26" s="93" t="n">
        <f t="shared" si="2"/>
        <v>0.9607843137254901</v>
      </c>
      <c r="K26" s="46" t="n">
        <v>65.0</v>
      </c>
      <c r="L26" s="90" t="n">
        <f t="shared" si="4"/>
        <v>0.9558823529411765</v>
      </c>
      <c r="M26" s="46" t="n">
        <v>63.0</v>
      </c>
      <c r="N26" s="90" t="n">
        <f t="shared" si="8"/>
        <v>0.9264705882352942</v>
      </c>
      <c r="O26" s="46" t="n">
        <v>69.0</v>
      </c>
      <c r="P26" s="90" t="n">
        <f t="shared" si="9"/>
        <v>1.0147058823529411</v>
      </c>
      <c r="Q26" s="46" t="n">
        <v>71.0</v>
      </c>
      <c r="R26" s="90" t="n">
        <f t="shared" si="10"/>
        <v>1.0441176470588236</v>
      </c>
      <c r="S26" s="46" t="n">
        <v>71.0</v>
      </c>
      <c r="T26" s="90" t="n">
        <f t="shared" si="7"/>
        <v>1.0441176470588236</v>
      </c>
    </row>
    <row r="27" spans="1:20">
      <c r="A27" s="208"/>
      <c r="B27" s="9" t="s">
        <v>13</v>
      </c>
      <c r="C27" s="10"/>
      <c r="D27" s="65" t="n">
        <f t="shared" ref="D27:K27" si="11">SUM(D28:D34)</f>
        <v>928.0</v>
      </c>
      <c r="E27" s="66" t="n">
        <f t="shared" si="11"/>
        <v>856.0</v>
      </c>
      <c r="F27" s="49" t="n">
        <f t="shared" si="11"/>
        <v>781.0</v>
      </c>
      <c r="G27" s="65" t="n">
        <f t="shared" si="11"/>
        <v>778.0</v>
      </c>
      <c r="H27" s="66" t="n">
        <f t="shared" si="11"/>
        <v>774.0</v>
      </c>
      <c r="I27" s="49" t="n">
        <f t="shared" si="11"/>
        <v>774.0</v>
      </c>
      <c r="J27" s="94" t="n">
        <f t="shared" si="2"/>
        <v>0.992744344857021</v>
      </c>
      <c r="K27" s="67" t="n">
        <f t="shared" si="11"/>
        <v>782.0</v>
      </c>
      <c r="L27" s="91" t="n">
        <f t="shared" si="4"/>
        <v>1.0012804097311139</v>
      </c>
      <c r="M27" s="67" t="n">
        <f t="shared" ref="M27" si="12">SUM(M28:M34)</f>
        <v>776.0</v>
      </c>
      <c r="N27" s="91" t="n">
        <f t="shared" si="8"/>
        <v>0.9935979513444302</v>
      </c>
      <c r="O27" s="67" t="n">
        <f t="shared" ref="O27" si="13">SUM(O28:O34)</f>
        <v>841.0</v>
      </c>
      <c r="P27" s="91" t="n">
        <f t="shared" si="9"/>
        <v>1.0768245838668373</v>
      </c>
      <c r="Q27" s="67" t="n">
        <f t="shared" ref="Q27:S27" si="14">SUM(Q28:Q34)</f>
        <v>854.0</v>
      </c>
      <c r="R27" s="91" t="n">
        <f t="shared" si="10"/>
        <v>1.0934699103713188</v>
      </c>
      <c r="S27" s="67" t="n">
        <f t="shared" si="14"/>
        <v>813.0</v>
      </c>
      <c r="T27" s="90" t="n">
        <f t="shared" si="7"/>
        <v>1.0409731113956466</v>
      </c>
    </row>
    <row r="28" spans="1:20">
      <c r="A28" s="5"/>
      <c r="B28" s="11"/>
      <c r="C28" s="8" t="s">
        <v>6</v>
      </c>
      <c r="D28" s="40" t="n">
        <v>55.0</v>
      </c>
      <c r="E28" s="42" t="n">
        <v>72.0</v>
      </c>
      <c r="F28" s="41" t="n">
        <v>73.0</v>
      </c>
      <c r="G28" s="40" t="n">
        <v>74.0</v>
      </c>
      <c r="H28" s="42" t="n">
        <v>75.0</v>
      </c>
      <c r="I28" s="41" t="n">
        <v>74.0</v>
      </c>
      <c r="J28" s="93" t="n">
        <f t="shared" si="2"/>
        <v>1.0182648401826484</v>
      </c>
      <c r="K28" s="46" t="n">
        <v>75.0</v>
      </c>
      <c r="L28" s="90" t="n">
        <f t="shared" si="4"/>
        <v>1.0273972602739727</v>
      </c>
      <c r="M28" s="46" t="n">
        <v>77.0</v>
      </c>
      <c r="N28" s="90" t="n">
        <f t="shared" si="8"/>
        <v>1.0547945205479452</v>
      </c>
      <c r="O28" s="46" t="n">
        <v>82.0</v>
      </c>
      <c r="P28" s="90" t="n">
        <f t="shared" si="9"/>
        <v>1.1232876712328768</v>
      </c>
      <c r="Q28" s="46" t="n">
        <v>81.0</v>
      </c>
      <c r="R28" s="90" t="n">
        <f t="shared" si="10"/>
        <v>1.1095890410958904</v>
      </c>
      <c r="S28" s="46" t="n">
        <v>75.0</v>
      </c>
      <c r="T28" s="90" t="n">
        <f t="shared" si="7"/>
        <v>1.0273972602739727</v>
      </c>
    </row>
    <row r="29" spans="1:20">
      <c r="A29" s="5"/>
      <c r="B29" s="11"/>
      <c r="C29" s="8" t="s">
        <v>7</v>
      </c>
      <c r="D29" s="40" t="n">
        <v>142.0</v>
      </c>
      <c r="E29" s="42" t="n">
        <v>136.0</v>
      </c>
      <c r="F29" s="41" t="n">
        <v>126.0</v>
      </c>
      <c r="G29" s="40" t="n">
        <v>126.0</v>
      </c>
      <c r="H29" s="42" t="n">
        <v>128.0</v>
      </c>
      <c r="I29" s="41" t="n">
        <v>128.0</v>
      </c>
      <c r="J29" s="93" t="n">
        <f t="shared" si="2"/>
        <v>1.0105820105820105</v>
      </c>
      <c r="K29" s="46" t="n">
        <v>128.0</v>
      </c>
      <c r="L29" s="90" t="n">
        <f t="shared" si="4"/>
        <v>1.0158730158730158</v>
      </c>
      <c r="M29" s="46" t="n">
        <v>135.0</v>
      </c>
      <c r="N29" s="90" t="n">
        <f t="shared" si="8"/>
        <v>1.0714285714285714</v>
      </c>
      <c r="O29" s="46" t="n">
        <v>144.0</v>
      </c>
      <c r="P29" s="90" t="n">
        <f t="shared" si="9"/>
        <v>1.1428571428571428</v>
      </c>
      <c r="Q29" s="46" t="n">
        <v>141.0</v>
      </c>
      <c r="R29" s="90" t="n">
        <f t="shared" si="10"/>
        <v>1.119047619047619</v>
      </c>
      <c r="S29" s="46" t="n">
        <v>129.0</v>
      </c>
      <c r="T29" s="90" t="n">
        <f t="shared" si="7"/>
        <v>1.0238095238095237</v>
      </c>
    </row>
    <row r="30" spans="1:20">
      <c r="A30" s="208"/>
      <c r="B30" s="560"/>
      <c r="C30" s="8" t="s">
        <v>8</v>
      </c>
      <c r="D30" s="40" t="n">
        <v>151.0</v>
      </c>
      <c r="E30" s="42" t="n">
        <v>153.0</v>
      </c>
      <c r="F30" s="41" t="n">
        <v>141.0</v>
      </c>
      <c r="G30" s="40" t="n">
        <v>141.0</v>
      </c>
      <c r="H30" s="42" t="n">
        <v>141.0</v>
      </c>
      <c r="I30" s="41" t="n">
        <v>141.0</v>
      </c>
      <c r="J30" s="93" t="n">
        <f t="shared" si="2"/>
        <v>1.0</v>
      </c>
      <c r="K30" s="46" t="n">
        <v>142.0</v>
      </c>
      <c r="L30" s="90" t="n">
        <f t="shared" si="4"/>
        <v>1.0070921985815602</v>
      </c>
      <c r="M30" s="46" t="n">
        <v>144.0</v>
      </c>
      <c r="N30" s="90" t="n">
        <f t="shared" si="8"/>
        <v>1.0212765957446808</v>
      </c>
      <c r="O30" s="46" t="n">
        <v>157.0</v>
      </c>
      <c r="P30" s="90" t="n">
        <f t="shared" si="9"/>
        <v>1.1134751773049645</v>
      </c>
      <c r="Q30" s="46" t="n">
        <v>159.0</v>
      </c>
      <c r="R30" s="90" t="n">
        <f t="shared" si="10"/>
        <v>1.127659574468085</v>
      </c>
      <c r="S30" s="46" t="n">
        <v>151.0</v>
      </c>
      <c r="T30" s="90" t="n">
        <f t="shared" si="7"/>
        <v>1.070921985815603</v>
      </c>
    </row>
    <row r="31" spans="1:20">
      <c r="A31" s="208"/>
      <c r="B31" s="560"/>
      <c r="C31" s="8" t="s">
        <v>9</v>
      </c>
      <c r="D31" s="40" t="n">
        <v>169.0</v>
      </c>
      <c r="E31" s="42" t="n">
        <v>133.0</v>
      </c>
      <c r="F31" s="41" t="n">
        <v>130.0</v>
      </c>
      <c r="G31" s="40" t="n">
        <v>130.0</v>
      </c>
      <c r="H31" s="42" t="n">
        <v>127.0</v>
      </c>
      <c r="I31" s="41" t="n">
        <v>128.0</v>
      </c>
      <c r="J31" s="93" t="n">
        <f t="shared" si="2"/>
        <v>0.9871794871794872</v>
      </c>
      <c r="K31" s="46" t="n">
        <v>128.0</v>
      </c>
      <c r="L31" s="90" t="n">
        <f t="shared" si="4"/>
        <v>0.9846153846153847</v>
      </c>
      <c r="M31" s="46" t="n">
        <v>125.0</v>
      </c>
      <c r="N31" s="90" t="n">
        <f t="shared" si="8"/>
        <v>0.9615384615384616</v>
      </c>
      <c r="O31" s="46" t="n">
        <v>136.0</v>
      </c>
      <c r="P31" s="90" t="n">
        <f t="shared" si="9"/>
        <v>1.0461538461538462</v>
      </c>
      <c r="Q31" s="46" t="n">
        <v>138.0</v>
      </c>
      <c r="R31" s="90" t="n">
        <f t="shared" si="10"/>
        <v>1.0615384615384615</v>
      </c>
      <c r="S31" s="46" t="n">
        <v>132.0</v>
      </c>
      <c r="T31" s="90" t="n">
        <f t="shared" si="7"/>
        <v>1.0153846153846153</v>
      </c>
    </row>
    <row r="32" spans="1:20">
      <c r="A32" s="208"/>
      <c r="B32" s="560"/>
      <c r="C32" s="8" t="s">
        <v>10</v>
      </c>
      <c r="D32" s="40" t="n">
        <v>157.0</v>
      </c>
      <c r="E32" s="42" t="n">
        <v>155.0</v>
      </c>
      <c r="F32" s="41" t="n">
        <v>140.0</v>
      </c>
      <c r="G32" s="40" t="n">
        <v>138.0</v>
      </c>
      <c r="H32" s="42" t="n">
        <v>138.0</v>
      </c>
      <c r="I32" s="41" t="n">
        <v>137.0</v>
      </c>
      <c r="J32" s="93" t="n">
        <f t="shared" si="2"/>
        <v>0.9833333333333333</v>
      </c>
      <c r="K32" s="46" t="n">
        <v>141.0</v>
      </c>
      <c r="L32" s="90" t="n">
        <f t="shared" si="4"/>
        <v>1.0071428571428571</v>
      </c>
      <c r="M32" s="46" t="n">
        <v>137.0</v>
      </c>
      <c r="N32" s="90" t="n">
        <f t="shared" si="8"/>
        <v>0.9785714285714285</v>
      </c>
      <c r="O32" s="46" t="n">
        <v>147.0</v>
      </c>
      <c r="P32" s="90" t="n">
        <f t="shared" si="9"/>
        <v>1.05</v>
      </c>
      <c r="Q32" s="46" t="n">
        <v>151.0</v>
      </c>
      <c r="R32" s="90" t="n">
        <f t="shared" si="10"/>
        <v>1.0785714285714285</v>
      </c>
      <c r="S32" s="46" t="n">
        <v>144.0</v>
      </c>
      <c r="T32" s="90" t="n">
        <f t="shared" si="7"/>
        <v>1.0285714285714285</v>
      </c>
    </row>
    <row r="33" spans="1:20">
      <c r="A33" s="208"/>
      <c r="B33" s="560"/>
      <c r="C33" s="8" t="s">
        <v>11</v>
      </c>
      <c r="D33" s="40" t="n">
        <v>143.0</v>
      </c>
      <c r="E33" s="42" t="n">
        <v>120.0</v>
      </c>
      <c r="F33" s="41" t="n">
        <v>104.0</v>
      </c>
      <c r="G33" s="40" t="n">
        <v>104.0</v>
      </c>
      <c r="H33" s="42" t="n">
        <v>101.0</v>
      </c>
      <c r="I33" s="41" t="n">
        <v>102.0</v>
      </c>
      <c r="J33" s="93" t="n">
        <f t="shared" si="2"/>
        <v>0.9839743589743589</v>
      </c>
      <c r="K33" s="46" t="n">
        <v>104.0</v>
      </c>
      <c r="L33" s="90" t="n">
        <f t="shared" si="4"/>
        <v>1.0</v>
      </c>
      <c r="M33" s="46" t="n">
        <v>96.0</v>
      </c>
      <c r="N33" s="90" t="n">
        <f t="shared" si="8"/>
        <v>0.9230769230769231</v>
      </c>
      <c r="O33" s="46" t="n">
        <v>107.0</v>
      </c>
      <c r="P33" s="90" t="n">
        <f t="shared" si="9"/>
        <v>1.0288461538461537</v>
      </c>
      <c r="Q33" s="46" t="n">
        <v>114.0</v>
      </c>
      <c r="R33" s="90" t="n">
        <f t="shared" si="10"/>
        <v>1.0961538461538463</v>
      </c>
      <c r="S33" s="46" t="n">
        <v>111.0</v>
      </c>
      <c r="T33" s="90" t="n">
        <f t="shared" si="7"/>
        <v>1.0673076923076923</v>
      </c>
    </row>
    <row r="34" spans="1:20" ht="14.25" thickBot="1">
      <c r="A34" s="561"/>
      <c r="B34" s="562"/>
      <c r="C34" s="12" t="s">
        <v>12</v>
      </c>
      <c r="D34" s="43" t="n">
        <v>111.0</v>
      </c>
      <c r="E34" s="44" t="n">
        <v>87.0</v>
      </c>
      <c r="F34" s="45" t="n">
        <v>67.0</v>
      </c>
      <c r="G34" s="43" t="n">
        <v>65.0</v>
      </c>
      <c r="H34" s="44" t="n">
        <v>64.0</v>
      </c>
      <c r="I34" s="45" t="n">
        <v>64.0</v>
      </c>
      <c r="J34" s="95" t="n">
        <f t="shared" si="2"/>
        <v>0.9601990049751243</v>
      </c>
      <c r="K34" s="47" t="n">
        <v>64.0</v>
      </c>
      <c r="L34" s="92" t="n">
        <f t="shared" si="4"/>
        <v>0.9552238805970149</v>
      </c>
      <c r="M34" s="47" t="n">
        <v>62.0</v>
      </c>
      <c r="N34" s="92" t="n">
        <f t="shared" si="8"/>
        <v>0.9253731343283582</v>
      </c>
      <c r="O34" s="47" t="n">
        <v>68.0</v>
      </c>
      <c r="P34" s="92" t="n">
        <f t="shared" si="9"/>
        <v>1.0149253731343284</v>
      </c>
      <c r="Q34" s="47" t="n">
        <v>70.0</v>
      </c>
      <c r="R34" s="92" t="n">
        <f t="shared" si="10"/>
        <v>1.044776119402985</v>
      </c>
      <c r="S34" s="47" t="n">
        <v>71.0</v>
      </c>
      <c r="T34" s="92" t="n">
        <f t="shared" si="7"/>
        <v>1.0597014925373134</v>
      </c>
    </row>
    <row r="35" spans="1:20" ht="13.5" customHeight="1">
      <c r="A35" s="190"/>
      <c r="B35" s="193"/>
      <c r="C35" s="1"/>
      <c r="D35" s="26"/>
      <c r="E35" s="26"/>
      <c r="F35" s="27"/>
      <c r="G35" s="557" t="s">
        <v>365</v>
      </c>
      <c r="H35" s="231"/>
      <c r="I35" s="231"/>
      <c r="J35" s="231"/>
      <c r="K35" s="635" t="s">
        <v>400</v>
      </c>
      <c r="L35" s="635"/>
      <c r="M35" s="635"/>
    </row>
    <row r="36" spans="1:20">
      <c r="A36" s="190"/>
      <c r="B36" s="193"/>
      <c r="C36" s="190"/>
      <c r="D36" s="190"/>
      <c r="E36" s="190"/>
      <c r="F36" s="190"/>
      <c r="G36" s="558"/>
      <c r="H36" s="558"/>
      <c r="I36" s="558"/>
      <c r="J36" s="558"/>
      <c r="K36" s="635"/>
      <c r="L36" s="635"/>
      <c r="M36" s="635"/>
    </row>
    <row r="37" spans="1:20">
      <c r="A37" s="373" t="s">
        <v>14</v>
      </c>
      <c r="B37" s="193"/>
      <c r="C37" s="190"/>
      <c r="D37" s="190"/>
      <c r="E37" s="190"/>
      <c r="F37" s="190"/>
      <c r="G37" s="190"/>
      <c r="H37" s="190"/>
      <c r="I37" s="190"/>
      <c r="J37" s="190"/>
    </row>
    <row r="38" spans="1:20" ht="14.25" thickBot="1">
      <c r="A38" s="190"/>
      <c r="B38" s="193"/>
      <c r="C38" s="190"/>
      <c r="D38" s="190"/>
      <c r="E38" s="190"/>
      <c r="F38" s="190"/>
      <c r="G38" s="190"/>
      <c r="H38" s="190"/>
      <c r="L38" s="2"/>
      <c r="R38" s="2"/>
      <c r="T38" s="2" t="s">
        <v>63</v>
      </c>
    </row>
    <row r="39" spans="1:20" ht="23.25" thickBot="1">
      <c r="A39" s="29"/>
      <c r="B39" s="375"/>
      <c r="C39" s="376"/>
      <c r="D39" s="377" t="s">
        <v>367</v>
      </c>
      <c r="E39" s="750" t="s">
        <v>366</v>
      </c>
      <c r="F39" s="563" t="s">
        <v>363</v>
      </c>
      <c r="G39" s="378" t="s">
        <v>362</v>
      </c>
      <c r="H39" s="749" t="s">
        <v>361</v>
      </c>
      <c r="I39" s="750" t="s">
        <v>360</v>
      </c>
      <c r="J39" s="39" t="s">
        <v>104</v>
      </c>
      <c r="K39" s="748" t="s">
        <v>384</v>
      </c>
      <c r="L39" s="39" t="s">
        <v>105</v>
      </c>
      <c r="M39" s="748" t="s">
        <v>387</v>
      </c>
      <c r="N39" s="39" t="s">
        <v>105</v>
      </c>
      <c r="O39" s="748" t="s">
        <v>390</v>
      </c>
      <c r="P39" s="39" t="s">
        <v>105</v>
      </c>
      <c r="Q39" s="748" t="s">
        <v>393</v>
      </c>
      <c r="R39" s="39" t="s">
        <v>105</v>
      </c>
      <c r="S39" s="748" t="s">
        <v>396</v>
      </c>
      <c r="T39" s="39" t="s">
        <v>105</v>
      </c>
    </row>
    <row r="40" spans="1:20">
      <c r="A40" s="564" t="s">
        <v>76</v>
      </c>
      <c r="B40" s="526"/>
      <c r="C40" s="565"/>
      <c r="D40" s="69" t="n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29583.771000000004</v>
      </c>
      <c r="E40" s="68" t="n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33173.924</v>
      </c>
      <c r="F40" s="178" t="n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33811.4136</v>
      </c>
      <c r="G40" s="70" t="n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36236.0</v>
      </c>
      <c r="H40" s="68" t="n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+'2_サービス別給付費'!H59)</f>
        <v>38454.0</v>
      </c>
      <c r="I40" s="68" t="n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+'2_サービス別給付費'!I59)</f>
        <v>38392.0</v>
      </c>
      <c r="J40" s="96" t="n">
        <f>IFERROR((SUM(G40:I40)/3)/F40,"－")</f>
        <v>1.114830644052102</v>
      </c>
      <c r="K40" s="70" t="n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+'2_サービス別給付費'!K59)</f>
        <v>38447.0</v>
      </c>
      <c r="L40" s="96" t="n">
        <f>IFERROR(K40/F40,"－")</f>
        <v>1.1371012302188985</v>
      </c>
      <c r="M40" s="756" t="n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+'2_サービス別給付費'!M59)</f>
        <v>39630.0</v>
      </c>
      <c r="N40" s="610" t="n">
        <f>IFERROR(M40/F40,"－")</f>
        <v>1.172089415391967</v>
      </c>
      <c r="O40" s="756" t="n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+'2_サービス別給付費'!O59)</f>
        <v>42999.0</v>
      </c>
      <c r="P40" s="610" t="n">
        <f>IFERROR(O40/F40,"－")</f>
        <v>1.2717303248155232</v>
      </c>
      <c r="Q40" s="756" t="n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+'2_サービス別給付費'!Q59)</f>
        <v>41966.0</v>
      </c>
      <c r="R40" s="610" t="n">
        <f>IFERROR(Q40/F40,"－")</f>
        <v>1.2411785113888287</v>
      </c>
      <c r="S40" s="756" t="n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+'2_サービス別給付費'!S59)</f>
        <v>38623.0</v>
      </c>
      <c r="T40" s="610" t="n">
        <f>IFERROR(S40/F40,"－")</f>
        <v>1.1423065730679773</v>
      </c>
    </row>
    <row r="41" spans="1:20" ht="14.25" thickBot="1">
      <c r="A41" s="566" t="s">
        <v>78</v>
      </c>
      <c r="B41" s="567"/>
      <c r="C41" s="568"/>
      <c r="D41" s="71" t="n">
        <f>('2_サービス別給付費'!D47+'2_サービス別給付費'!D55)</f>
        <v>8402.31</v>
      </c>
      <c r="E41" s="72" t="n">
        <f>('2_サービス別給付費'!E47+'2_サービス別給付費'!E55)</f>
        <v>3343.368</v>
      </c>
      <c r="F41" s="179" t="n">
        <f>('2_サービス別給付費'!F47+'2_サービス別給付費'!F55)</f>
        <v>2919.564</v>
      </c>
      <c r="G41" s="73" t="n">
        <f>('2_サービス別給付費'!G47+'2_サービス別給付費'!G55)</f>
        <v>2866.0</v>
      </c>
      <c r="H41" s="72" t="n">
        <f>('2_サービス別給付費'!H47+'2_サービス別給付費'!H55)</f>
        <v>2866.0</v>
      </c>
      <c r="I41" s="72" t="n">
        <f>('2_サービス別給付費'!I47+'2_サービス別給付費'!I55)</f>
        <v>2866.0</v>
      </c>
      <c r="J41" s="97" t="n">
        <f>IFERROR((SUM(G41:I41)/3)/F41,"－")</f>
        <v>0.9816534249634535</v>
      </c>
      <c r="K41" s="73" t="n">
        <f>('2_サービス別給付費'!K47+'2_サービス別給付費'!K55)</f>
        <v>2866.0</v>
      </c>
      <c r="L41" s="97" t="n">
        <f>IFERROR(K41/F41,"－")</f>
        <v>0.9816534249634535</v>
      </c>
      <c r="M41" s="757" t="n">
        <f>('2_サービス別給付費'!M47+'2_サービス別給付費'!M55)</f>
        <v>2866.0</v>
      </c>
      <c r="N41" s="456" t="n">
        <f t="shared" ref="N41:N42" si="15">IFERROR(M41/F41,"－")</f>
        <v>0.9816534249634535</v>
      </c>
      <c r="O41" s="757" t="n">
        <f>('2_サービス別給付費'!O47+'2_サービス別給付費'!O55)</f>
        <v>2866.0</v>
      </c>
      <c r="P41" s="456" t="n">
        <f t="shared" ref="P41:P42" si="16">IFERROR(O41/F41,"－")</f>
        <v>0.9816534249634535</v>
      </c>
      <c r="Q41" s="757" t="n">
        <f>('2_サービス別給付費'!Q47+'2_サービス別給付費'!Q55)</f>
        <v>2866.0</v>
      </c>
      <c r="R41" s="456" t="n">
        <f t="shared" ref="R41:R42" si="17">IFERROR(Q41/F41,"－")</f>
        <v>0.9816534249634535</v>
      </c>
      <c r="S41" s="757" t="n">
        <f>('2_サービス別給付費'!S47+'2_サービス別給付費'!S55)</f>
        <v>2866.0</v>
      </c>
      <c r="T41" s="456" t="n">
        <f>IFERROR(S41/F41,"－")</f>
        <v>0.9816534249634535</v>
      </c>
    </row>
    <row r="42" spans="1:20" ht="14.25" thickBot="1">
      <c r="A42" s="569" t="s">
        <v>36</v>
      </c>
      <c r="B42" s="375"/>
      <c r="C42" s="570"/>
      <c r="D42" s="78" t="n">
        <f>SUM(D40:D41)</f>
        <v>37986.081000000006</v>
      </c>
      <c r="E42" s="79" t="n">
        <f t="shared" ref="E42:K42" si="18">SUM(E40:E41)</f>
        <v>36517.292</v>
      </c>
      <c r="F42" s="180" t="n">
        <f t="shared" si="18"/>
        <v>36730.9776</v>
      </c>
      <c r="G42" s="81" t="n">
        <f t="shared" si="18"/>
        <v>39102.0</v>
      </c>
      <c r="H42" s="81" t="n">
        <f t="shared" si="18"/>
        <v>41320.0</v>
      </c>
      <c r="I42" s="79" t="n">
        <f t="shared" si="18"/>
        <v>41258.0</v>
      </c>
      <c r="J42" s="98" t="n">
        <f>IFERROR((SUM(G42:I42)/3)/F42,"－")</f>
        <v>1.1042450446513572</v>
      </c>
      <c r="K42" s="81" t="n">
        <f t="shared" si="18"/>
        <v>41313.0</v>
      </c>
      <c r="L42" s="98" t="n">
        <f>IFERROR(K42/F42,"－")</f>
        <v>1.124745451915225</v>
      </c>
      <c r="M42" s="758" t="n">
        <f t="shared" ref="M42" si="19">SUM(M40:M41)</f>
        <v>42496.0</v>
      </c>
      <c r="N42" s="759" t="n">
        <f t="shared" si="15"/>
        <v>1.1569525990508895</v>
      </c>
      <c r="O42" s="758" t="n">
        <f t="shared" ref="O42" si="20">SUM(O40:O41)</f>
        <v>45865.0</v>
      </c>
      <c r="P42" s="759" t="n">
        <f t="shared" si="16"/>
        <v>1.248673544697596</v>
      </c>
      <c r="Q42" s="758" t="n">
        <f t="shared" ref="Q42:S42" si="21">SUM(Q40:Q41)</f>
        <v>44832.0</v>
      </c>
      <c r="R42" s="759" t="n">
        <f t="shared" si="17"/>
        <v>1.2205501440288375</v>
      </c>
      <c r="S42" s="758" t="n">
        <f t="shared" si="21"/>
        <v>41489.0</v>
      </c>
      <c r="T42" s="759" t="n">
        <f>IFERROR(S42/F42,"－")</f>
        <v>1.1295370477697277</v>
      </c>
    </row>
    <row r="43" spans="1:20" ht="13.5" customHeight="1">
      <c r="A43" s="381"/>
      <c r="B43" s="15"/>
      <c r="C43" s="571"/>
      <c r="D43" s="215"/>
      <c r="E43" s="558"/>
      <c r="F43" s="558"/>
      <c r="G43" s="557" t="s">
        <v>364</v>
      </c>
      <c r="H43" s="231"/>
      <c r="I43" s="231"/>
      <c r="J43" s="231"/>
      <c r="K43" s="635" t="s">
        <v>400</v>
      </c>
      <c r="L43" s="635"/>
      <c r="M43" s="635"/>
    </row>
    <row r="44" spans="1:20" ht="13.5" customHeight="1">
      <c r="A44" s="381"/>
      <c r="B44" s="15"/>
      <c r="C44" s="571"/>
      <c r="D44" s="215"/>
      <c r="E44" s="558"/>
      <c r="F44" s="558"/>
      <c r="G44" s="558"/>
      <c r="H44" s="558"/>
      <c r="I44" s="558"/>
      <c r="J44" s="558"/>
      <c r="K44" s="635"/>
      <c r="L44" s="635"/>
      <c r="M44" s="635"/>
    </row>
    <row r="45" spans="1:20" ht="13.5" customHeight="1">
      <c r="A45" s="381"/>
      <c r="B45" s="15"/>
      <c r="C45" s="571"/>
      <c r="D45" s="215"/>
      <c r="E45" s="558"/>
      <c r="F45" s="558"/>
      <c r="G45" s="558"/>
      <c r="H45" s="558"/>
      <c r="I45" s="558"/>
      <c r="J45" s="558"/>
    </row>
    <row r="46" spans="1:20" ht="13.5" customHeight="1">
      <c r="A46" s="381"/>
      <c r="B46" s="15"/>
      <c r="C46" s="571"/>
      <c r="D46" s="215"/>
      <c r="E46" s="558"/>
      <c r="F46" s="558"/>
      <c r="G46" s="558"/>
      <c r="H46" s="558"/>
      <c r="I46" s="558"/>
      <c r="J46" s="558"/>
    </row>
    <row r="47" spans="1:20" ht="13.5" customHeight="1">
      <c r="A47" s="381"/>
      <c r="B47" s="15"/>
      <c r="C47" s="571"/>
      <c r="D47" s="215"/>
      <c r="E47" s="558"/>
      <c r="F47" s="558"/>
      <c r="G47" s="558"/>
      <c r="H47" s="558"/>
      <c r="I47" s="558"/>
      <c r="J47" s="558"/>
    </row>
    <row r="48" spans="1:20" ht="13.5" customHeight="1">
      <c r="A48" s="381"/>
      <c r="B48" s="15"/>
      <c r="C48" s="571"/>
      <c r="D48" s="215"/>
      <c r="E48" s="558"/>
      <c r="F48" s="558"/>
      <c r="G48" s="558"/>
      <c r="H48" s="558"/>
      <c r="I48" s="558"/>
      <c r="J48" s="558"/>
    </row>
    <row r="49" spans="1:20" ht="13.5" customHeight="1">
      <c r="A49" s="381"/>
      <c r="B49" s="15"/>
      <c r="C49" s="571"/>
      <c r="D49" s="215"/>
      <c r="E49" s="558"/>
      <c r="F49" s="558"/>
      <c r="G49" s="558"/>
      <c r="H49" s="558"/>
      <c r="I49" s="558"/>
      <c r="J49" s="558"/>
    </row>
    <row r="50" spans="1:20" ht="13.5" customHeight="1">
      <c r="A50" s="381"/>
      <c r="B50" s="15"/>
      <c r="C50" s="571"/>
      <c r="D50" s="215"/>
      <c r="E50" s="558"/>
      <c r="F50" s="558"/>
      <c r="G50" s="558"/>
      <c r="H50" s="558"/>
      <c r="I50" s="558"/>
      <c r="J50" s="558"/>
    </row>
    <row r="51" spans="1:20" ht="13.5" customHeight="1">
      <c r="A51" s="381"/>
      <c r="B51" s="15"/>
      <c r="C51" s="571"/>
      <c r="D51" s="215"/>
      <c r="E51" s="558"/>
      <c r="F51" s="558"/>
      <c r="G51" s="558"/>
      <c r="H51" s="558"/>
      <c r="I51" s="558"/>
      <c r="J51" s="558"/>
    </row>
    <row r="52" spans="1:20" ht="13.5" customHeight="1">
      <c r="A52" s="381"/>
      <c r="B52" s="15"/>
      <c r="C52" s="571"/>
      <c r="D52" s="215"/>
      <c r="E52" s="558"/>
      <c r="F52" s="558"/>
      <c r="G52" s="558"/>
      <c r="H52" s="558"/>
      <c r="I52" s="558"/>
      <c r="J52" s="558"/>
    </row>
    <row r="53" spans="1:20" ht="13.5" customHeight="1">
      <c r="A53" s="381"/>
      <c r="B53" s="15"/>
      <c r="C53" s="571"/>
      <c r="D53" s="215"/>
      <c r="E53" s="558"/>
      <c r="F53" s="558"/>
      <c r="G53" s="558"/>
      <c r="H53" s="558"/>
      <c r="I53" s="558"/>
      <c r="J53" s="558"/>
    </row>
    <row r="54" spans="1:20" ht="13.5" customHeight="1">
      <c r="A54" s="381"/>
      <c r="B54" s="15"/>
      <c r="C54" s="571"/>
      <c r="D54" s="215"/>
      <c r="E54" s="558"/>
      <c r="F54" s="558"/>
      <c r="G54" s="558"/>
      <c r="H54" s="558"/>
      <c r="I54" s="558"/>
      <c r="J54" s="558"/>
    </row>
    <row r="55" spans="1:20" ht="16.5" customHeight="1">
      <c r="A55" s="381"/>
      <c r="B55" s="15"/>
      <c r="C55" s="571"/>
      <c r="D55" s="215"/>
      <c r="E55" s="558"/>
      <c r="F55" s="558"/>
      <c r="G55" s="558"/>
      <c r="H55" s="558"/>
      <c r="I55" s="558"/>
      <c r="J55" s="558"/>
    </row>
    <row r="56" spans="1:20" ht="13.5" customHeight="1">
      <c r="A56" s="381"/>
      <c r="B56" s="15"/>
      <c r="C56" s="571"/>
      <c r="D56" s="215"/>
      <c r="E56" s="558"/>
      <c r="F56" s="558"/>
      <c r="G56" s="558"/>
      <c r="H56" s="558"/>
      <c r="I56" s="558"/>
      <c r="J56" s="558"/>
    </row>
    <row r="57" spans="1:20" ht="13.5" customHeight="1">
      <c r="A57" s="381"/>
      <c r="B57" s="15"/>
      <c r="C57" s="571"/>
      <c r="D57" s="215"/>
      <c r="E57" s="558"/>
      <c r="F57" s="558"/>
      <c r="G57" s="558"/>
      <c r="H57" s="558"/>
      <c r="I57" s="558"/>
      <c r="J57" s="558"/>
    </row>
    <row r="58" spans="1:20">
      <c r="A58" s="571"/>
      <c r="B58" s="189"/>
      <c r="C58" s="571"/>
      <c r="D58" s="558"/>
      <c r="E58" s="558"/>
      <c r="F58" s="558"/>
      <c r="G58" s="558"/>
      <c r="H58" s="558"/>
      <c r="I58" s="558"/>
      <c r="J58" s="558"/>
    </row>
    <row r="59" spans="1:20">
      <c r="A59" s="22" t="s">
        <v>37</v>
      </c>
      <c r="B59" s="193"/>
      <c r="C59" s="190"/>
      <c r="D59" s="190"/>
      <c r="E59" s="190"/>
      <c r="F59" s="190"/>
      <c r="G59" s="190"/>
      <c r="H59" s="190"/>
      <c r="I59" s="190"/>
      <c r="J59" s="190"/>
    </row>
    <row r="60" spans="1:20" ht="14.25" thickBot="1">
      <c r="A60" s="190"/>
      <c r="B60" s="193"/>
      <c r="C60" s="190"/>
      <c r="D60" s="190"/>
      <c r="E60" s="190"/>
      <c r="F60" s="190"/>
      <c r="G60" s="190"/>
      <c r="H60" s="190"/>
      <c r="L60" s="2"/>
      <c r="R60" s="2"/>
      <c r="T60" s="2" t="s">
        <v>63</v>
      </c>
    </row>
    <row r="61" spans="1:20" ht="23.25" thickBot="1">
      <c r="A61" s="29"/>
      <c r="B61" s="375"/>
      <c r="C61" s="376"/>
      <c r="D61" s="377" t="s">
        <v>367</v>
      </c>
      <c r="E61" s="750" t="s">
        <v>366</v>
      </c>
      <c r="F61" s="750" t="s">
        <v>363</v>
      </c>
      <c r="G61" s="748" t="s">
        <v>362</v>
      </c>
      <c r="H61" s="749" t="s">
        <v>361</v>
      </c>
      <c r="I61" s="750" t="s">
        <v>360</v>
      </c>
      <c r="J61" s="39" t="s">
        <v>104</v>
      </c>
      <c r="K61" s="748" t="s">
        <v>384</v>
      </c>
      <c r="L61" s="39" t="s">
        <v>105</v>
      </c>
      <c r="M61" s="748" t="s">
        <v>387</v>
      </c>
      <c r="N61" s="39" t="s">
        <v>105</v>
      </c>
      <c r="O61" s="748" t="s">
        <v>390</v>
      </c>
      <c r="P61" s="39" t="s">
        <v>105</v>
      </c>
      <c r="Q61" s="748" t="s">
        <v>393</v>
      </c>
      <c r="R61" s="39" t="s">
        <v>105</v>
      </c>
      <c r="S61" s="748" t="s">
        <v>396</v>
      </c>
      <c r="T61" s="39" t="s">
        <v>105</v>
      </c>
    </row>
    <row r="62" spans="1:20">
      <c r="A62" s="572" t="s">
        <v>76</v>
      </c>
      <c r="B62" s="28"/>
      <c r="C62" s="573"/>
      <c r="D62" s="181" t="n">
        <f>('2_サービス別給付費'!D68+'2_サービス別給付費'!D71+'2_サービス別給付費'!D74+'2_サービス別給付費'!D77+'2_サービス別給付費'!D80+
 '2_サービス別給付費'!D82+'2_サービス別給付費'!D85+'2_サービス別給付費'!D88+'2_サービス別給付費'!D91+'2_サービス別給付費'!D94+
 '2_サービス別給付費'!D97+'2_サービス別給付費'!D100+'2_サービス別給付費'!D102+'2_サービス別給付費'!D104+'2_サービス別給付費'!D109+
 '2_サービス別給付費'!D111+'2_サービス別給付費'!D116+'2_サービス別給付費'!D119+'2_サービス別給付費'!D127+'2_サービス別給付費'!D113+'2_サービス別給付費'!D140)</f>
        <v>415030.372</v>
      </c>
      <c r="E62" s="182" t="n">
        <f>('2_サービス別給付費'!E68+'2_サービス別給付費'!E71+'2_サービス別給付費'!E74+'2_サービス別給付費'!E77+'2_サービス別給付費'!E80+
 '2_サービス別給付費'!E82+'2_サービス別給付費'!E85+'2_サービス別給付費'!E88+'2_サービス別給付費'!E91+'2_サービス別給付費'!E94+
 '2_サービス別給付費'!E97+'2_サービス別給付費'!E100+'2_サービス別給付費'!E102+'2_サービス別給付費'!E104+'2_サービス別給付費'!E109+
 '2_サービス別給付費'!E111+'2_サービス別給付費'!E116+'2_サービス別給付費'!E119+'2_サービス別給付費'!E127+'2_サービス別給付費'!E113+'2_サービス別給付費'!E140)</f>
        <v>396499.40799999994</v>
      </c>
      <c r="F62" s="183" t="n">
        <f>('2_サービス別給付費'!F68+'2_サービス別給付費'!F71+'2_サービス別給付費'!F74+'2_サービス別給付費'!F77+'2_サービス別給付費'!F80+
 '2_サービス別給付費'!F82+'2_サービス別給付費'!F85+'2_サービス別給付費'!F88+'2_サービス別給付費'!F91+'2_サービス別給付費'!F94+
 '2_サービス別給付費'!F97+'2_サービス別給付費'!F100+'2_サービス別給付費'!F102+'2_サービス別給付費'!F104+'2_サービス別給付費'!F109+
 '2_サービス別給付費'!F111+'2_サービス別給付費'!F116+'2_サービス別給付費'!F119+'2_サービス別給付費'!F127+'2_サービス別給付費'!F113+'2_サービス別給付費'!F140)</f>
        <v>477706.25999999995</v>
      </c>
      <c r="G62" s="181" t="n">
        <f>('2_サービス別給付費'!G68+'2_サービス別給付費'!G71+'2_サービス別給付費'!G74+'2_サービス別給付費'!G77+'2_サービス別給付費'!G80+
 '2_サービス別給付費'!G82+'2_サービス別給付費'!G85+'2_サービス別給付費'!G88+'2_サービス別給付費'!G91+'2_サービス別給付費'!G94+
 '2_サービス別給付費'!G97+'2_サービス別給付費'!G100+'2_サービス別給付費'!G102+'2_サービス別給付費'!G104+'2_サービス別給付費'!G109+
 '2_サービス別給付費'!G111+'2_サービス別給付費'!G116+'2_サービス別給付費'!G119+'2_サービス別給付費'!G127+'2_サービス別給付費'!G113+'2_サービス別給付費'!G140)</f>
        <v>172833.0</v>
      </c>
      <c r="H62" s="184" t="n">
        <f>('2_サービス別給付費'!H68+'2_サービス別給付費'!H71+'2_サービス別給付費'!H74+'2_サービス別給付費'!H77+'2_サービス別給付費'!H80+
 '2_サービス別給付費'!H82+'2_サービス別給付費'!H85+'2_サービス別給付費'!H88+'2_サービス別給付費'!H91+'2_サービス別給付費'!H94+
 '2_サービス別給付費'!H97+'2_サービス別給付費'!H100+'2_サービス別給付費'!H102+'2_サービス別給付費'!H104+'2_サービス別給付費'!H109+
 '2_サービス別給付費'!H111+'2_サービス別給付費'!H116+'2_サービス別給付費'!H119+'2_サービス別給付費'!H127+'2_サービス別給付費'!H113+'2_サービス別給付費'!H140+'2_サービス別給付費'!H142)</f>
        <v>169866.0</v>
      </c>
      <c r="I62" s="182" t="n">
        <f>('2_サービス別給付費'!I68+'2_サービス別給付費'!I71+'2_サービス別給付費'!I74+'2_サービス別給付費'!I77+'2_サービス別給付費'!I80+
 '2_サービス別給付費'!I82+'2_サービス別給付費'!I85+'2_サービス別給付費'!I88+'2_サービス別給付費'!I91+'2_サービス別給付費'!I94+
 '2_サービス別給付費'!I97+'2_サービス別給付費'!I100+'2_サービス別給付費'!I102+'2_サービス別給付費'!I104+'2_サービス別給付費'!I109+
 '2_サービス別給付費'!I111+'2_サービス別給付費'!I116+'2_サービス別給付費'!I119+'2_サービス別給付費'!I127+'2_サービス別給付費'!I113+'2_サービス別給付費'!I140+'2_サービス別給付費'!I142)</f>
        <v>169928.0</v>
      </c>
      <c r="J62" s="99" t="n">
        <f>IFERROR((SUM(G62:I62)/3)/F62,"－")</f>
        <v>0.3577002877598185</v>
      </c>
      <c r="K62" s="181" t="n">
        <f>('2_サービス別給付費'!K68+'2_サービス別給付費'!K71+'2_サービス別給付費'!K74+'2_サービス別給付費'!K77+'2_サービス別給付費'!K80+
 '2_サービス別給付費'!K82+'2_サービス別給付費'!K85+'2_サービス別給付費'!K88+'2_サービス別給付費'!K91+'2_サービス別給付費'!K94+
 '2_サービス別給付費'!K97+'2_サービス別給付費'!K100+'2_サービス別給付費'!K102+'2_サービス別給付費'!K104+'2_サービス別給付費'!K109+
 '2_サービス別給付費'!K111+'2_サービス別給付費'!K116+'2_サービス別給付費'!K119+'2_サービス別給付費'!K127+'2_サービス別給付費'!K113+'2_サービス別給付費'!K140+'2_サービス別給付費'!K142)</f>
        <v>169794.0</v>
      </c>
      <c r="L62" s="99" t="n">
        <f>IFERROR(K62/F62,"－")</f>
        <v>0.35543599533319914</v>
      </c>
      <c r="M62" s="760" t="n">
        <f>('2_サービス別給付費'!M68+'2_サービス別給付費'!M71+'2_サービス別給付費'!M74+'2_サービス別給付費'!M77+'2_サービス別給付費'!M80+
 '2_サービス別給付費'!M82+'2_サービス別給付費'!M85+'2_サービス別給付費'!M88+'2_サービス別給付費'!M91+'2_サービス別給付費'!M94+
 '2_サービス別給付費'!M97+'2_サービス別給付費'!M100+'2_サービス別給付費'!M102+'2_サービス別給付費'!M104+'2_サービス別給付費'!M109+
 '2_サービス別給付費'!M111+'2_サービス別給付費'!M116+'2_サービス別給付費'!M119+'2_サービス別給付費'!M127+'2_サービス別給付費'!M113+'2_サービス別給付費'!M140+'2_サービス別給付費'!M142)</f>
        <v>167654.0</v>
      </c>
      <c r="N62" s="761" t="n">
        <f>IFERROR(M62/F62,"－")</f>
        <v>0.35095625500071953</v>
      </c>
      <c r="O62" s="760" t="n">
        <f>('2_サービス別給付費'!O68+'2_サービス別給付費'!O71+'2_サービス別給付費'!O74+'2_サービス別給付費'!O77+'2_サービス別給付費'!O80+
 '2_サービス別給付費'!O82+'2_サービス別給付費'!O85+'2_サービス別給付費'!O88+'2_サービス別給付費'!O91+'2_サービス別給付費'!O94+
 '2_サービス別給付費'!O97+'2_サービス別給付費'!O100+'2_サービス別給付費'!O102+'2_サービス別給付費'!O104+'2_サービス別給付費'!O109+
 '2_サービス別給付費'!O111+'2_サービス別給付費'!O116+'2_サービス別給付費'!O119+'2_サービス別給付費'!O127+'2_サービス別給付費'!O113+'2_サービス別給付費'!O140+'2_サービス別給付費'!O142)</f>
        <v>184813.0</v>
      </c>
      <c r="P62" s="761" t="n">
        <f>IFERROR(O62/F62,"－")</f>
        <v>0.3868758177881111</v>
      </c>
      <c r="Q62" s="760" t="n">
        <f>('2_サービス別給付費'!Q68+'2_サービス別給付費'!Q71+'2_サービス別給付費'!Q74+'2_サービス別給付費'!Q77+'2_サービス別給付費'!Q80+
 '2_サービス別給付費'!Q82+'2_サービス別給付費'!Q85+'2_サービス別給付費'!Q88+'2_サービス別給付費'!Q91+'2_サービス別給付費'!Q94+
 '2_サービス別給付費'!Q97+'2_サービス別給付費'!Q100+'2_サービス別給付費'!Q102+'2_サービス別給付費'!Q104+'2_サービス別給付費'!Q109+
 '2_サービス別給付費'!Q111+'2_サービス別給付費'!Q116+'2_サービス別給付費'!Q119+'2_サービス別給付費'!Q127+'2_サービス別給付費'!Q113+'2_サービス別給付費'!Q140+'2_サービス別給付費'!Q142)</f>
        <v>186888.0</v>
      </c>
      <c r="R62" s="761" t="n">
        <f>IFERROR(Q62/F62,"－")</f>
        <v>0.39121949124133315</v>
      </c>
      <c r="S62" s="760" t="n">
        <f>('2_サービス別給付費'!S68+'2_サービス別給付費'!S71+'2_サービス別給付費'!S74+'2_サービス別給付費'!S77+'2_サービス別給付費'!S80+
 '2_サービス別給付費'!S82+'2_サービス別給付費'!S85+'2_サービス別給付費'!S88+'2_サービス別給付費'!S91+'2_サービス別給付費'!S94+
 '2_サービス別給付費'!S97+'2_サービス別給付費'!S100+'2_サービス別給付費'!S102+'2_サービス別給付費'!S104+'2_サービス別給付費'!S109+
 '2_サービス別給付費'!S111+'2_サービス別給付費'!S116+'2_サービス別給付費'!S119+'2_サービス別給付費'!S127+'2_サービス別給付費'!S113+'2_サービス別給付費'!S140+'2_サービス別給付費'!S142)</f>
        <v>177284.0</v>
      </c>
      <c r="T62" s="761" t="n">
        <f>IFERROR(S62/F62,"－")</f>
        <v>0.37111508649687786</v>
      </c>
    </row>
    <row r="63" spans="1:20">
      <c r="A63" s="37" t="s">
        <v>77</v>
      </c>
      <c r="B63" s="533"/>
      <c r="C63" s="574"/>
      <c r="D63" s="74" t="n">
        <f>('2_サービス別給付費'!D106+'2_サービス別給付費'!D121+'2_サービス別給付費'!D123)</f>
        <v>165359.817</v>
      </c>
      <c r="E63" s="76" t="n">
        <f>('2_サービス別給付費'!E106+'2_サービス別給付費'!E121+'2_サービス別給付費'!E123)</f>
        <v>144098.885</v>
      </c>
      <c r="F63" s="77" t="n">
        <f>('2_サービス別給付費'!F106+'2_サービス別給付費'!F121+'2_サービス別給付費'!F123)</f>
        <v>151666.19999999998</v>
      </c>
      <c r="G63" s="74" t="n">
        <f>('2_サービス別給付費'!G106+'2_サービス別給付費'!G121+'2_サービス別給付費'!G123)</f>
        <v>141863.0</v>
      </c>
      <c r="H63" s="75" t="n">
        <f>('2_サービス別給付費'!H106+'2_サービス別給付費'!H121+'2_サービス別給付費'!H123)</f>
        <v>138779.0</v>
      </c>
      <c r="I63" s="76" t="n">
        <f>('2_サービス別給付費'!I106+'2_サービス別給付費'!I121+'2_サービス別給付費'!I123)</f>
        <v>138779.0</v>
      </c>
      <c r="J63" s="100" t="n">
        <f>IFERROR((SUM(G63:I63)/3)/F63,"－")</f>
        <v>0.9218072319343401</v>
      </c>
      <c r="K63" s="74" t="n">
        <f>('2_サービス別給付費'!K106+'2_サービス別給付費'!K121+'2_サービス別給付費'!K123)</f>
        <v>138779.0</v>
      </c>
      <c r="L63" s="100" t="n">
        <f>IFERROR(K63/F63,"－")</f>
        <v>0.9150291891008018</v>
      </c>
      <c r="M63" s="408" t="n">
        <f>('2_サービス別給付費'!M106+'2_サービス別給付費'!M121+'2_サービス別給付費'!M123)</f>
        <v>138779.0</v>
      </c>
      <c r="N63" s="411" t="n">
        <f t="shared" ref="N63:N65" si="22">IFERROR(M63/F63,"－")</f>
        <v>0.9150291891008018</v>
      </c>
      <c r="O63" s="408" t="n">
        <f>('2_サービス別給付費'!O106+'2_サービス別給付費'!O121+'2_サービス別給付費'!O123)</f>
        <v>144719.0</v>
      </c>
      <c r="P63" s="411" t="n">
        <f t="shared" ref="P63:P65" si="23">IFERROR(O63/F63,"－")</f>
        <v>0.9541941447731929</v>
      </c>
      <c r="Q63" s="408" t="n">
        <f>('2_サービス別給付費'!Q106+'2_サービス別給付費'!Q121+'2_サービス別給付費'!Q123)</f>
        <v>154017.0</v>
      </c>
      <c r="R63" s="411" t="n">
        <f t="shared" ref="R63:R65" si="24">IFERROR(Q63/F63,"－")</f>
        <v>1.0154998279115586</v>
      </c>
      <c r="S63" s="408" t="n">
        <f>('2_サービス別給付費'!S106+'2_サービス別給付費'!S121+'2_サービス別給付費'!S123)</f>
        <v>145040.0</v>
      </c>
      <c r="T63" s="411" t="n">
        <f>IFERROR(S63/F63,"－")</f>
        <v>0.9563106348019533</v>
      </c>
    </row>
    <row r="64" spans="1:20" ht="14.25" thickBot="1">
      <c r="A64" s="575" t="s">
        <v>61</v>
      </c>
      <c r="B64" s="576"/>
      <c r="C64" s="577"/>
      <c r="D64" s="185" t="n">
        <f>('2_サービス別給付費'!D125+'2_サービス別給付費'!D132+'2_サービス別給付費'!D134+'2_サービス別給付費'!D136+'2_サービス別給付費'!D138)</f>
        <v>467622.205</v>
      </c>
      <c r="E64" s="186" t="n">
        <f>('2_サービス別給付費'!E125+'2_サービス別給付費'!E132+'2_サービス別給付費'!E134+'2_サービス別給付費'!E136+'2_サービス別給付費'!E138)</f>
        <v>428032.104</v>
      </c>
      <c r="F64" s="187" t="n">
        <f>('2_サービス別給付費'!F125+'2_サービス別給付費'!F132+'2_サービス別給付費'!F134+'2_サービス別給付費'!F136+'2_サービス別給付費'!F138)</f>
        <v>401171.61600000004</v>
      </c>
      <c r="G64" s="185" t="n">
        <f>('2_サービス別給付費'!G125+'2_サービス別給付費'!G132+'2_サービス別給付費'!G134+'2_サービス別給付費'!G136+'2_サービス別給付費'!G138)</f>
        <v>387688.0</v>
      </c>
      <c r="H64" s="188" t="n">
        <f>('2_サービス別給付費'!H125+'2_サービス別給付費'!H132+'2_サービス別給付費'!H134+'2_サービス別給付費'!H136+'2_サービス別給付費'!H138)</f>
        <v>387688.0</v>
      </c>
      <c r="I64" s="186" t="n">
        <f>('2_サービス別給付費'!I125+'2_サービス別給付費'!I132+'2_サービス別給付費'!I134+'2_サービス別給付費'!I136+'2_サービス別給付費'!I138)</f>
        <v>387688.0</v>
      </c>
      <c r="J64" s="101" t="n">
        <f>IFERROR((SUM(G64:I64)/3)/F64,"－")</f>
        <v>0.9663894067719885</v>
      </c>
      <c r="K64" s="186" t="n">
        <f>('2_サービス別給付費'!K125+'2_サービス別給付費'!K132+'2_サービス別給付費'!K134+'2_サービス別給付費'!K136+'2_サービス別給付費'!K138)</f>
        <v>402626.0</v>
      </c>
      <c r="L64" s="102" t="n">
        <f>IFERROR(K64/F64,"－")</f>
        <v>1.003625341230522</v>
      </c>
      <c r="M64" s="502" t="n">
        <f>('2_サービス別給付費'!M125+'2_サービス別給付費'!M132+'2_サービス別給付費'!M134+'2_サービス別給付費'!M136+'2_サービス別給付費'!M138)</f>
        <v>374605.0</v>
      </c>
      <c r="N64" s="762" t="n">
        <f t="shared" si="22"/>
        <v>0.9337774285606486</v>
      </c>
      <c r="O64" s="502" t="n">
        <f>('2_サービス別給付費'!O125+'2_サービス別給付費'!O132+'2_サービス別給付費'!O134+'2_サービス別給付費'!O136+'2_サービス別給付費'!O138)</f>
        <v>415241.0</v>
      </c>
      <c r="P64" s="762" t="n">
        <f t="shared" si="23"/>
        <v>1.035070736410225</v>
      </c>
      <c r="Q64" s="502" t="n">
        <f>('2_サービス別給付費'!Q125+'2_サービス別給付費'!Q132+'2_サービス別給付費'!Q134+'2_サービス別給付費'!Q136+'2_サービス別給付費'!Q138)</f>
        <v>430868.0</v>
      </c>
      <c r="R64" s="762" t="n">
        <f t="shared" si="24"/>
        <v>1.0740241403320019</v>
      </c>
      <c r="S64" s="502" t="n">
        <f>('2_サービス別給付費'!S125+'2_サービス別給付費'!S132+'2_サービス別給付費'!S134+'2_サービス別給付費'!S136+'2_サービス別給付費'!S138)</f>
        <v>421817.0</v>
      </c>
      <c r="T64" s="762" t="n">
        <f>IFERROR(S64/F64,"－")</f>
        <v>1.0514627236239962</v>
      </c>
    </row>
    <row r="65" spans="1:20" ht="14.25" thickBot="1">
      <c r="A65" s="569" t="s">
        <v>36</v>
      </c>
      <c r="B65" s="375"/>
      <c r="C65" s="570"/>
      <c r="D65" s="78" t="n">
        <f>SUM(D62:D64)</f>
        <v>1048012.3940000001</v>
      </c>
      <c r="E65" s="79" t="n">
        <f t="shared" ref="E65:I65" si="25">SUM(E62:E64)</f>
        <v>968630.3969999999</v>
      </c>
      <c r="F65" s="80" t="n">
        <f>SUM(F62:F64)</f>
        <v>1030544.076</v>
      </c>
      <c r="G65" s="78" t="n">
        <f t="shared" si="25"/>
        <v>702384.0</v>
      </c>
      <c r="H65" s="81" t="n">
        <f t="shared" si="25"/>
        <v>696333.0</v>
      </c>
      <c r="I65" s="79" t="n">
        <f t="shared" si="25"/>
        <v>696395.0</v>
      </c>
      <c r="J65" s="98" t="n">
        <f>IFERROR((SUM(G65:I65)/3)/F65,"－")</f>
        <v>0.6776718074760605</v>
      </c>
      <c r="K65" s="81" t="n">
        <f>SUM(K62:K64)</f>
        <v>711199.0</v>
      </c>
      <c r="L65" s="98" t="n">
        <f>IFERROR(K65/F65,"－")</f>
        <v>0.6901199245746769</v>
      </c>
      <c r="M65" s="758" t="n">
        <f>SUM(M62:M64)</f>
        <v>681038.0</v>
      </c>
      <c r="N65" s="759" t="n">
        <f t="shared" si="22"/>
        <v>0.6608528600187693</v>
      </c>
      <c r="O65" s="758" t="n">
        <f>SUM(O62:O64)</f>
        <v>744773.0</v>
      </c>
      <c r="P65" s="759" t="n">
        <f t="shared" si="23"/>
        <v>0.7226988319517544</v>
      </c>
      <c r="Q65" s="758" t="n">
        <f>SUM(Q62:Q64)</f>
        <v>771773.0</v>
      </c>
      <c r="R65" s="759" t="n">
        <f t="shared" si="24"/>
        <v>0.7488985847122565</v>
      </c>
      <c r="S65" s="758" t="n">
        <f>SUM(S62:S64)</f>
        <v>744141.0</v>
      </c>
      <c r="T65" s="759" t="n">
        <f>IFERROR(S65/F65,"－")</f>
        <v>0.7220855636649159</v>
      </c>
    </row>
    <row r="66" spans="1:20" ht="13.5" customHeight="1">
      <c r="A66" s="571"/>
      <c r="B66" s="189"/>
      <c r="C66" s="571"/>
      <c r="D66" s="558"/>
      <c r="E66" s="558"/>
      <c r="F66" s="558"/>
      <c r="G66" s="557" t="s">
        <v>364</v>
      </c>
      <c r="H66" s="231"/>
      <c r="I66" s="231"/>
      <c r="J66" s="231"/>
      <c r="K66" s="636" t="s">
        <v>400</v>
      </c>
      <c r="L66" s="636"/>
      <c r="M66" s="636"/>
    </row>
    <row r="67" spans="1:20">
      <c r="A67" s="571"/>
      <c r="B67" s="189"/>
      <c r="C67" s="571"/>
      <c r="D67" s="558"/>
      <c r="E67" s="558"/>
      <c r="F67" s="558"/>
      <c r="G67" s="558"/>
      <c r="H67" s="558"/>
      <c r="I67" s="558"/>
      <c r="J67" s="558"/>
      <c r="K67" s="636"/>
      <c r="L67" s="636"/>
      <c r="M67" s="636"/>
    </row>
    <row r="68" spans="1:20">
      <c r="A68" s="571"/>
      <c r="B68" s="189"/>
      <c r="C68" s="571"/>
      <c r="D68" s="558"/>
      <c r="E68" s="558"/>
      <c r="F68" s="558"/>
      <c r="G68" s="558"/>
      <c r="H68" s="558"/>
      <c r="I68" s="558"/>
      <c r="J68" s="558"/>
    </row>
    <row r="69" spans="1:20">
      <c r="A69" s="571"/>
      <c r="B69" s="189"/>
      <c r="C69" s="571"/>
      <c r="D69" s="558"/>
      <c r="E69" s="558"/>
      <c r="F69" s="558"/>
      <c r="G69" s="558"/>
      <c r="H69" s="558"/>
      <c r="I69" s="558"/>
      <c r="J69" s="558"/>
    </row>
    <row r="70" spans="1:20">
      <c r="A70" s="571"/>
      <c r="B70" s="189"/>
      <c r="C70" s="571"/>
      <c r="D70" s="558"/>
      <c r="E70" s="558"/>
      <c r="F70" s="558"/>
      <c r="G70" s="558"/>
      <c r="H70" s="558"/>
      <c r="I70" s="558"/>
      <c r="J70" s="558"/>
    </row>
    <row r="71" spans="1:20">
      <c r="A71" s="571"/>
      <c r="B71" s="189"/>
      <c r="C71" s="571"/>
      <c r="D71" s="558"/>
      <c r="E71" s="558"/>
      <c r="F71" s="558"/>
      <c r="G71" s="558"/>
      <c r="H71" s="558"/>
      <c r="I71" s="558"/>
      <c r="J71" s="558"/>
    </row>
    <row r="72" spans="1:20">
      <c r="A72" s="571"/>
      <c r="B72" s="189"/>
      <c r="C72" s="571"/>
      <c r="D72" s="558"/>
      <c r="E72" s="558"/>
      <c r="F72" s="558"/>
      <c r="G72" s="558"/>
      <c r="H72" s="558"/>
      <c r="I72" s="558"/>
      <c r="J72" s="558"/>
    </row>
    <row r="73" spans="1:20">
      <c r="A73" s="571"/>
      <c r="B73" s="189"/>
      <c r="C73" s="571"/>
      <c r="D73" s="558"/>
      <c r="E73" s="558"/>
      <c r="F73" s="558"/>
      <c r="G73" s="558"/>
      <c r="H73" s="558"/>
      <c r="I73" s="558"/>
      <c r="J73" s="558"/>
    </row>
    <row r="74" spans="1:20">
      <c r="A74" s="571"/>
      <c r="B74" s="189"/>
      <c r="C74" s="571"/>
      <c r="D74" s="558"/>
      <c r="E74" s="558"/>
      <c r="F74" s="558"/>
      <c r="G74" s="558"/>
      <c r="H74" s="558"/>
      <c r="I74" s="558"/>
      <c r="J74" s="558"/>
    </row>
    <row r="75" spans="1:20">
      <c r="A75" s="571"/>
      <c r="B75" s="189"/>
      <c r="C75" s="571"/>
      <c r="D75" s="558"/>
      <c r="E75" s="558"/>
      <c r="F75" s="558"/>
      <c r="G75" s="558"/>
      <c r="H75" s="558"/>
      <c r="I75" s="558"/>
      <c r="J75" s="558"/>
    </row>
    <row r="76" spans="1:20">
      <c r="A76" s="571"/>
      <c r="B76" s="189"/>
      <c r="C76" s="571"/>
      <c r="D76" s="558"/>
      <c r="E76" s="558"/>
      <c r="F76" s="558"/>
      <c r="G76" s="558"/>
      <c r="H76" s="558"/>
      <c r="I76" s="558"/>
      <c r="J76" s="558"/>
    </row>
    <row r="77" spans="1:20">
      <c r="A77" s="571"/>
      <c r="B77" s="189"/>
      <c r="C77" s="571"/>
      <c r="D77" s="558"/>
      <c r="E77" s="558"/>
      <c r="F77" s="558"/>
      <c r="G77" s="558"/>
      <c r="H77" s="558"/>
      <c r="I77" s="558"/>
      <c r="J77" s="558"/>
    </row>
    <row r="78" spans="1:20">
      <c r="A78" s="571"/>
      <c r="B78" s="189"/>
      <c r="C78" s="571"/>
      <c r="D78" s="558"/>
      <c r="E78" s="558"/>
      <c r="F78" s="558"/>
      <c r="G78" s="558"/>
      <c r="H78" s="558"/>
      <c r="I78" s="558"/>
      <c r="J78" s="558"/>
    </row>
    <row r="79" spans="1:20">
      <c r="A79" s="571"/>
      <c r="B79" s="189"/>
      <c r="C79" s="571"/>
      <c r="D79" s="558"/>
      <c r="E79" s="558"/>
      <c r="F79" s="558"/>
      <c r="G79" s="558"/>
      <c r="H79" s="558"/>
      <c r="I79" s="558"/>
      <c r="J79" s="558"/>
    </row>
    <row r="80" spans="1:20">
      <c r="A80" s="571"/>
      <c r="B80" s="189"/>
      <c r="C80" s="571"/>
      <c r="D80" s="558"/>
      <c r="E80" s="558"/>
      <c r="F80" s="558"/>
      <c r="G80" s="558"/>
      <c r="H80" s="558"/>
      <c r="I80" s="558"/>
      <c r="J80" s="558"/>
    </row>
    <row r="81" spans="1:20">
      <c r="A81" s="190"/>
      <c r="B81" s="193"/>
      <c r="C81" s="190"/>
      <c r="D81" s="190"/>
      <c r="E81" s="190"/>
      <c r="F81" s="190"/>
      <c r="G81" s="190"/>
      <c r="H81" s="190"/>
      <c r="I81" s="190"/>
      <c r="J81" s="190"/>
    </row>
    <row r="82" spans="1:20">
      <c r="A82" s="373" t="s">
        <v>106</v>
      </c>
      <c r="B82" s="193"/>
      <c r="C82" s="190"/>
      <c r="D82" s="215"/>
      <c r="E82" s="215"/>
      <c r="F82" s="215"/>
      <c r="G82" s="215"/>
      <c r="H82" s="215"/>
      <c r="I82" s="215"/>
      <c r="J82" s="215"/>
    </row>
    <row r="83" spans="1:20" ht="14.25" thickBot="1">
      <c r="A83" s="190"/>
      <c r="B83" s="193"/>
      <c r="C83" s="190"/>
      <c r="D83" s="215"/>
      <c r="E83" s="190"/>
      <c r="F83" s="190"/>
      <c r="G83" s="190"/>
      <c r="H83" s="190"/>
      <c r="L83" s="2"/>
      <c r="R83" s="2"/>
      <c r="T83" s="2" t="s">
        <v>63</v>
      </c>
    </row>
    <row r="84" spans="1:20" ht="23.25" thickBot="1">
      <c r="A84" s="202"/>
      <c r="B84" s="578"/>
      <c r="C84" s="203"/>
      <c r="D84" s="377" t="s">
        <v>367</v>
      </c>
      <c r="E84" s="750" t="s">
        <v>366</v>
      </c>
      <c r="F84" s="750" t="s">
        <v>363</v>
      </c>
      <c r="G84" s="748" t="s">
        <v>362</v>
      </c>
      <c r="H84" s="749" t="s">
        <v>361</v>
      </c>
      <c r="I84" s="750" t="s">
        <v>360</v>
      </c>
      <c r="J84" s="39" t="s">
        <v>104</v>
      </c>
      <c r="K84" s="748" t="s">
        <v>384</v>
      </c>
      <c r="L84" s="39" t="s">
        <v>105</v>
      </c>
      <c r="M84" s="748" t="s">
        <v>387</v>
      </c>
      <c r="N84" s="39" t="s">
        <v>105</v>
      </c>
      <c r="O84" s="748" t="s">
        <v>390</v>
      </c>
      <c r="P84" s="39" t="s">
        <v>105</v>
      </c>
      <c r="Q84" s="748" t="s">
        <v>393</v>
      </c>
      <c r="R84" s="39" t="s">
        <v>105</v>
      </c>
      <c r="S84" s="748" t="s">
        <v>396</v>
      </c>
      <c r="T84" s="39" t="s">
        <v>105</v>
      </c>
    </row>
    <row r="85" spans="1:20" ht="14.25" thickBot="1">
      <c r="A85" s="338" t="s">
        <v>64</v>
      </c>
      <c r="B85" s="579"/>
      <c r="C85" s="339"/>
      <c r="D85" s="580" t="n">
        <f>D42+D65</f>
        <v>1085998.475</v>
      </c>
      <c r="E85" s="581" t="n">
        <f>E65+E42</f>
        <v>1005147.6889999999</v>
      </c>
      <c r="F85" s="582" t="n">
        <f>F65+F42</f>
        <v>1067275.0536</v>
      </c>
      <c r="G85" s="580" t="n">
        <f>G65+G42</f>
        <v>741486.0</v>
      </c>
      <c r="H85" s="581" t="n">
        <f>H65+H42</f>
        <v>737653.0</v>
      </c>
      <c r="I85" s="582" t="n">
        <f>I65+I42</f>
        <v>737653.0</v>
      </c>
      <c r="J85" s="98" t="n">
        <f>IFERROR((SUM(G85:I85)/3)/F85,"－")</f>
        <v>0.6923526078626098</v>
      </c>
      <c r="K85" s="580" t="n">
        <f>K65+K42</f>
        <v>752512.0</v>
      </c>
      <c r="L85" s="98" t="n">
        <f>IFERROR(K85/F85,"－")</f>
        <v>0.7050778498585906</v>
      </c>
      <c r="M85" s="763" t="n">
        <f>M65+M42</f>
        <v>723534.0</v>
      </c>
      <c r="N85" s="759" t="n">
        <f>IFERROR(M85/F85,"－")</f>
        <v>0.6779264609994066</v>
      </c>
      <c r="O85" s="763" t="n">
        <f>O65+O42</f>
        <v>790638.0</v>
      </c>
      <c r="P85" s="759" t="n">
        <f>IFERROR(O85/F85,"－")</f>
        <v>0.7408005999326208</v>
      </c>
      <c r="Q85" s="763" t="n">
        <f>Q65+Q42</f>
        <v>816605.0</v>
      </c>
      <c r="R85" s="759" t="n">
        <f>IFERROR(Q85/F85,"－")</f>
        <v>0.765130785401129</v>
      </c>
      <c r="S85" s="763" t="n">
        <f>S65+S42</f>
        <v>785630.0</v>
      </c>
      <c r="T85" s="759" t="n">
        <f>IFERROR(S85/F85,"－")</f>
        <v>0.736108276259255</v>
      </c>
    </row>
    <row r="86" spans="1:20" ht="13.5" customHeight="1">
      <c r="A86" s="190" t="s">
        <v>110</v>
      </c>
      <c r="B86" s="193"/>
      <c r="C86" s="190"/>
      <c r="D86" s="190"/>
      <c r="E86" s="190"/>
      <c r="F86" s="190"/>
      <c r="G86" s="557" t="s">
        <v>364</v>
      </c>
      <c r="H86" s="231"/>
      <c r="I86" s="231"/>
      <c r="J86" s="231"/>
      <c r="K86" s="636" t="s">
        <v>400</v>
      </c>
      <c r="L86" s="636"/>
      <c r="M86" s="636"/>
    </row>
    <row r="87" spans="1:20">
      <c r="K87" s="636"/>
      <c r="L87" s="636"/>
      <c r="M87" s="636"/>
    </row>
    <row r="88" spans="1:20">
      <c r="A88" s="373" t="s">
        <v>93</v>
      </c>
    </row>
    <row r="89" spans="1:20" ht="14.25" thickBot="1">
      <c r="H89" s="583"/>
      <c r="I89" s="583" t="s">
        <v>69</v>
      </c>
    </row>
    <row r="90" spans="1:20" ht="14.25" thickBot="1">
      <c r="A90" s="202"/>
      <c r="B90" s="578"/>
      <c r="C90" s="203"/>
      <c r="D90" s="377" t="s">
        <v>367</v>
      </c>
      <c r="E90" s="750" t="s">
        <v>366</v>
      </c>
      <c r="F90" s="750" t="s">
        <v>363</v>
      </c>
      <c r="G90" s="748" t="s">
        <v>362</v>
      </c>
      <c r="H90" s="749" t="s">
        <v>361</v>
      </c>
      <c r="I90" s="563" t="s">
        <v>360</v>
      </c>
    </row>
    <row r="91" spans="1:20">
      <c r="A91" s="320" t="s">
        <v>70</v>
      </c>
      <c r="B91" s="584"/>
      <c r="C91" s="321"/>
      <c r="D91" s="103" t="n">
        <f t="shared" ref="D91:I91" si="26">IFERROR((D62+D40)/D12,"－")</f>
        <v>129.1356790589602</v>
      </c>
      <c r="E91" s="104" t="n">
        <f t="shared" si="26"/>
        <v>124.3627589001447</v>
      </c>
      <c r="F91" s="105" t="n">
        <f t="shared" si="26"/>
        <v>148.3950315056571</v>
      </c>
      <c r="G91" s="103" t="n">
        <f t="shared" si="26"/>
        <v>60.882061735585324</v>
      </c>
      <c r="H91" s="104" t="n">
        <f t="shared" si="26"/>
        <v>60.78786110300555</v>
      </c>
      <c r="I91" s="105" t="n">
        <f t="shared" si="26"/>
        <v>61.01933216168717</v>
      </c>
    </row>
    <row r="92" spans="1:20" ht="14.25" thickBot="1">
      <c r="A92" s="213" t="s">
        <v>71</v>
      </c>
      <c r="B92" s="585"/>
      <c r="C92" s="214"/>
      <c r="D92" s="106" t="n">
        <f t="shared" ref="D92:I92" si="27">IFERROR(D64/D12,"－")</f>
        <v>135.8182413592797</v>
      </c>
      <c r="E92" s="107" t="n">
        <f t="shared" si="27"/>
        <v>123.88772908827785</v>
      </c>
      <c r="F92" s="108" t="n">
        <f t="shared" si="27"/>
        <v>116.38283028720627</v>
      </c>
      <c r="G92" s="106" t="n">
        <f t="shared" si="27"/>
        <v>112.89691322073384</v>
      </c>
      <c r="H92" s="107" t="n">
        <f t="shared" si="27"/>
        <v>113.12751677852349</v>
      </c>
      <c r="I92" s="108" t="n">
        <f t="shared" si="27"/>
        <v>113.55828939660222</v>
      </c>
    </row>
    <row r="101" spans="1:12">
      <c r="H101" s="1039"/>
      <c r="I101" s="1039"/>
      <c r="J101" s="1039"/>
      <c r="K101" s="1039"/>
      <c r="L101" s="1039"/>
    </row>
    <row r="102" spans="1:12">
      <c r="H102" s="1039"/>
      <c r="I102" s="1039"/>
      <c r="J102" s="1039"/>
      <c r="K102" s="1039"/>
      <c r="L102" s="1039"/>
    </row>
    <row r="103" spans="1:12">
      <c r="H103" s="1039"/>
      <c r="I103" s="1039"/>
      <c r="J103" s="1039"/>
      <c r="K103" s="1039"/>
      <c r="L103" s="1039"/>
    </row>
    <row r="104" spans="1:12">
      <c r="H104" s="1039"/>
      <c r="I104" s="1039"/>
      <c r="J104" s="1039"/>
      <c r="K104" s="1039"/>
      <c r="L104" s="1039"/>
    </row>
    <row r="105" spans="1:12">
      <c r="H105" s="1039"/>
      <c r="I105" s="1039"/>
      <c r="J105" s="1039"/>
      <c r="K105" s="1039"/>
      <c r="L105" s="1039"/>
    </row>
    <row r="106" spans="1:12">
      <c r="H106" s="1039" t="s">
        <v>368</v>
      </c>
      <c r="I106" s="1039"/>
      <c r="J106" s="1039"/>
      <c r="K106" s="1039"/>
      <c r="L106" s="1039"/>
    </row>
    <row r="107" spans="1:12">
      <c r="H107" s="1039"/>
      <c r="I107" s="1039"/>
      <c r="J107" s="1039"/>
      <c r="K107" s="1039"/>
      <c r="L107" s="1039"/>
    </row>
    <row r="108" spans="1:12">
      <c r="H108" s="1039"/>
      <c r="I108" s="1039"/>
      <c r="J108" s="1039"/>
      <c r="K108" s="1039"/>
      <c r="L108" s="1039"/>
    </row>
    <row r="109" spans="1:12">
      <c r="H109" s="1039"/>
      <c r="I109" s="1039"/>
      <c r="J109" s="1039"/>
      <c r="K109" s="1039"/>
      <c r="L109" s="1039"/>
    </row>
    <row r="110" spans="1:12">
      <c r="H110" s="1039"/>
      <c r="I110" s="1039"/>
      <c r="J110" s="1039"/>
      <c r="K110" s="1039"/>
      <c r="L110" s="1039"/>
    </row>
    <row r="112" spans="1:12">
      <c r="A112" s="190"/>
      <c r="B112" s="193"/>
      <c r="C112" s="190"/>
      <c r="D112" s="190"/>
      <c r="E112" s="190"/>
      <c r="F112" s="190"/>
      <c r="G112" s="190"/>
      <c r="H112" s="190"/>
      <c r="I112" s="190"/>
      <c r="J112" s="190"/>
    </row>
    <row r="113" spans="1:12">
      <c r="A113" s="373" t="s">
        <v>251</v>
      </c>
      <c r="B113" s="374"/>
      <c r="C113" s="370"/>
      <c r="D113" s="586"/>
      <c r="E113" s="586"/>
      <c r="F113" s="586"/>
      <c r="G113" s="586"/>
      <c r="H113" s="586"/>
      <c r="I113" s="586"/>
      <c r="J113" s="586"/>
      <c r="K113" s="353"/>
      <c r="L113" s="353"/>
    </row>
    <row r="114" spans="1:12" ht="14.25" thickBot="1">
      <c r="A114" s="370"/>
      <c r="B114" s="374"/>
      <c r="C114" s="370"/>
      <c r="D114" s="586"/>
      <c r="E114" s="370"/>
      <c r="F114" s="370"/>
      <c r="G114" s="370"/>
      <c r="H114" s="370"/>
      <c r="I114" s="353"/>
      <c r="J114" s="353"/>
      <c r="K114" s="353"/>
      <c r="L114" s="2"/>
    </row>
    <row r="115" spans="1:12" ht="14.25" thickBot="1">
      <c r="A115" s="587"/>
      <c r="B115" s="588"/>
      <c r="C115" s="589"/>
      <c r="D115" s="377" t="s">
        <v>367</v>
      </c>
      <c r="E115" s="750" t="s">
        <v>366</v>
      </c>
      <c r="F115" s="750" t="s">
        <v>363</v>
      </c>
      <c r="G115" s="748" t="s">
        <v>362</v>
      </c>
      <c r="H115" s="749" t="s">
        <v>361</v>
      </c>
      <c r="I115" s="563" t="s">
        <v>360</v>
      </c>
      <c r="J115" s="353"/>
      <c r="K115" s="353"/>
      <c r="L115" s="353"/>
    </row>
    <row r="116" spans="1:12">
      <c r="A116" s="470" t="s">
        <v>252</v>
      </c>
      <c r="B116" s="590"/>
      <c r="C116" s="591"/>
      <c r="D116" s="620" t="n">
        <f>IFERROR(('2_サービス別給付費'!D54+'2_サービス別給付費'!D58+'2_サービス別給付費'!D120+'2_サービス別給付費'!D128+'2_サービス別給付費'!D141)/D12,"－")</f>
        <v>0.10562493949075417</v>
      </c>
      <c r="E116" s="621" t="n">
        <f>IFERROR(('2_サービス別給付費'!E54+'2_サービス別給付費'!E58+'2_サービス別給付費'!E120+'2_サービス別給付費'!E128+'2_サービス別給付費'!E141)/E12,"－")</f>
        <v>0.10279787747226243</v>
      </c>
      <c r="F116" s="622" t="n">
        <f>IFERROR(('2_サービス別給付費'!F54+'2_サービス別給付費'!F58+'2_サービス別給付費'!F120+'2_サービス別給付費'!F128+'2_サービス別給付費'!F141)/F12,"－")</f>
        <v>0.1116913257905425</v>
      </c>
      <c r="G116" s="620" t="n">
        <f>IFERROR(('2_サービス別給付費'!G54+'2_サービス別給付費'!G58+'2_サービス別給付費'!G120+'2_サービス別給付費'!G128+'2_サービス別給付費'!G141)/G12,"－")</f>
        <v>0.11502620850320326</v>
      </c>
      <c r="H116" s="621" t="n">
        <f>IFERROR(('2_サービス別給付費'!H54+'2_サービス別給付費'!H58+'2_サービス別給付費'!H120+'2_サービス別給付費'!H128+'2_サービス別給付費'!H141)/H12,"－")</f>
        <v>0.11496936095710535</v>
      </c>
      <c r="I116" s="622" t="n">
        <f>IFERROR(('2_サービス別給付費'!I54+'2_サービス別給付費'!I58+'2_サービス別給付費'!I120+'2_サービス別給付費'!I128+'2_サービス別給付費'!I141)/I12,"－")</f>
        <v>0.11570005858230814</v>
      </c>
      <c r="J116" s="353"/>
      <c r="K116" s="353"/>
      <c r="L116" s="353"/>
    </row>
    <row r="117" spans="1:12" ht="14.25" thickBot="1">
      <c r="A117" s="592" t="s">
        <v>253</v>
      </c>
      <c r="B117" s="593"/>
      <c r="C117" s="594"/>
      <c r="D117" s="623" t="n">
        <f>IFERROR(('2_サービス別給付費'!D48+'2_サービス別給付費'!D56+'2_サービス別給付費'!D107+'2_サービス別給付費'!D122+'2_サービス別給付費'!D124+'2_サービス別給付費'!D126+'2_サービス別給付費'!D133+'2_サービス別給付費'!D135+'2_サービス別給付費'!D137+'2_サービス別給付費'!D139)/D12,"－")</f>
        <v>0.05917804240487946</v>
      </c>
      <c r="E117" s="624" t="n">
        <f>IFERROR(('2_サービス別給付費'!E48+'2_サービス別給付費'!E56+'2_サービス別給付費'!E107+'2_サービス別給付費'!E122+'2_サービス別給付費'!E124+'2_サービス別給付費'!E126+'2_サービス別給付費'!E133+'2_サービス別給付費'!E135+'2_サービス別給付費'!E137+'2_サービス別給付費'!E139)/E12,"－")</f>
        <v>0.05419681620839363</v>
      </c>
      <c r="F117" s="625" t="n">
        <f>IFERROR(('2_サービス別給付費'!F48+'2_サービス別給付費'!F56+'2_サービス別給付費'!F107+'2_サービス別給付費'!F122+'2_サービス別給付費'!F124+'2_サービス別給付費'!F126+'2_サービス別給付費'!F133+'2_サービス別給付費'!F135+'2_サービス別給付費'!F137+'2_サービス別給付費'!F139)/F12,"－")</f>
        <v>0.04960835509138381</v>
      </c>
      <c r="G117" s="623" t="n">
        <f>IFERROR(('2_サービス別給付費'!G48+'2_サービス別給付費'!G56+'2_サービス別給付費'!G107+'2_サービス別給付費'!G122+'2_サービス別給付費'!G124+'2_サービス別給付費'!G126+'2_サービス別給付費'!G133+'2_サービス別給付費'!G135+'2_サービス別給付費'!G137+'2_サービス別給付費'!G139)/G12,"－")</f>
        <v>0.050378567268491554</v>
      </c>
      <c r="H117" s="624" t="n">
        <f>IFERROR(('2_サービス別給付費'!H48+'2_サービス別給付費'!H56+'2_サービス別給付費'!H107+'2_サービス別給付費'!H122+'2_サービス別給付費'!H124+'2_サービス別給付費'!H126+'2_サービス別給付費'!H133+'2_サービス別給付費'!H135+'2_サービス別給付費'!H137+'2_サービス別給付費'!H139)/H12,"－")</f>
        <v>0.050189670265538375</v>
      </c>
      <c r="I117" s="625" t="n">
        <f>IFERROR(('2_サービス別給付費'!I48+'2_サービス別給付費'!I56+'2_サービス別給付費'!I107+'2_サービス別給付費'!I122+'2_サービス別給付費'!I124+'2_サービス別給付費'!I126+'2_サービス別給付費'!I133+'2_サービス別給付費'!I135+'2_サービス別給付費'!I137+'2_サービス別給付費'!I139)/I12,"－")</f>
        <v>0.05038078500292911</v>
      </c>
      <c r="J117" s="353"/>
      <c r="K117" s="353"/>
      <c r="L117" s="353"/>
    </row>
    <row r="118" spans="1:12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</row>
    <row r="119" spans="1:12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</row>
    <row r="120" spans="1:12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</row>
    <row r="121" spans="1:12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</row>
    <row r="122" spans="1:12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</row>
    <row r="123" spans="1:12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</row>
    <row r="124" spans="1:12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</row>
    <row r="125" spans="1:12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</row>
    <row r="126" spans="1:12">
      <c r="A126" s="353"/>
      <c r="B126" s="353"/>
      <c r="C126" s="353"/>
      <c r="D126" s="353"/>
      <c r="E126" s="353"/>
      <c r="F126" s="353"/>
      <c r="G126" s="353"/>
      <c r="H126" s="1047"/>
      <c r="I126" s="1047"/>
      <c r="J126" s="1047"/>
      <c r="K126" s="1047"/>
      <c r="L126" s="1047"/>
    </row>
    <row r="127" spans="1:12">
      <c r="A127" s="353"/>
      <c r="B127" s="353"/>
      <c r="C127" s="353"/>
      <c r="D127" s="353"/>
      <c r="E127" s="353"/>
      <c r="F127" s="353"/>
      <c r="G127" s="353"/>
      <c r="H127" s="1047"/>
      <c r="I127" s="1047"/>
      <c r="J127" s="1047"/>
      <c r="K127" s="1047"/>
      <c r="L127" s="1047"/>
    </row>
    <row r="128" spans="1:12">
      <c r="A128" s="353"/>
      <c r="B128" s="353"/>
      <c r="C128" s="353"/>
      <c r="D128" s="353"/>
      <c r="E128" s="353"/>
      <c r="F128" s="353"/>
      <c r="G128" s="353"/>
      <c r="H128" s="1047"/>
      <c r="I128" s="1047"/>
      <c r="J128" s="1047"/>
      <c r="K128" s="1047"/>
      <c r="L128" s="1047"/>
    </row>
    <row r="129" spans="1:12">
      <c r="A129" s="353"/>
      <c r="B129" s="353"/>
      <c r="C129" s="353"/>
      <c r="D129" s="353"/>
      <c r="E129" s="353"/>
      <c r="F129" s="353"/>
      <c r="G129" s="353"/>
      <c r="H129" s="1047"/>
      <c r="I129" s="1047"/>
      <c r="J129" s="1047"/>
      <c r="K129" s="1047"/>
      <c r="L129" s="1047"/>
    </row>
    <row r="130" spans="1:12">
      <c r="A130" s="353"/>
      <c r="B130" s="353"/>
      <c r="C130" s="353"/>
      <c r="D130" s="353"/>
      <c r="E130" s="353"/>
      <c r="F130" s="353"/>
      <c r="G130" s="353"/>
      <c r="H130" s="1047"/>
      <c r="I130" s="1047"/>
      <c r="J130" s="1047"/>
      <c r="K130" s="1047"/>
      <c r="L130" s="1047"/>
    </row>
    <row r="131" spans="1:12">
      <c r="A131" s="353"/>
      <c r="B131" s="353"/>
      <c r="C131" s="353"/>
      <c r="D131" s="353"/>
      <c r="E131" s="353"/>
      <c r="F131" s="353"/>
      <c r="G131" s="353"/>
      <c r="H131" s="1047" t="s">
        <v>369</v>
      </c>
      <c r="I131" s="1047"/>
      <c r="J131" s="1047"/>
      <c r="K131" s="1047"/>
      <c r="L131" s="1047"/>
    </row>
    <row r="132" spans="1:12">
      <c r="A132" s="353"/>
      <c r="B132" s="353"/>
      <c r="C132" s="353"/>
      <c r="D132" s="353"/>
      <c r="E132" s="353"/>
      <c r="F132" s="353"/>
      <c r="G132" s="353"/>
      <c r="H132" s="1047"/>
      <c r="I132" s="1047"/>
      <c r="J132" s="1047"/>
      <c r="K132" s="1047"/>
      <c r="L132" s="1047"/>
    </row>
    <row r="133" spans="1:12">
      <c r="A133" s="353"/>
      <c r="B133" s="353"/>
      <c r="C133" s="353"/>
      <c r="D133" s="353"/>
      <c r="E133" s="353"/>
      <c r="F133" s="353"/>
      <c r="G133" s="353"/>
      <c r="H133" s="1047"/>
      <c r="I133" s="1047"/>
      <c r="J133" s="1047"/>
      <c r="K133" s="1047"/>
      <c r="L133" s="1047"/>
    </row>
    <row r="134" spans="1:12">
      <c r="A134" s="353"/>
      <c r="B134" s="353"/>
      <c r="C134" s="353"/>
      <c r="D134" s="353"/>
      <c r="E134" s="353"/>
      <c r="F134" s="353"/>
      <c r="G134" s="353"/>
      <c r="H134" s="1047"/>
      <c r="I134" s="1047"/>
      <c r="J134" s="1047"/>
      <c r="K134" s="1047"/>
      <c r="L134" s="1047"/>
    </row>
    <row r="135" spans="1:12">
      <c r="A135" s="353"/>
      <c r="B135" s="353"/>
      <c r="C135" s="353"/>
      <c r="D135" s="353"/>
      <c r="E135" s="353"/>
      <c r="F135" s="353"/>
      <c r="G135" s="353"/>
      <c r="H135" s="1047"/>
      <c r="I135" s="1047"/>
      <c r="J135" s="1047"/>
      <c r="K135" s="1047"/>
      <c r="L135" s="1047"/>
    </row>
    <row r="136" spans="1:12">
      <c r="A136" s="353"/>
      <c r="B136" s="353"/>
      <c r="C136" s="353"/>
      <c r="D136" s="353"/>
      <c r="E136" s="353"/>
      <c r="F136" s="353"/>
      <c r="G136" s="353"/>
      <c r="H136" s="747"/>
      <c r="I136" s="747"/>
      <c r="J136" s="747"/>
      <c r="K136" s="747"/>
      <c r="L136" s="747"/>
    </row>
    <row r="137" spans="1:12">
      <c r="A137" s="353"/>
      <c r="B137" s="595" t="s">
        <v>254</v>
      </c>
      <c r="C137" s="353"/>
      <c r="D137" s="353"/>
      <c r="E137" s="353"/>
      <c r="F137" s="353"/>
      <c r="G137" s="353"/>
      <c r="H137" s="747"/>
      <c r="I137" s="747"/>
      <c r="J137" s="747"/>
      <c r="K137" s="747"/>
      <c r="L137" s="747"/>
    </row>
    <row r="138" spans="1:12">
      <c r="A138" s="353"/>
      <c r="B138" s="595" t="s">
        <v>255</v>
      </c>
      <c r="C138" s="353"/>
      <c r="D138" s="353"/>
      <c r="E138" s="353"/>
      <c r="F138" s="353"/>
      <c r="G138" s="353"/>
      <c r="H138" s="747"/>
      <c r="I138" s="747"/>
      <c r="J138" s="747"/>
      <c r="K138" s="747"/>
      <c r="L138" s="747"/>
    </row>
    <row r="139" spans="1:12" ht="12.75" customHeight="1">
      <c r="H139" s="746"/>
      <c r="I139" s="746"/>
      <c r="J139" s="746"/>
      <c r="K139" s="746"/>
      <c r="L139" s="746"/>
    </row>
    <row r="140" spans="1:12">
      <c r="A140" s="373" t="s">
        <v>256</v>
      </c>
    </row>
    <row r="141" spans="1:12" ht="14.25" thickBot="1">
      <c r="A141" s="373"/>
      <c r="F141" s="2"/>
      <c r="H141" s="2"/>
      <c r="K141" s="2"/>
      <c r="L141" s="2" t="s">
        <v>88</v>
      </c>
    </row>
    <row r="142" spans="1:12" ht="14.25" thickBot="1">
      <c r="A142" s="202"/>
      <c r="B142" s="578"/>
      <c r="C142" s="203"/>
      <c r="D142" s="596"/>
      <c r="E142" s="597"/>
      <c r="F142" s="598" t="s">
        <v>354</v>
      </c>
      <c r="G142" s="524" t="s">
        <v>352</v>
      </c>
      <c r="H142" s="204" t="s">
        <v>385</v>
      </c>
      <c r="I142" s="204" t="s">
        <v>388</v>
      </c>
      <c r="J142" s="764" t="s">
        <v>391</v>
      </c>
      <c r="K142" s="764" t="s">
        <v>394</v>
      </c>
      <c r="L142" s="764" t="s">
        <v>397</v>
      </c>
    </row>
    <row r="143" spans="1:12" ht="14.25" thickBot="1">
      <c r="A143" s="202" t="s">
        <v>79</v>
      </c>
      <c r="B143" s="578"/>
      <c r="C143" s="203"/>
      <c r="D143" s="596"/>
      <c r="E143" s="597"/>
      <c r="F143" s="82" t="n">
        <v>6608.89984893206</v>
      </c>
      <c r="G143" s="82" t="n">
        <v>4829.29305576454</v>
      </c>
      <c r="H143" s="83" t="n">
        <v>5559.88233247161</v>
      </c>
      <c r="I143" s="765" t="n">
        <v>5799.48489911712</v>
      </c>
      <c r="J143" s="765" t="n">
        <v>5831.69054631221</v>
      </c>
      <c r="K143" s="765" t="n">
        <v>5970.58247494273</v>
      </c>
      <c r="L143" s="765" t="n">
        <v>6448.14649988116</v>
      </c>
    </row>
    <row r="144" spans="1:12" ht="14.25" thickBot="1">
      <c r="A144" s="202" t="s">
        <v>355</v>
      </c>
      <c r="B144" s="578"/>
      <c r="C144" s="203"/>
      <c r="D144" s="596"/>
      <c r="E144" s="597"/>
      <c r="F144" s="599"/>
      <c r="G144" s="109" t="n">
        <f>IFERROR(G143/F143,"－")</f>
        <v>0.7307257132281875</v>
      </c>
      <c r="H144" s="110" t="n">
        <f>IFERROR(H143/F143,"－")</f>
        <v>0.8412719907338342</v>
      </c>
      <c r="I144" s="766" t="n">
        <f>IFERROR(I143/F143,"－")</f>
        <v>0.8775265220661902</v>
      </c>
      <c r="J144" s="766" t="n">
        <f>IFERROR(J143/F143,"－")</f>
        <v>0.8823995944278925</v>
      </c>
      <c r="K144" s="766" t="n">
        <f>IFERROR(K143/F143,"－")</f>
        <v>0.9034154869070263</v>
      </c>
      <c r="L144" s="766" t="n">
        <f>IFERROR(L143/F143,"－")</f>
        <v>0.9756762316383298</v>
      </c>
    </row>
    <row r="145" spans="1:17">
      <c r="A145" s="190"/>
      <c r="B145" s="193"/>
      <c r="C145" s="190"/>
    </row>
    <row r="147" spans="1:17">
      <c r="A147" s="373" t="s">
        <v>257</v>
      </c>
      <c r="E147" s="34"/>
      <c r="H147" s="600"/>
      <c r="I147" s="601"/>
      <c r="J147" s="601"/>
      <c r="K147" s="601"/>
      <c r="L147" s="601"/>
    </row>
    <row r="148" spans="1:17" ht="14.25" thickBot="1">
      <c r="D148" s="2"/>
      <c r="F148" s="2"/>
      <c r="G148" s="2"/>
      <c r="H148" s="601"/>
      <c r="I148" s="2"/>
      <c r="J148" s="601"/>
      <c r="O148" s="2"/>
      <c r="Q148" s="2" t="s">
        <v>88</v>
      </c>
    </row>
    <row r="149" spans="1:17" ht="14.25" thickBot="1">
      <c r="D149" s="1048" t="s">
        <v>354</v>
      </c>
      <c r="E149" s="1050"/>
      <c r="F149" s="1048" t="s">
        <v>353</v>
      </c>
      <c r="G149" s="1050"/>
      <c r="H149" s="1048" t="s">
        <v>386</v>
      </c>
      <c r="I149" s="1050"/>
      <c r="J149" s="1048" t="s">
        <v>389</v>
      </c>
      <c r="K149" s="1049"/>
      <c r="L149" s="1048" t="s">
        <v>392</v>
      </c>
      <c r="M149" s="1049"/>
      <c r="N149" s="1048" t="s">
        <v>395</v>
      </c>
      <c r="O149" s="1049"/>
      <c r="P149" s="1048" t="s">
        <v>398</v>
      </c>
      <c r="Q149" s="1049"/>
    </row>
    <row r="150" spans="1:17" ht="14.25" thickBot="1">
      <c r="A150" s="602"/>
      <c r="B150" s="603"/>
      <c r="C150" s="604"/>
      <c r="D150" s="605" t="s">
        <v>80</v>
      </c>
      <c r="E150" s="606" t="s">
        <v>107</v>
      </c>
      <c r="F150" s="605" t="s">
        <v>80</v>
      </c>
      <c r="G150" s="606" t="s">
        <v>107</v>
      </c>
      <c r="H150" s="607" t="s">
        <v>80</v>
      </c>
      <c r="I150" s="606" t="s">
        <v>107</v>
      </c>
      <c r="J150" s="607" t="s">
        <v>80</v>
      </c>
      <c r="K150" s="606" t="s">
        <v>107</v>
      </c>
      <c r="L150" s="607" t="s">
        <v>80</v>
      </c>
      <c r="M150" s="606" t="s">
        <v>107</v>
      </c>
      <c r="N150" s="607" t="s">
        <v>80</v>
      </c>
      <c r="O150" s="606" t="s">
        <v>107</v>
      </c>
      <c r="P150" s="607" t="s">
        <v>80</v>
      </c>
      <c r="Q150" s="606" t="s">
        <v>107</v>
      </c>
    </row>
    <row r="151" spans="1:17">
      <c r="A151" s="84" t="s">
        <v>64</v>
      </c>
      <c r="B151" s="85"/>
      <c r="C151" s="608"/>
      <c r="D151" s="609" t="n">
        <v>6079.234725322671</v>
      </c>
      <c r="E151" s="610" t="n">
        <f t="shared" ref="E151:E161" si="28">IFERROR(D151/D$159,"－")</f>
        <v>0.8811860794265807</v>
      </c>
      <c r="F151" s="609" t="n">
        <v>4068.39367845189</v>
      </c>
      <c r="G151" s="610" t="n">
        <f t="shared" ref="G151:G161" si="29">IFERROR(F151/F$159,"－")</f>
        <v>0.8424408358477243</v>
      </c>
      <c r="H151" s="611" t="n">
        <v>4780.92171612519</v>
      </c>
      <c r="I151" s="610" t="n">
        <f t="shared" ref="I151:I161" si="30">IFERROR(H151/H$159,"－")</f>
        <v>0.8598962046737888</v>
      </c>
      <c r="J151" s="611" t="n">
        <v>4961.77317766171</v>
      </c>
      <c r="K151" s="610" t="n">
        <f t="shared" ref="K151:K161" si="31">IFERROR(J151/J$159,"－")</f>
        <v>0.8555541162659225</v>
      </c>
      <c r="L151" s="611" t="n">
        <v>4881.95319296813</v>
      </c>
      <c r="M151" s="610" t="n">
        <f t="shared" ref="M151:M161" si="32">IFERROR(L151/L$159,"－")</f>
        <v>0.8371420181160562</v>
      </c>
      <c r="N151" s="611" t="n">
        <v>4947.56186390581</v>
      </c>
      <c r="O151" s="610" t="n">
        <f t="shared" ref="O151:O161" si="33">IFERROR(N151/N$159,"－")</f>
        <v>0.8286564811171572</v>
      </c>
      <c r="P151" s="611" t="n">
        <v>5364.39519906823</v>
      </c>
      <c r="Q151" s="610" t="n">
        <f t="shared" ref="Q151:Q161" si="34">IFERROR(P151/P$159,"－")</f>
        <v>0.8319282446773032</v>
      </c>
    </row>
    <row r="152" spans="1:17">
      <c r="A152" s="33"/>
      <c r="B152" s="35" t="s">
        <v>70</v>
      </c>
      <c r="C152" s="612"/>
      <c r="D152" s="613" t="n">
        <v>2805.82887117516</v>
      </c>
      <c r="E152" s="403" t="n">
        <f t="shared" si="28"/>
        <v>0.4067053591850767</v>
      </c>
      <c r="F152" s="613" t="n">
        <v>1148.33982626717</v>
      </c>
      <c r="G152" s="403" t="n">
        <f t="shared" si="29"/>
        <v>0.23778632048358325</v>
      </c>
      <c r="H152" s="614" t="n">
        <v>1323.01401052425</v>
      </c>
      <c r="I152" s="403" t="n">
        <f t="shared" si="30"/>
        <v>0.23795719610780186</v>
      </c>
      <c r="J152" s="614" t="n">
        <v>1421.48978673902</v>
      </c>
      <c r="K152" s="403" t="n">
        <f t="shared" si="31"/>
        <v>0.24510621399418064</v>
      </c>
      <c r="L152" s="614" t="n">
        <v>1406.67096799857</v>
      </c>
      <c r="M152" s="403" t="n">
        <f t="shared" si="32"/>
        <v>0.24121152465610635</v>
      </c>
      <c r="N152" s="614" t="n">
        <v>1386.55693119966</v>
      </c>
      <c r="O152" s="403" t="n">
        <f t="shared" si="33"/>
        <v>0.2322314342057489</v>
      </c>
      <c r="P152" s="614" t="n">
        <v>1474.24420432675</v>
      </c>
      <c r="Q152" s="403" t="n">
        <f t="shared" si="34"/>
        <v>0.22863069323160082</v>
      </c>
    </row>
    <row r="153" spans="1:17">
      <c r="A153" s="33"/>
      <c r="B153" s="35" t="s">
        <v>81</v>
      </c>
      <c r="C153" s="612"/>
      <c r="D153" s="613" t="n">
        <v>1072.17742974268</v>
      </c>
      <c r="E153" s="403" t="n">
        <f t="shared" si="28"/>
        <v>0.1554122958649986</v>
      </c>
      <c r="F153" s="613" t="n">
        <v>785.5269208195</v>
      </c>
      <c r="G153" s="403" t="n">
        <f t="shared" si="29"/>
        <v>0.16265878085030414</v>
      </c>
      <c r="H153" s="614" t="n">
        <v>899.910774154502</v>
      </c>
      <c r="I153" s="403" t="n">
        <f t="shared" si="30"/>
        <v>0.16185788121786604</v>
      </c>
      <c r="J153" s="614" t="n">
        <v>971.357754784009</v>
      </c>
      <c r="K153" s="403" t="n">
        <f t="shared" si="31"/>
        <v>0.16749034986398237</v>
      </c>
      <c r="L153" s="614" t="n">
        <v>911.293236581345</v>
      </c>
      <c r="M153" s="403" t="n">
        <f t="shared" si="32"/>
        <v>0.1562657053463888</v>
      </c>
      <c r="N153" s="614" t="n">
        <v>950.506484646966</v>
      </c>
      <c r="O153" s="403" t="n">
        <f t="shared" si="33"/>
        <v>0.15919828402606284</v>
      </c>
      <c r="P153" s="614" t="n">
        <v>1009.92354710663</v>
      </c>
      <c r="Q153" s="403" t="n">
        <f t="shared" si="34"/>
        <v>0.15662230179249853</v>
      </c>
    </row>
    <row r="154" spans="1:17">
      <c r="A154" s="31"/>
      <c r="B154" s="35" t="s">
        <v>71</v>
      </c>
      <c r="C154" s="612"/>
      <c r="D154" s="613" t="n">
        <v>2201.22842440483</v>
      </c>
      <c r="E154" s="403" t="n">
        <f t="shared" si="28"/>
        <v>0.31906842437650534</v>
      </c>
      <c r="F154" s="613" t="n">
        <v>2134.52693136522</v>
      </c>
      <c r="G154" s="403" t="n">
        <f t="shared" si="29"/>
        <v>0.44199573451383695</v>
      </c>
      <c r="H154" s="614" t="n">
        <v>2557.99693144644</v>
      </c>
      <c r="I154" s="403" t="n">
        <f t="shared" si="30"/>
        <v>0.46008112734812123</v>
      </c>
      <c r="J154" s="614" t="n">
        <v>2568.92563613868</v>
      </c>
      <c r="K154" s="403" t="n">
        <f t="shared" si="31"/>
        <v>0.44295755240775925</v>
      </c>
      <c r="L154" s="614" t="n">
        <v>2563.98898838821</v>
      </c>
      <c r="M154" s="403" t="n">
        <f t="shared" si="32"/>
        <v>0.4396647881135602</v>
      </c>
      <c r="N154" s="614" t="n">
        <v>2610.49844805918</v>
      </c>
      <c r="O154" s="403" t="n">
        <f t="shared" si="33"/>
        <v>0.4372267628853448</v>
      </c>
      <c r="P154" s="614" t="n">
        <v>2880.22744763484</v>
      </c>
      <c r="Q154" s="403" t="n">
        <f t="shared" si="34"/>
        <v>0.4466752496532023</v>
      </c>
    </row>
    <row r="155" spans="1:17">
      <c r="A155" s="30" t="s">
        <v>82</v>
      </c>
      <c r="B155" s="35"/>
      <c r="C155" s="612"/>
      <c r="D155" s="613" t="n">
        <v>451.2031458509291</v>
      </c>
      <c r="E155" s="403" t="n">
        <f t="shared" si="28"/>
        <v>0.0654019706561366</v>
      </c>
      <c r="F155" s="613" t="n">
        <v>399.640973134308</v>
      </c>
      <c r="G155" s="403" t="n">
        <f t="shared" si="29"/>
        <v>0.08275351454542028</v>
      </c>
      <c r="H155" s="614" t="n">
        <v>422.81889471709</v>
      </c>
      <c r="I155" s="403" t="n">
        <f t="shared" si="30"/>
        <v>0.07604817322260282</v>
      </c>
      <c r="J155" s="614" t="n">
        <v>463.971785722253</v>
      </c>
      <c r="K155" s="403" t="n">
        <f t="shared" si="31"/>
        <v>0.08000224050809847</v>
      </c>
      <c r="L155" s="614" t="n">
        <v>559.854334732191</v>
      </c>
      <c r="M155" s="403" t="n">
        <f t="shared" si="32"/>
        <v>0.09600206497346235</v>
      </c>
      <c r="N155" s="614" t="n">
        <v>626.149132788875</v>
      </c>
      <c r="O155" s="403" t="n">
        <f t="shared" si="33"/>
        <v>0.1048723697255151</v>
      </c>
      <c r="P155" s="614" t="n">
        <v>677.625932953771</v>
      </c>
      <c r="Q155" s="403" t="n">
        <f t="shared" si="34"/>
        <v>0.10508848286344917</v>
      </c>
    </row>
    <row r="156" spans="1:17">
      <c r="A156" s="30" t="s">
        <v>83</v>
      </c>
      <c r="B156" s="615"/>
      <c r="C156" s="612"/>
      <c r="D156" s="613" t="n">
        <v>395.009588052356</v>
      </c>
      <c r="E156" s="403" t="n">
        <f t="shared" si="28"/>
        <v>0.057256705154329963</v>
      </c>
      <c r="F156" s="613" t="n">
        <v>361.258404178335</v>
      </c>
      <c r="G156" s="403" t="n">
        <f t="shared" si="29"/>
        <v>0.07480564960685392</v>
      </c>
      <c r="H156" s="614" t="n">
        <v>356.141721629334</v>
      </c>
      <c r="I156" s="403" t="n">
        <f t="shared" si="30"/>
        <v>0.06405562210360906</v>
      </c>
      <c r="J156" s="614" t="n">
        <v>373.739935733161</v>
      </c>
      <c r="K156" s="403" t="n">
        <f t="shared" si="31"/>
        <v>0.06444364322597977</v>
      </c>
      <c r="L156" s="614" t="n">
        <v>389.88301861189</v>
      </c>
      <c r="M156" s="403" t="n">
        <f t="shared" si="32"/>
        <v>0.06685591691048157</v>
      </c>
      <c r="N156" s="614" t="n">
        <v>396.871478248047</v>
      </c>
      <c r="O156" s="403" t="n">
        <f t="shared" si="33"/>
        <v>0.06647114915732805</v>
      </c>
      <c r="P156" s="614" t="n">
        <v>406.125367859166</v>
      </c>
      <c r="Q156" s="403" t="n">
        <f t="shared" si="34"/>
        <v>0.0629832724592487</v>
      </c>
    </row>
    <row r="157" spans="1:17">
      <c r="A157" s="30" t="s">
        <v>84</v>
      </c>
      <c r="B157" s="615"/>
      <c r="C157" s="612"/>
      <c r="D157" s="613" t="n">
        <v>0.0</v>
      </c>
      <c r="E157" s="403" t="n">
        <f t="shared" si="28"/>
        <v>0.0</v>
      </c>
      <c r="F157" s="613" t="n">
        <v>0.0</v>
      </c>
      <c r="G157" s="403" t="n">
        <f t="shared" si="29"/>
        <v>0.0</v>
      </c>
      <c r="H157" s="614" t="n">
        <v>0.0</v>
      </c>
      <c r="I157" s="403" t="n">
        <f t="shared" si="30"/>
        <v>0.0</v>
      </c>
      <c r="J157" s="614" t="n">
        <v>0.0</v>
      </c>
      <c r="K157" s="403" t="n">
        <f t="shared" si="31"/>
        <v>0.0</v>
      </c>
      <c r="L157" s="614" t="n">
        <v>0.0</v>
      </c>
      <c r="M157" s="403" t="n">
        <f t="shared" si="32"/>
        <v>0.0</v>
      </c>
      <c r="N157" s="614" t="n">
        <v>0.0</v>
      </c>
      <c r="O157" s="403" t="n">
        <f t="shared" si="33"/>
        <v>0.0</v>
      </c>
      <c r="P157" s="614" t="n">
        <v>0.0</v>
      </c>
      <c r="Q157" s="403" t="n">
        <f t="shared" si="34"/>
        <v>0.0</v>
      </c>
    </row>
    <row r="158" spans="1:17">
      <c r="A158" s="30" t="s">
        <v>85</v>
      </c>
      <c r="B158" s="35"/>
      <c r="C158" s="612"/>
      <c r="D158" s="613" t="n">
        <v>-26.524669525687</v>
      </c>
      <c r="E158" s="403" t="n">
        <f t="shared" si="28"/>
        <v>-0.0038447552370475774</v>
      </c>
      <c r="F158" s="613" t="n">
        <v>0.0</v>
      </c>
      <c r="G158" s="403" t="n">
        <f t="shared" si="29"/>
        <v>0.0</v>
      </c>
      <c r="H158" s="614" t="n">
        <v>0.0</v>
      </c>
      <c r="I158" s="403" t="n">
        <f t="shared" si="30"/>
        <v>0.0</v>
      </c>
      <c r="J158" s="614" t="n">
        <v>0.0</v>
      </c>
      <c r="K158" s="403" t="n">
        <f t="shared" si="31"/>
        <v>0.0</v>
      </c>
      <c r="L158" s="614" t="n">
        <v>0.0</v>
      </c>
      <c r="M158" s="403" t="n">
        <f t="shared" si="32"/>
        <v>0.0</v>
      </c>
      <c r="N158" s="614" t="n">
        <v>0.0</v>
      </c>
      <c r="O158" s="403" t="n">
        <f t="shared" si="33"/>
        <v>0.0</v>
      </c>
      <c r="P158" s="614" t="n">
        <v>0.0</v>
      </c>
      <c r="Q158" s="403" t="n">
        <f t="shared" si="34"/>
        <v>0.0</v>
      </c>
    </row>
    <row r="159" spans="1:17">
      <c r="A159" s="30" t="s">
        <v>86</v>
      </c>
      <c r="B159" s="35"/>
      <c r="C159" s="616"/>
      <c r="D159" s="613" t="n">
        <v>6898.922789700271</v>
      </c>
      <c r="E159" s="403" t="n">
        <f t="shared" si="28"/>
        <v>1.0</v>
      </c>
      <c r="F159" s="613" t="n">
        <v>4829.29305576454</v>
      </c>
      <c r="G159" s="403" t="n">
        <f t="shared" si="29"/>
        <v>1.0</v>
      </c>
      <c r="H159" s="614" t="n">
        <v>5559.88233247161</v>
      </c>
      <c r="I159" s="403" t="n">
        <f t="shared" si="30"/>
        <v>1.0</v>
      </c>
      <c r="J159" s="614" t="n">
        <v>5799.48489911712</v>
      </c>
      <c r="K159" s="403" t="n">
        <f t="shared" si="31"/>
        <v>1.0</v>
      </c>
      <c r="L159" s="614" t="n">
        <v>5831.69054631221</v>
      </c>
      <c r="M159" s="403" t="n">
        <f t="shared" si="32"/>
        <v>1.0</v>
      </c>
      <c r="N159" s="614" t="n">
        <v>5970.58247494273</v>
      </c>
      <c r="O159" s="403" t="n">
        <f t="shared" si="33"/>
        <v>1.0</v>
      </c>
      <c r="P159" s="614" t="n">
        <v>6448.14649988116</v>
      </c>
      <c r="Q159" s="403" t="n">
        <f t="shared" si="34"/>
        <v>1.0</v>
      </c>
    </row>
    <row r="160" spans="1:17">
      <c r="A160" s="30" t="s">
        <v>87</v>
      </c>
      <c r="B160" s="615"/>
      <c r="C160" s="616"/>
      <c r="D160" s="613" t="n">
        <v>290.022940768211</v>
      </c>
      <c r="E160" s="403" t="n">
        <f t="shared" si="28"/>
        <v>0.042038873257314896</v>
      </c>
      <c r="F160" s="613" t="n">
        <v>0.0</v>
      </c>
      <c r="G160" s="403" t="n">
        <f t="shared" si="29"/>
        <v>0.0</v>
      </c>
      <c r="H160" s="614" t="n">
        <v>0.0</v>
      </c>
      <c r="I160" s="403" t="n">
        <f t="shared" si="30"/>
        <v>0.0</v>
      </c>
      <c r="J160" s="614" t="n">
        <v>0.0</v>
      </c>
      <c r="K160" s="403" t="n">
        <f t="shared" si="31"/>
        <v>0.0</v>
      </c>
      <c r="L160" s="614" t="n">
        <v>0.0</v>
      </c>
      <c r="M160" s="403" t="n">
        <f t="shared" si="32"/>
        <v>0.0</v>
      </c>
      <c r="N160" s="614" t="n">
        <v>0.0</v>
      </c>
      <c r="O160" s="403" t="n">
        <f t="shared" si="33"/>
        <v>0.0</v>
      </c>
      <c r="P160" s="614" t="n">
        <v>0.0</v>
      </c>
      <c r="Q160" s="403" t="n">
        <f t="shared" si="34"/>
        <v>0.0</v>
      </c>
    </row>
    <row r="161" spans="1:17" ht="14.25" thickBot="1">
      <c r="A161" s="32" t="s">
        <v>112</v>
      </c>
      <c r="B161" s="36"/>
      <c r="C161" s="617"/>
      <c r="D161" s="618" t="n">
        <v>6608.89984893206</v>
      </c>
      <c r="E161" s="456" t="n">
        <f t="shared" si="28"/>
        <v>0.9579611267426851</v>
      </c>
      <c r="F161" s="618" t="n">
        <v>4829.29305576454</v>
      </c>
      <c r="G161" s="456" t="n">
        <f t="shared" si="29"/>
        <v>1.0</v>
      </c>
      <c r="H161" s="619" t="n">
        <v>5559.88233247161</v>
      </c>
      <c r="I161" s="456" t="n">
        <f t="shared" si="30"/>
        <v>1.0</v>
      </c>
      <c r="J161" s="619" t="n">
        <v>5799.48489911712</v>
      </c>
      <c r="K161" s="456" t="n">
        <f t="shared" si="31"/>
        <v>1.0</v>
      </c>
      <c r="L161" s="619" t="n">
        <v>5831.69054631221</v>
      </c>
      <c r="M161" s="456" t="n">
        <f t="shared" si="32"/>
        <v>1.0</v>
      </c>
      <c r="N161" s="619" t="n">
        <v>5970.58247494273</v>
      </c>
      <c r="O161" s="456" t="n">
        <f t="shared" si="33"/>
        <v>1.0</v>
      </c>
      <c r="P161" s="619" t="n">
        <v>6448.14649988116</v>
      </c>
      <c r="Q161" s="456" t="n">
        <f t="shared" si="34"/>
        <v>1.0</v>
      </c>
    </row>
  </sheetData>
  <mergeCells count="17">
    <mergeCell ref="P149:Q149"/>
    <mergeCell ref="N149:O149"/>
    <mergeCell ref="D149:E149"/>
    <mergeCell ref="H149:I149"/>
    <mergeCell ref="F149:G149"/>
    <mergeCell ref="H106:L110"/>
    <mergeCell ref="H126:L130"/>
    <mergeCell ref="H131:L135"/>
    <mergeCell ref="J149:K149"/>
    <mergeCell ref="L149:M149"/>
    <mergeCell ref="A1:M1"/>
    <mergeCell ref="H101:L105"/>
    <mergeCell ref="A10:C10"/>
    <mergeCell ref="A18:C18"/>
    <mergeCell ref="Q3:R3"/>
    <mergeCell ref="Q4:R4"/>
    <mergeCell ref="Q5:R5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8"/>
  <sheetViews>
    <sheetView zoomScale="85" zoomScaleNormal="85" zoomScaleSheetLayoutView="65" workbookViewId="0"/>
  </sheetViews>
  <sheetFormatPr defaultColWidth="9" defaultRowHeight="13.5"/>
  <cols>
    <col min="1" max="1" style="370" width="9.0" collapsed="false"/>
    <col min="2" max="2" bestFit="true" customWidth="true" style="370" width="42.125" collapsed="false"/>
    <col min="3" max="3" customWidth="true" style="370" width="15.375" collapsed="false"/>
    <col min="4" max="20" customWidth="true" style="370" width="11.125" collapsed="false"/>
    <col min="21" max="21" customWidth="true" style="370" width="3.375" collapsed="false"/>
    <col min="22" max="16384" style="370" width="9.0" collapsed="false"/>
  </cols>
  <sheetData>
    <row r="1" spans="1:21" ht="14.25">
      <c r="A1" s="191" t="s">
        <v>73</v>
      </c>
      <c r="K1" s="371"/>
      <c r="L1" s="372"/>
    </row>
    <row r="2" spans="1:21" ht="15" thickBot="1">
      <c r="A2" s="191"/>
      <c r="S2" s="371" t="s">
        <v>98</v>
      </c>
      <c r="T2" s="372" t="str">
        <f>'1_推計値サマリ'!T2</f>
        <v>2026/09/28</v>
      </c>
    </row>
    <row r="3" spans="1:21" s="353" customFormat="1" ht="14.25" thickBot="1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1051" t="s">
        <v>67</v>
      </c>
      <c r="R3" s="1052"/>
      <c r="S3" s="1065" t="str">
        <f>保険者名</f>
        <v>小野町</v>
      </c>
      <c r="T3" s="1066"/>
      <c r="U3" s="370"/>
    </row>
    <row r="4" spans="1:21" s="353" customFormat="1" ht="14.25" thickBot="1">
      <c r="A4" s="370"/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1051" t="s">
        <v>68</v>
      </c>
      <c r="R4" s="1052"/>
      <c r="S4" s="1065" t="str">
        <f>保険者番号</f>
        <v>07522</v>
      </c>
      <c r="T4" s="1066"/>
      <c r="U4" s="370"/>
    </row>
    <row r="5" spans="1:21" s="353" customFormat="1" ht="31.5" customHeight="1" thickBot="1">
      <c r="A5" s="370"/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1053" t="s">
        <v>103</v>
      </c>
      <c r="R5" s="1054"/>
      <c r="S5" s="1065" t="str">
        <f>推計パターン名</f>
        <v>将来推計0925-2</v>
      </c>
      <c r="T5" s="1066"/>
      <c r="U5" s="370"/>
    </row>
    <row r="8" spans="1:21">
      <c r="A8" s="373" t="s">
        <v>89</v>
      </c>
      <c r="B8" s="374"/>
    </row>
    <row r="9" spans="1:21" ht="14.25" thickBot="1">
      <c r="B9" s="374"/>
      <c r="L9" s="2"/>
      <c r="R9" s="2"/>
      <c r="T9" s="2" t="s">
        <v>108</v>
      </c>
    </row>
    <row r="10" spans="1:21" ht="23.25" thickBot="1">
      <c r="A10" s="29"/>
      <c r="B10" s="375"/>
      <c r="C10" s="376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1">
      <c r="A11" s="379" t="s">
        <v>15</v>
      </c>
      <c r="B11" s="380"/>
      <c r="C11" s="381"/>
      <c r="D11" s="382"/>
      <c r="E11" s="383"/>
      <c r="F11" s="384"/>
      <c r="G11" s="385"/>
      <c r="H11" s="386"/>
      <c r="I11" s="386"/>
      <c r="J11" s="387"/>
      <c r="K11" s="385"/>
      <c r="L11" s="388"/>
      <c r="M11" s="385"/>
      <c r="N11" s="388"/>
      <c r="O11" s="385"/>
      <c r="P11" s="388"/>
      <c r="Q11" s="385"/>
      <c r="R11" s="388"/>
      <c r="S11" s="385"/>
      <c r="T11" s="388"/>
    </row>
    <row r="12" spans="1:21" ht="13.5" hidden="1" customHeight="1">
      <c r="A12" s="19"/>
      <c r="B12" s="1055" t="s">
        <v>262</v>
      </c>
      <c r="C12" s="389" t="s">
        <v>16</v>
      </c>
      <c r="D12" s="390"/>
      <c r="E12" s="391"/>
      <c r="F12" s="392"/>
      <c r="G12" s="393"/>
      <c r="H12" s="394"/>
      <c r="I12" s="394"/>
      <c r="J12" s="395"/>
      <c r="K12" s="393"/>
      <c r="L12" s="396"/>
      <c r="M12" s="393"/>
      <c r="N12" s="396"/>
      <c r="O12" s="393"/>
      <c r="P12" s="396"/>
      <c r="Q12" s="393"/>
      <c r="R12" s="396"/>
      <c r="S12" s="393"/>
      <c r="T12" s="396"/>
    </row>
    <row r="13" spans="1:21" ht="13.5" hidden="1" customHeight="1">
      <c r="A13" s="19"/>
      <c r="B13" s="1059"/>
      <c r="C13" s="389" t="s">
        <v>17</v>
      </c>
      <c r="D13" s="390"/>
      <c r="E13" s="391"/>
      <c r="F13" s="392"/>
      <c r="G13" s="397"/>
      <c r="H13" s="398"/>
      <c r="I13" s="398"/>
      <c r="J13" s="399"/>
      <c r="K13" s="397"/>
      <c r="L13" s="400"/>
      <c r="M13" s="397"/>
      <c r="N13" s="400"/>
      <c r="O13" s="397"/>
      <c r="P13" s="400"/>
      <c r="Q13" s="397"/>
      <c r="R13" s="400"/>
      <c r="S13" s="397"/>
      <c r="T13" s="400"/>
    </row>
    <row r="14" spans="1:21">
      <c r="A14" s="19"/>
      <c r="B14" s="1055" t="s">
        <v>18</v>
      </c>
      <c r="C14" s="389" t="s">
        <v>16</v>
      </c>
      <c r="D14" s="390" t="n">
        <v>0.0</v>
      </c>
      <c r="E14" s="391" t="n">
        <v>0.0</v>
      </c>
      <c r="F14" s="392" t="n">
        <v>0.0</v>
      </c>
      <c r="G14" s="401" t="n">
        <v>0.0</v>
      </c>
      <c r="H14" s="391" t="n">
        <v>0.0</v>
      </c>
      <c r="I14" s="391" t="n">
        <v>0.0</v>
      </c>
      <c r="J14" s="402" t="str">
        <f t="shared" ref="J14:J24" si="0">IFERROR(SUM(G14:I14)/3/F14,"－")</f>
        <v>－</v>
      </c>
      <c r="K14" s="401" t="n">
        <v>0.0</v>
      </c>
      <c r="L14" s="403" t="str">
        <f t="shared" ref="L14:L24" si="1">IFERROR(K14/F14,"－")</f>
        <v>－</v>
      </c>
      <c r="M14" s="401" t="n">
        <v>0.0</v>
      </c>
      <c r="N14" s="403" t="str">
        <f>IFERROR(M14/F14,"－")</f>
        <v>－</v>
      </c>
      <c r="O14" s="401" t="n">
        <v>0.0</v>
      </c>
      <c r="P14" s="403" t="str">
        <f>IFERROR(O14/F14,"－")</f>
        <v>－</v>
      </c>
      <c r="Q14" s="401" t="n">
        <v>0.0</v>
      </c>
      <c r="R14" s="403" t="str">
        <f>IFERROR(Q14/F14,"－")</f>
        <v>－</v>
      </c>
      <c r="S14" s="401" t="n">
        <v>0.0</v>
      </c>
      <c r="T14" s="403" t="str">
        <f>IFERROR(S14/F14,"－")</f>
        <v>－</v>
      </c>
    </row>
    <row r="15" spans="1:21">
      <c r="A15" s="19"/>
      <c r="B15" s="1056"/>
      <c r="C15" s="389" t="s">
        <v>19</v>
      </c>
      <c r="D15" s="404" t="n">
        <v>0.0</v>
      </c>
      <c r="E15" s="405" t="n">
        <v>0.0</v>
      </c>
      <c r="F15" s="406" t="n">
        <v>0.0</v>
      </c>
      <c r="G15" s="407"/>
      <c r="H15" s="405"/>
      <c r="I15" s="405"/>
      <c r="J15" s="402" t="str">
        <f t="shared" si="0"/>
        <v>－</v>
      </c>
      <c r="K15" s="407"/>
      <c r="L15" s="403" t="str">
        <f t="shared" si="1"/>
        <v>－</v>
      </c>
      <c r="M15" s="407"/>
      <c r="N15" s="403" t="str">
        <f t="shared" ref="N15:N61" si="2">IFERROR(M15/F15,"－")</f>
        <v>－</v>
      </c>
      <c r="O15" s="407"/>
      <c r="P15" s="403" t="str">
        <f t="shared" ref="P15:P61" si="3">IFERROR(O15/F15,"－")</f>
        <v>－</v>
      </c>
      <c r="Q15" s="407"/>
      <c r="R15" s="403" t="str">
        <f t="shared" ref="R15:R61" si="4">IFERROR(Q15/F15,"－")</f>
        <v>－</v>
      </c>
      <c r="S15" s="407"/>
      <c r="T15" s="403" t="str">
        <f t="shared" ref="T15:T47" si="5">IFERROR(S15/F15,"－")</f>
        <v>－</v>
      </c>
    </row>
    <row r="16" spans="1:21">
      <c r="A16" s="19"/>
      <c r="B16" s="753"/>
      <c r="C16" s="389" t="s">
        <v>17</v>
      </c>
      <c r="D16" s="390" t="n">
        <v>0.0</v>
      </c>
      <c r="E16" s="391" t="n">
        <v>0.0</v>
      </c>
      <c r="F16" s="392" t="n">
        <v>0.0</v>
      </c>
      <c r="G16" s="401" t="n">
        <v>0.0</v>
      </c>
      <c r="H16" s="391" t="n">
        <v>0.0</v>
      </c>
      <c r="I16" s="391" t="n">
        <v>0.0</v>
      </c>
      <c r="J16" s="402" t="str">
        <f t="shared" si="0"/>
        <v>－</v>
      </c>
      <c r="K16" s="401" t="n">
        <v>0.0</v>
      </c>
      <c r="L16" s="403" t="str">
        <f t="shared" si="1"/>
        <v>－</v>
      </c>
      <c r="M16" s="401" t="n">
        <v>0.0</v>
      </c>
      <c r="N16" s="403" t="str">
        <f t="shared" si="2"/>
        <v>－</v>
      </c>
      <c r="O16" s="401" t="n">
        <v>0.0</v>
      </c>
      <c r="P16" s="403" t="str">
        <f t="shared" si="3"/>
        <v>－</v>
      </c>
      <c r="Q16" s="401" t="n">
        <v>0.0</v>
      </c>
      <c r="R16" s="403" t="str">
        <f t="shared" si="4"/>
        <v>－</v>
      </c>
      <c r="S16" s="401" t="n">
        <v>0.0</v>
      </c>
      <c r="T16" s="403" t="str">
        <f t="shared" si="5"/>
        <v>－</v>
      </c>
    </row>
    <row r="17" spans="1:20">
      <c r="A17" s="19"/>
      <c r="B17" s="1055" t="s">
        <v>20</v>
      </c>
      <c r="C17" s="389" t="s">
        <v>16</v>
      </c>
      <c r="D17" s="390" t="n">
        <v>1872.428</v>
      </c>
      <c r="E17" s="391" t="n">
        <v>2213.878</v>
      </c>
      <c r="F17" s="392" t="n">
        <v>212.6256</v>
      </c>
      <c r="G17" s="408" t="n">
        <v>476.0</v>
      </c>
      <c r="H17" s="409" t="n">
        <v>476.0</v>
      </c>
      <c r="I17" s="409" t="n">
        <v>476.0</v>
      </c>
      <c r="J17" s="410" t="n">
        <f t="shared" si="0"/>
        <v>2.2386768103182306</v>
      </c>
      <c r="K17" s="408" t="n">
        <v>476.0</v>
      </c>
      <c r="L17" s="411" t="n">
        <f t="shared" si="1"/>
        <v>2.2386768103182306</v>
      </c>
      <c r="M17" s="408" t="n">
        <v>547.0</v>
      </c>
      <c r="N17" s="411" t="n">
        <f t="shared" si="2"/>
        <v>2.572597090848891</v>
      </c>
      <c r="O17" s="408" t="n">
        <v>547.0</v>
      </c>
      <c r="P17" s="411" t="n">
        <f t="shared" si="3"/>
        <v>2.572597090848891</v>
      </c>
      <c r="Q17" s="408" t="n">
        <v>547.0</v>
      </c>
      <c r="R17" s="411" t="n">
        <f t="shared" si="4"/>
        <v>2.572597090848891</v>
      </c>
      <c r="S17" s="408" t="n">
        <v>547.0</v>
      </c>
      <c r="T17" s="403" t="n">
        <f t="shared" si="5"/>
        <v>2.572597090848891</v>
      </c>
    </row>
    <row r="18" spans="1:20">
      <c r="A18" s="19"/>
      <c r="B18" s="1056"/>
      <c r="C18" s="389" t="s">
        <v>19</v>
      </c>
      <c r="D18" s="404" t="n">
        <v>30.833333333333332</v>
      </c>
      <c r="E18" s="405" t="n">
        <v>30.083333333333332</v>
      </c>
      <c r="F18" s="406" t="n">
        <v>-53.8</v>
      </c>
      <c r="G18" s="407"/>
      <c r="H18" s="405"/>
      <c r="I18" s="405"/>
      <c r="J18" s="412" t="n">
        <f t="shared" si="0"/>
        <v>0.0</v>
      </c>
      <c r="K18" s="407"/>
      <c r="L18" s="403" t="n">
        <f t="shared" si="1"/>
        <v>0.0</v>
      </c>
      <c r="M18" s="407"/>
      <c r="N18" s="403" t="n">
        <f t="shared" si="2"/>
        <v>0.0</v>
      </c>
      <c r="O18" s="407"/>
      <c r="P18" s="403" t="n">
        <f t="shared" si="3"/>
        <v>0.0</v>
      </c>
      <c r="Q18" s="407"/>
      <c r="R18" s="403" t="n">
        <f t="shared" si="4"/>
        <v>0.0</v>
      </c>
      <c r="S18" s="407"/>
      <c r="T18" s="403" t="n">
        <f t="shared" si="5"/>
        <v>0.0</v>
      </c>
    </row>
    <row r="19" spans="1:20">
      <c r="A19" s="19"/>
      <c r="B19" s="753"/>
      <c r="C19" s="389" t="s">
        <v>17</v>
      </c>
      <c r="D19" s="390" t="n">
        <v>5.166666666666667</v>
      </c>
      <c r="E19" s="391" t="n">
        <v>6.833333333333333</v>
      </c>
      <c r="F19" s="392" t="n">
        <v>6.0</v>
      </c>
      <c r="G19" s="401" t="n">
        <v>6.0</v>
      </c>
      <c r="H19" s="391" t="n">
        <v>6.0</v>
      </c>
      <c r="I19" s="391" t="n">
        <v>6.0</v>
      </c>
      <c r="J19" s="402" t="n">
        <f t="shared" si="0"/>
        <v>1.0</v>
      </c>
      <c r="K19" s="401" t="n">
        <v>6.0</v>
      </c>
      <c r="L19" s="403" t="n">
        <f t="shared" si="1"/>
        <v>1.0</v>
      </c>
      <c r="M19" s="401" t="n">
        <v>7.0</v>
      </c>
      <c r="N19" s="403" t="n">
        <f t="shared" si="2"/>
        <v>1.1666666666666667</v>
      </c>
      <c r="O19" s="401" t="n">
        <v>7.0</v>
      </c>
      <c r="P19" s="403" t="n">
        <f t="shared" si="3"/>
        <v>1.1666666666666667</v>
      </c>
      <c r="Q19" s="401" t="n">
        <v>7.0</v>
      </c>
      <c r="R19" s="403" t="n">
        <f t="shared" si="4"/>
        <v>1.1666666666666667</v>
      </c>
      <c r="S19" s="401" t="n">
        <v>7.0</v>
      </c>
      <c r="T19" s="403" t="n">
        <f t="shared" si="5"/>
        <v>1.1666666666666667</v>
      </c>
    </row>
    <row r="20" spans="1:20">
      <c r="A20" s="19"/>
      <c r="B20" s="1055" t="s">
        <v>21</v>
      </c>
      <c r="C20" s="389" t="s">
        <v>16</v>
      </c>
      <c r="D20" s="390" t="n">
        <v>0.0</v>
      </c>
      <c r="E20" s="391" t="n">
        <v>0.0</v>
      </c>
      <c r="F20" s="392" t="n">
        <v>0.0</v>
      </c>
      <c r="G20" s="408" t="n">
        <v>0.0</v>
      </c>
      <c r="H20" s="409" t="n">
        <v>0.0</v>
      </c>
      <c r="I20" s="409" t="n">
        <v>0.0</v>
      </c>
      <c r="J20" s="410" t="str">
        <f t="shared" si="0"/>
        <v>－</v>
      </c>
      <c r="K20" s="408" t="n">
        <v>0.0</v>
      </c>
      <c r="L20" s="411" t="str">
        <f t="shared" si="1"/>
        <v>－</v>
      </c>
      <c r="M20" s="408" t="n">
        <v>0.0</v>
      </c>
      <c r="N20" s="411" t="str">
        <f t="shared" si="2"/>
        <v>－</v>
      </c>
      <c r="O20" s="408" t="n">
        <v>0.0</v>
      </c>
      <c r="P20" s="411" t="str">
        <f t="shared" si="3"/>
        <v>－</v>
      </c>
      <c r="Q20" s="408" t="n">
        <v>0.0</v>
      </c>
      <c r="R20" s="411" t="str">
        <f t="shared" si="4"/>
        <v>－</v>
      </c>
      <c r="S20" s="408" t="n">
        <v>0.0</v>
      </c>
      <c r="T20" s="403" t="str">
        <f t="shared" si="5"/>
        <v>－</v>
      </c>
    </row>
    <row r="21" spans="1:20">
      <c r="A21" s="19"/>
      <c r="B21" s="1056"/>
      <c r="C21" s="389" t="s">
        <v>19</v>
      </c>
      <c r="D21" s="404" t="n">
        <v>0.0</v>
      </c>
      <c r="E21" s="405" t="n">
        <v>0.0</v>
      </c>
      <c r="F21" s="406" t="n">
        <v>0.0</v>
      </c>
      <c r="G21" s="407"/>
      <c r="H21" s="405"/>
      <c r="I21" s="405"/>
      <c r="J21" s="402" t="str">
        <f t="shared" si="0"/>
        <v>－</v>
      </c>
      <c r="K21" s="407"/>
      <c r="L21" s="403" t="str">
        <f t="shared" si="1"/>
        <v>－</v>
      </c>
      <c r="M21" s="407"/>
      <c r="N21" s="403" t="str">
        <f t="shared" si="2"/>
        <v>－</v>
      </c>
      <c r="O21" s="407"/>
      <c r="P21" s="403" t="str">
        <f t="shared" si="3"/>
        <v>－</v>
      </c>
      <c r="Q21" s="407"/>
      <c r="R21" s="403" t="str">
        <f t="shared" si="4"/>
        <v>－</v>
      </c>
      <c r="S21" s="407"/>
      <c r="T21" s="403" t="str">
        <f t="shared" si="5"/>
        <v>－</v>
      </c>
    </row>
    <row r="22" spans="1:20">
      <c r="A22" s="19"/>
      <c r="B22" s="753"/>
      <c r="C22" s="389" t="s">
        <v>17</v>
      </c>
      <c r="D22" s="390" t="n">
        <v>0.0</v>
      </c>
      <c r="E22" s="391" t="n">
        <v>0.0</v>
      </c>
      <c r="F22" s="392" t="n">
        <v>0.0</v>
      </c>
      <c r="G22" s="401" t="n">
        <v>0.0</v>
      </c>
      <c r="H22" s="391" t="n">
        <v>0.0</v>
      </c>
      <c r="I22" s="391" t="n">
        <v>0.0</v>
      </c>
      <c r="J22" s="402" t="str">
        <f t="shared" si="0"/>
        <v>－</v>
      </c>
      <c r="K22" s="401" t="n">
        <v>0.0</v>
      </c>
      <c r="L22" s="403" t="str">
        <f t="shared" si="1"/>
        <v>－</v>
      </c>
      <c r="M22" s="401" t="n">
        <v>0.0</v>
      </c>
      <c r="N22" s="403" t="str">
        <f t="shared" si="2"/>
        <v>－</v>
      </c>
      <c r="O22" s="401" t="n">
        <v>0.0</v>
      </c>
      <c r="P22" s="403" t="str">
        <f t="shared" si="3"/>
        <v>－</v>
      </c>
      <c r="Q22" s="401" t="n">
        <v>0.0</v>
      </c>
      <c r="R22" s="403" t="str">
        <f t="shared" si="4"/>
        <v>－</v>
      </c>
      <c r="S22" s="401" t="n">
        <v>0.0</v>
      </c>
      <c r="T22" s="403" t="str">
        <f t="shared" si="5"/>
        <v>－</v>
      </c>
    </row>
    <row r="23" spans="1:20">
      <c r="A23" s="19"/>
      <c r="B23" s="1055" t="s">
        <v>22</v>
      </c>
      <c r="C23" s="389" t="s">
        <v>16</v>
      </c>
      <c r="D23" s="390" t="n">
        <v>126.852</v>
      </c>
      <c r="E23" s="391" t="n">
        <v>132.36599999999999</v>
      </c>
      <c r="F23" s="392" t="n">
        <v>56.16</v>
      </c>
      <c r="G23" s="408" t="n">
        <v>122.0</v>
      </c>
      <c r="H23" s="409" t="n">
        <v>122.0</v>
      </c>
      <c r="I23" s="409" t="n">
        <v>122.0</v>
      </c>
      <c r="J23" s="410" t="n">
        <f t="shared" si="0"/>
        <v>2.1723646723646723</v>
      </c>
      <c r="K23" s="408" t="n">
        <v>122.0</v>
      </c>
      <c r="L23" s="411" t="n">
        <f t="shared" si="1"/>
        <v>2.1723646723646723</v>
      </c>
      <c r="M23" s="408" t="n">
        <v>122.0</v>
      </c>
      <c r="N23" s="411" t="n">
        <f t="shared" si="2"/>
        <v>2.1723646723646723</v>
      </c>
      <c r="O23" s="408" t="n">
        <v>122.0</v>
      </c>
      <c r="P23" s="411" t="n">
        <f t="shared" si="3"/>
        <v>2.1723646723646723</v>
      </c>
      <c r="Q23" s="408" t="n">
        <v>122.0</v>
      </c>
      <c r="R23" s="411" t="n">
        <f t="shared" si="4"/>
        <v>2.1723646723646723</v>
      </c>
      <c r="S23" s="408" t="n">
        <v>122.0</v>
      </c>
      <c r="T23" s="403" t="n">
        <f t="shared" si="5"/>
        <v>2.1723646723646723</v>
      </c>
    </row>
    <row r="24" spans="1:20">
      <c r="A24" s="19"/>
      <c r="B24" s="1059"/>
      <c r="C24" s="389" t="s">
        <v>17</v>
      </c>
      <c r="D24" s="390" t="n">
        <v>1.0</v>
      </c>
      <c r="E24" s="391" t="n">
        <v>1.0833333333333333</v>
      </c>
      <c r="F24" s="392" t="n">
        <v>1.0</v>
      </c>
      <c r="G24" s="401" t="n">
        <v>1.0</v>
      </c>
      <c r="H24" s="391" t="n">
        <v>1.0</v>
      </c>
      <c r="I24" s="391" t="n">
        <v>1.0</v>
      </c>
      <c r="J24" s="402" t="n">
        <f t="shared" si="0"/>
        <v>1.0</v>
      </c>
      <c r="K24" s="401" t="n">
        <v>1.0</v>
      </c>
      <c r="L24" s="403" t="n">
        <f t="shared" si="1"/>
        <v>1.0</v>
      </c>
      <c r="M24" s="401" t="n">
        <v>1.0</v>
      </c>
      <c r="N24" s="403" t="n">
        <f t="shared" si="2"/>
        <v>1.0</v>
      </c>
      <c r="O24" s="401" t="n">
        <v>1.0</v>
      </c>
      <c r="P24" s="403" t="n">
        <f t="shared" si="3"/>
        <v>1.0</v>
      </c>
      <c r="Q24" s="401" t="n">
        <v>1.0</v>
      </c>
      <c r="R24" s="403" t="n">
        <f t="shared" si="4"/>
        <v>1.0</v>
      </c>
      <c r="S24" s="401" t="n">
        <v>1.0</v>
      </c>
      <c r="T24" s="403" t="n">
        <f t="shared" si="5"/>
        <v>1.0</v>
      </c>
    </row>
    <row r="25" spans="1:20" hidden="1">
      <c r="A25" s="19"/>
      <c r="B25" s="1055" t="s">
        <v>262</v>
      </c>
      <c r="C25" s="389" t="s">
        <v>16</v>
      </c>
      <c r="D25" s="390"/>
      <c r="E25" s="391"/>
      <c r="F25" s="392"/>
      <c r="G25" s="413"/>
      <c r="H25" s="414"/>
      <c r="I25" s="414"/>
      <c r="J25" s="415"/>
      <c r="K25" s="413"/>
      <c r="L25" s="416"/>
      <c r="M25" s="413"/>
      <c r="N25" s="416" t="str">
        <f t="shared" si="2"/>
        <v>－</v>
      </c>
      <c r="O25" s="413"/>
      <c r="P25" s="416" t="str">
        <f t="shared" si="3"/>
        <v>－</v>
      </c>
      <c r="Q25" s="413"/>
      <c r="R25" s="416" t="str">
        <f t="shared" si="4"/>
        <v>－</v>
      </c>
      <c r="S25" s="413"/>
      <c r="T25" s="403" t="str">
        <f t="shared" si="5"/>
        <v>－</v>
      </c>
    </row>
    <row r="26" spans="1:20" hidden="1">
      <c r="A26" s="19"/>
      <c r="B26" s="1067"/>
      <c r="C26" s="389" t="s">
        <v>17</v>
      </c>
      <c r="D26" s="390"/>
      <c r="E26" s="391"/>
      <c r="F26" s="392"/>
      <c r="G26" s="397"/>
      <c r="H26" s="398"/>
      <c r="I26" s="398"/>
      <c r="J26" s="417"/>
      <c r="K26" s="397"/>
      <c r="L26" s="418"/>
      <c r="M26" s="397"/>
      <c r="N26" s="418" t="str">
        <f t="shared" si="2"/>
        <v>－</v>
      </c>
      <c r="O26" s="397"/>
      <c r="P26" s="418" t="str">
        <f t="shared" si="3"/>
        <v>－</v>
      </c>
      <c r="Q26" s="397"/>
      <c r="R26" s="418" t="str">
        <f t="shared" si="4"/>
        <v>－</v>
      </c>
      <c r="S26" s="397"/>
      <c r="T26" s="403" t="str">
        <f t="shared" si="5"/>
        <v>－</v>
      </c>
    </row>
    <row r="27" spans="1:20">
      <c r="A27" s="19"/>
      <c r="B27" s="1055" t="s">
        <v>23</v>
      </c>
      <c r="C27" s="389" t="s">
        <v>16</v>
      </c>
      <c r="D27" s="390" t="n">
        <v>10597.307999999999</v>
      </c>
      <c r="E27" s="391" t="n">
        <v>11689.231</v>
      </c>
      <c r="F27" s="392" t="n">
        <v>13894.812</v>
      </c>
      <c r="G27" s="408" t="n">
        <v>14927.0</v>
      </c>
      <c r="H27" s="409" t="n">
        <v>15853.0</v>
      </c>
      <c r="I27" s="409" t="n">
        <v>15853.0</v>
      </c>
      <c r="J27" s="410" t="n">
        <f t="shared" ref="J27:J46" si="6">IFERROR(SUM(G27:I27)/3/F27,"－")</f>
        <v>1.118714908365319</v>
      </c>
      <c r="K27" s="408" t="n">
        <v>15853.0</v>
      </c>
      <c r="L27" s="411" t="n">
        <f t="shared" ref="L27:L47" si="7">IFERROR(K27/F27,"－")</f>
        <v>1.140929434669573</v>
      </c>
      <c r="M27" s="408" t="n">
        <v>16316.0</v>
      </c>
      <c r="N27" s="411" t="n">
        <f t="shared" si="2"/>
        <v>1.1742512241259544</v>
      </c>
      <c r="O27" s="408" t="n">
        <v>17745.0</v>
      </c>
      <c r="P27" s="411" t="n">
        <f t="shared" si="3"/>
        <v>1.2770953648023449</v>
      </c>
      <c r="Q27" s="408" t="n">
        <v>17031.0</v>
      </c>
      <c r="R27" s="411" t="n">
        <f t="shared" si="4"/>
        <v>1.2257092791179902</v>
      </c>
      <c r="S27" s="408" t="n">
        <v>15853.0</v>
      </c>
      <c r="T27" s="403" t="n">
        <f t="shared" si="5"/>
        <v>1.140929434669573</v>
      </c>
    </row>
    <row r="28" spans="1:20">
      <c r="A28" s="19"/>
      <c r="B28" s="1059"/>
      <c r="C28" s="389" t="s">
        <v>17</v>
      </c>
      <c r="D28" s="390" t="n">
        <v>22.833333333333332</v>
      </c>
      <c r="E28" s="391" t="n">
        <v>27.333333333333332</v>
      </c>
      <c r="F28" s="392" t="n">
        <v>37.0</v>
      </c>
      <c r="G28" s="401" t="n">
        <v>40.0</v>
      </c>
      <c r="H28" s="391" t="n">
        <v>42.0</v>
      </c>
      <c r="I28" s="391" t="n">
        <v>42.0</v>
      </c>
      <c r="J28" s="402" t="n">
        <f t="shared" si="6"/>
        <v>1.1171171171171173</v>
      </c>
      <c r="K28" s="401" t="n">
        <v>42.0</v>
      </c>
      <c r="L28" s="403" t="n">
        <f t="shared" si="7"/>
        <v>1.135135135135135</v>
      </c>
      <c r="M28" s="401" t="n">
        <v>43.0</v>
      </c>
      <c r="N28" s="403" t="n">
        <f t="shared" si="2"/>
        <v>1.162162162162162</v>
      </c>
      <c r="O28" s="401" t="n">
        <v>47.0</v>
      </c>
      <c r="P28" s="403" t="n">
        <f t="shared" si="3"/>
        <v>1.2702702702702702</v>
      </c>
      <c r="Q28" s="401" t="n">
        <v>45.0</v>
      </c>
      <c r="R28" s="403" t="n">
        <f t="shared" si="4"/>
        <v>1.2162162162162162</v>
      </c>
      <c r="S28" s="401" t="n">
        <v>42.0</v>
      </c>
      <c r="T28" s="403" t="n">
        <f t="shared" si="5"/>
        <v>1.135135135135135</v>
      </c>
    </row>
    <row r="29" spans="1:20">
      <c r="A29" s="19"/>
      <c r="B29" s="1055" t="s">
        <v>24</v>
      </c>
      <c r="C29" s="389" t="s">
        <v>16</v>
      </c>
      <c r="D29" s="390" t="n">
        <v>58.664</v>
      </c>
      <c r="E29" s="391" t="n">
        <v>292.945</v>
      </c>
      <c r="F29" s="392" t="n">
        <v>0.0</v>
      </c>
      <c r="G29" s="408" t="n">
        <v>0.0</v>
      </c>
      <c r="H29" s="409" t="n">
        <v>0.0</v>
      </c>
      <c r="I29" s="409" t="n">
        <v>0.0</v>
      </c>
      <c r="J29" s="410" t="str">
        <f t="shared" si="6"/>
        <v>－</v>
      </c>
      <c r="K29" s="408" t="n">
        <v>0.0</v>
      </c>
      <c r="L29" s="411" t="str">
        <f t="shared" si="7"/>
        <v>－</v>
      </c>
      <c r="M29" s="408" t="n">
        <v>0.0</v>
      </c>
      <c r="N29" s="411" t="str">
        <f t="shared" si="2"/>
        <v>－</v>
      </c>
      <c r="O29" s="408" t="n">
        <v>0.0</v>
      </c>
      <c r="P29" s="411" t="str">
        <f t="shared" si="3"/>
        <v>－</v>
      </c>
      <c r="Q29" s="408" t="n">
        <v>0.0</v>
      </c>
      <c r="R29" s="411" t="str">
        <f t="shared" si="4"/>
        <v>－</v>
      </c>
      <c r="S29" s="408" t="n">
        <v>0.0</v>
      </c>
      <c r="T29" s="403" t="str">
        <f t="shared" si="5"/>
        <v>－</v>
      </c>
    </row>
    <row r="30" spans="1:20">
      <c r="A30" s="19"/>
      <c r="B30" s="1056"/>
      <c r="C30" s="389" t="s">
        <v>25</v>
      </c>
      <c r="D30" s="404" t="n">
        <v>0.6666666666666666</v>
      </c>
      <c r="E30" s="405" t="n">
        <v>3.4166666666666665</v>
      </c>
      <c r="F30" s="406" t="n">
        <v>0.0</v>
      </c>
      <c r="G30" s="407"/>
      <c r="H30" s="405"/>
      <c r="I30" s="405"/>
      <c r="J30" s="402" t="str">
        <f t="shared" si="6"/>
        <v>－</v>
      </c>
      <c r="K30" s="407"/>
      <c r="L30" s="403" t="str">
        <f t="shared" si="7"/>
        <v>－</v>
      </c>
      <c r="M30" s="407"/>
      <c r="N30" s="403" t="str">
        <f t="shared" si="2"/>
        <v>－</v>
      </c>
      <c r="O30" s="407"/>
      <c r="P30" s="403" t="str">
        <f t="shared" si="3"/>
        <v>－</v>
      </c>
      <c r="Q30" s="407"/>
      <c r="R30" s="403" t="str">
        <f t="shared" si="4"/>
        <v>－</v>
      </c>
      <c r="S30" s="407"/>
      <c r="T30" s="403" t="str">
        <f t="shared" si="5"/>
        <v>－</v>
      </c>
    </row>
    <row r="31" spans="1:20">
      <c r="A31" s="19"/>
      <c r="B31" s="751"/>
      <c r="C31" s="389" t="s">
        <v>17</v>
      </c>
      <c r="D31" s="390" t="n">
        <v>0.16666666666666666</v>
      </c>
      <c r="E31" s="391" t="n">
        <v>0.75</v>
      </c>
      <c r="F31" s="392" t="n">
        <v>0.0</v>
      </c>
      <c r="G31" s="401" t="n">
        <v>0.0</v>
      </c>
      <c r="H31" s="391" t="n">
        <v>0.0</v>
      </c>
      <c r="I31" s="391" t="n">
        <v>0.0</v>
      </c>
      <c r="J31" s="402" t="str">
        <f t="shared" si="6"/>
        <v>－</v>
      </c>
      <c r="K31" s="401" t="n">
        <v>0.0</v>
      </c>
      <c r="L31" s="403" t="str">
        <f t="shared" si="7"/>
        <v>－</v>
      </c>
      <c r="M31" s="401" t="n">
        <v>0.0</v>
      </c>
      <c r="N31" s="403" t="str">
        <f t="shared" si="2"/>
        <v>－</v>
      </c>
      <c r="O31" s="401" t="n">
        <v>0.0</v>
      </c>
      <c r="P31" s="403" t="str">
        <f t="shared" si="3"/>
        <v>－</v>
      </c>
      <c r="Q31" s="401" t="n">
        <v>0.0</v>
      </c>
      <c r="R31" s="403" t="str">
        <f t="shared" si="4"/>
        <v>－</v>
      </c>
      <c r="S31" s="401" t="n">
        <v>0.0</v>
      </c>
      <c r="T31" s="403" t="str">
        <f t="shared" si="5"/>
        <v>－</v>
      </c>
    </row>
    <row r="32" spans="1:20">
      <c r="A32" s="19"/>
      <c r="B32" s="1057" t="s">
        <v>26</v>
      </c>
      <c r="C32" s="389" t="s">
        <v>16</v>
      </c>
      <c r="D32" s="390" t="n">
        <v>0.0</v>
      </c>
      <c r="E32" s="391" t="n">
        <v>50.005</v>
      </c>
      <c r="F32" s="392" t="n">
        <v>0.0</v>
      </c>
      <c r="G32" s="408" t="n">
        <v>0.0</v>
      </c>
      <c r="H32" s="409" t="n">
        <v>0.0</v>
      </c>
      <c r="I32" s="409" t="n">
        <v>0.0</v>
      </c>
      <c r="J32" s="410" t="str">
        <f t="shared" si="6"/>
        <v>－</v>
      </c>
      <c r="K32" s="408" t="n">
        <v>0.0</v>
      </c>
      <c r="L32" s="411" t="str">
        <f t="shared" si="7"/>
        <v>－</v>
      </c>
      <c r="M32" s="408" t="n">
        <v>0.0</v>
      </c>
      <c r="N32" s="411" t="str">
        <f t="shared" si="2"/>
        <v>－</v>
      </c>
      <c r="O32" s="408" t="n">
        <v>0.0</v>
      </c>
      <c r="P32" s="411" t="str">
        <f t="shared" si="3"/>
        <v>－</v>
      </c>
      <c r="Q32" s="408" t="n">
        <v>0.0</v>
      </c>
      <c r="R32" s="411" t="str">
        <f t="shared" si="4"/>
        <v>－</v>
      </c>
      <c r="S32" s="408" t="n">
        <v>0.0</v>
      </c>
      <c r="T32" s="403" t="str">
        <f t="shared" si="5"/>
        <v>－</v>
      </c>
    </row>
    <row r="33" spans="1:20">
      <c r="A33" s="19"/>
      <c r="B33" s="1058"/>
      <c r="C33" s="389" t="s">
        <v>25</v>
      </c>
      <c r="D33" s="404" t="n">
        <v>0.0</v>
      </c>
      <c r="E33" s="405" t="n">
        <v>0.4166666666666667</v>
      </c>
      <c r="F33" s="406" t="n">
        <v>0.0</v>
      </c>
      <c r="G33" s="407"/>
      <c r="H33" s="405"/>
      <c r="I33" s="405"/>
      <c r="J33" s="402" t="str">
        <f t="shared" si="6"/>
        <v>－</v>
      </c>
      <c r="K33" s="407"/>
      <c r="L33" s="403" t="str">
        <f t="shared" si="7"/>
        <v>－</v>
      </c>
      <c r="M33" s="407"/>
      <c r="N33" s="403" t="str">
        <f t="shared" si="2"/>
        <v>－</v>
      </c>
      <c r="O33" s="407"/>
      <c r="P33" s="403" t="str">
        <f t="shared" si="3"/>
        <v>－</v>
      </c>
      <c r="Q33" s="407"/>
      <c r="R33" s="403" t="str">
        <f t="shared" si="4"/>
        <v>－</v>
      </c>
      <c r="S33" s="407"/>
      <c r="T33" s="403" t="str">
        <f t="shared" si="5"/>
        <v>－</v>
      </c>
    </row>
    <row r="34" spans="1:20">
      <c r="A34" s="19"/>
      <c r="B34" s="753"/>
      <c r="C34" s="389" t="s">
        <v>17</v>
      </c>
      <c r="D34" s="390" t="n">
        <v>0.0</v>
      </c>
      <c r="E34" s="391" t="n">
        <v>0.08333333333333333</v>
      </c>
      <c r="F34" s="392" t="n">
        <v>0.0</v>
      </c>
      <c r="G34" s="401" t="n">
        <v>0.0</v>
      </c>
      <c r="H34" s="391" t="n">
        <v>0.0</v>
      </c>
      <c r="I34" s="391" t="n">
        <v>0.0</v>
      </c>
      <c r="J34" s="402" t="str">
        <f t="shared" si="6"/>
        <v>－</v>
      </c>
      <c r="K34" s="401" t="n">
        <v>0.0</v>
      </c>
      <c r="L34" s="403" t="str">
        <f t="shared" si="7"/>
        <v>－</v>
      </c>
      <c r="M34" s="401" t="n">
        <v>0.0</v>
      </c>
      <c r="N34" s="403" t="str">
        <f t="shared" si="2"/>
        <v>－</v>
      </c>
      <c r="O34" s="401" t="n">
        <v>0.0</v>
      </c>
      <c r="P34" s="403" t="str">
        <f t="shared" si="3"/>
        <v>－</v>
      </c>
      <c r="Q34" s="401" t="n">
        <v>0.0</v>
      </c>
      <c r="R34" s="403" t="str">
        <f t="shared" si="4"/>
        <v>－</v>
      </c>
      <c r="S34" s="401" t="n">
        <v>0.0</v>
      </c>
      <c r="T34" s="403" t="str">
        <f t="shared" si="5"/>
        <v>－</v>
      </c>
    </row>
    <row r="35" spans="1:20">
      <c r="A35" s="19"/>
      <c r="B35" s="1057" t="s">
        <v>27</v>
      </c>
      <c r="C35" s="389" t="s">
        <v>16</v>
      </c>
      <c r="D35" s="390" t="n">
        <v>0.0</v>
      </c>
      <c r="E35" s="391" t="n">
        <v>0.0</v>
      </c>
      <c r="F35" s="392" t="n">
        <v>0.0</v>
      </c>
      <c r="G35" s="408" t="n">
        <v>0.0</v>
      </c>
      <c r="H35" s="409" t="n">
        <v>0.0</v>
      </c>
      <c r="I35" s="409" t="n">
        <v>0.0</v>
      </c>
      <c r="J35" s="402" t="str">
        <f t="shared" si="6"/>
        <v>－</v>
      </c>
      <c r="K35" s="408" t="n">
        <v>0.0</v>
      </c>
      <c r="L35" s="403" t="str">
        <f t="shared" si="7"/>
        <v>－</v>
      </c>
      <c r="M35" s="408" t="n">
        <v>0.0</v>
      </c>
      <c r="N35" s="403" t="str">
        <f t="shared" si="2"/>
        <v>－</v>
      </c>
      <c r="O35" s="408" t="n">
        <v>0.0</v>
      </c>
      <c r="P35" s="403" t="str">
        <f t="shared" si="3"/>
        <v>－</v>
      </c>
      <c r="Q35" s="408" t="n">
        <v>0.0</v>
      </c>
      <c r="R35" s="403" t="str">
        <f t="shared" si="4"/>
        <v>－</v>
      </c>
      <c r="S35" s="408" t="n">
        <v>0.0</v>
      </c>
      <c r="T35" s="403" t="str">
        <f t="shared" si="5"/>
        <v>－</v>
      </c>
    </row>
    <row r="36" spans="1:20">
      <c r="A36" s="19"/>
      <c r="B36" s="1058"/>
      <c r="C36" s="389" t="s">
        <v>25</v>
      </c>
      <c r="D36" s="404" t="n">
        <v>0.0</v>
      </c>
      <c r="E36" s="405" t="n">
        <v>0.0</v>
      </c>
      <c r="F36" s="406" t="n">
        <v>0.0</v>
      </c>
      <c r="G36" s="407"/>
      <c r="H36" s="405"/>
      <c r="I36" s="405"/>
      <c r="J36" s="402" t="str">
        <f t="shared" si="6"/>
        <v>－</v>
      </c>
      <c r="K36" s="407"/>
      <c r="L36" s="403" t="str">
        <f t="shared" si="7"/>
        <v>－</v>
      </c>
      <c r="M36" s="407"/>
      <c r="N36" s="403" t="str">
        <f t="shared" si="2"/>
        <v>－</v>
      </c>
      <c r="O36" s="407"/>
      <c r="P36" s="403" t="str">
        <f t="shared" si="3"/>
        <v>－</v>
      </c>
      <c r="Q36" s="407"/>
      <c r="R36" s="403" t="str">
        <f t="shared" si="4"/>
        <v>－</v>
      </c>
      <c r="S36" s="407"/>
      <c r="T36" s="403" t="str">
        <f t="shared" si="5"/>
        <v>－</v>
      </c>
    </row>
    <row r="37" spans="1:20">
      <c r="A37" s="19"/>
      <c r="B37" s="28"/>
      <c r="C37" s="389" t="s">
        <v>17</v>
      </c>
      <c r="D37" s="390" t="n">
        <v>0.0</v>
      </c>
      <c r="E37" s="391" t="n">
        <v>0.0</v>
      </c>
      <c r="F37" s="392" t="n">
        <v>0.0</v>
      </c>
      <c r="G37" s="401" t="n">
        <v>0.0</v>
      </c>
      <c r="H37" s="391" t="n">
        <v>0.0</v>
      </c>
      <c r="I37" s="391" t="n">
        <v>0.0</v>
      </c>
      <c r="J37" s="402" t="str">
        <f t="shared" si="6"/>
        <v>－</v>
      </c>
      <c r="K37" s="401" t="n">
        <v>0.0</v>
      </c>
      <c r="L37" s="403" t="str">
        <f t="shared" si="7"/>
        <v>－</v>
      </c>
      <c r="M37" s="401" t="n">
        <v>0.0</v>
      </c>
      <c r="N37" s="403" t="str">
        <f t="shared" si="2"/>
        <v>－</v>
      </c>
      <c r="O37" s="401" t="n">
        <v>0.0</v>
      </c>
      <c r="P37" s="403" t="str">
        <f t="shared" si="3"/>
        <v>－</v>
      </c>
      <c r="Q37" s="401" t="n">
        <v>0.0</v>
      </c>
      <c r="R37" s="403" t="str">
        <f t="shared" si="4"/>
        <v>－</v>
      </c>
      <c r="S37" s="401" t="n">
        <v>0.0</v>
      </c>
      <c r="T37" s="403" t="str">
        <f t="shared" si="5"/>
        <v>－</v>
      </c>
    </row>
    <row r="38" spans="1:20">
      <c r="A38" s="19"/>
      <c r="B38" s="1057" t="s">
        <v>264</v>
      </c>
      <c r="C38" s="419" t="s">
        <v>16</v>
      </c>
      <c r="D38" s="420" t="n">
        <v>0.0</v>
      </c>
      <c r="E38" s="391" t="n">
        <v>0.0</v>
      </c>
      <c r="F38" s="421" t="n">
        <v>0.0</v>
      </c>
      <c r="G38" s="408" t="n">
        <v>0.0</v>
      </c>
      <c r="H38" s="409" t="n">
        <v>0.0</v>
      </c>
      <c r="I38" s="409" t="n">
        <v>0.0</v>
      </c>
      <c r="J38" s="422" t="str">
        <f t="shared" si="6"/>
        <v>－</v>
      </c>
      <c r="K38" s="408" t="n">
        <v>0.0</v>
      </c>
      <c r="L38" s="423" t="str">
        <f t="shared" si="7"/>
        <v>－</v>
      </c>
      <c r="M38" s="408" t="n">
        <v>0.0</v>
      </c>
      <c r="N38" s="423" t="str">
        <f t="shared" si="2"/>
        <v>－</v>
      </c>
      <c r="O38" s="408" t="n">
        <v>0.0</v>
      </c>
      <c r="P38" s="423" t="str">
        <f t="shared" si="3"/>
        <v>－</v>
      </c>
      <c r="Q38" s="408" t="n">
        <v>0.0</v>
      </c>
      <c r="R38" s="423" t="str">
        <f t="shared" si="4"/>
        <v>－</v>
      </c>
      <c r="S38" s="408" t="n">
        <v>0.0</v>
      </c>
      <c r="T38" s="403" t="str">
        <f t="shared" si="5"/>
        <v>－</v>
      </c>
    </row>
    <row r="39" spans="1:20">
      <c r="A39" s="19"/>
      <c r="B39" s="1058"/>
      <c r="C39" s="419" t="s">
        <v>25</v>
      </c>
      <c r="D39" s="424" t="n">
        <v>0.0</v>
      </c>
      <c r="E39" s="405" t="n">
        <v>0.0</v>
      </c>
      <c r="F39" s="425" t="n">
        <v>0.0</v>
      </c>
      <c r="G39" s="407"/>
      <c r="H39" s="405"/>
      <c r="I39" s="405"/>
      <c r="J39" s="422" t="str">
        <f t="shared" si="6"/>
        <v>－</v>
      </c>
      <c r="K39" s="407"/>
      <c r="L39" s="423" t="str">
        <f t="shared" si="7"/>
        <v>－</v>
      </c>
      <c r="M39" s="407"/>
      <c r="N39" s="423" t="str">
        <f t="shared" si="2"/>
        <v>－</v>
      </c>
      <c r="O39" s="407"/>
      <c r="P39" s="423" t="str">
        <f t="shared" si="3"/>
        <v>－</v>
      </c>
      <c r="Q39" s="407"/>
      <c r="R39" s="423" t="str">
        <f t="shared" si="4"/>
        <v>－</v>
      </c>
      <c r="S39" s="407"/>
      <c r="T39" s="403" t="str">
        <f t="shared" si="5"/>
        <v>－</v>
      </c>
    </row>
    <row r="40" spans="1:20">
      <c r="A40" s="19"/>
      <c r="B40" s="28"/>
      <c r="C40" s="419" t="s">
        <v>17</v>
      </c>
      <c r="D40" s="420" t="n">
        <v>0.0</v>
      </c>
      <c r="E40" s="391" t="n">
        <v>0.0</v>
      </c>
      <c r="F40" s="421" t="n">
        <v>0.0</v>
      </c>
      <c r="G40" s="401" t="n">
        <v>0.0</v>
      </c>
      <c r="H40" s="391" t="n">
        <v>0.0</v>
      </c>
      <c r="I40" s="391" t="n">
        <v>0.0</v>
      </c>
      <c r="J40" s="422" t="str">
        <f t="shared" si="6"/>
        <v>－</v>
      </c>
      <c r="K40" s="401" t="n">
        <v>0.0</v>
      </c>
      <c r="L40" s="423" t="str">
        <f t="shared" si="7"/>
        <v>－</v>
      </c>
      <c r="M40" s="401" t="n">
        <v>0.0</v>
      </c>
      <c r="N40" s="423" t="str">
        <f t="shared" si="2"/>
        <v>－</v>
      </c>
      <c r="O40" s="401" t="n">
        <v>0.0</v>
      </c>
      <c r="P40" s="423" t="str">
        <f t="shared" si="3"/>
        <v>－</v>
      </c>
      <c r="Q40" s="401" t="n">
        <v>0.0</v>
      </c>
      <c r="R40" s="423" t="str">
        <f t="shared" si="4"/>
        <v>－</v>
      </c>
      <c r="S40" s="401" t="n">
        <v>0.0</v>
      </c>
      <c r="T40" s="403" t="str">
        <f t="shared" si="5"/>
        <v>－</v>
      </c>
    </row>
    <row r="41" spans="1:20">
      <c r="A41" s="19"/>
      <c r="B41" s="1055" t="s">
        <v>28</v>
      </c>
      <c r="C41" s="389" t="s">
        <v>16</v>
      </c>
      <c r="D41" s="390" t="n">
        <v>4885.061</v>
      </c>
      <c r="E41" s="391" t="n">
        <v>6000.354</v>
      </c>
      <c r="F41" s="392" t="n">
        <v>6718.248</v>
      </c>
      <c r="G41" s="408" t="n">
        <v>7563.0</v>
      </c>
      <c r="H41" s="409" t="n">
        <v>7668.0</v>
      </c>
      <c r="I41" s="409" t="n">
        <v>7552.0</v>
      </c>
      <c r="J41" s="402" t="n">
        <f t="shared" si="6"/>
        <v>1.1304038394136884</v>
      </c>
      <c r="K41" s="408" t="n">
        <v>7552.0</v>
      </c>
      <c r="L41" s="403" t="n">
        <f t="shared" si="7"/>
        <v>1.1241025934142355</v>
      </c>
      <c r="M41" s="408" t="n">
        <v>7983.0</v>
      </c>
      <c r="N41" s="403" t="n">
        <f t="shared" si="2"/>
        <v>1.1882562239440997</v>
      </c>
      <c r="O41" s="408" t="n">
        <v>8518.0</v>
      </c>
      <c r="P41" s="403" t="n">
        <f t="shared" si="3"/>
        <v>1.2678900808663212</v>
      </c>
      <c r="Q41" s="408" t="n">
        <v>8308.0</v>
      </c>
      <c r="R41" s="403" t="n">
        <f t="shared" si="4"/>
        <v>1.2366319314202157</v>
      </c>
      <c r="S41" s="408" t="n">
        <v>7657.0</v>
      </c>
      <c r="T41" s="403" t="n">
        <f t="shared" si="5"/>
        <v>1.1397316681372882</v>
      </c>
    </row>
    <row r="42" spans="1:20">
      <c r="A42" s="19"/>
      <c r="B42" s="1059"/>
      <c r="C42" s="389" t="s">
        <v>17</v>
      </c>
      <c r="D42" s="390" t="n">
        <v>50.25</v>
      </c>
      <c r="E42" s="391" t="n">
        <v>55.833333333333336</v>
      </c>
      <c r="F42" s="392" t="n">
        <v>66.0</v>
      </c>
      <c r="G42" s="401" t="n">
        <v>70.0</v>
      </c>
      <c r="H42" s="391" t="n">
        <v>71.0</v>
      </c>
      <c r="I42" s="391" t="n">
        <v>70.0</v>
      </c>
      <c r="J42" s="402" t="n">
        <f t="shared" si="6"/>
        <v>1.0656565656565655</v>
      </c>
      <c r="K42" s="401" t="n">
        <v>70.0</v>
      </c>
      <c r="L42" s="403" t="n">
        <f t="shared" si="7"/>
        <v>1.0606060606060606</v>
      </c>
      <c r="M42" s="401" t="n">
        <v>74.0</v>
      </c>
      <c r="N42" s="403" t="n">
        <f t="shared" si="2"/>
        <v>1.121212121212121</v>
      </c>
      <c r="O42" s="401" t="n">
        <v>79.0</v>
      </c>
      <c r="P42" s="403" t="n">
        <f t="shared" si="3"/>
        <v>1.196969696969697</v>
      </c>
      <c r="Q42" s="401" t="n">
        <v>77.0</v>
      </c>
      <c r="R42" s="403" t="n">
        <f t="shared" si="4"/>
        <v>1.1666666666666667</v>
      </c>
      <c r="S42" s="401" t="n">
        <v>71.0</v>
      </c>
      <c r="T42" s="403" t="n">
        <f t="shared" si="5"/>
        <v>1.0757575757575757</v>
      </c>
    </row>
    <row r="43" spans="1:20">
      <c r="A43" s="19"/>
      <c r="B43" s="1055" t="s">
        <v>29</v>
      </c>
      <c r="C43" s="389" t="s">
        <v>16</v>
      </c>
      <c r="D43" s="390" t="n">
        <v>334.521</v>
      </c>
      <c r="E43" s="391" t="n">
        <v>484.058</v>
      </c>
      <c r="F43" s="392" t="n">
        <v>0.0</v>
      </c>
      <c r="G43" s="408" t="n">
        <v>0.0</v>
      </c>
      <c r="H43" s="409" t="n">
        <v>0.0</v>
      </c>
      <c r="I43" s="409" t="n">
        <v>0.0</v>
      </c>
      <c r="J43" s="402" t="str">
        <f t="shared" si="6"/>
        <v>－</v>
      </c>
      <c r="K43" s="408" t="n">
        <v>0.0</v>
      </c>
      <c r="L43" s="403" t="str">
        <f t="shared" si="7"/>
        <v>－</v>
      </c>
      <c r="M43" s="408" t="n">
        <v>0.0</v>
      </c>
      <c r="N43" s="403" t="str">
        <f t="shared" si="2"/>
        <v>－</v>
      </c>
      <c r="O43" s="408" t="n">
        <v>0.0</v>
      </c>
      <c r="P43" s="403" t="str">
        <f t="shared" si="3"/>
        <v>－</v>
      </c>
      <c r="Q43" s="408" t="n">
        <v>0.0</v>
      </c>
      <c r="R43" s="403" t="str">
        <f t="shared" si="4"/>
        <v>－</v>
      </c>
      <c r="S43" s="408" t="n">
        <v>0.0</v>
      </c>
      <c r="T43" s="403" t="str">
        <f t="shared" si="5"/>
        <v>－</v>
      </c>
    </row>
    <row r="44" spans="1:20">
      <c r="A44" s="19"/>
      <c r="B44" s="1059"/>
      <c r="C44" s="389" t="s">
        <v>17</v>
      </c>
      <c r="D44" s="390" t="n">
        <v>1.0</v>
      </c>
      <c r="E44" s="391" t="n">
        <v>1.4166666666666667</v>
      </c>
      <c r="F44" s="392" t="n">
        <v>0.0</v>
      </c>
      <c r="G44" s="401" t="n">
        <v>0.0</v>
      </c>
      <c r="H44" s="391" t="n">
        <v>0.0</v>
      </c>
      <c r="I44" s="391" t="n">
        <v>0.0</v>
      </c>
      <c r="J44" s="402" t="str">
        <f t="shared" si="6"/>
        <v>－</v>
      </c>
      <c r="K44" s="401" t="n">
        <v>0.0</v>
      </c>
      <c r="L44" s="403" t="str">
        <f t="shared" si="7"/>
        <v>－</v>
      </c>
      <c r="M44" s="401" t="n">
        <v>0.0</v>
      </c>
      <c r="N44" s="403" t="str">
        <f t="shared" si="2"/>
        <v>－</v>
      </c>
      <c r="O44" s="401" t="n">
        <v>0.0</v>
      </c>
      <c r="P44" s="403" t="str">
        <f t="shared" si="3"/>
        <v>－</v>
      </c>
      <c r="Q44" s="401" t="n">
        <v>0.0</v>
      </c>
      <c r="R44" s="403" t="str">
        <f t="shared" si="4"/>
        <v>－</v>
      </c>
      <c r="S44" s="401" t="n">
        <v>0.0</v>
      </c>
      <c r="T44" s="403" t="str">
        <f t="shared" si="5"/>
        <v>－</v>
      </c>
    </row>
    <row r="45" spans="1:20">
      <c r="A45" s="19"/>
      <c r="B45" s="16" t="s">
        <v>30</v>
      </c>
      <c r="C45" s="389" t="s">
        <v>16</v>
      </c>
      <c r="D45" s="390" t="n">
        <v>1470.629</v>
      </c>
      <c r="E45" s="391" t="n">
        <v>876.751</v>
      </c>
      <c r="F45" s="392" t="n">
        <v>0.0</v>
      </c>
      <c r="G45" s="408" t="n">
        <v>0.0</v>
      </c>
      <c r="H45" s="409" t="n">
        <v>0.0</v>
      </c>
      <c r="I45" s="409" t="n">
        <v>0.0</v>
      </c>
      <c r="J45" s="402" t="str">
        <f t="shared" si="6"/>
        <v>－</v>
      </c>
      <c r="K45" s="408" t="n">
        <v>0.0</v>
      </c>
      <c r="L45" s="403" t="str">
        <f t="shared" si="7"/>
        <v>－</v>
      </c>
      <c r="M45" s="408" t="n">
        <v>0.0</v>
      </c>
      <c r="N45" s="403" t="str">
        <f t="shared" si="2"/>
        <v>－</v>
      </c>
      <c r="O45" s="408" t="n">
        <v>0.0</v>
      </c>
      <c r="P45" s="403" t="str">
        <f t="shared" si="3"/>
        <v>－</v>
      </c>
      <c r="Q45" s="408" t="n">
        <v>0.0</v>
      </c>
      <c r="R45" s="403" t="str">
        <f t="shared" si="4"/>
        <v>－</v>
      </c>
      <c r="S45" s="408" t="n">
        <v>0.0</v>
      </c>
      <c r="T45" s="403" t="str">
        <f t="shared" si="5"/>
        <v>－</v>
      </c>
    </row>
    <row r="46" spans="1:20">
      <c r="A46" s="19"/>
      <c r="B46" s="17"/>
      <c r="C46" s="389" t="s">
        <v>17</v>
      </c>
      <c r="D46" s="390" t="n">
        <v>1.0833333333333333</v>
      </c>
      <c r="E46" s="391" t="n">
        <v>0.9166666666666666</v>
      </c>
      <c r="F46" s="392" t="n">
        <v>0.0</v>
      </c>
      <c r="G46" s="401" t="n">
        <v>0.0</v>
      </c>
      <c r="H46" s="391" t="n">
        <v>0.0</v>
      </c>
      <c r="I46" s="391" t="n">
        <v>0.0</v>
      </c>
      <c r="J46" s="402" t="str">
        <f t="shared" si="6"/>
        <v>－</v>
      </c>
      <c r="K46" s="401" t="n">
        <v>0.0</v>
      </c>
      <c r="L46" s="403" t="str">
        <f t="shared" si="7"/>
        <v>－</v>
      </c>
      <c r="M46" s="401" t="n">
        <v>0.0</v>
      </c>
      <c r="N46" s="403" t="str">
        <f t="shared" si="2"/>
        <v>－</v>
      </c>
      <c r="O46" s="401" t="n">
        <v>0.0</v>
      </c>
      <c r="P46" s="403" t="str">
        <f t="shared" si="3"/>
        <v>－</v>
      </c>
      <c r="Q46" s="401" t="n">
        <v>0.0</v>
      </c>
      <c r="R46" s="403" t="str">
        <f t="shared" si="4"/>
        <v>－</v>
      </c>
      <c r="S46" s="401" t="n">
        <v>0.0</v>
      </c>
      <c r="T46" s="403" t="str">
        <f t="shared" si="5"/>
        <v>－</v>
      </c>
    </row>
    <row r="47" spans="1:20">
      <c r="A47" s="19"/>
      <c r="B47" s="1060" t="s">
        <v>31</v>
      </c>
      <c r="C47" s="419" t="s">
        <v>16</v>
      </c>
      <c r="D47" s="420" t="n">
        <v>0.0</v>
      </c>
      <c r="E47" s="391" t="n">
        <v>0.0</v>
      </c>
      <c r="F47" s="421" t="n">
        <v>0.0</v>
      </c>
      <c r="G47" s="408" t="n">
        <v>0.0</v>
      </c>
      <c r="H47" s="409" t="n">
        <v>0.0</v>
      </c>
      <c r="I47" s="409" t="n">
        <v>0.0</v>
      </c>
      <c r="J47" s="482" t="str">
        <f>IFERROR(SUM(G47:I47)/3/F47,"－")</f>
        <v>－</v>
      </c>
      <c r="K47" s="408" t="n">
        <v>0.0</v>
      </c>
      <c r="L47" s="423" t="str">
        <f t="shared" si="7"/>
        <v>－</v>
      </c>
      <c r="M47" s="408" t="n">
        <v>0.0</v>
      </c>
      <c r="N47" s="423" t="str">
        <f t="shared" si="2"/>
        <v>－</v>
      </c>
      <c r="O47" s="408" t="n">
        <v>0.0</v>
      </c>
      <c r="P47" s="423" t="str">
        <f t="shared" si="3"/>
        <v>－</v>
      </c>
      <c r="Q47" s="408" t="n">
        <v>0.0</v>
      </c>
      <c r="R47" s="423" t="str">
        <f t="shared" si="4"/>
        <v>－</v>
      </c>
      <c r="S47" s="408" t="n">
        <v>0.0</v>
      </c>
      <c r="T47" s="423" t="str">
        <f t="shared" si="5"/>
        <v>－</v>
      </c>
    </row>
    <row r="48" spans="1:20" ht="14.25" thickBot="1">
      <c r="A48" s="19"/>
      <c r="B48" s="1061"/>
      <c r="C48" s="1021" t="s">
        <v>17</v>
      </c>
      <c r="D48" s="420" t="n">
        <v>0.0</v>
      </c>
      <c r="E48" s="391" t="n">
        <v>0.0</v>
      </c>
      <c r="F48" s="421" t="n">
        <v>0.0</v>
      </c>
      <c r="G48" s="401" t="n">
        <v>0.0</v>
      </c>
      <c r="H48" s="391" t="n">
        <v>0.0</v>
      </c>
      <c r="I48" s="391" t="n">
        <v>0.0</v>
      </c>
      <c r="J48" s="422" t="str">
        <f>IFERROR(SUM(G48:I48)/3/F48,"－")</f>
        <v>－</v>
      </c>
      <c r="K48" s="401" t="n">
        <v>0.0</v>
      </c>
      <c r="L48" s="423" t="str">
        <f>IFERROR(K48/F48,"－")</f>
        <v>－</v>
      </c>
      <c r="M48" s="401" t="n">
        <v>0.0</v>
      </c>
      <c r="N48" s="423" t="str">
        <f t="shared" si="2"/>
        <v>－</v>
      </c>
      <c r="O48" s="401" t="n">
        <v>0.0</v>
      </c>
      <c r="P48" s="423" t="str">
        <f t="shared" si="3"/>
        <v>－</v>
      </c>
      <c r="Q48" s="401" t="n">
        <v>0.0</v>
      </c>
      <c r="R48" s="423" t="str">
        <f t="shared" si="4"/>
        <v>－</v>
      </c>
      <c r="S48" s="401" t="n">
        <v>0.0</v>
      </c>
      <c r="T48" s="423" t="str">
        <f>IFERROR(S48/F48,"－")</f>
        <v>－</v>
      </c>
    </row>
    <row r="49" spans="1:20">
      <c r="A49" s="18" t="s">
        <v>32</v>
      </c>
      <c r="B49" s="368"/>
      <c r="C49" s="430"/>
      <c r="D49" s="431"/>
      <c r="E49" s="432"/>
      <c r="F49" s="433"/>
      <c r="G49" s="434"/>
      <c r="H49" s="432"/>
      <c r="I49" s="432"/>
      <c r="J49" s="435"/>
      <c r="K49" s="434"/>
      <c r="L49" s="436"/>
      <c r="M49" s="434"/>
      <c r="N49" s="436"/>
      <c r="O49" s="434"/>
      <c r="P49" s="436"/>
      <c r="Q49" s="434"/>
      <c r="R49" s="436"/>
      <c r="S49" s="434"/>
      <c r="T49" s="436"/>
    </row>
    <row r="50" spans="1:20">
      <c r="A50" s="24"/>
      <c r="B50" s="1055" t="s">
        <v>33</v>
      </c>
      <c r="C50" s="389" t="s">
        <v>16</v>
      </c>
      <c r="D50" s="390" t="n">
        <v>0.0</v>
      </c>
      <c r="E50" s="391" t="n">
        <v>0.0</v>
      </c>
      <c r="F50" s="392" t="n">
        <v>0.0</v>
      </c>
      <c r="G50" s="408" t="n">
        <v>0.0</v>
      </c>
      <c r="H50" s="409" t="n">
        <v>0.0</v>
      </c>
      <c r="I50" s="409" t="n">
        <v>0.0</v>
      </c>
      <c r="J50" s="410" t="str">
        <f t="shared" ref="J50:J61" si="8">IFERROR(SUM(G50:I50)/3/F50,"－")</f>
        <v>－</v>
      </c>
      <c r="K50" s="408" t="n">
        <v>0.0</v>
      </c>
      <c r="L50" s="411" t="str">
        <f t="shared" ref="L50:L61" si="9">IFERROR(K50/F50,"－")</f>
        <v>－</v>
      </c>
      <c r="M50" s="408" t="n">
        <v>0.0</v>
      </c>
      <c r="N50" s="403" t="str">
        <f t="shared" si="2"/>
        <v>－</v>
      </c>
      <c r="O50" s="408" t="n">
        <v>0.0</v>
      </c>
      <c r="P50" s="411" t="str">
        <f t="shared" si="3"/>
        <v>－</v>
      </c>
      <c r="Q50" s="408" t="n">
        <v>0.0</v>
      </c>
      <c r="R50" s="411" t="str">
        <f t="shared" si="4"/>
        <v>－</v>
      </c>
      <c r="S50" s="408" t="n">
        <v>0.0</v>
      </c>
      <c r="T50" s="411" t="str">
        <f>IFERROR(S50/F50,"－")</f>
        <v>－</v>
      </c>
    </row>
    <row r="51" spans="1:20">
      <c r="A51" s="19"/>
      <c r="B51" s="1056"/>
      <c r="C51" s="389" t="s">
        <v>19</v>
      </c>
      <c r="D51" s="404" t="n">
        <v>0.0</v>
      </c>
      <c r="E51" s="405" t="n">
        <v>0.0</v>
      </c>
      <c r="F51" s="406" t="n">
        <v>0.0</v>
      </c>
      <c r="G51" s="407"/>
      <c r="H51" s="405"/>
      <c r="I51" s="405"/>
      <c r="J51" s="402" t="str">
        <f t="shared" si="8"/>
        <v>－</v>
      </c>
      <c r="K51" s="407"/>
      <c r="L51" s="403" t="str">
        <f t="shared" si="9"/>
        <v>－</v>
      </c>
      <c r="M51" s="407"/>
      <c r="N51" s="403" t="str">
        <f t="shared" si="2"/>
        <v>－</v>
      </c>
      <c r="O51" s="407"/>
      <c r="P51" s="403" t="str">
        <f t="shared" si="3"/>
        <v>－</v>
      </c>
      <c r="Q51" s="407"/>
      <c r="R51" s="403" t="str">
        <f t="shared" si="4"/>
        <v>－</v>
      </c>
      <c r="S51" s="407"/>
      <c r="T51" s="403" t="str">
        <f>IFERROR(S51/F51,"－")</f>
        <v>－</v>
      </c>
    </row>
    <row r="52" spans="1:20">
      <c r="A52" s="19"/>
      <c r="B52" s="437"/>
      <c r="C52" s="389" t="s">
        <v>17</v>
      </c>
      <c r="D52" s="390" t="n">
        <v>0.0</v>
      </c>
      <c r="E52" s="391" t="n">
        <v>0.0</v>
      </c>
      <c r="F52" s="392" t="n">
        <v>0.0</v>
      </c>
      <c r="G52" s="401" t="n">
        <v>0.0</v>
      </c>
      <c r="H52" s="391" t="n">
        <v>0.0</v>
      </c>
      <c r="I52" s="391" t="n">
        <v>0.0</v>
      </c>
      <c r="J52" s="402" t="str">
        <f t="shared" si="8"/>
        <v>－</v>
      </c>
      <c r="K52" s="401" t="n">
        <v>0.0</v>
      </c>
      <c r="L52" s="403" t="str">
        <f t="shared" si="9"/>
        <v>－</v>
      </c>
      <c r="M52" s="401" t="n">
        <v>0.0</v>
      </c>
      <c r="N52" s="403" t="str">
        <f t="shared" si="2"/>
        <v>－</v>
      </c>
      <c r="O52" s="401" t="n">
        <v>0.0</v>
      </c>
      <c r="P52" s="403" t="str">
        <f t="shared" si="3"/>
        <v>－</v>
      </c>
      <c r="Q52" s="401" t="n">
        <v>0.0</v>
      </c>
      <c r="R52" s="403" t="str">
        <f t="shared" si="4"/>
        <v>－</v>
      </c>
      <c r="S52" s="401" t="n">
        <v>0.0</v>
      </c>
      <c r="T52" s="403" t="str">
        <f t="shared" ref="T52:T55" si="10">IFERROR(S52/F52,"－")</f>
        <v>－</v>
      </c>
    </row>
    <row r="53" spans="1:20">
      <c r="A53" s="24"/>
      <c r="B53" s="1055" t="s">
        <v>34</v>
      </c>
      <c r="C53" s="389" t="s">
        <v>16</v>
      </c>
      <c r="D53" s="390" t="n">
        <v>6632.188</v>
      </c>
      <c r="E53" s="391" t="n">
        <v>7288.138</v>
      </c>
      <c r="F53" s="392" t="n">
        <v>7918.344</v>
      </c>
      <c r="G53" s="408" t="n">
        <v>7750.0</v>
      </c>
      <c r="H53" s="409" t="n">
        <v>8773.0</v>
      </c>
      <c r="I53" s="409" t="n">
        <v>8773.0</v>
      </c>
      <c r="J53" s="410" t="n">
        <f t="shared" si="8"/>
        <v>1.06486911909864</v>
      </c>
      <c r="K53" s="408" t="n">
        <v>8773.0</v>
      </c>
      <c r="L53" s="411" t="n">
        <f t="shared" si="9"/>
        <v>1.1079336790621876</v>
      </c>
      <c r="M53" s="408" t="n">
        <v>8773.0</v>
      </c>
      <c r="N53" s="411" t="n">
        <f t="shared" si="2"/>
        <v>1.1079336790621876</v>
      </c>
      <c r="O53" s="408" t="n">
        <v>9796.0</v>
      </c>
      <c r="P53" s="411" t="n">
        <f t="shared" si="3"/>
        <v>1.2371273589528315</v>
      </c>
      <c r="Q53" s="408" t="n">
        <v>9796.0</v>
      </c>
      <c r="R53" s="411" t="n">
        <f t="shared" si="4"/>
        <v>1.2371273589528315</v>
      </c>
      <c r="S53" s="408" t="n">
        <v>8773.0</v>
      </c>
      <c r="T53" s="403" t="n">
        <f t="shared" si="10"/>
        <v>1.1079336790621876</v>
      </c>
    </row>
    <row r="54" spans="1:20">
      <c r="A54" s="19"/>
      <c r="B54" s="1059"/>
      <c r="C54" s="389" t="s">
        <v>17</v>
      </c>
      <c r="D54" s="390" t="n">
        <v>7.333333333333333</v>
      </c>
      <c r="E54" s="391" t="n">
        <v>7.583333333333333</v>
      </c>
      <c r="F54" s="392" t="n">
        <v>8.0</v>
      </c>
      <c r="G54" s="401" t="n">
        <v>8.0</v>
      </c>
      <c r="H54" s="391" t="n">
        <v>9.0</v>
      </c>
      <c r="I54" s="391" t="n">
        <v>9.0</v>
      </c>
      <c r="J54" s="402" t="n">
        <f t="shared" si="8"/>
        <v>1.0833333333333333</v>
      </c>
      <c r="K54" s="401" t="n">
        <v>9.0</v>
      </c>
      <c r="L54" s="403" t="n">
        <f t="shared" si="9"/>
        <v>1.125</v>
      </c>
      <c r="M54" s="401" t="n">
        <v>9.0</v>
      </c>
      <c r="N54" s="403" t="n">
        <f t="shared" si="2"/>
        <v>1.125</v>
      </c>
      <c r="O54" s="401" t="n">
        <v>10.0</v>
      </c>
      <c r="P54" s="403" t="n">
        <f t="shared" si="3"/>
        <v>1.25</v>
      </c>
      <c r="Q54" s="401" t="n">
        <v>10.0</v>
      </c>
      <c r="R54" s="403" t="n">
        <f t="shared" si="4"/>
        <v>1.25</v>
      </c>
      <c r="S54" s="401" t="n">
        <v>9.0</v>
      </c>
      <c r="T54" s="403" t="n">
        <f t="shared" si="10"/>
        <v>1.125</v>
      </c>
    </row>
    <row r="55" spans="1:20">
      <c r="A55" s="19"/>
      <c r="B55" s="1060" t="s">
        <v>35</v>
      </c>
      <c r="C55" s="389" t="s">
        <v>16</v>
      </c>
      <c r="D55" s="390" t="n">
        <v>8402.31</v>
      </c>
      <c r="E55" s="391" t="n">
        <v>3343.368</v>
      </c>
      <c r="F55" s="392" t="n">
        <v>2919.564</v>
      </c>
      <c r="G55" s="408" t="n">
        <v>2866.0</v>
      </c>
      <c r="H55" s="409" t="n">
        <v>2866.0</v>
      </c>
      <c r="I55" s="409" t="n">
        <v>2866.0</v>
      </c>
      <c r="J55" s="410" t="n">
        <f t="shared" si="8"/>
        <v>0.9816534249634535</v>
      </c>
      <c r="K55" s="408" t="n">
        <v>2866.0</v>
      </c>
      <c r="L55" s="411" t="n">
        <f t="shared" si="9"/>
        <v>0.9816534249634535</v>
      </c>
      <c r="M55" s="408" t="n">
        <v>2866.0</v>
      </c>
      <c r="N55" s="411" t="n">
        <f t="shared" si="2"/>
        <v>0.9816534249634535</v>
      </c>
      <c r="O55" s="408" t="n">
        <v>2866.0</v>
      </c>
      <c r="P55" s="411" t="n">
        <f t="shared" si="3"/>
        <v>0.9816534249634535</v>
      </c>
      <c r="Q55" s="408" t="n">
        <v>2866.0</v>
      </c>
      <c r="R55" s="411" t="n">
        <f t="shared" si="4"/>
        <v>0.9816534249634535</v>
      </c>
      <c r="S55" s="408" t="n">
        <v>2866.0</v>
      </c>
      <c r="T55" s="403" t="n">
        <f t="shared" si="10"/>
        <v>0.9816534249634535</v>
      </c>
    </row>
    <row r="56" spans="1:20" ht="14.25" thickBot="1">
      <c r="A56" s="19"/>
      <c r="B56" s="1062"/>
      <c r="C56" s="389" t="s">
        <v>17</v>
      </c>
      <c r="D56" s="438" t="n">
        <v>2.9166666666666665</v>
      </c>
      <c r="E56" s="427" t="n">
        <v>1.1666666666666667</v>
      </c>
      <c r="F56" s="439" t="n">
        <v>1.0</v>
      </c>
      <c r="G56" s="426" t="n">
        <v>1.0</v>
      </c>
      <c r="H56" s="427" t="n">
        <v>1.0</v>
      </c>
      <c r="I56" s="427" t="n">
        <v>1.0</v>
      </c>
      <c r="J56" s="428" t="n">
        <f t="shared" si="8"/>
        <v>1.0</v>
      </c>
      <c r="K56" s="426" t="n">
        <v>1.0</v>
      </c>
      <c r="L56" s="429" t="n">
        <f t="shared" si="9"/>
        <v>1.0</v>
      </c>
      <c r="M56" s="426" t="n">
        <v>1.0</v>
      </c>
      <c r="N56" s="429" t="n">
        <f t="shared" si="2"/>
        <v>1.0</v>
      </c>
      <c r="O56" s="426" t="n">
        <v>1.0</v>
      </c>
      <c r="P56" s="429" t="n">
        <f t="shared" si="3"/>
        <v>1.0</v>
      </c>
      <c r="Q56" s="426" t="n">
        <v>1.0</v>
      </c>
      <c r="R56" s="429" t="n">
        <f t="shared" si="4"/>
        <v>1.0</v>
      </c>
      <c r="S56" s="426" t="n">
        <v>1.0</v>
      </c>
      <c r="T56" s="429" t="n">
        <f t="shared" ref="T56:T61" si="11">IFERROR(S56/F56,"－")</f>
        <v>1.0</v>
      </c>
    </row>
    <row r="57" spans="1:20">
      <c r="A57" s="20" t="s">
        <v>111</v>
      </c>
      <c r="B57" s="440"/>
      <c r="C57" s="441" t="s">
        <v>16</v>
      </c>
      <c r="D57" s="442" t="n">
        <v>3606.12</v>
      </c>
      <c r="E57" s="443" t="n">
        <v>4146.198</v>
      </c>
      <c r="F57" s="444" t="n">
        <v>5011.224</v>
      </c>
      <c r="G57" s="445" t="n">
        <v>5398.0</v>
      </c>
      <c r="H57" s="446" t="n">
        <v>5562.0</v>
      </c>
      <c r="I57" s="446" t="n">
        <v>5616.0</v>
      </c>
      <c r="J57" s="447" t="n">
        <f t="shared" si="8"/>
        <v>1.1025915691123231</v>
      </c>
      <c r="K57" s="445" t="n">
        <v>5671.0</v>
      </c>
      <c r="L57" s="448" t="n">
        <f t="shared" si="9"/>
        <v>1.1316596504167444</v>
      </c>
      <c r="M57" s="445" t="n">
        <v>5889.0</v>
      </c>
      <c r="N57" s="448" t="n">
        <f t="shared" si="2"/>
        <v>1.1751619963505922</v>
      </c>
      <c r="O57" s="445" t="n">
        <v>6271.0</v>
      </c>
      <c r="P57" s="448" t="n">
        <f t="shared" si="3"/>
        <v>1.2513908777576097</v>
      </c>
      <c r="Q57" s="445" t="n">
        <v>6162.0</v>
      </c>
      <c r="R57" s="448" t="n">
        <f t="shared" si="4"/>
        <v>1.2296397047906857</v>
      </c>
      <c r="S57" s="445" t="n">
        <v>5671.0</v>
      </c>
      <c r="T57" s="448" t="n">
        <f t="shared" si="11"/>
        <v>1.1316596504167444</v>
      </c>
    </row>
    <row r="58" spans="1:20" ht="14.25" thickBot="1">
      <c r="A58" s="21"/>
      <c r="B58" s="449"/>
      <c r="C58" s="450" t="s">
        <v>17</v>
      </c>
      <c r="D58" s="451" t="n">
        <v>67.0</v>
      </c>
      <c r="E58" s="452" t="n">
        <v>76.08333333333333</v>
      </c>
      <c r="F58" s="453" t="n">
        <v>92.0</v>
      </c>
      <c r="G58" s="454" t="n">
        <v>99.0</v>
      </c>
      <c r="H58" s="452" t="n">
        <v>102.0</v>
      </c>
      <c r="I58" s="452" t="n">
        <v>103.0</v>
      </c>
      <c r="J58" s="455" t="n">
        <f t="shared" si="8"/>
        <v>1.1014492753623188</v>
      </c>
      <c r="K58" s="454" t="n">
        <v>104.0</v>
      </c>
      <c r="L58" s="456" t="n">
        <f t="shared" si="9"/>
        <v>1.1304347826086956</v>
      </c>
      <c r="M58" s="454" t="n">
        <v>108.0</v>
      </c>
      <c r="N58" s="456" t="n">
        <f t="shared" si="2"/>
        <v>1.173913043478261</v>
      </c>
      <c r="O58" s="454" t="n">
        <v>115.0</v>
      </c>
      <c r="P58" s="456" t="n">
        <f t="shared" si="3"/>
        <v>1.25</v>
      </c>
      <c r="Q58" s="454" t="n">
        <v>113.0</v>
      </c>
      <c r="R58" s="456" t="n">
        <f t="shared" si="4"/>
        <v>1.2282608695652173</v>
      </c>
      <c r="S58" s="454" t="n">
        <v>104.0</v>
      </c>
      <c r="T58" s="456" t="n">
        <f t="shared" si="11"/>
        <v>1.1304347826086956</v>
      </c>
    </row>
    <row r="59" spans="1:20">
      <c r="A59" s="20" t="s">
        <v>417</v>
      </c>
      <c r="B59" s="440"/>
      <c r="C59" s="441" t="s">
        <v>16</v>
      </c>
      <c r="D59" s="507"/>
      <c r="E59" s="879"/>
      <c r="F59" s="933"/>
      <c r="G59" s="507"/>
      <c r="H59" s="446" t="n">
        <v>0.0</v>
      </c>
      <c r="I59" s="446" t="n">
        <v>0.0</v>
      </c>
      <c r="J59" s="447" t="str">
        <f t="shared" ref="J59:J60" si="12">IFERROR(SUM(G59:I59)/3/F59,"－")</f>
        <v>－</v>
      </c>
      <c r="K59" s="445" t="n">
        <v>0.0</v>
      </c>
      <c r="L59" s="448" t="str">
        <f t="shared" ref="L59:L60" si="13">IFERROR(K59/F59,"－")</f>
        <v>－</v>
      </c>
      <c r="M59" s="445" t="n">
        <v>0.0</v>
      </c>
      <c r="N59" s="448" t="str">
        <f t="shared" ref="N59:N60" si="14">IFERROR(M59/F59,"－")</f>
        <v>－</v>
      </c>
      <c r="O59" s="445" t="n">
        <v>0.0</v>
      </c>
      <c r="P59" s="448" t="str">
        <f t="shared" ref="P59:P60" si="15">IFERROR(O59/F59,"－")</f>
        <v>－</v>
      </c>
      <c r="Q59" s="445" t="n">
        <v>0.0</v>
      </c>
      <c r="R59" s="448" t="str">
        <f t="shared" ref="R59:R60" si="16">IFERROR(Q59/F59,"－")</f>
        <v>－</v>
      </c>
      <c r="S59" s="445" t="n">
        <v>0.0</v>
      </c>
      <c r="T59" s="448" t="str">
        <f t="shared" si="11"/>
        <v>－</v>
      </c>
    </row>
    <row r="60" spans="1:20" ht="14.25" thickBot="1">
      <c r="A60" s="21"/>
      <c r="B60" s="449"/>
      <c r="C60" s="450" t="s">
        <v>17</v>
      </c>
      <c r="D60" s="512"/>
      <c r="E60" s="880"/>
      <c r="F60" s="970"/>
      <c r="G60" s="512"/>
      <c r="H60" s="452" t="n">
        <v>0.0</v>
      </c>
      <c r="I60" s="452" t="n">
        <v>0.0</v>
      </c>
      <c r="J60" s="455" t="str">
        <f t="shared" si="12"/>
        <v>－</v>
      </c>
      <c r="K60" s="454" t="n">
        <v>0.0</v>
      </c>
      <c r="L60" s="456" t="str">
        <f t="shared" si="13"/>
        <v>－</v>
      </c>
      <c r="M60" s="454" t="n">
        <v>0.0</v>
      </c>
      <c r="N60" s="456" t="str">
        <f t="shared" si="14"/>
        <v>－</v>
      </c>
      <c r="O60" s="454" t="n">
        <v>0.0</v>
      </c>
      <c r="P60" s="456" t="str">
        <f t="shared" si="15"/>
        <v>－</v>
      </c>
      <c r="Q60" s="454" t="n">
        <v>0.0</v>
      </c>
      <c r="R60" s="456" t="str">
        <f t="shared" si="16"/>
        <v>－</v>
      </c>
      <c r="S60" s="454" t="n">
        <v>0.0</v>
      </c>
      <c r="T60" s="456" t="str">
        <f t="shared" si="11"/>
        <v>－</v>
      </c>
    </row>
    <row r="61" spans="1:20" ht="14.25" thickBot="1">
      <c r="A61" s="457" t="s">
        <v>36</v>
      </c>
      <c r="B61" s="375"/>
      <c r="C61" s="458" t="s">
        <v>16</v>
      </c>
      <c r="D61" s="459" t="n">
        <f>IF(ISERROR(SUM(D12,D14,D17,D20,D23,D25,D27,D29,D32,D35,D38,D41,D43,D45,D47,D50,D53,D55,D57)),0,(SUM(D12,D14,D17,D20,D23,D25,D27,D29,D32,D35,D38,D41,D43,D45,D47,D50,D53,D55,D57)))</f>
        <v>37986.081000000006</v>
      </c>
      <c r="E61" s="460" t="n">
        <f>IF(ISERROR(SUM(E12,E14,E17,E20,E23,E25,E27,E29,E32,E35,E38,E41,E43,E45,E47,E50,E53,E55,E57)),0,(SUM(E12,E14,E17,E20,E23,E25,E27,E29,E32,E35,E38,E41,E43,E45,E47,E50,E53,E55,E57)))</f>
        <v>36517.292</v>
      </c>
      <c r="F61" s="461" t="n">
        <f>IF(ISERROR(SUM(F12,F14,F17,F20,F23,F25,F27,F29,F32,F35,F38,F41,F43,F45,F47,F50,F53,F55,F57)),0,(SUM(F12,F14,F17,F20,F23,F25,F27,F29,F32,F35,F38,F41,F43,F45,F47,F50,F53,F55,F57)))</f>
        <v>36730.9776</v>
      </c>
      <c r="G61" s="462" t="n">
        <f>IF(ISERROR(SUM(G12,G14,G17,G20,G23,G25,G27,G29,G32,G35,G38,G41,G43,G45,G47,G50,G53,G55,G57)),0,(SUM(G12,G14,G17,G20,G23,G25,G27,G29,G32,G35,G38,G41,G43,G45,G47,G50,G53,G55,G57)))</f>
        <v>39102.0</v>
      </c>
      <c r="H61" s="460" t="n">
        <f>IF(ISERROR(SUM(H12,H14,H17,H20,H23,H25,H27,H29,H32,H35,H38,H41,H43,H45,H47,H50,H53,H55,H57,H59)),0,(SUM(H12,H14,H17,H20,H23,H25,H27,H29,H32,H35,H38,H41,H43,H45,H47,H50,H53,H55,H57,H59)))</f>
        <v>41320.0</v>
      </c>
      <c r="I61" s="460" t="n">
        <f>IF(ISERROR(SUM(I12,I14,I17,I20,I23,I25,I27,I29,I32,I35,I38,I41,I43,I45,I47,I50,I53,I55,I57,I59)),0,(SUM(I12,I14,I17,I20,I23,I25,I27,I29,I32,I35,I38,I41,I43,I45,I47,I50,I53,I55,I57,I59)))</f>
        <v>41258.0</v>
      </c>
      <c r="J61" s="463" t="n">
        <f t="shared" si="8"/>
        <v>1.1042450446513572</v>
      </c>
      <c r="K61" s="462" t="n">
        <f>IF(ISERROR(SUM(K12,K14,K17,K20,K23,K25,K27,K29,K32,K35,K38,K41,K43,K45,K47,K50,K53,K55,K57,K59)),0,(SUM(K12,K14,K17,K20,K23,K25,K27,K29,K32,K35,K38,K41,K43,K45,K47,K50,K53,K55,K57,K59)))</f>
        <v>41313.0</v>
      </c>
      <c r="L61" s="464" t="n">
        <f t="shared" si="9"/>
        <v>1.124745451915225</v>
      </c>
      <c r="M61" s="462" t="n">
        <f>IF(ISERROR(SUM(M12,M14,M17,M20,M23,M25,M27,M29,M32,M35,M38,M41,M43,M45,M47,M50,M53,M55,M57,M59)),0,(SUM(M12,M14,M17,M20,M23,M25,M27,M29,M32,M35,M38,M41,M43,M45,M47,M50,M53,M55,M57,M59)))</f>
        <v>42496.0</v>
      </c>
      <c r="N61" s="464" t="n">
        <f t="shared" si="2"/>
        <v>1.1569525990508895</v>
      </c>
      <c r="O61" s="462" t="n">
        <f>IF(ISERROR(SUM(O12,O14,O17,O20,O23,O25,O27,O29,O32,O35,O38,O41,O43,O45,O47,O50,O53,O55,O57,O59)),0,(SUM(O12,O14,O17,O20,O23,O25,O27,O29,O32,O35,O38,O41,O43,O45,O47,O50,O53,O55,O57,O59)))</f>
        <v>45865.0</v>
      </c>
      <c r="P61" s="464" t="n">
        <f t="shared" si="3"/>
        <v>1.248673544697596</v>
      </c>
      <c r="Q61" s="462" t="n">
        <f>IF(ISERROR(SUM(Q12,Q14,Q17,Q20,Q23,Q25,Q27,Q29,Q32,Q35,Q38,Q41,Q43,Q45,Q47,Q50,Q53,Q55,Q57,Q59)),0,(SUM(Q12,Q14,Q17,Q20,Q23,Q25,Q27,Q29,Q32,Q35,Q38,Q41,Q43,Q45,Q47,Q50,Q53,Q55,Q57,Q59)))</f>
        <v>44832.0</v>
      </c>
      <c r="R61" s="464" t="n">
        <f t="shared" si="4"/>
        <v>1.2205501440288375</v>
      </c>
      <c r="S61" s="462" t="n">
        <f>IF(ISERROR(SUM(S12,S14,S17,S20,S23,S25,S27,S29,S32,S35,S38,S41,S43,S45,S47,S50,S53,S55,S57,S59)),0,(SUM(S12,S14,S17,S20,S23,S25,S27,S29,S32,S35,S38,S41,S43,S45,S47,S50,S53,S55,S57,S59)))</f>
        <v>41489.0</v>
      </c>
      <c r="T61" s="464" t="n">
        <f t="shared" si="11"/>
        <v>1.1295370477697277</v>
      </c>
    </row>
    <row r="62" spans="1:20" ht="50.1" customHeight="1">
      <c r="A62" s="726" t="s">
        <v>109</v>
      </c>
      <c r="B62" s="189"/>
      <c r="C62" s="465"/>
      <c r="D62" s="466"/>
      <c r="E62" s="466"/>
      <c r="F62" s="466"/>
      <c r="G62" s="725" t="s">
        <v>365</v>
      </c>
      <c r="H62" s="467"/>
      <c r="I62" s="467"/>
      <c r="J62" s="467"/>
      <c r="K62" s="637" t="s">
        <v>401</v>
      </c>
      <c r="L62" s="522"/>
      <c r="M62" s="522"/>
    </row>
    <row r="63" spans="1:20" ht="13.5" customHeight="1">
      <c r="A63" s="465"/>
      <c r="B63" s="189"/>
      <c r="C63" s="465"/>
      <c r="D63" s="466"/>
      <c r="E63" s="466"/>
      <c r="F63" s="466"/>
      <c r="G63" s="466"/>
      <c r="H63" s="466"/>
      <c r="I63" s="466"/>
      <c r="J63" s="466"/>
      <c r="K63" s="522"/>
      <c r="L63" s="522"/>
      <c r="M63" s="522"/>
    </row>
    <row r="64" spans="1:20">
      <c r="A64" s="22" t="s">
        <v>90</v>
      </c>
      <c r="B64" s="189"/>
      <c r="C64" s="381"/>
    </row>
    <row r="65" spans="1:20" ht="14.25" thickBot="1">
      <c r="A65" s="23"/>
      <c r="B65" s="189"/>
      <c r="C65" s="381"/>
      <c r="L65" s="2"/>
      <c r="R65" s="2"/>
      <c r="T65" s="2" t="s">
        <v>108</v>
      </c>
    </row>
    <row r="66" spans="1:20" ht="23.25" thickBot="1">
      <c r="A66" s="29"/>
      <c r="B66" s="375"/>
      <c r="C66" s="376"/>
      <c r="D66" s="377" t="s">
        <v>367</v>
      </c>
      <c r="E66" s="749" t="s">
        <v>366</v>
      </c>
      <c r="F66" s="378" t="s">
        <v>363</v>
      </c>
      <c r="G66" s="748" t="s">
        <v>362</v>
      </c>
      <c r="H66" s="749" t="s">
        <v>361</v>
      </c>
      <c r="I66" s="750" t="s">
        <v>360</v>
      </c>
      <c r="J66" s="38" t="s">
        <v>104</v>
      </c>
      <c r="K66" s="748" t="s">
        <v>384</v>
      </c>
      <c r="L66" s="39" t="s">
        <v>105</v>
      </c>
      <c r="M66" s="748" t="s">
        <v>387</v>
      </c>
      <c r="N66" s="39" t="s">
        <v>105</v>
      </c>
      <c r="O66" s="748" t="s">
        <v>390</v>
      </c>
      <c r="P66" s="39" t="s">
        <v>105</v>
      </c>
      <c r="Q66" s="748" t="s">
        <v>393</v>
      </c>
      <c r="R66" s="39" t="s">
        <v>105</v>
      </c>
      <c r="S66" s="748" t="s">
        <v>396</v>
      </c>
      <c r="T66" s="39" t="s">
        <v>105</v>
      </c>
    </row>
    <row r="67" spans="1:20">
      <c r="A67" s="468" t="s">
        <v>38</v>
      </c>
      <c r="B67" s="368"/>
      <c r="C67" s="469"/>
      <c r="D67" s="470"/>
      <c r="E67" s="386"/>
      <c r="F67" s="471"/>
      <c r="G67" s="385"/>
      <c r="H67" s="386"/>
      <c r="I67" s="387"/>
      <c r="J67" s="387"/>
      <c r="K67" s="385"/>
      <c r="L67" s="388"/>
      <c r="M67" s="385"/>
      <c r="N67" s="388"/>
      <c r="O67" s="385"/>
      <c r="P67" s="388"/>
      <c r="Q67" s="385"/>
      <c r="R67" s="388"/>
      <c r="S67" s="385"/>
      <c r="T67" s="388"/>
    </row>
    <row r="68" spans="1:20">
      <c r="A68" s="19"/>
      <c r="B68" s="1055" t="s">
        <v>39</v>
      </c>
      <c r="C68" s="389" t="s">
        <v>16</v>
      </c>
      <c r="D68" s="472" t="n">
        <v>32837.418</v>
      </c>
      <c r="E68" s="409" t="n">
        <v>29747.385</v>
      </c>
      <c r="F68" s="473" t="n">
        <v>45552.7308</v>
      </c>
      <c r="G68" s="408" t="n">
        <v>2421.0</v>
      </c>
      <c r="H68" s="409" t="n">
        <v>2386.0</v>
      </c>
      <c r="I68" s="474" t="n">
        <v>2345.0</v>
      </c>
      <c r="J68" s="410" t="n">
        <f t="shared" ref="J68:J101" si="17">IFERROR(SUM(G68:I68)/3/F68,"－")</f>
        <v>0.05233495244153398</v>
      </c>
      <c r="K68" s="408" t="n">
        <v>2416.0</v>
      </c>
      <c r="L68" s="411" t="n">
        <f t="shared" ref="L68:L105" si="18">IFERROR(K68/F68,"－")</f>
        <v>0.05303743502464182</v>
      </c>
      <c r="M68" s="408" t="n">
        <v>2310.0</v>
      </c>
      <c r="N68" s="411" t="n">
        <f>IFERROR(M68/F68,"－")</f>
        <v>0.0507104614680971</v>
      </c>
      <c r="O68" s="408" t="n">
        <v>2533.0</v>
      </c>
      <c r="P68" s="411" t="n">
        <f>IFERROR(O68/F68,"－")</f>
        <v>0.05560588696912985</v>
      </c>
      <c r="Q68" s="408" t="n">
        <v>2597.0</v>
      </c>
      <c r="R68" s="411" t="n">
        <f>IFERROR(Q68/F68,"－")</f>
        <v>0.057010852135345534</v>
      </c>
      <c r="S68" s="408" t="n">
        <v>2483.0</v>
      </c>
      <c r="T68" s="411" t="n">
        <f>IFERROR(S68/F68,"－")</f>
        <v>0.05450825793302386</v>
      </c>
    </row>
    <row r="69" spans="1:20">
      <c r="A69" s="19"/>
      <c r="B69" s="1056"/>
      <c r="C69" s="389" t="s">
        <v>19</v>
      </c>
      <c r="D69" s="475" t="n">
        <v>993.8333333333334</v>
      </c>
      <c r="E69" s="476" t="n">
        <v>800.75</v>
      </c>
      <c r="F69" s="477" t="n">
        <v>1295.6</v>
      </c>
      <c r="G69" s="478"/>
      <c r="H69" s="476"/>
      <c r="I69" s="479"/>
      <c r="J69" s="402" t="n">
        <f t="shared" si="17"/>
        <v>0.0</v>
      </c>
      <c r="K69" s="478"/>
      <c r="L69" s="403" t="n">
        <f t="shared" si="18"/>
        <v>0.0</v>
      </c>
      <c r="M69" s="478"/>
      <c r="N69" s="403" t="n">
        <f t="shared" ref="N69:N134" si="19">IFERROR(M69/F69,"－")</f>
        <v>0.0</v>
      </c>
      <c r="O69" s="478"/>
      <c r="P69" s="403" t="n">
        <f t="shared" ref="P69:P134" si="20">IFERROR(O69/F69,"－")</f>
        <v>0.0</v>
      </c>
      <c r="Q69" s="478"/>
      <c r="R69" s="403" t="n">
        <f t="shared" ref="R69:R134" si="21">IFERROR(Q69/F69,"－")</f>
        <v>0.0</v>
      </c>
      <c r="S69" s="478"/>
      <c r="T69" s="411" t="n">
        <f t="shared" ref="T69:T106" si="22">IFERROR(S69/F69,"－")</f>
        <v>0.0</v>
      </c>
    </row>
    <row r="70" spans="1:20">
      <c r="A70" s="19"/>
      <c r="B70" s="753"/>
      <c r="C70" s="389" t="s">
        <v>17</v>
      </c>
      <c r="D70" s="472" t="n">
        <v>61.416666666666664</v>
      </c>
      <c r="E70" s="409" t="n">
        <v>51.25</v>
      </c>
      <c r="F70" s="473" t="n">
        <v>67.0</v>
      </c>
      <c r="G70" s="408" t="n">
        <v>65.0</v>
      </c>
      <c r="H70" s="409" t="n">
        <v>64.0</v>
      </c>
      <c r="I70" s="474" t="n">
        <v>63.0</v>
      </c>
      <c r="J70" s="402" t="n">
        <f t="shared" si="17"/>
        <v>0.9552238805970149</v>
      </c>
      <c r="K70" s="408" t="n">
        <v>65.0</v>
      </c>
      <c r="L70" s="403" t="n">
        <f t="shared" si="18"/>
        <v>0.9701492537313433</v>
      </c>
      <c r="M70" s="408" t="n">
        <v>62.0</v>
      </c>
      <c r="N70" s="403" t="n">
        <f t="shared" si="19"/>
        <v>0.9253731343283582</v>
      </c>
      <c r="O70" s="408" t="n">
        <v>68.0</v>
      </c>
      <c r="P70" s="403" t="n">
        <f t="shared" si="20"/>
        <v>1.0149253731343284</v>
      </c>
      <c r="Q70" s="408" t="n">
        <v>70.0</v>
      </c>
      <c r="R70" s="403" t="n">
        <f t="shared" si="21"/>
        <v>1.044776119402985</v>
      </c>
      <c r="S70" s="408" t="n">
        <v>67.0</v>
      </c>
      <c r="T70" s="411" t="n">
        <f t="shared" si="22"/>
        <v>1.0</v>
      </c>
    </row>
    <row r="71" spans="1:20">
      <c r="A71" s="19"/>
      <c r="B71" s="1055" t="s">
        <v>40</v>
      </c>
      <c r="C71" s="389" t="s">
        <v>16</v>
      </c>
      <c r="D71" s="472" t="n">
        <v>4283.467</v>
      </c>
      <c r="E71" s="409" t="n">
        <v>3170.417</v>
      </c>
      <c r="F71" s="473" t="n">
        <v>3239.8488</v>
      </c>
      <c r="G71" s="408" t="n">
        <v>729.0</v>
      </c>
      <c r="H71" s="409" t="n">
        <v>729.0</v>
      </c>
      <c r="I71" s="474" t="n">
        <v>729.0</v>
      </c>
      <c r="J71" s="410" t="n">
        <f t="shared" si="17"/>
        <v>0.22501050049002286</v>
      </c>
      <c r="K71" s="408" t="n">
        <v>729.0</v>
      </c>
      <c r="L71" s="411" t="n">
        <f t="shared" si="18"/>
        <v>0.22501050049002286</v>
      </c>
      <c r="M71" s="408" t="n">
        <v>729.0</v>
      </c>
      <c r="N71" s="411" t="n">
        <f t="shared" si="19"/>
        <v>0.22501050049002286</v>
      </c>
      <c r="O71" s="408" t="n">
        <v>729.0</v>
      </c>
      <c r="P71" s="411" t="n">
        <f t="shared" si="20"/>
        <v>0.22501050049002286</v>
      </c>
      <c r="Q71" s="408" t="n">
        <v>729.0</v>
      </c>
      <c r="R71" s="411" t="n">
        <f t="shared" si="21"/>
        <v>0.22501050049002286</v>
      </c>
      <c r="S71" s="408" t="n">
        <v>729.0</v>
      </c>
      <c r="T71" s="411" t="n">
        <f t="shared" si="22"/>
        <v>0.22501050049002286</v>
      </c>
    </row>
    <row r="72" spans="1:20">
      <c r="A72" s="19"/>
      <c r="B72" s="1056"/>
      <c r="C72" s="389" t="s">
        <v>19</v>
      </c>
      <c r="D72" s="472" t="n">
        <v>29.083333333333332</v>
      </c>
      <c r="E72" s="409" t="n">
        <v>21.666666666666668</v>
      </c>
      <c r="F72" s="473" t="n">
        <v>22.1</v>
      </c>
      <c r="G72" s="478"/>
      <c r="H72" s="476"/>
      <c r="I72" s="479"/>
      <c r="J72" s="402" t="n">
        <f t="shared" si="17"/>
        <v>0.0</v>
      </c>
      <c r="K72" s="478"/>
      <c r="L72" s="403" t="n">
        <f t="shared" si="18"/>
        <v>0.0</v>
      </c>
      <c r="M72" s="478"/>
      <c r="N72" s="403" t="n">
        <f t="shared" si="19"/>
        <v>0.0</v>
      </c>
      <c r="O72" s="478"/>
      <c r="P72" s="403" t="n">
        <f t="shared" si="20"/>
        <v>0.0</v>
      </c>
      <c r="Q72" s="478"/>
      <c r="R72" s="403" t="n">
        <f t="shared" si="21"/>
        <v>0.0</v>
      </c>
      <c r="S72" s="478"/>
      <c r="T72" s="411" t="n">
        <f t="shared" si="22"/>
        <v>0.0</v>
      </c>
    </row>
    <row r="73" spans="1:20">
      <c r="A73" s="19"/>
      <c r="B73" s="753"/>
      <c r="C73" s="389" t="s">
        <v>17</v>
      </c>
      <c r="D73" s="472" t="n">
        <v>7.416666666666667</v>
      </c>
      <c r="E73" s="409" t="n">
        <v>5.75</v>
      </c>
      <c r="F73" s="473" t="n">
        <v>5.0</v>
      </c>
      <c r="G73" s="408" t="n">
        <v>5.0</v>
      </c>
      <c r="H73" s="409" t="n">
        <v>5.0</v>
      </c>
      <c r="I73" s="474" t="n">
        <v>5.0</v>
      </c>
      <c r="J73" s="402" t="n">
        <f t="shared" si="17"/>
        <v>1.0</v>
      </c>
      <c r="K73" s="408" t="n">
        <v>5.0</v>
      </c>
      <c r="L73" s="403" t="n">
        <f t="shared" si="18"/>
        <v>1.0</v>
      </c>
      <c r="M73" s="408" t="n">
        <v>5.0</v>
      </c>
      <c r="N73" s="403" t="n">
        <f t="shared" si="19"/>
        <v>1.0</v>
      </c>
      <c r="O73" s="408" t="n">
        <v>5.0</v>
      </c>
      <c r="P73" s="403" t="n">
        <f t="shared" si="20"/>
        <v>1.0</v>
      </c>
      <c r="Q73" s="408" t="n">
        <v>5.0</v>
      </c>
      <c r="R73" s="403" t="n">
        <f t="shared" si="21"/>
        <v>1.0</v>
      </c>
      <c r="S73" s="408" t="n">
        <v>5.0</v>
      </c>
      <c r="T73" s="411" t="n">
        <f t="shared" si="22"/>
        <v>1.0</v>
      </c>
    </row>
    <row r="74" spans="1:20">
      <c r="A74" s="19"/>
      <c r="B74" s="1055" t="s">
        <v>41</v>
      </c>
      <c r="C74" s="389" t="s">
        <v>16</v>
      </c>
      <c r="D74" s="472" t="n">
        <v>19136.972</v>
      </c>
      <c r="E74" s="409" t="n">
        <v>20187.627</v>
      </c>
      <c r="F74" s="473" t="n">
        <v>20605.1124</v>
      </c>
      <c r="G74" s="408" t="n">
        <v>3595.0</v>
      </c>
      <c r="H74" s="409" t="n">
        <v>3366.0</v>
      </c>
      <c r="I74" s="474" t="n">
        <v>3449.0</v>
      </c>
      <c r="J74" s="410" t="n">
        <f t="shared" si="17"/>
        <v>0.16840480811936748</v>
      </c>
      <c r="K74" s="408" t="n">
        <v>3499.0</v>
      </c>
      <c r="L74" s="411" t="n">
        <f t="shared" si="18"/>
        <v>0.16981222582411148</v>
      </c>
      <c r="M74" s="408" t="n">
        <v>3283.0</v>
      </c>
      <c r="N74" s="411" t="n">
        <f t="shared" si="19"/>
        <v>0.1593293905060183</v>
      </c>
      <c r="O74" s="408" t="n">
        <v>3709.0</v>
      </c>
      <c r="P74" s="411" t="n">
        <f t="shared" si="20"/>
        <v>0.18000387127225764</v>
      </c>
      <c r="Q74" s="408" t="n">
        <v>3792.0</v>
      </c>
      <c r="R74" s="411" t="n">
        <f t="shared" si="21"/>
        <v>0.18403199780652493</v>
      </c>
      <c r="S74" s="408" t="n">
        <v>3575.0</v>
      </c>
      <c r="T74" s="411" t="n">
        <f t="shared" si="22"/>
        <v>0.17350063084344056</v>
      </c>
    </row>
    <row r="75" spans="1:20">
      <c r="A75" s="19"/>
      <c r="B75" s="1056"/>
      <c r="C75" s="389" t="s">
        <v>19</v>
      </c>
      <c r="D75" s="475" t="n">
        <v>265.5833333333333</v>
      </c>
      <c r="E75" s="476" t="n">
        <v>281.0833333333333</v>
      </c>
      <c r="F75" s="477" t="n">
        <v>286.3</v>
      </c>
      <c r="G75" s="478"/>
      <c r="H75" s="476"/>
      <c r="I75" s="479"/>
      <c r="J75" s="402" t="n">
        <f t="shared" si="17"/>
        <v>0.0</v>
      </c>
      <c r="K75" s="478"/>
      <c r="L75" s="403" t="n">
        <f t="shared" si="18"/>
        <v>0.0</v>
      </c>
      <c r="M75" s="478"/>
      <c r="N75" s="403" t="n">
        <f t="shared" si="19"/>
        <v>0.0</v>
      </c>
      <c r="O75" s="478"/>
      <c r="P75" s="403" t="n">
        <f t="shared" si="20"/>
        <v>0.0</v>
      </c>
      <c r="Q75" s="478"/>
      <c r="R75" s="403" t="n">
        <f t="shared" si="21"/>
        <v>0.0</v>
      </c>
      <c r="S75" s="478"/>
      <c r="T75" s="411" t="n">
        <f t="shared" si="22"/>
        <v>0.0</v>
      </c>
    </row>
    <row r="76" spans="1:20">
      <c r="A76" s="19"/>
      <c r="B76" s="753"/>
      <c r="C76" s="389" t="s">
        <v>17</v>
      </c>
      <c r="D76" s="472" t="n">
        <v>36.666666666666664</v>
      </c>
      <c r="E76" s="409" t="n">
        <v>39.583333333333336</v>
      </c>
      <c r="F76" s="473" t="n">
        <v>46.0</v>
      </c>
      <c r="G76" s="408" t="n">
        <v>50.0</v>
      </c>
      <c r="H76" s="409" t="n">
        <v>47.0</v>
      </c>
      <c r="I76" s="474" t="n">
        <v>48.0</v>
      </c>
      <c r="J76" s="402" t="n">
        <f t="shared" si="17"/>
        <v>1.0507246376811594</v>
      </c>
      <c r="K76" s="408" t="n">
        <v>49.0</v>
      </c>
      <c r="L76" s="403" t="n">
        <f t="shared" si="18"/>
        <v>1.065217391304348</v>
      </c>
      <c r="M76" s="408" t="n">
        <v>46.0</v>
      </c>
      <c r="N76" s="403" t="n">
        <f t="shared" si="19"/>
        <v>1.0</v>
      </c>
      <c r="O76" s="408" t="n">
        <v>52.0</v>
      </c>
      <c r="P76" s="403" t="n">
        <f t="shared" si="20"/>
        <v>1.1304347826086956</v>
      </c>
      <c r="Q76" s="408" t="n">
        <v>53.0</v>
      </c>
      <c r="R76" s="403" t="n">
        <f t="shared" si="21"/>
        <v>1.1521739130434783</v>
      </c>
      <c r="S76" s="408" t="n">
        <v>50.0</v>
      </c>
      <c r="T76" s="411" t="n">
        <f t="shared" si="22"/>
        <v>1.0869565217391304</v>
      </c>
    </row>
    <row r="77" spans="1:20">
      <c r="A77" s="19"/>
      <c r="B77" s="1055" t="s">
        <v>42</v>
      </c>
      <c r="C77" s="389" t="s">
        <v>16</v>
      </c>
      <c r="D77" s="472" t="n">
        <v>0.0</v>
      </c>
      <c r="E77" s="409" t="n">
        <v>0.0</v>
      </c>
      <c r="F77" s="473" t="n">
        <v>0.0</v>
      </c>
      <c r="G77" s="408" t="n">
        <v>0.0</v>
      </c>
      <c r="H77" s="409" t="n">
        <v>0.0</v>
      </c>
      <c r="I77" s="474" t="n">
        <v>0.0</v>
      </c>
      <c r="J77" s="410" t="str">
        <f t="shared" si="17"/>
        <v>－</v>
      </c>
      <c r="K77" s="408" t="n">
        <v>0.0</v>
      </c>
      <c r="L77" s="411" t="str">
        <f t="shared" si="18"/>
        <v>－</v>
      </c>
      <c r="M77" s="408" t="n">
        <v>0.0</v>
      </c>
      <c r="N77" s="411" t="str">
        <f t="shared" si="19"/>
        <v>－</v>
      </c>
      <c r="O77" s="408" t="n">
        <v>0.0</v>
      </c>
      <c r="P77" s="411" t="str">
        <f t="shared" si="20"/>
        <v>－</v>
      </c>
      <c r="Q77" s="408" t="n">
        <v>0.0</v>
      </c>
      <c r="R77" s="411" t="str">
        <f t="shared" si="21"/>
        <v>－</v>
      </c>
      <c r="S77" s="408" t="n">
        <v>0.0</v>
      </c>
      <c r="T77" s="411" t="str">
        <f t="shared" si="22"/>
        <v>－</v>
      </c>
    </row>
    <row r="78" spans="1:20">
      <c r="A78" s="19"/>
      <c r="B78" s="1056"/>
      <c r="C78" s="389" t="s">
        <v>19</v>
      </c>
      <c r="D78" s="475" t="n">
        <v>0.0</v>
      </c>
      <c r="E78" s="476" t="n">
        <v>0.0</v>
      </c>
      <c r="F78" s="477" t="n">
        <v>0.0</v>
      </c>
      <c r="G78" s="478"/>
      <c r="H78" s="476"/>
      <c r="I78" s="479"/>
      <c r="J78" s="402" t="str">
        <f t="shared" si="17"/>
        <v>－</v>
      </c>
      <c r="K78" s="478"/>
      <c r="L78" s="403" t="str">
        <f t="shared" si="18"/>
        <v>－</v>
      </c>
      <c r="M78" s="478"/>
      <c r="N78" s="403" t="str">
        <f t="shared" si="19"/>
        <v>－</v>
      </c>
      <c r="O78" s="478"/>
      <c r="P78" s="403" t="str">
        <f t="shared" si="20"/>
        <v>－</v>
      </c>
      <c r="Q78" s="478"/>
      <c r="R78" s="403" t="str">
        <f t="shared" si="21"/>
        <v>－</v>
      </c>
      <c r="S78" s="478"/>
      <c r="T78" s="411" t="str">
        <f t="shared" si="22"/>
        <v>－</v>
      </c>
    </row>
    <row r="79" spans="1:20">
      <c r="A79" s="19"/>
      <c r="B79" s="753"/>
      <c r="C79" s="389" t="s">
        <v>17</v>
      </c>
      <c r="D79" s="472" t="n">
        <v>0.0</v>
      </c>
      <c r="E79" s="409" t="n">
        <v>0.0</v>
      </c>
      <c r="F79" s="473" t="n">
        <v>0.0</v>
      </c>
      <c r="G79" s="408" t="n">
        <v>0.0</v>
      </c>
      <c r="H79" s="409" t="n">
        <v>0.0</v>
      </c>
      <c r="I79" s="474" t="n">
        <v>0.0</v>
      </c>
      <c r="J79" s="402" t="str">
        <f t="shared" si="17"/>
        <v>－</v>
      </c>
      <c r="K79" s="408" t="n">
        <v>0.0</v>
      </c>
      <c r="L79" s="403" t="str">
        <f t="shared" si="18"/>
        <v>－</v>
      </c>
      <c r="M79" s="408" t="n">
        <v>0.0</v>
      </c>
      <c r="N79" s="403" t="str">
        <f t="shared" si="19"/>
        <v>－</v>
      </c>
      <c r="O79" s="408" t="n">
        <v>0.0</v>
      </c>
      <c r="P79" s="403" t="str">
        <f t="shared" si="20"/>
        <v>－</v>
      </c>
      <c r="Q79" s="408" t="n">
        <v>0.0</v>
      </c>
      <c r="R79" s="403" t="str">
        <f t="shared" si="21"/>
        <v>－</v>
      </c>
      <c r="S79" s="408" t="n">
        <v>0.0</v>
      </c>
      <c r="T79" s="411" t="str">
        <f t="shared" si="22"/>
        <v>－</v>
      </c>
    </row>
    <row r="80" spans="1:20">
      <c r="A80" s="19"/>
      <c r="B80" s="1055" t="s">
        <v>43</v>
      </c>
      <c r="C80" s="389" t="s">
        <v>16</v>
      </c>
      <c r="D80" s="472" t="n">
        <v>1166.1009999999999</v>
      </c>
      <c r="E80" s="409" t="n">
        <v>866.458</v>
      </c>
      <c r="F80" s="473" t="n">
        <v>460.008</v>
      </c>
      <c r="G80" s="408" t="n">
        <v>652.0</v>
      </c>
      <c r="H80" s="409" t="n">
        <v>652.0</v>
      </c>
      <c r="I80" s="474" t="n">
        <v>652.0</v>
      </c>
      <c r="J80" s="410" t="n">
        <f t="shared" si="17"/>
        <v>1.4173666544929655</v>
      </c>
      <c r="K80" s="408" t="n">
        <v>652.0</v>
      </c>
      <c r="L80" s="411" t="n">
        <f t="shared" si="18"/>
        <v>1.4173666544929655</v>
      </c>
      <c r="M80" s="408" t="n">
        <v>652.0</v>
      </c>
      <c r="N80" s="411" t="n">
        <f t="shared" si="19"/>
        <v>1.4173666544929655</v>
      </c>
      <c r="O80" s="408" t="n">
        <v>652.0</v>
      </c>
      <c r="P80" s="411" t="n">
        <f t="shared" si="20"/>
        <v>1.4173666544929655</v>
      </c>
      <c r="Q80" s="408" t="n">
        <v>652.0</v>
      </c>
      <c r="R80" s="411" t="n">
        <f t="shared" si="21"/>
        <v>1.4173666544929655</v>
      </c>
      <c r="S80" s="408" t="n">
        <v>652.0</v>
      </c>
      <c r="T80" s="411" t="n">
        <f t="shared" si="22"/>
        <v>1.4173666544929655</v>
      </c>
    </row>
    <row r="81" spans="1:20">
      <c r="A81" s="19"/>
      <c r="B81" s="1059"/>
      <c r="C81" s="389" t="s">
        <v>17</v>
      </c>
      <c r="D81" s="472" t="n">
        <v>14.583333333333334</v>
      </c>
      <c r="E81" s="409" t="n">
        <v>11.5</v>
      </c>
      <c r="F81" s="473" t="n">
        <v>8.0</v>
      </c>
      <c r="G81" s="408" t="n">
        <v>8.0</v>
      </c>
      <c r="H81" s="409" t="n">
        <v>8.0</v>
      </c>
      <c r="I81" s="474" t="n">
        <v>8.0</v>
      </c>
      <c r="J81" s="402" t="n">
        <f t="shared" si="17"/>
        <v>1.0</v>
      </c>
      <c r="K81" s="408" t="n">
        <v>8.0</v>
      </c>
      <c r="L81" s="403" t="n">
        <f t="shared" si="18"/>
        <v>1.0</v>
      </c>
      <c r="M81" s="408" t="n">
        <v>8.0</v>
      </c>
      <c r="N81" s="403" t="n">
        <f t="shared" si="19"/>
        <v>1.0</v>
      </c>
      <c r="O81" s="408" t="n">
        <v>8.0</v>
      </c>
      <c r="P81" s="403" t="n">
        <f t="shared" si="20"/>
        <v>1.0</v>
      </c>
      <c r="Q81" s="408" t="n">
        <v>8.0</v>
      </c>
      <c r="R81" s="403" t="n">
        <f t="shared" si="21"/>
        <v>1.0</v>
      </c>
      <c r="S81" s="408" t="n">
        <v>8.0</v>
      </c>
      <c r="T81" s="411" t="n">
        <f t="shared" si="22"/>
        <v>1.0</v>
      </c>
    </row>
    <row r="82" spans="1:20">
      <c r="A82" s="19"/>
      <c r="B82" s="1055" t="s">
        <v>44</v>
      </c>
      <c r="C82" s="389" t="s">
        <v>16</v>
      </c>
      <c r="D82" s="472" t="n">
        <v>163099.428</v>
      </c>
      <c r="E82" s="409" t="n">
        <v>152492.501</v>
      </c>
      <c r="F82" s="473" t="n">
        <v>151267.1604</v>
      </c>
      <c r="G82" s="408" t="n">
        <v>17190.0</v>
      </c>
      <c r="H82" s="409" t="n">
        <v>16790.0</v>
      </c>
      <c r="I82" s="474" t="n">
        <v>16591.0</v>
      </c>
      <c r="J82" s="410" t="n">
        <f t="shared" si="17"/>
        <v>0.1114385961594345</v>
      </c>
      <c r="K82" s="408" t="n">
        <v>16574.0</v>
      </c>
      <c r="L82" s="411" t="n">
        <f t="shared" si="18"/>
        <v>0.10956773404202808</v>
      </c>
      <c r="M82" s="408" t="n">
        <v>16316.0</v>
      </c>
      <c r="N82" s="411" t="n">
        <f t="shared" si="19"/>
        <v>0.1078621424296929</v>
      </c>
      <c r="O82" s="408" t="n">
        <v>17900.0</v>
      </c>
      <c r="P82" s="411" t="n">
        <f t="shared" si="20"/>
        <v>0.11833368163100655</v>
      </c>
      <c r="Q82" s="408" t="n">
        <v>18100.0</v>
      </c>
      <c r="R82" s="411" t="n">
        <f t="shared" si="21"/>
        <v>0.11965584567157646</v>
      </c>
      <c r="S82" s="408" t="n">
        <v>17419.0</v>
      </c>
      <c r="T82" s="411" t="n">
        <f t="shared" si="22"/>
        <v>0.11515387711343593</v>
      </c>
    </row>
    <row r="83" spans="1:20">
      <c r="A83" s="19"/>
      <c r="B83" s="1056"/>
      <c r="C83" s="389" t="s">
        <v>19</v>
      </c>
      <c r="D83" s="472" t="n">
        <v>1623.8333333333333</v>
      </c>
      <c r="E83" s="409" t="n">
        <v>1509.0833333333333</v>
      </c>
      <c r="F83" s="473" t="n">
        <v>1475.3</v>
      </c>
      <c r="G83" s="478"/>
      <c r="H83" s="476"/>
      <c r="I83" s="479"/>
      <c r="J83" s="402" t="n">
        <f t="shared" si="17"/>
        <v>0.0</v>
      </c>
      <c r="K83" s="478"/>
      <c r="L83" s="403" t="n">
        <f t="shared" si="18"/>
        <v>0.0</v>
      </c>
      <c r="M83" s="478"/>
      <c r="N83" s="403" t="n">
        <f t="shared" si="19"/>
        <v>0.0</v>
      </c>
      <c r="O83" s="478"/>
      <c r="P83" s="403" t="n">
        <f t="shared" si="20"/>
        <v>0.0</v>
      </c>
      <c r="Q83" s="478"/>
      <c r="R83" s="403" t="n">
        <f t="shared" si="21"/>
        <v>0.0</v>
      </c>
      <c r="S83" s="478"/>
      <c r="T83" s="411" t="n">
        <f t="shared" si="22"/>
        <v>0.0</v>
      </c>
    </row>
    <row r="84" spans="1:20">
      <c r="A84" s="19"/>
      <c r="B84" s="753"/>
      <c r="C84" s="389" t="s">
        <v>17</v>
      </c>
      <c r="D84" s="472" t="n">
        <v>177.5</v>
      </c>
      <c r="E84" s="409" t="n">
        <v>162.91666666666666</v>
      </c>
      <c r="F84" s="473" t="n">
        <v>169.0</v>
      </c>
      <c r="G84" s="408" t="n">
        <v>168.0</v>
      </c>
      <c r="H84" s="409" t="n">
        <v>164.0</v>
      </c>
      <c r="I84" s="474" t="n">
        <v>162.0</v>
      </c>
      <c r="J84" s="402" t="n">
        <f t="shared" si="17"/>
        <v>0.9743589743589743</v>
      </c>
      <c r="K84" s="408" t="n">
        <v>162.0</v>
      </c>
      <c r="L84" s="403" t="n">
        <f t="shared" si="18"/>
        <v>0.9585798816568047</v>
      </c>
      <c r="M84" s="408" t="n">
        <v>160.0</v>
      </c>
      <c r="N84" s="403" t="n">
        <f t="shared" si="19"/>
        <v>0.9467455621301775</v>
      </c>
      <c r="O84" s="408" t="n">
        <v>175.0</v>
      </c>
      <c r="P84" s="403" t="n">
        <f t="shared" si="20"/>
        <v>1.0355029585798816</v>
      </c>
      <c r="Q84" s="408" t="n">
        <v>177.0</v>
      </c>
      <c r="R84" s="403" t="n">
        <f t="shared" si="21"/>
        <v>1.047337278106509</v>
      </c>
      <c r="S84" s="408" t="n">
        <v>170.0</v>
      </c>
      <c r="T84" s="411" t="n">
        <f t="shared" si="22"/>
        <v>1.0059171597633136</v>
      </c>
    </row>
    <row r="85" spans="1:20">
      <c r="A85" s="19"/>
      <c r="B85" s="1055" t="s">
        <v>45</v>
      </c>
      <c r="C85" s="389" t="s">
        <v>16</v>
      </c>
      <c r="D85" s="472" t="n">
        <v>14336.785</v>
      </c>
      <c r="E85" s="409" t="n">
        <v>15575.845</v>
      </c>
      <c r="F85" s="473" t="n">
        <v>22534.2888</v>
      </c>
      <c r="G85" s="408" t="n">
        <v>2854.0</v>
      </c>
      <c r="H85" s="409" t="n">
        <v>2714.0</v>
      </c>
      <c r="I85" s="474" t="n">
        <v>2714.0</v>
      </c>
      <c r="J85" s="410" t="n">
        <f t="shared" si="17"/>
        <v>0.12250959820248096</v>
      </c>
      <c r="K85" s="408" t="n">
        <v>2818.0</v>
      </c>
      <c r="L85" s="411" t="n">
        <f t="shared" si="18"/>
        <v>0.12505386901760132</v>
      </c>
      <c r="M85" s="408" t="n">
        <v>2779.0</v>
      </c>
      <c r="N85" s="411" t="n">
        <f t="shared" si="19"/>
        <v>0.12332317317243223</v>
      </c>
      <c r="O85" s="408" t="n">
        <v>2949.0</v>
      </c>
      <c r="P85" s="411" t="n">
        <f t="shared" si="20"/>
        <v>0.13086723198470768</v>
      </c>
      <c r="Q85" s="408" t="n">
        <v>2949.0</v>
      </c>
      <c r="R85" s="411" t="n">
        <f t="shared" si="21"/>
        <v>0.13086723198470768</v>
      </c>
      <c r="S85" s="408" t="n">
        <v>2883.0</v>
      </c>
      <c r="T85" s="411" t="n">
        <f t="shared" si="22"/>
        <v>0.1279383620928831</v>
      </c>
    </row>
    <row r="86" spans="1:20">
      <c r="A86" s="19"/>
      <c r="B86" s="1056"/>
      <c r="C86" s="389" t="s">
        <v>19</v>
      </c>
      <c r="D86" s="475" t="n">
        <v>164.66666666666666</v>
      </c>
      <c r="E86" s="476" t="n">
        <v>173.5</v>
      </c>
      <c r="F86" s="477" t="n">
        <v>227.1</v>
      </c>
      <c r="G86" s="478"/>
      <c r="H86" s="476"/>
      <c r="I86" s="479"/>
      <c r="J86" s="402" t="n">
        <f t="shared" si="17"/>
        <v>0.0</v>
      </c>
      <c r="K86" s="478"/>
      <c r="L86" s="403" t="n">
        <f t="shared" si="18"/>
        <v>0.0</v>
      </c>
      <c r="M86" s="478"/>
      <c r="N86" s="403" t="n">
        <f t="shared" si="19"/>
        <v>0.0</v>
      </c>
      <c r="O86" s="478"/>
      <c r="P86" s="403" t="n">
        <f t="shared" si="20"/>
        <v>0.0</v>
      </c>
      <c r="Q86" s="478"/>
      <c r="R86" s="403" t="n">
        <f t="shared" si="21"/>
        <v>0.0</v>
      </c>
      <c r="S86" s="478"/>
      <c r="T86" s="411" t="n">
        <f t="shared" si="22"/>
        <v>0.0</v>
      </c>
    </row>
    <row r="87" spans="1:20">
      <c r="A87" s="19"/>
      <c r="B87" s="753"/>
      <c r="C87" s="389" t="s">
        <v>17</v>
      </c>
      <c r="D87" s="472" t="n">
        <v>25.166666666666668</v>
      </c>
      <c r="E87" s="409" t="n">
        <v>25.75</v>
      </c>
      <c r="F87" s="473" t="n">
        <v>29.0</v>
      </c>
      <c r="G87" s="408" t="n">
        <v>31.0</v>
      </c>
      <c r="H87" s="409" t="n">
        <v>30.0</v>
      </c>
      <c r="I87" s="474" t="n">
        <v>30.0</v>
      </c>
      <c r="J87" s="402" t="n">
        <f t="shared" si="17"/>
        <v>1.0459770114942528</v>
      </c>
      <c r="K87" s="408" t="n">
        <v>31.0</v>
      </c>
      <c r="L87" s="403" t="n">
        <f t="shared" si="18"/>
        <v>1.0689655172413792</v>
      </c>
      <c r="M87" s="408" t="n">
        <v>31.0</v>
      </c>
      <c r="N87" s="403" t="n">
        <f t="shared" si="19"/>
        <v>1.0689655172413792</v>
      </c>
      <c r="O87" s="408" t="n">
        <v>33.0</v>
      </c>
      <c r="P87" s="403" t="n">
        <f t="shared" si="20"/>
        <v>1.1379310344827587</v>
      </c>
      <c r="Q87" s="408" t="n">
        <v>33.0</v>
      </c>
      <c r="R87" s="403" t="n">
        <f t="shared" si="21"/>
        <v>1.1379310344827587</v>
      </c>
      <c r="S87" s="408" t="n">
        <v>32.0</v>
      </c>
      <c r="T87" s="411" t="n">
        <f t="shared" si="22"/>
        <v>1.103448275862069</v>
      </c>
    </row>
    <row r="88" spans="1:20">
      <c r="A88" s="19"/>
      <c r="B88" s="1055" t="s">
        <v>46</v>
      </c>
      <c r="C88" s="389" t="s">
        <v>16</v>
      </c>
      <c r="D88" s="472" t="n">
        <v>25408.342</v>
      </c>
      <c r="E88" s="409" t="n">
        <v>27393.558</v>
      </c>
      <c r="F88" s="473" t="n">
        <v>90099.3072</v>
      </c>
      <c r="G88" s="408" t="n">
        <v>6193.0</v>
      </c>
      <c r="H88" s="409" t="n">
        <v>6081.0</v>
      </c>
      <c r="I88" s="474" t="n">
        <v>6092.0</v>
      </c>
      <c r="J88" s="410" t="n">
        <f t="shared" si="17"/>
        <v>0.06794724832245991</v>
      </c>
      <c r="K88" s="408" t="n">
        <v>5979.0</v>
      </c>
      <c r="L88" s="411" t="n">
        <f t="shared" si="18"/>
        <v>0.06636011070238285</v>
      </c>
      <c r="M88" s="408" t="n">
        <v>5867.0</v>
      </c>
      <c r="N88" s="411" t="n">
        <f t="shared" si="19"/>
        <v>0.06511703788106375</v>
      </c>
      <c r="O88" s="408" t="n">
        <v>6280.0</v>
      </c>
      <c r="P88" s="411" t="n">
        <f t="shared" si="20"/>
        <v>0.06970086890967793</v>
      </c>
      <c r="Q88" s="408" t="n">
        <v>6494.0</v>
      </c>
      <c r="R88" s="411" t="n">
        <f t="shared" si="21"/>
        <v>0.07207602590755548</v>
      </c>
      <c r="S88" s="408" t="n">
        <v>6081.0</v>
      </c>
      <c r="T88" s="411" t="n">
        <f t="shared" si="22"/>
        <v>0.06749219487894131</v>
      </c>
    </row>
    <row r="89" spans="1:20">
      <c r="A89" s="19"/>
      <c r="B89" s="1056"/>
      <c r="C89" s="389" t="s">
        <v>25</v>
      </c>
      <c r="D89" s="475" t="n">
        <v>248.83333333333334</v>
      </c>
      <c r="E89" s="476" t="n">
        <v>270.3333333333333</v>
      </c>
      <c r="F89" s="477" t="n">
        <v>893.2</v>
      </c>
      <c r="G89" s="478"/>
      <c r="H89" s="476"/>
      <c r="I89" s="479"/>
      <c r="J89" s="402" t="n">
        <f t="shared" si="17"/>
        <v>0.0</v>
      </c>
      <c r="K89" s="478"/>
      <c r="L89" s="403" t="n">
        <f t="shared" si="18"/>
        <v>0.0</v>
      </c>
      <c r="M89" s="478"/>
      <c r="N89" s="403" t="n">
        <f t="shared" si="19"/>
        <v>0.0</v>
      </c>
      <c r="O89" s="478"/>
      <c r="P89" s="403" t="n">
        <f t="shared" si="20"/>
        <v>0.0</v>
      </c>
      <c r="Q89" s="478"/>
      <c r="R89" s="403" t="n">
        <f t="shared" si="21"/>
        <v>0.0</v>
      </c>
      <c r="S89" s="478"/>
      <c r="T89" s="411" t="n">
        <f t="shared" si="22"/>
        <v>0.0</v>
      </c>
    </row>
    <row r="90" spans="1:20">
      <c r="A90" s="19"/>
      <c r="B90" s="753"/>
      <c r="C90" s="389" t="s">
        <v>17</v>
      </c>
      <c r="D90" s="472" t="n">
        <v>26.833333333333332</v>
      </c>
      <c r="E90" s="409" t="n">
        <v>27.166666666666668</v>
      </c>
      <c r="F90" s="473" t="n">
        <v>60.0</v>
      </c>
      <c r="G90" s="408" t="n">
        <v>61.0</v>
      </c>
      <c r="H90" s="409" t="n">
        <v>60.0</v>
      </c>
      <c r="I90" s="474" t="n">
        <v>60.0</v>
      </c>
      <c r="J90" s="402" t="n">
        <f t="shared" si="17"/>
        <v>1.0055555555555555</v>
      </c>
      <c r="K90" s="408" t="n">
        <v>59.0</v>
      </c>
      <c r="L90" s="403" t="n">
        <f t="shared" si="18"/>
        <v>0.9833333333333333</v>
      </c>
      <c r="M90" s="408" t="n">
        <v>58.0</v>
      </c>
      <c r="N90" s="403" t="n">
        <f t="shared" si="19"/>
        <v>0.9666666666666667</v>
      </c>
      <c r="O90" s="408" t="n">
        <v>62.0</v>
      </c>
      <c r="P90" s="403" t="n">
        <f t="shared" si="20"/>
        <v>1.0333333333333334</v>
      </c>
      <c r="Q90" s="408" t="n">
        <v>64.0</v>
      </c>
      <c r="R90" s="403" t="n">
        <f t="shared" si="21"/>
        <v>1.0666666666666667</v>
      </c>
      <c r="S90" s="408" t="n">
        <v>60.0</v>
      </c>
      <c r="T90" s="411" t="n">
        <f t="shared" si="22"/>
        <v>1.0</v>
      </c>
    </row>
    <row r="91" spans="1:20">
      <c r="A91" s="19"/>
      <c r="B91" s="1057" t="s">
        <v>47</v>
      </c>
      <c r="C91" s="389" t="s">
        <v>16</v>
      </c>
      <c r="D91" s="472" t="n">
        <v>1218.821</v>
      </c>
      <c r="E91" s="409" t="n">
        <v>2327.563</v>
      </c>
      <c r="F91" s="473" t="n">
        <v>924.9984</v>
      </c>
      <c r="G91" s="408" t="n">
        <v>261.0</v>
      </c>
      <c r="H91" s="409" t="n">
        <v>261.0</v>
      </c>
      <c r="I91" s="474" t="n">
        <v>261.0</v>
      </c>
      <c r="J91" s="410" t="n">
        <f t="shared" si="17"/>
        <v>0.28216265022728687</v>
      </c>
      <c r="K91" s="408" t="n">
        <v>261.0</v>
      </c>
      <c r="L91" s="411" t="n">
        <f t="shared" si="18"/>
        <v>0.28216265022728687</v>
      </c>
      <c r="M91" s="408" t="n">
        <v>261.0</v>
      </c>
      <c r="N91" s="411" t="n">
        <f t="shared" si="19"/>
        <v>0.28216265022728687</v>
      </c>
      <c r="O91" s="408" t="n">
        <v>261.0</v>
      </c>
      <c r="P91" s="411" t="n">
        <f t="shared" si="20"/>
        <v>0.28216265022728687</v>
      </c>
      <c r="Q91" s="408" t="n">
        <v>261.0</v>
      </c>
      <c r="R91" s="411" t="n">
        <f t="shared" si="21"/>
        <v>0.28216265022728687</v>
      </c>
      <c r="S91" s="408" t="n">
        <v>261.0</v>
      </c>
      <c r="T91" s="411" t="n">
        <f t="shared" si="22"/>
        <v>0.28216265022728687</v>
      </c>
    </row>
    <row r="92" spans="1:20">
      <c r="A92" s="19"/>
      <c r="B92" s="1058"/>
      <c r="C92" s="389" t="s">
        <v>25</v>
      </c>
      <c r="D92" s="475" t="n">
        <v>10.083333333333334</v>
      </c>
      <c r="E92" s="476" t="n">
        <v>17.75</v>
      </c>
      <c r="F92" s="477" t="n">
        <v>7.2</v>
      </c>
      <c r="G92" s="478"/>
      <c r="H92" s="476"/>
      <c r="I92" s="479"/>
      <c r="J92" s="402" t="n">
        <f t="shared" si="17"/>
        <v>0.0</v>
      </c>
      <c r="K92" s="478"/>
      <c r="L92" s="403" t="n">
        <f t="shared" si="18"/>
        <v>0.0</v>
      </c>
      <c r="M92" s="478"/>
      <c r="N92" s="403" t="n">
        <f t="shared" si="19"/>
        <v>0.0</v>
      </c>
      <c r="O92" s="478"/>
      <c r="P92" s="403" t="n">
        <f t="shared" si="20"/>
        <v>0.0</v>
      </c>
      <c r="Q92" s="478"/>
      <c r="R92" s="403" t="n">
        <f t="shared" si="21"/>
        <v>0.0</v>
      </c>
      <c r="S92" s="478"/>
      <c r="T92" s="411" t="n">
        <f t="shared" si="22"/>
        <v>0.0</v>
      </c>
    </row>
    <row r="93" spans="1:20">
      <c r="A93" s="19"/>
      <c r="B93" s="753"/>
      <c r="C93" s="389" t="s">
        <v>17</v>
      </c>
      <c r="D93" s="472" t="n">
        <v>1.0833333333333333</v>
      </c>
      <c r="E93" s="409" t="n">
        <v>2.25</v>
      </c>
      <c r="F93" s="473" t="n">
        <v>2.0</v>
      </c>
      <c r="G93" s="408" t="n">
        <v>2.0</v>
      </c>
      <c r="H93" s="409" t="n">
        <v>2.0</v>
      </c>
      <c r="I93" s="474" t="n">
        <v>2.0</v>
      </c>
      <c r="J93" s="402" t="n">
        <f t="shared" si="17"/>
        <v>1.0</v>
      </c>
      <c r="K93" s="408" t="n">
        <v>2.0</v>
      </c>
      <c r="L93" s="403" t="n">
        <f t="shared" si="18"/>
        <v>1.0</v>
      </c>
      <c r="M93" s="408" t="n">
        <v>2.0</v>
      </c>
      <c r="N93" s="403" t="n">
        <f t="shared" si="19"/>
        <v>1.0</v>
      </c>
      <c r="O93" s="408" t="n">
        <v>2.0</v>
      </c>
      <c r="P93" s="403" t="n">
        <f t="shared" si="20"/>
        <v>1.0</v>
      </c>
      <c r="Q93" s="408" t="n">
        <v>2.0</v>
      </c>
      <c r="R93" s="403" t="n">
        <f t="shared" si="21"/>
        <v>1.0</v>
      </c>
      <c r="S93" s="408" t="n">
        <v>2.0</v>
      </c>
      <c r="T93" s="411" t="n">
        <f t="shared" si="22"/>
        <v>1.0</v>
      </c>
    </row>
    <row r="94" spans="1:20">
      <c r="A94" s="19"/>
      <c r="B94" s="1057" t="s">
        <v>48</v>
      </c>
      <c r="C94" s="389" t="s">
        <v>16</v>
      </c>
      <c r="D94" s="472" t="n">
        <v>0.0</v>
      </c>
      <c r="E94" s="409" t="n">
        <v>0.0</v>
      </c>
      <c r="F94" s="473" t="n">
        <v>0.0</v>
      </c>
      <c r="G94" s="408" t="n">
        <v>0.0</v>
      </c>
      <c r="H94" s="409" t="n">
        <v>0.0</v>
      </c>
      <c r="I94" s="474" t="n">
        <v>0.0</v>
      </c>
      <c r="J94" s="410" t="str">
        <f t="shared" si="17"/>
        <v>－</v>
      </c>
      <c r="K94" s="408" t="n">
        <v>0.0</v>
      </c>
      <c r="L94" s="411" t="str">
        <f t="shared" si="18"/>
        <v>－</v>
      </c>
      <c r="M94" s="408" t="n">
        <v>0.0</v>
      </c>
      <c r="N94" s="411" t="str">
        <f t="shared" si="19"/>
        <v>－</v>
      </c>
      <c r="O94" s="408" t="n">
        <v>0.0</v>
      </c>
      <c r="P94" s="411" t="str">
        <f t="shared" si="20"/>
        <v>－</v>
      </c>
      <c r="Q94" s="408" t="n">
        <v>0.0</v>
      </c>
      <c r="R94" s="411" t="str">
        <f t="shared" si="21"/>
        <v>－</v>
      </c>
      <c r="S94" s="408" t="n">
        <v>0.0</v>
      </c>
      <c r="T94" s="411" t="str">
        <f t="shared" si="22"/>
        <v>－</v>
      </c>
    </row>
    <row r="95" spans="1:20">
      <c r="A95" s="19"/>
      <c r="B95" s="1058"/>
      <c r="C95" s="389" t="s">
        <v>25</v>
      </c>
      <c r="D95" s="475" t="n">
        <v>0.0</v>
      </c>
      <c r="E95" s="476" t="n">
        <v>0.0</v>
      </c>
      <c r="F95" s="477" t="n">
        <v>0.0</v>
      </c>
      <c r="G95" s="478"/>
      <c r="H95" s="476"/>
      <c r="I95" s="479"/>
      <c r="J95" s="402" t="str">
        <f t="shared" si="17"/>
        <v>－</v>
      </c>
      <c r="K95" s="478"/>
      <c r="L95" s="403" t="str">
        <f t="shared" si="18"/>
        <v>－</v>
      </c>
      <c r="M95" s="478"/>
      <c r="N95" s="403" t="str">
        <f t="shared" si="19"/>
        <v>－</v>
      </c>
      <c r="O95" s="478"/>
      <c r="P95" s="403" t="str">
        <f t="shared" si="20"/>
        <v>－</v>
      </c>
      <c r="Q95" s="478"/>
      <c r="R95" s="403" t="str">
        <f t="shared" si="21"/>
        <v>－</v>
      </c>
      <c r="S95" s="478"/>
      <c r="T95" s="411" t="str">
        <f t="shared" si="22"/>
        <v>－</v>
      </c>
    </row>
    <row r="96" spans="1:20">
      <c r="A96" s="19"/>
      <c r="B96" s="28"/>
      <c r="C96" s="389" t="s">
        <v>17</v>
      </c>
      <c r="D96" s="472" t="n">
        <v>0.0</v>
      </c>
      <c r="E96" s="409" t="n">
        <v>0.0</v>
      </c>
      <c r="F96" s="473" t="n">
        <v>0.0</v>
      </c>
      <c r="G96" s="408" t="n">
        <v>0.0</v>
      </c>
      <c r="H96" s="409" t="n">
        <v>0.0</v>
      </c>
      <c r="I96" s="474" t="n">
        <v>0.0</v>
      </c>
      <c r="J96" s="402" t="str">
        <f t="shared" si="17"/>
        <v>－</v>
      </c>
      <c r="K96" s="408" t="n">
        <v>0.0</v>
      </c>
      <c r="L96" s="403" t="str">
        <f t="shared" si="18"/>
        <v>－</v>
      </c>
      <c r="M96" s="408" t="n">
        <v>0.0</v>
      </c>
      <c r="N96" s="403" t="str">
        <f t="shared" si="19"/>
        <v>－</v>
      </c>
      <c r="O96" s="408" t="n">
        <v>0.0</v>
      </c>
      <c r="P96" s="403" t="str">
        <f t="shared" si="20"/>
        <v>－</v>
      </c>
      <c r="Q96" s="408" t="n">
        <v>0.0</v>
      </c>
      <c r="R96" s="403" t="str">
        <f t="shared" si="21"/>
        <v>－</v>
      </c>
      <c r="S96" s="408" t="n">
        <v>0.0</v>
      </c>
      <c r="T96" s="411" t="str">
        <f t="shared" si="22"/>
        <v>－</v>
      </c>
    </row>
    <row r="97" spans="1:20">
      <c r="A97" s="19"/>
      <c r="B97" s="1057" t="s">
        <v>238</v>
      </c>
      <c r="C97" s="419" t="s">
        <v>16</v>
      </c>
      <c r="D97" s="480" t="n">
        <v>0.0</v>
      </c>
      <c r="E97" s="409" t="n">
        <v>0.0</v>
      </c>
      <c r="F97" s="473" t="n">
        <v>0.0</v>
      </c>
      <c r="G97" s="408" t="n">
        <v>0.0</v>
      </c>
      <c r="H97" s="409" t="n">
        <v>0.0</v>
      </c>
      <c r="I97" s="481" t="n">
        <v>0.0</v>
      </c>
      <c r="J97" s="482" t="str">
        <f t="shared" ref="J97:J99" si="23">IFERROR(SUM(G97:I97)/3/F97,"－")</f>
        <v>－</v>
      </c>
      <c r="K97" s="408" t="n">
        <v>0.0</v>
      </c>
      <c r="L97" s="483" t="str">
        <f t="shared" si="18"/>
        <v>－</v>
      </c>
      <c r="M97" s="408" t="n">
        <v>0.0</v>
      </c>
      <c r="N97" s="483" t="str">
        <f t="shared" si="19"/>
        <v>－</v>
      </c>
      <c r="O97" s="408" t="n">
        <v>0.0</v>
      </c>
      <c r="P97" s="483" t="str">
        <f t="shared" si="20"/>
        <v>－</v>
      </c>
      <c r="Q97" s="408" t="n">
        <v>0.0</v>
      </c>
      <c r="R97" s="483" t="str">
        <f t="shared" si="21"/>
        <v>－</v>
      </c>
      <c r="S97" s="408" t="n">
        <v>0.0</v>
      </c>
      <c r="T97" s="411" t="str">
        <f t="shared" si="22"/>
        <v>－</v>
      </c>
    </row>
    <row r="98" spans="1:20">
      <c r="A98" s="19"/>
      <c r="B98" s="1058"/>
      <c r="C98" s="419" t="s">
        <v>25</v>
      </c>
      <c r="D98" s="484" t="n">
        <v>0.0</v>
      </c>
      <c r="E98" s="476" t="n">
        <v>0.0</v>
      </c>
      <c r="F98" s="477" t="n">
        <v>0.0</v>
      </c>
      <c r="G98" s="478"/>
      <c r="H98" s="476"/>
      <c r="I98" s="485"/>
      <c r="J98" s="422" t="str">
        <f t="shared" si="23"/>
        <v>－</v>
      </c>
      <c r="K98" s="478"/>
      <c r="L98" s="423" t="str">
        <f t="shared" si="18"/>
        <v>－</v>
      </c>
      <c r="M98" s="478"/>
      <c r="N98" s="423" t="str">
        <f t="shared" si="19"/>
        <v>－</v>
      </c>
      <c r="O98" s="478"/>
      <c r="P98" s="423" t="str">
        <f t="shared" si="20"/>
        <v>－</v>
      </c>
      <c r="Q98" s="478"/>
      <c r="R98" s="423" t="str">
        <f t="shared" si="21"/>
        <v>－</v>
      </c>
      <c r="S98" s="478"/>
      <c r="T98" s="411" t="str">
        <f t="shared" si="22"/>
        <v>－</v>
      </c>
    </row>
    <row r="99" spans="1:20">
      <c r="A99" s="19"/>
      <c r="B99" s="28"/>
      <c r="C99" s="419" t="s">
        <v>17</v>
      </c>
      <c r="D99" s="480" t="n">
        <v>0.0</v>
      </c>
      <c r="E99" s="409" t="n">
        <v>0.0</v>
      </c>
      <c r="F99" s="473" t="n">
        <v>0.0</v>
      </c>
      <c r="G99" s="408" t="n">
        <v>0.0</v>
      </c>
      <c r="H99" s="409" t="n">
        <v>0.0</v>
      </c>
      <c r="I99" s="481" t="n">
        <v>0.0</v>
      </c>
      <c r="J99" s="422" t="str">
        <f t="shared" si="23"/>
        <v>－</v>
      </c>
      <c r="K99" s="408" t="n">
        <v>0.0</v>
      </c>
      <c r="L99" s="423" t="str">
        <f t="shared" si="18"/>
        <v>－</v>
      </c>
      <c r="M99" s="408" t="n">
        <v>0.0</v>
      </c>
      <c r="N99" s="423" t="str">
        <f t="shared" si="19"/>
        <v>－</v>
      </c>
      <c r="O99" s="408" t="n">
        <v>0.0</v>
      </c>
      <c r="P99" s="423" t="str">
        <f t="shared" si="20"/>
        <v>－</v>
      </c>
      <c r="Q99" s="408" t="n">
        <v>0.0</v>
      </c>
      <c r="R99" s="423" t="str">
        <f t="shared" si="21"/>
        <v>－</v>
      </c>
      <c r="S99" s="408" t="n">
        <v>0.0</v>
      </c>
      <c r="T99" s="411" t="str">
        <f t="shared" si="22"/>
        <v>－</v>
      </c>
    </row>
    <row r="100" spans="1:20">
      <c r="A100" s="19"/>
      <c r="B100" s="1055" t="s">
        <v>49</v>
      </c>
      <c r="C100" s="389" t="s">
        <v>16</v>
      </c>
      <c r="D100" s="472" t="n">
        <v>30679.294</v>
      </c>
      <c r="E100" s="409" t="n">
        <v>31305.06</v>
      </c>
      <c r="F100" s="473" t="n">
        <v>33050.424</v>
      </c>
      <c r="G100" s="408" t="n">
        <v>35387.0</v>
      </c>
      <c r="H100" s="409" t="n">
        <v>34366.0</v>
      </c>
      <c r="I100" s="474" t="n">
        <v>34573.0</v>
      </c>
      <c r="J100" s="410" t="n">
        <f t="shared" si="17"/>
        <v>1.0521902331217698</v>
      </c>
      <c r="K100" s="408" t="n">
        <v>34391.0</v>
      </c>
      <c r="L100" s="411" t="n">
        <f t="shared" si="18"/>
        <v>1.0405615371227916</v>
      </c>
      <c r="M100" s="408" t="n">
        <v>33656.0</v>
      </c>
      <c r="N100" s="411" t="n">
        <f t="shared" si="19"/>
        <v>1.0183227906546675</v>
      </c>
      <c r="O100" s="408" t="n">
        <v>36352.0</v>
      </c>
      <c r="P100" s="411" t="n">
        <f t="shared" si="20"/>
        <v>1.0998951178357046</v>
      </c>
      <c r="Q100" s="408" t="n">
        <v>37060.0</v>
      </c>
      <c r="R100" s="411" t="n">
        <f t="shared" si="21"/>
        <v>1.1213169307601016</v>
      </c>
      <c r="S100" s="408" t="n">
        <v>35423.0</v>
      </c>
      <c r="T100" s="411" t="n">
        <f t="shared" si="22"/>
        <v>1.0717865525719126</v>
      </c>
    </row>
    <row r="101" spans="1:20">
      <c r="A101" s="19"/>
      <c r="B101" s="1059"/>
      <c r="C101" s="389" t="s">
        <v>17</v>
      </c>
      <c r="D101" s="472" t="n">
        <v>199.58333333333334</v>
      </c>
      <c r="E101" s="409" t="n">
        <v>191.33333333333334</v>
      </c>
      <c r="F101" s="473" t="n">
        <v>204.0</v>
      </c>
      <c r="G101" s="408" t="n">
        <v>210.0</v>
      </c>
      <c r="H101" s="409" t="n">
        <v>206.0</v>
      </c>
      <c r="I101" s="474" t="n">
        <v>207.0</v>
      </c>
      <c r="J101" s="402" t="n">
        <f t="shared" si="17"/>
        <v>1.0179738562091503</v>
      </c>
      <c r="K101" s="408" t="n">
        <v>207.0</v>
      </c>
      <c r="L101" s="403" t="n">
        <f t="shared" si="18"/>
        <v>1.0147058823529411</v>
      </c>
      <c r="M101" s="408" t="n">
        <v>204.0</v>
      </c>
      <c r="N101" s="403" t="n">
        <f t="shared" si="19"/>
        <v>1.0</v>
      </c>
      <c r="O101" s="408" t="n">
        <v>220.0</v>
      </c>
      <c r="P101" s="403" t="n">
        <f t="shared" si="20"/>
        <v>1.0784313725490196</v>
      </c>
      <c r="Q101" s="408" t="n">
        <v>224.0</v>
      </c>
      <c r="R101" s="403" t="n">
        <f t="shared" si="21"/>
        <v>1.0980392156862746</v>
      </c>
      <c r="S101" s="408" t="n">
        <v>214.0</v>
      </c>
      <c r="T101" s="411" t="n">
        <f t="shared" si="22"/>
        <v>1.0490196078431373</v>
      </c>
    </row>
    <row r="102" spans="1:20">
      <c r="A102" s="19"/>
      <c r="B102" s="1057" t="s">
        <v>50</v>
      </c>
      <c r="C102" s="389" t="s">
        <v>16</v>
      </c>
      <c r="D102" s="472" t="n">
        <v>1345.838</v>
      </c>
      <c r="E102" s="409" t="n">
        <v>1722.55</v>
      </c>
      <c r="F102" s="473" t="n">
        <v>0.0</v>
      </c>
      <c r="G102" s="408" t="n">
        <v>0.0</v>
      </c>
      <c r="H102" s="409" t="n">
        <v>0.0</v>
      </c>
      <c r="I102" s="474" t="n">
        <v>0.0</v>
      </c>
      <c r="J102" s="402" t="str">
        <f t="shared" ref="J102:J105" si="24">IFERROR(SUM(G102:I102)/3/F102,"－")</f>
        <v>－</v>
      </c>
      <c r="K102" s="408" t="n">
        <v>0.0</v>
      </c>
      <c r="L102" s="403" t="str">
        <f t="shared" si="18"/>
        <v>－</v>
      </c>
      <c r="M102" s="408" t="n">
        <v>0.0</v>
      </c>
      <c r="N102" s="403" t="str">
        <f t="shared" si="19"/>
        <v>－</v>
      </c>
      <c r="O102" s="408" t="n">
        <v>0.0</v>
      </c>
      <c r="P102" s="403" t="str">
        <f t="shared" si="20"/>
        <v>－</v>
      </c>
      <c r="Q102" s="408" t="n">
        <v>0.0</v>
      </c>
      <c r="R102" s="403" t="str">
        <f t="shared" si="21"/>
        <v>－</v>
      </c>
      <c r="S102" s="408" t="n">
        <v>0.0</v>
      </c>
      <c r="T102" s="411" t="str">
        <f t="shared" si="22"/>
        <v>－</v>
      </c>
    </row>
    <row r="103" spans="1:20">
      <c r="A103" s="19"/>
      <c r="B103" s="1063"/>
      <c r="C103" s="389" t="s">
        <v>17</v>
      </c>
      <c r="D103" s="472" t="n">
        <v>3.1666666666666665</v>
      </c>
      <c r="E103" s="409" t="n">
        <v>3.75</v>
      </c>
      <c r="F103" s="473" t="n">
        <v>0.0</v>
      </c>
      <c r="G103" s="408" t="n">
        <v>0.0</v>
      </c>
      <c r="H103" s="409" t="n">
        <v>0.0</v>
      </c>
      <c r="I103" s="474" t="n">
        <v>0.0</v>
      </c>
      <c r="J103" s="402" t="str">
        <f t="shared" si="24"/>
        <v>－</v>
      </c>
      <c r="K103" s="408" t="n">
        <v>0.0</v>
      </c>
      <c r="L103" s="403" t="str">
        <f t="shared" si="18"/>
        <v>－</v>
      </c>
      <c r="M103" s="408" t="n">
        <v>0.0</v>
      </c>
      <c r="N103" s="403" t="str">
        <f t="shared" si="19"/>
        <v>－</v>
      </c>
      <c r="O103" s="408" t="n">
        <v>0.0</v>
      </c>
      <c r="P103" s="403" t="str">
        <f t="shared" si="20"/>
        <v>－</v>
      </c>
      <c r="Q103" s="408" t="n">
        <v>0.0</v>
      </c>
      <c r="R103" s="403" t="str">
        <f t="shared" si="21"/>
        <v>－</v>
      </c>
      <c r="S103" s="408" t="n">
        <v>0.0</v>
      </c>
      <c r="T103" s="411" t="str">
        <f t="shared" si="22"/>
        <v>－</v>
      </c>
    </row>
    <row r="104" spans="1:20">
      <c r="A104" s="19"/>
      <c r="B104" s="1057" t="s">
        <v>51</v>
      </c>
      <c r="C104" s="389" t="s">
        <v>16</v>
      </c>
      <c r="D104" s="472" t="n">
        <v>2244.187</v>
      </c>
      <c r="E104" s="409" t="n">
        <v>1812.993</v>
      </c>
      <c r="F104" s="473" t="n">
        <v>0.0</v>
      </c>
      <c r="G104" s="408" t="n">
        <v>0.0</v>
      </c>
      <c r="H104" s="409" t="n">
        <v>0.0</v>
      </c>
      <c r="I104" s="474" t="n">
        <v>0.0</v>
      </c>
      <c r="J104" s="402" t="str">
        <f t="shared" si="24"/>
        <v>－</v>
      </c>
      <c r="K104" s="408" t="n">
        <v>0.0</v>
      </c>
      <c r="L104" s="403" t="str">
        <f t="shared" si="18"/>
        <v>－</v>
      </c>
      <c r="M104" s="408" t="n">
        <v>0.0</v>
      </c>
      <c r="N104" s="403" t="str">
        <f t="shared" si="19"/>
        <v>－</v>
      </c>
      <c r="O104" s="408" t="n">
        <v>0.0</v>
      </c>
      <c r="P104" s="403" t="str">
        <f t="shared" si="20"/>
        <v>－</v>
      </c>
      <c r="Q104" s="408" t="n">
        <v>0.0</v>
      </c>
      <c r="R104" s="403" t="str">
        <f t="shared" si="21"/>
        <v>－</v>
      </c>
      <c r="S104" s="408" t="n">
        <v>0.0</v>
      </c>
      <c r="T104" s="411" t="str">
        <f t="shared" si="22"/>
        <v>－</v>
      </c>
    </row>
    <row r="105" spans="1:20">
      <c r="A105" s="19"/>
      <c r="B105" s="1063"/>
      <c r="C105" s="389" t="s">
        <v>17</v>
      </c>
      <c r="D105" s="472" t="n">
        <v>2.5</v>
      </c>
      <c r="E105" s="409" t="n">
        <v>1.8333333333333333</v>
      </c>
      <c r="F105" s="473" t="n">
        <v>0.0</v>
      </c>
      <c r="G105" s="408" t="n">
        <v>0.0</v>
      </c>
      <c r="H105" s="409" t="n">
        <v>0.0</v>
      </c>
      <c r="I105" s="474" t="n">
        <v>0.0</v>
      </c>
      <c r="J105" s="402" t="str">
        <f t="shared" si="24"/>
        <v>－</v>
      </c>
      <c r="K105" s="408" t="n">
        <v>0.0</v>
      </c>
      <c r="L105" s="403" t="str">
        <f t="shared" si="18"/>
        <v>－</v>
      </c>
      <c r="M105" s="408" t="n">
        <v>0.0</v>
      </c>
      <c r="N105" s="403" t="str">
        <f t="shared" si="19"/>
        <v>－</v>
      </c>
      <c r="O105" s="408" t="n">
        <v>0.0</v>
      </c>
      <c r="P105" s="403" t="str">
        <f t="shared" si="20"/>
        <v>－</v>
      </c>
      <c r="Q105" s="408" t="n">
        <v>0.0</v>
      </c>
      <c r="R105" s="403" t="str">
        <f t="shared" si="21"/>
        <v>－</v>
      </c>
      <c r="S105" s="408" t="n">
        <v>0.0</v>
      </c>
      <c r="T105" s="411" t="str">
        <f t="shared" si="22"/>
        <v>－</v>
      </c>
    </row>
    <row r="106" spans="1:20">
      <c r="A106" s="19"/>
      <c r="B106" s="1060" t="s">
        <v>52</v>
      </c>
      <c r="C106" s="1022" t="s">
        <v>16</v>
      </c>
      <c r="D106" s="480" t="n">
        <v>9985.366</v>
      </c>
      <c r="E106" s="409" t="n">
        <v>9718.954</v>
      </c>
      <c r="F106" s="473" t="n">
        <v>4862.832</v>
      </c>
      <c r="G106" s="408" t="n">
        <v>4722.0</v>
      </c>
      <c r="H106" s="409" t="n">
        <v>4722.0</v>
      </c>
      <c r="I106" s="481" t="n">
        <v>4722.0</v>
      </c>
      <c r="J106" s="482" t="n">
        <f>IFERROR(SUM(G106:I106)/3/F106,"－")</f>
        <v>0.971039098204503</v>
      </c>
      <c r="K106" s="408" t="n">
        <v>4722.0</v>
      </c>
      <c r="L106" s="483" t="n">
        <f>IFERROR(K106/F106,"－")</f>
        <v>0.971039098204503</v>
      </c>
      <c r="M106" s="408" t="n">
        <v>4722.0</v>
      </c>
      <c r="N106" s="483" t="n">
        <f t="shared" si="19"/>
        <v>0.971039098204503</v>
      </c>
      <c r="O106" s="408" t="n">
        <v>4722.0</v>
      </c>
      <c r="P106" s="483" t="n">
        <f t="shared" si="20"/>
        <v>0.971039098204503</v>
      </c>
      <c r="Q106" s="408" t="n">
        <v>4722.0</v>
      </c>
      <c r="R106" s="483" t="n">
        <f t="shared" si="21"/>
        <v>0.971039098204503</v>
      </c>
      <c r="S106" s="408" t="n">
        <v>4722.0</v>
      </c>
      <c r="T106" s="483" t="n">
        <f t="shared" si="22"/>
        <v>0.971039098204503</v>
      </c>
    </row>
    <row r="107" spans="1:20" ht="14.25" thickBot="1">
      <c r="A107" s="25"/>
      <c r="B107" s="1064"/>
      <c r="C107" s="1011" t="s">
        <v>17</v>
      </c>
      <c r="D107" s="480" t="n">
        <v>4.0</v>
      </c>
      <c r="E107" s="409" t="n">
        <v>3.8333333333333335</v>
      </c>
      <c r="F107" s="473" t="n">
        <v>2.0</v>
      </c>
      <c r="G107" s="408" t="n">
        <v>2.0</v>
      </c>
      <c r="H107" s="409" t="n">
        <v>2.0</v>
      </c>
      <c r="I107" s="481" t="n">
        <v>2.0</v>
      </c>
      <c r="J107" s="422" t="n">
        <f>IFERROR(SUM(G107:I107)/3/F107,"－")</f>
        <v>1.0</v>
      </c>
      <c r="K107" s="408" t="n">
        <v>2.0</v>
      </c>
      <c r="L107" s="423" t="n">
        <f>IFERROR(K107/F107,"－")</f>
        <v>1.0</v>
      </c>
      <c r="M107" s="408" t="n">
        <v>2.0</v>
      </c>
      <c r="N107" s="423" t="n">
        <f t="shared" si="19"/>
        <v>1.0</v>
      </c>
      <c r="O107" s="408" t="n">
        <v>2.0</v>
      </c>
      <c r="P107" s="423" t="n">
        <f t="shared" si="20"/>
        <v>1.0</v>
      </c>
      <c r="Q107" s="408" t="n">
        <v>2.0</v>
      </c>
      <c r="R107" s="423" t="n">
        <f t="shared" si="21"/>
        <v>1.0</v>
      </c>
      <c r="S107" s="408" t="n">
        <v>2.0</v>
      </c>
      <c r="T107" s="423" t="n">
        <f>IFERROR(S107/F107,"－")</f>
        <v>1.0</v>
      </c>
    </row>
    <row r="108" spans="1:20">
      <c r="A108" s="19" t="s">
        <v>53</v>
      </c>
      <c r="B108" s="380"/>
      <c r="C108" s="489"/>
      <c r="D108" s="490"/>
      <c r="E108" s="491"/>
      <c r="F108" s="492"/>
      <c r="G108" s="493"/>
      <c r="H108" s="491"/>
      <c r="I108" s="494"/>
      <c r="J108" s="495"/>
      <c r="K108" s="496"/>
      <c r="L108" s="497"/>
      <c r="M108" s="496"/>
      <c r="N108" s="497"/>
      <c r="O108" s="496"/>
      <c r="P108" s="497"/>
      <c r="Q108" s="496"/>
      <c r="R108" s="497"/>
      <c r="S108" s="496"/>
      <c r="T108" s="497"/>
    </row>
    <row r="109" spans="1:20">
      <c r="A109" s="24"/>
      <c r="B109" s="1057" t="s">
        <v>54</v>
      </c>
      <c r="C109" s="389" t="s">
        <v>16</v>
      </c>
      <c r="D109" s="472" t="n">
        <v>3429.375</v>
      </c>
      <c r="E109" s="409" t="n">
        <v>0.0</v>
      </c>
      <c r="F109" s="498" t="n">
        <v>0.0</v>
      </c>
      <c r="G109" s="473" t="n">
        <v>0.0</v>
      </c>
      <c r="H109" s="409" t="n">
        <v>0.0</v>
      </c>
      <c r="I109" s="474" t="n">
        <v>0.0</v>
      </c>
      <c r="J109" s="410" t="str">
        <f t="shared" ref="J109:J128" si="25">IFERROR(SUM(G109:I109)/3/F109,"－")</f>
        <v>－</v>
      </c>
      <c r="K109" s="408" t="n">
        <v>0.0</v>
      </c>
      <c r="L109" s="411" t="str">
        <f t="shared" ref="L109:L124" si="26">IFERROR(K109/F109,"－")</f>
        <v>－</v>
      </c>
      <c r="M109" s="408" t="n">
        <v>0.0</v>
      </c>
      <c r="N109" s="411" t="str">
        <f t="shared" si="19"/>
        <v>－</v>
      </c>
      <c r="O109" s="408" t="n">
        <v>0.0</v>
      </c>
      <c r="P109" s="411" t="str">
        <f t="shared" si="20"/>
        <v>－</v>
      </c>
      <c r="Q109" s="408" t="n">
        <v>0.0</v>
      </c>
      <c r="R109" s="411" t="str">
        <f t="shared" si="21"/>
        <v>－</v>
      </c>
      <c r="S109" s="408" t="n">
        <v>0.0</v>
      </c>
      <c r="T109" s="411" t="str">
        <f>IFERROR(S109/F109,"－")</f>
        <v>－</v>
      </c>
    </row>
    <row r="110" spans="1:20">
      <c r="A110" s="24"/>
      <c r="B110" s="1063"/>
      <c r="C110" s="389" t="s">
        <v>17</v>
      </c>
      <c r="D110" s="472" t="n">
        <v>2.0833333333333335</v>
      </c>
      <c r="E110" s="409" t="n">
        <v>0.0</v>
      </c>
      <c r="F110" s="498" t="n">
        <v>0.0</v>
      </c>
      <c r="G110" s="473" t="n">
        <v>0.0</v>
      </c>
      <c r="H110" s="409" t="n">
        <v>0.0</v>
      </c>
      <c r="I110" s="474" t="n">
        <v>0.0</v>
      </c>
      <c r="J110" s="412" t="str">
        <f t="shared" si="25"/>
        <v>－</v>
      </c>
      <c r="K110" s="408" t="n">
        <v>0.0</v>
      </c>
      <c r="L110" s="403" t="str">
        <f t="shared" si="26"/>
        <v>－</v>
      </c>
      <c r="M110" s="408" t="n">
        <v>0.0</v>
      </c>
      <c r="N110" s="403" t="str">
        <f t="shared" si="19"/>
        <v>－</v>
      </c>
      <c r="O110" s="408" t="n">
        <v>0.0</v>
      </c>
      <c r="P110" s="403" t="str">
        <f t="shared" si="20"/>
        <v>－</v>
      </c>
      <c r="Q110" s="408" t="n">
        <v>0.0</v>
      </c>
      <c r="R110" s="403" t="str">
        <f t="shared" si="21"/>
        <v>－</v>
      </c>
      <c r="S110" s="408" t="n">
        <v>0.0</v>
      </c>
      <c r="T110" s="411" t="str">
        <f t="shared" ref="T110:T127" si="27">IFERROR(S110/F110,"－")</f>
        <v>－</v>
      </c>
    </row>
    <row r="111" spans="1:20">
      <c r="A111" s="24"/>
      <c r="B111" s="1055" t="s">
        <v>55</v>
      </c>
      <c r="C111" s="389" t="s">
        <v>16</v>
      </c>
      <c r="D111" s="472" t="n">
        <v>0.0</v>
      </c>
      <c r="E111" s="409" t="n">
        <v>0.0</v>
      </c>
      <c r="F111" s="498" t="n">
        <v>0.0</v>
      </c>
      <c r="G111" s="473" t="n">
        <v>0.0</v>
      </c>
      <c r="H111" s="409" t="n">
        <v>0.0</v>
      </c>
      <c r="I111" s="474" t="n">
        <v>0.0</v>
      </c>
      <c r="J111" s="410" t="str">
        <f t="shared" si="25"/>
        <v>－</v>
      </c>
      <c r="K111" s="408" t="n">
        <v>0.0</v>
      </c>
      <c r="L111" s="411" t="str">
        <f t="shared" si="26"/>
        <v>－</v>
      </c>
      <c r="M111" s="408" t="n">
        <v>0.0</v>
      </c>
      <c r="N111" s="411" t="str">
        <f t="shared" si="19"/>
        <v>－</v>
      </c>
      <c r="O111" s="408" t="n">
        <v>0.0</v>
      </c>
      <c r="P111" s="411" t="str">
        <f t="shared" si="20"/>
        <v>－</v>
      </c>
      <c r="Q111" s="408" t="n">
        <v>0.0</v>
      </c>
      <c r="R111" s="411" t="str">
        <f t="shared" si="21"/>
        <v>－</v>
      </c>
      <c r="S111" s="408" t="n">
        <v>0.0</v>
      </c>
      <c r="T111" s="411" t="str">
        <f t="shared" si="27"/>
        <v>－</v>
      </c>
    </row>
    <row r="112" spans="1:20">
      <c r="A112" s="19"/>
      <c r="B112" s="1059"/>
      <c r="C112" s="389" t="s">
        <v>17</v>
      </c>
      <c r="D112" s="472" t="n">
        <v>0.0</v>
      </c>
      <c r="E112" s="409" t="n">
        <v>0.0</v>
      </c>
      <c r="F112" s="498" t="n">
        <v>0.0</v>
      </c>
      <c r="G112" s="473" t="n">
        <v>0.0</v>
      </c>
      <c r="H112" s="409" t="n">
        <v>0.0</v>
      </c>
      <c r="I112" s="474" t="n">
        <v>0.0</v>
      </c>
      <c r="J112" s="402" t="str">
        <f t="shared" si="25"/>
        <v>－</v>
      </c>
      <c r="K112" s="408" t="n">
        <v>0.0</v>
      </c>
      <c r="L112" s="403" t="str">
        <f t="shared" si="26"/>
        <v>－</v>
      </c>
      <c r="M112" s="408" t="n">
        <v>0.0</v>
      </c>
      <c r="N112" s="403" t="str">
        <f t="shared" si="19"/>
        <v>－</v>
      </c>
      <c r="O112" s="408" t="n">
        <v>0.0</v>
      </c>
      <c r="P112" s="403" t="str">
        <f t="shared" si="20"/>
        <v>－</v>
      </c>
      <c r="Q112" s="408" t="n">
        <v>0.0</v>
      </c>
      <c r="R112" s="403" t="str">
        <f t="shared" si="21"/>
        <v>－</v>
      </c>
      <c r="S112" s="408" t="n">
        <v>0.0</v>
      </c>
      <c r="T112" s="411" t="str">
        <f t="shared" si="27"/>
        <v>－</v>
      </c>
    </row>
    <row r="113" spans="1:20">
      <c r="A113" s="19"/>
      <c r="B113" s="1055" t="s">
        <v>94</v>
      </c>
      <c r="C113" s="389" t="s">
        <v>16</v>
      </c>
      <c r="D113" s="472" t="n">
        <v>0.0</v>
      </c>
      <c r="E113" s="409" t="n">
        <v>0.0</v>
      </c>
      <c r="F113" s="498" t="n">
        <v>0.0</v>
      </c>
      <c r="G113" s="473" t="n">
        <v>0.0</v>
      </c>
      <c r="H113" s="409" t="n">
        <v>0.0</v>
      </c>
      <c r="I113" s="474" t="n">
        <v>0.0</v>
      </c>
      <c r="J113" s="410" t="str">
        <f>IFERROR(SUM(G113:I113)/3/F113,"－")</f>
        <v>－</v>
      </c>
      <c r="K113" s="408" t="n">
        <v>0.0</v>
      </c>
      <c r="L113" s="429" t="str">
        <f t="shared" ref="L113:L115" si="28">IFERROR(K113/F113,"－")</f>
        <v>－</v>
      </c>
      <c r="M113" s="408" t="n">
        <v>0.0</v>
      </c>
      <c r="N113" s="429" t="str">
        <f t="shared" si="19"/>
        <v>－</v>
      </c>
      <c r="O113" s="408" t="n">
        <v>0.0</v>
      </c>
      <c r="P113" s="429" t="str">
        <f t="shared" si="20"/>
        <v>－</v>
      </c>
      <c r="Q113" s="408" t="n">
        <v>0.0</v>
      </c>
      <c r="R113" s="429" t="str">
        <f t="shared" si="21"/>
        <v>－</v>
      </c>
      <c r="S113" s="408" t="n">
        <v>0.0</v>
      </c>
      <c r="T113" s="411" t="str">
        <f t="shared" si="27"/>
        <v>－</v>
      </c>
    </row>
    <row r="114" spans="1:20">
      <c r="A114" s="19"/>
      <c r="B114" s="1056"/>
      <c r="C114" s="389" t="s">
        <v>19</v>
      </c>
      <c r="D114" s="475" t="n">
        <v>0.0</v>
      </c>
      <c r="E114" s="476" t="n">
        <v>0.0</v>
      </c>
      <c r="F114" s="499" t="n">
        <v>0.0</v>
      </c>
      <c r="G114" s="477"/>
      <c r="H114" s="476"/>
      <c r="I114" s="479"/>
      <c r="J114" s="402" t="str">
        <f>IFERROR(SUM(G114:I114)/3/F114,"－")</f>
        <v>－</v>
      </c>
      <c r="K114" s="478"/>
      <c r="L114" s="429" t="str">
        <f t="shared" si="28"/>
        <v>－</v>
      </c>
      <c r="M114" s="478"/>
      <c r="N114" s="429" t="str">
        <f t="shared" si="19"/>
        <v>－</v>
      </c>
      <c r="O114" s="478"/>
      <c r="P114" s="429" t="str">
        <f t="shared" si="20"/>
        <v>－</v>
      </c>
      <c r="Q114" s="478"/>
      <c r="R114" s="429" t="str">
        <f t="shared" si="21"/>
        <v>－</v>
      </c>
      <c r="S114" s="478"/>
      <c r="T114" s="411" t="str">
        <f t="shared" si="27"/>
        <v>－</v>
      </c>
    </row>
    <row r="115" spans="1:20">
      <c r="A115" s="19"/>
      <c r="B115" s="500"/>
      <c r="C115" s="389" t="s">
        <v>17</v>
      </c>
      <c r="D115" s="472" t="n">
        <v>0.0</v>
      </c>
      <c r="E115" s="409" t="n">
        <v>0.0</v>
      </c>
      <c r="F115" s="498" t="n">
        <v>0.0</v>
      </c>
      <c r="G115" s="473" t="n">
        <v>0.0</v>
      </c>
      <c r="H115" s="409" t="n">
        <v>0.0</v>
      </c>
      <c r="I115" s="474" t="n">
        <v>0.0</v>
      </c>
      <c r="J115" s="402" t="str">
        <f>IFERROR(SUM(G115:I115)/3/F115,"－")</f>
        <v>－</v>
      </c>
      <c r="K115" s="408" t="n">
        <v>0.0</v>
      </c>
      <c r="L115" s="429" t="str">
        <f t="shared" si="28"/>
        <v>－</v>
      </c>
      <c r="M115" s="408" t="n">
        <v>0.0</v>
      </c>
      <c r="N115" s="429" t="str">
        <f t="shared" si="19"/>
        <v>－</v>
      </c>
      <c r="O115" s="408" t="n">
        <v>0.0</v>
      </c>
      <c r="P115" s="429" t="str">
        <f t="shared" si="20"/>
        <v>－</v>
      </c>
      <c r="Q115" s="408" t="n">
        <v>0.0</v>
      </c>
      <c r="R115" s="429" t="str">
        <f t="shared" si="21"/>
        <v>－</v>
      </c>
      <c r="S115" s="408" t="n">
        <v>0.0</v>
      </c>
      <c r="T115" s="411" t="str">
        <f t="shared" si="27"/>
        <v>－</v>
      </c>
    </row>
    <row r="116" spans="1:20">
      <c r="A116" s="24"/>
      <c r="B116" s="1055" t="s">
        <v>56</v>
      </c>
      <c r="C116" s="389" t="s">
        <v>16</v>
      </c>
      <c r="D116" s="472" t="n">
        <v>10760.465</v>
      </c>
      <c r="E116" s="409" t="n">
        <v>12237.593</v>
      </c>
      <c r="F116" s="498" t="n">
        <v>8762.2092</v>
      </c>
      <c r="G116" s="473" t="n">
        <v>1977.0</v>
      </c>
      <c r="H116" s="409" t="n">
        <v>1977.0</v>
      </c>
      <c r="I116" s="474" t="n">
        <v>1977.0</v>
      </c>
      <c r="J116" s="410" t="n">
        <f t="shared" si="25"/>
        <v>0.2256280299721673</v>
      </c>
      <c r="K116" s="408" t="n">
        <v>1977.0</v>
      </c>
      <c r="L116" s="411" t="n">
        <f t="shared" si="26"/>
        <v>0.2256280299721673</v>
      </c>
      <c r="M116" s="408" t="n">
        <v>1977.0</v>
      </c>
      <c r="N116" s="411" t="n">
        <f t="shared" si="19"/>
        <v>0.2256280299721673</v>
      </c>
      <c r="O116" s="408" t="n">
        <v>2107.0</v>
      </c>
      <c r="P116" s="411" t="n">
        <f t="shared" si="20"/>
        <v>0.24046447099208726</v>
      </c>
      <c r="Q116" s="408" t="n">
        <v>2107.0</v>
      </c>
      <c r="R116" s="411" t="n">
        <f t="shared" si="21"/>
        <v>0.24046447099208726</v>
      </c>
      <c r="S116" s="408" t="n">
        <v>1977.0</v>
      </c>
      <c r="T116" s="411" t="n">
        <f t="shared" si="27"/>
        <v>0.2256280299721673</v>
      </c>
    </row>
    <row r="117" spans="1:20">
      <c r="A117" s="19"/>
      <c r="B117" s="1056"/>
      <c r="C117" s="389" t="s">
        <v>19</v>
      </c>
      <c r="D117" s="475" t="n">
        <v>87.5</v>
      </c>
      <c r="E117" s="476" t="n">
        <v>93.5</v>
      </c>
      <c r="F117" s="499" t="n">
        <v>66.3</v>
      </c>
      <c r="G117" s="477"/>
      <c r="H117" s="476"/>
      <c r="I117" s="479"/>
      <c r="J117" s="402" t="n">
        <f t="shared" si="25"/>
        <v>0.0</v>
      </c>
      <c r="K117" s="478"/>
      <c r="L117" s="403" t="n">
        <f t="shared" si="26"/>
        <v>0.0</v>
      </c>
      <c r="M117" s="478"/>
      <c r="N117" s="403" t="n">
        <f t="shared" si="19"/>
        <v>0.0</v>
      </c>
      <c r="O117" s="478"/>
      <c r="P117" s="403" t="n">
        <f t="shared" si="20"/>
        <v>0.0</v>
      </c>
      <c r="Q117" s="478"/>
      <c r="R117" s="403" t="n">
        <f t="shared" si="21"/>
        <v>0.0</v>
      </c>
      <c r="S117" s="478"/>
      <c r="T117" s="411" t="n">
        <f t="shared" si="27"/>
        <v>0.0</v>
      </c>
    </row>
    <row r="118" spans="1:20">
      <c r="A118" s="19"/>
      <c r="B118" s="437"/>
      <c r="C118" s="389" t="s">
        <v>17</v>
      </c>
      <c r="D118" s="472" t="n">
        <v>7.333333333333333</v>
      </c>
      <c r="E118" s="409" t="n">
        <v>9.5</v>
      </c>
      <c r="F118" s="498" t="n">
        <v>14.0</v>
      </c>
      <c r="G118" s="473" t="n">
        <v>15.0</v>
      </c>
      <c r="H118" s="409" t="n">
        <v>15.0</v>
      </c>
      <c r="I118" s="474" t="n">
        <v>15.0</v>
      </c>
      <c r="J118" s="402" t="n">
        <f t="shared" si="25"/>
        <v>1.0714285714285714</v>
      </c>
      <c r="K118" s="408" t="n">
        <v>15.0</v>
      </c>
      <c r="L118" s="403" t="n">
        <f t="shared" si="26"/>
        <v>1.0714285714285714</v>
      </c>
      <c r="M118" s="408" t="n">
        <v>15.0</v>
      </c>
      <c r="N118" s="403" t="n">
        <f t="shared" si="19"/>
        <v>1.0714285714285714</v>
      </c>
      <c r="O118" s="408" t="n">
        <v>16.0</v>
      </c>
      <c r="P118" s="403" t="n">
        <f t="shared" si="20"/>
        <v>1.1428571428571428</v>
      </c>
      <c r="Q118" s="408" t="n">
        <v>16.0</v>
      </c>
      <c r="R118" s="403" t="n">
        <f t="shared" si="21"/>
        <v>1.1428571428571428</v>
      </c>
      <c r="S118" s="408" t="n">
        <v>15.0</v>
      </c>
      <c r="T118" s="411" t="n">
        <f t="shared" si="27"/>
        <v>1.0714285714285714</v>
      </c>
    </row>
    <row r="119" spans="1:20">
      <c r="A119" s="24"/>
      <c r="B119" s="1055" t="s">
        <v>57</v>
      </c>
      <c r="C119" s="389" t="s">
        <v>16</v>
      </c>
      <c r="D119" s="472" t="n">
        <v>54142.693</v>
      </c>
      <c r="E119" s="409" t="n">
        <v>49578.79</v>
      </c>
      <c r="F119" s="498" t="n">
        <v>49850.796</v>
      </c>
      <c r="G119" s="473" t="n">
        <v>49183.0</v>
      </c>
      <c r="H119" s="409" t="n">
        <v>49183.0</v>
      </c>
      <c r="I119" s="474" t="n">
        <v>49183.0</v>
      </c>
      <c r="J119" s="410" t="n">
        <f t="shared" si="25"/>
        <v>0.9866041055793773</v>
      </c>
      <c r="K119" s="408" t="n">
        <v>49183.0</v>
      </c>
      <c r="L119" s="411" t="n">
        <f t="shared" si="26"/>
        <v>0.9866041055793773</v>
      </c>
      <c r="M119" s="408" t="n">
        <v>49183.0</v>
      </c>
      <c r="N119" s="411" t="n">
        <f t="shared" si="19"/>
        <v>0.9866041055793773</v>
      </c>
      <c r="O119" s="408" t="n">
        <v>56174.0</v>
      </c>
      <c r="P119" s="411" t="n">
        <f t="shared" si="20"/>
        <v>1.126842588431286</v>
      </c>
      <c r="Q119" s="408" t="n">
        <v>56174.0</v>
      </c>
      <c r="R119" s="411" t="n">
        <f t="shared" si="21"/>
        <v>1.126842588431286</v>
      </c>
      <c r="S119" s="408" t="n">
        <v>52332.0</v>
      </c>
      <c r="T119" s="411" t="n">
        <f t="shared" si="27"/>
        <v>1.0497726054364307</v>
      </c>
    </row>
    <row r="120" spans="1:20">
      <c r="A120" s="19"/>
      <c r="B120" s="1059"/>
      <c r="C120" s="389" t="s">
        <v>17</v>
      </c>
      <c r="D120" s="472" t="n">
        <v>25.333333333333332</v>
      </c>
      <c r="E120" s="409" t="n">
        <v>22.166666666666668</v>
      </c>
      <c r="F120" s="498" t="n">
        <v>24.0</v>
      </c>
      <c r="G120" s="473" t="n">
        <v>22.0</v>
      </c>
      <c r="H120" s="409" t="n">
        <v>22.0</v>
      </c>
      <c r="I120" s="474" t="n">
        <v>22.0</v>
      </c>
      <c r="J120" s="402" t="n">
        <f t="shared" si="25"/>
        <v>0.9166666666666666</v>
      </c>
      <c r="K120" s="408" t="n">
        <v>22.0</v>
      </c>
      <c r="L120" s="403" t="n">
        <f t="shared" si="26"/>
        <v>0.9166666666666666</v>
      </c>
      <c r="M120" s="408" t="n">
        <v>22.0</v>
      </c>
      <c r="N120" s="403" t="n">
        <f t="shared" si="19"/>
        <v>0.9166666666666666</v>
      </c>
      <c r="O120" s="408" t="n">
        <v>25.0</v>
      </c>
      <c r="P120" s="403" t="n">
        <f t="shared" si="20"/>
        <v>1.0416666666666667</v>
      </c>
      <c r="Q120" s="408" t="n">
        <v>25.0</v>
      </c>
      <c r="R120" s="403" t="n">
        <f t="shared" si="21"/>
        <v>1.0416666666666667</v>
      </c>
      <c r="S120" s="408" t="n">
        <v>23.0</v>
      </c>
      <c r="T120" s="411" t="n">
        <f t="shared" si="27"/>
        <v>0.9583333333333334</v>
      </c>
    </row>
    <row r="121" spans="1:20">
      <c r="A121" s="19"/>
      <c r="B121" s="1060" t="s">
        <v>58</v>
      </c>
      <c r="C121" s="389" t="s">
        <v>16</v>
      </c>
      <c r="D121" s="472" t="n">
        <v>155374.451</v>
      </c>
      <c r="E121" s="409" t="n">
        <v>134379.931</v>
      </c>
      <c r="F121" s="498" t="n">
        <v>146803.368</v>
      </c>
      <c r="G121" s="473" t="n">
        <v>137141.0</v>
      </c>
      <c r="H121" s="409" t="n">
        <v>134057.0</v>
      </c>
      <c r="I121" s="474" t="n">
        <v>134057.0</v>
      </c>
      <c r="J121" s="410" t="n">
        <f t="shared" si="25"/>
        <v>0.9201764362790369</v>
      </c>
      <c r="K121" s="408" t="n">
        <v>134057.0</v>
      </c>
      <c r="L121" s="411" t="n">
        <f t="shared" si="26"/>
        <v>0.9131738721416801</v>
      </c>
      <c r="M121" s="408" t="n">
        <v>134057.0</v>
      </c>
      <c r="N121" s="411" t="n">
        <f t="shared" si="19"/>
        <v>0.9131738721416801</v>
      </c>
      <c r="O121" s="408" t="n">
        <v>139997.0</v>
      </c>
      <c r="P121" s="411" t="n">
        <f t="shared" si="20"/>
        <v>0.9536361590832168</v>
      </c>
      <c r="Q121" s="408" t="n">
        <v>149295.0</v>
      </c>
      <c r="R121" s="411" t="n">
        <f t="shared" si="21"/>
        <v>1.0169725806290766</v>
      </c>
      <c r="S121" s="408" t="n">
        <v>140318.0</v>
      </c>
      <c r="T121" s="411" t="n">
        <f t="shared" si="27"/>
        <v>0.9558227574179362</v>
      </c>
    </row>
    <row r="122" spans="1:20">
      <c r="A122" s="19"/>
      <c r="B122" s="1061"/>
      <c r="C122" s="389" t="s">
        <v>17</v>
      </c>
      <c r="D122" s="472" t="n">
        <v>48.666666666666664</v>
      </c>
      <c r="E122" s="409" t="n">
        <v>43.916666666666664</v>
      </c>
      <c r="F122" s="498" t="n">
        <v>43.0</v>
      </c>
      <c r="G122" s="473" t="n">
        <v>45.0</v>
      </c>
      <c r="H122" s="409" t="n">
        <v>44.0</v>
      </c>
      <c r="I122" s="474" t="n">
        <v>44.0</v>
      </c>
      <c r="J122" s="402" t="n">
        <f t="shared" si="25"/>
        <v>1.0310077519379846</v>
      </c>
      <c r="K122" s="408" t="n">
        <v>44.0</v>
      </c>
      <c r="L122" s="403" t="n">
        <f t="shared" si="26"/>
        <v>1.0232558139534884</v>
      </c>
      <c r="M122" s="408" t="n">
        <v>44.0</v>
      </c>
      <c r="N122" s="403" t="n">
        <f t="shared" si="19"/>
        <v>1.0232558139534884</v>
      </c>
      <c r="O122" s="408" t="n">
        <v>46.0</v>
      </c>
      <c r="P122" s="403" t="n">
        <f t="shared" si="20"/>
        <v>1.069767441860465</v>
      </c>
      <c r="Q122" s="408" t="n">
        <v>49.0</v>
      </c>
      <c r="R122" s="403" t="n">
        <f t="shared" si="21"/>
        <v>1.1395348837209303</v>
      </c>
      <c r="S122" s="408" t="n">
        <v>46.0</v>
      </c>
      <c r="T122" s="411" t="n">
        <f t="shared" si="27"/>
        <v>1.069767441860465</v>
      </c>
    </row>
    <row r="123" spans="1:20">
      <c r="A123" s="19"/>
      <c r="B123" s="1060" t="s">
        <v>59</v>
      </c>
      <c r="C123" s="389" t="s">
        <v>16</v>
      </c>
      <c r="D123" s="472" t="n">
        <v>0.0</v>
      </c>
      <c r="E123" s="409" t="n">
        <v>0.0</v>
      </c>
      <c r="F123" s="498" t="n">
        <v>0.0</v>
      </c>
      <c r="G123" s="473" t="n">
        <v>0.0</v>
      </c>
      <c r="H123" s="409" t="n">
        <v>0.0</v>
      </c>
      <c r="I123" s="474" t="n">
        <v>0.0</v>
      </c>
      <c r="J123" s="410" t="str">
        <f t="shared" si="25"/>
        <v>－</v>
      </c>
      <c r="K123" s="408" t="n">
        <v>0.0</v>
      </c>
      <c r="L123" s="403" t="str">
        <f t="shared" si="26"/>
        <v>－</v>
      </c>
      <c r="M123" s="408" t="n">
        <v>0.0</v>
      </c>
      <c r="N123" s="403" t="str">
        <f t="shared" si="19"/>
        <v>－</v>
      </c>
      <c r="O123" s="408" t="n">
        <v>0.0</v>
      </c>
      <c r="P123" s="403" t="str">
        <f t="shared" si="20"/>
        <v>－</v>
      </c>
      <c r="Q123" s="408" t="n">
        <v>0.0</v>
      </c>
      <c r="R123" s="403" t="str">
        <f t="shared" si="21"/>
        <v>－</v>
      </c>
      <c r="S123" s="408" t="n">
        <v>0.0</v>
      </c>
      <c r="T123" s="411" t="str">
        <f t="shared" si="27"/>
        <v>－</v>
      </c>
    </row>
    <row r="124" spans="1:20">
      <c r="A124" s="19"/>
      <c r="B124" s="1061"/>
      <c r="C124" s="389" t="s">
        <v>17</v>
      </c>
      <c r="D124" s="472" t="n">
        <v>0.0</v>
      </c>
      <c r="E124" s="409" t="n">
        <v>0.0</v>
      </c>
      <c r="F124" s="498" t="n">
        <v>0.0</v>
      </c>
      <c r="G124" s="473" t="n">
        <v>0.0</v>
      </c>
      <c r="H124" s="409" t="n">
        <v>0.0</v>
      </c>
      <c r="I124" s="474" t="n">
        <v>0.0</v>
      </c>
      <c r="J124" s="402" t="str">
        <f t="shared" si="25"/>
        <v>－</v>
      </c>
      <c r="K124" s="408" t="n">
        <v>0.0</v>
      </c>
      <c r="L124" s="403" t="str">
        <f t="shared" si="26"/>
        <v>－</v>
      </c>
      <c r="M124" s="408" t="n">
        <v>0.0</v>
      </c>
      <c r="N124" s="403" t="str">
        <f t="shared" si="19"/>
        <v>－</v>
      </c>
      <c r="O124" s="408" t="n">
        <v>0.0</v>
      </c>
      <c r="P124" s="403" t="str">
        <f t="shared" si="20"/>
        <v>－</v>
      </c>
      <c r="Q124" s="408" t="n">
        <v>0.0</v>
      </c>
      <c r="R124" s="403" t="str">
        <f t="shared" si="21"/>
        <v>－</v>
      </c>
      <c r="S124" s="408" t="n">
        <v>0.0</v>
      </c>
      <c r="T124" s="411" t="str">
        <f t="shared" si="27"/>
        <v>－</v>
      </c>
    </row>
    <row r="125" spans="1:20">
      <c r="A125" s="19"/>
      <c r="B125" s="1060" t="s">
        <v>60</v>
      </c>
      <c r="C125" s="389" t="s">
        <v>16</v>
      </c>
      <c r="D125" s="472" t="n">
        <v>131702.142</v>
      </c>
      <c r="E125" s="409" t="n">
        <v>126349.635</v>
      </c>
      <c r="F125" s="498" t="n">
        <v>129127.584</v>
      </c>
      <c r="G125" s="473" t="n">
        <v>123350.0</v>
      </c>
      <c r="H125" s="409" t="n">
        <v>123350.0</v>
      </c>
      <c r="I125" s="474" t="n">
        <v>123350.0</v>
      </c>
      <c r="J125" s="410" t="n">
        <f t="shared" si="25"/>
        <v>0.9552567792176767</v>
      </c>
      <c r="K125" s="408" t="n">
        <v>126694.0</v>
      </c>
      <c r="L125" s="411" t="n">
        <f t="shared" ref="L125:L130" si="29">IFERROR(K125/F125,"－")</f>
        <v>0.9811536472331117</v>
      </c>
      <c r="M125" s="408" t="n">
        <v>117525.0</v>
      </c>
      <c r="N125" s="411" t="n">
        <f t="shared" si="19"/>
        <v>0.9101463557159096</v>
      </c>
      <c r="O125" s="408" t="n">
        <v>130032.0</v>
      </c>
      <c r="P125" s="411" t="n">
        <f t="shared" si="20"/>
        <v>1.0070040495762702</v>
      </c>
      <c r="Q125" s="408" t="n">
        <v>133160.0</v>
      </c>
      <c r="R125" s="411" t="n">
        <f t="shared" si="21"/>
        <v>1.0312281533897514</v>
      </c>
      <c r="S125" s="408" t="n">
        <v>130032.0</v>
      </c>
      <c r="T125" s="411" t="n">
        <f t="shared" si="27"/>
        <v>1.0070040495762702</v>
      </c>
    </row>
    <row r="126" spans="1:20">
      <c r="A126" s="19"/>
      <c r="B126" s="1061"/>
      <c r="C126" s="389" t="s">
        <v>17</v>
      </c>
      <c r="D126" s="472" t="n">
        <v>42.166666666666664</v>
      </c>
      <c r="E126" s="409" t="n">
        <v>41.166666666666664</v>
      </c>
      <c r="F126" s="498" t="n">
        <v>40.0</v>
      </c>
      <c r="G126" s="473" t="n">
        <v>40.0</v>
      </c>
      <c r="H126" s="409" t="n">
        <v>40.0</v>
      </c>
      <c r="I126" s="474" t="n">
        <v>40.0</v>
      </c>
      <c r="J126" s="402" t="n">
        <f t="shared" si="25"/>
        <v>1.0</v>
      </c>
      <c r="K126" s="408" t="n">
        <v>41.0</v>
      </c>
      <c r="L126" s="403" t="n">
        <f t="shared" si="29"/>
        <v>1.025</v>
      </c>
      <c r="M126" s="408" t="n">
        <v>38.0</v>
      </c>
      <c r="N126" s="403" t="n">
        <f t="shared" si="19"/>
        <v>0.95</v>
      </c>
      <c r="O126" s="408" t="n">
        <v>42.0</v>
      </c>
      <c r="P126" s="403" t="n">
        <f t="shared" si="20"/>
        <v>1.05</v>
      </c>
      <c r="Q126" s="408" t="n">
        <v>43.0</v>
      </c>
      <c r="R126" s="403" t="n">
        <f t="shared" si="21"/>
        <v>1.075</v>
      </c>
      <c r="S126" s="408" t="n">
        <v>42.0</v>
      </c>
      <c r="T126" s="411" t="n">
        <f t="shared" si="27"/>
        <v>1.05</v>
      </c>
    </row>
    <row r="127" spans="1:20">
      <c r="A127" s="19"/>
      <c r="B127" s="1057" t="s">
        <v>91</v>
      </c>
      <c r="C127" s="389" t="s">
        <v>16</v>
      </c>
      <c r="D127" s="472" t="n">
        <v>0.0</v>
      </c>
      <c r="E127" s="409" t="n">
        <v>0.0</v>
      </c>
      <c r="F127" s="498" t="n">
        <v>0.0</v>
      </c>
      <c r="G127" s="473" t="n">
        <v>0.0</v>
      </c>
      <c r="H127" s="409" t="n">
        <v>0.0</v>
      </c>
      <c r="I127" s="474" t="n">
        <v>0.0</v>
      </c>
      <c r="J127" s="410" t="str">
        <f t="shared" si="25"/>
        <v>－</v>
      </c>
      <c r="K127" s="408" t="n">
        <v>0.0</v>
      </c>
      <c r="L127" s="411" t="str">
        <f t="shared" si="29"/>
        <v>－</v>
      </c>
      <c r="M127" s="408" t="n">
        <v>0.0</v>
      </c>
      <c r="N127" s="411" t="str">
        <f t="shared" si="19"/>
        <v>－</v>
      </c>
      <c r="O127" s="408" t="n">
        <v>0.0</v>
      </c>
      <c r="P127" s="411" t="str">
        <f t="shared" si="20"/>
        <v>－</v>
      </c>
      <c r="Q127" s="408" t="n">
        <v>0.0</v>
      </c>
      <c r="R127" s="411" t="str">
        <f t="shared" si="21"/>
        <v>－</v>
      </c>
      <c r="S127" s="408" t="n">
        <v>0.0</v>
      </c>
      <c r="T127" s="411" t="str">
        <f t="shared" si="27"/>
        <v>－</v>
      </c>
    </row>
    <row r="128" spans="1:20" ht="14.25" thickBot="1">
      <c r="A128" s="19"/>
      <c r="B128" s="1063"/>
      <c r="C128" s="389" t="s">
        <v>17</v>
      </c>
      <c r="D128" s="472" t="n">
        <v>0.0</v>
      </c>
      <c r="E128" s="409" t="n">
        <v>0.0</v>
      </c>
      <c r="F128" s="498" t="n">
        <v>0.0</v>
      </c>
      <c r="G128" s="501" t="n">
        <v>0.0</v>
      </c>
      <c r="H128" s="502" t="n">
        <v>0.0</v>
      </c>
      <c r="I128" s="503" t="n">
        <v>0.0</v>
      </c>
      <c r="J128" s="428" t="str">
        <f t="shared" si="25"/>
        <v>－</v>
      </c>
      <c r="K128" s="504" t="n">
        <v>0.0</v>
      </c>
      <c r="L128" s="429" t="str">
        <f t="shared" si="29"/>
        <v>－</v>
      </c>
      <c r="M128" s="504" t="n">
        <v>0.0</v>
      </c>
      <c r="N128" s="429" t="str">
        <f t="shared" si="19"/>
        <v>－</v>
      </c>
      <c r="O128" s="504" t="n">
        <v>0.0</v>
      </c>
      <c r="P128" s="429" t="str">
        <f t="shared" si="20"/>
        <v>－</v>
      </c>
      <c r="Q128" s="504" t="n">
        <v>0.0</v>
      </c>
      <c r="R128" s="429" t="str">
        <f t="shared" si="21"/>
        <v>－</v>
      </c>
      <c r="S128" s="504" t="n">
        <v>0.0</v>
      </c>
      <c r="T128" s="429" t="str">
        <f>IFERROR(S128/F128,"－")</f>
        <v>－</v>
      </c>
    </row>
    <row r="129" spans="1:20" hidden="1">
      <c r="A129" s="19"/>
      <c r="B129" s="1057"/>
      <c r="C129" s="389" t="s">
        <v>16</v>
      </c>
      <c r="D129" s="507"/>
      <c r="E129" s="879"/>
      <c r="F129" s="933"/>
      <c r="G129" s="473"/>
      <c r="H129" s="409"/>
      <c r="I129" s="474"/>
      <c r="J129" s="410" t="str">
        <f>IFERROR(SUM(G129:I129)/3/F129,"－")</f>
        <v>－</v>
      </c>
      <c r="K129" s="408"/>
      <c r="L129" s="411" t="str">
        <f t="shared" si="29"/>
        <v>－</v>
      </c>
      <c r="M129" s="408"/>
      <c r="N129" s="411" t="str">
        <f t="shared" ref="N129:N130" si="30">IFERROR(M129/F129,"－")</f>
        <v>－</v>
      </c>
      <c r="O129" s="408"/>
      <c r="P129" s="411" t="str">
        <f t="shared" ref="P129:P130" si="31">IFERROR(O129/F129,"－")</f>
        <v>－</v>
      </c>
      <c r="Q129" s="408"/>
      <c r="R129" s="411" t="str">
        <f t="shared" ref="R129:R130" si="32">IFERROR(Q129/F129,"－")</f>
        <v>－</v>
      </c>
      <c r="S129" s="408"/>
      <c r="T129" s="411" t="str">
        <f t="shared" ref="T129" si="33">IFERROR(S129/F129,"－")</f>
        <v>－</v>
      </c>
    </row>
    <row r="130" spans="1:20" ht="14.25" hidden="1" thickBot="1">
      <c r="A130" s="19"/>
      <c r="B130" s="1063"/>
      <c r="C130" s="389" t="s">
        <v>17</v>
      </c>
      <c r="D130" s="512"/>
      <c r="E130" s="880"/>
      <c r="F130" s="970"/>
      <c r="G130" s="473"/>
      <c r="H130" s="502"/>
      <c r="I130" s="503"/>
      <c r="J130" s="428" t="str">
        <f>IFERROR(SUM(G130:I130)/3/F130,"－")</f>
        <v>－</v>
      </c>
      <c r="K130" s="504"/>
      <c r="L130" s="429" t="str">
        <f t="shared" si="29"/>
        <v>－</v>
      </c>
      <c r="M130" s="504"/>
      <c r="N130" s="429" t="str">
        <f t="shared" si="30"/>
        <v>－</v>
      </c>
      <c r="O130" s="504"/>
      <c r="P130" s="429" t="str">
        <f t="shared" si="31"/>
        <v>－</v>
      </c>
      <c r="Q130" s="504"/>
      <c r="R130" s="429" t="str">
        <f t="shared" si="32"/>
        <v>－</v>
      </c>
      <c r="S130" s="504"/>
      <c r="T130" s="429" t="str">
        <f>IFERROR(S130/F130,"－")</f>
        <v>－</v>
      </c>
    </row>
    <row r="131" spans="1:20">
      <c r="A131" s="505" t="s">
        <v>61</v>
      </c>
      <c r="B131" s="506"/>
      <c r="C131" s="430"/>
      <c r="D131" s="496"/>
      <c r="E131" s="491"/>
      <c r="F131" s="969"/>
      <c r="G131" s="493"/>
      <c r="H131" s="491"/>
      <c r="I131" s="494"/>
      <c r="J131" s="495"/>
      <c r="K131" s="496"/>
      <c r="L131" s="497"/>
      <c r="M131" s="496"/>
      <c r="N131" s="497"/>
      <c r="O131" s="496"/>
      <c r="P131" s="497"/>
      <c r="Q131" s="496"/>
      <c r="R131" s="497"/>
      <c r="S131" s="496"/>
      <c r="T131" s="497"/>
    </row>
    <row r="132" spans="1:20">
      <c r="A132" s="19"/>
      <c r="B132" s="1060" t="s">
        <v>62</v>
      </c>
      <c r="C132" s="389" t="s">
        <v>16</v>
      </c>
      <c r="D132" s="472" t="n">
        <v>219177.381</v>
      </c>
      <c r="E132" s="409" t="n">
        <v>204849.691</v>
      </c>
      <c r="F132" s="498" t="n">
        <v>184309.152</v>
      </c>
      <c r="G132" s="473" t="n">
        <v>178304.0</v>
      </c>
      <c r="H132" s="409" t="n">
        <v>178304.0</v>
      </c>
      <c r="I132" s="474" t="n">
        <v>178304.0</v>
      </c>
      <c r="J132" s="410" t="n">
        <f t="shared" ref="J132:J141" si="34">IFERROR(SUM(G132:I132)/3/F132,"－")</f>
        <v>0.9674180476941264</v>
      </c>
      <c r="K132" s="408" t="n">
        <v>186577.0</v>
      </c>
      <c r="L132" s="411" t="n">
        <f t="shared" ref="L132:L144" si="35">IFERROR(K132/F132,"－")</f>
        <v>1.0123045870234377</v>
      </c>
      <c r="M132" s="408" t="n">
        <v>177638.0</v>
      </c>
      <c r="N132" s="411" t="n">
        <f t="shared" si="19"/>
        <v>0.9638045537749531</v>
      </c>
      <c r="O132" s="408" t="n">
        <v>192887.0</v>
      </c>
      <c r="P132" s="411" t="n">
        <f t="shared" si="20"/>
        <v>1.0465405429243144</v>
      </c>
      <c r="Q132" s="408" t="n">
        <v>201826.0</v>
      </c>
      <c r="R132" s="411" t="n">
        <f t="shared" si="21"/>
        <v>1.095040576172799</v>
      </c>
      <c r="S132" s="408" t="n">
        <v>195903.0</v>
      </c>
      <c r="T132" s="411" t="n">
        <f>IFERROR(S132/F132,"－")</f>
        <v>1.0629043532249554</v>
      </c>
    </row>
    <row r="133" spans="1:20">
      <c r="A133" s="19"/>
      <c r="B133" s="1061"/>
      <c r="C133" s="389" t="s">
        <v>17</v>
      </c>
      <c r="D133" s="472" t="n">
        <v>70.75</v>
      </c>
      <c r="E133" s="409" t="n">
        <v>67.91666666666667</v>
      </c>
      <c r="F133" s="498" t="n">
        <v>59.0</v>
      </c>
      <c r="G133" s="473" t="n">
        <v>59.0</v>
      </c>
      <c r="H133" s="409" t="n">
        <v>59.0</v>
      </c>
      <c r="I133" s="474" t="n">
        <v>59.0</v>
      </c>
      <c r="J133" s="402" t="n">
        <f t="shared" si="34"/>
        <v>1.0</v>
      </c>
      <c r="K133" s="408" t="n">
        <v>62.0</v>
      </c>
      <c r="L133" s="403" t="n">
        <f t="shared" si="35"/>
        <v>1.0508474576271187</v>
      </c>
      <c r="M133" s="408" t="n">
        <v>59.0</v>
      </c>
      <c r="N133" s="403" t="n">
        <f t="shared" si="19"/>
        <v>1.0</v>
      </c>
      <c r="O133" s="408" t="n">
        <v>64.0</v>
      </c>
      <c r="P133" s="403" t="n">
        <f t="shared" si="20"/>
        <v>1.0847457627118644</v>
      </c>
      <c r="Q133" s="408" t="n">
        <v>67.0</v>
      </c>
      <c r="R133" s="403" t="n">
        <f t="shared" si="21"/>
        <v>1.1355932203389831</v>
      </c>
      <c r="S133" s="408" t="n">
        <v>65.0</v>
      </c>
      <c r="T133" s="411" t="n">
        <f t="shared" ref="T133:T137" si="36">IFERROR(S133/F133,"－")</f>
        <v>1.1016949152542372</v>
      </c>
    </row>
    <row r="134" spans="1:20">
      <c r="A134" s="19"/>
      <c r="B134" s="1060" t="s">
        <v>65</v>
      </c>
      <c r="C134" s="389" t="s">
        <v>16</v>
      </c>
      <c r="D134" s="472" t="n">
        <v>116436.88</v>
      </c>
      <c r="E134" s="409" t="n">
        <v>92523.146</v>
      </c>
      <c r="F134" s="498" t="n">
        <v>87734.88</v>
      </c>
      <c r="G134" s="473" t="n">
        <v>86034.0</v>
      </c>
      <c r="H134" s="409" t="n">
        <v>86034.0</v>
      </c>
      <c r="I134" s="474" t="n">
        <v>86034.0</v>
      </c>
      <c r="J134" s="410" t="n">
        <f t="shared" si="34"/>
        <v>0.9806134116784567</v>
      </c>
      <c r="K134" s="408" t="n">
        <v>89355.0</v>
      </c>
      <c r="L134" s="411" t="n">
        <f t="shared" si="35"/>
        <v>1.0184660878318863</v>
      </c>
      <c r="M134" s="408" t="n">
        <v>79442.0</v>
      </c>
      <c r="N134" s="411" t="n">
        <f t="shared" si="19"/>
        <v>0.9054779581393397</v>
      </c>
      <c r="O134" s="408" t="n">
        <v>92322.0</v>
      </c>
      <c r="P134" s="411" t="n">
        <f t="shared" si="20"/>
        <v>1.0522838807097017</v>
      </c>
      <c r="Q134" s="408" t="n">
        <v>95882.0</v>
      </c>
      <c r="R134" s="411" t="n">
        <f t="shared" si="21"/>
        <v>1.0928606729729384</v>
      </c>
      <c r="S134" s="408" t="n">
        <v>95882.0</v>
      </c>
      <c r="T134" s="411" t="n">
        <f t="shared" si="36"/>
        <v>1.0928606729729384</v>
      </c>
    </row>
    <row r="135" spans="1:20">
      <c r="A135" s="19"/>
      <c r="B135" s="1061"/>
      <c r="C135" s="389" t="s">
        <v>17</v>
      </c>
      <c r="D135" s="472" t="n">
        <v>35.166666666666664</v>
      </c>
      <c r="E135" s="409" t="n">
        <v>28.166666666666668</v>
      </c>
      <c r="F135" s="498" t="n">
        <v>26.0</v>
      </c>
      <c r="G135" s="473" t="n">
        <v>26.0</v>
      </c>
      <c r="H135" s="409" t="n">
        <v>26.0</v>
      </c>
      <c r="I135" s="474" t="n">
        <v>26.0</v>
      </c>
      <c r="J135" s="402" t="n">
        <f t="shared" si="34"/>
        <v>1.0</v>
      </c>
      <c r="K135" s="408" t="n">
        <v>27.0</v>
      </c>
      <c r="L135" s="403" t="n">
        <f t="shared" si="35"/>
        <v>1.0384615384615385</v>
      </c>
      <c r="M135" s="408" t="n">
        <v>24.0</v>
      </c>
      <c r="N135" s="403" t="n">
        <f t="shared" ref="N135:N144" si="37">IFERROR(M135/F135,"－")</f>
        <v>0.9230769230769231</v>
      </c>
      <c r="O135" s="408" t="n">
        <v>28.0</v>
      </c>
      <c r="P135" s="403" t="n">
        <f t="shared" ref="P135:P144" si="38">IFERROR(O135/F135,"－")</f>
        <v>1.0769230769230769</v>
      </c>
      <c r="Q135" s="408" t="n">
        <v>29.0</v>
      </c>
      <c r="R135" s="403" t="n">
        <f t="shared" ref="R135:R144" si="39">IFERROR(Q135/F135,"－")</f>
        <v>1.1153846153846154</v>
      </c>
      <c r="S135" s="408" t="n">
        <v>29.0</v>
      </c>
      <c r="T135" s="411" t="n">
        <f t="shared" si="36"/>
        <v>1.1153846153846154</v>
      </c>
    </row>
    <row r="136" spans="1:20">
      <c r="A136" s="19"/>
      <c r="B136" s="752" t="s">
        <v>215</v>
      </c>
      <c r="C136" s="389" t="s">
        <v>216</v>
      </c>
      <c r="D136" s="472" t="n">
        <v>305.802</v>
      </c>
      <c r="E136" s="409" t="n">
        <v>4309.632</v>
      </c>
      <c r="F136" s="498" t="n">
        <v>0.0</v>
      </c>
      <c r="G136" s="473" t="n">
        <v>0.0</v>
      </c>
      <c r="H136" s="409" t="n">
        <v>0.0</v>
      </c>
      <c r="I136" s="474" t="n">
        <v>0.0</v>
      </c>
      <c r="J136" s="402" t="str">
        <f t="shared" si="34"/>
        <v>－</v>
      </c>
      <c r="K136" s="408" t="n">
        <v>0.0</v>
      </c>
      <c r="L136" s="403" t="str">
        <f t="shared" si="35"/>
        <v>－</v>
      </c>
      <c r="M136" s="408" t="n">
        <v>0.0</v>
      </c>
      <c r="N136" s="403" t="str">
        <f t="shared" si="37"/>
        <v>－</v>
      </c>
      <c r="O136" s="408" t="n">
        <v>0.0</v>
      </c>
      <c r="P136" s="403" t="str">
        <f t="shared" si="38"/>
        <v>－</v>
      </c>
      <c r="Q136" s="408" t="n">
        <v>0.0</v>
      </c>
      <c r="R136" s="403" t="str">
        <f t="shared" si="39"/>
        <v>－</v>
      </c>
      <c r="S136" s="408" t="n">
        <v>0.0</v>
      </c>
      <c r="T136" s="411" t="str">
        <f t="shared" si="36"/>
        <v>－</v>
      </c>
    </row>
    <row r="137" spans="1:20" ht="14.25" thickBot="1">
      <c r="A137" s="25"/>
      <c r="B137" s="1010"/>
      <c r="C137" s="1011" t="s">
        <v>217</v>
      </c>
      <c r="D137" s="472" t="n">
        <v>0.08333333333333333</v>
      </c>
      <c r="E137" s="409" t="n">
        <v>1.0833333333333333</v>
      </c>
      <c r="F137" s="498" t="n">
        <v>0.0</v>
      </c>
      <c r="G137" s="473" t="n">
        <v>0.0</v>
      </c>
      <c r="H137" s="409" t="n">
        <v>0.0</v>
      </c>
      <c r="I137" s="474" t="n">
        <v>0.0</v>
      </c>
      <c r="J137" s="402" t="str">
        <f t="shared" si="34"/>
        <v>－</v>
      </c>
      <c r="K137" s="408" t="n">
        <v>0.0</v>
      </c>
      <c r="L137" s="403" t="str">
        <f t="shared" si="35"/>
        <v>－</v>
      </c>
      <c r="M137" s="408" t="n">
        <v>0.0</v>
      </c>
      <c r="N137" s="403" t="str">
        <f t="shared" si="37"/>
        <v>－</v>
      </c>
      <c r="O137" s="408" t="n">
        <v>0.0</v>
      </c>
      <c r="P137" s="403" t="str">
        <f t="shared" si="38"/>
        <v>－</v>
      </c>
      <c r="Q137" s="408" t="n">
        <v>0.0</v>
      </c>
      <c r="R137" s="403" t="str">
        <f t="shared" si="39"/>
        <v>－</v>
      </c>
      <c r="S137" s="408" t="n">
        <v>0.0</v>
      </c>
      <c r="T137" s="411" t="str">
        <f t="shared" si="36"/>
        <v>－</v>
      </c>
    </row>
    <row r="138" spans="1:20" hidden="1">
      <c r="A138" s="19"/>
      <c r="B138" s="1062"/>
      <c r="C138" s="515" t="s">
        <v>16</v>
      </c>
      <c r="D138" s="472"/>
      <c r="E138" s="409"/>
      <c r="F138" s="498"/>
      <c r="G138" s="507"/>
      <c r="H138" s="879"/>
      <c r="I138" s="879"/>
      <c r="J138" s="508"/>
      <c r="K138" s="507"/>
      <c r="L138" s="508"/>
      <c r="M138" s="507"/>
      <c r="N138" s="508"/>
      <c r="O138" s="507"/>
      <c r="P138" s="508"/>
      <c r="Q138" s="507"/>
      <c r="R138" s="508"/>
      <c r="S138" s="507"/>
      <c r="T138" s="508"/>
    </row>
    <row r="139" spans="1:20" ht="14.25" hidden="1" thickBot="1">
      <c r="A139" s="25"/>
      <c r="B139" s="1064"/>
      <c r="C139" s="450" t="s">
        <v>17</v>
      </c>
      <c r="D139" s="509"/>
      <c r="E139" s="502"/>
      <c r="F139" s="510"/>
      <c r="G139" s="512"/>
      <c r="H139" s="880"/>
      <c r="I139" s="880"/>
      <c r="J139" s="513"/>
      <c r="K139" s="512"/>
      <c r="L139" s="513"/>
      <c r="M139" s="512"/>
      <c r="N139" s="513"/>
      <c r="O139" s="512"/>
      <c r="P139" s="513"/>
      <c r="Q139" s="512"/>
      <c r="R139" s="513"/>
      <c r="S139" s="512"/>
      <c r="T139" s="513"/>
    </row>
    <row r="140" spans="1:20">
      <c r="A140" s="24" t="s">
        <v>66</v>
      </c>
      <c r="B140" s="514"/>
      <c r="C140" s="515" t="s">
        <v>16</v>
      </c>
      <c r="D140" s="516" t="n">
        <v>50941.186</v>
      </c>
      <c r="E140" s="446" t="n">
        <v>48081.068</v>
      </c>
      <c r="F140" s="517" t="n">
        <v>51359.376</v>
      </c>
      <c r="G140" s="518" t="n">
        <v>52391.0</v>
      </c>
      <c r="H140" s="446" t="n">
        <v>51361.0</v>
      </c>
      <c r="I140" s="519" t="n">
        <v>51362.0</v>
      </c>
      <c r="J140" s="447" t="n">
        <f t="shared" si="34"/>
        <v>1.0067230307990243</v>
      </c>
      <c r="K140" s="445" t="n">
        <v>51315.0</v>
      </c>
      <c r="L140" s="448" t="n">
        <f t="shared" si="35"/>
        <v>0.9991359708108604</v>
      </c>
      <c r="M140" s="445" t="n">
        <v>50641.0</v>
      </c>
      <c r="N140" s="448" t="n">
        <f t="shared" si="37"/>
        <v>0.9860127584104605</v>
      </c>
      <c r="O140" s="445" t="n">
        <v>55167.0</v>
      </c>
      <c r="P140" s="448" t="n">
        <f t="shared" si="38"/>
        <v>1.0741368820368846</v>
      </c>
      <c r="Q140" s="445" t="n">
        <v>55973.0</v>
      </c>
      <c r="R140" s="448" t="n">
        <f t="shared" si="39"/>
        <v>1.0898302191210423</v>
      </c>
      <c r="S140" s="445" t="n">
        <v>53469.0</v>
      </c>
      <c r="T140" s="448" t="n">
        <f>IFERROR(S140/F140,"－")</f>
        <v>1.0410757326958178</v>
      </c>
    </row>
    <row r="141" spans="1:20" ht="14.25" thickBot="1">
      <c r="A141" s="21"/>
      <c r="B141" s="449"/>
      <c r="C141" s="450" t="s">
        <v>17</v>
      </c>
      <c r="D141" s="520" t="n">
        <v>264.0</v>
      </c>
      <c r="E141" s="487" t="n">
        <v>249.33333333333334</v>
      </c>
      <c r="F141" s="521" t="n">
        <v>261.0</v>
      </c>
      <c r="G141" s="511" t="n">
        <v>266.0</v>
      </c>
      <c r="H141" s="487" t="n">
        <v>261.0</v>
      </c>
      <c r="I141" s="488" t="n">
        <v>261.0</v>
      </c>
      <c r="J141" s="455" t="n">
        <f t="shared" si="34"/>
        <v>1.0063856960408686</v>
      </c>
      <c r="K141" s="486" t="n">
        <v>261.0</v>
      </c>
      <c r="L141" s="456" t="n">
        <f t="shared" si="35"/>
        <v>1.0</v>
      </c>
      <c r="M141" s="486" t="n">
        <v>258.0</v>
      </c>
      <c r="N141" s="456" t="n">
        <f t="shared" si="37"/>
        <v>0.9885057471264368</v>
      </c>
      <c r="O141" s="486" t="n">
        <v>281.0</v>
      </c>
      <c r="P141" s="456" t="n">
        <f t="shared" si="38"/>
        <v>1.0766283524904214</v>
      </c>
      <c r="Q141" s="486" t="n">
        <v>285.0</v>
      </c>
      <c r="R141" s="456" t="n">
        <f t="shared" si="39"/>
        <v>1.0919540229885059</v>
      </c>
      <c r="S141" s="486" t="n">
        <v>272.0</v>
      </c>
      <c r="T141" s="456" t="n">
        <f>IFERROR(S141/F141,"－")</f>
        <v>1.0421455938697317</v>
      </c>
    </row>
    <row r="142" spans="1:20">
      <c r="A142" s="24" t="s">
        <v>418</v>
      </c>
      <c r="B142" s="514"/>
      <c r="C142" s="515" t="s">
        <v>16</v>
      </c>
      <c r="D142" s="507"/>
      <c r="E142" s="879"/>
      <c r="F142" s="933"/>
      <c r="G142" s="507"/>
      <c r="H142" s="446" t="n">
        <v>0.0</v>
      </c>
      <c r="I142" s="519" t="n">
        <v>0.0</v>
      </c>
      <c r="J142" s="447" t="str">
        <f t="shared" ref="J142:J143" si="40">IFERROR(SUM(G142:I142)/3/F142,"－")</f>
        <v>－</v>
      </c>
      <c r="K142" s="445" t="n">
        <v>0.0</v>
      </c>
      <c r="L142" s="448" t="str">
        <f t="shared" ref="L142:L143" si="41">IFERROR(K142/F142,"－")</f>
        <v>－</v>
      </c>
      <c r="M142" s="445" t="n">
        <v>0.0</v>
      </c>
      <c r="N142" s="448" t="str">
        <f t="shared" ref="N142:N143" si="42">IFERROR(M142/F142,"－")</f>
        <v>－</v>
      </c>
      <c r="O142" s="445" t="n">
        <v>0.0</v>
      </c>
      <c r="P142" s="448" t="str">
        <f t="shared" ref="P142:P143" si="43">IFERROR(O142/F142,"－")</f>
        <v>－</v>
      </c>
      <c r="Q142" s="445" t="n">
        <v>0.0</v>
      </c>
      <c r="R142" s="448" t="str">
        <f t="shared" ref="R142:R143" si="44">IFERROR(Q142/F142,"－")</f>
        <v>－</v>
      </c>
      <c r="S142" s="445" t="n">
        <v>0.0</v>
      </c>
      <c r="T142" s="448" t="str">
        <f>IFERROR(S142/F142,"－")</f>
        <v>－</v>
      </c>
    </row>
    <row r="143" spans="1:20" ht="14.25" thickBot="1">
      <c r="A143" s="21"/>
      <c r="B143" s="449"/>
      <c r="C143" s="450" t="s">
        <v>17</v>
      </c>
      <c r="D143" s="512"/>
      <c r="E143" s="880"/>
      <c r="F143" s="970"/>
      <c r="G143" s="512"/>
      <c r="H143" s="487" t="n">
        <v>0.0</v>
      </c>
      <c r="I143" s="488" t="n">
        <v>0.0</v>
      </c>
      <c r="J143" s="455" t="str">
        <f t="shared" si="40"/>
        <v>－</v>
      </c>
      <c r="K143" s="486" t="n">
        <v>0.0</v>
      </c>
      <c r="L143" s="456" t="str">
        <f t="shared" si="41"/>
        <v>－</v>
      </c>
      <c r="M143" s="486" t="n">
        <v>0.0</v>
      </c>
      <c r="N143" s="456" t="str">
        <f t="shared" si="42"/>
        <v>－</v>
      </c>
      <c r="O143" s="486" t="n">
        <v>0.0</v>
      </c>
      <c r="P143" s="456" t="str">
        <f t="shared" si="43"/>
        <v>－</v>
      </c>
      <c r="Q143" s="486" t="n">
        <v>0.0</v>
      </c>
      <c r="R143" s="456" t="str">
        <f t="shared" si="44"/>
        <v>－</v>
      </c>
      <c r="S143" s="486" t="n">
        <v>0.0</v>
      </c>
      <c r="T143" s="456" t="str">
        <f>IFERROR(S143/F143,"－")</f>
        <v>－</v>
      </c>
    </row>
    <row r="144" spans="1:20" ht="14.25" thickBot="1">
      <c r="A144" s="457" t="s">
        <v>36</v>
      </c>
      <c r="B144" s="375"/>
      <c r="C144" s="458" t="s">
        <v>16</v>
      </c>
      <c r="D144" s="459" t="n">
        <f>IF(ISERROR(SUM(D68,D71,D74,D77,D80,D82,D85,D88,D91,D94,D97,D100,D102,D104,D106,D109,D111,D116,D119,D121,D123,D125,D127,D113,D132,D134,D136,D138,D140)),0,(SUM(D68,D71,D74,D77,D80,D82,D85,D88,D91,D94,D97,D100,D102,D104,D106,D109,D111,D116,D119,D121,D123,D125,D127,D113,D132,D134,D136,D138,D140)))</f>
        <v>1048012.3940000001</v>
      </c>
      <c r="E144" s="460" t="n">
        <f>IF(ISERROR(SUM(E68,E71,E74,E77,E80,E82,E85,E88,E91,E94,E97,E100,E102,E104,E106,E109,E111,E116,E119,E121,E123,E125,E127,E113,E132,E134,E136,E138,E140)),0,(SUM(E68,E71,E74,E77,E80,E82,E85,E88,E91,E94,E97,E100,E102,E104,E106,E109,E111,E116,E119,E121,E123,E125,E127,E113,E132,E134,E136,E138,E140)))</f>
        <v>968630.3969999999</v>
      </c>
      <c r="F144" s="461" t="n">
        <f>IF(ISERROR(SUM(F68,F71,F74,F77,F80,F82,F85,F88,F91,F94,F97,F100,F102,F104,F106,F109,F111,F116,F119,F121,F123,F125,F127,F113,F132,F134,F136,F138,F140)),0,(SUM(F68,F71,F74,F77,F80,F82,F85,F88,F91,F94,F97,F100,F102,F104,F106,F109,F111,F116,F119,F121,F123,F125,F127,F113,F132,F134,F136,F138,F140)))</f>
        <v>1030544.0760000001</v>
      </c>
      <c r="G144" s="462" t="n">
        <f>IF(ISERROR(SUM(G68,G71,G74,G77,G80,G82,G85,G88,G91,G94,G97,G100,G102,G104,G106,G109,G111,G116,G119,G121,G123,G125,G127,G113,G132,G134,G136,G140)),0,(SUM(G68,G71,G74,G77,G80,G82,G85,G88,G91,G94,G97,G100,G102,G104,G106,G109,G111,G116,G119,G121,G123,G125,G127,G113,G132,G134,G136,G140)))</f>
        <v>702384.0</v>
      </c>
      <c r="H144" s="460" t="n">
        <f>IF(ISERROR(SUM(H68,H71,H74,H77,H80,H82,H85,H88,H91,H94,H97,H100,H102,H104,H106,H109,H111,H116,H119,H121,H123,H125,H127,H113,H132,H134,H136,H140,H142)),0,(SUM(H68,H71,H74,H77,H80,H82,H85,H88,H91,H94,H97,H100,H102,H104,H106,H109,H111,H116,H119,H121,H123,H125,H127,H113,H132,H134,H136,H140,H142)))</f>
        <v>696333.0</v>
      </c>
      <c r="I144" s="460" t="n">
        <f>IF(ISERROR(SUM(I68,I71,I74,I77,I80,I82,I85,I88,I91,I94,I97,I100,I102,I104,I106,I109,I111,I116,I119,I121,I123,I125,I127,I113,I132,I134,I136,I140,I142)),0,(SUM(I68,I71,I74,I77,I80,I82,I85,I88,I91,I94,I97,I100,I102,I104,I106,I109,I111,I116,I119,I121,I123,I125,I127,I113,I132,I134,I136,I140,I142)))</f>
        <v>696395.0</v>
      </c>
      <c r="J144" s="463" t="n">
        <f t="shared" ref="J144" si="45">IFERROR(SUM(G144:I144)/3/F144,"－")</f>
        <v>0.6776718074760604</v>
      </c>
      <c r="K144" s="462" t="n">
        <f>IF(ISERROR(SUM(K68,K71,K74,K77,K80,K82,K85,K88,K91,K94,K97,K100,K102,K104,K106,K109,K111,K116,K119,K121,K123,K125,K127,K113,K132,K134,K136,K140,K142)),0,(SUM(K68,K71,K74,K77,K80,K82,K85,K88,K91,K94,K97,K100,K102,K104,K106,K109,K111,K116,K119,K121,K123,K125,K127,K113,K132,K134,K136,K140,K142)))</f>
        <v>711199.0</v>
      </c>
      <c r="L144" s="464" t="n">
        <f t="shared" si="35"/>
        <v>0.6901199245746767</v>
      </c>
      <c r="M144" s="462" t="n">
        <f>IF(ISERROR(SUM(M68,M71,M74,M77,M80,M82,M85,M88,M91,M94,M97,M100,M102,M104,M106,M109,M111,M116,M119,M121,M123,M125,M127,M113,M132,M134,M136,M140,M142)),0,(SUM(M68,M71,M74,M77,M80,M82,M85,M88,M91,M94,M97,M100,M102,M104,M106,M109,M111,M116,M119,M121,M123,M125,M127,M113,M132,M134,M136,M140,M142)))</f>
        <v>681038.0</v>
      </c>
      <c r="N144" s="464" t="n">
        <f t="shared" si="37"/>
        <v>0.6608528600187693</v>
      </c>
      <c r="O144" s="462" t="n">
        <f>IF(ISERROR(SUM(O68,O71,O74,O77,O80,O82,O85,O88,O91,O94,O97,O100,O102,O104,O106,O109,O111,O116,O119,O121,O123,O125,O127,O113,O132,O134,O136,O140,O142)),0,(SUM(O68,O71,O74,O77,O80,O82,O85,O88,O91,O94,O97,O100,O102,O104,O106,O109,O111,O116,O119,O121,O123,O125,O127,O113,O132,O134,O136,O140,O142)))</f>
        <v>744773.0</v>
      </c>
      <c r="P144" s="464" t="n">
        <f t="shared" si="38"/>
        <v>0.7226988319517543</v>
      </c>
      <c r="Q144" s="462" t="n">
        <f>IF(ISERROR(SUM(Q68,Q71,Q74,Q77,Q80,Q82,Q85,Q88,Q91,Q94,Q97,Q100,Q102,Q104,Q106,Q109,Q111,Q116,Q119,Q121,Q123,Q125,Q127,Q113,Q132,Q134,Q136,Q140,Q142)),0,(SUM(Q68,Q71,Q74,Q77,Q80,Q82,Q85,Q88,Q91,Q94,Q97,Q100,Q102,Q104,Q106,Q109,Q111,Q116,Q119,Q121,Q123,Q125,Q127,Q113,Q132,Q134,Q136,Q140,Q142)))</f>
        <v>771773.0</v>
      </c>
      <c r="R144" s="464" t="n">
        <f t="shared" si="39"/>
        <v>0.7488985847122563</v>
      </c>
      <c r="S144" s="462" t="n">
        <f>IF(ISERROR(SUM(S68,S71,S74,S77,S80,S82,S85,S88,S91,S94,S97,S100,S102,S104,S106,S109,S111,S116,S119,S121,S123,S125,S127,S113,S132,S134,S136,S140,S142)),0,(SUM(S68,S71,S74,S77,S80,S82,S85,S88,S91,S94,S97,S100,S102,S104,S106,S109,S111,S116,S119,S121,S123,S125,S127,S113,S132,S134,S136,S140,S142)))</f>
        <v>744141.0</v>
      </c>
      <c r="T144" s="464" t="n">
        <f>IFERROR(S144/F144,"－")</f>
        <v>0.7220855636649158</v>
      </c>
    </row>
    <row r="145" spans="1:14" ht="50.1" customHeight="1">
      <c r="A145" s="726" t="s">
        <v>109</v>
      </c>
      <c r="G145" s="725" t="s">
        <v>365</v>
      </c>
      <c r="H145" s="467"/>
      <c r="I145" s="467"/>
      <c r="J145" s="467"/>
      <c r="K145" s="637" t="s">
        <v>401</v>
      </c>
      <c r="L145" s="637"/>
      <c r="M145" s="637"/>
    </row>
    <row r="146" spans="1:14" ht="13.5" customHeight="1">
      <c r="G146" s="522"/>
      <c r="K146" s="637"/>
      <c r="L146" s="637"/>
      <c r="M146" s="637"/>
    </row>
    <row r="147" spans="1:14">
      <c r="A147" s="22" t="s">
        <v>214</v>
      </c>
      <c r="D147" s="523"/>
      <c r="G147" s="466"/>
      <c r="H147" s="466"/>
      <c r="I147" s="466"/>
      <c r="J147" s="466"/>
      <c r="K147" s="637"/>
      <c r="L147" s="637"/>
      <c r="M147" s="637"/>
    </row>
    <row r="148" spans="1:14" ht="14.25" thickBot="1">
      <c r="A148" s="22"/>
    </row>
    <row r="149" spans="1:14" ht="14.25" thickBot="1">
      <c r="A149" s="29"/>
      <c r="B149" s="375"/>
      <c r="C149" s="376"/>
      <c r="D149" s="377" t="s">
        <v>367</v>
      </c>
      <c r="E149" s="749" t="s">
        <v>366</v>
      </c>
      <c r="F149" s="378" t="s">
        <v>363</v>
      </c>
      <c r="G149" s="748" t="s">
        <v>362</v>
      </c>
      <c r="H149" s="749" t="s">
        <v>361</v>
      </c>
      <c r="I149" s="750" t="s">
        <v>360</v>
      </c>
      <c r="J149" s="524" t="s">
        <v>384</v>
      </c>
      <c r="K149" s="524" t="s">
        <v>387</v>
      </c>
      <c r="L149" s="524" t="s">
        <v>390</v>
      </c>
      <c r="M149" s="524" t="s">
        <v>393</v>
      </c>
      <c r="N149" s="524" t="s">
        <v>396</v>
      </c>
    </row>
    <row r="150" spans="1:14">
      <c r="A150" s="525" t="s">
        <v>36</v>
      </c>
      <c r="B150" s="526"/>
      <c r="C150" s="527"/>
      <c r="D150" s="528" t="n">
        <f t="shared" ref="D150:I150" si="46">D61+D144</f>
        <v>1085998.475</v>
      </c>
      <c r="E150" s="529" t="n">
        <f t="shared" si="46"/>
        <v>1005147.6889999999</v>
      </c>
      <c r="F150" s="530" t="n">
        <f t="shared" si="46"/>
        <v>1067275.0536000002</v>
      </c>
      <c r="G150" s="531" t="n">
        <f t="shared" si="46"/>
        <v>741486.0</v>
      </c>
      <c r="H150" s="529" t="n">
        <f t="shared" si="46"/>
        <v>737653.0</v>
      </c>
      <c r="I150" s="530" t="n">
        <f t="shared" si="46"/>
        <v>737653.0</v>
      </c>
      <c r="J150" s="532" t="n">
        <f>K61+K144</f>
        <v>752512.0</v>
      </c>
      <c r="K150" s="532" t="n">
        <f>M61+M144</f>
        <v>723534.0</v>
      </c>
      <c r="L150" s="532" t="n">
        <f>O61+O144</f>
        <v>790638.0</v>
      </c>
      <c r="M150" s="532" t="n">
        <f>Q61+Q144</f>
        <v>816605.0</v>
      </c>
      <c r="N150" s="532" t="n">
        <f>S61+S144</f>
        <v>785630.0</v>
      </c>
    </row>
    <row r="151" spans="1:14">
      <c r="A151" s="379"/>
      <c r="B151" s="533" t="s">
        <v>144</v>
      </c>
      <c r="C151" s="534"/>
      <c r="D151" s="535" t="n">
        <f>D12+D14+D17+D20+D23+D25+D27+D29+D32+D35+D38+D41+D43+D45+D50+D53+D57+D68+D71+D74+D77+D80+D82+D85+D88+D91+D94+D97+D100+D102+D104+D109+D111+D116+D119+D127+D113+D140</f>
        <v>444614.1429999999</v>
      </c>
      <c r="E151" s="536" t="n">
        <f>E12+E14+E17+E20+E23+E25+E27+E29+E32+E35+E38+E41+E43+E45+E50+E53+E57+E68+E71+E74+E77+E80+E82+E85+E88+E91+E94+E97+E100+E102+E104+E109+E111+E116+E119+E127+E113+E140</f>
        <v>429673.33199999994</v>
      </c>
      <c r="F151" s="536" t="n">
        <f>F12+F14+F17+F20+F23+F25+F27+F29+F32+F35+F38+F41+F43+F45+F50+F53+F57+F68+F71+F74+F77+F80+F82+F85+F88+F91+F94+F97+F100+F102+F104+F109+F111+F116+F119+F127+F113+F140</f>
        <v>511517.6735999999</v>
      </c>
      <c r="G151" s="535" t="n">
        <f>G14+G17+G20+G23+G27+G29+G32+G35+G38+G41+G43+G45+G50+G53+G57+G68+G71+G74+G77+G80+G82+G85+G88+G91+G94+G97+G100+G102+G104+G109+G111+G116+G119+G127+G113+G140</f>
        <v>209069.0</v>
      </c>
      <c r="H151" s="536" t="n">
        <f>H14+H17+H20+H23+H27+H29+H32+H35+H38+H41+H43+H45+H50+H53+H57+H59+H68+H71+H74+H77+H80+H82+H85+H88+H91+H94+H97+H100+H102+H104+H109+H111+H116+H119+H127+H113+H140+H142</f>
        <v>208320.0</v>
      </c>
      <c r="I151" s="537" t="n">
        <f>I14+I17+I20+I23+I27+I29+I32+I35+I38+I41+I43+I45+I50+I53+I57+I59+I68+I71+I74+I77+I80+I82+I85+I88+I91+I94+I97+I100+I102+I104+I109+I111+I116+I119+I127+I113+I140+I142</f>
        <v>208320.0</v>
      </c>
      <c r="J151" s="538" t="n">
        <f>K14+K17+K20+K23+K27+K29+K32+K35+K38+K41+K43+K45+K50+K53+K57+K59+K68+K71+K74+K77+K80+K82+K85+K88+K91+K94+K97+K100+K102+K104+K109+K111+K116+K119+K127+K113+K140+K142</f>
        <v>208241.0</v>
      </c>
      <c r="K151" s="538" t="n">
        <f>M14+M17+M20+M23+M27+M29+M32+M35+M38+M41+M43+M45+M50+M53+M57+M59+M68+M71+M74+M77+M80+M82+M85+M88+M91+M94+M97+M100+M102+M104+M109+M111+M116+M119+M127+M113+M140+M142</f>
        <v>207284.0</v>
      </c>
      <c r="L151" s="538" t="n">
        <f>O14+O17+O20+O23+O27+O29+O32+O35+O38+O41+O43+O45+O50+O53+O57+O59+O68+O71+O74+O77+O80+O82+O85+O88+O91+O94+O97+O100+O102+O104+O109+O111+O116+O119+O127+O113+O140+O142</f>
        <v>227812.0</v>
      </c>
      <c r="M151" s="538" t="n">
        <f>Q14+Q17+Q20+Q23+Q27+Q29+Q32+Q35+Q38+Q41+Q43+Q45+Q50+Q53+Q57+Q59+Q68+Q71+Q74+Q77+Q80+Q82+Q85+Q88+Q91+Q94+Q97+Q100+Q102+Q104+Q109+Q111+Q116+Q119+Q127+Q113+Q140+Q142</f>
        <v>228854.0</v>
      </c>
      <c r="N151" s="538" t="n">
        <f>S14+S17+S20+S23+S27+S29+S32+S35+S38+S41+S43+S45+S50+S53+S57+S59+S68+S71+S74+S77+S80+S82+S85+S88+S91+S94+S97+S100+S102+S104+S109+S111+S116+S119+S127+S113+S140+S142</f>
        <v>215907.0</v>
      </c>
    </row>
    <row r="152" spans="1:14">
      <c r="A152" s="379"/>
      <c r="B152" s="533" t="s">
        <v>145</v>
      </c>
      <c r="C152" s="534"/>
      <c r="D152" s="539" t="n">
        <f t="shared" ref="D152:I152" si="47">D47+D55+D106+D121+D123</f>
        <v>173762.127</v>
      </c>
      <c r="E152" s="536" t="n">
        <f t="shared" si="47"/>
        <v>147442.25300000003</v>
      </c>
      <c r="F152" s="540" t="n">
        <f t="shared" si="47"/>
        <v>154585.764</v>
      </c>
      <c r="G152" s="539" t="n">
        <f t="shared" si="47"/>
        <v>144729.0</v>
      </c>
      <c r="H152" s="536" t="n">
        <f t="shared" si="47"/>
        <v>141645.0</v>
      </c>
      <c r="I152" s="540" t="n">
        <f t="shared" si="47"/>
        <v>141645.0</v>
      </c>
      <c r="J152" s="538" t="n">
        <f>K47+K55+K106+K121+K123</f>
        <v>141645.0</v>
      </c>
      <c r="K152" s="538" t="n">
        <f>M47+M55+M106+M121+M123</f>
        <v>141645.0</v>
      </c>
      <c r="L152" s="538" t="n">
        <f>O47+O55+O106+O121+O123</f>
        <v>147585.0</v>
      </c>
      <c r="M152" s="538" t="n">
        <f>Q47+Q55+Q106+Q121+Q123</f>
        <v>156883.0</v>
      </c>
      <c r="N152" s="538" t="n">
        <f>S47+S55+S106+S121+S123</f>
        <v>147906.0</v>
      </c>
    </row>
    <row r="153" spans="1:14" ht="14.25" thickBot="1">
      <c r="A153" s="541"/>
      <c r="B153" s="542" t="s">
        <v>146</v>
      </c>
      <c r="C153" s="543"/>
      <c r="D153" s="544" t="n">
        <f t="shared" ref="D153:I153" si="48">D125+D132+D134+D136+D138</f>
        <v>467622.205</v>
      </c>
      <c r="E153" s="545" t="n">
        <f t="shared" si="48"/>
        <v>428032.104</v>
      </c>
      <c r="F153" s="546" t="n">
        <f t="shared" si="48"/>
        <v>401171.61600000004</v>
      </c>
      <c r="G153" s="544" t="n">
        <f t="shared" si="48"/>
        <v>387688.0</v>
      </c>
      <c r="H153" s="545" t="n">
        <f t="shared" si="48"/>
        <v>387688.0</v>
      </c>
      <c r="I153" s="546" t="n">
        <f t="shared" si="48"/>
        <v>387688.0</v>
      </c>
      <c r="J153" s="547" t="n">
        <f>K125+K132+K134+K136</f>
        <v>402626.0</v>
      </c>
      <c r="K153" s="547" t="n">
        <f>M125+M132+M134+M136</f>
        <v>374605.0</v>
      </c>
      <c r="L153" s="547" t="n">
        <f>O125+O132+O134+O136</f>
        <v>415241.0</v>
      </c>
      <c r="M153" s="547" t="n">
        <f>Q125+Q132+Q134+Q136</f>
        <v>430868.0</v>
      </c>
      <c r="N153" s="547" t="n">
        <f>S125+S132+S134+S136</f>
        <v>421817.0</v>
      </c>
    </row>
    <row r="155" spans="1:14" ht="14.25" thickBot="1">
      <c r="A155" s="22" t="s">
        <v>218</v>
      </c>
    </row>
    <row r="156" spans="1:14" ht="14.25" thickBot="1">
      <c r="A156" s="1040"/>
      <c r="B156" s="1041"/>
      <c r="C156" s="1042"/>
      <c r="D156" s="377" t="s">
        <v>367</v>
      </c>
      <c r="E156" s="749" t="s">
        <v>366</v>
      </c>
      <c r="F156" s="378" t="s">
        <v>363</v>
      </c>
      <c r="G156" s="748" t="s">
        <v>362</v>
      </c>
      <c r="H156" s="749" t="s">
        <v>361</v>
      </c>
      <c r="I156" s="750" t="s">
        <v>360</v>
      </c>
      <c r="J156" s="524" t="s">
        <v>384</v>
      </c>
      <c r="K156" s="524" t="s">
        <v>387</v>
      </c>
      <c r="L156" s="524" t="s">
        <v>390</v>
      </c>
      <c r="M156" s="524" t="s">
        <v>393</v>
      </c>
      <c r="N156" s="524" t="s">
        <v>396</v>
      </c>
    </row>
    <row r="157" spans="1:14">
      <c r="A157" s="13" t="s">
        <v>1</v>
      </c>
      <c r="B157" s="3"/>
      <c r="C157" s="144"/>
      <c r="D157" s="145" t="n">
        <f>D133+D135+D137+D139</f>
        <v>105.99999999999999</v>
      </c>
      <c r="E157" s="146" t="n">
        <f>E133+E135+E137+E139</f>
        <v>97.16666666666667</v>
      </c>
      <c r="F157" s="147" t="n">
        <f>F133+F135+F137+F139</f>
        <v>85.0</v>
      </c>
      <c r="G157" s="145" t="n">
        <f>G133+G135+G137+G139</f>
        <v>85.0</v>
      </c>
      <c r="H157" s="147" t="n">
        <f>H133+H135+H137+H139</f>
        <v>85.0</v>
      </c>
      <c r="I157" s="147" t="n">
        <f t="shared" ref="I157" si="49">I133+I135+I137+I139</f>
        <v>85.0</v>
      </c>
      <c r="J157" s="152" t="n">
        <f>K133+K135+K137</f>
        <v>89.0</v>
      </c>
      <c r="K157" s="152" t="n">
        <f>M133+M135+M137</f>
        <v>83.0</v>
      </c>
      <c r="L157" s="152" t="n">
        <f>O133+O135+O137</f>
        <v>92.0</v>
      </c>
      <c r="M157" s="152" t="n">
        <f>Q133+Q135+Q137</f>
        <v>96.0</v>
      </c>
      <c r="N157" s="152" t="n">
        <f>S133+S135+S137</f>
        <v>94.0</v>
      </c>
    </row>
    <row r="158" spans="1:14">
      <c r="A158" s="5"/>
      <c r="B158" s="148" t="s">
        <v>219</v>
      </c>
      <c r="C158" s="548"/>
      <c r="D158" s="46" t="n">
        <v>62.083333333333336</v>
      </c>
      <c r="E158" s="149" t="n">
        <v>53.666666666666664</v>
      </c>
      <c r="F158" s="177" t="n">
        <v>50.0</v>
      </c>
      <c r="G158" s="46" t="n">
        <v>50.0</v>
      </c>
      <c r="H158" s="177" t="n">
        <v>50.0</v>
      </c>
      <c r="I158" s="177" t="n">
        <v>50.0</v>
      </c>
      <c r="J158" s="153" t="n">
        <v>51.0</v>
      </c>
      <c r="K158" s="153" t="n">
        <v>48.0</v>
      </c>
      <c r="L158" s="153" t="n">
        <v>53.0</v>
      </c>
      <c r="M158" s="153" t="n">
        <v>56.0</v>
      </c>
      <c r="N158" s="153" t="n">
        <v>55.0</v>
      </c>
    </row>
    <row r="159" spans="1:14" ht="14.25" thickBot="1">
      <c r="A159" s="150"/>
      <c r="B159" s="151" t="s">
        <v>220</v>
      </c>
      <c r="C159" s="549"/>
      <c r="D159" s="734" t="n">
        <f>IFERROR(ROUND(D158/D157*100,1),"－")</f>
        <v>58.6</v>
      </c>
      <c r="E159" s="735" t="n">
        <f t="shared" ref="E159:J159" si="50">IFERROR(ROUND(E158/E157*100,1),"－")</f>
        <v>55.2</v>
      </c>
      <c r="F159" s="736" t="n">
        <f t="shared" si="50"/>
        <v>58.8</v>
      </c>
      <c r="G159" s="734" t="n">
        <f t="shared" si="50"/>
        <v>58.8</v>
      </c>
      <c r="H159" s="736" t="n">
        <f t="shared" si="50"/>
        <v>58.8</v>
      </c>
      <c r="I159" s="736" t="n">
        <f t="shared" si="50"/>
        <v>58.8</v>
      </c>
      <c r="J159" s="737" t="n">
        <f t="shared" si="50"/>
        <v>57.3</v>
      </c>
      <c r="K159" s="737" t="n">
        <f t="shared" ref="K159:M159" si="51">IFERROR(ROUND(K158/K157*100,1),"－")</f>
        <v>57.8</v>
      </c>
      <c r="L159" s="737" t="n">
        <f t="shared" si="51"/>
        <v>57.6</v>
      </c>
      <c r="M159" s="737" t="n">
        <f t="shared" si="51"/>
        <v>58.3</v>
      </c>
      <c r="N159" s="737" t="n">
        <f>IFERROR(ROUND(N158/N157*100,1),"－")</f>
        <v>58.5</v>
      </c>
    </row>
    <row r="162" spans="1:13" s="1029" customFormat="1" ht="13.5" customHeight="1"/>
    <row r="163" spans="1:13" s="1029" customFormat="1" ht="13.5" customHeight="1"/>
    <row r="164" spans="1:13" s="1029" customFormat="1" ht="13.5" customHeight="1">
      <c r="D164" s="1030"/>
      <c r="E164" s="1030"/>
      <c r="F164" s="1030"/>
      <c r="G164" s="1030"/>
      <c r="H164" s="1030"/>
      <c r="I164" s="1030"/>
      <c r="J164" s="1031"/>
      <c r="K164" s="1032"/>
      <c r="L164" s="1032"/>
      <c r="M164" s="1032"/>
    </row>
    <row r="165" spans="1:13" s="1029" customFormat="1" ht="13.5" customHeight="1">
      <c r="D165" s="1033"/>
      <c r="E165" s="1033"/>
      <c r="F165" s="1033"/>
      <c r="G165" s="1033"/>
      <c r="H165" s="1033"/>
      <c r="I165" s="1033"/>
      <c r="J165" s="1034" t="n">
        <v>1.040540541</v>
      </c>
      <c r="K165" s="1035"/>
      <c r="L165" s="1035"/>
      <c r="M165" s="1035"/>
    </row>
    <row r="166" spans="1:13" s="1029" customFormat="1" ht="13.5" customHeight="1">
      <c r="A166" s="1036"/>
      <c r="B166" s="1036"/>
      <c r="C166" s="1036"/>
      <c r="D166" s="1036"/>
      <c r="E166" s="1036"/>
      <c r="F166" s="1036"/>
      <c r="G166" s="1036"/>
      <c r="H166" s="1036"/>
      <c r="I166" s="1036"/>
      <c r="J166" s="1036"/>
      <c r="K166" s="1036"/>
      <c r="L166" s="1036"/>
      <c r="M166" s="1036"/>
    </row>
    <row r="167" spans="1:13" s="1029" customFormat="1" ht="13.5" customHeight="1">
      <c r="A167" s="1037"/>
      <c r="B167" s="1037"/>
      <c r="C167" s="1037"/>
      <c r="D167" s="1037"/>
      <c r="E167" s="1037"/>
      <c r="F167" s="1037"/>
      <c r="G167" s="1037"/>
      <c r="H167" s="1037"/>
      <c r="I167" s="1037"/>
      <c r="J167" s="1037"/>
      <c r="K167" s="1037"/>
      <c r="L167" s="1037"/>
      <c r="M167" s="1037"/>
    </row>
    <row r="168" spans="1:13" s="1029" customFormat="1" ht="13.5" customHeight="1">
      <c r="A168" s="1037"/>
      <c r="B168" s="1037"/>
      <c r="C168" s="1037"/>
      <c r="D168" s="1037"/>
      <c r="E168" s="1037"/>
      <c r="F168" s="1037"/>
      <c r="G168" s="1037"/>
      <c r="H168" s="1037"/>
      <c r="I168" s="1037"/>
      <c r="J168" s="1037"/>
      <c r="K168" s="1037"/>
      <c r="L168" s="1037"/>
      <c r="M168" s="1037"/>
    </row>
  </sheetData>
  <mergeCells count="52">
    <mergeCell ref="B25:B26"/>
    <mergeCell ref="B27:B28"/>
    <mergeCell ref="B29:B30"/>
    <mergeCell ref="B32:B33"/>
    <mergeCell ref="B121:B122"/>
    <mergeCell ref="B134:B135"/>
    <mergeCell ref="B129:B130"/>
    <mergeCell ref="B50:B51"/>
    <mergeCell ref="S3:T3"/>
    <mergeCell ref="S4:T4"/>
    <mergeCell ref="S5:T5"/>
    <mergeCell ref="B123:B124"/>
    <mergeCell ref="B20:B21"/>
    <mergeCell ref="B23:B24"/>
    <mergeCell ref="B94:B95"/>
    <mergeCell ref="B100:B101"/>
    <mergeCell ref="B102:B103"/>
    <mergeCell ref="B12:B13"/>
    <mergeCell ref="B14:B15"/>
    <mergeCell ref="B17:B18"/>
    <mergeCell ref="B74:B75"/>
    <mergeCell ref="A156:C156"/>
    <mergeCell ref="B132:B133"/>
    <mergeCell ref="B104:B105"/>
    <mergeCell ref="B38:B39"/>
    <mergeCell ref="B97:B98"/>
    <mergeCell ref="B68:B69"/>
    <mergeCell ref="B138:B139"/>
    <mergeCell ref="B125:B126"/>
    <mergeCell ref="B127:B128"/>
    <mergeCell ref="B113:B114"/>
    <mergeCell ref="B106:B107"/>
    <mergeCell ref="B109:B110"/>
    <mergeCell ref="B111:B112"/>
    <mergeCell ref="B116:B117"/>
    <mergeCell ref="B119:B120"/>
    <mergeCell ref="Q3:R3"/>
    <mergeCell ref="Q4:R4"/>
    <mergeCell ref="Q5:R5"/>
    <mergeCell ref="B88:B89"/>
    <mergeCell ref="B91:B92"/>
    <mergeCell ref="B43:B44"/>
    <mergeCell ref="B77:B78"/>
    <mergeCell ref="B80:B81"/>
    <mergeCell ref="B82:B83"/>
    <mergeCell ref="B35:B36"/>
    <mergeCell ref="B41:B42"/>
    <mergeCell ref="B85:B86"/>
    <mergeCell ref="B47:B48"/>
    <mergeCell ref="B53:B54"/>
    <mergeCell ref="B55:B56"/>
    <mergeCell ref="B71:B72"/>
  </mergeCells>
  <phoneticPr fontId="3"/>
  <dataValidations disablePrompts="1" count="1">
    <dataValidation type="whole" allowBlank="1" showErrorMessage="1" error="施設サービス利用者数の総数以下の数値を入力してください。" sqref="D158:N158" xr:uid="{00000000-0002-0000-0100-000000000000}">
      <formula1>0</formula1>
      <formula2>D157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3" max="16383" man="1"/>
    <brk id="130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M68"/>
  <sheetViews>
    <sheetView zoomScale="85" zoomScaleNormal="85" zoomScaleSheetLayoutView="80" workbookViewId="0"/>
  </sheetViews>
  <sheetFormatPr defaultColWidth="9" defaultRowHeight="13.5"/>
  <cols>
    <col min="1" max="1" bestFit="true" customWidth="true" style="767" width="56.625" collapsed="false"/>
    <col min="2" max="12" customWidth="true" style="767" width="17.375" collapsed="false"/>
    <col min="13" max="16384" style="767" width="9.0" collapsed="false"/>
  </cols>
  <sheetData>
    <row r="1" spans="1:12" ht="14.25" customHeight="1">
      <c r="A1" s="723" t="s">
        <v>309</v>
      </c>
      <c r="B1" s="723"/>
      <c r="C1" s="723"/>
      <c r="D1" s="723"/>
    </row>
    <row r="2" spans="1:12" ht="14.25" thickBot="1"/>
    <row r="3" spans="1:12" ht="14.25" thickBot="1">
      <c r="K3" s="768" t="s">
        <v>67</v>
      </c>
      <c r="L3" s="769" t="str">
        <f>保険者名</f>
        <v>小野町</v>
      </c>
    </row>
    <row r="4" spans="1:12" ht="14.25" thickBot="1">
      <c r="K4" s="770" t="s">
        <v>68</v>
      </c>
      <c r="L4" s="769" t="str">
        <f>保険者番号</f>
        <v>07522</v>
      </c>
    </row>
    <row r="5" spans="1:12" ht="14.25" thickBot="1">
      <c r="K5" s="771" t="s">
        <v>103</v>
      </c>
      <c r="L5" s="358" t="str">
        <f>推計パターン名</f>
        <v>将来推計0925-2</v>
      </c>
    </row>
    <row r="7" spans="1:12" ht="14.25" thickBot="1">
      <c r="A7" s="772" t="s">
        <v>304</v>
      </c>
      <c r="B7" s="772"/>
      <c r="C7" s="772"/>
      <c r="D7" s="772"/>
      <c r="F7" s="697"/>
      <c r="G7" s="697"/>
      <c r="K7" s="773"/>
      <c r="L7" s="773" t="s">
        <v>315</v>
      </c>
    </row>
    <row r="8" spans="1:12" ht="14.25" thickBot="1">
      <c r="A8" s="698" t="s">
        <v>273</v>
      </c>
      <c r="B8" s="698" t="s">
        <v>325</v>
      </c>
      <c r="C8" s="708" t="s">
        <v>326</v>
      </c>
      <c r="D8" s="744" t="s">
        <v>327</v>
      </c>
      <c r="E8" s="698" t="s">
        <v>347</v>
      </c>
      <c r="F8" s="708" t="s">
        <v>346</v>
      </c>
      <c r="G8" s="703" t="s">
        <v>345</v>
      </c>
      <c r="H8" s="698" t="s">
        <v>399</v>
      </c>
      <c r="I8" s="708" t="s">
        <v>328</v>
      </c>
      <c r="J8" s="708" t="s">
        <v>329</v>
      </c>
      <c r="K8" s="708" t="s">
        <v>330</v>
      </c>
      <c r="L8" s="713" t="s">
        <v>344</v>
      </c>
    </row>
    <row r="9" spans="1:12">
      <c r="A9" s="727" t="s">
        <v>274</v>
      </c>
      <c r="B9" s="738" t="n">
        <v>4745665.0</v>
      </c>
      <c r="C9" s="739" t="n">
        <v>4940600.0</v>
      </c>
      <c r="D9" s="740" t="n">
        <v>4352140.0</v>
      </c>
      <c r="E9" s="738" t="n">
        <v>4745665.0</v>
      </c>
      <c r="F9" s="739" t="n">
        <v>4745665.0</v>
      </c>
      <c r="G9" s="740" t="n">
        <v>4745665.0</v>
      </c>
      <c r="H9" s="738" t="n">
        <v>4122780.0</v>
      </c>
      <c r="I9" s="739" t="n">
        <v>3788000.0</v>
      </c>
      <c r="J9" s="739" t="n">
        <v>3471028.0</v>
      </c>
      <c r="K9" s="739" t="n">
        <v>3126988.0</v>
      </c>
      <c r="L9" s="740" t="n">
        <v>2762291.0</v>
      </c>
    </row>
    <row r="10" spans="1:12">
      <c r="A10" s="774" t="s">
        <v>313</v>
      </c>
      <c r="B10" s="775" t="n">
        <v>22.0</v>
      </c>
      <c r="C10" s="776" t="n">
        <v>25.0</v>
      </c>
      <c r="D10" s="777" t="n">
        <v>21.0</v>
      </c>
      <c r="E10" s="775" t="n">
        <v>23.0</v>
      </c>
      <c r="F10" s="776" t="n">
        <v>23.0</v>
      </c>
      <c r="G10" s="777" t="n">
        <v>23.0</v>
      </c>
      <c r="H10" s="775" t="n">
        <v>20.0</v>
      </c>
      <c r="I10" s="776" t="n">
        <v>18.0</v>
      </c>
      <c r="J10" s="776" t="n">
        <v>17.0</v>
      </c>
      <c r="K10" s="776" t="n">
        <v>15.0</v>
      </c>
      <c r="L10" s="777" t="n">
        <v>13.0</v>
      </c>
    </row>
    <row r="11" spans="1:12">
      <c r="A11" s="728" t="s">
        <v>275</v>
      </c>
      <c r="B11" s="741" t="n">
        <v>0.0</v>
      </c>
      <c r="C11" s="742" t="n">
        <v>0.0</v>
      </c>
      <c r="D11" s="743" t="n">
        <v>0.0</v>
      </c>
      <c r="E11" s="741" t="n">
        <v>0.0</v>
      </c>
      <c r="F11" s="742" t="n">
        <v>0.0</v>
      </c>
      <c r="G11" s="743" t="n">
        <v>0.0</v>
      </c>
      <c r="H11" s="741" t="n">
        <v>0.0</v>
      </c>
      <c r="I11" s="742" t="n">
        <v>0.0</v>
      </c>
      <c r="J11" s="742" t="n">
        <v>0.0</v>
      </c>
      <c r="K11" s="742" t="n">
        <v>0.0</v>
      </c>
      <c r="L11" s="743" t="n">
        <v>0.0</v>
      </c>
    </row>
    <row r="12" spans="1:12">
      <c r="A12" s="774" t="s">
        <v>312</v>
      </c>
      <c r="B12" s="775" t="n">
        <v>0.0</v>
      </c>
      <c r="C12" s="776" t="n">
        <v>0.0</v>
      </c>
      <c r="D12" s="777" t="n">
        <v>0.0</v>
      </c>
      <c r="E12" s="775" t="n">
        <v>0.0</v>
      </c>
      <c r="F12" s="776" t="n">
        <v>0.0</v>
      </c>
      <c r="G12" s="777" t="n">
        <v>0.0</v>
      </c>
      <c r="H12" s="775" t="n">
        <v>0.0</v>
      </c>
      <c r="I12" s="776" t="n">
        <v>0.0</v>
      </c>
      <c r="J12" s="776" t="n">
        <v>0.0</v>
      </c>
      <c r="K12" s="776" t="n">
        <v>0.0</v>
      </c>
      <c r="L12" s="777" t="n">
        <v>0.0</v>
      </c>
    </row>
    <row r="13" spans="1:12">
      <c r="A13" s="729" t="s">
        <v>276</v>
      </c>
      <c r="B13" s="700" t="n">
        <v>0.0</v>
      </c>
      <c r="C13" s="710" t="n">
        <v>0.0</v>
      </c>
      <c r="D13" s="705" t="n">
        <v>0.0</v>
      </c>
      <c r="E13" s="700" t="n">
        <v>0.0</v>
      </c>
      <c r="F13" s="710" t="n">
        <v>0.0</v>
      </c>
      <c r="G13" s="705" t="n">
        <v>0.0</v>
      </c>
      <c r="H13" s="700" t="n">
        <v>0.0</v>
      </c>
      <c r="I13" s="710" t="n">
        <v>0.0</v>
      </c>
      <c r="J13" s="710" t="n">
        <v>0.0</v>
      </c>
      <c r="K13" s="710" t="n">
        <v>0.0</v>
      </c>
      <c r="L13" s="705" t="n">
        <v>0.0</v>
      </c>
    </row>
    <row r="14" spans="1:12">
      <c r="A14" s="729" t="s">
        <v>277</v>
      </c>
      <c r="B14" s="700" t="n">
        <v>0.0</v>
      </c>
      <c r="C14" s="710" t="n">
        <v>0.0</v>
      </c>
      <c r="D14" s="705" t="n">
        <v>0.0</v>
      </c>
      <c r="E14" s="700" t="n">
        <v>0.0</v>
      </c>
      <c r="F14" s="710" t="n">
        <v>0.0</v>
      </c>
      <c r="G14" s="705" t="n">
        <v>0.0</v>
      </c>
      <c r="H14" s="700" t="n">
        <v>0.0</v>
      </c>
      <c r="I14" s="710" t="n">
        <v>0.0</v>
      </c>
      <c r="J14" s="710" t="n">
        <v>0.0</v>
      </c>
      <c r="K14" s="710" t="n">
        <v>0.0</v>
      </c>
      <c r="L14" s="705" t="n">
        <v>0.0</v>
      </c>
    </row>
    <row r="15" spans="1:12">
      <c r="A15" s="729" t="s">
        <v>278</v>
      </c>
      <c r="B15" s="700" t="n">
        <v>0.0</v>
      </c>
      <c r="C15" s="710" t="n">
        <v>0.0</v>
      </c>
      <c r="D15" s="705" t="n">
        <v>0.0</v>
      </c>
      <c r="E15" s="700" t="n">
        <v>0.0</v>
      </c>
      <c r="F15" s="710" t="n">
        <v>0.0</v>
      </c>
      <c r="G15" s="705" t="n">
        <v>0.0</v>
      </c>
      <c r="H15" s="700" t="n">
        <v>0.0</v>
      </c>
      <c r="I15" s="710" t="n">
        <v>0.0</v>
      </c>
      <c r="J15" s="710" t="n">
        <v>0.0</v>
      </c>
      <c r="K15" s="710" t="n">
        <v>0.0</v>
      </c>
      <c r="L15" s="705" t="n">
        <v>0.0</v>
      </c>
    </row>
    <row r="16" spans="1:12" ht="14.25" thickBot="1">
      <c r="A16" s="730" t="s">
        <v>279</v>
      </c>
      <c r="B16" s="701" t="n">
        <v>0.0</v>
      </c>
      <c r="C16" s="711" t="n">
        <v>0.0</v>
      </c>
      <c r="D16" s="706" t="n">
        <v>0.0</v>
      </c>
      <c r="E16" s="701" t="n">
        <v>0.0</v>
      </c>
      <c r="F16" s="711" t="n">
        <v>0.0</v>
      </c>
      <c r="G16" s="706" t="n">
        <v>0.0</v>
      </c>
      <c r="H16" s="701" t="n">
        <v>0.0</v>
      </c>
      <c r="I16" s="711" t="n">
        <v>0.0</v>
      </c>
      <c r="J16" s="711" t="n">
        <v>0.0</v>
      </c>
      <c r="K16" s="711" t="n">
        <v>0.0</v>
      </c>
      <c r="L16" s="706" t="n">
        <v>0.0</v>
      </c>
    </row>
    <row r="17" spans="1:12">
      <c r="A17" s="727" t="s">
        <v>280</v>
      </c>
      <c r="B17" s="738" t="n">
        <v>2.1426593E7</v>
      </c>
      <c r="C17" s="739" t="n">
        <v>2.0924307E7</v>
      </c>
      <c r="D17" s="740" t="n">
        <v>1.9565856E7</v>
      </c>
      <c r="E17" s="738" t="n">
        <v>2.1426593E7</v>
      </c>
      <c r="F17" s="739" t="n">
        <v>2.1426593E7</v>
      </c>
      <c r="G17" s="740" t="n">
        <v>2.1426593E7</v>
      </c>
      <c r="H17" s="738" t="n">
        <v>1.8534726E7</v>
      </c>
      <c r="I17" s="739" t="n">
        <v>1.702966E7</v>
      </c>
      <c r="J17" s="739" t="n">
        <v>1.5604651E7</v>
      </c>
      <c r="K17" s="739" t="n">
        <v>1.4057955E7</v>
      </c>
      <c r="L17" s="740" t="n">
        <v>1.2418394E7</v>
      </c>
    </row>
    <row r="18" spans="1:12">
      <c r="A18" s="774" t="s">
        <v>313</v>
      </c>
      <c r="B18" s="775" t="n">
        <v>52.0</v>
      </c>
      <c r="C18" s="776" t="n">
        <v>51.0</v>
      </c>
      <c r="D18" s="777" t="n">
        <v>47.0</v>
      </c>
      <c r="E18" s="775" t="n">
        <v>51.0</v>
      </c>
      <c r="F18" s="776" t="n">
        <v>51.0</v>
      </c>
      <c r="G18" s="777" t="n">
        <v>50.0</v>
      </c>
      <c r="H18" s="775" t="n">
        <v>45.0</v>
      </c>
      <c r="I18" s="776" t="n">
        <v>41.0</v>
      </c>
      <c r="J18" s="776" t="n">
        <v>37.0</v>
      </c>
      <c r="K18" s="776" t="n">
        <v>34.0</v>
      </c>
      <c r="L18" s="777" t="n">
        <v>30.0</v>
      </c>
    </row>
    <row r="19" spans="1:12">
      <c r="A19" s="731" t="s">
        <v>281</v>
      </c>
      <c r="B19" s="741" t="n">
        <v>0.0</v>
      </c>
      <c r="C19" s="742" t="n">
        <v>0.0</v>
      </c>
      <c r="D19" s="743" t="n">
        <v>0.0</v>
      </c>
      <c r="E19" s="741" t="n">
        <v>0.0</v>
      </c>
      <c r="F19" s="742" t="n">
        <v>0.0</v>
      </c>
      <c r="G19" s="743" t="n">
        <v>0.0</v>
      </c>
      <c r="H19" s="741" t="n">
        <v>0.0</v>
      </c>
      <c r="I19" s="742" t="n">
        <v>0.0</v>
      </c>
      <c r="J19" s="742" t="n">
        <v>0.0</v>
      </c>
      <c r="K19" s="742" t="n">
        <v>0.0</v>
      </c>
      <c r="L19" s="743" t="n">
        <v>0.0</v>
      </c>
    </row>
    <row r="20" spans="1:12">
      <c r="A20" s="774" t="s">
        <v>312</v>
      </c>
      <c r="B20" s="775" t="n">
        <v>0.0</v>
      </c>
      <c r="C20" s="776" t="n">
        <v>0.0</v>
      </c>
      <c r="D20" s="777" t="n">
        <v>0.0</v>
      </c>
      <c r="E20" s="775" t="n">
        <v>0.0</v>
      </c>
      <c r="F20" s="776" t="n">
        <v>0.0</v>
      </c>
      <c r="G20" s="777" t="n">
        <v>0.0</v>
      </c>
      <c r="H20" s="775" t="n">
        <v>0.0</v>
      </c>
      <c r="I20" s="776" t="n">
        <v>0.0</v>
      </c>
      <c r="J20" s="776" t="n">
        <v>0.0</v>
      </c>
      <c r="K20" s="776" t="n">
        <v>0.0</v>
      </c>
      <c r="L20" s="777" t="n">
        <v>0.0</v>
      </c>
    </row>
    <row r="21" spans="1:12">
      <c r="A21" s="729" t="s">
        <v>282</v>
      </c>
      <c r="B21" s="700" t="n">
        <v>0.0</v>
      </c>
      <c r="C21" s="710" t="n">
        <v>0.0</v>
      </c>
      <c r="D21" s="705" t="n">
        <v>0.0</v>
      </c>
      <c r="E21" s="700" t="n">
        <v>0.0</v>
      </c>
      <c r="F21" s="710" t="n">
        <v>0.0</v>
      </c>
      <c r="G21" s="705" t="n">
        <v>0.0</v>
      </c>
      <c r="H21" s="700" t="n">
        <v>0.0</v>
      </c>
      <c r="I21" s="710" t="n">
        <v>0.0</v>
      </c>
      <c r="J21" s="710" t="n">
        <v>0.0</v>
      </c>
      <c r="K21" s="710" t="n">
        <v>0.0</v>
      </c>
      <c r="L21" s="705" t="n">
        <v>0.0</v>
      </c>
    </row>
    <row r="22" spans="1:12">
      <c r="A22" s="729" t="s">
        <v>283</v>
      </c>
      <c r="B22" s="700" t="n">
        <v>0.0</v>
      </c>
      <c r="C22" s="710" t="n">
        <v>0.0</v>
      </c>
      <c r="D22" s="705" t="n">
        <v>0.0</v>
      </c>
      <c r="E22" s="700" t="n">
        <v>0.0</v>
      </c>
      <c r="F22" s="710" t="n">
        <v>0.0</v>
      </c>
      <c r="G22" s="705" t="n">
        <v>0.0</v>
      </c>
      <c r="H22" s="700" t="n">
        <v>0.0</v>
      </c>
      <c r="I22" s="710" t="n">
        <v>0.0</v>
      </c>
      <c r="J22" s="710" t="n">
        <v>0.0</v>
      </c>
      <c r="K22" s="710" t="n">
        <v>0.0</v>
      </c>
      <c r="L22" s="705" t="n">
        <v>0.0</v>
      </c>
    </row>
    <row r="23" spans="1:12" ht="14.25" thickBot="1">
      <c r="A23" s="731" t="s">
        <v>284</v>
      </c>
      <c r="B23" s="702" t="n">
        <v>0.0</v>
      </c>
      <c r="C23" s="712" t="n">
        <v>0.0</v>
      </c>
      <c r="D23" s="707" t="n">
        <v>0.0</v>
      </c>
      <c r="E23" s="702" t="n">
        <v>0.0</v>
      </c>
      <c r="F23" s="712" t="n">
        <v>0.0</v>
      </c>
      <c r="G23" s="707" t="n">
        <v>0.0</v>
      </c>
      <c r="H23" s="702" t="n">
        <v>0.0</v>
      </c>
      <c r="I23" s="712" t="n">
        <v>0.0</v>
      </c>
      <c r="J23" s="712" t="n">
        <v>0.0</v>
      </c>
      <c r="K23" s="712" t="n">
        <v>0.0</v>
      </c>
      <c r="L23" s="707" t="n">
        <v>0.0</v>
      </c>
    </row>
    <row r="24" spans="1:12">
      <c r="A24" s="732" t="s">
        <v>285</v>
      </c>
      <c r="B24" s="699" t="n">
        <v>0.0</v>
      </c>
      <c r="C24" s="709" t="n">
        <v>0.0</v>
      </c>
      <c r="D24" s="704" t="n">
        <v>0.0</v>
      </c>
      <c r="E24" s="699" t="n">
        <v>0.0</v>
      </c>
      <c r="F24" s="709" t="n">
        <v>0.0</v>
      </c>
      <c r="G24" s="704" t="n">
        <v>0.0</v>
      </c>
      <c r="H24" s="699" t="n">
        <v>0.0</v>
      </c>
      <c r="I24" s="709" t="n">
        <v>0.0</v>
      </c>
      <c r="J24" s="709" t="n">
        <v>0.0</v>
      </c>
      <c r="K24" s="709" t="n">
        <v>0.0</v>
      </c>
      <c r="L24" s="704" t="n">
        <v>0.0</v>
      </c>
    </row>
    <row r="25" spans="1:12">
      <c r="A25" s="729" t="s">
        <v>286</v>
      </c>
      <c r="B25" s="700" t="n">
        <v>0.0</v>
      </c>
      <c r="C25" s="710" t="n">
        <v>0.0</v>
      </c>
      <c r="D25" s="705" t="n">
        <v>0.0</v>
      </c>
      <c r="E25" s="700" t="n">
        <v>0.0</v>
      </c>
      <c r="F25" s="710" t="n">
        <v>0.0</v>
      </c>
      <c r="G25" s="705" t="n">
        <v>0.0</v>
      </c>
      <c r="H25" s="700" t="n">
        <v>0.0</v>
      </c>
      <c r="I25" s="710" t="n">
        <v>0.0</v>
      </c>
      <c r="J25" s="710" t="n">
        <v>0.0</v>
      </c>
      <c r="K25" s="710" t="n">
        <v>0.0</v>
      </c>
      <c r="L25" s="705" t="n">
        <v>0.0</v>
      </c>
    </row>
    <row r="26" spans="1:12" ht="14.25" thickBot="1">
      <c r="A26" s="730" t="s">
        <v>287</v>
      </c>
      <c r="B26" s="701" t="n">
        <v>0.0</v>
      </c>
      <c r="C26" s="711" t="n">
        <v>0.0</v>
      </c>
      <c r="D26" s="706" t="n">
        <v>0.0</v>
      </c>
      <c r="E26" s="701" t="n">
        <v>0.0</v>
      </c>
      <c r="F26" s="711" t="n">
        <v>0.0</v>
      </c>
      <c r="G26" s="706" t="n">
        <v>0.0</v>
      </c>
      <c r="H26" s="701" t="n">
        <v>0.0</v>
      </c>
      <c r="I26" s="711" t="n">
        <v>0.0</v>
      </c>
      <c r="J26" s="711" t="n">
        <v>0.0</v>
      </c>
      <c r="K26" s="711" t="n">
        <v>0.0</v>
      </c>
      <c r="L26" s="706" t="n">
        <v>0.0</v>
      </c>
    </row>
    <row r="27" spans="1:12" ht="14.25" thickBot="1">
      <c r="A27" s="1006" t="s">
        <v>288</v>
      </c>
      <c r="B27" s="1007" t="n">
        <v>2573400.0</v>
      </c>
      <c r="C27" s="1008" t="n">
        <v>2453900.0</v>
      </c>
      <c r="D27" s="1009" t="n">
        <v>2023160.0</v>
      </c>
      <c r="E27" s="1007" t="n">
        <v>2573400.0</v>
      </c>
      <c r="F27" s="1008" t="n">
        <v>2573400.0</v>
      </c>
      <c r="G27" s="1009" t="n">
        <v>2573400.0</v>
      </c>
      <c r="H27" s="1007" t="n">
        <v>2167514.0</v>
      </c>
      <c r="I27" s="1008" t="n">
        <v>2273300.0</v>
      </c>
      <c r="J27" s="1008" t="n">
        <v>2253465.0</v>
      </c>
      <c r="K27" s="1008" t="n">
        <v>2067238.0</v>
      </c>
      <c r="L27" s="1009" t="n">
        <v>1850156.0</v>
      </c>
    </row>
    <row r="28" spans="1:12">
      <c r="A28" s="1002" t="s">
        <v>382</v>
      </c>
      <c r="B28" s="1003" t="n">
        <v>530663.0</v>
      </c>
      <c r="C28" s="1004" t="n">
        <v>530663.0</v>
      </c>
      <c r="D28" s="1005" t="n">
        <v>530663.0</v>
      </c>
      <c r="E28" s="1003" t="n">
        <v>530663.0</v>
      </c>
      <c r="F28" s="1004" t="n">
        <v>530663.0</v>
      </c>
      <c r="G28" s="1005" t="n">
        <v>530663.0</v>
      </c>
      <c r="H28" s="1003" t="n">
        <v>568526.0</v>
      </c>
      <c r="I28" s="1004" t="n">
        <v>596273.0</v>
      </c>
      <c r="J28" s="1004" t="n">
        <v>591071.0</v>
      </c>
      <c r="K28" s="1004" t="n">
        <v>542224.0</v>
      </c>
      <c r="L28" s="1005" t="n">
        <v>485285.0</v>
      </c>
    </row>
    <row r="29" spans="1:12" ht="14.25" thickBot="1">
      <c r="A29" s="730" t="s">
        <v>381</v>
      </c>
      <c r="B29" s="701" t="n">
        <v>0.0</v>
      </c>
      <c r="C29" s="711" t="n">
        <v>0.0</v>
      </c>
      <c r="D29" s="706" t="n">
        <v>0.0</v>
      </c>
      <c r="E29" s="701" t="n">
        <v>0.0</v>
      </c>
      <c r="F29" s="711" t="n">
        <v>0.0</v>
      </c>
      <c r="G29" s="706" t="n">
        <v>0.0</v>
      </c>
      <c r="H29" s="701" t="n">
        <v>0.0</v>
      </c>
      <c r="I29" s="711" t="n">
        <v>0.0</v>
      </c>
      <c r="J29" s="711" t="n">
        <v>0.0</v>
      </c>
      <c r="K29" s="711" t="n">
        <v>0.0</v>
      </c>
      <c r="L29" s="706" t="n">
        <v>0.0</v>
      </c>
    </row>
    <row r="30" spans="1:12">
      <c r="A30" s="732" t="s">
        <v>289</v>
      </c>
      <c r="B30" s="699" t="n">
        <v>0.0</v>
      </c>
      <c r="C30" s="709" t="n">
        <v>0.0</v>
      </c>
      <c r="D30" s="704" t="n">
        <v>0.0</v>
      </c>
      <c r="E30" s="699" t="n">
        <v>0.0</v>
      </c>
      <c r="F30" s="709" t="n">
        <v>0.0</v>
      </c>
      <c r="G30" s="704" t="n">
        <v>0.0</v>
      </c>
      <c r="H30" s="699" t="n">
        <v>0.0</v>
      </c>
      <c r="I30" s="709" t="n">
        <v>0.0</v>
      </c>
      <c r="J30" s="709" t="n">
        <v>0.0</v>
      </c>
      <c r="K30" s="709" t="n">
        <v>0.0</v>
      </c>
      <c r="L30" s="704" t="n">
        <v>0.0</v>
      </c>
    </row>
    <row r="31" spans="1:12">
      <c r="A31" s="729" t="s">
        <v>290</v>
      </c>
      <c r="B31" s="700" t="n">
        <v>5304726.0</v>
      </c>
      <c r="C31" s="710" t="n">
        <v>5304726.0</v>
      </c>
      <c r="D31" s="705" t="n">
        <v>5304726.0</v>
      </c>
      <c r="E31" s="700" t="n">
        <v>5304726.0</v>
      </c>
      <c r="F31" s="710" t="n">
        <v>5304726.0</v>
      </c>
      <c r="G31" s="705" t="n">
        <v>5304726.0</v>
      </c>
      <c r="H31" s="700" t="n">
        <v>5683222.0</v>
      </c>
      <c r="I31" s="710" t="n">
        <v>5960594.0</v>
      </c>
      <c r="J31" s="710" t="n">
        <v>5908586.0</v>
      </c>
      <c r="K31" s="710" t="n">
        <v>5420297.0</v>
      </c>
      <c r="L31" s="705" t="n">
        <v>4851108.0</v>
      </c>
    </row>
    <row r="32" spans="1:12">
      <c r="A32" s="729" t="s">
        <v>291</v>
      </c>
      <c r="B32" s="700" t="n">
        <v>0.0</v>
      </c>
      <c r="C32" s="710" t="n">
        <v>0.0</v>
      </c>
      <c r="D32" s="705" t="n">
        <v>0.0</v>
      </c>
      <c r="E32" s="700" t="n">
        <v>0.0</v>
      </c>
      <c r="F32" s="710" t="n">
        <v>0.0</v>
      </c>
      <c r="G32" s="705" t="n">
        <v>0.0</v>
      </c>
      <c r="H32" s="700" t="n">
        <v>0.0</v>
      </c>
      <c r="I32" s="710" t="n">
        <v>0.0</v>
      </c>
      <c r="J32" s="710" t="n">
        <v>0.0</v>
      </c>
      <c r="K32" s="710" t="n">
        <v>0.0</v>
      </c>
      <c r="L32" s="705" t="n">
        <v>0.0</v>
      </c>
    </row>
    <row r="33" spans="1:12">
      <c r="A33" s="729" t="s">
        <v>292</v>
      </c>
      <c r="B33" s="700" t="n">
        <v>0.0</v>
      </c>
      <c r="C33" s="710" t="n">
        <v>0.0</v>
      </c>
      <c r="D33" s="705" t="n">
        <v>0.0</v>
      </c>
      <c r="E33" s="700" t="n">
        <v>0.0</v>
      </c>
      <c r="F33" s="710" t="n">
        <v>0.0</v>
      </c>
      <c r="G33" s="705" t="n">
        <v>0.0</v>
      </c>
      <c r="H33" s="700" t="n">
        <v>0.0</v>
      </c>
      <c r="I33" s="710" t="n">
        <v>0.0</v>
      </c>
      <c r="J33" s="710" t="n">
        <v>0.0</v>
      </c>
      <c r="K33" s="710" t="n">
        <v>0.0</v>
      </c>
      <c r="L33" s="705" t="n">
        <v>0.0</v>
      </c>
    </row>
    <row r="34" spans="1:12">
      <c r="A34" s="729" t="s">
        <v>293</v>
      </c>
      <c r="B34" s="700" t="n">
        <v>0.0</v>
      </c>
      <c r="C34" s="710" t="n">
        <v>0.0</v>
      </c>
      <c r="D34" s="705" t="n">
        <v>0.0</v>
      </c>
      <c r="E34" s="700" t="n">
        <v>0.0</v>
      </c>
      <c r="F34" s="710" t="n">
        <v>0.0</v>
      </c>
      <c r="G34" s="705" t="n">
        <v>0.0</v>
      </c>
      <c r="H34" s="700" t="n">
        <v>0.0</v>
      </c>
      <c r="I34" s="710" t="n">
        <v>0.0</v>
      </c>
      <c r="J34" s="710" t="n">
        <v>0.0</v>
      </c>
      <c r="K34" s="710" t="n">
        <v>0.0</v>
      </c>
      <c r="L34" s="705" t="n">
        <v>0.0</v>
      </c>
    </row>
    <row r="35" spans="1:12" ht="14.25" thickBot="1">
      <c r="A35" s="730" t="s">
        <v>427</v>
      </c>
      <c r="B35" s="512"/>
      <c r="C35" s="880"/>
      <c r="D35" s="970"/>
      <c r="E35" s="701" t="n">
        <v>0.0</v>
      </c>
      <c r="F35" s="711" t="n">
        <v>0.0</v>
      </c>
      <c r="G35" s="706" t="n">
        <v>0.0</v>
      </c>
      <c r="H35" s="701" t="n">
        <v>0.0</v>
      </c>
      <c r="I35" s="711" t="n">
        <v>0.0</v>
      </c>
      <c r="J35" s="711" t="n">
        <v>0.0</v>
      </c>
      <c r="K35" s="711" t="n">
        <v>0.0</v>
      </c>
      <c r="L35" s="706" t="n">
        <v>0.0</v>
      </c>
    </row>
    <row r="37" spans="1:12" ht="14.25" thickBot="1">
      <c r="A37" s="772" t="s">
        <v>317</v>
      </c>
      <c r="B37" s="772"/>
      <c r="C37" s="772"/>
      <c r="D37" s="772"/>
      <c r="E37" s="697"/>
      <c r="F37" s="697"/>
      <c r="G37" s="697"/>
      <c r="H37" s="697"/>
      <c r="I37" s="697"/>
      <c r="J37" s="697"/>
      <c r="K37" s="773"/>
      <c r="L37" s="773" t="s">
        <v>314</v>
      </c>
    </row>
    <row r="38" spans="1:12" ht="14.25" thickBot="1">
      <c r="A38" s="717" t="s">
        <v>273</v>
      </c>
      <c r="B38" s="698" t="s">
        <v>325</v>
      </c>
      <c r="C38" s="708" t="s">
        <v>326</v>
      </c>
      <c r="D38" s="744" t="s">
        <v>327</v>
      </c>
      <c r="E38" s="717" t="s">
        <v>347</v>
      </c>
      <c r="F38" s="714" t="s">
        <v>346</v>
      </c>
      <c r="G38" s="713" t="s">
        <v>345</v>
      </c>
      <c r="H38" s="717" t="s">
        <v>399</v>
      </c>
      <c r="I38" s="714" t="s">
        <v>328</v>
      </c>
      <c r="J38" s="714" t="s">
        <v>329</v>
      </c>
      <c r="K38" s="718" t="s">
        <v>330</v>
      </c>
      <c r="L38" s="713" t="s">
        <v>344</v>
      </c>
    </row>
    <row r="39" spans="1:12">
      <c r="A39" s="732" t="s">
        <v>294</v>
      </c>
      <c r="B39" s="699" t="n">
        <v>2.9335189E7</v>
      </c>
      <c r="C39" s="715" t="n">
        <v>2.9335189E7</v>
      </c>
      <c r="D39" s="704" t="n">
        <v>2.9335189E7</v>
      </c>
      <c r="E39" s="699" t="n">
        <v>2.9335189E7</v>
      </c>
      <c r="F39" s="715" t="n">
        <v>2.9335189E7</v>
      </c>
      <c r="G39" s="704" t="n">
        <v>2.9335189E7</v>
      </c>
      <c r="H39" s="699" t="n">
        <v>2.8986265E7</v>
      </c>
      <c r="I39" s="715" t="n">
        <v>2.7284194E7</v>
      </c>
      <c r="J39" s="715" t="n">
        <v>2.5471488E7</v>
      </c>
      <c r="K39" s="709" t="n">
        <v>2.3982177E7</v>
      </c>
      <c r="L39" s="704" t="n">
        <v>2.1829057E7</v>
      </c>
    </row>
    <row r="40" spans="1:12" ht="14.25" thickBot="1">
      <c r="A40" s="733" t="s">
        <v>295</v>
      </c>
      <c r="B40" s="701" t="n">
        <v>0.0</v>
      </c>
      <c r="C40" s="716" t="n">
        <v>0.0</v>
      </c>
      <c r="D40" s="706" t="n">
        <v>0.0</v>
      </c>
      <c r="E40" s="701" t="n">
        <v>0.0</v>
      </c>
      <c r="F40" s="716" t="n">
        <v>0.0</v>
      </c>
      <c r="G40" s="706" t="n">
        <v>0.0</v>
      </c>
      <c r="H40" s="701" t="n">
        <v>0.0</v>
      </c>
      <c r="I40" s="716" t="n">
        <v>0.0</v>
      </c>
      <c r="J40" s="716" t="n">
        <v>0.0</v>
      </c>
      <c r="K40" s="711" t="n">
        <v>0.0</v>
      </c>
      <c r="L40" s="706" t="n">
        <v>0.0</v>
      </c>
    </row>
    <row r="41" spans="1:12">
      <c r="E41" s="697"/>
      <c r="F41" s="697"/>
      <c r="G41" s="697"/>
      <c r="H41" s="697"/>
      <c r="I41" s="697"/>
      <c r="J41" s="697"/>
      <c r="K41" s="697"/>
      <c r="L41" s="697"/>
    </row>
    <row r="42" spans="1:12" ht="14.25" thickBot="1">
      <c r="A42" s="772" t="s">
        <v>305</v>
      </c>
      <c r="B42" s="772"/>
      <c r="C42" s="772"/>
      <c r="D42" s="772"/>
      <c r="E42" s="697"/>
      <c r="F42" s="697"/>
      <c r="G42" s="697"/>
      <c r="H42" s="697"/>
      <c r="I42" s="697"/>
      <c r="J42" s="697"/>
      <c r="K42" s="773"/>
      <c r="L42" s="773" t="s">
        <v>314</v>
      </c>
    </row>
    <row r="43" spans="1:12" ht="14.25" thickBot="1">
      <c r="A43" s="717" t="s">
        <v>273</v>
      </c>
      <c r="B43" s="698" t="s">
        <v>325</v>
      </c>
      <c r="C43" s="708" t="s">
        <v>326</v>
      </c>
      <c r="D43" s="744" t="s">
        <v>327</v>
      </c>
      <c r="E43" s="717" t="s">
        <v>347</v>
      </c>
      <c r="F43" s="718" t="s">
        <v>346</v>
      </c>
      <c r="G43" s="713" t="s">
        <v>345</v>
      </c>
      <c r="H43" s="717" t="s">
        <v>399</v>
      </c>
      <c r="I43" s="718" t="s">
        <v>328</v>
      </c>
      <c r="J43" s="718" t="s">
        <v>329</v>
      </c>
      <c r="K43" s="718" t="s">
        <v>330</v>
      </c>
      <c r="L43" s="713" t="s">
        <v>344</v>
      </c>
    </row>
    <row r="44" spans="1:12">
      <c r="A44" s="732" t="s">
        <v>296</v>
      </c>
      <c r="B44" s="699" t="n">
        <v>0.0</v>
      </c>
      <c r="C44" s="709" t="n">
        <v>0.0</v>
      </c>
      <c r="D44" s="704" t="n">
        <v>0.0</v>
      </c>
      <c r="E44" s="699" t="n">
        <v>0.0</v>
      </c>
      <c r="F44" s="709" t="n">
        <v>0.0</v>
      </c>
      <c r="G44" s="704" t="n">
        <v>0.0</v>
      </c>
      <c r="H44" s="699" t="n">
        <v>0.0</v>
      </c>
      <c r="I44" s="709" t="n">
        <v>0.0</v>
      </c>
      <c r="J44" s="709" t="n">
        <v>0.0</v>
      </c>
      <c r="K44" s="709" t="n">
        <v>0.0</v>
      </c>
      <c r="L44" s="704" t="n">
        <v>0.0</v>
      </c>
    </row>
    <row r="45" spans="1:12">
      <c r="A45" s="729" t="s">
        <v>297</v>
      </c>
      <c r="B45" s="700" t="n">
        <v>0.0</v>
      </c>
      <c r="C45" s="710" t="n">
        <v>0.0</v>
      </c>
      <c r="D45" s="705" t="n">
        <v>0.0</v>
      </c>
      <c r="E45" s="700" t="n">
        <v>0.0</v>
      </c>
      <c r="F45" s="710" t="n">
        <v>0.0</v>
      </c>
      <c r="G45" s="705" t="n">
        <v>0.0</v>
      </c>
      <c r="H45" s="700" t="n">
        <v>0.0</v>
      </c>
      <c r="I45" s="710" t="n">
        <v>0.0</v>
      </c>
      <c r="J45" s="710" t="n">
        <v>0.0</v>
      </c>
      <c r="K45" s="710" t="n">
        <v>0.0</v>
      </c>
      <c r="L45" s="705" t="n">
        <v>0.0</v>
      </c>
    </row>
    <row r="46" spans="1:12">
      <c r="A46" s="729" t="s">
        <v>298</v>
      </c>
      <c r="B46" s="700" t="n">
        <v>0.0</v>
      </c>
      <c r="C46" s="710" t="n">
        <v>0.0</v>
      </c>
      <c r="D46" s="705" t="n">
        <v>0.0</v>
      </c>
      <c r="E46" s="700" t="n">
        <v>0.0</v>
      </c>
      <c r="F46" s="710" t="n">
        <v>0.0</v>
      </c>
      <c r="G46" s="705" t="n">
        <v>0.0</v>
      </c>
      <c r="H46" s="700" t="n">
        <v>0.0</v>
      </c>
      <c r="I46" s="710" t="n">
        <v>0.0</v>
      </c>
      <c r="J46" s="710" t="n">
        <v>0.0</v>
      </c>
      <c r="K46" s="710" t="n">
        <v>0.0</v>
      </c>
      <c r="L46" s="705" t="n">
        <v>0.0</v>
      </c>
    </row>
    <row r="47" spans="1:12">
      <c r="A47" s="729" t="s">
        <v>299</v>
      </c>
      <c r="B47" s="700" t="n">
        <v>0.0</v>
      </c>
      <c r="C47" s="710" t="n">
        <v>0.0</v>
      </c>
      <c r="D47" s="705" t="n">
        <v>0.0</v>
      </c>
      <c r="E47" s="700" t="n">
        <v>0.0</v>
      </c>
      <c r="F47" s="710" t="n">
        <v>0.0</v>
      </c>
      <c r="G47" s="705" t="n">
        <v>0.0</v>
      </c>
      <c r="H47" s="700" t="n">
        <v>0.0</v>
      </c>
      <c r="I47" s="710" t="n">
        <v>0.0</v>
      </c>
      <c r="J47" s="710" t="n">
        <v>0.0</v>
      </c>
      <c r="K47" s="710" t="n">
        <v>0.0</v>
      </c>
      <c r="L47" s="705" t="n">
        <v>0.0</v>
      </c>
    </row>
    <row r="48" spans="1:12">
      <c r="A48" s="729" t="s">
        <v>321</v>
      </c>
      <c r="B48" s="700" t="n">
        <v>0.0</v>
      </c>
      <c r="C48" s="710" t="n">
        <v>0.0</v>
      </c>
      <c r="D48" s="705" t="n">
        <v>0.0</v>
      </c>
      <c r="E48" s="700" t="n">
        <v>0.0</v>
      </c>
      <c r="F48" s="710" t="n">
        <v>0.0</v>
      </c>
      <c r="G48" s="705" t="n">
        <v>0.0</v>
      </c>
      <c r="H48" s="700" t="n">
        <v>0.0</v>
      </c>
      <c r="I48" s="710" t="n">
        <v>0.0</v>
      </c>
      <c r="J48" s="710" t="n">
        <v>0.0</v>
      </c>
      <c r="K48" s="710" t="n">
        <v>0.0</v>
      </c>
      <c r="L48" s="705" t="n">
        <v>0.0</v>
      </c>
    </row>
    <row r="49" spans="1:12" ht="14.25" thickBot="1">
      <c r="A49" s="730" t="s">
        <v>300</v>
      </c>
      <c r="B49" s="701" t="n">
        <v>0.0</v>
      </c>
      <c r="C49" s="711" t="n">
        <v>0.0</v>
      </c>
      <c r="D49" s="706" t="n">
        <v>0.0</v>
      </c>
      <c r="E49" s="701" t="n">
        <v>0.0</v>
      </c>
      <c r="F49" s="711" t="n">
        <v>0.0</v>
      </c>
      <c r="G49" s="706" t="n">
        <v>0.0</v>
      </c>
      <c r="H49" s="701" t="n">
        <v>0.0</v>
      </c>
      <c r="I49" s="711" t="n">
        <v>0.0</v>
      </c>
      <c r="J49" s="711" t="n">
        <v>0.0</v>
      </c>
      <c r="K49" s="711" t="n">
        <v>0.0</v>
      </c>
      <c r="L49" s="706" t="n">
        <v>0.0</v>
      </c>
    </row>
    <row r="50" spans="1:12">
      <c r="E50" s="697"/>
      <c r="F50" s="697"/>
      <c r="G50" s="697"/>
      <c r="H50" s="697"/>
      <c r="I50" s="697"/>
      <c r="J50" s="697"/>
      <c r="K50" s="697"/>
      <c r="L50" s="697"/>
    </row>
    <row r="51" spans="1:12" ht="14.25" thickBot="1">
      <c r="A51" s="772" t="s">
        <v>423</v>
      </c>
      <c r="B51" s="772"/>
      <c r="C51" s="772"/>
      <c r="D51" s="772"/>
      <c r="E51" s="697"/>
      <c r="F51" s="697"/>
      <c r="G51" s="697"/>
      <c r="H51" s="697"/>
      <c r="I51" s="697"/>
      <c r="J51" s="697"/>
      <c r="K51" s="773"/>
      <c r="L51" s="773" t="s">
        <v>314</v>
      </c>
    </row>
    <row r="52" spans="1:12" ht="14.25" thickBot="1">
      <c r="A52" s="717" t="s">
        <v>273</v>
      </c>
      <c r="B52" s="698" t="s">
        <v>325</v>
      </c>
      <c r="C52" s="708" t="s">
        <v>326</v>
      </c>
      <c r="D52" s="744" t="s">
        <v>327</v>
      </c>
      <c r="E52" s="717" t="s">
        <v>347</v>
      </c>
      <c r="F52" s="718" t="s">
        <v>346</v>
      </c>
      <c r="G52" s="713" t="s">
        <v>345</v>
      </c>
      <c r="H52" s="717" t="s">
        <v>399</v>
      </c>
      <c r="I52" s="718" t="s">
        <v>328</v>
      </c>
      <c r="J52" s="718" t="s">
        <v>329</v>
      </c>
      <c r="K52" s="718" t="s">
        <v>330</v>
      </c>
      <c r="L52" s="713" t="s">
        <v>344</v>
      </c>
    </row>
    <row r="53" spans="1:12" ht="14.25" thickBot="1">
      <c r="A53" s="1006" t="s">
        <v>424</v>
      </c>
      <c r="B53" s="1023"/>
      <c r="C53" s="1024"/>
      <c r="D53" s="1025"/>
      <c r="E53" s="1012" t="n">
        <v>0.0</v>
      </c>
      <c r="F53" s="1013" t="n">
        <v>0.0</v>
      </c>
      <c r="G53" s="1014" t="n">
        <v>0.0</v>
      </c>
      <c r="H53" s="1012" t="n">
        <v>0.0</v>
      </c>
      <c r="I53" s="1013" t="n">
        <v>0.0</v>
      </c>
      <c r="J53" s="1013" t="n">
        <v>0.0</v>
      </c>
      <c r="K53" s="1013" t="n">
        <v>0.0</v>
      </c>
      <c r="L53" s="1014" t="n">
        <v>0.0</v>
      </c>
    </row>
    <row r="54" spans="1:12">
      <c r="E54" s="697"/>
      <c r="F54" s="697"/>
      <c r="G54" s="697"/>
      <c r="H54" s="697"/>
      <c r="I54" s="697"/>
      <c r="J54" s="697"/>
      <c r="K54" s="697"/>
      <c r="L54" s="697"/>
    </row>
    <row r="55" spans="1:12" ht="14.25" thickBot="1">
      <c r="A55" s="772" t="s">
        <v>425</v>
      </c>
      <c r="B55" s="772"/>
      <c r="C55" s="772"/>
      <c r="D55" s="772"/>
      <c r="E55" s="697"/>
      <c r="F55" s="697"/>
      <c r="G55" s="697"/>
      <c r="H55" s="697"/>
      <c r="I55" s="697"/>
      <c r="J55" s="697"/>
      <c r="K55" s="773"/>
      <c r="L55" s="773" t="s">
        <v>314</v>
      </c>
    </row>
    <row r="56" spans="1:12" ht="14.25" thickBot="1">
      <c r="A56" s="717" t="s">
        <v>273</v>
      </c>
      <c r="B56" s="698" t="s">
        <v>325</v>
      </c>
      <c r="C56" s="708" t="s">
        <v>326</v>
      </c>
      <c r="D56" s="744" t="s">
        <v>327</v>
      </c>
      <c r="E56" s="717" t="s">
        <v>347</v>
      </c>
      <c r="F56" s="718" t="s">
        <v>346</v>
      </c>
      <c r="G56" s="713" t="s">
        <v>345</v>
      </c>
      <c r="H56" s="717" t="s">
        <v>399</v>
      </c>
      <c r="I56" s="718" t="s">
        <v>328</v>
      </c>
      <c r="J56" s="718" t="s">
        <v>329</v>
      </c>
      <c r="K56" s="718" t="s">
        <v>330</v>
      </c>
      <c r="L56" s="713" t="s">
        <v>344</v>
      </c>
    </row>
    <row r="57" spans="1:12" ht="14.25" thickBot="1">
      <c r="A57" s="1006" t="s">
        <v>413</v>
      </c>
      <c r="B57" s="1023"/>
      <c r="C57" s="1024"/>
      <c r="D57" s="1025"/>
      <c r="E57" s="1012" t="n">
        <v>0.0</v>
      </c>
      <c r="F57" s="1013" t="n">
        <v>0.0</v>
      </c>
      <c r="G57" s="1014" t="n">
        <v>0.0</v>
      </c>
      <c r="H57" s="1012" t="n">
        <v>0.0</v>
      </c>
      <c r="I57" s="1013" t="n">
        <v>0.0</v>
      </c>
      <c r="J57" s="1013" t="n">
        <v>0.0</v>
      </c>
      <c r="K57" s="1013" t="n">
        <v>0.0</v>
      </c>
      <c r="L57" s="1014" t="n">
        <v>0.0</v>
      </c>
    </row>
    <row r="58" spans="1:12">
      <c r="E58" s="697"/>
      <c r="F58" s="697"/>
      <c r="G58" s="697"/>
      <c r="H58" s="697"/>
      <c r="I58" s="697"/>
      <c r="J58" s="697"/>
      <c r="K58" s="697"/>
      <c r="L58" s="697"/>
    </row>
    <row r="59" spans="1:12" ht="14.25" thickBot="1">
      <c r="A59" s="772" t="s">
        <v>426</v>
      </c>
      <c r="B59" s="772"/>
      <c r="C59" s="772"/>
      <c r="D59" s="772"/>
      <c r="E59" s="697"/>
      <c r="F59" s="697"/>
      <c r="G59" s="697"/>
      <c r="H59" s="697"/>
      <c r="I59" s="697"/>
      <c r="J59" s="697"/>
      <c r="K59" s="773"/>
      <c r="L59" s="773" t="s">
        <v>314</v>
      </c>
    </row>
    <row r="60" spans="1:12" ht="14.25" thickBot="1">
      <c r="A60" s="717"/>
      <c r="B60" s="698" t="s">
        <v>325</v>
      </c>
      <c r="C60" s="708" t="s">
        <v>326</v>
      </c>
      <c r="D60" s="744" t="s">
        <v>327</v>
      </c>
      <c r="E60" s="717" t="s">
        <v>347</v>
      </c>
      <c r="F60" s="718" t="s">
        <v>346</v>
      </c>
      <c r="G60" s="713" t="s">
        <v>345</v>
      </c>
      <c r="H60" s="717" t="s">
        <v>399</v>
      </c>
      <c r="I60" s="718" t="s">
        <v>328</v>
      </c>
      <c r="J60" s="718" t="s">
        <v>329</v>
      </c>
      <c r="K60" s="718" t="s">
        <v>330</v>
      </c>
      <c r="L60" s="713" t="s">
        <v>344</v>
      </c>
    </row>
    <row r="61" spans="1:12">
      <c r="A61" s="732" t="s">
        <v>301</v>
      </c>
      <c r="B61" s="778" t="n">
        <f>SUM(B9,B11,B13:B17,B19,B21:B34)</f>
        <v>3.4581047E7</v>
      </c>
      <c r="C61" s="779" t="n">
        <f t="shared" ref="C61:D61" si="0">SUM(C9,C11,C13:C17,C19,C21:C34)</f>
        <v>3.4154196E7</v>
      </c>
      <c r="D61" s="780" t="n">
        <f t="shared" si="0"/>
        <v>3.1776545E7</v>
      </c>
      <c r="E61" s="778" t="n">
        <f t="shared" ref="E61:L61" si="1">SUM(E9,E11,E13:E17,E19,E21:E35)</f>
        <v>3.4581047E7</v>
      </c>
      <c r="F61" s="779" t="n">
        <f t="shared" si="1"/>
        <v>3.4581047E7</v>
      </c>
      <c r="G61" s="780" t="n">
        <f t="shared" si="1"/>
        <v>3.4581047E7</v>
      </c>
      <c r="H61" s="778" t="n">
        <f t="shared" si="1"/>
        <v>3.1076768E7</v>
      </c>
      <c r="I61" s="779" t="n">
        <f t="shared" si="1"/>
        <v>2.9647827E7</v>
      </c>
      <c r="J61" s="779" t="n">
        <f t="shared" si="1"/>
        <v>2.7828801E7</v>
      </c>
      <c r="K61" s="779" t="n">
        <f t="shared" si="1"/>
        <v>2.5214702E7</v>
      </c>
      <c r="L61" s="780" t="n">
        <f t="shared" si="1"/>
        <v>2.2367234E7</v>
      </c>
    </row>
    <row r="62" spans="1:12">
      <c r="A62" s="729" t="s">
        <v>318</v>
      </c>
      <c r="B62" s="781" t="n">
        <f t="shared" ref="B62:L62" si="2">SUM(B39:B40)</f>
        <v>2.9335189E7</v>
      </c>
      <c r="C62" s="782" t="n">
        <f t="shared" si="2"/>
        <v>2.9335189E7</v>
      </c>
      <c r="D62" s="783" t="n">
        <f t="shared" si="2"/>
        <v>2.9335189E7</v>
      </c>
      <c r="E62" s="781" t="n">
        <f t="shared" si="2"/>
        <v>2.9335189E7</v>
      </c>
      <c r="F62" s="782" t="n">
        <f t="shared" si="2"/>
        <v>2.9335189E7</v>
      </c>
      <c r="G62" s="783" t="n">
        <f t="shared" si="2"/>
        <v>2.9335189E7</v>
      </c>
      <c r="H62" s="781" t="n">
        <f t="shared" si="2"/>
        <v>2.8986265E7</v>
      </c>
      <c r="I62" s="782" t="n">
        <f t="shared" si="2"/>
        <v>2.7284194E7</v>
      </c>
      <c r="J62" s="782" t="n">
        <f t="shared" si="2"/>
        <v>2.5471488E7</v>
      </c>
      <c r="K62" s="782" t="n">
        <f t="shared" si="2"/>
        <v>2.3982177E7</v>
      </c>
      <c r="L62" s="783" t="n">
        <f t="shared" si="2"/>
        <v>2.1829057E7</v>
      </c>
    </row>
    <row r="63" spans="1:12">
      <c r="A63" s="729" t="s">
        <v>302</v>
      </c>
      <c r="B63" s="781" t="n">
        <f t="shared" ref="B63:L63" si="3">SUM(B44:B49)</f>
        <v>0.0</v>
      </c>
      <c r="C63" s="782" t="n">
        <f t="shared" si="3"/>
        <v>0.0</v>
      </c>
      <c r="D63" s="783" t="n">
        <f t="shared" si="3"/>
        <v>0.0</v>
      </c>
      <c r="E63" s="781" t="n">
        <f t="shared" si="3"/>
        <v>0.0</v>
      </c>
      <c r="F63" s="782" t="n">
        <f t="shared" si="3"/>
        <v>0.0</v>
      </c>
      <c r="G63" s="783" t="n">
        <f t="shared" si="3"/>
        <v>0.0</v>
      </c>
      <c r="H63" s="781" t="n">
        <f t="shared" si="3"/>
        <v>0.0</v>
      </c>
      <c r="I63" s="782" t="n">
        <f t="shared" si="3"/>
        <v>0.0</v>
      </c>
      <c r="J63" s="782" t="n">
        <f t="shared" si="3"/>
        <v>0.0</v>
      </c>
      <c r="K63" s="782" t="n">
        <f t="shared" si="3"/>
        <v>0.0</v>
      </c>
      <c r="L63" s="783" t="n">
        <f t="shared" si="3"/>
        <v>0.0</v>
      </c>
    </row>
    <row r="64" spans="1:12">
      <c r="A64" s="729" t="s">
        <v>428</v>
      </c>
      <c r="B64" s="507"/>
      <c r="C64" s="879"/>
      <c r="D64" s="933"/>
      <c r="E64" s="781" t="n">
        <f t="shared" ref="E64:L64" si="4">SUM(E53)</f>
        <v>0.0</v>
      </c>
      <c r="F64" s="782" t="n">
        <f t="shared" si="4"/>
        <v>0.0</v>
      </c>
      <c r="G64" s="783" t="n">
        <f t="shared" si="4"/>
        <v>0.0</v>
      </c>
      <c r="H64" s="781" t="n">
        <f t="shared" si="4"/>
        <v>0.0</v>
      </c>
      <c r="I64" s="782" t="n">
        <f t="shared" si="4"/>
        <v>0.0</v>
      </c>
      <c r="J64" s="782" t="n">
        <f t="shared" si="4"/>
        <v>0.0</v>
      </c>
      <c r="K64" s="782" t="n">
        <f t="shared" si="4"/>
        <v>0.0</v>
      </c>
      <c r="L64" s="783" t="n">
        <f t="shared" si="4"/>
        <v>0.0</v>
      </c>
    </row>
    <row r="65" spans="1:12" ht="14.25" thickBot="1">
      <c r="A65" s="1015" t="s">
        <v>414</v>
      </c>
      <c r="B65" s="1026"/>
      <c r="C65" s="1027"/>
      <c r="D65" s="1028"/>
      <c r="E65" s="1016" t="n">
        <f t="shared" ref="E65:L65" si="5">SUM(E57)</f>
        <v>0.0</v>
      </c>
      <c r="F65" s="1017" t="n">
        <f t="shared" si="5"/>
        <v>0.0</v>
      </c>
      <c r="G65" s="1018" t="n">
        <f t="shared" si="5"/>
        <v>0.0</v>
      </c>
      <c r="H65" s="1016" t="n">
        <f t="shared" si="5"/>
        <v>0.0</v>
      </c>
      <c r="I65" s="1017" t="n">
        <f t="shared" si="5"/>
        <v>0.0</v>
      </c>
      <c r="J65" s="1017" t="n">
        <f t="shared" si="5"/>
        <v>0.0</v>
      </c>
      <c r="K65" s="1017" t="n">
        <f t="shared" si="5"/>
        <v>0.0</v>
      </c>
      <c r="L65" s="1018" t="n">
        <f t="shared" si="5"/>
        <v>0.0</v>
      </c>
    </row>
    <row r="66" spans="1:12" ht="14.25" thickBot="1">
      <c r="A66" s="733" t="s">
        <v>303</v>
      </c>
      <c r="B66" s="719" t="n">
        <f>SUM(B61:B65)</f>
        <v>6.3916236E7</v>
      </c>
      <c r="C66" s="721" t="n">
        <f t="shared" ref="C66:L66" si="6">SUM(C61:C65)</f>
        <v>6.3489385E7</v>
      </c>
      <c r="D66" s="720" t="n">
        <f t="shared" si="6"/>
        <v>6.1111734E7</v>
      </c>
      <c r="E66" s="719" t="n">
        <f t="shared" si="6"/>
        <v>6.3916236E7</v>
      </c>
      <c r="F66" s="721" t="n">
        <f t="shared" si="6"/>
        <v>6.3916236E7</v>
      </c>
      <c r="G66" s="720" t="n">
        <f t="shared" si="6"/>
        <v>6.3916236E7</v>
      </c>
      <c r="H66" s="719" t="n">
        <f t="shared" si="6"/>
        <v>6.0063033E7</v>
      </c>
      <c r="I66" s="721" t="n">
        <f t="shared" si="6"/>
        <v>5.6932021E7</v>
      </c>
      <c r="J66" s="721" t="n">
        <f t="shared" si="6"/>
        <v>5.3300289E7</v>
      </c>
      <c r="K66" s="721" t="n">
        <f t="shared" si="6"/>
        <v>4.9196879E7</v>
      </c>
      <c r="L66" s="720" t="n">
        <f t="shared" si="6"/>
        <v>4.4196291E7</v>
      </c>
    </row>
    <row r="68" spans="1:12">
      <c r="A68" s="767" t="s">
        <v>316</v>
      </c>
    </row>
  </sheetData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147"/>
  <sheetViews>
    <sheetView showGridLines="0" view="pageBreakPreview" zoomScale="85" zoomScaleNormal="40" zoomScaleSheetLayoutView="85" workbookViewId="0"/>
  </sheetViews>
  <sheetFormatPr defaultColWidth="9" defaultRowHeight="13.5"/>
  <cols>
    <col min="1" max="1" bestFit="true" customWidth="true" style="353" width="43.125" collapsed="false"/>
    <col min="2" max="4" customWidth="true" style="353" width="11.375" collapsed="false"/>
    <col min="5" max="11" style="353" width="9.0" collapsed="false"/>
    <col min="12" max="12" customWidth="true" style="353" width="10.125" collapsed="false"/>
    <col min="13" max="16384" style="353" width="9.0" collapsed="false"/>
  </cols>
  <sheetData>
    <row r="1" spans="1:12" ht="14.25">
      <c r="A1" s="352" t="s">
        <v>310</v>
      </c>
      <c r="C1" s="354"/>
      <c r="D1" s="355"/>
    </row>
    <row r="2" spans="1:12" ht="15" thickBot="1">
      <c r="A2" s="352"/>
      <c r="K2" s="354" t="s">
        <v>98</v>
      </c>
      <c r="L2" s="355" t="str">
        <f>'1_推計値サマリ'!T2</f>
        <v>2026/09/28</v>
      </c>
    </row>
    <row r="3" spans="1:12" ht="14.25" thickBot="1">
      <c r="I3" s="1051" t="s">
        <v>67</v>
      </c>
      <c r="J3" s="1052"/>
      <c r="K3" s="1065" t="str">
        <f>保険者名</f>
        <v>小野町</v>
      </c>
      <c r="L3" s="1066"/>
    </row>
    <row r="4" spans="1:12" ht="14.25" thickBot="1">
      <c r="I4" s="1051" t="s">
        <v>68</v>
      </c>
      <c r="J4" s="1052"/>
      <c r="K4" s="1065" t="str">
        <f>保険者番号</f>
        <v>07522</v>
      </c>
      <c r="L4" s="1066"/>
    </row>
    <row r="5" spans="1:12" ht="31.5" customHeight="1" thickBot="1">
      <c r="I5" s="1053" t="s">
        <v>103</v>
      </c>
      <c r="J5" s="1054"/>
      <c r="K5" s="1065" t="str">
        <f>推計パターン名</f>
        <v>将来推計0925-2</v>
      </c>
      <c r="L5" s="1066"/>
    </row>
    <row r="6" spans="1:12">
      <c r="C6" s="354"/>
      <c r="D6" s="354"/>
    </row>
    <row r="7" spans="1:12" ht="14.25" thickBot="1">
      <c r="A7" s="353" t="s">
        <v>75</v>
      </c>
      <c r="C7" s="354"/>
      <c r="D7" s="354"/>
    </row>
    <row r="8" spans="1:12" ht="125.1" customHeight="1" thickBot="1">
      <c r="A8" s="1092" t="s">
        <v>263</v>
      </c>
      <c r="B8" s="1093"/>
      <c r="C8" s="1093"/>
      <c r="D8" s="1093"/>
      <c r="E8" s="1094"/>
      <c r="F8" s="1094"/>
      <c r="G8" s="1094"/>
      <c r="H8" s="1094"/>
      <c r="I8" s="1094"/>
      <c r="J8" s="1094"/>
      <c r="K8" s="1094"/>
      <c r="L8" s="1095"/>
    </row>
    <row r="9" spans="1:12" ht="27" customHeight="1" thickBot="1">
      <c r="A9" s="356" t="s">
        <v>113</v>
      </c>
      <c r="B9" s="357"/>
      <c r="C9" s="354"/>
      <c r="D9" s="354"/>
    </row>
    <row r="10" spans="1:12" ht="27" customHeight="1" thickBot="1">
      <c r="A10" s="358" t="s">
        <v>114</v>
      </c>
      <c r="B10" s="1102" t="s">
        <v>435</v>
      </c>
      <c r="C10" s="1103"/>
      <c r="D10" s="1103"/>
      <c r="E10" s="1103"/>
      <c r="F10" s="1103"/>
      <c r="G10" s="1103"/>
      <c r="H10" s="1103"/>
      <c r="I10" s="1103"/>
      <c r="J10" s="1103"/>
      <c r="K10" s="1103"/>
      <c r="L10" s="1104"/>
    </row>
    <row r="11" spans="1:12" ht="27" customHeight="1" thickBot="1">
      <c r="A11" s="358" t="s">
        <v>115</v>
      </c>
      <c r="B11" s="1102" t="s">
        <v>436</v>
      </c>
      <c r="C11" s="1103"/>
      <c r="D11" s="1103"/>
      <c r="E11" s="1103"/>
      <c r="F11" s="1103"/>
      <c r="G11" s="1103"/>
      <c r="H11" s="1103"/>
      <c r="I11" s="1103"/>
      <c r="J11" s="1103"/>
      <c r="K11" s="1103"/>
      <c r="L11" s="1104"/>
    </row>
    <row r="12" spans="1:12" ht="27" customHeight="1" thickBot="1">
      <c r="A12" s="356" t="s">
        <v>116</v>
      </c>
      <c r="B12" s="357"/>
      <c r="C12" s="354"/>
      <c r="D12" s="354"/>
    </row>
    <row r="13" spans="1:12" ht="23.25" customHeight="1" thickBot="1">
      <c r="A13" s="358" t="s">
        <v>101</v>
      </c>
      <c r="B13" s="1102" t="s">
        <v>437</v>
      </c>
      <c r="C13" s="1103"/>
      <c r="D13" s="1103"/>
      <c r="E13" s="1103"/>
      <c r="F13" s="1103"/>
      <c r="G13" s="1103"/>
      <c r="H13" s="1103"/>
      <c r="I13" s="1103"/>
      <c r="J13" s="1103"/>
      <c r="K13" s="1103"/>
      <c r="L13" s="1104"/>
    </row>
    <row r="14" spans="1:12" ht="23.25" customHeight="1" thickBot="1">
      <c r="A14" s="359"/>
      <c r="B14" s="1096" t="s">
        <v>244</v>
      </c>
      <c r="C14" s="1096"/>
      <c r="D14" s="1096"/>
      <c r="E14" s="1097"/>
      <c r="F14" s="1097"/>
      <c r="G14" s="1097"/>
      <c r="H14" s="1097"/>
      <c r="I14" s="1097"/>
      <c r="J14" s="1097"/>
      <c r="K14" s="1097"/>
      <c r="L14" s="1097"/>
    </row>
    <row r="15" spans="1:12" ht="23.25" customHeight="1" thickBot="1">
      <c r="A15" s="1100" t="s">
        <v>74</v>
      </c>
      <c r="B15" s="1098"/>
      <c r="C15" s="1098"/>
      <c r="D15" s="1098"/>
      <c r="E15" s="1099"/>
      <c r="F15" s="1099"/>
      <c r="G15" s="1099"/>
      <c r="H15" s="1099"/>
      <c r="I15" s="1099"/>
      <c r="J15" s="1099"/>
      <c r="K15" s="1099"/>
      <c r="L15" s="1099"/>
    </row>
    <row r="16" spans="1:12" ht="125.1" customHeight="1" thickBot="1">
      <c r="A16" s="1101"/>
      <c r="B16" s="1098"/>
      <c r="C16" s="1098"/>
      <c r="D16" s="1098"/>
      <c r="E16" s="1099"/>
      <c r="F16" s="1099"/>
      <c r="G16" s="1099"/>
      <c r="H16" s="1099"/>
      <c r="I16" s="1099"/>
      <c r="J16" s="1099"/>
      <c r="K16" s="1099"/>
      <c r="L16" s="1099"/>
    </row>
    <row r="17" spans="1:12" ht="23.25" customHeight="1" thickBot="1">
      <c r="A17" s="360"/>
      <c r="B17" s="1068" t="s">
        <v>92</v>
      </c>
      <c r="C17" s="1069"/>
      <c r="D17" s="1069"/>
      <c r="E17" s="1069"/>
      <c r="F17" s="1069"/>
      <c r="G17" s="1069"/>
      <c r="H17" s="1069"/>
      <c r="I17" s="1069"/>
      <c r="J17" s="1069"/>
      <c r="K17" s="1069"/>
      <c r="L17" s="1070"/>
    </row>
    <row r="18" spans="1:12" ht="125.1" customHeight="1" thickBot="1">
      <c r="A18" s="361" t="s">
        <v>240</v>
      </c>
      <c r="B18" s="1105"/>
      <c r="C18" s="1106"/>
      <c r="D18" s="1106"/>
      <c r="E18" s="1106"/>
      <c r="F18" s="1106"/>
      <c r="G18" s="1106"/>
      <c r="H18" s="1106"/>
      <c r="I18" s="1106"/>
      <c r="J18" s="1106"/>
      <c r="K18" s="1106"/>
      <c r="L18" s="1107"/>
    </row>
    <row r="19" spans="1:12" ht="27" customHeight="1" thickBot="1">
      <c r="A19" s="356" t="s">
        <v>241</v>
      </c>
      <c r="B19" s="357"/>
      <c r="C19" s="354"/>
      <c r="D19" s="354"/>
    </row>
    <row r="20" spans="1:12" ht="23.25" customHeight="1">
      <c r="A20" s="362" t="s">
        <v>100</v>
      </c>
      <c r="B20" s="1080" t="s">
        <v>438</v>
      </c>
      <c r="C20" s="1081"/>
      <c r="D20" s="1081"/>
      <c r="E20" s="1081"/>
      <c r="F20" s="1081"/>
      <c r="G20" s="1081"/>
      <c r="H20" s="1081"/>
      <c r="I20" s="1081"/>
      <c r="J20" s="1081"/>
      <c r="K20" s="1081"/>
      <c r="L20" s="1082"/>
    </row>
    <row r="21" spans="1:12" ht="23.25" customHeight="1" thickBot="1">
      <c r="A21" s="363" t="s">
        <v>102</v>
      </c>
      <c r="B21" s="1086" t="s">
        <v>439</v>
      </c>
      <c r="C21" s="1087"/>
      <c r="D21" s="1087"/>
      <c r="E21" s="1087"/>
      <c r="F21" s="1087"/>
      <c r="G21" s="1087"/>
      <c r="H21" s="1087"/>
      <c r="I21" s="1087"/>
      <c r="J21" s="1087"/>
      <c r="K21" s="1087"/>
      <c r="L21" s="1088"/>
    </row>
    <row r="22" spans="1:12" ht="23.25" customHeight="1" thickBot="1">
      <c r="A22" s="360"/>
      <c r="B22" s="1068" t="s">
        <v>117</v>
      </c>
      <c r="C22" s="1069"/>
      <c r="D22" s="1069"/>
      <c r="E22" s="1069"/>
      <c r="F22" s="1069"/>
      <c r="G22" s="1069"/>
      <c r="H22" s="1069"/>
      <c r="I22" s="1069"/>
      <c r="J22" s="1069"/>
      <c r="K22" s="1069"/>
      <c r="L22" s="1070"/>
    </row>
    <row r="23" spans="1:12" ht="125.1" customHeight="1" thickBot="1">
      <c r="A23" s="364" t="s">
        <v>118</v>
      </c>
      <c r="B23" s="1074"/>
      <c r="C23" s="1075"/>
      <c r="D23" s="1075"/>
      <c r="E23" s="1075"/>
      <c r="F23" s="1075"/>
      <c r="G23" s="1075"/>
      <c r="H23" s="1075"/>
      <c r="I23" s="1075"/>
      <c r="J23" s="1075"/>
      <c r="K23" s="1075"/>
      <c r="L23" s="1076"/>
    </row>
    <row r="24" spans="1:12" ht="23.25" customHeight="1" thickBot="1">
      <c r="A24" s="360"/>
      <c r="B24" s="1068" t="s">
        <v>242</v>
      </c>
      <c r="C24" s="1069"/>
      <c r="D24" s="1069"/>
      <c r="E24" s="1069"/>
      <c r="F24" s="1069"/>
      <c r="G24" s="1069"/>
      <c r="H24" s="1069"/>
      <c r="I24" s="1069"/>
      <c r="J24" s="1069"/>
      <c r="K24" s="1069"/>
      <c r="L24" s="1070"/>
    </row>
    <row r="25" spans="1:12" ht="125.1" customHeight="1" thickBot="1">
      <c r="A25" s="364" t="s">
        <v>245</v>
      </c>
      <c r="B25" s="1074"/>
      <c r="C25" s="1075"/>
      <c r="D25" s="1075"/>
      <c r="E25" s="1075"/>
      <c r="F25" s="1075"/>
      <c r="G25" s="1075"/>
      <c r="H25" s="1075"/>
      <c r="I25" s="1075"/>
      <c r="J25" s="1075"/>
      <c r="K25" s="1075"/>
      <c r="L25" s="1076"/>
    </row>
    <row r="26" spans="1:12" ht="23.25" customHeight="1" thickBot="1">
      <c r="A26" s="360"/>
      <c r="B26" s="1068" t="s">
        <v>92</v>
      </c>
      <c r="C26" s="1069"/>
      <c r="D26" s="1069"/>
      <c r="E26" s="1069"/>
      <c r="F26" s="1069"/>
      <c r="G26" s="1069"/>
      <c r="H26" s="1069"/>
      <c r="I26" s="1069"/>
      <c r="J26" s="1069"/>
      <c r="K26" s="1069"/>
      <c r="L26" s="1070"/>
    </row>
    <row r="27" spans="1:12" ht="125.1" customHeight="1">
      <c r="A27" s="364" t="s">
        <v>97</v>
      </c>
      <c r="B27" s="1074"/>
      <c r="C27" s="1075"/>
      <c r="D27" s="1075"/>
      <c r="E27" s="1075"/>
      <c r="F27" s="1075"/>
      <c r="G27" s="1075"/>
      <c r="H27" s="1075"/>
      <c r="I27" s="1075"/>
      <c r="J27" s="1075"/>
      <c r="K27" s="1075"/>
      <c r="L27" s="1076"/>
    </row>
    <row r="28" spans="1:12" ht="125.1" customHeight="1">
      <c r="A28" s="365" t="s">
        <v>96</v>
      </c>
      <c r="B28" s="1089"/>
      <c r="C28" s="1090"/>
      <c r="D28" s="1090"/>
      <c r="E28" s="1090"/>
      <c r="F28" s="1090"/>
      <c r="G28" s="1090"/>
      <c r="H28" s="1090"/>
      <c r="I28" s="1090"/>
      <c r="J28" s="1090"/>
      <c r="K28" s="1090"/>
      <c r="L28" s="1091"/>
    </row>
    <row r="29" spans="1:12" ht="125.1" customHeight="1" thickBot="1">
      <c r="A29" s="366" t="s">
        <v>95</v>
      </c>
      <c r="B29" s="1077"/>
      <c r="C29" s="1078"/>
      <c r="D29" s="1078"/>
      <c r="E29" s="1078"/>
      <c r="F29" s="1078"/>
      <c r="G29" s="1078"/>
      <c r="H29" s="1078"/>
      <c r="I29" s="1078"/>
      <c r="J29" s="1078"/>
      <c r="K29" s="1078"/>
      <c r="L29" s="1079"/>
    </row>
    <row r="30" spans="1:12" ht="27" customHeight="1" thickBot="1">
      <c r="A30" s="356" t="s">
        <v>236</v>
      </c>
      <c r="B30" s="357"/>
      <c r="C30" s="354"/>
      <c r="D30" s="354"/>
    </row>
    <row r="31" spans="1:12" ht="23.25" customHeight="1">
      <c r="A31" s="362" t="s">
        <v>100</v>
      </c>
      <c r="B31" s="1080" t="s">
        <v>438</v>
      </c>
      <c r="C31" s="1081"/>
      <c r="D31" s="1081"/>
      <c r="E31" s="1081"/>
      <c r="F31" s="1081"/>
      <c r="G31" s="1081"/>
      <c r="H31" s="1081"/>
      <c r="I31" s="1081"/>
      <c r="J31" s="1081"/>
      <c r="K31" s="1081"/>
      <c r="L31" s="1082"/>
    </row>
    <row r="32" spans="1:12" ht="23.25" customHeight="1">
      <c r="A32" s="367" t="s">
        <v>99</v>
      </c>
      <c r="B32" s="1083" t="s">
        <v>438</v>
      </c>
      <c r="C32" s="1084"/>
      <c r="D32" s="1084"/>
      <c r="E32" s="1084"/>
      <c r="F32" s="1084"/>
      <c r="G32" s="1084"/>
      <c r="H32" s="1084"/>
      <c r="I32" s="1084"/>
      <c r="J32" s="1084"/>
      <c r="K32" s="1084"/>
      <c r="L32" s="1085"/>
    </row>
    <row r="33" spans="1:12" ht="23.25" customHeight="1" thickBot="1">
      <c r="A33" s="363" t="s">
        <v>102</v>
      </c>
      <c r="B33" s="1086" t="s">
        <v>439</v>
      </c>
      <c r="C33" s="1087"/>
      <c r="D33" s="1087"/>
      <c r="E33" s="1087"/>
      <c r="F33" s="1087"/>
      <c r="G33" s="1087"/>
      <c r="H33" s="1087"/>
      <c r="I33" s="1087"/>
      <c r="J33" s="1087"/>
      <c r="K33" s="1087"/>
      <c r="L33" s="1088"/>
    </row>
    <row r="34" spans="1:12" ht="23.25" customHeight="1" thickBot="1">
      <c r="A34" s="360"/>
      <c r="B34" s="1068" t="s">
        <v>242</v>
      </c>
      <c r="C34" s="1069"/>
      <c r="D34" s="1069"/>
      <c r="E34" s="1069"/>
      <c r="F34" s="1069"/>
      <c r="G34" s="1069"/>
      <c r="H34" s="1069"/>
      <c r="I34" s="1069"/>
      <c r="J34" s="1069"/>
      <c r="K34" s="1069"/>
      <c r="L34" s="1070"/>
    </row>
    <row r="35" spans="1:12" ht="125.1" customHeight="1" thickBot="1">
      <c r="A35" s="368" t="s">
        <v>247</v>
      </c>
      <c r="B35" s="1071"/>
      <c r="C35" s="1072"/>
      <c r="D35" s="1072"/>
      <c r="E35" s="1072"/>
      <c r="F35" s="1072"/>
      <c r="G35" s="1072"/>
      <c r="H35" s="1072"/>
      <c r="I35" s="1072"/>
      <c r="J35" s="1072"/>
      <c r="K35" s="1072"/>
      <c r="L35" s="1073"/>
    </row>
    <row r="36" spans="1:12" ht="23.25" customHeight="1" thickBot="1">
      <c r="A36" s="360"/>
      <c r="B36" s="1068" t="s">
        <v>243</v>
      </c>
      <c r="C36" s="1069"/>
      <c r="D36" s="1069"/>
      <c r="E36" s="1069"/>
      <c r="F36" s="1069"/>
      <c r="G36" s="1069"/>
      <c r="H36" s="1069"/>
      <c r="I36" s="1069"/>
      <c r="J36" s="1069"/>
      <c r="K36" s="1069"/>
      <c r="L36" s="1070"/>
    </row>
    <row r="37" spans="1:12" ht="125.1" customHeight="1" thickBot="1">
      <c r="A37" s="368" t="s">
        <v>248</v>
      </c>
      <c r="B37" s="1071"/>
      <c r="C37" s="1072"/>
      <c r="D37" s="1072"/>
      <c r="E37" s="1072"/>
      <c r="F37" s="1072"/>
      <c r="G37" s="1072"/>
      <c r="H37" s="1072"/>
      <c r="I37" s="1072"/>
      <c r="J37" s="1072"/>
      <c r="K37" s="1072"/>
      <c r="L37" s="1073"/>
    </row>
    <row r="38" spans="1:12" ht="23.25" customHeight="1" thickBot="1">
      <c r="A38" s="360"/>
      <c r="B38" s="1068" t="s">
        <v>117</v>
      </c>
      <c r="C38" s="1069"/>
      <c r="D38" s="1069"/>
      <c r="E38" s="1069"/>
      <c r="F38" s="1069"/>
      <c r="G38" s="1069"/>
      <c r="H38" s="1069"/>
      <c r="I38" s="1069"/>
      <c r="J38" s="1069"/>
      <c r="K38" s="1069"/>
      <c r="L38" s="1070"/>
    </row>
    <row r="39" spans="1:12" ht="125.1" customHeight="1" thickBot="1">
      <c r="A39" s="368" t="s">
        <v>246</v>
      </c>
      <c r="B39" s="1071"/>
      <c r="C39" s="1072"/>
      <c r="D39" s="1072"/>
      <c r="E39" s="1072"/>
      <c r="F39" s="1072"/>
      <c r="G39" s="1072"/>
      <c r="H39" s="1072"/>
      <c r="I39" s="1072"/>
      <c r="J39" s="1072"/>
      <c r="K39" s="1072"/>
      <c r="L39" s="1073"/>
    </row>
    <row r="40" spans="1:12" ht="23.25" customHeight="1" thickBot="1">
      <c r="A40" s="360"/>
      <c r="B40" s="1068" t="s">
        <v>92</v>
      </c>
      <c r="C40" s="1069"/>
      <c r="D40" s="1069"/>
      <c r="E40" s="1069"/>
      <c r="F40" s="1069"/>
      <c r="G40" s="1069"/>
      <c r="H40" s="1069"/>
      <c r="I40" s="1069"/>
      <c r="J40" s="1069"/>
      <c r="K40" s="1069"/>
      <c r="L40" s="1070"/>
    </row>
    <row r="41" spans="1:12" ht="125.1" customHeight="1">
      <c r="A41" s="368" t="s">
        <v>249</v>
      </c>
      <c r="B41" s="1071"/>
      <c r="C41" s="1072"/>
      <c r="D41" s="1072"/>
      <c r="E41" s="1072"/>
      <c r="F41" s="1072"/>
      <c r="G41" s="1072"/>
      <c r="H41" s="1072"/>
      <c r="I41" s="1072"/>
      <c r="J41" s="1072"/>
      <c r="K41" s="1072"/>
      <c r="L41" s="1073"/>
    </row>
    <row r="42" spans="1:12" ht="125.1" customHeight="1" thickBot="1">
      <c r="A42" s="369" t="s">
        <v>250</v>
      </c>
      <c r="B42" s="1077"/>
      <c r="C42" s="1078"/>
      <c r="D42" s="1078"/>
      <c r="E42" s="1078"/>
      <c r="F42" s="1078"/>
      <c r="G42" s="1078"/>
      <c r="H42" s="1078"/>
      <c r="I42" s="1078"/>
      <c r="J42" s="1078"/>
      <c r="K42" s="1078"/>
      <c r="L42" s="1079"/>
    </row>
    <row r="43" spans="1:12" ht="27" customHeight="1" thickBot="1">
      <c r="A43" s="356" t="s">
        <v>308</v>
      </c>
    </row>
    <row r="44" spans="1:12" ht="23.25" customHeight="1" thickBot="1">
      <c r="A44" s="360"/>
      <c r="B44" s="1068" t="s">
        <v>92</v>
      </c>
      <c r="C44" s="1069"/>
      <c r="D44" s="1069"/>
      <c r="E44" s="1069"/>
      <c r="F44" s="1069"/>
      <c r="G44" s="1069"/>
      <c r="H44" s="1069"/>
      <c r="I44" s="1069"/>
      <c r="J44" s="1069"/>
      <c r="K44" s="1069"/>
      <c r="L44" s="1070"/>
    </row>
    <row r="45" spans="1:12" ht="125.1" customHeight="1">
      <c r="A45" s="873" t="s">
        <v>307</v>
      </c>
      <c r="B45" s="1071"/>
      <c r="C45" s="1072"/>
      <c r="D45" s="1072"/>
      <c r="E45" s="1072"/>
      <c r="F45" s="1072"/>
      <c r="G45" s="1072"/>
      <c r="H45" s="1072"/>
      <c r="I45" s="1072"/>
      <c r="J45" s="1072"/>
      <c r="K45" s="1072"/>
      <c r="L45" s="1073"/>
    </row>
    <row r="46" spans="1:12" ht="27" customHeight="1" thickBot="1">
      <c r="A46" s="356" t="s">
        <v>320</v>
      </c>
      <c r="B46" s="357"/>
      <c r="C46" s="354"/>
      <c r="D46" s="354"/>
    </row>
    <row r="47" spans="1:12" ht="125.1" customHeight="1">
      <c r="A47" s="368" t="s">
        <v>239</v>
      </c>
      <c r="B47" s="1071"/>
      <c r="C47" s="1072"/>
      <c r="D47" s="1072"/>
      <c r="E47" s="1072"/>
      <c r="F47" s="1072"/>
      <c r="G47" s="1072"/>
      <c r="H47" s="1072"/>
      <c r="I47" s="1072"/>
      <c r="J47" s="1072"/>
      <c r="K47" s="1072"/>
      <c r="L47" s="1073"/>
    </row>
    <row r="52" spans="2:2">
      <c r="B52" s="357"/>
    </row>
    <row r="68" ht="13.5" customHeight="1"/>
    <row r="108" ht="13.5" customHeight="1"/>
    <row r="147" ht="13.5" customHeight="1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303"/>
  <sheetViews>
    <sheetView zoomScale="85" zoomScaleNormal="85" zoomScaleSheetLayoutView="80" workbookViewId="0"/>
  </sheetViews>
  <sheetFormatPr defaultColWidth="9" defaultRowHeight="13.5"/>
  <cols>
    <col min="1" max="2" customWidth="true" style="190" width="2.625" collapsed="false"/>
    <col min="3" max="3" customWidth="true" style="190" width="15.625" collapsed="false"/>
    <col min="4" max="4" customWidth="true" style="190" width="21.125" collapsed="false"/>
    <col min="5" max="5" customWidth="true" style="190" width="20.25" collapsed="false"/>
    <col min="6" max="6" customWidth="true" style="190" width="17.0" collapsed="false"/>
    <col min="7" max="16" customWidth="true" style="190" width="14.625" collapsed="false"/>
    <col min="17" max="17" customWidth="true" style="190" width="14.5" collapsed="false"/>
    <col min="18" max="18" customWidth="true" style="190" width="2.875" collapsed="false"/>
    <col min="19" max="16384" style="190" width="9.0" collapsed="false"/>
  </cols>
  <sheetData>
    <row r="1" spans="1:17" ht="14.25">
      <c r="A1" s="724" t="s">
        <v>311</v>
      </c>
      <c r="B1" s="189"/>
      <c r="C1" s="755"/>
      <c r="D1" s="755"/>
      <c r="E1" s="755"/>
      <c r="F1" s="755"/>
      <c r="G1" s="755"/>
      <c r="H1" s="755"/>
    </row>
    <row r="2" spans="1:17" ht="15" thickBot="1">
      <c r="A2" s="191"/>
      <c r="J2" s="192"/>
    </row>
    <row r="3" spans="1:17" ht="14.25" thickBot="1">
      <c r="B3" s="193"/>
      <c r="P3" s="754" t="s">
        <v>67</v>
      </c>
      <c r="Q3" s="194" t="str">
        <f>保険者名</f>
        <v>小野町</v>
      </c>
    </row>
    <row r="4" spans="1:17" ht="14.25" thickBot="1">
      <c r="B4" s="193"/>
      <c r="P4" s="628" t="s">
        <v>68</v>
      </c>
      <c r="Q4" s="195" t="str">
        <f>保険者番号</f>
        <v>07522</v>
      </c>
    </row>
    <row r="5" spans="1:17" ht="14.25" thickBot="1">
      <c r="B5" s="193"/>
      <c r="P5" s="196" t="s">
        <v>103</v>
      </c>
      <c r="Q5" s="197" t="str">
        <f>推計パターン名</f>
        <v>将来推計0925-2</v>
      </c>
    </row>
    <row r="6" spans="1:17">
      <c r="B6" s="193"/>
    </row>
    <row r="7" spans="1:17" ht="14.25" thickBot="1">
      <c r="A7" s="198" t="s">
        <v>356</v>
      </c>
      <c r="B7" s="193"/>
    </row>
    <row r="8" spans="1:17" ht="14.25" thickBot="1">
      <c r="A8" s="199" t="s">
        <v>357</v>
      </c>
      <c r="B8" s="200"/>
      <c r="C8" s="200"/>
      <c r="D8" s="200"/>
      <c r="E8" s="200"/>
      <c r="F8" s="689" t="n">
        <v>6608.89984893206</v>
      </c>
      <c r="G8" s="192"/>
    </row>
    <row r="9" spans="1:17">
      <c r="G9" s="192"/>
      <c r="H9" s="192"/>
      <c r="I9" s="192"/>
      <c r="J9" s="192"/>
    </row>
    <row r="10" spans="1:17" ht="14.25" thickBot="1">
      <c r="A10" s="198" t="s">
        <v>131</v>
      </c>
      <c r="B10" s="201"/>
      <c r="C10" s="201"/>
      <c r="D10" s="201"/>
      <c r="E10" s="201"/>
      <c r="F10" s="201"/>
      <c r="G10" s="201"/>
      <c r="H10" s="201"/>
      <c r="I10" s="201"/>
      <c r="J10" s="201"/>
    </row>
    <row r="11" spans="1:17" ht="14.25" thickBot="1">
      <c r="A11" s="202"/>
      <c r="B11" s="203"/>
      <c r="C11" s="203"/>
      <c r="D11" s="203"/>
      <c r="E11" s="203"/>
      <c r="F11" s="628" t="s">
        <v>351</v>
      </c>
      <c r="G11" s="670" t="s">
        <v>385</v>
      </c>
      <c r="H11" s="670" t="s">
        <v>388</v>
      </c>
      <c r="I11" s="670" t="s">
        <v>391</v>
      </c>
      <c r="J11" s="877" t="s">
        <v>394</v>
      </c>
      <c r="K11" s="878" t="s">
        <v>397</v>
      </c>
    </row>
    <row r="12" spans="1:17">
      <c r="A12" s="205" t="s">
        <v>229</v>
      </c>
      <c r="B12" s="206"/>
      <c r="C12" s="206"/>
      <c r="D12" s="206"/>
      <c r="E12" s="206"/>
      <c r="F12" s="972" t="n">
        <f>F105/F106/F214/12</f>
        <v>4829.293055764535</v>
      </c>
      <c r="G12" s="671" t="n">
        <f>J105/J106/J214/12</f>
        <v>5559.882332471613</v>
      </c>
      <c r="H12" s="671" t="n">
        <f>K105/K106/K214/12</f>
        <v>5799.484899117121</v>
      </c>
      <c r="I12" s="671" t="n">
        <f>L105/L106/L214/12</f>
        <v>5831.690546312208</v>
      </c>
      <c r="J12" s="671" t="n">
        <f>M105/M106/M214/12</f>
        <v>5970.582474942734</v>
      </c>
      <c r="K12" s="921" t="n">
        <f>N105/N106/N214/12</f>
        <v>6448.146499881162</v>
      </c>
    </row>
    <row r="13" spans="1:17">
      <c r="A13" s="207" t="s">
        <v>132</v>
      </c>
      <c r="B13" s="206"/>
      <c r="C13" s="206"/>
      <c r="D13" s="206"/>
      <c r="E13" s="206"/>
      <c r="F13" s="973" t="n">
        <f>(F105+F15)/F106/F214/12-F12</f>
        <v>0.0</v>
      </c>
      <c r="G13" s="671" t="n">
        <f>(J105+G15)/J106/J214/12-G12</f>
        <v>0.0</v>
      </c>
      <c r="H13" s="671" t="n">
        <f>(K105+H15)/K106/K214/12-H12</f>
        <v>0.0</v>
      </c>
      <c r="I13" s="671" t="n">
        <f>(L105+I15)/L106/L214/12-I12</f>
        <v>0.0</v>
      </c>
      <c r="J13" s="671" t="n">
        <f>(M105+J15)/M106/M214/12-J12</f>
        <v>0.0</v>
      </c>
      <c r="K13" s="922" t="n">
        <f>(N105+K15)/N106/N214/12-K12</f>
        <v>0.0</v>
      </c>
    </row>
    <row r="14" spans="1:17">
      <c r="A14" s="208"/>
      <c r="B14" s="209" t="s">
        <v>133</v>
      </c>
      <c r="C14" s="209"/>
      <c r="D14" s="209"/>
      <c r="E14" s="209"/>
      <c r="F14" s="978" t="n">
        <v>0.0</v>
      </c>
      <c r="G14" s="644" t="n">
        <v>0.0</v>
      </c>
      <c r="H14" s="786" t="n">
        <v>0.0</v>
      </c>
      <c r="I14" s="786" t="n">
        <v>0.0</v>
      </c>
      <c r="J14" s="786" t="n">
        <v>0.0</v>
      </c>
      <c r="K14" s="787" t="n">
        <v>0.0</v>
      </c>
    </row>
    <row r="15" spans="1:17">
      <c r="A15" s="208"/>
      <c r="B15" s="209" t="s">
        <v>134</v>
      </c>
      <c r="C15" s="209"/>
      <c r="D15" s="209"/>
      <c r="E15" s="209"/>
      <c r="F15" s="978" t="n">
        <v>0.0</v>
      </c>
      <c r="G15" s="644" t="n">
        <v>0.0</v>
      </c>
      <c r="H15" s="786" t="n">
        <v>0.0</v>
      </c>
      <c r="I15" s="786" t="n">
        <v>0.0</v>
      </c>
      <c r="J15" s="786" t="n">
        <v>0.0</v>
      </c>
      <c r="K15" s="787" t="n">
        <v>0.0</v>
      </c>
    </row>
    <row r="16" spans="1:17">
      <c r="A16" s="210"/>
      <c r="B16" s="206" t="s">
        <v>135</v>
      </c>
      <c r="C16" s="206"/>
      <c r="D16" s="206"/>
      <c r="E16" s="206"/>
      <c r="F16" s="974" t="n">
        <f>IF(F14=0,0, F15/F14)</f>
        <v>0.0</v>
      </c>
      <c r="G16" s="672" t="n">
        <f>IF(G14=0,0,G15/G14)</f>
        <v>0.0</v>
      </c>
      <c r="H16" s="788" t="n">
        <f>IF(H14=0,0,H15/H14)</f>
        <v>0.0</v>
      </c>
      <c r="I16" s="788" t="n">
        <f>IF(I14=0,0,I15/I14)</f>
        <v>0.0</v>
      </c>
      <c r="J16" s="788" t="n">
        <f>IF(J14=0,0,J15/J14)</f>
        <v>0.0</v>
      </c>
      <c r="K16" s="789" t="n">
        <f>IF(K14=0,0,K15/K14)</f>
        <v>0.0</v>
      </c>
    </row>
    <row r="17" spans="1:14">
      <c r="A17" s="207" t="s">
        <v>136</v>
      </c>
      <c r="B17" s="206"/>
      <c r="C17" s="206"/>
      <c r="D17" s="206"/>
      <c r="E17" s="206"/>
      <c r="F17" s="973" t="n">
        <f>F12-(F105-F18)/F106/F214/12</f>
        <v>0.0</v>
      </c>
      <c r="G17" s="671" t="n">
        <f>G12-(J105-G18)/J106/J214/12</f>
        <v>0.0</v>
      </c>
      <c r="H17" s="784" t="n">
        <f>H12-(K105-H18)/K106/K214/12</f>
        <v>0.0</v>
      </c>
      <c r="I17" s="784" t="n">
        <f>I12-(L105-I18)/L106/L214/12</f>
        <v>0.0</v>
      </c>
      <c r="J17" s="784" t="n">
        <f>J12-(M105-J18)/M106/M214/12</f>
        <v>0.0</v>
      </c>
      <c r="K17" s="785" t="n">
        <f>K12-(N105-K18)/N106/N214/12</f>
        <v>0.0</v>
      </c>
    </row>
    <row r="18" spans="1:14">
      <c r="A18" s="208"/>
      <c r="B18" s="206" t="s">
        <v>137</v>
      </c>
      <c r="C18" s="206"/>
      <c r="D18" s="206"/>
      <c r="E18" s="206"/>
      <c r="F18" s="973" t="n">
        <f>(F68+F86)*F19</f>
        <v>0.0</v>
      </c>
      <c r="G18" s="671" t="n">
        <f>(J68+J86)*G19</f>
        <v>0.0</v>
      </c>
      <c r="H18" s="784" t="n">
        <f>(K68+K86)*H19</f>
        <v>0.0</v>
      </c>
      <c r="I18" s="784" t="n">
        <f>(L68+L86)*I19</f>
        <v>0.0</v>
      </c>
      <c r="J18" s="784" t="n">
        <f>(M68+M86)*J19</f>
        <v>0.0</v>
      </c>
      <c r="K18" s="785" t="n">
        <f>(N68+N86)*K19</f>
        <v>0.0</v>
      </c>
    </row>
    <row r="19" spans="1:14">
      <c r="A19" s="210"/>
      <c r="B19" s="209" t="s">
        <v>138</v>
      </c>
      <c r="C19" s="209"/>
      <c r="D19" s="209"/>
      <c r="E19" s="209"/>
      <c r="F19" s="979" t="n">
        <v>0.0</v>
      </c>
      <c r="G19" s="675" t="n">
        <v>0.0</v>
      </c>
      <c r="H19" s="790" t="n">
        <v>0.0</v>
      </c>
      <c r="I19" s="790" t="n">
        <v>0.0</v>
      </c>
      <c r="J19" s="790" t="n">
        <v>0.0</v>
      </c>
      <c r="K19" s="931" t="n">
        <v>0.0</v>
      </c>
    </row>
    <row r="20" spans="1:14">
      <c r="A20" s="207" t="s">
        <v>139</v>
      </c>
      <c r="B20" s="206"/>
      <c r="C20" s="206"/>
      <c r="D20" s="206"/>
      <c r="E20" s="206"/>
      <c r="F20" s="973" t="n">
        <f>F12-(F105-F21)/F106/F214/12</f>
        <v>0.0</v>
      </c>
      <c r="G20" s="671" t="n">
        <f>G12-(J105-G21)/J106/J214/12</f>
        <v>0.0</v>
      </c>
      <c r="H20" s="784" t="n">
        <f>H12-(K105-H21)/K106/K214/12</f>
        <v>0.0</v>
      </c>
      <c r="I20" s="784" t="n">
        <f>I12-(L105-I21)/L106/L214/12</f>
        <v>0.0</v>
      </c>
      <c r="J20" s="784" t="n">
        <f>J12-(M105-J21)/M106/M214/12</f>
        <v>0.0</v>
      </c>
      <c r="K20" s="785" t="n">
        <f>K12-(N105-K21)/N106/N214/12</f>
        <v>0.0</v>
      </c>
    </row>
    <row r="21" spans="1:14">
      <c r="A21" s="211"/>
      <c r="B21" s="212" t="s">
        <v>140</v>
      </c>
      <c r="C21" s="209"/>
      <c r="D21" s="209"/>
      <c r="E21" s="209"/>
      <c r="F21" s="980" t="n">
        <v>0.0</v>
      </c>
      <c r="G21" s="644" t="n">
        <v>0.0</v>
      </c>
      <c r="H21" s="786" t="n">
        <v>0.0</v>
      </c>
      <c r="I21" s="786" t="n">
        <v>0.0</v>
      </c>
      <c r="J21" s="786" t="n">
        <v>0.0</v>
      </c>
      <c r="K21" s="787" t="n">
        <v>0.0</v>
      </c>
    </row>
    <row r="22" spans="1:14" ht="14.25" thickBot="1">
      <c r="A22" s="213" t="s">
        <v>358</v>
      </c>
      <c r="B22" s="214"/>
      <c r="C22" s="214"/>
      <c r="D22" s="214"/>
      <c r="E22" s="214"/>
      <c r="F22" s="976" t="n">
        <f>F12/$F$8-1</f>
        <v>-0.2692742867718133</v>
      </c>
      <c r="G22" s="674" t="n">
        <f t="shared" ref="G22:K22" si="0">G12/ROUND($F$8,0)-1</f>
        <v>-0.15874075768321783</v>
      </c>
      <c r="H22" s="791" t="n">
        <f t="shared" si="0"/>
        <v>-0.12248677574260536</v>
      </c>
      <c r="I22" s="791" t="n">
        <f t="shared" si="0"/>
        <v>-0.11761377722617516</v>
      </c>
      <c r="J22" s="791" t="n">
        <f t="shared" si="0"/>
        <v>-0.09659820321641188</v>
      </c>
      <c r="K22" s="792" t="n">
        <f t="shared" si="0"/>
        <v>-0.02433855350564962</v>
      </c>
    </row>
    <row r="24" spans="1:14" ht="14.25" thickBot="1">
      <c r="A24" s="198" t="s">
        <v>141</v>
      </c>
      <c r="B24" s="201"/>
      <c r="C24" s="201"/>
      <c r="D24" s="201"/>
      <c r="E24" s="201"/>
      <c r="F24" s="201"/>
      <c r="G24" s="201"/>
      <c r="H24" s="201"/>
      <c r="I24" s="201"/>
      <c r="J24" s="201"/>
    </row>
    <row r="25" spans="1:14" ht="14.25" thickBot="1">
      <c r="A25" s="202"/>
      <c r="B25" s="203"/>
      <c r="C25" s="203"/>
      <c r="D25" s="203"/>
      <c r="E25" s="203"/>
      <c r="F25" s="628" t="s">
        <v>351</v>
      </c>
      <c r="G25" s="670" t="s">
        <v>385</v>
      </c>
      <c r="H25" s="670" t="s">
        <v>388</v>
      </c>
      <c r="I25" s="670" t="s">
        <v>391</v>
      </c>
      <c r="J25" s="893" t="s">
        <v>394</v>
      </c>
      <c r="K25" s="764" t="s">
        <v>397</v>
      </c>
    </row>
    <row r="26" spans="1:14">
      <c r="A26" s="205" t="s">
        <v>229</v>
      </c>
      <c r="B26" s="206"/>
      <c r="C26" s="206"/>
      <c r="D26" s="206"/>
      <c r="E26" s="206"/>
      <c r="F26" s="972" t="str">
        <f>IFERROR(F105/F106/F215/12,"－")</f>
        <v>－</v>
      </c>
      <c r="G26" s="671" t="str">
        <f>IFERROR(J105/J106/J215/12,"－")</f>
        <v>－</v>
      </c>
      <c r="H26" s="784" t="str">
        <f>IFERROR(K105/K106/K215/12,"－")</f>
        <v>－</v>
      </c>
      <c r="I26" s="784" t="str">
        <f>IFERROR(L105/L106/L215/12,"－")</f>
        <v>－</v>
      </c>
      <c r="J26" s="784" t="str">
        <f>IFERROR(M105/M106/M215/12,"－")</f>
        <v>－</v>
      </c>
      <c r="K26" s="932" t="str">
        <f>IFERROR(N105/N106/N215/12,"－")</f>
        <v>－</v>
      </c>
      <c r="M26" s="215"/>
      <c r="N26" s="215"/>
    </row>
    <row r="27" spans="1:14">
      <c r="A27" s="207" t="s">
        <v>132</v>
      </c>
      <c r="B27" s="206"/>
      <c r="C27" s="206"/>
      <c r="D27" s="206"/>
      <c r="E27" s="206"/>
      <c r="F27" s="973" t="str">
        <f>IFERROR((F105+F29)/F106/F215/12-F26,"－")</f>
        <v>－</v>
      </c>
      <c r="G27" s="671" t="str">
        <f>IFERROR((J105+G29)/J106/J215/12-G26,"－")</f>
        <v>－</v>
      </c>
      <c r="H27" s="784" t="str">
        <f>IFERROR((K105+H29)/K106/K215/12-H26,"－")</f>
        <v>－</v>
      </c>
      <c r="I27" s="784" t="str">
        <f>IFERROR((L105+I29)/L106/L215/12-I26,"－")</f>
        <v>－</v>
      </c>
      <c r="J27" s="784" t="str">
        <f>IFERROR((M105+J29)/M106/M215/12-J26,"－")</f>
        <v>－</v>
      </c>
      <c r="K27" s="785" t="str">
        <f>IFERROR((N105+K29)/N106/N215/12-K26,"－")</f>
        <v>－</v>
      </c>
      <c r="M27" s="215"/>
      <c r="N27" s="745"/>
    </row>
    <row r="28" spans="1:14">
      <c r="A28" s="208"/>
      <c r="B28" s="206" t="s">
        <v>133</v>
      </c>
      <c r="C28" s="206"/>
      <c r="D28" s="206"/>
      <c r="E28" s="206"/>
      <c r="F28" s="973" t="str">
        <f t="shared" ref="F28:K28" si="1">IF(F26="－","－",F14)</f>
        <v>－</v>
      </c>
      <c r="G28" s="671" t="str">
        <f t="shared" si="1"/>
        <v>－</v>
      </c>
      <c r="H28" s="784" t="str">
        <f t="shared" si="1"/>
        <v>－</v>
      </c>
      <c r="I28" s="784" t="str">
        <f t="shared" si="1"/>
        <v>－</v>
      </c>
      <c r="J28" s="784" t="str">
        <f t="shared" si="1"/>
        <v>－</v>
      </c>
      <c r="K28" s="785" t="str">
        <f t="shared" si="1"/>
        <v>－</v>
      </c>
      <c r="M28" s="215"/>
    </row>
    <row r="29" spans="1:14">
      <c r="A29" s="208"/>
      <c r="B29" s="206" t="s">
        <v>134</v>
      </c>
      <c r="C29" s="206"/>
      <c r="D29" s="206"/>
      <c r="E29" s="206"/>
      <c r="F29" s="973" t="str">
        <f t="shared" ref="F29:K29" si="2">IF(F26="－","－",F15)</f>
        <v>－</v>
      </c>
      <c r="G29" s="671" t="str">
        <f t="shared" si="2"/>
        <v>－</v>
      </c>
      <c r="H29" s="784" t="str">
        <f t="shared" si="2"/>
        <v>－</v>
      </c>
      <c r="I29" s="784" t="str">
        <f t="shared" si="2"/>
        <v>－</v>
      </c>
      <c r="J29" s="784" t="str">
        <f t="shared" si="2"/>
        <v>－</v>
      </c>
      <c r="K29" s="785" t="str">
        <f t="shared" si="2"/>
        <v>－</v>
      </c>
      <c r="M29" s="215"/>
      <c r="N29" s="215"/>
    </row>
    <row r="30" spans="1:14">
      <c r="A30" s="210"/>
      <c r="B30" s="206" t="s">
        <v>135</v>
      </c>
      <c r="C30" s="206"/>
      <c r="D30" s="206"/>
      <c r="E30" s="206"/>
      <c r="F30" s="974" t="str">
        <f>IFERROR(F29/F28,"－")</f>
        <v>－</v>
      </c>
      <c r="G30" s="672" t="str">
        <f>IFERROR(G29/G28,"－")</f>
        <v>－</v>
      </c>
      <c r="H30" s="788" t="str">
        <f t="shared" ref="H30:I30" si="3">IFERROR(H29/H28,"－")</f>
        <v>－</v>
      </c>
      <c r="I30" s="788" t="str">
        <f t="shared" si="3"/>
        <v>－</v>
      </c>
      <c r="J30" s="788" t="str">
        <f t="shared" ref="J30:K30" si="4">IFERROR(J29/J28,"－")</f>
        <v>－</v>
      </c>
      <c r="K30" s="789" t="str">
        <f t="shared" si="4"/>
        <v>－</v>
      </c>
    </row>
    <row r="31" spans="1:14">
      <c r="A31" s="207" t="s">
        <v>136</v>
      </c>
      <c r="B31" s="206"/>
      <c r="C31" s="206"/>
      <c r="D31" s="206"/>
      <c r="E31" s="206"/>
      <c r="F31" s="973" t="str">
        <f>IFERROR(F26-(F105-F32)/F106/F215/12,"－")</f>
        <v>－</v>
      </c>
      <c r="G31" s="671" t="str">
        <f>IFERROR(G26-(J105-G32)/J106/J215/12,"－")</f>
        <v>－</v>
      </c>
      <c r="H31" s="784" t="str">
        <f>IFERROR(H26-(K105-H32)/K106/K215/12,"－")</f>
        <v>－</v>
      </c>
      <c r="I31" s="784" t="str">
        <f>IFERROR(I26-(L105-I32)/L106/L215/12,"－")</f>
        <v>－</v>
      </c>
      <c r="J31" s="784" t="str">
        <f>IFERROR(J26-(M105-J32)/M106/M215/12,"－")</f>
        <v>－</v>
      </c>
      <c r="K31" s="785" t="str">
        <f>IFERROR(K26-(N105-K32)/N106/N215/12,"－")</f>
        <v>－</v>
      </c>
    </row>
    <row r="32" spans="1:14">
      <c r="A32" s="208"/>
      <c r="B32" s="206" t="s">
        <v>137</v>
      </c>
      <c r="C32" s="206"/>
      <c r="D32" s="206"/>
      <c r="E32" s="206"/>
      <c r="F32" s="973" t="str">
        <f>IF(F26="－","－",(F68+F86)*F33)</f>
        <v>－</v>
      </c>
      <c r="G32" s="671" t="str">
        <f>IF(G26="－","－",(J68+J86)*G33)</f>
        <v>－</v>
      </c>
      <c r="H32" s="784" t="str">
        <f>IF(H26="－","－",(K68+K86)*H33)</f>
        <v>－</v>
      </c>
      <c r="I32" s="784" t="str">
        <f>IF(I26="－","－",(L68+L86)*I33)</f>
        <v>－</v>
      </c>
      <c r="J32" s="784" t="str">
        <f>IF(J26="－","－",(M68+M86)*J33)</f>
        <v>－</v>
      </c>
      <c r="K32" s="785" t="str">
        <f>IF(K26="－","－",(N68+N86)*K33)</f>
        <v>－</v>
      </c>
    </row>
    <row r="33" spans="1:17">
      <c r="A33" s="210"/>
      <c r="B33" s="206" t="s">
        <v>138</v>
      </c>
      <c r="C33" s="206"/>
      <c r="D33" s="206"/>
      <c r="E33" s="206"/>
      <c r="F33" s="975" t="str">
        <f t="shared" ref="F33:K33" si="5">IF(F26="－","－",F19)</f>
        <v>－</v>
      </c>
      <c r="G33" s="673" t="str">
        <f t="shared" si="5"/>
        <v>－</v>
      </c>
      <c r="H33" s="793" t="str">
        <f t="shared" si="5"/>
        <v>－</v>
      </c>
      <c r="I33" s="793" t="str">
        <f t="shared" si="5"/>
        <v>－</v>
      </c>
      <c r="J33" s="793" t="str">
        <f t="shared" si="5"/>
        <v>－</v>
      </c>
      <c r="K33" s="794" t="str">
        <f t="shared" si="5"/>
        <v>－</v>
      </c>
    </row>
    <row r="34" spans="1:17">
      <c r="A34" s="207" t="s">
        <v>139</v>
      </c>
      <c r="B34" s="206"/>
      <c r="C34" s="206"/>
      <c r="D34" s="206"/>
      <c r="E34" s="206"/>
      <c r="F34" s="973" t="str">
        <f>IFERROR(F26-(F105-F35)/F106/F215/12,"－")</f>
        <v>－</v>
      </c>
      <c r="G34" s="671" t="str">
        <f>IFERROR(G26-(J105-G35)/J106/J215/12,"－")</f>
        <v>－</v>
      </c>
      <c r="H34" s="784" t="str">
        <f>IFERROR(H26-(K105-H35)/K106/K215/12,"－")</f>
        <v>－</v>
      </c>
      <c r="I34" s="784" t="str">
        <f>IFERROR(I26-(L105-I35)/L106/L215/12,"－")</f>
        <v>－</v>
      </c>
      <c r="J34" s="784" t="str">
        <f>IFERROR(J26-(M105-J35)/M106/M215/12,"－")</f>
        <v>－</v>
      </c>
      <c r="K34" s="785" t="str">
        <f>IFERROR(K26-(N105-K35)/N106/N215/12,"－")</f>
        <v>－</v>
      </c>
    </row>
    <row r="35" spans="1:17">
      <c r="A35" s="211"/>
      <c r="B35" s="216" t="s">
        <v>140</v>
      </c>
      <c r="C35" s="206"/>
      <c r="D35" s="206"/>
      <c r="E35" s="206"/>
      <c r="F35" s="973" t="str">
        <f t="shared" ref="F35:K35" si="6">IF(F26="－","－",F21)</f>
        <v>－</v>
      </c>
      <c r="G35" s="671" t="str">
        <f t="shared" si="6"/>
        <v>－</v>
      </c>
      <c r="H35" s="784" t="str">
        <f t="shared" si="6"/>
        <v>－</v>
      </c>
      <c r="I35" s="784" t="str">
        <f t="shared" si="6"/>
        <v>－</v>
      </c>
      <c r="J35" s="784" t="str">
        <f t="shared" si="6"/>
        <v>－</v>
      </c>
      <c r="K35" s="785" t="str">
        <f t="shared" si="6"/>
        <v>－</v>
      </c>
    </row>
    <row r="36" spans="1:17" ht="14.25" thickBot="1">
      <c r="A36" s="213" t="s">
        <v>359</v>
      </c>
      <c r="B36" s="214"/>
      <c r="C36" s="214"/>
      <c r="D36" s="214"/>
      <c r="E36" s="214"/>
      <c r="F36" s="976" t="str">
        <f>IFERROR(F26/$F$8-1,"－")</f>
        <v>－</v>
      </c>
      <c r="G36" s="674" t="str">
        <f t="shared" ref="G36:K36" si="7">IFERROR(G26/ROUND($F$8,0)-1,"－")</f>
        <v>－</v>
      </c>
      <c r="H36" s="791" t="str">
        <f t="shared" si="7"/>
        <v>－</v>
      </c>
      <c r="I36" s="791" t="str">
        <f t="shared" si="7"/>
        <v>－</v>
      </c>
      <c r="J36" s="791" t="str">
        <f t="shared" si="7"/>
        <v>－</v>
      </c>
      <c r="K36" s="792" t="str">
        <f t="shared" si="7"/>
        <v>－</v>
      </c>
    </row>
    <row r="37" spans="1:17">
      <c r="A37" s="198"/>
      <c r="B37" s="201"/>
      <c r="C37" s="201"/>
      <c r="D37" s="201"/>
      <c r="E37" s="201"/>
      <c r="F37" s="201"/>
      <c r="G37" s="201"/>
      <c r="H37" s="201"/>
      <c r="I37" s="201"/>
      <c r="J37" s="201"/>
    </row>
    <row r="38" spans="1:17" ht="14.25" thickBot="1">
      <c r="A38" s="198" t="s">
        <v>142</v>
      </c>
      <c r="B38" s="201"/>
      <c r="C38" s="201"/>
      <c r="D38" s="201"/>
      <c r="E38" s="201"/>
      <c r="F38" s="201"/>
      <c r="G38" s="201"/>
      <c r="H38" s="201"/>
      <c r="I38" s="201"/>
      <c r="J38" s="201"/>
    </row>
    <row r="39" spans="1:17">
      <c r="A39" s="125"/>
      <c r="B39" s="217"/>
      <c r="C39" s="217"/>
      <c r="D39" s="217"/>
      <c r="E39" s="218"/>
      <c r="F39" s="676" t="s">
        <v>80</v>
      </c>
      <c r="G39" s="677"/>
      <c r="H39" s="677"/>
      <c r="I39" s="677"/>
      <c r="J39" s="678"/>
      <c r="K39" s="678"/>
      <c r="L39" s="679" t="s">
        <v>143</v>
      </c>
      <c r="M39" s="677"/>
      <c r="N39" s="677"/>
      <c r="O39" s="677"/>
      <c r="P39" s="680"/>
      <c r="Q39" s="680"/>
    </row>
    <row r="40" spans="1:17">
      <c r="A40" s="219"/>
      <c r="B40" s="220"/>
      <c r="C40" s="220"/>
      <c r="D40" s="220"/>
      <c r="E40" s="221"/>
      <c r="F40" s="632" t="s">
        <v>351</v>
      </c>
      <c r="G40" s="681" t="s">
        <v>384</v>
      </c>
      <c r="H40" s="681" t="s">
        <v>387</v>
      </c>
      <c r="I40" s="681" t="s">
        <v>390</v>
      </c>
      <c r="J40" s="795" t="s">
        <v>393</v>
      </c>
      <c r="K40" s="795" t="s">
        <v>396</v>
      </c>
      <c r="L40" s="126" t="s">
        <v>352</v>
      </c>
      <c r="M40" s="681" t="s">
        <v>384</v>
      </c>
      <c r="N40" s="681" t="s">
        <v>387</v>
      </c>
      <c r="O40" s="681" t="s">
        <v>390</v>
      </c>
      <c r="P40" s="795" t="s">
        <v>393</v>
      </c>
      <c r="Q40" s="796" t="s">
        <v>396</v>
      </c>
    </row>
    <row r="41" spans="1:17">
      <c r="A41" s="84" t="s">
        <v>64</v>
      </c>
      <c r="B41" s="84"/>
      <c r="C41" s="34"/>
      <c r="D41" s="127"/>
      <c r="E41" s="222"/>
      <c r="F41" s="977" t="n">
        <f>(F69*'(参考)保険料の推計に要する係数'!D5+(F93-F94))/(F214*F106*12)</f>
        <v>4068.3936784518937</v>
      </c>
      <c r="G41" s="682" t="n">
        <f>(J69*'(参考)保険料の推計に要する係数'!E5+(J93-J94))/(J214*J106*12)</f>
        <v>4780.921716125189</v>
      </c>
      <c r="H41" s="682" t="n">
        <f>(K69*'(参考)保険料の推計に要する係数'!F5+(K93-K94))/(K214*K106*12)</f>
        <v>4961.773177661707</v>
      </c>
      <c r="I41" s="682" t="n">
        <f>(L69*'(参考)保険料の推計に要する係数'!G5+(L93-L94))/(L214*L106*12)</f>
        <v>4881.953192968126</v>
      </c>
      <c r="J41" s="682" t="n">
        <f>(M69*'(参考)保険料の推計に要する係数'!H5+(M93-M94))/(M214*M106*12)</f>
        <v>4947.561863905809</v>
      </c>
      <c r="K41" s="682" t="n">
        <f>(N69*'(参考)保険料の推計に要する係数'!I5+(N93-N94))/(N214*N106*12)</f>
        <v>5364.395199068226</v>
      </c>
      <c r="L41" s="684" t="n">
        <f t="shared" ref="L41:L51" si="8">F41/$F$49</f>
        <v>0.8424408358477259</v>
      </c>
      <c r="M41" s="684" t="n">
        <f>G41/$G$49</f>
        <v>0.8598962046737881</v>
      </c>
      <c r="N41" s="684" t="n">
        <f>H41/$H$49</f>
        <v>0.8555541162659218</v>
      </c>
      <c r="O41" s="684" t="n">
        <f>I41/$I$49</f>
        <v>0.837142018116056</v>
      </c>
      <c r="P41" s="684" t="n">
        <f>J41/$J$49</f>
        <v>0.828656481117157</v>
      </c>
      <c r="Q41" s="934" t="n">
        <f>K41/$K$49</f>
        <v>0.8319282446773023</v>
      </c>
    </row>
    <row r="42" spans="1:17">
      <c r="A42" s="84"/>
      <c r="B42" s="35" t="s">
        <v>70</v>
      </c>
      <c r="C42" s="128"/>
      <c r="D42" s="223"/>
      <c r="E42" s="224"/>
      <c r="F42" s="977" t="n">
        <f>$F$41*SUM('2_サービス別給付費'!G151:I151)/SUM('2_サービス別給付費'!$G$150:$I$150)</f>
        <v>1148.3398262671717</v>
      </c>
      <c r="G42" s="682" t="n">
        <f>$G$41*SUM('2_サービス別給付費'!J151)/SUM('2_サービス別給付費'!$J$150)</f>
        <v>1323.0140105242515</v>
      </c>
      <c r="H42" s="682" t="n">
        <f>$H$41*SUM('2_サービス別給付費'!K151)/SUM('2_サービス別給付費'!$K$150)</f>
        <v>1421.4897867390189</v>
      </c>
      <c r="I42" s="682" t="n">
        <f>$I$41*SUM('2_サービス別給付費'!L151)/SUM('2_サービス別給付費'!$L$150)</f>
        <v>1406.6709679985715</v>
      </c>
      <c r="J42" s="682" t="n">
        <f>$J$41*SUM('2_サービス別給付費'!M151)/SUM('2_サービス別給付費'!$M$150)</f>
        <v>1386.556931199662</v>
      </c>
      <c r="K42" s="682" t="n">
        <f>$K$41*SUM('2_サービス別給付費'!N151)/SUM('2_サービス別給付費'!$N$150)</f>
        <v>1474.2442043267486</v>
      </c>
      <c r="L42" s="684" t="n">
        <f t="shared" si="8"/>
        <v>0.2377863204835838</v>
      </c>
      <c r="M42" s="684" t="n">
        <f t="shared" ref="M42:M51" si="9">G42/$G$49</f>
        <v>0.23795719610780205</v>
      </c>
      <c r="N42" s="684" t="n">
        <f t="shared" ref="N42:N51" si="10">H42/$H$49</f>
        <v>0.24510621399418042</v>
      </c>
      <c r="O42" s="684" t="n">
        <f t="shared" ref="O42:O51" si="11">I42/$I$49</f>
        <v>0.24121152465610676</v>
      </c>
      <c r="P42" s="684" t="n">
        <f t="shared" ref="P42:P51" si="12">J42/$J$49</f>
        <v>0.23223143420574918</v>
      </c>
      <c r="Q42" s="934" t="n">
        <f t="shared" ref="Q42:Q51" si="13">K42/$K$49</f>
        <v>0.2286306932316005</v>
      </c>
    </row>
    <row r="43" spans="1:17">
      <c r="A43" s="84"/>
      <c r="B43" s="35" t="s">
        <v>81</v>
      </c>
      <c r="C43" s="128"/>
      <c r="D43" s="223"/>
      <c r="E43" s="224"/>
      <c r="F43" s="977" t="n">
        <f>$F$41*SUM('2_サービス別給付費'!G152:I152)/SUM('2_サービス別給付費'!$G$150:$I$150)</f>
        <v>785.5269208195</v>
      </c>
      <c r="G43" s="682" t="n">
        <f>$G$41*SUM('2_サービス別給付費'!J152)/SUM('2_サービス別給付費'!$J$150)</f>
        <v>899.9107741545017</v>
      </c>
      <c r="H43" s="682" t="n">
        <f>$H$41*SUM('2_サービス別給付費'!K152)/SUM('2_サービス別給付費'!$K$150)</f>
        <v>971.3577547840082</v>
      </c>
      <c r="I43" s="682" t="n">
        <f>$I$41*SUM('2_サービス別給付費'!L152)/SUM('2_サービス別給付費'!$L$150)</f>
        <v>911.2932365813443</v>
      </c>
      <c r="J43" s="682" t="n">
        <f>$J$41*SUM('2_サービス別給付費'!M152)/SUM('2_サービス別給付費'!$M$150)</f>
        <v>950.5064846469652</v>
      </c>
      <c r="K43" s="682" t="n">
        <f>$K$41*SUM('2_サービス別給付費'!N152)/SUM('2_サービス別給付費'!$N$150)</f>
        <v>1009.9235471066344</v>
      </c>
      <c r="L43" s="684" t="n">
        <f t="shared" si="8"/>
        <v>0.1626587808503043</v>
      </c>
      <c r="M43" s="684" t="n">
        <f t="shared" si="9"/>
        <v>0.16185788121786593</v>
      </c>
      <c r="N43" s="684" t="n">
        <f t="shared" si="10"/>
        <v>0.1674903498639822</v>
      </c>
      <c r="O43" s="684" t="n">
        <f t="shared" si="11"/>
        <v>0.15626570534638878</v>
      </c>
      <c r="P43" s="684" t="n">
        <f t="shared" si="12"/>
        <v>0.15919828402606268</v>
      </c>
      <c r="Q43" s="934" t="n">
        <f t="shared" si="13"/>
        <v>0.1566223017924991</v>
      </c>
    </row>
    <row r="44" spans="1:17">
      <c r="A44" s="84"/>
      <c r="B44" s="35" t="s">
        <v>71</v>
      </c>
      <c r="C44" s="127"/>
      <c r="D44" s="225"/>
      <c r="E44" s="222"/>
      <c r="F44" s="977" t="n">
        <f>$F$41*SUM('2_サービス別給付費'!G153:I153)/SUM('2_サービス別給付費'!$G$150:$I$150)</f>
        <v>2134.526931365222</v>
      </c>
      <c r="G44" s="682" t="n">
        <f>$G$41*SUM('2_サービス別給付費'!J153)/SUM('2_サービス別給付費'!$J$150)</f>
        <v>2557.9969314464356</v>
      </c>
      <c r="H44" s="682" t="n">
        <f>$H$41*SUM('2_サービス別給付費'!K153)/SUM('2_サービス別給付費'!$K$150)</f>
        <v>2568.92563613868</v>
      </c>
      <c r="I44" s="682" t="n">
        <f>$I$41*SUM('2_サービス別給付費'!L153)/SUM('2_サービス別給付費'!$L$150)</f>
        <v>2563.98898838821</v>
      </c>
      <c r="J44" s="682" t="n">
        <f>$J$41*SUM('2_サービス別給付費'!M153)/SUM('2_サービス別給付費'!$M$150)</f>
        <v>2610.498448059182</v>
      </c>
      <c r="K44" s="682" t="n">
        <f>$K$41*SUM('2_サービス別給付費'!N153)/SUM('2_サービス別給付費'!$N$150)</f>
        <v>2880.227447634843</v>
      </c>
      <c r="L44" s="684" t="n">
        <f t="shared" si="8"/>
        <v>0.4419957345138377</v>
      </c>
      <c r="M44" s="684" t="n">
        <f t="shared" si="9"/>
        <v>0.4600811273481202</v>
      </c>
      <c r="N44" s="684" t="n">
        <f t="shared" si="10"/>
        <v>0.4429575524077592</v>
      </c>
      <c r="O44" s="684" t="n">
        <f t="shared" si="11"/>
        <v>0.43966478811356047</v>
      </c>
      <c r="P44" s="684" t="n">
        <f t="shared" si="12"/>
        <v>0.437226762885345</v>
      </c>
      <c r="Q44" s="934" t="n">
        <f t="shared" si="13"/>
        <v>0.4466752496532026</v>
      </c>
    </row>
    <row r="45" spans="1:17">
      <c r="A45" s="129" t="s">
        <v>82</v>
      </c>
      <c r="B45" s="129"/>
      <c r="C45" s="128"/>
      <c r="D45" s="223"/>
      <c r="E45" s="224"/>
      <c r="F45" s="977" t="n">
        <f>((F75+F78+F81+F82)*'(参考)保険料の推計に要する係数'!D5+F85)/(F214*F106*12)</f>
        <v>399.6409731343076</v>
      </c>
      <c r="G45" s="682" t="n">
        <f>((J75+J78+J81+J82)*'(参考)保険料の推計に要する係数'!E5+J85)/(J214*J106*12)</f>
        <v>422.8188947170897</v>
      </c>
      <c r="H45" s="682" t="n">
        <f>((K75+K78+K81+K82)*'(参考)保険料の推計に要する係数'!F5+K85)/(K214*K106*12)</f>
        <v>463.9717857222525</v>
      </c>
      <c r="I45" s="682" t="n">
        <f>((L75+L78+L81+L82)*'(参考)保険料の推計に要する係数'!G5+L85)/(L214*L106*12)</f>
        <v>559.8543347321904</v>
      </c>
      <c r="J45" s="682" t="n">
        <f>((M75+M78+M81+M82)*'(参考)保険料の推計に要する係数'!H5+M85)/(M214*M106*12)</f>
        <v>626.149132788875</v>
      </c>
      <c r="K45" s="682" t="n">
        <f>((N75+N78+N81+N82)*'(参考)保険料の推計に要する係数'!I5+N85)/(N214*N106*12)</f>
        <v>677.625932953771</v>
      </c>
      <c r="L45" s="684" t="n">
        <f t="shared" si="8"/>
        <v>0.08275351454542026</v>
      </c>
      <c r="M45" s="684" t="n">
        <f t="shared" si="9"/>
        <v>0.07604817322260272</v>
      </c>
      <c r="N45" s="684" t="n">
        <f t="shared" si="10"/>
        <v>0.08000224050809836</v>
      </c>
      <c r="O45" s="684" t="n">
        <f t="shared" si="11"/>
        <v>0.09600206497346232</v>
      </c>
      <c r="P45" s="684" t="n">
        <f t="shared" si="12"/>
        <v>0.10487236972551509</v>
      </c>
      <c r="Q45" s="934" t="n">
        <f t="shared" si="13"/>
        <v>0.10508848286344913</v>
      </c>
    </row>
    <row r="46" spans="1:17">
      <c r="A46" s="129" t="s">
        <v>83</v>
      </c>
      <c r="B46" s="226"/>
      <c r="C46" s="223"/>
      <c r="D46" s="223"/>
      <c r="E46" s="224"/>
      <c r="F46" s="977" t="n">
        <f>F86*'(参考)保険料の推計に要する係数'!D5/(F214*F106*12)</f>
        <v>361.25840417833456</v>
      </c>
      <c r="G46" s="682" t="n">
        <f>J86*'(参考)保険料の推計に要する係数'!E5/(J214*J106*12)</f>
        <v>356.1417216293344</v>
      </c>
      <c r="H46" s="682" t="n">
        <f>K86*'(参考)保険料の推計に要する係数'!F5/(K214*K106*12)</f>
        <v>373.73993573316113</v>
      </c>
      <c r="I46" s="682" t="n">
        <f>L86*'(参考)保険料の推計に要する係数'!G5/(L214*L106*12)</f>
        <v>389.88301861189024</v>
      </c>
      <c r="J46" s="682" t="n">
        <f>M86*'(参考)保険料の推計に要する係数'!H5/(M214*M106*12)</f>
        <v>396.8714782480465</v>
      </c>
      <c r="K46" s="682" t="n">
        <f>N86*'(参考)保険料の推計に要する係数'!I5/(N214*N106*12)</f>
        <v>406.1253678591656</v>
      </c>
      <c r="L46" s="684" t="n">
        <f t="shared" si="8"/>
        <v>0.07480564960685389</v>
      </c>
      <c r="M46" s="684" t="n">
        <f t="shared" si="9"/>
        <v>0.06405562210360911</v>
      </c>
      <c r="N46" s="684" t="n">
        <f t="shared" si="10"/>
        <v>0.06444364322597979</v>
      </c>
      <c r="O46" s="684" t="n">
        <f t="shared" si="11"/>
        <v>0.06685591691048165</v>
      </c>
      <c r="P46" s="684" t="n">
        <f t="shared" si="12"/>
        <v>0.06647114915732795</v>
      </c>
      <c r="Q46" s="934" t="n">
        <f t="shared" si="13"/>
        <v>0.06298327245924862</v>
      </c>
    </row>
    <row r="47" spans="1:17">
      <c r="A47" s="129" t="s">
        <v>84</v>
      </c>
      <c r="B47" s="226"/>
      <c r="C47" s="223"/>
      <c r="D47" s="223"/>
      <c r="E47" s="224"/>
      <c r="F47" s="977" t="n">
        <f>(F18+F21)/(F214*F106*12)</f>
        <v>0.0</v>
      </c>
      <c r="G47" s="682" t="n">
        <f>(G18+G21)/(J214*J106*12)</f>
        <v>0.0</v>
      </c>
      <c r="H47" s="682" t="n">
        <f>(H18+H21)/(K214*K106*12)</f>
        <v>0.0</v>
      </c>
      <c r="I47" s="682" t="n">
        <f>(I18+I21)/(L214*L106*12)</f>
        <v>0.0</v>
      </c>
      <c r="J47" s="682" t="n">
        <f>(J18+J21)/(M214*M106*12)</f>
        <v>0.0</v>
      </c>
      <c r="K47" s="682" t="n">
        <f>(K18+K21)/(N214*N106*12)</f>
        <v>0.0</v>
      </c>
      <c r="L47" s="684" t="n">
        <f t="shared" si="8"/>
        <v>0.0</v>
      </c>
      <c r="M47" s="684" t="n">
        <f t="shared" si="9"/>
        <v>0.0</v>
      </c>
      <c r="N47" s="684" t="n">
        <f t="shared" si="10"/>
        <v>0.0</v>
      </c>
      <c r="O47" s="684" t="n">
        <f t="shared" si="11"/>
        <v>0.0</v>
      </c>
      <c r="P47" s="684" t="n">
        <f t="shared" si="12"/>
        <v>0.0</v>
      </c>
      <c r="Q47" s="934" t="n">
        <f t="shared" si="13"/>
        <v>0.0</v>
      </c>
    </row>
    <row r="48" spans="1:17">
      <c r="A48" s="129" t="s">
        <v>85</v>
      </c>
      <c r="B48" s="129"/>
      <c r="C48" s="128"/>
      <c r="D48" s="128"/>
      <c r="E48" s="224"/>
      <c r="F48" s="977" t="n">
        <f>(F102+F103-F104)/(F214*F106*12)</f>
        <v>0.0</v>
      </c>
      <c r="G48" s="682" t="n">
        <f>(J102+J103-J104)/(J214*J106*12)</f>
        <v>0.0</v>
      </c>
      <c r="H48" s="682" t="n">
        <f>(K102+K103-K104)/(K214*K106*12)</f>
        <v>0.0</v>
      </c>
      <c r="I48" s="682" t="n">
        <f>(L102+L103-L104)/(L214*L106*12)</f>
        <v>0.0</v>
      </c>
      <c r="J48" s="682" t="n">
        <f>(M102+M103-M104)/(M214*M106*12)</f>
        <v>0.0</v>
      </c>
      <c r="K48" s="682" t="n">
        <f>(N102+N103-N104)/(N214*N106*12)</f>
        <v>0.0</v>
      </c>
      <c r="L48" s="684" t="n">
        <f t="shared" si="8"/>
        <v>0.0</v>
      </c>
      <c r="M48" s="684" t="n">
        <f t="shared" si="9"/>
        <v>0.0</v>
      </c>
      <c r="N48" s="684" t="n">
        <f t="shared" si="10"/>
        <v>0.0</v>
      </c>
      <c r="O48" s="684" t="n">
        <f t="shared" si="11"/>
        <v>0.0</v>
      </c>
      <c r="P48" s="684" t="n">
        <f t="shared" si="12"/>
        <v>0.0</v>
      </c>
      <c r="Q48" s="934" t="n">
        <f t="shared" si="13"/>
        <v>0.0</v>
      </c>
    </row>
    <row r="49" spans="1:17">
      <c r="A49" s="129" t="s">
        <v>86</v>
      </c>
      <c r="B49" s="129"/>
      <c r="C49" s="128"/>
      <c r="D49" s="128"/>
      <c r="E49" s="224"/>
      <c r="F49" s="977" t="n">
        <f>F41+SUM(F45:F48)</f>
        <v>4829.293055764536</v>
      </c>
      <c r="G49" s="682" t="n">
        <f>G41+SUM(G45:G48)</f>
        <v>5559.882332471613</v>
      </c>
      <c r="H49" s="682" t="n">
        <f t="shared" ref="H49:K49" si="14">H41+SUM(H45:H48)</f>
        <v>5799.484899117121</v>
      </c>
      <c r="I49" s="682" t="n">
        <f t="shared" si="14"/>
        <v>5831.690546312207</v>
      </c>
      <c r="J49" s="682" t="n">
        <f t="shared" si="14"/>
        <v>5970.582474942731</v>
      </c>
      <c r="K49" s="682" t="n">
        <f t="shared" si="14"/>
        <v>6448.1464998811625</v>
      </c>
      <c r="L49" s="684" t="n">
        <f t="shared" si="8"/>
        <v>1.0</v>
      </c>
      <c r="M49" s="684" t="n">
        <f t="shared" si="9"/>
        <v>1.0</v>
      </c>
      <c r="N49" s="684" t="n">
        <f t="shared" si="10"/>
        <v>1.0</v>
      </c>
      <c r="O49" s="684" t="n">
        <f t="shared" si="11"/>
        <v>1.0</v>
      </c>
      <c r="P49" s="684" t="n">
        <f t="shared" si="12"/>
        <v>1.0</v>
      </c>
      <c r="Q49" s="934" t="n">
        <f t="shared" si="13"/>
        <v>1.0</v>
      </c>
    </row>
    <row r="50" spans="1:17">
      <c r="A50" s="129" t="s">
        <v>87</v>
      </c>
      <c r="B50" s="226"/>
      <c r="C50" s="223"/>
      <c r="D50" s="223"/>
      <c r="E50" s="224"/>
      <c r="F50" s="977" t="n">
        <f>F15/(F214*F106*12)</f>
        <v>0.0</v>
      </c>
      <c r="G50" s="682" t="n">
        <f>G15/(J214*J106*12)</f>
        <v>0.0</v>
      </c>
      <c r="H50" s="682" t="n">
        <f>H15/(K214*K106*12)</f>
        <v>0.0</v>
      </c>
      <c r="I50" s="682" t="n">
        <f>I15/(L214*L106*12)</f>
        <v>0.0</v>
      </c>
      <c r="J50" s="682" t="n">
        <f>J15/(M214*M106*12)</f>
        <v>0.0</v>
      </c>
      <c r="K50" s="682" t="n">
        <f>K15/(N214*N106*12)</f>
        <v>0.0</v>
      </c>
      <c r="L50" s="684" t="n">
        <f t="shared" si="8"/>
        <v>0.0</v>
      </c>
      <c r="M50" s="684" t="n">
        <f t="shared" si="9"/>
        <v>0.0</v>
      </c>
      <c r="N50" s="684" t="n">
        <f t="shared" si="10"/>
        <v>0.0</v>
      </c>
      <c r="O50" s="684" t="n">
        <f t="shared" si="11"/>
        <v>0.0</v>
      </c>
      <c r="P50" s="684" t="n">
        <f t="shared" si="12"/>
        <v>0.0</v>
      </c>
      <c r="Q50" s="934" t="n">
        <f t="shared" si="13"/>
        <v>0.0</v>
      </c>
    </row>
    <row r="51" spans="1:17" ht="14.25" thickBot="1">
      <c r="A51" s="130" t="s">
        <v>147</v>
      </c>
      <c r="B51" s="130"/>
      <c r="C51" s="131"/>
      <c r="D51" s="131"/>
      <c r="E51" s="227"/>
      <c r="F51" s="633" t="n">
        <f>F49-F50</f>
        <v>4829.293055764536</v>
      </c>
      <c r="G51" s="683" t="n">
        <f>G49-G50</f>
        <v>5559.882332471613</v>
      </c>
      <c r="H51" s="683" t="n">
        <f t="shared" ref="H51:K51" si="15">H49-H50</f>
        <v>5799.484899117121</v>
      </c>
      <c r="I51" s="683" t="n">
        <f t="shared" si="15"/>
        <v>5831.690546312207</v>
      </c>
      <c r="J51" s="683" t="n">
        <f t="shared" si="15"/>
        <v>5970.582474942731</v>
      </c>
      <c r="K51" s="683" t="n">
        <f t="shared" si="15"/>
        <v>6448.1464998811625</v>
      </c>
      <c r="L51" s="687" t="n">
        <f t="shared" si="8"/>
        <v>1.0</v>
      </c>
      <c r="M51" s="687" t="n">
        <f t="shared" si="9"/>
        <v>1.0</v>
      </c>
      <c r="N51" s="687" t="n">
        <f t="shared" si="10"/>
        <v>1.0</v>
      </c>
      <c r="O51" s="687" t="n">
        <f t="shared" si="11"/>
        <v>1.0</v>
      </c>
      <c r="P51" s="687" t="n">
        <f t="shared" si="12"/>
        <v>1.0</v>
      </c>
      <c r="Q51" s="935" t="n">
        <f t="shared" si="13"/>
        <v>1.0</v>
      </c>
    </row>
    <row r="52" spans="1:17">
      <c r="A52" s="228" t="s">
        <v>148</v>
      </c>
      <c r="B52" s="229"/>
      <c r="C52" s="229"/>
      <c r="D52" s="229"/>
      <c r="E52" s="218"/>
      <c r="F52" s="688"/>
      <c r="G52" s="229"/>
      <c r="H52" s="801"/>
      <c r="I52" s="801"/>
      <c r="J52" s="801"/>
      <c r="K52" s="801"/>
      <c r="L52" s="229"/>
      <c r="M52" s="229"/>
      <c r="N52" s="801"/>
      <c r="O52" s="801"/>
      <c r="P52" s="801"/>
      <c r="Q52" s="802"/>
    </row>
    <row r="53" spans="1:17">
      <c r="A53" s="84" t="s">
        <v>64</v>
      </c>
      <c r="B53" s="84"/>
      <c r="C53" s="34"/>
      <c r="D53" s="127"/>
      <c r="E53" s="222"/>
      <c r="F53" s="631" t="str">
        <f>IFERROR((F69*'(参考)保険料の推計に要する係数'!D5+(F93-F94))/(F215*F106*12),"－")</f>
        <v>－</v>
      </c>
      <c r="G53" s="682" t="str">
        <f>IFERROR((J69*'(参考)保険料の推計に要する係数'!E5+(J93-J94))/(J215*J106*12),"－")</f>
        <v>－</v>
      </c>
      <c r="H53" s="682" t="str">
        <f>IFERROR((K69*'(参考)保険料の推計に要する係数'!F5+(K93-K94))/(K215*K106*12),"－")</f>
        <v>－</v>
      </c>
      <c r="I53" s="682" t="str">
        <f>IFERROR((L69*'(参考)保険料の推計に要する係数'!G5+(L93-L94))/(L215*L106*12),"－")</f>
        <v>－</v>
      </c>
      <c r="J53" s="682" t="str">
        <f>IFERROR((M69*'(参考)保険料の推計に要する係数'!H5+(M93-M94))/(M215*M106*12),"－")</f>
        <v>－</v>
      </c>
      <c r="K53" s="797" t="str">
        <f>IFERROR((N69*'(参考)保険料の推計に要する係数'!I5+(N93-N94))/(N215*N106*12),"－")</f>
        <v>－</v>
      </c>
      <c r="L53" s="684" t="str">
        <f t="shared" ref="L53:L63" si="16">IFERROR(F53/$F$61,"－")</f>
        <v>－</v>
      </c>
      <c r="M53" s="685" t="str">
        <f t="shared" ref="M53:M63" si="17">IFERROR(G53/$G$61,"－")</f>
        <v>－</v>
      </c>
      <c r="N53" s="685" t="str">
        <f t="shared" ref="N53:N63" si="18">IFERROR(H53/$H$61,"－")</f>
        <v>－</v>
      </c>
      <c r="O53" s="685" t="str">
        <f t="shared" ref="O53:O63" si="19">IFERROR(I53/$I$61,"－")</f>
        <v>－</v>
      </c>
      <c r="P53" s="894" t="str">
        <f>IFERROR(J53/$J$61,"－")</f>
        <v>－</v>
      </c>
      <c r="Q53" s="798" t="str">
        <f t="shared" ref="Q53:Q63" si="20">IFERROR(K53/$K$61,"－")</f>
        <v>－</v>
      </c>
    </row>
    <row r="54" spans="1:17">
      <c r="A54" s="84"/>
      <c r="B54" s="35" t="s">
        <v>70</v>
      </c>
      <c r="C54" s="128"/>
      <c r="D54" s="223"/>
      <c r="E54" s="224"/>
      <c r="F54" s="631" t="str">
        <f>IFERROR($F$53*SUM('2_サービス別給付費'!G151:I151)/SUM('2_サービス別給付費'!$G$150:$I$150),"－")</f>
        <v>－</v>
      </c>
      <c r="G54" s="682" t="str">
        <f>IFERROR(G53*SUM('2_サービス別給付費'!J151)/SUM('2_サービス別給付費'!J150),"－")</f>
        <v>－</v>
      </c>
      <c r="H54" s="682" t="str">
        <f>IFERROR(H53*SUM('2_サービス別給付費'!K151)/SUM('2_サービス別給付費'!K150),"－")</f>
        <v>－</v>
      </c>
      <c r="I54" s="682" t="str">
        <f>IFERROR(I53*SUM('2_サービス別給付費'!L151)/SUM('2_サービス別給付費'!L150),"－")</f>
        <v>－</v>
      </c>
      <c r="J54" s="682" t="str">
        <f>IFERROR(J53*SUM('2_サービス別給付費'!M151)/SUM('2_サービス別給付費'!M150),"－")</f>
        <v>－</v>
      </c>
      <c r="K54" s="797" t="str">
        <f>IFERROR(K53*SUM('2_サービス別給付費'!N151)/SUM('2_サービス別給付費'!N150),"－")</f>
        <v>－</v>
      </c>
      <c r="L54" s="684" t="str">
        <f t="shared" si="16"/>
        <v>－</v>
      </c>
      <c r="M54" s="685" t="str">
        <f t="shared" si="17"/>
        <v>－</v>
      </c>
      <c r="N54" s="685" t="str">
        <f t="shared" si="18"/>
        <v>－</v>
      </c>
      <c r="O54" s="685" t="str">
        <f t="shared" si="19"/>
        <v>－</v>
      </c>
      <c r="P54" s="894" t="str">
        <f t="shared" ref="P54:P63" si="21">IFERROR(J54/$J$61,"－")</f>
        <v>－</v>
      </c>
      <c r="Q54" s="798" t="str">
        <f t="shared" si="20"/>
        <v>－</v>
      </c>
    </row>
    <row r="55" spans="1:17">
      <c r="A55" s="84"/>
      <c r="B55" s="35" t="s">
        <v>81</v>
      </c>
      <c r="C55" s="128"/>
      <c r="D55" s="223"/>
      <c r="E55" s="224"/>
      <c r="F55" s="631" t="str">
        <f>IFERROR($F$53*SUM('2_サービス別給付費'!G152:I152)/SUM('2_サービス別給付費'!$G$150:$I$150),"－")</f>
        <v>－</v>
      </c>
      <c r="G55" s="682" t="str">
        <f>IFERROR(G53*SUM('2_サービス別給付費'!J152)/SUM('2_サービス別給付費'!J150),"－")</f>
        <v>－</v>
      </c>
      <c r="H55" s="682" t="str">
        <f>IFERROR(H53*SUM('2_サービス別給付費'!K152)/SUM('2_サービス別給付費'!K150),"－")</f>
        <v>－</v>
      </c>
      <c r="I55" s="682" t="str">
        <f>IFERROR(I53*SUM('2_サービス別給付費'!L152)/SUM('2_サービス別給付費'!L150),"－")</f>
        <v>－</v>
      </c>
      <c r="J55" s="682" t="str">
        <f>IFERROR(J53*SUM('2_サービス別給付費'!M152)/SUM('2_サービス別給付費'!M150),"－")</f>
        <v>－</v>
      </c>
      <c r="K55" s="797" t="str">
        <f>IFERROR(K53*SUM('2_サービス別給付費'!N152)/SUM('2_サービス別給付費'!N150),"－")</f>
        <v>－</v>
      </c>
      <c r="L55" s="684" t="str">
        <f t="shared" si="16"/>
        <v>－</v>
      </c>
      <c r="M55" s="685" t="str">
        <f t="shared" si="17"/>
        <v>－</v>
      </c>
      <c r="N55" s="685" t="str">
        <f t="shared" si="18"/>
        <v>－</v>
      </c>
      <c r="O55" s="685" t="str">
        <f t="shared" si="19"/>
        <v>－</v>
      </c>
      <c r="P55" s="894" t="str">
        <f t="shared" si="21"/>
        <v>－</v>
      </c>
      <c r="Q55" s="798" t="str">
        <f t="shared" si="20"/>
        <v>－</v>
      </c>
    </row>
    <row r="56" spans="1:17">
      <c r="A56" s="84"/>
      <c r="B56" s="35" t="s">
        <v>71</v>
      </c>
      <c r="C56" s="127"/>
      <c r="D56" s="225"/>
      <c r="E56" s="222"/>
      <c r="F56" s="631" t="str">
        <f>IFERROR($F$53*SUM('2_サービス別給付費'!G153:I153)/SUM('2_サービス別給付費'!$G$150:$I$150),"－")</f>
        <v>－</v>
      </c>
      <c r="G56" s="682" t="str">
        <f>IFERROR(G53*SUM('2_サービス別給付費'!J153)/SUM('2_サービス別給付費'!J150),"－")</f>
        <v>－</v>
      </c>
      <c r="H56" s="682" t="str">
        <f>IFERROR(H53*SUM('2_サービス別給付費'!K153)/SUM('2_サービス別給付費'!K150),"－")</f>
        <v>－</v>
      </c>
      <c r="I56" s="682" t="str">
        <f>IFERROR(I53*SUM('2_サービス別給付費'!L153)/SUM('2_サービス別給付費'!L150),"－")</f>
        <v>－</v>
      </c>
      <c r="J56" s="682" t="str">
        <f>IFERROR(J53*SUM('2_サービス別給付費'!M153)/SUM('2_サービス別給付費'!M150),"－")</f>
        <v>－</v>
      </c>
      <c r="K56" s="797" t="str">
        <f>IFERROR(K53*SUM('2_サービス別給付費'!N153)/SUM('2_サービス別給付費'!N150),"－")</f>
        <v>－</v>
      </c>
      <c r="L56" s="684" t="str">
        <f t="shared" si="16"/>
        <v>－</v>
      </c>
      <c r="M56" s="685" t="str">
        <f t="shared" si="17"/>
        <v>－</v>
      </c>
      <c r="N56" s="685" t="str">
        <f t="shared" si="18"/>
        <v>－</v>
      </c>
      <c r="O56" s="685" t="str">
        <f t="shared" si="19"/>
        <v>－</v>
      </c>
      <c r="P56" s="894" t="str">
        <f t="shared" si="21"/>
        <v>－</v>
      </c>
      <c r="Q56" s="798" t="str">
        <f t="shared" si="20"/>
        <v>－</v>
      </c>
    </row>
    <row r="57" spans="1:17">
      <c r="A57" s="129" t="s">
        <v>82</v>
      </c>
      <c r="B57" s="129"/>
      <c r="C57" s="128"/>
      <c r="D57" s="223"/>
      <c r="E57" s="224"/>
      <c r="F57" s="631" t="str">
        <f>IFERROR(((F75+F78+F81+F82)*'(参考)保険料の推計に要する係数'!D5+F85)/(F215*F106*12),"－")</f>
        <v>－</v>
      </c>
      <c r="G57" s="682" t="str">
        <f>IFERROR(((J75+J78+J81+J82)*'(参考)保険料の推計に要する係数'!E5+J85)/(J215*J106*12),"－")</f>
        <v>－</v>
      </c>
      <c r="H57" s="682" t="str">
        <f>IFERROR(((K75+K78+K81+K82)*'(参考)保険料の推計に要する係数'!F5+K85)/(K215*K106*12),"－")</f>
        <v>－</v>
      </c>
      <c r="I57" s="682" t="str">
        <f>IFERROR(((L75+L78+L81+L82)*'(参考)保険料の推計に要する係数'!G5+L85)/(L215*L106*12),"－")</f>
        <v>－</v>
      </c>
      <c r="J57" s="682" t="str">
        <f>IFERROR(((M75+M78+M81+M82)*'(参考)保険料の推計に要する係数'!H5+M85)/(M215*M106*12),"－")</f>
        <v>－</v>
      </c>
      <c r="K57" s="797" t="str">
        <f>IFERROR(((N75+N78+N81+N82)*'(参考)保険料の推計に要する係数'!I5+N85)/(N215*N106*12),"－")</f>
        <v>－</v>
      </c>
      <c r="L57" s="684" t="str">
        <f t="shared" si="16"/>
        <v>－</v>
      </c>
      <c r="M57" s="685" t="str">
        <f t="shared" si="17"/>
        <v>－</v>
      </c>
      <c r="N57" s="685" t="str">
        <f t="shared" si="18"/>
        <v>－</v>
      </c>
      <c r="O57" s="685" t="str">
        <f t="shared" si="19"/>
        <v>－</v>
      </c>
      <c r="P57" s="894" t="str">
        <f t="shared" si="21"/>
        <v>－</v>
      </c>
      <c r="Q57" s="798" t="str">
        <f t="shared" si="20"/>
        <v>－</v>
      </c>
    </row>
    <row r="58" spans="1:17">
      <c r="A58" s="129" t="s">
        <v>83</v>
      </c>
      <c r="B58" s="226"/>
      <c r="C58" s="223"/>
      <c r="D58" s="223"/>
      <c r="E58" s="224"/>
      <c r="F58" s="631" t="str">
        <f>IFERROR(F86*'(参考)保険料の推計に要する係数'!D5/(F215*F106*12),"－")</f>
        <v>－</v>
      </c>
      <c r="G58" s="682" t="str">
        <f>IFERROR(J86*'(参考)保険料の推計に要する係数'!E5/(J215*J106*12),"－")</f>
        <v>－</v>
      </c>
      <c r="H58" s="682" t="str">
        <f>IFERROR(K86*'(参考)保険料の推計に要する係数'!F5/(K215*K106*12),"－")</f>
        <v>－</v>
      </c>
      <c r="I58" s="682" t="str">
        <f>IFERROR(L86*'(参考)保険料の推計に要する係数'!G5/(L215*L106*12),"－")</f>
        <v>－</v>
      </c>
      <c r="J58" s="682" t="str">
        <f>IFERROR(M86*'(参考)保険料の推計に要する係数'!H5/(M215*M106*12),"－")</f>
        <v>－</v>
      </c>
      <c r="K58" s="797" t="str">
        <f>IFERROR(N86*'(参考)保険料の推計に要する係数'!I5/(N215*N106*12),"－")</f>
        <v>－</v>
      </c>
      <c r="L58" s="684" t="str">
        <f t="shared" si="16"/>
        <v>－</v>
      </c>
      <c r="M58" s="685" t="str">
        <f t="shared" si="17"/>
        <v>－</v>
      </c>
      <c r="N58" s="685" t="str">
        <f t="shared" si="18"/>
        <v>－</v>
      </c>
      <c r="O58" s="685" t="str">
        <f t="shared" si="19"/>
        <v>－</v>
      </c>
      <c r="P58" s="894" t="str">
        <f t="shared" si="21"/>
        <v>－</v>
      </c>
      <c r="Q58" s="798" t="str">
        <f t="shared" si="20"/>
        <v>－</v>
      </c>
    </row>
    <row r="59" spans="1:17">
      <c r="A59" s="129" t="s">
        <v>84</v>
      </c>
      <c r="B59" s="226"/>
      <c r="C59" s="223"/>
      <c r="D59" s="223"/>
      <c r="E59" s="224"/>
      <c r="F59" s="631" t="str">
        <f>IFERROR((F18+F21)/(F215*F106*12),"－")</f>
        <v>－</v>
      </c>
      <c r="G59" s="682" t="str">
        <f>IFERROR((G18+G21)/(J215*J106*12),"－")</f>
        <v>－</v>
      </c>
      <c r="H59" s="682" t="str">
        <f>IFERROR((H18+H21)/(K215*K106*12),"－")</f>
        <v>－</v>
      </c>
      <c r="I59" s="682" t="str">
        <f>IFERROR((I18+I21)/(L215*L106*12),"－")</f>
        <v>－</v>
      </c>
      <c r="J59" s="682" t="str">
        <f>IFERROR((J18+J21)/(M215*M106*12),"－")</f>
        <v>－</v>
      </c>
      <c r="K59" s="797" t="str">
        <f>IFERROR((K18+K21)/(N215*N106*12),"－")</f>
        <v>－</v>
      </c>
      <c r="L59" s="684" t="str">
        <f t="shared" si="16"/>
        <v>－</v>
      </c>
      <c r="M59" s="685" t="str">
        <f t="shared" si="17"/>
        <v>－</v>
      </c>
      <c r="N59" s="685" t="str">
        <f t="shared" si="18"/>
        <v>－</v>
      </c>
      <c r="O59" s="685" t="str">
        <f t="shared" si="19"/>
        <v>－</v>
      </c>
      <c r="P59" s="894" t="str">
        <f t="shared" si="21"/>
        <v>－</v>
      </c>
      <c r="Q59" s="798" t="str">
        <f t="shared" si="20"/>
        <v>－</v>
      </c>
    </row>
    <row r="60" spans="1:17">
      <c r="A60" s="129" t="s">
        <v>85</v>
      </c>
      <c r="B60" s="129"/>
      <c r="C60" s="128"/>
      <c r="D60" s="128"/>
      <c r="E60" s="224"/>
      <c r="F60" s="631" t="str">
        <f>IFERROR((F102+F103-F104)/(F215*F106*12),"－")</f>
        <v>－</v>
      </c>
      <c r="G60" s="682" t="str">
        <f>IFERROR((J102+J103-J104)/(J215*J106*12),"－")</f>
        <v>－</v>
      </c>
      <c r="H60" s="682" t="str">
        <f>IFERROR((K102+K103-K104)/(K215*K106*12),"－")</f>
        <v>－</v>
      </c>
      <c r="I60" s="682" t="str">
        <f>IFERROR((L102+L103-L104)/(L215*L106*12),"－")</f>
        <v>－</v>
      </c>
      <c r="J60" s="682" t="str">
        <f>IFERROR((M102+M103-M104)/(M215*M106*12),"－")</f>
        <v>－</v>
      </c>
      <c r="K60" s="797" t="str">
        <f>IFERROR((N102+N103-N104)/(N215*N106*12),"－")</f>
        <v>－</v>
      </c>
      <c r="L60" s="684" t="str">
        <f t="shared" si="16"/>
        <v>－</v>
      </c>
      <c r="M60" s="685" t="str">
        <f t="shared" si="17"/>
        <v>－</v>
      </c>
      <c r="N60" s="685" t="str">
        <f t="shared" si="18"/>
        <v>－</v>
      </c>
      <c r="O60" s="685" t="str">
        <f t="shared" si="19"/>
        <v>－</v>
      </c>
      <c r="P60" s="894" t="str">
        <f t="shared" si="21"/>
        <v>－</v>
      </c>
      <c r="Q60" s="798" t="str">
        <f t="shared" si="20"/>
        <v>－</v>
      </c>
    </row>
    <row r="61" spans="1:17">
      <c r="A61" s="129" t="s">
        <v>86</v>
      </c>
      <c r="B61" s="129"/>
      <c r="C61" s="128"/>
      <c r="D61" s="128"/>
      <c r="E61" s="224"/>
      <c r="F61" s="631" t="str">
        <f>IFERROR(F53+SUM(F57:F60),"－")</f>
        <v>－</v>
      </c>
      <c r="G61" s="682" t="str">
        <f>IFERROR(G53+SUM(G57:G60),"－")</f>
        <v>－</v>
      </c>
      <c r="H61" s="682" t="str">
        <f t="shared" ref="H61:K61" si="22">IFERROR(H53+SUM(H57:H60),"－")</f>
        <v>－</v>
      </c>
      <c r="I61" s="682" t="str">
        <f t="shared" si="22"/>
        <v>－</v>
      </c>
      <c r="J61" s="682" t="str">
        <f t="shared" si="22"/>
        <v>－</v>
      </c>
      <c r="K61" s="797" t="str">
        <f t="shared" si="22"/>
        <v>－</v>
      </c>
      <c r="L61" s="684" t="str">
        <f t="shared" si="16"/>
        <v>－</v>
      </c>
      <c r="M61" s="685" t="str">
        <f t="shared" si="17"/>
        <v>－</v>
      </c>
      <c r="N61" s="685" t="str">
        <f t="shared" si="18"/>
        <v>－</v>
      </c>
      <c r="O61" s="685" t="str">
        <f t="shared" si="19"/>
        <v>－</v>
      </c>
      <c r="P61" s="894" t="str">
        <f t="shared" si="21"/>
        <v>－</v>
      </c>
      <c r="Q61" s="798" t="str">
        <f t="shared" si="20"/>
        <v>－</v>
      </c>
    </row>
    <row r="62" spans="1:17">
      <c r="A62" s="129" t="s">
        <v>87</v>
      </c>
      <c r="B62" s="226"/>
      <c r="C62" s="223"/>
      <c r="D62" s="223"/>
      <c r="E62" s="224"/>
      <c r="F62" s="631" t="str">
        <f>IFERROR(F15/(F215*F106*12),"－")</f>
        <v>－</v>
      </c>
      <c r="G62" s="682" t="str">
        <f>IFERROR(G15/(J215*J106*12),"－")</f>
        <v>－</v>
      </c>
      <c r="H62" s="682" t="str">
        <f>IFERROR(H15/(K215*K106*12),"－")</f>
        <v>－</v>
      </c>
      <c r="I62" s="682" t="str">
        <f>IFERROR(I15/(L215*L106*12),"－")</f>
        <v>－</v>
      </c>
      <c r="J62" s="682" t="str">
        <f>IFERROR(J15/(M215*M106*12),"－")</f>
        <v>－</v>
      </c>
      <c r="K62" s="797" t="str">
        <f>IFERROR(K15/(N215*N106*12),"－")</f>
        <v>－</v>
      </c>
      <c r="L62" s="684" t="str">
        <f t="shared" si="16"/>
        <v>－</v>
      </c>
      <c r="M62" s="685" t="str">
        <f t="shared" si="17"/>
        <v>－</v>
      </c>
      <c r="N62" s="685" t="str">
        <f t="shared" si="18"/>
        <v>－</v>
      </c>
      <c r="O62" s="685" t="str">
        <f t="shared" si="19"/>
        <v>－</v>
      </c>
      <c r="P62" s="894" t="str">
        <f t="shared" si="21"/>
        <v>－</v>
      </c>
      <c r="Q62" s="798" t="str">
        <f t="shared" si="20"/>
        <v>－</v>
      </c>
    </row>
    <row r="63" spans="1:17" ht="14.25" thickBot="1">
      <c r="A63" s="130" t="s">
        <v>147</v>
      </c>
      <c r="B63" s="130"/>
      <c r="C63" s="131"/>
      <c r="D63" s="131"/>
      <c r="E63" s="227"/>
      <c r="F63" s="633" t="str">
        <f>IFERROR(F61-F62,"－")</f>
        <v>－</v>
      </c>
      <c r="G63" s="683" t="str">
        <f>IFERROR(G61-G62,"－")</f>
        <v>－</v>
      </c>
      <c r="H63" s="683" t="str">
        <f t="shared" ref="H63:K63" si="23">IFERROR(H61-H62,"－")</f>
        <v>－</v>
      </c>
      <c r="I63" s="683" t="str">
        <f t="shared" si="23"/>
        <v>－</v>
      </c>
      <c r="J63" s="683" t="str">
        <f t="shared" si="23"/>
        <v>－</v>
      </c>
      <c r="K63" s="799" t="str">
        <f t="shared" si="23"/>
        <v>－</v>
      </c>
      <c r="L63" s="687" t="str">
        <f t="shared" si="16"/>
        <v>－</v>
      </c>
      <c r="M63" s="686" t="str">
        <f t="shared" si="17"/>
        <v>－</v>
      </c>
      <c r="N63" s="686" t="str">
        <f t="shared" si="18"/>
        <v>－</v>
      </c>
      <c r="O63" s="686" t="str">
        <f t="shared" si="19"/>
        <v>－</v>
      </c>
      <c r="P63" s="895" t="str">
        <f t="shared" si="21"/>
        <v>－</v>
      </c>
      <c r="Q63" s="800" t="str">
        <f t="shared" si="20"/>
        <v>－</v>
      </c>
    </row>
    <row r="64" spans="1:17">
      <c r="A64" s="198"/>
      <c r="B64" s="201"/>
      <c r="C64" s="201"/>
      <c r="D64" s="201"/>
      <c r="E64" s="201"/>
      <c r="F64" s="201"/>
      <c r="G64" s="201"/>
      <c r="H64" s="201"/>
      <c r="I64" s="201"/>
      <c r="J64" s="201"/>
    </row>
    <row r="65" spans="1:14" ht="14.25" thickBot="1">
      <c r="A65" s="198" t="s">
        <v>149</v>
      </c>
    </row>
    <row r="66" spans="1:14">
      <c r="A66" s="230"/>
      <c r="B66" s="231"/>
      <c r="C66" s="231"/>
      <c r="D66" s="231"/>
      <c r="E66" s="231"/>
      <c r="F66" s="1112" t="s">
        <v>351</v>
      </c>
      <c r="G66" s="1113"/>
      <c r="H66" s="1113"/>
      <c r="I66" s="1114"/>
      <c r="J66" s="1115" t="s">
        <v>383</v>
      </c>
      <c r="K66" s="1115" t="s">
        <v>324</v>
      </c>
      <c r="L66" s="1115" t="s">
        <v>323</v>
      </c>
      <c r="M66" s="1129" t="s">
        <v>322</v>
      </c>
      <c r="N66" s="1127" t="s">
        <v>349</v>
      </c>
    </row>
    <row r="67" spans="1:14" ht="14.25" thickBot="1">
      <c r="A67" s="232"/>
      <c r="F67" s="233" t="s">
        <v>150</v>
      </c>
      <c r="G67" s="234" t="s">
        <v>362</v>
      </c>
      <c r="H67" s="235" t="s">
        <v>361</v>
      </c>
      <c r="I67" s="236" t="s">
        <v>360</v>
      </c>
      <c r="J67" s="1116"/>
      <c r="K67" s="1126"/>
      <c r="L67" s="1126"/>
      <c r="M67" s="1130"/>
      <c r="N67" s="1128"/>
    </row>
    <row r="68" spans="1:14">
      <c r="A68" s="132" t="s">
        <v>402</v>
      </c>
      <c r="B68" s="85"/>
      <c r="C68" s="85"/>
      <c r="D68" s="85"/>
      <c r="E68" s="85"/>
      <c r="F68" s="155" t="n">
        <f t="shared" ref="F68:F75" si="24">SUM(G68:I68)</f>
        <v>2.428913405E9</v>
      </c>
      <c r="G68" s="237" t="n">
        <f t="shared" ref="G68:N68" si="25">G69+G75+G78+G81+G82</f>
        <v>8.12433479E8</v>
      </c>
      <c r="H68" s="238" t="n">
        <f t="shared" si="25"/>
        <v>8.08239963E8</v>
      </c>
      <c r="I68" s="239" t="n">
        <f t="shared" si="25"/>
        <v>8.08239963E8</v>
      </c>
      <c r="J68" s="658" t="n">
        <f t="shared" si="25"/>
        <v>8.23820088E8</v>
      </c>
      <c r="K68" s="803" t="n">
        <f t="shared" si="25"/>
        <v>7.94211091E8</v>
      </c>
      <c r="L68" s="803" t="n">
        <f t="shared" si="25"/>
        <v>8.67174798E8</v>
      </c>
      <c r="M68" s="896" t="n">
        <f t="shared" si="25"/>
        <v>8.94223536E8</v>
      </c>
      <c r="N68" s="804" t="n">
        <f t="shared" si="25"/>
        <v>8.59372138E8</v>
      </c>
    </row>
    <row r="69" spans="1:14">
      <c r="A69" s="240"/>
      <c r="B69" s="133" t="s">
        <v>338</v>
      </c>
      <c r="C69" s="133"/>
      <c r="D69" s="241"/>
      <c r="E69" s="34"/>
      <c r="F69" s="172" t="n">
        <f t="shared" si="24"/>
        <v>2.216792E9</v>
      </c>
      <c r="G69" s="242" t="n">
        <f>SUM(G70:G74)</f>
        <v>7.41486E8</v>
      </c>
      <c r="H69" s="242" t="n">
        <f t="shared" ref="H69:I69" si="26">SUM(H70:H74)</f>
        <v>7.37653E8</v>
      </c>
      <c r="I69" s="242" t="n">
        <f t="shared" si="26"/>
        <v>7.37653E8</v>
      </c>
      <c r="J69" s="659" t="n">
        <f>SUM(J70:J73)</f>
        <v>7.52512E8</v>
      </c>
      <c r="K69" s="659" t="n">
        <f t="shared" ref="K69:N69" si="27">SUM(K70:K73)</f>
        <v>7.23534E8</v>
      </c>
      <c r="L69" s="659" t="n">
        <f t="shared" si="27"/>
        <v>7.90638E8</v>
      </c>
      <c r="M69" s="659" t="n">
        <f t="shared" si="27"/>
        <v>8.16605E8</v>
      </c>
      <c r="N69" s="936" t="n">
        <f t="shared" si="27"/>
        <v>7.8563E8</v>
      </c>
    </row>
    <row r="70" spans="1:14" ht="13.15" customHeight="1">
      <c r="A70" s="84"/>
      <c r="B70" s="133"/>
      <c r="C70" s="243" t="s">
        <v>337</v>
      </c>
      <c r="D70" s="244"/>
      <c r="E70" s="244"/>
      <c r="F70" s="245" t="n">
        <f t="shared" si="24"/>
        <v>2.216792E9</v>
      </c>
      <c r="G70" s="242" t="n">
        <f>'2_サービス別給付費'!G150*1000</f>
        <v>7.41486E8</v>
      </c>
      <c r="H70" s="242" t="n">
        <f>'2_サービス別給付費'!H150*1000</f>
        <v>7.37653E8</v>
      </c>
      <c r="I70" s="955" t="n">
        <f>'2_サービス別給付費'!I150*1000</f>
        <v>7.37653E8</v>
      </c>
      <c r="J70" s="659" t="n">
        <f>'2_サービス別給付費'!J150*1000</f>
        <v>7.52512E8</v>
      </c>
      <c r="K70" s="659" t="n">
        <f>'2_サービス別給付費'!K150*1000</f>
        <v>7.23534E8</v>
      </c>
      <c r="L70" s="659" t="n">
        <f>'2_サービス別給付費'!L150*1000</f>
        <v>7.90638E8</v>
      </c>
      <c r="M70" s="659" t="n">
        <f>'2_サービス別給付費'!M150*1000</f>
        <v>8.16605E8</v>
      </c>
      <c r="N70" s="936" t="n">
        <f>'2_サービス別給付費'!N150*1000</f>
        <v>7.8563E8</v>
      </c>
    </row>
    <row r="71" spans="1:14" ht="13.15" customHeight="1">
      <c r="A71" s="84"/>
      <c r="B71" s="133"/>
      <c r="C71" s="1119" t="s">
        <v>419</v>
      </c>
      <c r="D71" s="1120"/>
      <c r="E71" s="1121"/>
      <c r="F71" s="245" t="n">
        <f t="shared" si="24"/>
        <v>0.0</v>
      </c>
      <c r="G71" s="249" t="n">
        <v>0.0</v>
      </c>
      <c r="H71" s="250" t="n">
        <v>0.0</v>
      </c>
      <c r="I71" s="251" t="n">
        <v>0.0</v>
      </c>
      <c r="J71" s="660" t="n">
        <v>0.0</v>
      </c>
      <c r="K71" s="808" t="n">
        <v>0.0</v>
      </c>
      <c r="L71" s="808" t="n">
        <v>0.0</v>
      </c>
      <c r="M71" s="899" t="n">
        <v>0.0</v>
      </c>
      <c r="N71" s="809" t="n">
        <v>0.0</v>
      </c>
    </row>
    <row r="72" spans="1:14" ht="13.15" customHeight="1">
      <c r="A72" s="84"/>
      <c r="B72" s="133"/>
      <c r="C72" s="1119" t="s">
        <v>420</v>
      </c>
      <c r="D72" s="1120"/>
      <c r="E72" s="1121"/>
      <c r="F72" s="245" t="n">
        <f>SUM(G72:I72)</f>
        <v>0.0</v>
      </c>
      <c r="G72" s="249" t="n">
        <v>0.0</v>
      </c>
      <c r="H72" s="250" t="n">
        <v>0.0</v>
      </c>
      <c r="I72" s="251" t="n">
        <v>0.0</v>
      </c>
      <c r="J72" s="660" t="n">
        <v>0.0</v>
      </c>
      <c r="K72" s="808" t="n">
        <v>0.0</v>
      </c>
      <c r="L72" s="808" t="n">
        <v>0.0</v>
      </c>
      <c r="M72" s="899" t="n">
        <v>0.0</v>
      </c>
      <c r="N72" s="809" t="n">
        <v>0.0</v>
      </c>
    </row>
    <row r="73" spans="1:14" ht="13.15" customHeight="1">
      <c r="A73" s="84"/>
      <c r="B73" s="133"/>
      <c r="C73" s="1119" t="s">
        <v>421</v>
      </c>
      <c r="D73" s="1120"/>
      <c r="E73" s="1121"/>
      <c r="F73" s="245" t="n">
        <f>SUM(G73:I73)</f>
        <v>0.0</v>
      </c>
      <c r="G73" s="249" t="n">
        <v>0.0</v>
      </c>
      <c r="H73" s="250" t="n">
        <v>0.0</v>
      </c>
      <c r="I73" s="251" t="n">
        <v>0.0</v>
      </c>
      <c r="J73" s="660" t="n">
        <v>0.0</v>
      </c>
      <c r="K73" s="808" t="n">
        <v>0.0</v>
      </c>
      <c r="L73" s="808" t="n">
        <v>0.0</v>
      </c>
      <c r="M73" s="899" t="n">
        <v>0.0</v>
      </c>
      <c r="N73" s="809" t="n">
        <v>0.0</v>
      </c>
    </row>
    <row r="74" spans="1:14" ht="13.15" customHeight="1">
      <c r="A74" s="84"/>
      <c r="B74" s="133"/>
      <c r="C74" s="1119" t="s">
        <v>422</v>
      </c>
      <c r="D74" s="1120"/>
      <c r="E74" s="1121"/>
      <c r="F74" s="245" t="n">
        <f t="shared" si="24"/>
        <v>0.0</v>
      </c>
      <c r="G74" s="249" t="n">
        <v>0.0</v>
      </c>
      <c r="H74" s="250" t="n">
        <v>0.0</v>
      </c>
      <c r="I74" s="251" t="n">
        <v>0.0</v>
      </c>
      <c r="J74" s="273"/>
      <c r="K74" s="273"/>
      <c r="L74" s="273"/>
      <c r="M74" s="273"/>
      <c r="N74" s="1001"/>
    </row>
    <row r="75" spans="1:14">
      <c r="A75" s="240"/>
      <c r="B75" s="1117" t="s">
        <v>270</v>
      </c>
      <c r="C75" s="1118"/>
      <c r="D75" s="1118"/>
      <c r="E75" s="1118"/>
      <c r="F75" s="245" t="n">
        <f t="shared" si="24"/>
        <v>1.33067818E8</v>
      </c>
      <c r="G75" s="296" t="n">
        <f t="shared" ref="G75:N75" si="28">G76+G77</f>
        <v>4.4506746E7</v>
      </c>
      <c r="H75" s="810" t="n">
        <f t="shared" si="28"/>
        <v>4.4280536E7</v>
      </c>
      <c r="I75" s="811" t="n">
        <f t="shared" si="28"/>
        <v>4.4280536E7</v>
      </c>
      <c r="J75" s="722" t="n">
        <f t="shared" si="28"/>
        <v>4.4732955E7</v>
      </c>
      <c r="K75" s="722" t="n">
        <f t="shared" si="28"/>
        <v>4.4337088E7</v>
      </c>
      <c r="L75" s="722" t="n">
        <f t="shared" si="28"/>
        <v>4.8012995E7</v>
      </c>
      <c r="M75" s="722" t="n">
        <f t="shared" si="28"/>
        <v>4.8691625E7</v>
      </c>
      <c r="N75" s="937" t="n">
        <f t="shared" si="28"/>
        <v>4.625987E7</v>
      </c>
    </row>
    <row r="76" spans="1:14">
      <c r="A76" s="84"/>
      <c r="B76" s="813"/>
      <c r="C76" s="814" t="s">
        <v>269</v>
      </c>
      <c r="D76" s="252"/>
      <c r="E76" s="252"/>
      <c r="F76" s="245" t="n">
        <f t="shared" ref="F76:F80" si="29">SUM(G76:I76)</f>
        <v>1.33067818E8</v>
      </c>
      <c r="G76" s="249" t="n">
        <v>4.4506746E7</v>
      </c>
      <c r="H76" s="250" t="n">
        <v>4.4280536E7</v>
      </c>
      <c r="I76" s="251" t="n">
        <v>4.4280536E7</v>
      </c>
      <c r="J76" s="660" t="n">
        <v>4.4732955E7</v>
      </c>
      <c r="K76" s="808" t="n">
        <v>4.4337088E7</v>
      </c>
      <c r="L76" s="808" t="n">
        <v>4.8012995E7</v>
      </c>
      <c r="M76" s="899" t="n">
        <v>4.8691625E7</v>
      </c>
      <c r="N76" s="809" t="n">
        <v>4.625987E7</v>
      </c>
    </row>
    <row r="77" spans="1:14">
      <c r="A77" s="240"/>
      <c r="B77" s="134"/>
      <c r="C77" s="814" t="s">
        <v>339</v>
      </c>
      <c r="D77" s="252"/>
      <c r="E77" s="252"/>
      <c r="F77" s="245" t="n">
        <f t="shared" si="29"/>
        <v>0.0</v>
      </c>
      <c r="G77" s="815" t="n">
        <v>0.0</v>
      </c>
      <c r="H77" s="250" t="n">
        <v>0.0</v>
      </c>
      <c r="I77" s="251" t="n">
        <v>0.0</v>
      </c>
      <c r="J77" s="660" t="n">
        <v>0.0</v>
      </c>
      <c r="K77" s="808" t="n">
        <v>0.0</v>
      </c>
      <c r="L77" s="808" t="n">
        <v>0.0</v>
      </c>
      <c r="M77" s="899" t="n">
        <v>0.0</v>
      </c>
      <c r="N77" s="809" t="n">
        <v>0.0</v>
      </c>
    </row>
    <row r="78" spans="1:14">
      <c r="A78" s="240"/>
      <c r="B78" s="816" t="s">
        <v>272</v>
      </c>
      <c r="C78" s="817"/>
      <c r="D78" s="817"/>
      <c r="E78" s="817"/>
      <c r="F78" s="245" t="n">
        <f>SUM(G78:I78)</f>
        <v>7.081889E7</v>
      </c>
      <c r="G78" s="296" t="n">
        <f t="shared" ref="G78:N78" si="30">G79+G80</f>
        <v>2.3686556E7</v>
      </c>
      <c r="H78" s="810" t="n">
        <f t="shared" si="30"/>
        <v>2.3566167E7</v>
      </c>
      <c r="I78" s="811" t="n">
        <f t="shared" si="30"/>
        <v>2.3566167E7</v>
      </c>
      <c r="J78" s="722" t="n">
        <f t="shared" si="30"/>
        <v>2.3806945E7</v>
      </c>
      <c r="K78" s="812" t="n">
        <f t="shared" si="30"/>
        <v>2.3596264E7</v>
      </c>
      <c r="L78" s="812" t="n">
        <f t="shared" si="30"/>
        <v>2.5552587E7</v>
      </c>
      <c r="M78" s="900" t="n">
        <f t="shared" si="30"/>
        <v>2.5913754E7</v>
      </c>
      <c r="N78" s="938" t="n">
        <f t="shared" si="30"/>
        <v>2.4619571E7</v>
      </c>
    </row>
    <row r="79" spans="1:14">
      <c r="A79" s="240"/>
      <c r="B79" s="818"/>
      <c r="C79" s="293" t="s">
        <v>271</v>
      </c>
      <c r="D79" s="293"/>
      <c r="E79" s="293"/>
      <c r="F79" s="245" t="n">
        <f t="shared" si="29"/>
        <v>7.081889E7</v>
      </c>
      <c r="G79" s="249" t="n">
        <v>2.3686556E7</v>
      </c>
      <c r="H79" s="250" t="n">
        <v>2.3566167E7</v>
      </c>
      <c r="I79" s="251" t="n">
        <v>2.3566167E7</v>
      </c>
      <c r="J79" s="660" t="n">
        <v>2.3806945E7</v>
      </c>
      <c r="K79" s="808" t="n">
        <v>2.3596264E7</v>
      </c>
      <c r="L79" s="808" t="n">
        <v>2.5552587E7</v>
      </c>
      <c r="M79" s="899" t="n">
        <v>2.5913754E7</v>
      </c>
      <c r="N79" s="809" t="n">
        <v>2.4619571E7</v>
      </c>
    </row>
    <row r="80" spans="1:14">
      <c r="A80" s="240"/>
      <c r="B80" s="819"/>
      <c r="C80" s="814" t="s">
        <v>339</v>
      </c>
      <c r="D80" s="293"/>
      <c r="E80" s="293"/>
      <c r="F80" s="245" t="n">
        <f t="shared" si="29"/>
        <v>0.0</v>
      </c>
      <c r="G80" s="249" t="n">
        <v>0.0</v>
      </c>
      <c r="H80" s="250" t="n">
        <v>0.0</v>
      </c>
      <c r="I80" s="251" t="n">
        <v>0.0</v>
      </c>
      <c r="J80" s="660" t="n">
        <v>0.0</v>
      </c>
      <c r="K80" s="808" t="n">
        <v>0.0</v>
      </c>
      <c r="L80" s="808" t="n">
        <v>0.0</v>
      </c>
      <c r="M80" s="899" t="n">
        <v>0.0</v>
      </c>
      <c r="N80" s="809" t="n">
        <v>0.0</v>
      </c>
    </row>
    <row r="81" spans="1:14">
      <c r="A81" s="240"/>
      <c r="B81" s="135" t="s">
        <v>151</v>
      </c>
      <c r="C81" s="136"/>
      <c r="D81" s="136"/>
      <c r="E81" s="136"/>
      <c r="F81" s="245" t="n">
        <f>SUM(G81:I81)</f>
        <v>5727647.0</v>
      </c>
      <c r="G81" s="249" t="n">
        <v>1915707.0</v>
      </c>
      <c r="H81" s="250" t="n">
        <v>1905970.0</v>
      </c>
      <c r="I81" s="251" t="n">
        <v>1905970.0</v>
      </c>
      <c r="J81" s="660" t="n">
        <v>1925443.0</v>
      </c>
      <c r="K81" s="808" t="n">
        <v>1908404.0</v>
      </c>
      <c r="L81" s="808" t="n">
        <v>2066626.0</v>
      </c>
      <c r="M81" s="899" t="n">
        <v>2095837.0</v>
      </c>
      <c r="N81" s="809" t="n">
        <v>1991167.0</v>
      </c>
    </row>
    <row r="82" spans="1:14">
      <c r="A82" s="240"/>
      <c r="B82" s="133" t="s">
        <v>152</v>
      </c>
      <c r="C82" s="34"/>
      <c r="D82" s="34"/>
      <c r="E82" s="34"/>
      <c r="F82" s="245" t="n">
        <f>SUM(G82:I82)</f>
        <v>2507050.0</v>
      </c>
      <c r="G82" s="246" t="n">
        <f t="shared" ref="G82:N82" si="31">G83*G84-G85</f>
        <v>838470.0</v>
      </c>
      <c r="H82" s="247" t="n">
        <f t="shared" si="31"/>
        <v>834290.0</v>
      </c>
      <c r="I82" s="248" t="n">
        <f t="shared" si="31"/>
        <v>834290.0</v>
      </c>
      <c r="J82" s="659" t="n">
        <f t="shared" si="31"/>
        <v>842745.0</v>
      </c>
      <c r="K82" s="805" t="n">
        <f t="shared" si="31"/>
        <v>835335.0</v>
      </c>
      <c r="L82" s="805" t="n">
        <f t="shared" si="31"/>
        <v>904590.0</v>
      </c>
      <c r="M82" s="897" t="n">
        <f t="shared" si="31"/>
        <v>917320.0</v>
      </c>
      <c r="N82" s="939" t="n">
        <f t="shared" si="31"/>
        <v>871530.0</v>
      </c>
    </row>
    <row r="83" spans="1:14">
      <c r="A83" s="84"/>
      <c r="B83" s="133"/>
      <c r="C83" s="135" t="s">
        <v>230</v>
      </c>
      <c r="D83" s="255"/>
      <c r="E83" s="136"/>
      <c r="F83" s="156"/>
      <c r="G83" s="249" t="n">
        <v>95.0</v>
      </c>
      <c r="H83" s="250" t="n">
        <v>95.0</v>
      </c>
      <c r="I83" s="251" t="n">
        <v>95.0</v>
      </c>
      <c r="J83" s="660" t="n">
        <v>95.0</v>
      </c>
      <c r="K83" s="808" t="n">
        <v>95.0</v>
      </c>
      <c r="L83" s="808" t="n">
        <v>95.0</v>
      </c>
      <c r="M83" s="899" t="n">
        <v>95.0</v>
      </c>
      <c r="N83" s="809" t="n">
        <v>95.0</v>
      </c>
    </row>
    <row r="84" spans="1:14">
      <c r="A84" s="84"/>
      <c r="B84" s="133"/>
      <c r="C84" s="256" t="s">
        <v>231</v>
      </c>
      <c r="D84" s="257"/>
      <c r="E84" s="136"/>
      <c r="F84" s="172" t="n">
        <f t="shared" ref="F84:F86" si="32">SUM(G84:I84)</f>
        <v>26390.0</v>
      </c>
      <c r="G84" s="249" t="n">
        <v>8826.0</v>
      </c>
      <c r="H84" s="250" t="n">
        <v>8782.0</v>
      </c>
      <c r="I84" s="251" t="n">
        <v>8782.0</v>
      </c>
      <c r="J84" s="660" t="n">
        <v>8871.0</v>
      </c>
      <c r="K84" s="808" t="n">
        <v>8793.0</v>
      </c>
      <c r="L84" s="808" t="n">
        <v>9522.0</v>
      </c>
      <c r="M84" s="899" t="n">
        <v>9656.0</v>
      </c>
      <c r="N84" s="809" t="n">
        <v>9174.0</v>
      </c>
    </row>
    <row r="85" spans="1:14" ht="13.5" customHeight="1">
      <c r="A85" s="137"/>
      <c r="B85" s="138"/>
      <c r="C85" s="258" t="s">
        <v>403</v>
      </c>
      <c r="D85" s="128"/>
      <c r="E85" s="128"/>
      <c r="F85" s="172" t="n">
        <f t="shared" si="32"/>
        <v>0.0</v>
      </c>
      <c r="G85" s="246" t="n">
        <f>IF(G83-'(参考)保険料の推計に要する係数'!$D$38&gt;0,(G83-'(参考)保険料の推計に要する係数'!$D$38)*G84,0)</f>
        <v>0.0</v>
      </c>
      <c r="H85" s="246" t="n">
        <f>IF(H83-'(参考)保険料の推計に要する係数'!$D$38&gt;0,(H83-'(参考)保険料の推計に要する係数'!$D$38)*H84,0)</f>
        <v>0.0</v>
      </c>
      <c r="I85" s="956" t="n">
        <f>IF(I83-'(参考)保険料の推計に要する係数'!$D$38&gt;0,(I83-'(参考)保険料の推計に要する係数'!$D$38)*I84,0)</f>
        <v>0.0</v>
      </c>
      <c r="J85" s="659" t="n">
        <f>IF(J83-'(参考)保険料の推計に要する係数'!$D$38&gt;0,(J83-'(参考)保険料の推計に要する係数'!$D$38)*J84,0)</f>
        <v>0.0</v>
      </c>
      <c r="K85" s="659" t="n">
        <f>IF(K83-'(参考)保険料の推計に要する係数'!$D$38&gt;0,(K83-'(参考)保険料の推計に要する係数'!$D$38)*K84,0)</f>
        <v>0.0</v>
      </c>
      <c r="L85" s="659" t="n">
        <f>IF(L83-'(参考)保険料の推計に要する係数'!$D$38&gt;0,(L83-'(参考)保険料の推計に要する係数'!$D$38)*L84,0)</f>
        <v>0.0</v>
      </c>
      <c r="M85" s="659" t="n">
        <f>IF(M83-'(参考)保険料の推計に要する係数'!$D$38&gt;0,(M83-'(参考)保険料の推計に要する係数'!$D$38)*M84,0)</f>
        <v>0.0</v>
      </c>
      <c r="N85" s="936" t="n">
        <f>IF(N83-'(参考)保険料の推計に要する係数'!$D$38&gt;0,(N83-'(参考)保険料の推計に要する係数'!$D$38)*N84,0)</f>
        <v>0.0</v>
      </c>
    </row>
    <row r="86" spans="1:14">
      <c r="A86" s="207" t="s">
        <v>83</v>
      </c>
      <c r="B86" s="259"/>
      <c r="C86" s="259"/>
      <c r="D86" s="259"/>
      <c r="E86" s="259"/>
      <c r="F86" s="172" t="n">
        <f t="shared" si="32"/>
        <v>1.91748708E8</v>
      </c>
      <c r="G86" s="247" t="n">
        <f>SUM(G87:G91)</f>
        <v>6.3916236E7</v>
      </c>
      <c r="H86" s="247" t="n">
        <f t="shared" ref="H86:N86" si="33">SUM(H87:H91)</f>
        <v>6.3916236E7</v>
      </c>
      <c r="I86" s="248" t="n">
        <f t="shared" si="33"/>
        <v>6.3916236E7</v>
      </c>
      <c r="J86" s="659" t="n">
        <f t="shared" si="33"/>
        <v>6.0063033E7</v>
      </c>
      <c r="K86" s="659" t="n">
        <f t="shared" si="33"/>
        <v>5.6932021E7</v>
      </c>
      <c r="L86" s="659" t="n">
        <f t="shared" si="33"/>
        <v>5.3300289E7</v>
      </c>
      <c r="M86" s="659" t="n">
        <f t="shared" si="33"/>
        <v>4.9196879E7</v>
      </c>
      <c r="N86" s="936" t="n">
        <f t="shared" si="33"/>
        <v>4.4196291E7</v>
      </c>
    </row>
    <row r="87" spans="1:14">
      <c r="A87" s="232"/>
      <c r="B87" s="212" t="s">
        <v>153</v>
      </c>
      <c r="C87" s="209"/>
      <c r="D87" s="209"/>
      <c r="E87" s="209"/>
      <c r="F87" s="172" t="n">
        <f t="shared" ref="F87:F92" si="34">SUM(G87:I87)</f>
        <v>1.03743141E8</v>
      </c>
      <c r="G87" s="810" t="n">
        <f>'3_地域支援事業費'!E61</f>
        <v>3.4581047E7</v>
      </c>
      <c r="H87" s="810" t="n">
        <f>'3_地域支援事業費'!F61</f>
        <v>3.4581047E7</v>
      </c>
      <c r="I87" s="811" t="n">
        <f>'3_地域支援事業費'!G61</f>
        <v>3.4581047E7</v>
      </c>
      <c r="J87" s="722" t="n">
        <f>'3_地域支援事業費'!H61</f>
        <v>3.1076768E7</v>
      </c>
      <c r="K87" s="722" t="n">
        <f>'3_地域支援事業費'!I61</f>
        <v>2.9647827E7</v>
      </c>
      <c r="L87" s="722" t="n">
        <f>'3_地域支援事業費'!J61</f>
        <v>2.7828801E7</v>
      </c>
      <c r="M87" s="722" t="n">
        <f>'3_地域支援事業費'!K61</f>
        <v>2.5214702E7</v>
      </c>
      <c r="N87" s="937" t="n">
        <f>'3_地域支援事業費'!L61</f>
        <v>2.2367234E7</v>
      </c>
    </row>
    <row r="88" spans="1:14">
      <c r="A88" s="232"/>
      <c r="B88" s="212" t="s">
        <v>319</v>
      </c>
      <c r="C88" s="209"/>
      <c r="D88" s="209"/>
      <c r="E88" s="209"/>
      <c r="F88" s="172" t="n">
        <f t="shared" si="34"/>
        <v>8.8005567E7</v>
      </c>
      <c r="G88" s="810" t="n">
        <f>'3_地域支援事業費'!E62</f>
        <v>2.9335189E7</v>
      </c>
      <c r="H88" s="810" t="n">
        <f>'3_地域支援事業費'!F62</f>
        <v>2.9335189E7</v>
      </c>
      <c r="I88" s="811" t="n">
        <f>'3_地域支援事業費'!G62</f>
        <v>2.9335189E7</v>
      </c>
      <c r="J88" s="722" t="n">
        <f>'3_地域支援事業費'!H62</f>
        <v>2.8986265E7</v>
      </c>
      <c r="K88" s="722" t="n">
        <f>'3_地域支援事業費'!I62</f>
        <v>2.7284194E7</v>
      </c>
      <c r="L88" s="722" t="n">
        <f>'3_地域支援事業費'!J62</f>
        <v>2.5471488E7</v>
      </c>
      <c r="M88" s="722" t="n">
        <f>'3_地域支援事業費'!K62</f>
        <v>2.3982177E7</v>
      </c>
      <c r="N88" s="937" t="n">
        <f>'3_地域支援事業費'!L62</f>
        <v>2.1829057E7</v>
      </c>
    </row>
    <row r="89" spans="1:14" s="370" customFormat="1">
      <c r="A89" s="232"/>
      <c r="B89" s="212" t="s">
        <v>306</v>
      </c>
      <c r="C89" s="820"/>
      <c r="D89" s="820"/>
      <c r="E89" s="820"/>
      <c r="F89" s="172" t="n">
        <f t="shared" si="34"/>
        <v>0.0</v>
      </c>
      <c r="G89" s="940" t="n">
        <f>'3_地域支援事業費'!E63</f>
        <v>0.0</v>
      </c>
      <c r="H89" s="940" t="n">
        <f>'3_地域支援事業費'!F63</f>
        <v>0.0</v>
      </c>
      <c r="I89" s="957" t="n">
        <f>'3_地域支援事業費'!G63</f>
        <v>0.0</v>
      </c>
      <c r="J89" s="812" t="n">
        <f>'3_地域支援事業費'!H63</f>
        <v>0.0</v>
      </c>
      <c r="K89" s="812" t="n">
        <f>'3_地域支援事業費'!I63</f>
        <v>0.0</v>
      </c>
      <c r="L89" s="812" t="n">
        <f>'3_地域支援事業費'!J63</f>
        <v>0.0</v>
      </c>
      <c r="M89" s="812" t="n">
        <f>'3_地域支援事業費'!K63</f>
        <v>0.0</v>
      </c>
      <c r="N89" s="938" t="n">
        <f>'3_地域支援事業費'!L63</f>
        <v>0.0</v>
      </c>
    </row>
    <row r="90" spans="1:14" s="370" customFormat="1">
      <c r="A90" s="232"/>
      <c r="B90" s="212" t="s">
        <v>424</v>
      </c>
      <c r="C90" s="820"/>
      <c r="D90" s="820"/>
      <c r="E90" s="820"/>
      <c r="F90" s="172" t="n">
        <f t="shared" si="34"/>
        <v>0.0</v>
      </c>
      <c r="G90" s="940" t="n">
        <f>'3_地域支援事業費'!E64</f>
        <v>0.0</v>
      </c>
      <c r="H90" s="940" t="n">
        <f>'3_地域支援事業費'!F64</f>
        <v>0.0</v>
      </c>
      <c r="I90" s="957" t="n">
        <f>'3_地域支援事業費'!G64</f>
        <v>0.0</v>
      </c>
      <c r="J90" s="812" t="n">
        <f>'3_地域支援事業費'!H64</f>
        <v>0.0</v>
      </c>
      <c r="K90" s="812" t="n">
        <f>'3_地域支援事業費'!I64</f>
        <v>0.0</v>
      </c>
      <c r="L90" s="812" t="n">
        <f>'3_地域支援事業費'!J64</f>
        <v>0.0</v>
      </c>
      <c r="M90" s="812" t="n">
        <f>'3_地域支援事業費'!K64</f>
        <v>0.0</v>
      </c>
      <c r="N90" s="938" t="n">
        <f>'3_地域支援事業費'!L64</f>
        <v>0.0</v>
      </c>
    </row>
    <row r="91" spans="1:14" s="370" customFormat="1">
      <c r="A91" s="232"/>
      <c r="B91" s="1020" t="s">
        <v>415</v>
      </c>
      <c r="C91" s="1019"/>
      <c r="D91" s="1019"/>
      <c r="E91" s="1019"/>
      <c r="F91" s="172" t="n">
        <f t="shared" si="34"/>
        <v>0.0</v>
      </c>
      <c r="G91" s="940" t="n">
        <f>'3_地域支援事業費'!E65</f>
        <v>0.0</v>
      </c>
      <c r="H91" s="940" t="n">
        <f>'3_地域支援事業費'!F65</f>
        <v>0.0</v>
      </c>
      <c r="I91" s="957" t="n">
        <f>'3_地域支援事業費'!G65</f>
        <v>0.0</v>
      </c>
      <c r="J91" s="812" t="n">
        <f>'3_地域支援事業費'!H65</f>
        <v>0.0</v>
      </c>
      <c r="K91" s="812" t="n">
        <f>'3_地域支援事業費'!I65</f>
        <v>0.0</v>
      </c>
      <c r="L91" s="812" t="n">
        <f>'3_地域支援事業費'!J65</f>
        <v>0.0</v>
      </c>
      <c r="M91" s="812" t="n">
        <f>'3_地域支援事業費'!K65</f>
        <v>0.0</v>
      </c>
      <c r="N91" s="938" t="n">
        <f>'3_地域支援事業費'!L65</f>
        <v>0.0</v>
      </c>
    </row>
    <row r="92" spans="1:14">
      <c r="A92" s="260" t="s">
        <v>404</v>
      </c>
      <c r="B92" s="261"/>
      <c r="C92" s="261"/>
      <c r="D92" s="261"/>
      <c r="E92" s="261"/>
      <c r="F92" s="172" t="n">
        <f t="shared" si="34"/>
        <v>6.0275228599E8</v>
      </c>
      <c r="G92" s="242" t="n">
        <f>(G68+G86)*'(参考)保険料の推計に要する係数'!$D$5</f>
        <v>2.0156043445000002E8</v>
      </c>
      <c r="H92" s="242" t="n">
        <f>(H68+H86)*'(参考)保険料の推計に要する係数'!$D$5</f>
        <v>2.0059592577E8</v>
      </c>
      <c r="I92" s="955" t="n">
        <f>(I68+I86)*'(参考)保険料の推計に要する係数'!$D$5</f>
        <v>2.0059592577E8</v>
      </c>
      <c r="J92" s="659" t="n">
        <f>(J68+J86)*'(参考)保険料の推計に要する係数'!$E$5</f>
        <v>2.1213194904E8</v>
      </c>
      <c r="K92" s="659" t="n">
        <f>(K68+K86)*'(参考)保険料の推計に要する係数'!$F$5</f>
        <v>2.12785778E8</v>
      </c>
      <c r="L92" s="659" t="n">
        <f>(L68+L86)*'(参考)保険料の推計に要する係数'!$G$5</f>
        <v>2.3932352262E8</v>
      </c>
      <c r="M92" s="659" t="n">
        <f>(M68+M86)*'(参考)保険料の推計に要する係数'!$H$5</f>
        <v>2.5472351205E8</v>
      </c>
      <c r="N92" s="936" t="n">
        <f>(N68+N86)*'(参考)保険料の推計に要する係数'!$I$5</f>
        <v>2.5299916012000003E8</v>
      </c>
    </row>
    <row r="93" spans="1:14" s="264" customFormat="1" ht="13.5" customHeight="1">
      <c r="A93" s="262" t="s">
        <v>405</v>
      </c>
      <c r="B93" s="166"/>
      <c r="C93" s="166"/>
      <c r="D93" s="166"/>
      <c r="E93" s="167"/>
      <c r="F93" s="952" t="n">
        <f t="shared" ref="F93" si="35">SUM(G93:I93)</f>
        <v>1.2663282730000001E8</v>
      </c>
      <c r="G93" s="958" t="n">
        <f t="shared" ref="G93:N93" si="36">(G68+G87)*0.05</f>
        <v>4.2350726300000004E7</v>
      </c>
      <c r="H93" s="263" t="n">
        <f t="shared" si="36"/>
        <v>4.21410505E7</v>
      </c>
      <c r="I93" s="959" t="n">
        <f t="shared" si="36"/>
        <v>4.21410505E7</v>
      </c>
      <c r="J93" s="661" t="n">
        <f t="shared" si="36"/>
        <v>4.2744842800000004E7</v>
      </c>
      <c r="K93" s="661" t="n">
        <f t="shared" si="36"/>
        <v>4.1192945900000006E7</v>
      </c>
      <c r="L93" s="661" t="n">
        <f t="shared" si="36"/>
        <v>4.475017995E7</v>
      </c>
      <c r="M93" s="661" t="n">
        <f t="shared" si="36"/>
        <v>4.5971911900000006E7</v>
      </c>
      <c r="N93" s="941" t="n">
        <f t="shared" si="36"/>
        <v>4.40869686E7</v>
      </c>
    </row>
    <row r="94" spans="1:14" s="264" customFormat="1" ht="13.5" customHeight="1">
      <c r="A94" s="161" t="s">
        <v>406</v>
      </c>
      <c r="B94" s="162"/>
      <c r="C94" s="163"/>
      <c r="D94" s="163"/>
      <c r="E94" s="265"/>
      <c r="F94" s="953" t="n">
        <f>SUM(G94:I94)</f>
        <v>1.39828E8</v>
      </c>
      <c r="G94" s="960" t="n">
        <f t="shared" ref="G94:N94" si="37">ROUND((G68+G87)*G97*G95,-3)+G96</f>
        <v>5.1753E7</v>
      </c>
      <c r="H94" s="160" t="n">
        <f t="shared" si="37"/>
        <v>4.6524E7</v>
      </c>
      <c r="I94" s="961" t="n">
        <f t="shared" si="37"/>
        <v>4.1551E7</v>
      </c>
      <c r="J94" s="662" t="n">
        <f t="shared" si="37"/>
        <v>2.9836E7</v>
      </c>
      <c r="K94" s="662" t="n">
        <f t="shared" si="37"/>
        <v>3.3119E7</v>
      </c>
      <c r="L94" s="662" t="n">
        <f t="shared" si="37"/>
        <v>7.6791E7</v>
      </c>
      <c r="M94" s="662" t="n">
        <f t="shared" si="37"/>
        <v>1.00862E8</v>
      </c>
      <c r="N94" s="942" t="n">
        <f t="shared" si="37"/>
        <v>1.00606E8</v>
      </c>
    </row>
    <row r="95" spans="1:14" s="264" customFormat="1" ht="13.5" customHeight="1">
      <c r="A95" s="161"/>
      <c r="B95" s="266" t="s">
        <v>260</v>
      </c>
      <c r="C95" s="267"/>
      <c r="D95" s="267"/>
      <c r="E95" s="268"/>
      <c r="F95" s="954"/>
      <c r="G95" s="962" t="n">
        <v>1.0</v>
      </c>
      <c r="H95" s="173" t="n">
        <v>1.0</v>
      </c>
      <c r="I95" s="174" t="n">
        <v>1.0</v>
      </c>
      <c r="J95" s="663" t="n">
        <v>1.0</v>
      </c>
      <c r="K95" s="663" t="n">
        <v>1.0</v>
      </c>
      <c r="L95" s="663" t="n">
        <v>1.0</v>
      </c>
      <c r="M95" s="901" t="n">
        <v>1.0</v>
      </c>
      <c r="N95" s="943" t="n">
        <v>1.0</v>
      </c>
    </row>
    <row r="96" spans="1:14" s="264" customFormat="1" ht="13.5" customHeight="1">
      <c r="A96" s="161"/>
      <c r="B96" s="266" t="s">
        <v>261</v>
      </c>
      <c r="C96" s="267"/>
      <c r="D96" s="267"/>
      <c r="E96" s="268"/>
      <c r="F96" s="954"/>
      <c r="G96" s="963" t="n">
        <v>0.0</v>
      </c>
      <c r="H96" s="175" t="n">
        <v>0.0</v>
      </c>
      <c r="I96" s="176" t="n">
        <v>0.0</v>
      </c>
      <c r="J96" s="664" t="n">
        <v>0.0</v>
      </c>
      <c r="K96" s="664" t="n">
        <v>0.0</v>
      </c>
      <c r="L96" s="664" t="n">
        <v>0.0</v>
      </c>
      <c r="M96" s="902" t="n">
        <v>0.0</v>
      </c>
      <c r="N96" s="944" t="n">
        <v>0.0</v>
      </c>
    </row>
    <row r="97" spans="1:14" s="264" customFormat="1" ht="13.5" customHeight="1">
      <c r="A97" s="170" t="s">
        <v>407</v>
      </c>
      <c r="B97" s="164"/>
      <c r="C97" s="165"/>
      <c r="D97" s="165"/>
      <c r="E97" s="269"/>
      <c r="F97" s="954"/>
      <c r="G97" s="964" t="n">
        <f>IF(G101&lt;&gt;0,IF(('(参考)保険料の推計に要する係数'!$D$5+0.05)-'(参考)保険料の推計に要する係数'!$D$5*G98*G101&gt;0,ROUND(('(参考)保険料の推計に要する係数'!$D$5+0.05)-('(参考)保険料の推計に要する係数'!$D$5*G98*G101),4),0),0)</f>
        <v>0.0611</v>
      </c>
      <c r="H97" s="171" t="n">
        <f>IF(H101&lt;&gt;0,IF(('(参考)保険料の推計に要する係数'!$D$5+0.05)-'(参考)保険料の推計に要する係数'!$D$5*H98*H101&gt;0,ROUND(('(参考)保険料の推計に要する係数'!$D$5+0.05)-('(参考)保険料の推計に要する係数'!$D$5*H98*H101),4),0),0)</f>
        <v>0.0552</v>
      </c>
      <c r="I97" s="965" t="n">
        <f>IF(I101&lt;&gt;0,IF(('(参考)保険料の推計に要する係数'!$D$5+0.05)-'(参考)保険料の推計に要する係数'!$D$5*I98*I101&gt;0,ROUND(('(参考)保険料の推計に要する係数'!$D$5+0.05)-('(参考)保険料の推計に要する係数'!$D$5*I98*I101),4),0),0)</f>
        <v>0.0493</v>
      </c>
      <c r="J97" s="665" t="n">
        <f>IF(J101&lt;&gt;0,IF(('(参考)保険料の推計に要する係数'!$E$5+0.05)-'(参考)保険料の推計に要する係数'!$E$5*J98*J101&gt;0,ROUND(('(参考)保険料の推計に要する係数'!$E$5+0.05)-('(参考)保険料の推計に要する係数'!$E$5*J98*J101),4),0),0)</f>
        <v>0.0349</v>
      </c>
      <c r="K97" s="665" t="n">
        <f>IF(K101&lt;&gt;0,IF(('(参考)保険料の推計に要する係数'!$F$5+0.05)-'(参考)保険料の推計に要する係数'!$F$5*K98*K101&gt;0,ROUND(('(参考)保険料の推計に要する係数'!$F$5+0.05)-('(参考)保険料の推計に要する係数'!$F$5*K98*K101),4),0),0)</f>
        <v>0.0402</v>
      </c>
      <c r="L97" s="665" t="n">
        <f>IF(L101&lt;&gt;0,IF(('(参考)保険料の推計に要する係数'!$G$5+0.05)-'(参考)保険料の推計に要する係数'!$G$5*L98*L101&gt;0,ROUND(('(参考)保険料の推計に要する係数'!$G$5+0.05)-('(参考)保険料の推計に要する係数'!$G$5*L98*L101),4),0),0)</f>
        <v>0.0858</v>
      </c>
      <c r="M97" s="665" t="n">
        <f>IF(M101&lt;&gt;0,IF(('(参考)保険料の推計に要する係数'!$H$5+0.05)-'(参考)保険料の推計に要する係数'!$H$5*M98*M101&gt;0,ROUND(('(参考)保険料の推計に要する係数'!$H$5+0.05)-('(参考)保険料の推計に要する係数'!$H$5*M98*M101),4),0),0)</f>
        <v>0.1097</v>
      </c>
      <c r="N97" s="945" t="n">
        <f>IF(N101&lt;&gt;0,IF(('(参考)保険料の推計に要する係数'!$I$5+0.05)-'(参考)保険料の推計に要する係数'!$I$5*N98*N101&gt;0,ROUND(('(参考)保険料の推計に要する係数'!$I$5+0.05)-('(参考)保険料の推計に要する係数'!$I$5*N98*N101),4),0),0)</f>
        <v>0.1141</v>
      </c>
    </row>
    <row r="98" spans="1:14" s="264" customFormat="1" ht="13.5" customHeight="1">
      <c r="A98" s="821"/>
      <c r="B98" s="164" t="s">
        <v>408</v>
      </c>
      <c r="C98" s="166"/>
      <c r="D98" s="166"/>
      <c r="E98" s="167"/>
      <c r="F98" s="954"/>
      <c r="G98" s="882" t="n">
        <f>IF(SUM(G112:G113)&gt;0,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ROUND(G112/G111,4)*'(参考)保険料の推計に要する係数'!D12
                                  +ROUND(G114/G111,4)*'(参考)保険料の推計に要する係数'!D13
                                  +ROUND(G115/G111,4)*'(参考)保険料の推計に要する係数'!D14
                              ),4),0)</f>
        <v>0.9558</v>
      </c>
      <c r="H98" s="882" t="n">
        <f>IF(SUM(H112:H113)&gt;0,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ROUND(H112/H111,4)*'(参考)保険料の推計に要する係数'!E12
                                  +ROUND(H114/H111,4)*'(参考)保険料の推計に要する係数'!E13
                                  +ROUND(H115/H111,4)*'(参考)保険料の推計に要する係数'!E14
                              ),4),0)</f>
        <v>0.9802</v>
      </c>
      <c r="I98" s="883" t="n">
        <f>IF(SUM(I112:I113)&gt;0,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ROUND(I112/I111,4)*'(参考)保険料の推計に要する係数'!F12
                                  +ROUND(I114/I111,4)*'(参考)保険料の推計に要する係数'!F13
                                  +ROUND(I115/I111,4)*'(参考)保険料の推計に要する係数'!F14
                              ),4),0)</f>
        <v>1.0065</v>
      </c>
      <c r="J98" s="666" t="n">
        <f>IF(SUM(J112:J113)&gt;0,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ROUND(J112/J111,4)*'(参考)保険料の推計に要する係数'!G12
                                  +ROUND(J114/J111,4)*'(参考)保険料の推計に要する係数'!G13
                                  +ROUND(J115/J111,4)*'(参考)保険料の推計に要する係数'!G14
                              ),4),0)</f>
        <v>1.066</v>
      </c>
      <c r="K98" s="666" t="n">
        <f>IF(SUM(K112:K113)&gt;0,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ROUND(K112/K111,4)*'(参考)保険料の推計に要する係数'!H12
                                  +ROUND(K114/K111,4)*'(参考)保険料の推計に要する係数'!H13
                                  +ROUND(K115/K111,4)*'(参考)保険料の推計に要する係数'!H14
                              ),4),0)</f>
        <v>1.0427</v>
      </c>
      <c r="L98" s="666" t="n">
        <f>IF(SUM(L112:L113)&gt;0,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ROUND(L112/L111,4)*'(参考)保険料の推計に要する係数'!I12
                                  +ROUND(L114/L111,4)*'(参考)保険料の推計に要する係数'!I13
                                  +ROUND(L115/L111,4)*'(参考)保険料の推計に要する係数'!I14
                              ),4),0)</f>
        <v>0.866</v>
      </c>
      <c r="M98" s="666" t="n">
        <f>IF(SUM(M112:M113)&gt;0,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ROUND(M112/M111,4)*'(参考)保険料の推計に要する係数'!J12
                                  +ROUND(M114/M111,4)*'(参考)保険料の推計に要する係数'!J13
                                  +ROUND(M115/M111,4)*'(参考)保険料の推計に要する係数'!J14
                              ),4),0)</f>
        <v>0.7815</v>
      </c>
      <c r="N98" s="946" t="n">
        <f>IF(SUM(N112:N113)&gt;0,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ROUND(N112/N111,4)*'(参考)保険料の推計に要する係数'!K12
                                  +ROUND(N114/N111,4)*'(参考)保険料の推計に要する係数'!K13
                                  +ROUND(N115/N111,4)*'(参考)保険料の推計に要する係数'!K14
                              ),4),0)</f>
        <v>0.773</v>
      </c>
    </row>
    <row r="99" spans="1:14" s="264" customFormat="1" ht="13.5" hidden="1" customHeight="1">
      <c r="A99" s="161"/>
      <c r="B99" s="822"/>
      <c r="C99" s="881"/>
      <c r="D99" s="823"/>
      <c r="E99" s="824"/>
      <c r="F99" s="954"/>
      <c r="G99" s="966"/>
      <c r="H99" s="884"/>
      <c r="I99" s="967"/>
      <c r="J99" s="885"/>
      <c r="K99" s="885"/>
      <c r="L99" s="885"/>
      <c r="M99" s="885"/>
      <c r="N99" s="947"/>
    </row>
    <row r="100" spans="1:14" s="264" customFormat="1" ht="13.5" hidden="1" customHeight="1">
      <c r="A100" s="161"/>
      <c r="B100" s="825"/>
      <c r="C100" s="881"/>
      <c r="D100" s="823"/>
      <c r="E100" s="824"/>
      <c r="F100" s="954"/>
      <c r="G100" s="966"/>
      <c r="H100" s="884"/>
      <c r="I100" s="967"/>
      <c r="J100" s="886"/>
      <c r="K100" s="886"/>
      <c r="L100" s="886"/>
      <c r="M100" s="886"/>
      <c r="N100" s="948"/>
    </row>
    <row r="101" spans="1:14" s="264" customFormat="1" ht="13.5" customHeight="1">
      <c r="A101" s="161"/>
      <c r="B101" s="162" t="s">
        <v>409</v>
      </c>
      <c r="C101" s="168"/>
      <c r="D101" s="168"/>
      <c r="E101" s="169"/>
      <c r="F101" s="954"/>
      <c r="G101" s="968" t="n">
        <f>IF(G149&gt;0,ROUND(
                            1-(
                                    (1-G279)*(ROUND(G117,3)-'(参考)保険料の推計に要する係数'!$D17)
                                 +(1-G280)*(ROUND(G118,3)-'(参考)保険料の推計に要する係数'!$D18)
                                 +(1-G281)*(ROUND(G119,3)-'(参考)保険料の推計に要する係数'!$D19)
                                   +(1-G282)*(ROUND(G120,3)-'(参考)保険料の推計に要する係数'!$D20)
                                     +(1-G283)*(ROUND(G121,3)-'(参考)保険料の推計に要する係数'!$D21)
                                   +(1-G284)*(ROUND(G122,3)-'(参考)保険料の推計に要する係数'!$D22)
                                   +(1-G285)*(ROUND(G123,3)-'(参考)保険料の推計に要する係数'!$D23)
                                   +(1-G286)*(ROUND(G124,3)-'(参考)保険料の推計に要する係数'!$D24)
                                   +(1-G287)*(ROUND(G125,3)-'(参考)保険料の推計に要する係数'!$D25)
                                   +(1-G288)*(ROUND(G126,3)-'(参考)保険料の推計に要する係数'!$D26)
                                   +(1-G289)*(ROUND(G127,3)-'(参考)保険料の推計に要する係数'!$D27)
                                   +(1-G290)*(ROUND(G128,3)-'(参考)保険料の推計に要する係数'!$D28)
                                   +(1-G291)*(ROUND(G129,3)-'(参考)保険料の推計に要する係数'!$D29)
                                   +(1-G292)*(ROUND(G130,3)-'(参考)保険料の推計に要する係数'!$D30)
                                   +(1-G293)*(ROUND(G131,3)-'(参考)保険料の推計に要する係数'!$D31)
                                 ),4),0)</f>
        <v>0.9958</v>
      </c>
      <c r="H101" s="968" t="n">
        <f>IF(H149&gt;0,ROUND(
                            1-(
                                    (1-H279)*(ROUND(H117,3)-'(参考)保険料の推計に要する係数'!$D17)
                                 +(1-H280)*(ROUND(H118,3)-'(参考)保険料の推計に要する係数'!$D18)
                                 +(1-H281)*(ROUND(H119,3)-'(参考)保険料の推計に要する係数'!$D19)
                                   +(1-H282)*(ROUND(H120,3)-'(参考)保険料の推計に要する係数'!$D20)
                                     +(1-H283)*(ROUND(H121,3)-'(参考)保険料の推計に要する係数'!$D21)
                                   +(1-H284)*(ROUND(H122,3)-'(参考)保険料の推計に要する係数'!$D22)
                                   +(1-H285)*(ROUND(H123,3)-'(参考)保険料の推計に要する係数'!$D23)
                                   +(1-H286)*(ROUND(H124,3)-'(参考)保険料の推計に要する係数'!$D24)
                                   +(1-H287)*(ROUND(H125,3)-'(参考)保険料の推計に要する係数'!$D25)
                                   +(1-H288)*(ROUND(H126,3)-'(参考)保険料の推計に要する係数'!$D26)
                                   +(1-H289)*(ROUND(H127,3)-'(参考)保険料の推計に要する係数'!$D27)
                                   +(1-H290)*(ROUND(H128,3)-'(参考)保険料の推計に要する係数'!$D28)
                                   +(1-H291)*(ROUND(H129,3)-'(参考)保険料の推計に要する係数'!$D29)
                                   +(1-H292)*(ROUND(H130,3)-'(参考)保険料の推計に要する係数'!$D30)
                                   +(1-H293)*(ROUND(H131,3)-'(参考)保険料の推計に要する係数'!$D31)
                                 ),4),0)</f>
        <v>0.9973</v>
      </c>
      <c r="I101" s="992" t="n">
        <f>IF(I149&gt;0,ROUND(
                            1-(
                                    (1-I279)*(ROUND(I117,3)-'(参考)保険料の推計に要する係数'!$D17)
                                 +(1-I280)*(ROUND(I118,3)-'(参考)保険料の推計に要する係数'!$D18)
                                 +(1-I281)*(ROUND(I119,3)-'(参考)保険料の推計に要する係数'!$D19)
                                   +(1-I282)*(ROUND(I120,3)-'(参考)保険料の推計に要する係数'!$D20)
                                     +(1-I283)*(ROUND(I121,3)-'(参考)保険料の推計に要する係数'!$D21)
                                   +(1-I284)*(ROUND(I122,3)-'(参考)保険料の推計に要する係数'!$D22)
                                   +(1-I285)*(ROUND(I123,3)-'(参考)保険料の推計に要する係数'!$D23)
                                   +(1-I286)*(ROUND(I124,3)-'(参考)保険料の推計に要する係数'!$D24)
                                   +(1-I287)*(ROUND(I125,3)-'(参考)保険料の推計に要する係数'!$D25)
                                   +(1-I288)*(ROUND(I126,3)-'(参考)保険料の推計に要する係数'!$D26)
                                   +(1-I289)*(ROUND(I127,3)-'(参考)保険料の推計に要する係数'!$D27)
                                   +(1-I290)*(ROUND(I128,3)-'(参考)保険料の推計に要する係数'!$D28)
                                   +(1-I291)*(ROUND(I129,3)-'(参考)保険料の推計に要する係数'!$D29)
                                   +(1-I292)*(ROUND(I130,3)-'(参考)保険料の推計に要する係数'!$D30)
                                   +(1-I293)*(ROUND(I131,3)-'(参考)保険料の推計に要する係数'!$D31)
                                 ),4),0)</f>
        <v>0.9967</v>
      </c>
      <c r="J101" s="993" t="n">
        <f>IF(J149&gt;0,ROUND(
                            1-(
                                    (1-J279)*(ROUND(J117,3)-'(参考)保険料の推計に要する係数'!$D17)
                                 +(1-J280)*(ROUND(J118,3)-'(参考)保険料の推計に要する係数'!$D18)
                                 +(1-J281)*(ROUND(J119,3)-'(参考)保険料の推計に要する係数'!$D19)
                                   +(1-J282)*(ROUND(J120,3)-'(参考)保険料の推計に要する係数'!$D20)
                                     +(1-J283)*(ROUND(J121,3)-'(参考)保険料の推計に要する係数'!$D21)
                                   +(1-J284)*(ROUND(J122,3)-'(参考)保険料の推計に要する係数'!$D22)
                                   +(1-J285)*(ROUND(J123,3)-'(参考)保険料の推計に要する係数'!$D23)
                                   +(1-J286)*(ROUND(J124,3)-'(参考)保険料の推計に要する係数'!$D24)
                                   +(1-J287)*(ROUND(J125,3)-'(参考)保険料の推計に要する係数'!$D25)
                                   +(1-J288)*(ROUND(J126,3)-'(参考)保険料の推計に要する係数'!$D26)
                                   +(1-J289)*(ROUND(J127,3)-'(参考)保険料の推計に要する係数'!$D27)
                                   +(1-J290)*(ROUND(J128,3)-'(参考)保険料の推計に要する係数'!$D28)
                                   +(1-J291)*(ROUND(J129,3)-'(参考)保険料の推計に要する係数'!$D29)
                                   +(1-J292)*(ROUND(J130,3)-'(参考)保険料の推計に要する係数'!$D30)
                                   +(1-J293)*(ROUND(J131,3)-'(参考)保険料の推計に要する係数'!$D31)
                                 ),4),0)</f>
        <v>0.9973</v>
      </c>
      <c r="K101" s="993" t="n">
        <f>IF(K149&gt;0,ROUND(
                            1-(
                                    (1-K279)*(ROUND(K117,3)-'(参考)保険料の推計に要する係数'!$D17)
                                 +(1-K280)*(ROUND(K118,3)-'(参考)保険料の推計に要する係数'!$D18)
                                 +(1-K281)*(ROUND(K119,3)-'(参考)保険料の推計に要する係数'!$D19)
                                   +(1-K282)*(ROUND(K120,3)-'(参考)保険料の推計に要する係数'!$D20)
                                     +(1-K283)*(ROUND(K121,3)-'(参考)保険料の推計に要する係数'!$D21)
                                   +(1-K284)*(ROUND(K122,3)-'(参考)保険料の推計に要する係数'!$D22)
                                   +(1-K285)*(ROUND(K123,3)-'(参考)保険料の推計に要する係数'!$D23)
                                   +(1-K286)*(ROUND(K124,3)-'(参考)保険料の推計に要する係数'!$D24)
                                   +(1-K287)*(ROUND(K125,3)-'(参考)保険料の推計に要する係数'!$D25)
                                   +(1-K288)*(ROUND(K126,3)-'(参考)保険料の推計に要する係数'!$D26)
                                   +(1-K289)*(ROUND(K127,3)-'(参考)保険料の推計に要する係数'!$D27)
                                   +(1-K290)*(ROUND(K128,3)-'(参考)保険料の推計に要する係数'!$D28)
                                   +(1-K291)*(ROUND(K129,3)-'(参考)保険料の推計に要する係数'!$D29)
                                   +(1-K292)*(ROUND(K130,3)-'(参考)保険料の推計に要する係数'!$D30)
                                   +(1-K293)*(ROUND(K131,3)-'(参考)保険料の推計に要する係数'!$D31)
                                 ),4),0)</f>
        <v>0.9967</v>
      </c>
      <c r="L101" s="993" t="n">
        <f>IF(L149&gt;0,ROUND(
                            1-(
                                    (1-L279)*(ROUND(L117,3)-'(参考)保険料の推計に要する係数'!$D17)
                                 +(1-L280)*(ROUND(L118,3)-'(参考)保険料の推計に要する係数'!$D18)
                                 +(1-L281)*(ROUND(L119,3)-'(参考)保険料の推計に要する係数'!$D19)
                                   +(1-L282)*(ROUND(L120,3)-'(参考)保険料の推計に要する係数'!$D20)
                                     +(1-L283)*(ROUND(L121,3)-'(参考)保険料の推計に要する係数'!$D21)
                                   +(1-L284)*(ROUND(L122,3)-'(参考)保険料の推計に要する係数'!$D22)
                                   +(1-L285)*(ROUND(L123,3)-'(参考)保険料の推計に要する係数'!$D23)
                                   +(1-L286)*(ROUND(L124,3)-'(参考)保険料の推計に要する係数'!$D24)
                                   +(1-L287)*(ROUND(L125,3)-'(参考)保険料の推計に要する係数'!$D25)
                                   +(1-L288)*(ROUND(L126,3)-'(参考)保険料の推計に要する係数'!$D26)
                                   +(1-L289)*(ROUND(L127,3)-'(参考)保険料の推計に要する係数'!$D27)
                                   +(1-L290)*(ROUND(L128,3)-'(参考)保険料の推計に要する係数'!$D28)
                                   +(1-L291)*(ROUND(L129,3)-'(参考)保険料の推計に要する係数'!$D29)
                                   +(1-L292)*(ROUND(L130,3)-'(参考)保険料の推計に要する係数'!$D30)
                                   +(1-L293)*(ROUND(L131,3)-'(参考)保険料の推計に要する係数'!$D31)
                                 ),4),0)</f>
        <v>0.9958</v>
      </c>
      <c r="M101" s="993" t="n">
        <f>IF(M149&gt;0,ROUND(
                            1-(
                                    (1-M279)*(ROUND(M117,3)-'(参考)保険料の推計に要する係数'!$D17)
                                 +(1-M280)*(ROUND(M118,3)-'(参考)保険料の推計に要する係数'!$D18)
                                 +(1-M281)*(ROUND(M119,3)-'(参考)保険料の推計に要する係数'!$D19)
                                   +(1-M282)*(ROUND(M120,3)-'(参考)保険料の推計に要する係数'!$D20)
                                     +(1-M283)*(ROUND(M121,3)-'(参考)保険料の推計に要する係数'!$D21)
                                   +(1-M284)*(ROUND(M122,3)-'(参考)保険料の推計に要する係数'!$D22)
                                   +(1-M285)*(ROUND(M123,3)-'(参考)保険料の推計に要する係数'!$D23)
                                   +(1-M286)*(ROUND(M124,3)-'(参考)保険料の推計に要する係数'!$D24)
                                   +(1-M287)*(ROUND(M125,3)-'(参考)保険料の推計に要する係数'!$D25)
                                   +(1-M288)*(ROUND(M126,3)-'(参考)保険料の推計に要する係数'!$D26)
                                   +(1-M289)*(ROUND(M127,3)-'(参考)保険料の推計に要する係数'!$D27)
                                   +(1-M290)*(ROUND(M128,3)-'(参考)保険料の推計に要する係数'!$D28)
                                   +(1-M291)*(ROUND(M129,3)-'(参考)保険料の推計に要する係数'!$D29)
                                   +(1-M292)*(ROUND(M130,3)-'(参考)保険料の推計に要する係数'!$D30)
                                   +(1-M293)*(ROUND(M131,3)-'(参考)保険料の推計に要する係数'!$D31)
                                 ),4),0)</f>
        <v>0.9967</v>
      </c>
      <c r="N101" s="994" t="n">
        <f>IF(N149&gt;0,ROUND(
                            1-(
                                    (1-N279)*(ROUND(N117,3)-'(参考)保険料の推計に要する係数'!$D17)
                                 +(1-N280)*(ROUND(N118,3)-'(参考)保険料の推計に要する係数'!$D18)
                                 +(1-N281)*(ROUND(N119,3)-'(参考)保険料の推計に要する係数'!$D19)
                                   +(1-N282)*(ROUND(N120,3)-'(参考)保険料の推計に要する係数'!$D20)
                                     +(1-N283)*(ROUND(N121,3)-'(参考)保険料の推計に要する係数'!$D21)
                                   +(1-N284)*(ROUND(N122,3)-'(参考)保険料の推計に要する係数'!$D22)
                                   +(1-N285)*(ROUND(N123,3)-'(参考)保険料の推計に要する係数'!$D23)
                                   +(1-N286)*(ROUND(N124,3)-'(参考)保険料の推計に要する係数'!$D24)
                                   +(1-N287)*(ROUND(N125,3)-'(参考)保険料の推計に要する係数'!$D25)
                                   +(1-N288)*(ROUND(N126,3)-'(参考)保険料の推計に要する係数'!$D26)
                                   +(1-N289)*(ROUND(N127,3)-'(参考)保険料の推計に要する係数'!$D27)
                                   +(1-N290)*(ROUND(N128,3)-'(参考)保険料の推計に要する係数'!$D28)
                                   +(1-N291)*(ROUND(N129,3)-'(参考)保険料の推計に要する係数'!$D29)
                                   +(1-N292)*(ROUND(N130,3)-'(参考)保険料の推計に要する係数'!$D30)
                                   +(1-N293)*(ROUND(N131,3)-'(参考)保険料の推計に要する係数'!$D31)
                                 ),4),0)</f>
        <v>0.9973</v>
      </c>
    </row>
    <row r="102" spans="1:14">
      <c r="A102" s="270" t="s">
        <v>154</v>
      </c>
      <c r="B102" s="271"/>
      <c r="C102" s="271"/>
      <c r="D102" s="271"/>
      <c r="E102" s="271"/>
      <c r="F102" s="172" t="n">
        <f>SUM(G102:I102)</f>
        <v>0.0</v>
      </c>
      <c r="G102" s="249" t="n">
        <v>0.0</v>
      </c>
      <c r="H102" s="815" t="n">
        <v>0.0</v>
      </c>
      <c r="I102" s="949" t="n">
        <v>0.0</v>
      </c>
      <c r="J102" s="660" t="n">
        <v>0.0</v>
      </c>
      <c r="K102" s="808" t="n">
        <v>0.0</v>
      </c>
      <c r="L102" s="808" t="n">
        <v>0.0</v>
      </c>
      <c r="M102" s="899" t="n">
        <v>0.0</v>
      </c>
      <c r="N102" s="809" t="n">
        <v>0.0</v>
      </c>
    </row>
    <row r="103" spans="1:14">
      <c r="A103" s="272" t="s">
        <v>155</v>
      </c>
      <c r="B103" s="209"/>
      <c r="C103" s="209"/>
      <c r="D103" s="209"/>
      <c r="E103" s="209"/>
      <c r="F103" s="950" t="n">
        <v>0.0</v>
      </c>
      <c r="G103" s="273"/>
      <c r="H103" s="274"/>
      <c r="I103" s="275"/>
      <c r="J103" s="660" t="n">
        <v>0.0</v>
      </c>
      <c r="K103" s="808" t="n">
        <v>0.0</v>
      </c>
      <c r="L103" s="808" t="n">
        <v>0.0</v>
      </c>
      <c r="M103" s="899" t="n">
        <v>0.0</v>
      </c>
      <c r="N103" s="809" t="n">
        <v>0.0</v>
      </c>
    </row>
    <row r="104" spans="1:14" ht="14.25" thickBot="1">
      <c r="A104" s="276" t="s">
        <v>416</v>
      </c>
      <c r="B104" s="277"/>
      <c r="C104" s="277"/>
      <c r="D104" s="277"/>
      <c r="E104" s="277"/>
      <c r="F104" s="951" t="n">
        <v>0.0</v>
      </c>
      <c r="G104" s="278"/>
      <c r="H104" s="279"/>
      <c r="I104" s="280"/>
      <c r="J104" s="667" t="n">
        <v>0.0</v>
      </c>
      <c r="K104" s="826" t="n">
        <v>0.0</v>
      </c>
      <c r="L104" s="826" t="n">
        <v>0.0</v>
      </c>
      <c r="M104" s="903" t="n">
        <v>0.0</v>
      </c>
      <c r="N104" s="827" t="n">
        <v>0.0</v>
      </c>
    </row>
    <row r="105" spans="1:14" ht="14.25" thickBot="1">
      <c r="A105" s="202" t="s">
        <v>410</v>
      </c>
      <c r="B105" s="203"/>
      <c r="C105" s="203"/>
      <c r="D105" s="203"/>
      <c r="E105" s="203"/>
      <c r="F105" s="281" t="n">
        <f>F92+F93-F94+F18+F21-F15+F85+F102+F103-F104</f>
        <v>5.8955711329E8</v>
      </c>
      <c r="G105" s="282"/>
      <c r="H105" s="283"/>
      <c r="I105" s="284"/>
      <c r="J105" s="668" t="n">
        <f>J92+J93-J94+G18+G21-G15+J85+J102+J103-J104</f>
        <v>2.2504079184E8</v>
      </c>
      <c r="K105" s="828" t="n">
        <f>K92+K93-K94+H18+H21-H15+K85+K102+K103-K104</f>
        <v>2.208597239E8</v>
      </c>
      <c r="L105" s="828" t="n">
        <f>L92+L93-L94+I18+I21-I15+L85+L102+L103-L104</f>
        <v>2.0728270257E8</v>
      </c>
      <c r="M105" s="904" t="n">
        <f>M92+M93-M94+J18+J21-J15+M85+M102+M103-M104</f>
        <v>1.9983342395000005E8</v>
      </c>
      <c r="N105" s="829" t="n">
        <f>N92+N93-N94+K18+K21-K15+N85+N102+N103-N104</f>
        <v>1.9648012872000003E8</v>
      </c>
    </row>
    <row r="106" spans="1:14" ht="14.25" thickBot="1">
      <c r="A106" s="199" t="s">
        <v>156</v>
      </c>
      <c r="B106" s="200"/>
      <c r="C106" s="200"/>
      <c r="D106" s="200"/>
      <c r="E106" s="200"/>
      <c r="F106" s="285" t="n">
        <v>0.994</v>
      </c>
      <c r="G106" s="286"/>
      <c r="H106" s="287"/>
      <c r="I106" s="288"/>
      <c r="J106" s="669" t="n">
        <v>0.994</v>
      </c>
      <c r="K106" s="830" t="n">
        <v>0.994</v>
      </c>
      <c r="L106" s="830" t="n">
        <v>0.994</v>
      </c>
      <c r="M106" s="905" t="n">
        <v>0.994</v>
      </c>
      <c r="N106" s="831" t="n">
        <v>0.994</v>
      </c>
    </row>
    <row r="107" spans="1:14">
      <c r="F107" s="215"/>
    </row>
    <row r="108" spans="1:14" ht="14.25" thickBot="1">
      <c r="A108" s="198" t="s">
        <v>157</v>
      </c>
    </row>
    <row r="109" spans="1:14">
      <c r="A109" s="230"/>
      <c r="B109" s="231"/>
      <c r="C109" s="231"/>
      <c r="D109" s="231"/>
      <c r="E109" s="231"/>
      <c r="F109" s="1112" t="s">
        <v>351</v>
      </c>
      <c r="G109" s="1113"/>
      <c r="H109" s="1113"/>
      <c r="I109" s="1114"/>
      <c r="J109" s="1115" t="s">
        <v>383</v>
      </c>
      <c r="K109" s="1115" t="s">
        <v>324</v>
      </c>
      <c r="L109" s="1115" t="s">
        <v>323</v>
      </c>
      <c r="M109" s="1129" t="s">
        <v>322</v>
      </c>
      <c r="N109" s="1127" t="s">
        <v>349</v>
      </c>
    </row>
    <row r="110" spans="1:14" ht="14.25" thickBot="1">
      <c r="A110" s="232"/>
      <c r="F110" s="233" t="s">
        <v>150</v>
      </c>
      <c r="G110" s="234" t="s">
        <v>362</v>
      </c>
      <c r="H110" s="235" t="s">
        <v>361</v>
      </c>
      <c r="I110" s="236" t="s">
        <v>360</v>
      </c>
      <c r="J110" s="1116"/>
      <c r="K110" s="1126"/>
      <c r="L110" s="1126"/>
      <c r="M110" s="1130"/>
      <c r="N110" s="1128"/>
    </row>
    <row r="111" spans="1:14">
      <c r="A111" s="132" t="s">
        <v>158</v>
      </c>
      <c r="B111" s="85"/>
      <c r="C111" s="85"/>
      <c r="D111" s="85"/>
      <c r="E111" s="289"/>
      <c r="F111" s="629" t="n">
        <f>SUM(G111:I111)</f>
        <v>10275.0</v>
      </c>
      <c r="G111" s="290" t="n">
        <f>'1_推計値サマリ'!G12</f>
        <v>3434.0</v>
      </c>
      <c r="H111" s="290" t="n">
        <f>'1_推計値サマリ'!H12</f>
        <v>3427.0</v>
      </c>
      <c r="I111" s="291" t="n">
        <f>'1_推計値サマリ'!I12</f>
        <v>3414.0</v>
      </c>
      <c r="J111" s="649" t="n">
        <f>'1_推計値サマリ'!K12</f>
        <v>3406.0</v>
      </c>
      <c r="K111" s="832" t="n">
        <f>'1_推計値サマリ'!M12</f>
        <v>3206.0</v>
      </c>
      <c r="L111" s="832" t="n">
        <f>'1_推計値サマリ'!O12</f>
        <v>2993.0</v>
      </c>
      <c r="M111" s="906" t="n">
        <f>'1_推計値サマリ'!Q12</f>
        <v>2818.0</v>
      </c>
      <c r="N111" s="833" t="n">
        <f>'1_推計値サマリ'!S12</f>
        <v>2565.0</v>
      </c>
    </row>
    <row r="112" spans="1:14">
      <c r="A112" s="84"/>
      <c r="B112" s="135" t="s">
        <v>159</v>
      </c>
      <c r="C112" s="136"/>
      <c r="D112" s="136"/>
      <c r="E112" s="141"/>
      <c r="F112" s="630" t="n">
        <f>SUM(G112:I112)</f>
        <v>4575.0</v>
      </c>
      <c r="G112" s="253" t="n">
        <v>1568.0</v>
      </c>
      <c r="H112" s="253" t="n">
        <v>1525.0</v>
      </c>
      <c r="I112" s="292" t="n">
        <v>1482.0</v>
      </c>
      <c r="J112" s="646" t="n">
        <v>1439.0</v>
      </c>
      <c r="K112" s="391" t="n">
        <v>1143.0</v>
      </c>
      <c r="L112" s="391" t="n">
        <v>948.0</v>
      </c>
      <c r="M112" s="907" t="n">
        <v>942.0</v>
      </c>
      <c r="N112" s="834" t="n">
        <v>886.0</v>
      </c>
    </row>
    <row r="113" spans="1:14">
      <c r="A113" s="84"/>
      <c r="B113" s="157" t="s">
        <v>237</v>
      </c>
      <c r="C113" s="293"/>
      <c r="D113" s="293"/>
      <c r="E113" s="294"/>
      <c r="F113" s="295" t="n">
        <f>SUM(F114:F115)</f>
        <v>5700.0</v>
      </c>
      <c r="G113" s="296" t="n">
        <f>SUM(G114:G115)</f>
        <v>1866.0</v>
      </c>
      <c r="H113" s="296" t="n">
        <f t="shared" ref="H113:J113" si="38">SUM(H114:H115)</f>
        <v>1902.0</v>
      </c>
      <c r="I113" s="297" t="n">
        <f t="shared" si="38"/>
        <v>1932.0</v>
      </c>
      <c r="J113" s="650" t="n">
        <f t="shared" si="38"/>
        <v>1967.0</v>
      </c>
      <c r="K113" s="835" t="n">
        <f t="shared" ref="K113:M113" si="39">SUM(K114:K115)</f>
        <v>2063.0</v>
      </c>
      <c r="L113" s="835" t="n">
        <f t="shared" si="39"/>
        <v>2045.0</v>
      </c>
      <c r="M113" s="908" t="n">
        <f t="shared" si="39"/>
        <v>1876.0</v>
      </c>
      <c r="N113" s="836" t="n">
        <f t="shared" ref="N113" si="40">SUM(N114:N115)</f>
        <v>1679.0</v>
      </c>
    </row>
    <row r="114" spans="1:14">
      <c r="A114" s="84"/>
      <c r="B114" s="158"/>
      <c r="C114" s="136" t="s">
        <v>224</v>
      </c>
      <c r="D114" s="136"/>
      <c r="E114" s="141"/>
      <c r="F114" s="630" t="n">
        <f>SUM(G114:I114)</f>
        <v>3596.0</v>
      </c>
      <c r="G114" s="253" t="n">
        <v>1148.0</v>
      </c>
      <c r="H114" s="253" t="n">
        <v>1200.0</v>
      </c>
      <c r="I114" s="292" t="n">
        <v>1248.0</v>
      </c>
      <c r="J114" s="646" t="n">
        <v>1299.0</v>
      </c>
      <c r="K114" s="391" t="n">
        <v>1356.0</v>
      </c>
      <c r="L114" s="391" t="n">
        <v>1194.0</v>
      </c>
      <c r="M114" s="907" t="n">
        <v>962.0</v>
      </c>
      <c r="N114" s="834" t="n">
        <v>812.0</v>
      </c>
    </row>
    <row r="115" spans="1:14">
      <c r="A115" s="84"/>
      <c r="B115" s="159"/>
      <c r="C115" s="136" t="s">
        <v>221</v>
      </c>
      <c r="D115" s="136"/>
      <c r="E115" s="141"/>
      <c r="F115" s="630" t="n">
        <f>SUM(G115:I115)</f>
        <v>2104.0</v>
      </c>
      <c r="G115" s="253" t="n">
        <v>718.0</v>
      </c>
      <c r="H115" s="253" t="n">
        <v>702.0</v>
      </c>
      <c r="I115" s="292" t="n">
        <v>684.0</v>
      </c>
      <c r="J115" s="646" t="n">
        <v>668.0</v>
      </c>
      <c r="K115" s="391" t="n">
        <v>707.0</v>
      </c>
      <c r="L115" s="391" t="n">
        <v>851.0</v>
      </c>
      <c r="M115" s="907" t="n">
        <v>914.0</v>
      </c>
      <c r="N115" s="834" t="n">
        <v>867.0</v>
      </c>
    </row>
    <row r="116" spans="1:14">
      <c r="A116" s="84"/>
      <c r="B116" s="133" t="s">
        <v>160</v>
      </c>
      <c r="C116" s="34"/>
      <c r="D116" s="34"/>
      <c r="E116" s="298"/>
      <c r="F116" s="205"/>
      <c r="G116" s="299"/>
      <c r="H116" s="299"/>
      <c r="I116" s="300"/>
      <c r="J116" s="651"/>
      <c r="K116" s="837"/>
      <c r="L116" s="837"/>
      <c r="M116" s="909"/>
      <c r="N116" s="838"/>
    </row>
    <row r="117" spans="1:14">
      <c r="A117" s="84"/>
      <c r="B117" s="133"/>
      <c r="C117" s="35" t="s">
        <v>161</v>
      </c>
      <c r="D117" s="128"/>
      <c r="E117" s="139"/>
      <c r="F117" s="301" t="n">
        <f t="shared" ref="F117" si="41">IF(F$111&gt;0,F134/F$111,0)</f>
        <v>0.15250608272506083</v>
      </c>
      <c r="G117" s="990" t="n">
        <f t="shared" ref="G117:N117" si="42">IF(G$111&gt;0,G134/G$111,0)</f>
        <v>0.1525917297612114</v>
      </c>
      <c r="H117" s="990" t="n">
        <f t="shared" si="42"/>
        <v>0.15231981324773855</v>
      </c>
      <c r="I117" s="989" t="n">
        <f t="shared" si="42"/>
        <v>0.15260691271236088</v>
      </c>
      <c r="J117" s="301" t="n">
        <f t="shared" si="42"/>
        <v>0.1523781561949501</v>
      </c>
      <c r="K117" s="301" t="n">
        <f t="shared" si="42"/>
        <v>0.15252651278852153</v>
      </c>
      <c r="L117" s="301" t="n">
        <f t="shared" si="42"/>
        <v>0.1526896090878717</v>
      </c>
      <c r="M117" s="301" t="n">
        <f t="shared" si="42"/>
        <v>0.15259048970901348</v>
      </c>
      <c r="N117" s="991" t="n">
        <f t="shared" si="42"/>
        <v>0.1524366471734893</v>
      </c>
    </row>
    <row r="118" spans="1:14">
      <c r="A118" s="84"/>
      <c r="B118" s="133"/>
      <c r="C118" s="35" t="s">
        <v>162</v>
      </c>
      <c r="D118" s="128"/>
      <c r="E118" s="139"/>
      <c r="F118" s="301" t="n">
        <f t="shared" ref="F118:F132" si="43">IF(F$111&gt;0,F135/F$111,0)</f>
        <v>0.08613138686131387</v>
      </c>
      <c r="G118" s="990" t="n">
        <f t="shared" ref="G118:N118" si="44">IF(G$111&gt;0,G135/G$111,0)</f>
        <v>0.08619685497961561</v>
      </c>
      <c r="H118" s="990" t="n">
        <f t="shared" si="44"/>
        <v>0.08608112051356871</v>
      </c>
      <c r="I118" s="989" t="n">
        <f t="shared" si="44"/>
        <v>0.08611599297012303</v>
      </c>
      <c r="J118" s="301" t="n">
        <f t="shared" si="44"/>
        <v>0.08631826189078097</v>
      </c>
      <c r="K118" s="301" t="n">
        <f t="shared" si="44"/>
        <v>0.08640049906425452</v>
      </c>
      <c r="L118" s="301" t="n">
        <f t="shared" si="44"/>
        <v>0.08620113598396258</v>
      </c>
      <c r="M118" s="301" t="n">
        <f t="shared" si="44"/>
        <v>0.08623136976579134</v>
      </c>
      <c r="N118" s="991" t="n">
        <f t="shared" si="44"/>
        <v>0.0861598440545809</v>
      </c>
    </row>
    <row r="119" spans="1:14">
      <c r="A119" s="84"/>
      <c r="B119" s="133"/>
      <c r="C119" s="35" t="s">
        <v>123</v>
      </c>
      <c r="D119" s="128"/>
      <c r="E119" s="139"/>
      <c r="F119" s="301" t="n">
        <f t="shared" si="43"/>
        <v>0.07902676399026765</v>
      </c>
      <c r="G119" s="990" t="n">
        <f t="shared" ref="G119:N119" si="45">IF(G$111&gt;0,G136/G$111,0)</f>
        <v>0.07891671520093185</v>
      </c>
      <c r="H119" s="990" t="n">
        <f t="shared" si="45"/>
        <v>0.079077910709075</v>
      </c>
      <c r="I119" s="989" t="n">
        <f t="shared" si="45"/>
        <v>0.07908611599297012</v>
      </c>
      <c r="J119" s="301" t="n">
        <f t="shared" si="45"/>
        <v>0.07897827363476219</v>
      </c>
      <c r="K119" s="301" t="n">
        <f t="shared" si="45"/>
        <v>0.07891453524641298</v>
      </c>
      <c r="L119" s="301" t="n">
        <f t="shared" si="45"/>
        <v>0.07918476445038423</v>
      </c>
      <c r="M119" s="301" t="n">
        <f t="shared" si="45"/>
        <v>0.07913413768630234</v>
      </c>
      <c r="N119" s="991" t="n">
        <f t="shared" si="45"/>
        <v>0.07914230019493178</v>
      </c>
    </row>
    <row r="120" spans="1:14">
      <c r="A120" s="84"/>
      <c r="B120" s="133"/>
      <c r="C120" s="35" t="s">
        <v>124</v>
      </c>
      <c r="D120" s="128"/>
      <c r="E120" s="139"/>
      <c r="F120" s="301" t="n">
        <f t="shared" si="43"/>
        <v>0.12603406326034064</v>
      </c>
      <c r="G120" s="990" t="n">
        <f t="shared" ref="G120:N120" si="46">IF(G$111&gt;0,G137/G$111,0)</f>
        <v>0.12609202096680255</v>
      </c>
      <c r="H120" s="990" t="n">
        <f t="shared" si="46"/>
        <v>0.12605777648088706</v>
      </c>
      <c r="I120" s="989" t="n">
        <f t="shared" si="46"/>
        <v>0.1259519625073228</v>
      </c>
      <c r="J120" s="301" t="n">
        <f t="shared" si="46"/>
        <v>0.12595419847328243</v>
      </c>
      <c r="K120" s="301" t="n">
        <f t="shared" si="46"/>
        <v>0.1260137242669994</v>
      </c>
      <c r="L120" s="301" t="n">
        <f t="shared" si="46"/>
        <v>0.1259605746742399</v>
      </c>
      <c r="M120" s="301" t="n">
        <f t="shared" si="46"/>
        <v>0.12597586941092973</v>
      </c>
      <c r="N120" s="991" t="n">
        <f t="shared" si="46"/>
        <v>0.1259259259259259</v>
      </c>
    </row>
    <row r="121" spans="1:14">
      <c r="A121" s="84"/>
      <c r="B121" s="133"/>
      <c r="C121" s="35" t="s">
        <v>125</v>
      </c>
      <c r="D121" s="128"/>
      <c r="E121" s="139"/>
      <c r="F121" s="301" t="n">
        <f t="shared" si="43"/>
        <v>0.17712895377128954</v>
      </c>
      <c r="G121" s="990" t="n">
        <f t="shared" ref="G121:N121" si="47">IF(G$111&gt;0,G138/G$111,0)</f>
        <v>0.1770529994175888</v>
      </c>
      <c r="H121" s="990" t="n">
        <f t="shared" si="47"/>
        <v>0.17712284797198716</v>
      </c>
      <c r="I121" s="989" t="n">
        <f t="shared" si="47"/>
        <v>0.17721148213239601</v>
      </c>
      <c r="J121" s="301" t="n">
        <f t="shared" si="47"/>
        <v>0.17704051673517324</v>
      </c>
      <c r="K121" s="301" t="n">
        <f t="shared" si="47"/>
        <v>0.1771678103555833</v>
      </c>
      <c r="L121" s="301" t="n">
        <f t="shared" si="47"/>
        <v>0.17707985299031073</v>
      </c>
      <c r="M121" s="301" t="n">
        <f t="shared" si="47"/>
        <v>0.17707594038325053</v>
      </c>
      <c r="N121" s="991" t="n">
        <f t="shared" si="47"/>
        <v>0.17738791423001948</v>
      </c>
    </row>
    <row r="122" spans="1:14">
      <c r="A122" s="84"/>
      <c r="B122" s="133"/>
      <c r="C122" s="35" t="s">
        <v>225</v>
      </c>
      <c r="D122" s="128"/>
      <c r="E122" s="139"/>
      <c r="F122" s="301" t="n">
        <f t="shared" si="43"/>
        <v>0.142676399026764</v>
      </c>
      <c r="G122" s="990" t="n">
        <f t="shared" ref="G122:N122" si="48">IF(G$111&gt;0,G139/G$111,0)</f>
        <v>0.14269073966220153</v>
      </c>
      <c r="H122" s="990" t="n">
        <f t="shared" si="48"/>
        <v>0.14269039976655967</v>
      </c>
      <c r="I122" s="989" t="n">
        <f t="shared" si="48"/>
        <v>0.14264792032806092</v>
      </c>
      <c r="J122" s="301" t="n">
        <f t="shared" si="48"/>
        <v>0.1426893716970053</v>
      </c>
      <c r="K122" s="301" t="n">
        <f t="shared" si="48"/>
        <v>0.14254522769806613</v>
      </c>
      <c r="L122" s="301" t="n">
        <f t="shared" si="48"/>
        <v>0.14266622118275976</v>
      </c>
      <c r="M122" s="301" t="n">
        <f t="shared" si="48"/>
        <v>0.1426543647977289</v>
      </c>
      <c r="N122" s="991" t="n">
        <f t="shared" si="48"/>
        <v>0.14269005847953217</v>
      </c>
    </row>
    <row r="123" spans="1:14">
      <c r="A123" s="84"/>
      <c r="B123" s="133"/>
      <c r="C123" s="35" t="s">
        <v>226</v>
      </c>
      <c r="D123" s="128"/>
      <c r="E123" s="139"/>
      <c r="F123" s="301" t="n">
        <f t="shared" si="43"/>
        <v>0.12136253041362531</v>
      </c>
      <c r="G123" s="990" t="n">
        <f t="shared" ref="G123:N123" si="49">IF(G$111&gt;0,G140/G$111,0)</f>
        <v>0.12143273150844497</v>
      </c>
      <c r="H123" s="990" t="n">
        <f t="shared" si="49"/>
        <v>0.12138896994455792</v>
      </c>
      <c r="I123" s="989" t="n">
        <f t="shared" si="49"/>
        <v>0.12126537785588752</v>
      </c>
      <c r="J123" s="301" t="n">
        <f t="shared" si="49"/>
        <v>0.12125660598943042</v>
      </c>
      <c r="K123" s="301" t="n">
        <f t="shared" si="49"/>
        <v>0.12133499688084841</v>
      </c>
      <c r="L123" s="301" t="n">
        <f t="shared" si="49"/>
        <v>0.12128299365185433</v>
      </c>
      <c r="M123" s="301" t="n">
        <f t="shared" si="49"/>
        <v>0.1213626685592619</v>
      </c>
      <c r="N123" s="991" t="n">
        <f t="shared" si="49"/>
        <v>0.1212475633528265</v>
      </c>
    </row>
    <row r="124" spans="1:14">
      <c r="A124" s="84"/>
      <c r="B124" s="133"/>
      <c r="C124" s="35" t="s">
        <v>227</v>
      </c>
      <c r="D124" s="128"/>
      <c r="E124" s="139"/>
      <c r="F124" s="301" t="n">
        <f t="shared" si="43"/>
        <v>0.06705596107055961</v>
      </c>
      <c r="G124" s="990" t="n">
        <f t="shared" ref="G124:N124" si="50">IF(G$111&gt;0,G141/G$111,0)</f>
        <v>0.0669772859638905</v>
      </c>
      <c r="H124" s="990" t="n">
        <f t="shared" si="50"/>
        <v>0.06711409395973154</v>
      </c>
      <c r="I124" s="989" t="n">
        <f t="shared" si="50"/>
        <v>0.06707674282366725</v>
      </c>
      <c r="J124" s="301" t="n">
        <f t="shared" si="50"/>
        <v>0.06723429242513213</v>
      </c>
      <c r="K124" s="301" t="n">
        <f t="shared" si="50"/>
        <v>0.06706175920149719</v>
      </c>
      <c r="L124" s="301" t="n">
        <f t="shared" si="50"/>
        <v>0.06715669896424992</v>
      </c>
      <c r="M124" s="301" t="n">
        <f t="shared" si="50"/>
        <v>0.06706884315117104</v>
      </c>
      <c r="N124" s="991" t="n">
        <f t="shared" si="50"/>
        <v>0.06705653021442495</v>
      </c>
    </row>
    <row r="125" spans="1:14">
      <c r="A125" s="84"/>
      <c r="B125" s="133"/>
      <c r="C125" s="35" t="s">
        <v>228</v>
      </c>
      <c r="D125" s="128"/>
      <c r="E125" s="139"/>
      <c r="F125" s="301" t="n">
        <f t="shared" si="43"/>
        <v>0.02238442822384428</v>
      </c>
      <c r="G125" s="990" t="n">
        <f t="shared" ref="G125:N125" si="51">IF(G$111&gt;0,G142/G$111,0)</f>
        <v>0.02242283051834595</v>
      </c>
      <c r="H125" s="990" t="n">
        <f t="shared" si="51"/>
        <v>0.022468631456084038</v>
      </c>
      <c r="I125" s="989" t="n">
        <f t="shared" si="51"/>
        <v>0.022261277094317515</v>
      </c>
      <c r="J125" s="301" t="n">
        <f t="shared" si="51"/>
        <v>0.022313564298297124</v>
      </c>
      <c r="K125" s="301" t="n">
        <f t="shared" si="51"/>
        <v>0.022457891453524642</v>
      </c>
      <c r="L125" s="301" t="n">
        <f t="shared" si="51"/>
        <v>0.02238556632141664</v>
      </c>
      <c r="M125" s="301" t="n">
        <f t="shared" si="51"/>
        <v>0.022356281050390347</v>
      </c>
      <c r="N125" s="991" t="n">
        <f t="shared" si="51"/>
        <v>0.022222222222222223</v>
      </c>
    </row>
    <row r="126" spans="1:14">
      <c r="A126" s="84"/>
      <c r="B126" s="133"/>
      <c r="C126" s="35" t="s">
        <v>332</v>
      </c>
      <c r="D126" s="128"/>
      <c r="E126" s="139"/>
      <c r="F126" s="301" t="n">
        <f t="shared" si="43"/>
        <v>0.010510948905109488</v>
      </c>
      <c r="G126" s="990" t="n">
        <f t="shared" ref="G126:N126" si="52">IF(G$111&gt;0,G143/G$111,0)</f>
        <v>0.010483401281304601</v>
      </c>
      <c r="H126" s="990" t="n">
        <f t="shared" si="52"/>
        <v>0.01050481470674059</v>
      </c>
      <c r="I126" s="989" t="n">
        <f t="shared" si="52"/>
        <v>0.01054481546572935</v>
      </c>
      <c r="J126" s="301" t="n">
        <f t="shared" si="52"/>
        <v>0.010569583088667059</v>
      </c>
      <c r="K126" s="301" t="n">
        <f t="shared" si="52"/>
        <v>0.010605115408608859</v>
      </c>
      <c r="L126" s="301" t="n">
        <f t="shared" si="52"/>
        <v>0.010357500835282325</v>
      </c>
      <c r="M126" s="301" t="n">
        <f t="shared" si="52"/>
        <v>0.0106458481192335</v>
      </c>
      <c r="N126" s="991" t="n">
        <f t="shared" si="52"/>
        <v>0.010526315789473684</v>
      </c>
    </row>
    <row r="127" spans="1:14">
      <c r="A127" s="84"/>
      <c r="B127" s="133"/>
      <c r="C127" s="35" t="s">
        <v>333</v>
      </c>
      <c r="D127" s="128"/>
      <c r="E127" s="139"/>
      <c r="F127" s="301" t="n">
        <f t="shared" si="43"/>
        <v>0.004087591240875913</v>
      </c>
      <c r="G127" s="990" t="n">
        <f t="shared" ref="G127:N127" si="53">IF(G$111&gt;0,G144/G$111,0)</f>
        <v>0.004076878276062901</v>
      </c>
      <c r="H127" s="990" t="n">
        <f t="shared" si="53"/>
        <v>0.004085205719288007</v>
      </c>
      <c r="I127" s="989" t="n">
        <f t="shared" si="53"/>
        <v>0.004100761570005858</v>
      </c>
      <c r="J127" s="301" t="n">
        <f t="shared" si="53"/>
        <v>0.004110393423370522</v>
      </c>
      <c r="K127" s="301" t="n">
        <f>IF(K$111&gt;0,K144/K$111,0)</f>
        <v>0.004054897067997504</v>
      </c>
      <c r="L127" s="301" t="n">
        <f t="shared" si="53"/>
        <v>0.004009355162044771</v>
      </c>
      <c r="M127" s="301" t="n">
        <f t="shared" si="53"/>
        <v>0.0039034776437189495</v>
      </c>
      <c r="N127" s="991" t="n">
        <f t="shared" si="53"/>
        <v>0.0042884990253411305</v>
      </c>
    </row>
    <row r="128" spans="1:14">
      <c r="A128" s="84"/>
      <c r="B128" s="133"/>
      <c r="C128" s="35" t="s">
        <v>334</v>
      </c>
      <c r="D128" s="128"/>
      <c r="E128" s="139"/>
      <c r="F128" s="301" t="n">
        <f t="shared" si="43"/>
        <v>0.0020437956204379564</v>
      </c>
      <c r="G128" s="990" t="n">
        <f t="shared" ref="G128:N128" si="54">IF(G$111&gt;0,G145/G$111,0)</f>
        <v>0.0020384391380314504</v>
      </c>
      <c r="H128" s="990" t="n">
        <f t="shared" si="54"/>
        <v>0.0020426028596440037</v>
      </c>
      <c r="I128" s="989" t="n">
        <f t="shared" si="54"/>
        <v>0.002050380785002929</v>
      </c>
      <c r="J128" s="301" t="n">
        <f t="shared" si="54"/>
        <v>0.002055196711685261</v>
      </c>
      <c r="K128" s="301" t="n">
        <f>IF(K$111&gt;0,K145/K$111,0)</f>
        <v>0.0018714909544603868</v>
      </c>
      <c r="L128" s="301" t="n">
        <f t="shared" si="54"/>
        <v>0.0020046775810223854</v>
      </c>
      <c r="M128" s="301" t="n">
        <f t="shared" si="54"/>
        <v>0.0021291696238466998</v>
      </c>
      <c r="N128" s="991" t="n">
        <f t="shared" si="54"/>
        <v>0.001949317738791423</v>
      </c>
    </row>
    <row r="129" spans="1:14">
      <c r="A129" s="84"/>
      <c r="B129" s="133"/>
      <c r="C129" s="35" t="s">
        <v>342</v>
      </c>
      <c r="D129" s="128"/>
      <c r="E129" s="139"/>
      <c r="F129" s="301" t="n">
        <f t="shared" si="43"/>
        <v>0.009051094890510949</v>
      </c>
      <c r="G129" s="990" t="n">
        <f t="shared" ref="G129:N129" si="55">IF(G$111&gt;0,G146/G$111,0)</f>
        <v>0.00902737332556785</v>
      </c>
      <c r="H129" s="990" t="n">
        <f t="shared" si="55"/>
        <v>0.00904581266413773</v>
      </c>
      <c r="I129" s="989" t="n">
        <f t="shared" si="55"/>
        <v>0.00908025776215583</v>
      </c>
      <c r="J129" s="301" t="n">
        <f t="shared" si="55"/>
        <v>0.0091015854374633</v>
      </c>
      <c r="K129" s="301" t="n">
        <f>IF(K$111&gt;0,K146/K$111,0)</f>
        <v>0.009045539613225203</v>
      </c>
      <c r="L129" s="301" t="n">
        <f t="shared" si="55"/>
        <v>0.009021049114600735</v>
      </c>
      <c r="M129" s="301" t="n">
        <f t="shared" si="55"/>
        <v>0.008871540099361249</v>
      </c>
      <c r="N129" s="991" t="n">
        <f t="shared" si="55"/>
        <v>0.008966861598440545</v>
      </c>
    </row>
    <row r="130" spans="1:14" hidden="1">
      <c r="A130" s="84"/>
      <c r="B130" s="133"/>
      <c r="C130" s="35"/>
      <c r="D130" s="128"/>
      <c r="E130" s="139"/>
      <c r="F130" s="301" t="n">
        <f t="shared" si="43"/>
        <v>0.0</v>
      </c>
      <c r="G130" s="990" t="n">
        <f>IF(G$111&gt;0,G147/G$111,0)</f>
        <v>0.0</v>
      </c>
      <c r="H130" s="990" t="n">
        <f t="shared" ref="H130:N130" si="56">IF(H$111&gt;0,H147/H$111,0)</f>
        <v>0.0</v>
      </c>
      <c r="I130" s="989" t="n">
        <f t="shared" si="56"/>
        <v>0.0</v>
      </c>
      <c r="J130" s="301" t="n">
        <f t="shared" si="56"/>
        <v>0.0</v>
      </c>
      <c r="K130" s="301" t="n">
        <f>IF(K$111&gt;0,K147/K$111,0)</f>
        <v>0.0</v>
      </c>
      <c r="L130" s="301" t="n">
        <f t="shared" si="56"/>
        <v>0.0</v>
      </c>
      <c r="M130" s="301" t="n">
        <f t="shared" si="56"/>
        <v>0.0</v>
      </c>
      <c r="N130" s="991" t="n">
        <f t="shared" si="56"/>
        <v>0.0</v>
      </c>
    </row>
    <row r="131" spans="1:14" hidden="1">
      <c r="A131" s="84"/>
      <c r="B131" s="133"/>
      <c r="C131" s="35"/>
      <c r="D131" s="128"/>
      <c r="E131" s="139"/>
      <c r="F131" s="301" t="n">
        <f t="shared" si="43"/>
        <v>0.0</v>
      </c>
      <c r="G131" s="990" t="n">
        <f>IF(G$111&gt;0,G148/G$111,0)</f>
        <v>0.0</v>
      </c>
      <c r="H131" s="990" t="n">
        <f t="shared" ref="H131:N131" si="57">IF(H$111&gt;0,H148/H$111,0)</f>
        <v>0.0</v>
      </c>
      <c r="I131" s="989" t="n">
        <f t="shared" si="57"/>
        <v>0.0</v>
      </c>
      <c r="J131" s="301" t="n">
        <f t="shared" si="57"/>
        <v>0.0</v>
      </c>
      <c r="K131" s="301" t="n">
        <f>IF(K$111&gt;0,K148/K$111,0)</f>
        <v>0.0</v>
      </c>
      <c r="L131" s="301" t="n">
        <f t="shared" si="57"/>
        <v>0.0</v>
      </c>
      <c r="M131" s="301" t="n">
        <f t="shared" si="57"/>
        <v>0.0</v>
      </c>
      <c r="N131" s="991" t="n">
        <f t="shared" si="57"/>
        <v>0.0</v>
      </c>
    </row>
    <row r="132" spans="1:14">
      <c r="A132" s="84"/>
      <c r="B132" s="133"/>
      <c r="C132" s="35" t="s">
        <v>36</v>
      </c>
      <c r="D132" s="128"/>
      <c r="E132" s="139"/>
      <c r="F132" s="301" t="n">
        <f t="shared" si="43"/>
        <v>1.0</v>
      </c>
      <c r="G132" s="990" t="n">
        <f>IF(G$111&gt;0,G149/G$111,0)</f>
        <v>1.0</v>
      </c>
      <c r="H132" s="990" t="n">
        <f t="shared" ref="H132:N132" si="58">IF(H$111&gt;0,H149/H$111,0)</f>
        <v>1.0</v>
      </c>
      <c r="I132" s="989" t="n">
        <f t="shared" si="58"/>
        <v>1.0</v>
      </c>
      <c r="J132" s="301" t="n">
        <f t="shared" si="58"/>
        <v>1.0</v>
      </c>
      <c r="K132" s="301" t="n">
        <f t="shared" si="58"/>
        <v>1.0</v>
      </c>
      <c r="L132" s="301" t="n">
        <f t="shared" si="58"/>
        <v>1.0</v>
      </c>
      <c r="M132" s="301" t="n">
        <f t="shared" si="58"/>
        <v>1.0</v>
      </c>
      <c r="N132" s="991" t="n">
        <f t="shared" si="58"/>
        <v>1.0</v>
      </c>
    </row>
    <row r="133" spans="1:14">
      <c r="A133" s="84"/>
      <c r="B133" s="140" t="s">
        <v>163</v>
      </c>
      <c r="C133" s="35"/>
      <c r="D133" s="128"/>
      <c r="E133" s="139"/>
      <c r="F133" s="304"/>
      <c r="G133" s="305"/>
      <c r="H133" s="305"/>
      <c r="I133" s="306"/>
      <c r="J133" s="653"/>
      <c r="K133" s="841"/>
      <c r="L133" s="841"/>
      <c r="M133" s="911"/>
      <c r="N133" s="842"/>
    </row>
    <row r="134" spans="1:14">
      <c r="A134" s="84"/>
      <c r="B134" s="307"/>
      <c r="C134" s="135" t="s">
        <v>161</v>
      </c>
      <c r="D134" s="136"/>
      <c r="E134" s="141"/>
      <c r="F134" s="630" t="n">
        <f>SUM(G134:I134)</f>
        <v>1567.0</v>
      </c>
      <c r="G134" s="253" t="n">
        <v>524.0</v>
      </c>
      <c r="H134" s="253" t="n">
        <v>522.0</v>
      </c>
      <c r="I134" s="292" t="n">
        <v>521.0</v>
      </c>
      <c r="J134" s="646" t="n">
        <v>519.0</v>
      </c>
      <c r="K134" s="391" t="n">
        <v>489.0</v>
      </c>
      <c r="L134" s="391" t="n">
        <v>457.0</v>
      </c>
      <c r="M134" s="907" t="n">
        <v>430.0</v>
      </c>
      <c r="N134" s="834" t="n">
        <v>391.0</v>
      </c>
    </row>
    <row r="135" spans="1:14">
      <c r="A135" s="84"/>
      <c r="B135" s="307"/>
      <c r="C135" s="135" t="s">
        <v>162</v>
      </c>
      <c r="D135" s="136"/>
      <c r="E135" s="141"/>
      <c r="F135" s="630" t="n">
        <f t="shared" ref="F135:F142" si="59">SUM(G135:I135)</f>
        <v>885.0</v>
      </c>
      <c r="G135" s="253" t="n">
        <v>296.0</v>
      </c>
      <c r="H135" s="253" t="n">
        <v>295.0</v>
      </c>
      <c r="I135" s="292" t="n">
        <v>294.0</v>
      </c>
      <c r="J135" s="646" t="n">
        <v>294.0</v>
      </c>
      <c r="K135" s="391" t="n">
        <v>277.0</v>
      </c>
      <c r="L135" s="391" t="n">
        <v>258.0</v>
      </c>
      <c r="M135" s="907" t="n">
        <v>243.0</v>
      </c>
      <c r="N135" s="834" t="n">
        <v>221.0</v>
      </c>
    </row>
    <row r="136" spans="1:14">
      <c r="A136" s="84"/>
      <c r="B136" s="307"/>
      <c r="C136" s="135" t="s">
        <v>123</v>
      </c>
      <c r="D136" s="136"/>
      <c r="E136" s="141"/>
      <c r="F136" s="630" t="n">
        <f t="shared" si="59"/>
        <v>812.0</v>
      </c>
      <c r="G136" s="253" t="n">
        <v>271.0</v>
      </c>
      <c r="H136" s="253" t="n">
        <v>271.0</v>
      </c>
      <c r="I136" s="292" t="n">
        <v>270.0</v>
      </c>
      <c r="J136" s="646" t="n">
        <v>269.0</v>
      </c>
      <c r="K136" s="391" t="n">
        <v>253.0</v>
      </c>
      <c r="L136" s="391" t="n">
        <v>237.0</v>
      </c>
      <c r="M136" s="907" t="n">
        <v>223.0</v>
      </c>
      <c r="N136" s="834" t="n">
        <v>203.0</v>
      </c>
    </row>
    <row r="137" spans="1:14">
      <c r="A137" s="84"/>
      <c r="B137" s="307"/>
      <c r="C137" s="135" t="s">
        <v>124</v>
      </c>
      <c r="D137" s="136"/>
      <c r="E137" s="141"/>
      <c r="F137" s="630" t="n">
        <f t="shared" si="59"/>
        <v>1295.0</v>
      </c>
      <c r="G137" s="253" t="n">
        <v>433.0</v>
      </c>
      <c r="H137" s="253" t="n">
        <v>432.0</v>
      </c>
      <c r="I137" s="292" t="n">
        <v>430.0</v>
      </c>
      <c r="J137" s="646" t="n">
        <v>429.0</v>
      </c>
      <c r="K137" s="391" t="n">
        <v>404.0</v>
      </c>
      <c r="L137" s="391" t="n">
        <v>377.0</v>
      </c>
      <c r="M137" s="907" t="n">
        <v>355.0</v>
      </c>
      <c r="N137" s="834" t="n">
        <v>323.0</v>
      </c>
    </row>
    <row r="138" spans="1:14">
      <c r="A138" s="84"/>
      <c r="B138" s="307"/>
      <c r="C138" s="135" t="s">
        <v>125</v>
      </c>
      <c r="D138" s="136"/>
      <c r="E138" s="141"/>
      <c r="F138" s="630" t="n">
        <f t="shared" si="59"/>
        <v>1820.0</v>
      </c>
      <c r="G138" s="253" t="n">
        <v>608.0</v>
      </c>
      <c r="H138" s="253" t="n">
        <v>607.0</v>
      </c>
      <c r="I138" s="292" t="n">
        <v>605.0</v>
      </c>
      <c r="J138" s="646" t="n">
        <v>603.0</v>
      </c>
      <c r="K138" s="391" t="n">
        <v>568.0</v>
      </c>
      <c r="L138" s="391" t="n">
        <v>530.0</v>
      </c>
      <c r="M138" s="907" t="n">
        <v>499.0</v>
      </c>
      <c r="N138" s="834" t="n">
        <v>455.0</v>
      </c>
    </row>
    <row r="139" spans="1:14">
      <c r="A139" s="84"/>
      <c r="B139" s="307"/>
      <c r="C139" s="135" t="s">
        <v>232</v>
      </c>
      <c r="D139" s="136"/>
      <c r="E139" s="141"/>
      <c r="F139" s="630" t="n">
        <f t="shared" si="59"/>
        <v>1466.0</v>
      </c>
      <c r="G139" s="253" t="n">
        <v>490.0</v>
      </c>
      <c r="H139" s="253" t="n">
        <v>489.0</v>
      </c>
      <c r="I139" s="292" t="n">
        <v>487.0</v>
      </c>
      <c r="J139" s="646" t="n">
        <v>486.0</v>
      </c>
      <c r="K139" s="391" t="n">
        <v>457.0</v>
      </c>
      <c r="L139" s="391" t="n">
        <v>427.0</v>
      </c>
      <c r="M139" s="907" t="n">
        <v>402.0</v>
      </c>
      <c r="N139" s="834" t="n">
        <v>366.0</v>
      </c>
    </row>
    <row r="140" spans="1:14">
      <c r="A140" s="84"/>
      <c r="B140" s="307"/>
      <c r="C140" s="135" t="s">
        <v>233</v>
      </c>
      <c r="D140" s="136"/>
      <c r="E140" s="141"/>
      <c r="F140" s="630" t="n">
        <f t="shared" si="59"/>
        <v>1247.0</v>
      </c>
      <c r="G140" s="253" t="n">
        <v>417.0</v>
      </c>
      <c r="H140" s="253" t="n">
        <v>416.0</v>
      </c>
      <c r="I140" s="292" t="n">
        <v>414.0</v>
      </c>
      <c r="J140" s="646" t="n">
        <v>413.0</v>
      </c>
      <c r="K140" s="391" t="n">
        <v>389.0</v>
      </c>
      <c r="L140" s="391" t="n">
        <v>363.0</v>
      </c>
      <c r="M140" s="907" t="n">
        <v>342.0</v>
      </c>
      <c r="N140" s="834" t="n">
        <v>311.0</v>
      </c>
    </row>
    <row r="141" spans="1:14">
      <c r="A141" s="84"/>
      <c r="B141" s="307"/>
      <c r="C141" s="135" t="s">
        <v>234</v>
      </c>
      <c r="D141" s="136"/>
      <c r="E141" s="141"/>
      <c r="F141" s="630" t="n">
        <f t="shared" si="59"/>
        <v>689.0</v>
      </c>
      <c r="G141" s="253" t="n">
        <v>230.0</v>
      </c>
      <c r="H141" s="253" t="n">
        <v>230.0</v>
      </c>
      <c r="I141" s="292" t="n">
        <v>229.0</v>
      </c>
      <c r="J141" s="646" t="n">
        <v>229.0</v>
      </c>
      <c r="K141" s="391" t="n">
        <v>215.0</v>
      </c>
      <c r="L141" s="391" t="n">
        <v>201.0</v>
      </c>
      <c r="M141" s="907" t="n">
        <v>189.0</v>
      </c>
      <c r="N141" s="834" t="n">
        <v>172.0</v>
      </c>
    </row>
    <row r="142" spans="1:14">
      <c r="A142" s="84"/>
      <c r="B142" s="307"/>
      <c r="C142" s="135" t="s">
        <v>235</v>
      </c>
      <c r="D142" s="136"/>
      <c r="E142" s="141"/>
      <c r="F142" s="630" t="n">
        <f t="shared" si="59"/>
        <v>230.0</v>
      </c>
      <c r="G142" s="253" t="n">
        <v>77.0</v>
      </c>
      <c r="H142" s="253" t="n">
        <v>77.0</v>
      </c>
      <c r="I142" s="292" t="n">
        <v>76.0</v>
      </c>
      <c r="J142" s="646" t="n">
        <v>76.0</v>
      </c>
      <c r="K142" s="391" t="n">
        <v>72.0</v>
      </c>
      <c r="L142" s="391" t="n">
        <v>67.0</v>
      </c>
      <c r="M142" s="907" t="n">
        <v>63.0</v>
      </c>
      <c r="N142" s="834" t="n">
        <v>57.0</v>
      </c>
    </row>
    <row r="143" spans="1:14">
      <c r="A143" s="84"/>
      <c r="B143" s="307"/>
      <c r="C143" s="135" t="s">
        <v>332</v>
      </c>
      <c r="D143" s="136"/>
      <c r="E143" s="141"/>
      <c r="F143" s="630" t="n">
        <f t="shared" ref="F143" si="60">SUM(G143:I143)</f>
        <v>108.0</v>
      </c>
      <c r="G143" s="253" t="n">
        <v>36.0</v>
      </c>
      <c r="H143" s="253" t="n">
        <v>36.0</v>
      </c>
      <c r="I143" s="292" t="n">
        <v>36.0</v>
      </c>
      <c r="J143" s="646" t="n">
        <v>36.0</v>
      </c>
      <c r="K143" s="391" t="n">
        <v>34.0</v>
      </c>
      <c r="L143" s="391" t="n">
        <v>31.0</v>
      </c>
      <c r="M143" s="907" t="n">
        <v>30.0</v>
      </c>
      <c r="N143" s="834" t="n">
        <v>27.0</v>
      </c>
    </row>
    <row r="144" spans="1:14">
      <c r="A144" s="84"/>
      <c r="B144" s="307"/>
      <c r="C144" s="135" t="s">
        <v>333</v>
      </c>
      <c r="D144" s="136"/>
      <c r="E144" s="141"/>
      <c r="F144" s="630" t="n">
        <f>SUM(G144:I144)</f>
        <v>42.0</v>
      </c>
      <c r="G144" s="253" t="n">
        <v>14.0</v>
      </c>
      <c r="H144" s="253" t="n">
        <v>14.0</v>
      </c>
      <c r="I144" s="292" t="n">
        <v>14.0</v>
      </c>
      <c r="J144" s="646" t="n">
        <v>14.0</v>
      </c>
      <c r="K144" s="391" t="n">
        <v>13.0</v>
      </c>
      <c r="L144" s="391" t="n">
        <v>12.0</v>
      </c>
      <c r="M144" s="907" t="n">
        <v>11.0</v>
      </c>
      <c r="N144" s="834" t="n">
        <v>11.0</v>
      </c>
    </row>
    <row r="145" spans="1:14">
      <c r="A145" s="84"/>
      <c r="B145" s="307"/>
      <c r="C145" s="135" t="s">
        <v>334</v>
      </c>
      <c r="D145" s="136"/>
      <c r="E145" s="141"/>
      <c r="F145" s="630" t="n">
        <f>SUM(G145:I145)</f>
        <v>21.0</v>
      </c>
      <c r="G145" s="253" t="n">
        <v>7.0</v>
      </c>
      <c r="H145" s="253" t="n">
        <v>7.0</v>
      </c>
      <c r="I145" s="292" t="n">
        <v>7.0</v>
      </c>
      <c r="J145" s="646" t="n">
        <v>7.0</v>
      </c>
      <c r="K145" s="391" t="n">
        <v>6.0</v>
      </c>
      <c r="L145" s="391" t="n">
        <v>6.0</v>
      </c>
      <c r="M145" s="907" t="n">
        <v>6.0</v>
      </c>
      <c r="N145" s="834" t="n">
        <v>5.0</v>
      </c>
    </row>
    <row r="146" spans="1:14">
      <c r="A146" s="84"/>
      <c r="B146" s="307"/>
      <c r="C146" s="135" t="s">
        <v>342</v>
      </c>
      <c r="D146" s="136"/>
      <c r="E146" s="141"/>
      <c r="F146" s="630" t="n">
        <f>SUM(G146:I146)</f>
        <v>93.0</v>
      </c>
      <c r="G146" s="253" t="n">
        <v>31.0</v>
      </c>
      <c r="H146" s="253" t="n">
        <v>31.0</v>
      </c>
      <c r="I146" s="292" t="n">
        <v>31.0</v>
      </c>
      <c r="J146" s="646" t="n">
        <v>31.0</v>
      </c>
      <c r="K146" s="391" t="n">
        <v>29.0</v>
      </c>
      <c r="L146" s="391" t="n">
        <v>27.0</v>
      </c>
      <c r="M146" s="907" t="n">
        <v>25.0</v>
      </c>
      <c r="N146" s="834" t="n">
        <v>23.0</v>
      </c>
    </row>
    <row r="147" spans="1:14" hidden="1">
      <c r="A147" s="84"/>
      <c r="B147" s="307"/>
      <c r="C147" s="135"/>
      <c r="D147" s="136"/>
      <c r="E147" s="141"/>
      <c r="F147" s="630" t="n">
        <f>SUM(G147:I147)</f>
        <v>0.0</v>
      </c>
      <c r="G147" s="253"/>
      <c r="H147" s="253"/>
      <c r="I147" s="292"/>
      <c r="J147" s="646"/>
      <c r="K147" s="391"/>
      <c r="L147" s="391"/>
      <c r="M147" s="907"/>
      <c r="N147" s="834"/>
    </row>
    <row r="148" spans="1:14" hidden="1">
      <c r="A148" s="84"/>
      <c r="B148" s="307"/>
      <c r="C148" s="135"/>
      <c r="D148" s="136"/>
      <c r="E148" s="141"/>
      <c r="F148" s="630" t="n">
        <f>SUM(G148:I148)</f>
        <v>0.0</v>
      </c>
      <c r="G148" s="253"/>
      <c r="H148" s="253"/>
      <c r="I148" s="292"/>
      <c r="J148" s="646"/>
      <c r="K148" s="391"/>
      <c r="L148" s="391"/>
      <c r="M148" s="907"/>
      <c r="N148" s="834"/>
    </row>
    <row r="149" spans="1:14">
      <c r="A149" s="84"/>
      <c r="B149" s="307"/>
      <c r="C149" s="308" t="s">
        <v>36</v>
      </c>
      <c r="D149" s="127"/>
      <c r="E149" s="309"/>
      <c r="F149" s="310" t="n">
        <f>SUM(F134:F148)</f>
        <v>10275.0</v>
      </c>
      <c r="G149" s="311" t="n">
        <f>SUM(G134:G148)</f>
        <v>3434.0</v>
      </c>
      <c r="H149" s="311" t="n">
        <f t="shared" ref="H149:M149" si="61">SUM(H134:H148)</f>
        <v>3427.0</v>
      </c>
      <c r="I149" s="312" t="n">
        <f t="shared" si="61"/>
        <v>3414.0</v>
      </c>
      <c r="J149" s="654" t="n">
        <f t="shared" si="61"/>
        <v>3406.0</v>
      </c>
      <c r="K149" s="843" t="n">
        <f t="shared" si="61"/>
        <v>3206.0</v>
      </c>
      <c r="L149" s="843" t="n">
        <f t="shared" si="61"/>
        <v>2993.0</v>
      </c>
      <c r="M149" s="912" t="n">
        <f t="shared" si="61"/>
        <v>2818.0</v>
      </c>
      <c r="N149" s="844" t="n">
        <f>SUM(N134:N148)</f>
        <v>2565.0</v>
      </c>
    </row>
    <row r="150" spans="1:14">
      <c r="A150" s="84"/>
      <c r="B150" s="1108" t="s">
        <v>164</v>
      </c>
      <c r="C150" s="1109"/>
      <c r="D150" s="1109"/>
      <c r="E150" s="1122"/>
      <c r="F150" s="205"/>
      <c r="G150" s="299"/>
      <c r="H150" s="299"/>
      <c r="I150" s="300"/>
      <c r="J150" s="651"/>
      <c r="K150" s="837"/>
      <c r="L150" s="837"/>
      <c r="M150" s="909"/>
      <c r="N150" s="838"/>
    </row>
    <row r="151" spans="1:14">
      <c r="A151" s="84"/>
      <c r="B151" s="140"/>
      <c r="C151" s="128" t="s">
        <v>161</v>
      </c>
      <c r="D151" s="128"/>
      <c r="E151" s="139"/>
      <c r="F151" s="301" t="str">
        <f t="shared" ref="F151:N151" si="62">IF(AND(F$111&gt;0,F183&lt;&gt;""),F183/F$111,"")</f>
        <v/>
      </c>
      <c r="G151" s="302" t="str">
        <f t="shared" si="62"/>
        <v/>
      </c>
      <c r="H151" s="302" t="str">
        <f t="shared" si="62"/>
        <v/>
      </c>
      <c r="I151" s="303" t="str">
        <f t="shared" si="62"/>
        <v/>
      </c>
      <c r="J151" s="652" t="str">
        <f t="shared" si="62"/>
        <v/>
      </c>
      <c r="K151" s="839" t="str">
        <f t="shared" si="62"/>
        <v/>
      </c>
      <c r="L151" s="839" t="str">
        <f t="shared" si="62"/>
        <v/>
      </c>
      <c r="M151" s="910" t="str">
        <f t="shared" si="62"/>
        <v/>
      </c>
      <c r="N151" s="840" t="str">
        <f t="shared" si="62"/>
        <v/>
      </c>
    </row>
    <row r="152" spans="1:14">
      <c r="A152" s="84"/>
      <c r="B152" s="307"/>
      <c r="C152" s="128" t="s">
        <v>162</v>
      </c>
      <c r="D152" s="128"/>
      <c r="E152" s="139"/>
      <c r="F152" s="301" t="str">
        <f t="shared" ref="F152:N152" si="63">IF(AND(F$111&gt;0,F184&lt;&gt;""),F184/F$111,"")</f>
        <v/>
      </c>
      <c r="G152" s="302" t="str">
        <f t="shared" si="63"/>
        <v/>
      </c>
      <c r="H152" s="302" t="str">
        <f t="shared" si="63"/>
        <v/>
      </c>
      <c r="I152" s="303" t="str">
        <f t="shared" si="63"/>
        <v/>
      </c>
      <c r="J152" s="652" t="str">
        <f t="shared" si="63"/>
        <v/>
      </c>
      <c r="K152" s="839" t="str">
        <f t="shared" si="63"/>
        <v/>
      </c>
      <c r="L152" s="839" t="str">
        <f t="shared" si="63"/>
        <v/>
      </c>
      <c r="M152" s="910" t="str">
        <f t="shared" si="63"/>
        <v/>
      </c>
      <c r="N152" s="840" t="str">
        <f t="shared" si="63"/>
        <v/>
      </c>
    </row>
    <row r="153" spans="1:14">
      <c r="A153" s="84"/>
      <c r="B153" s="307"/>
      <c r="C153" s="128" t="s">
        <v>123</v>
      </c>
      <c r="D153" s="128"/>
      <c r="E153" s="139"/>
      <c r="F153" s="301" t="str">
        <f t="shared" ref="F153:N153" si="64">IF(AND(F$111&gt;0,F185&lt;&gt;""),F185/F$111,"")</f>
        <v/>
      </c>
      <c r="G153" s="302" t="str">
        <f t="shared" si="64"/>
        <v/>
      </c>
      <c r="H153" s="302" t="str">
        <f t="shared" si="64"/>
        <v/>
      </c>
      <c r="I153" s="303" t="str">
        <f t="shared" si="64"/>
        <v/>
      </c>
      <c r="J153" s="652" t="str">
        <f t="shared" si="64"/>
        <v/>
      </c>
      <c r="K153" s="839" t="str">
        <f t="shared" si="64"/>
        <v/>
      </c>
      <c r="L153" s="839" t="str">
        <f t="shared" si="64"/>
        <v/>
      </c>
      <c r="M153" s="910" t="str">
        <f t="shared" si="64"/>
        <v/>
      </c>
      <c r="N153" s="840" t="str">
        <f t="shared" si="64"/>
        <v/>
      </c>
    </row>
    <row r="154" spans="1:14">
      <c r="A154" s="84"/>
      <c r="B154" s="307"/>
      <c r="C154" s="128" t="s">
        <v>124</v>
      </c>
      <c r="D154" s="128"/>
      <c r="E154" s="139"/>
      <c r="F154" s="301" t="str">
        <f t="shared" ref="F154:N154" si="65">IF(AND(F$111&gt;0,F186&lt;&gt;""),F186/F$111,"")</f>
        <v/>
      </c>
      <c r="G154" s="302" t="str">
        <f t="shared" si="65"/>
        <v/>
      </c>
      <c r="H154" s="302" t="str">
        <f t="shared" si="65"/>
        <v/>
      </c>
      <c r="I154" s="303" t="str">
        <f t="shared" si="65"/>
        <v/>
      </c>
      <c r="J154" s="652" t="str">
        <f t="shared" si="65"/>
        <v/>
      </c>
      <c r="K154" s="839" t="str">
        <f t="shared" si="65"/>
        <v/>
      </c>
      <c r="L154" s="839" t="str">
        <f t="shared" si="65"/>
        <v/>
      </c>
      <c r="M154" s="910" t="str">
        <f t="shared" si="65"/>
        <v/>
      </c>
      <c r="N154" s="840" t="str">
        <f t="shared" si="65"/>
        <v/>
      </c>
    </row>
    <row r="155" spans="1:14">
      <c r="A155" s="84"/>
      <c r="B155" s="307"/>
      <c r="C155" s="128" t="s">
        <v>125</v>
      </c>
      <c r="D155" s="128"/>
      <c r="E155" s="139"/>
      <c r="F155" s="301" t="str">
        <f t="shared" ref="F155:N155" si="66">IF(AND(F$111&gt;0,F187&lt;&gt;""),F187/F$111,"")</f>
        <v/>
      </c>
      <c r="G155" s="302" t="str">
        <f t="shared" si="66"/>
        <v/>
      </c>
      <c r="H155" s="302" t="str">
        <f t="shared" si="66"/>
        <v/>
      </c>
      <c r="I155" s="303" t="str">
        <f t="shared" si="66"/>
        <v/>
      </c>
      <c r="J155" s="652" t="str">
        <f t="shared" si="66"/>
        <v/>
      </c>
      <c r="K155" s="839" t="str">
        <f t="shared" si="66"/>
        <v/>
      </c>
      <c r="L155" s="839" t="str">
        <f t="shared" si="66"/>
        <v/>
      </c>
      <c r="M155" s="910" t="str">
        <f t="shared" si="66"/>
        <v/>
      </c>
      <c r="N155" s="840" t="str">
        <f t="shared" si="66"/>
        <v/>
      </c>
    </row>
    <row r="156" spans="1:14">
      <c r="A156" s="84"/>
      <c r="B156" s="307"/>
      <c r="C156" s="128" t="s">
        <v>225</v>
      </c>
      <c r="D156" s="128"/>
      <c r="E156" s="139"/>
      <c r="F156" s="301" t="str">
        <f t="shared" ref="F156:N156" si="67">IF(AND(F$111&gt;0,F188&lt;&gt;""),F188/F$111,"")</f>
        <v/>
      </c>
      <c r="G156" s="302" t="str">
        <f t="shared" si="67"/>
        <v/>
      </c>
      <c r="H156" s="302" t="str">
        <f t="shared" si="67"/>
        <v/>
      </c>
      <c r="I156" s="303" t="str">
        <f t="shared" si="67"/>
        <v/>
      </c>
      <c r="J156" s="652" t="str">
        <f t="shared" si="67"/>
        <v/>
      </c>
      <c r="K156" s="839" t="str">
        <f t="shared" si="67"/>
        <v/>
      </c>
      <c r="L156" s="839" t="str">
        <f t="shared" si="67"/>
        <v/>
      </c>
      <c r="M156" s="910" t="str">
        <f t="shared" si="67"/>
        <v/>
      </c>
      <c r="N156" s="840" t="str">
        <f t="shared" si="67"/>
        <v/>
      </c>
    </row>
    <row r="157" spans="1:14">
      <c r="A157" s="84"/>
      <c r="B157" s="307"/>
      <c r="C157" s="128" t="s">
        <v>226</v>
      </c>
      <c r="D157" s="128"/>
      <c r="E157" s="139"/>
      <c r="F157" s="301" t="str">
        <f t="shared" ref="F157:N157" si="68">IF(AND(F$111&gt;0,F189&lt;&gt;""),F189/F$111,"")</f>
        <v/>
      </c>
      <c r="G157" s="302" t="str">
        <f t="shared" si="68"/>
        <v/>
      </c>
      <c r="H157" s="302" t="str">
        <f t="shared" si="68"/>
        <v/>
      </c>
      <c r="I157" s="303" t="str">
        <f t="shared" si="68"/>
        <v/>
      </c>
      <c r="J157" s="652" t="str">
        <f t="shared" si="68"/>
        <v/>
      </c>
      <c r="K157" s="839" t="str">
        <f t="shared" si="68"/>
        <v/>
      </c>
      <c r="L157" s="839" t="str">
        <f t="shared" si="68"/>
        <v/>
      </c>
      <c r="M157" s="910" t="str">
        <f t="shared" si="68"/>
        <v/>
      </c>
      <c r="N157" s="840" t="str">
        <f t="shared" si="68"/>
        <v/>
      </c>
    </row>
    <row r="158" spans="1:14">
      <c r="A158" s="84"/>
      <c r="B158" s="307"/>
      <c r="C158" s="128" t="s">
        <v>227</v>
      </c>
      <c r="D158" s="128"/>
      <c r="E158" s="139"/>
      <c r="F158" s="301" t="str">
        <f t="shared" ref="F158:N158" si="69">IF(AND(F$111&gt;0,F190&lt;&gt;""),F190/F$111,"")</f>
        <v/>
      </c>
      <c r="G158" s="302" t="str">
        <f t="shared" si="69"/>
        <v/>
      </c>
      <c r="H158" s="302" t="str">
        <f t="shared" si="69"/>
        <v/>
      </c>
      <c r="I158" s="303" t="str">
        <f t="shared" si="69"/>
        <v/>
      </c>
      <c r="J158" s="652" t="str">
        <f t="shared" si="69"/>
        <v/>
      </c>
      <c r="K158" s="839" t="str">
        <f t="shared" si="69"/>
        <v/>
      </c>
      <c r="L158" s="839" t="str">
        <f t="shared" si="69"/>
        <v/>
      </c>
      <c r="M158" s="910" t="str">
        <f t="shared" si="69"/>
        <v/>
      </c>
      <c r="N158" s="840" t="str">
        <f t="shared" si="69"/>
        <v/>
      </c>
    </row>
    <row r="159" spans="1:14">
      <c r="A159" s="84"/>
      <c r="B159" s="307"/>
      <c r="C159" s="128" t="s">
        <v>228</v>
      </c>
      <c r="D159" s="128"/>
      <c r="E159" s="139"/>
      <c r="F159" s="301" t="str">
        <f t="shared" ref="F159:N159" si="70">IF(AND(F$111&gt;0,F191&lt;&gt;""),F191/F$111,"")</f>
        <v/>
      </c>
      <c r="G159" s="302" t="str">
        <f t="shared" si="70"/>
        <v/>
      </c>
      <c r="H159" s="302" t="str">
        <f t="shared" si="70"/>
        <v/>
      </c>
      <c r="I159" s="303" t="str">
        <f t="shared" si="70"/>
        <v/>
      </c>
      <c r="J159" s="652" t="str">
        <f t="shared" si="70"/>
        <v/>
      </c>
      <c r="K159" s="839" t="str">
        <f t="shared" si="70"/>
        <v/>
      </c>
      <c r="L159" s="839" t="str">
        <f t="shared" si="70"/>
        <v/>
      </c>
      <c r="M159" s="910" t="str">
        <f t="shared" si="70"/>
        <v/>
      </c>
      <c r="N159" s="840" t="str">
        <f t="shared" si="70"/>
        <v/>
      </c>
    </row>
    <row r="160" spans="1:14">
      <c r="A160" s="84"/>
      <c r="B160" s="307"/>
      <c r="C160" s="128" t="s">
        <v>165</v>
      </c>
      <c r="D160" s="128"/>
      <c r="E160" s="139"/>
      <c r="F160" s="301" t="str">
        <f t="shared" ref="F160:N160" si="71">IF(AND(F$111&gt;0,F192&lt;&gt;""),F192/F$111,"")</f>
        <v/>
      </c>
      <c r="G160" s="302" t="str">
        <f t="shared" si="71"/>
        <v/>
      </c>
      <c r="H160" s="302" t="str">
        <f t="shared" si="71"/>
        <v/>
      </c>
      <c r="I160" s="303" t="str">
        <f t="shared" si="71"/>
        <v/>
      </c>
      <c r="J160" s="652" t="str">
        <f t="shared" si="71"/>
        <v/>
      </c>
      <c r="K160" s="839" t="str">
        <f t="shared" si="71"/>
        <v/>
      </c>
      <c r="L160" s="839" t="str">
        <f t="shared" si="71"/>
        <v/>
      </c>
      <c r="M160" s="910" t="str">
        <f t="shared" si="71"/>
        <v/>
      </c>
      <c r="N160" s="840" t="str">
        <f t="shared" si="71"/>
        <v/>
      </c>
    </row>
    <row r="161" spans="1:14">
      <c r="A161" s="84"/>
      <c r="B161" s="307"/>
      <c r="C161" s="128" t="s">
        <v>166</v>
      </c>
      <c r="D161" s="128"/>
      <c r="E161" s="139"/>
      <c r="F161" s="301" t="str">
        <f t="shared" ref="F161:N161" si="72">IF(AND(F$111&gt;0,F193&lt;&gt;""),F193/F$111,"")</f>
        <v/>
      </c>
      <c r="G161" s="302" t="str">
        <f t="shared" si="72"/>
        <v/>
      </c>
      <c r="H161" s="302" t="str">
        <f t="shared" si="72"/>
        <v/>
      </c>
      <c r="I161" s="303" t="str">
        <f t="shared" si="72"/>
        <v/>
      </c>
      <c r="J161" s="652" t="str">
        <f t="shared" si="72"/>
        <v/>
      </c>
      <c r="K161" s="839" t="str">
        <f t="shared" si="72"/>
        <v/>
      </c>
      <c r="L161" s="839" t="str">
        <f t="shared" si="72"/>
        <v/>
      </c>
      <c r="M161" s="910" t="str">
        <f t="shared" si="72"/>
        <v/>
      </c>
      <c r="N161" s="840" t="str">
        <f t="shared" si="72"/>
        <v/>
      </c>
    </row>
    <row r="162" spans="1:14">
      <c r="A162" s="84"/>
      <c r="B162" s="307"/>
      <c r="C162" s="128" t="s">
        <v>167</v>
      </c>
      <c r="D162" s="128"/>
      <c r="E162" s="139"/>
      <c r="F162" s="301" t="str">
        <f t="shared" ref="F162:N162" si="73">IF(AND(F$111&gt;0,F194&lt;&gt;""),F194/F$111,"")</f>
        <v/>
      </c>
      <c r="G162" s="302" t="str">
        <f t="shared" si="73"/>
        <v/>
      </c>
      <c r="H162" s="302" t="str">
        <f t="shared" si="73"/>
        <v/>
      </c>
      <c r="I162" s="303" t="str">
        <f t="shared" si="73"/>
        <v/>
      </c>
      <c r="J162" s="652" t="str">
        <f t="shared" si="73"/>
        <v/>
      </c>
      <c r="K162" s="839" t="str">
        <f t="shared" si="73"/>
        <v/>
      </c>
      <c r="L162" s="839" t="str">
        <f t="shared" si="73"/>
        <v/>
      </c>
      <c r="M162" s="910" t="str">
        <f t="shared" si="73"/>
        <v/>
      </c>
      <c r="N162" s="840" t="str">
        <f t="shared" si="73"/>
        <v/>
      </c>
    </row>
    <row r="163" spans="1:14">
      <c r="A163" s="84"/>
      <c r="B163" s="307"/>
      <c r="C163" s="128" t="s">
        <v>168</v>
      </c>
      <c r="D163" s="128"/>
      <c r="E163" s="139"/>
      <c r="F163" s="301" t="str">
        <f t="shared" ref="F163:N163" si="74">IF(AND(F$111&gt;0,F195&lt;&gt;""),F195/F$111,"")</f>
        <v/>
      </c>
      <c r="G163" s="302" t="str">
        <f t="shared" si="74"/>
        <v/>
      </c>
      <c r="H163" s="302" t="str">
        <f t="shared" si="74"/>
        <v/>
      </c>
      <c r="I163" s="303" t="str">
        <f t="shared" si="74"/>
        <v/>
      </c>
      <c r="J163" s="652" t="str">
        <f t="shared" si="74"/>
        <v/>
      </c>
      <c r="K163" s="839" t="str">
        <f t="shared" si="74"/>
        <v/>
      </c>
      <c r="L163" s="839" t="str">
        <f t="shared" si="74"/>
        <v/>
      </c>
      <c r="M163" s="910" t="str">
        <f t="shared" si="74"/>
        <v/>
      </c>
      <c r="N163" s="840" t="str">
        <f t="shared" si="74"/>
        <v/>
      </c>
    </row>
    <row r="164" spans="1:14">
      <c r="A164" s="84"/>
      <c r="B164" s="307"/>
      <c r="C164" s="128" t="s">
        <v>169</v>
      </c>
      <c r="D164" s="128"/>
      <c r="E164" s="139"/>
      <c r="F164" s="301" t="str">
        <f t="shared" ref="F164:N164" si="75">IF(AND(F$111&gt;0,F196&lt;&gt;""),F196/F$111,"")</f>
        <v/>
      </c>
      <c r="G164" s="302" t="str">
        <f t="shared" si="75"/>
        <v/>
      </c>
      <c r="H164" s="302" t="str">
        <f t="shared" si="75"/>
        <v/>
      </c>
      <c r="I164" s="303" t="str">
        <f t="shared" si="75"/>
        <v/>
      </c>
      <c r="J164" s="652" t="str">
        <f t="shared" si="75"/>
        <v/>
      </c>
      <c r="K164" s="839" t="str">
        <f t="shared" si="75"/>
        <v/>
      </c>
      <c r="L164" s="839" t="str">
        <f t="shared" si="75"/>
        <v/>
      </c>
      <c r="M164" s="910" t="str">
        <f t="shared" si="75"/>
        <v/>
      </c>
      <c r="N164" s="840" t="str">
        <f t="shared" si="75"/>
        <v/>
      </c>
    </row>
    <row r="165" spans="1:14">
      <c r="A165" s="84"/>
      <c r="B165" s="307"/>
      <c r="C165" s="128" t="s">
        <v>170</v>
      </c>
      <c r="D165" s="128"/>
      <c r="E165" s="139"/>
      <c r="F165" s="301" t="str">
        <f t="shared" ref="F165:N165" si="76">IF(AND(F$111&gt;0,F197&lt;&gt;""),F197/F$111,"")</f>
        <v/>
      </c>
      <c r="G165" s="302" t="str">
        <f t="shared" si="76"/>
        <v/>
      </c>
      <c r="H165" s="302" t="str">
        <f t="shared" si="76"/>
        <v/>
      </c>
      <c r="I165" s="303" t="str">
        <f t="shared" si="76"/>
        <v/>
      </c>
      <c r="J165" s="652" t="str">
        <f t="shared" si="76"/>
        <v/>
      </c>
      <c r="K165" s="839" t="str">
        <f t="shared" si="76"/>
        <v/>
      </c>
      <c r="L165" s="839" t="str">
        <f t="shared" si="76"/>
        <v/>
      </c>
      <c r="M165" s="910" t="str">
        <f t="shared" si="76"/>
        <v/>
      </c>
      <c r="N165" s="840" t="str">
        <f t="shared" si="76"/>
        <v/>
      </c>
    </row>
    <row r="166" spans="1:14">
      <c r="A166" s="84"/>
      <c r="B166" s="307"/>
      <c r="C166" s="128" t="s">
        <v>171</v>
      </c>
      <c r="D166" s="128"/>
      <c r="E166" s="139"/>
      <c r="F166" s="301" t="str">
        <f t="shared" ref="F166:N166" si="77">IF(AND(F$111&gt;0,F198&lt;&gt;""),F198/F$111,"")</f>
        <v/>
      </c>
      <c r="G166" s="302" t="str">
        <f t="shared" si="77"/>
        <v/>
      </c>
      <c r="H166" s="302" t="str">
        <f t="shared" si="77"/>
        <v/>
      </c>
      <c r="I166" s="303" t="str">
        <f t="shared" si="77"/>
        <v/>
      </c>
      <c r="J166" s="652" t="str">
        <f t="shared" si="77"/>
        <v/>
      </c>
      <c r="K166" s="839" t="str">
        <f t="shared" si="77"/>
        <v/>
      </c>
      <c r="L166" s="839" t="str">
        <f t="shared" si="77"/>
        <v/>
      </c>
      <c r="M166" s="910" t="str">
        <f t="shared" si="77"/>
        <v/>
      </c>
      <c r="N166" s="840" t="str">
        <f t="shared" si="77"/>
        <v/>
      </c>
    </row>
    <row r="167" spans="1:14">
      <c r="A167" s="84"/>
      <c r="B167" s="307"/>
      <c r="C167" s="128" t="s">
        <v>172</v>
      </c>
      <c r="D167" s="128"/>
      <c r="E167" s="139"/>
      <c r="F167" s="301" t="str">
        <f t="shared" ref="F167:N167" si="78">IF(AND(F$111&gt;0,F199&lt;&gt;""),F199/F$111,"")</f>
        <v/>
      </c>
      <c r="G167" s="302" t="str">
        <f t="shared" si="78"/>
        <v/>
      </c>
      <c r="H167" s="302" t="str">
        <f t="shared" si="78"/>
        <v/>
      </c>
      <c r="I167" s="303" t="str">
        <f t="shared" si="78"/>
        <v/>
      </c>
      <c r="J167" s="652" t="str">
        <f t="shared" si="78"/>
        <v/>
      </c>
      <c r="K167" s="839" t="str">
        <f t="shared" si="78"/>
        <v/>
      </c>
      <c r="L167" s="839" t="str">
        <f t="shared" si="78"/>
        <v/>
      </c>
      <c r="M167" s="910" t="str">
        <f t="shared" si="78"/>
        <v/>
      </c>
      <c r="N167" s="840" t="str">
        <f t="shared" si="78"/>
        <v/>
      </c>
    </row>
    <row r="168" spans="1:14">
      <c r="A168" s="84"/>
      <c r="B168" s="307"/>
      <c r="C168" s="128" t="s">
        <v>173</v>
      </c>
      <c r="D168" s="128"/>
      <c r="E168" s="139"/>
      <c r="F168" s="301" t="str">
        <f t="shared" ref="F168:N168" si="79">IF(AND(F$111&gt;0,F200&lt;&gt;""),F200/F$111,"")</f>
        <v/>
      </c>
      <c r="G168" s="302" t="str">
        <f t="shared" si="79"/>
        <v/>
      </c>
      <c r="H168" s="302" t="str">
        <f t="shared" si="79"/>
        <v/>
      </c>
      <c r="I168" s="303" t="str">
        <f t="shared" si="79"/>
        <v/>
      </c>
      <c r="J168" s="652" t="str">
        <f t="shared" si="79"/>
        <v/>
      </c>
      <c r="K168" s="839" t="str">
        <f t="shared" si="79"/>
        <v/>
      </c>
      <c r="L168" s="839" t="str">
        <f t="shared" si="79"/>
        <v/>
      </c>
      <c r="M168" s="910" t="str">
        <f t="shared" si="79"/>
        <v/>
      </c>
      <c r="N168" s="840" t="str">
        <f t="shared" si="79"/>
        <v/>
      </c>
    </row>
    <row r="169" spans="1:14">
      <c r="A169" s="84"/>
      <c r="B169" s="307"/>
      <c r="C169" s="128" t="s">
        <v>174</v>
      </c>
      <c r="D169" s="128"/>
      <c r="E169" s="139"/>
      <c r="F169" s="301" t="str">
        <f t="shared" ref="F169:N169" si="80">IF(AND(F$111&gt;0,F201&lt;&gt;""),F201/F$111,"")</f>
        <v/>
      </c>
      <c r="G169" s="302" t="str">
        <f t="shared" si="80"/>
        <v/>
      </c>
      <c r="H169" s="302" t="str">
        <f t="shared" si="80"/>
        <v/>
      </c>
      <c r="I169" s="303" t="str">
        <f t="shared" si="80"/>
        <v/>
      </c>
      <c r="J169" s="652" t="str">
        <f t="shared" si="80"/>
        <v/>
      </c>
      <c r="K169" s="839" t="str">
        <f t="shared" si="80"/>
        <v/>
      </c>
      <c r="L169" s="839" t="str">
        <f t="shared" si="80"/>
        <v/>
      </c>
      <c r="M169" s="910" t="str">
        <f t="shared" si="80"/>
        <v/>
      </c>
      <c r="N169" s="840" t="str">
        <f t="shared" si="80"/>
        <v/>
      </c>
    </row>
    <row r="170" spans="1:14">
      <c r="A170" s="84"/>
      <c r="B170" s="307"/>
      <c r="C170" s="128" t="s">
        <v>175</v>
      </c>
      <c r="D170" s="128"/>
      <c r="E170" s="139"/>
      <c r="F170" s="301" t="str">
        <f t="shared" ref="F170:N170" si="81">IF(AND(F$111&gt;0,F202&lt;&gt;""),F202/F$111,"")</f>
        <v/>
      </c>
      <c r="G170" s="302" t="str">
        <f t="shared" si="81"/>
        <v/>
      </c>
      <c r="H170" s="302" t="str">
        <f t="shared" si="81"/>
        <v/>
      </c>
      <c r="I170" s="303" t="str">
        <f t="shared" si="81"/>
        <v/>
      </c>
      <c r="J170" s="652" t="str">
        <f t="shared" si="81"/>
        <v/>
      </c>
      <c r="K170" s="839" t="str">
        <f t="shared" si="81"/>
        <v/>
      </c>
      <c r="L170" s="839" t="str">
        <f t="shared" si="81"/>
        <v/>
      </c>
      <c r="M170" s="910" t="str">
        <f t="shared" si="81"/>
        <v/>
      </c>
      <c r="N170" s="840" t="str">
        <f t="shared" si="81"/>
        <v/>
      </c>
    </row>
    <row r="171" spans="1:14">
      <c r="A171" s="84"/>
      <c r="B171" s="307"/>
      <c r="C171" s="128" t="s">
        <v>176</v>
      </c>
      <c r="D171" s="128"/>
      <c r="E171" s="139"/>
      <c r="F171" s="301" t="str">
        <f t="shared" ref="F171:N171" si="82">IF(AND(F$111&gt;0,F203&lt;&gt;""),F203/F$111,"")</f>
        <v/>
      </c>
      <c r="G171" s="302" t="str">
        <f t="shared" si="82"/>
        <v/>
      </c>
      <c r="H171" s="302" t="str">
        <f t="shared" si="82"/>
        <v/>
      </c>
      <c r="I171" s="303" t="str">
        <f t="shared" si="82"/>
        <v/>
      </c>
      <c r="J171" s="652" t="str">
        <f t="shared" si="82"/>
        <v/>
      </c>
      <c r="K171" s="839" t="str">
        <f t="shared" si="82"/>
        <v/>
      </c>
      <c r="L171" s="839" t="str">
        <f t="shared" si="82"/>
        <v/>
      </c>
      <c r="M171" s="910" t="str">
        <f t="shared" si="82"/>
        <v/>
      </c>
      <c r="N171" s="840" t="str">
        <f t="shared" si="82"/>
        <v/>
      </c>
    </row>
    <row r="172" spans="1:14">
      <c r="A172" s="84"/>
      <c r="B172" s="307"/>
      <c r="C172" s="128" t="s">
        <v>177</v>
      </c>
      <c r="D172" s="128"/>
      <c r="E172" s="139"/>
      <c r="F172" s="301" t="str">
        <f t="shared" ref="F172:N172" si="83">IF(AND(F$111&gt;0,F204&lt;&gt;""),F204/F$111,"")</f>
        <v/>
      </c>
      <c r="G172" s="302" t="str">
        <f t="shared" si="83"/>
        <v/>
      </c>
      <c r="H172" s="302" t="str">
        <f t="shared" si="83"/>
        <v/>
      </c>
      <c r="I172" s="303" t="str">
        <f t="shared" si="83"/>
        <v/>
      </c>
      <c r="J172" s="652" t="str">
        <f t="shared" si="83"/>
        <v/>
      </c>
      <c r="K172" s="839" t="str">
        <f t="shared" si="83"/>
        <v/>
      </c>
      <c r="L172" s="839" t="str">
        <f t="shared" si="83"/>
        <v/>
      </c>
      <c r="M172" s="910" t="str">
        <f t="shared" si="83"/>
        <v/>
      </c>
      <c r="N172" s="840" t="str">
        <f t="shared" si="83"/>
        <v/>
      </c>
    </row>
    <row r="173" spans="1:14">
      <c r="A173" s="84"/>
      <c r="B173" s="307"/>
      <c r="C173" s="128" t="s">
        <v>178</v>
      </c>
      <c r="D173" s="128"/>
      <c r="E173" s="139"/>
      <c r="F173" s="301" t="str">
        <f t="shared" ref="F173:N173" si="84">IF(AND(F$111&gt;0,F205&lt;&gt;""),F205/F$111,"")</f>
        <v/>
      </c>
      <c r="G173" s="302" t="str">
        <f t="shared" si="84"/>
        <v/>
      </c>
      <c r="H173" s="302" t="str">
        <f t="shared" si="84"/>
        <v/>
      </c>
      <c r="I173" s="303" t="str">
        <f t="shared" si="84"/>
        <v/>
      </c>
      <c r="J173" s="652" t="str">
        <f t="shared" si="84"/>
        <v/>
      </c>
      <c r="K173" s="839" t="str">
        <f t="shared" si="84"/>
        <v/>
      </c>
      <c r="L173" s="839" t="str">
        <f t="shared" si="84"/>
        <v/>
      </c>
      <c r="M173" s="910" t="str">
        <f t="shared" si="84"/>
        <v/>
      </c>
      <c r="N173" s="840" t="str">
        <f t="shared" si="84"/>
        <v/>
      </c>
    </row>
    <row r="174" spans="1:14">
      <c r="A174" s="84"/>
      <c r="B174" s="307"/>
      <c r="C174" s="128" t="s">
        <v>179</v>
      </c>
      <c r="D174" s="128"/>
      <c r="E174" s="139"/>
      <c r="F174" s="301" t="str">
        <f t="shared" ref="F174:N174" si="85">IF(AND(F$111&gt;0,F206&lt;&gt;""),F206/F$111,"")</f>
        <v/>
      </c>
      <c r="G174" s="302" t="str">
        <f t="shared" si="85"/>
        <v/>
      </c>
      <c r="H174" s="302" t="str">
        <f t="shared" si="85"/>
        <v/>
      </c>
      <c r="I174" s="303" t="str">
        <f t="shared" si="85"/>
        <v/>
      </c>
      <c r="J174" s="652" t="str">
        <f t="shared" si="85"/>
        <v/>
      </c>
      <c r="K174" s="839" t="str">
        <f t="shared" si="85"/>
        <v/>
      </c>
      <c r="L174" s="839" t="str">
        <f t="shared" si="85"/>
        <v/>
      </c>
      <c r="M174" s="910" t="str">
        <f t="shared" si="85"/>
        <v/>
      </c>
      <c r="N174" s="840" t="str">
        <f t="shared" si="85"/>
        <v/>
      </c>
    </row>
    <row r="175" spans="1:14">
      <c r="A175" s="84"/>
      <c r="B175" s="307"/>
      <c r="C175" s="128" t="s">
        <v>180</v>
      </c>
      <c r="D175" s="128"/>
      <c r="E175" s="139"/>
      <c r="F175" s="301" t="str">
        <f t="shared" ref="F175:N175" si="86">IF(AND(F$111&gt;0,F207&lt;&gt;""),F207/F$111,"")</f>
        <v/>
      </c>
      <c r="G175" s="302" t="str">
        <f t="shared" si="86"/>
        <v/>
      </c>
      <c r="H175" s="302" t="str">
        <f t="shared" si="86"/>
        <v/>
      </c>
      <c r="I175" s="303" t="str">
        <f t="shared" si="86"/>
        <v/>
      </c>
      <c r="J175" s="652" t="str">
        <f t="shared" si="86"/>
        <v/>
      </c>
      <c r="K175" s="839" t="str">
        <f t="shared" si="86"/>
        <v/>
      </c>
      <c r="L175" s="839" t="str">
        <f t="shared" si="86"/>
        <v/>
      </c>
      <c r="M175" s="910" t="str">
        <f t="shared" si="86"/>
        <v/>
      </c>
      <c r="N175" s="840" t="str">
        <f t="shared" si="86"/>
        <v/>
      </c>
    </row>
    <row r="176" spans="1:14">
      <c r="A176" s="84"/>
      <c r="B176" s="307"/>
      <c r="C176" s="128" t="s">
        <v>370</v>
      </c>
      <c r="D176" s="128"/>
      <c r="E176" s="139"/>
      <c r="F176" s="301" t="str">
        <f t="shared" ref="F176:N176" si="87">IF(AND(F$111&gt;0,F208&lt;&gt;""),F208/F$111,"")</f>
        <v/>
      </c>
      <c r="G176" s="302" t="str">
        <f t="shared" si="87"/>
        <v/>
      </c>
      <c r="H176" s="302" t="str">
        <f t="shared" si="87"/>
        <v/>
      </c>
      <c r="I176" s="303" t="str">
        <f t="shared" si="87"/>
        <v/>
      </c>
      <c r="J176" s="652" t="str">
        <f t="shared" si="87"/>
        <v/>
      </c>
      <c r="K176" s="839" t="str">
        <f t="shared" si="87"/>
        <v/>
      </c>
      <c r="L176" s="839" t="str">
        <f t="shared" si="87"/>
        <v/>
      </c>
      <c r="M176" s="910" t="str">
        <f t="shared" si="87"/>
        <v/>
      </c>
      <c r="N176" s="840" t="str">
        <f t="shared" si="87"/>
        <v/>
      </c>
    </row>
    <row r="177" spans="1:14">
      <c r="A177" s="84"/>
      <c r="B177" s="307"/>
      <c r="C177" s="128" t="s">
        <v>371</v>
      </c>
      <c r="D177" s="128"/>
      <c r="E177" s="139"/>
      <c r="F177" s="301" t="str">
        <f t="shared" ref="F177:N177" si="88">IF(AND(F$111&gt;0,F209&lt;&gt;""),F209/F$111,"")</f>
        <v/>
      </c>
      <c r="G177" s="302" t="str">
        <f t="shared" si="88"/>
        <v/>
      </c>
      <c r="H177" s="302" t="str">
        <f t="shared" si="88"/>
        <v/>
      </c>
      <c r="I177" s="303" t="str">
        <f t="shared" si="88"/>
        <v/>
      </c>
      <c r="J177" s="652" t="str">
        <f t="shared" si="88"/>
        <v/>
      </c>
      <c r="K177" s="839" t="str">
        <f t="shared" si="88"/>
        <v/>
      </c>
      <c r="L177" s="839" t="str">
        <f t="shared" si="88"/>
        <v/>
      </c>
      <c r="M177" s="910" t="str">
        <f t="shared" si="88"/>
        <v/>
      </c>
      <c r="N177" s="840" t="str">
        <f t="shared" si="88"/>
        <v/>
      </c>
    </row>
    <row r="178" spans="1:14">
      <c r="A178" s="84"/>
      <c r="B178" s="307"/>
      <c r="C178" s="128" t="s">
        <v>372</v>
      </c>
      <c r="D178" s="128"/>
      <c r="E178" s="139"/>
      <c r="F178" s="301" t="str">
        <f t="shared" ref="F178:N178" si="89">IF(AND(F$111&gt;0,F210&lt;&gt;""),F210/F$111,"")</f>
        <v/>
      </c>
      <c r="G178" s="302" t="str">
        <f t="shared" si="89"/>
        <v/>
      </c>
      <c r="H178" s="302" t="str">
        <f t="shared" si="89"/>
        <v/>
      </c>
      <c r="I178" s="303" t="str">
        <f t="shared" si="89"/>
        <v/>
      </c>
      <c r="J178" s="652" t="str">
        <f t="shared" si="89"/>
        <v/>
      </c>
      <c r="K178" s="839" t="str">
        <f t="shared" si="89"/>
        <v/>
      </c>
      <c r="L178" s="839" t="str">
        <f t="shared" si="89"/>
        <v/>
      </c>
      <c r="M178" s="910" t="str">
        <f t="shared" si="89"/>
        <v/>
      </c>
      <c r="N178" s="840" t="str">
        <f t="shared" si="89"/>
        <v/>
      </c>
    </row>
    <row r="179" spans="1:14">
      <c r="A179" s="84"/>
      <c r="B179" s="307"/>
      <c r="C179" s="128" t="s">
        <v>373</v>
      </c>
      <c r="D179" s="128"/>
      <c r="E179" s="139"/>
      <c r="F179" s="301" t="str">
        <f t="shared" ref="F179:N179" si="90">IF(AND(F$111&gt;0,F211&lt;&gt;""),F211/F$111,"")</f>
        <v/>
      </c>
      <c r="G179" s="302" t="str">
        <f t="shared" si="90"/>
        <v/>
      </c>
      <c r="H179" s="302" t="str">
        <f t="shared" si="90"/>
        <v/>
      </c>
      <c r="I179" s="303" t="str">
        <f t="shared" si="90"/>
        <v/>
      </c>
      <c r="J179" s="652" t="str">
        <f t="shared" si="90"/>
        <v/>
      </c>
      <c r="K179" s="839" t="str">
        <f t="shared" si="90"/>
        <v/>
      </c>
      <c r="L179" s="839" t="str">
        <f t="shared" si="90"/>
        <v/>
      </c>
      <c r="M179" s="910" t="str">
        <f t="shared" si="90"/>
        <v/>
      </c>
      <c r="N179" s="840" t="str">
        <f t="shared" si="90"/>
        <v/>
      </c>
    </row>
    <row r="180" spans="1:14">
      <c r="A180" s="84"/>
      <c r="B180" s="307"/>
      <c r="C180" s="128" t="s">
        <v>374</v>
      </c>
      <c r="D180" s="128"/>
      <c r="E180" s="139"/>
      <c r="F180" s="301" t="str">
        <f t="shared" ref="F180:N180" si="91">IF(AND(F$111&gt;0,F212&lt;&gt;""),F212/F$111,"")</f>
        <v/>
      </c>
      <c r="G180" s="302" t="str">
        <f t="shared" si="91"/>
        <v/>
      </c>
      <c r="H180" s="302" t="str">
        <f t="shared" si="91"/>
        <v/>
      </c>
      <c r="I180" s="303" t="str">
        <f t="shared" si="91"/>
        <v/>
      </c>
      <c r="J180" s="652" t="str">
        <f t="shared" si="91"/>
        <v/>
      </c>
      <c r="K180" s="839" t="str">
        <f t="shared" si="91"/>
        <v/>
      </c>
      <c r="L180" s="839" t="str">
        <f t="shared" si="91"/>
        <v/>
      </c>
      <c r="M180" s="910" t="str">
        <f t="shared" si="91"/>
        <v/>
      </c>
      <c r="N180" s="840" t="str">
        <f t="shared" si="91"/>
        <v/>
      </c>
    </row>
    <row r="181" spans="1:14">
      <c r="A181" s="84"/>
      <c r="B181" s="313"/>
      <c r="C181" s="128" t="s">
        <v>36</v>
      </c>
      <c r="D181" s="128"/>
      <c r="E181" s="139"/>
      <c r="F181" s="301" t="n">
        <f t="shared" ref="F181:N181" si="92">IF(AND(F$111&gt;0,F213&lt;&gt;""),F213/F$111,"")</f>
        <v>0.0</v>
      </c>
      <c r="G181" s="302" t="n">
        <f t="shared" si="92"/>
        <v>0.0</v>
      </c>
      <c r="H181" s="302" t="n">
        <f t="shared" si="92"/>
        <v>0.0</v>
      </c>
      <c r="I181" s="303" t="n">
        <f t="shared" si="92"/>
        <v>0.0</v>
      </c>
      <c r="J181" s="652" t="n">
        <f t="shared" si="92"/>
        <v>0.0</v>
      </c>
      <c r="K181" s="839" t="n">
        <f t="shared" si="92"/>
        <v>0.0</v>
      </c>
      <c r="L181" s="839" t="n">
        <f t="shared" si="92"/>
        <v>0.0</v>
      </c>
      <c r="M181" s="910" t="n">
        <f t="shared" si="92"/>
        <v>0.0</v>
      </c>
      <c r="N181" s="840" t="n">
        <f t="shared" si="92"/>
        <v>0.0</v>
      </c>
    </row>
    <row r="182" spans="1:14">
      <c r="A182" s="84"/>
      <c r="B182" s="1123" t="s">
        <v>181</v>
      </c>
      <c r="C182" s="1124"/>
      <c r="D182" s="1124"/>
      <c r="E182" s="1125"/>
      <c r="F182" s="205"/>
      <c r="G182" s="299"/>
      <c r="H182" s="299"/>
      <c r="I182" s="300"/>
      <c r="J182" s="651"/>
      <c r="K182" s="837"/>
      <c r="L182" s="837"/>
      <c r="M182" s="909"/>
      <c r="N182" s="838"/>
    </row>
    <row r="183" spans="1:14">
      <c r="A183" s="84"/>
      <c r="B183" s="133"/>
      <c r="C183" s="135" t="s">
        <v>161</v>
      </c>
      <c r="D183" s="136"/>
      <c r="E183" s="141"/>
      <c r="F183" s="630" t="str">
        <f t="shared" ref="F183:F195" si="93">IF(SUM(G183:I183)=0,"",SUM(G183:I183))</f>
        <v/>
      </c>
      <c r="G183" s="253"/>
      <c r="H183" s="253"/>
      <c r="I183" s="292"/>
      <c r="J183" s="646"/>
      <c r="K183" s="391"/>
      <c r="L183" s="391"/>
      <c r="M183" s="907"/>
      <c r="N183" s="834"/>
    </row>
    <row r="184" spans="1:14">
      <c r="A184" s="84"/>
      <c r="B184" s="133"/>
      <c r="C184" s="135" t="s">
        <v>162</v>
      </c>
      <c r="D184" s="136"/>
      <c r="E184" s="141"/>
      <c r="F184" s="630" t="str">
        <f t="shared" si="93"/>
        <v/>
      </c>
      <c r="G184" s="253"/>
      <c r="H184" s="253"/>
      <c r="I184" s="292"/>
      <c r="J184" s="646"/>
      <c r="K184" s="391"/>
      <c r="L184" s="391"/>
      <c r="M184" s="907"/>
      <c r="N184" s="834"/>
    </row>
    <row r="185" spans="1:14">
      <c r="A185" s="84"/>
      <c r="B185" s="133"/>
      <c r="C185" s="135" t="s">
        <v>123</v>
      </c>
      <c r="D185" s="136"/>
      <c r="E185" s="141"/>
      <c r="F185" s="630" t="str">
        <f t="shared" si="93"/>
        <v/>
      </c>
      <c r="G185" s="253"/>
      <c r="H185" s="253"/>
      <c r="I185" s="292"/>
      <c r="J185" s="646"/>
      <c r="K185" s="391"/>
      <c r="L185" s="391"/>
      <c r="M185" s="907"/>
      <c r="N185" s="834"/>
    </row>
    <row r="186" spans="1:14">
      <c r="A186" s="84"/>
      <c r="B186" s="133"/>
      <c r="C186" s="135" t="s">
        <v>124</v>
      </c>
      <c r="D186" s="136"/>
      <c r="E186" s="141"/>
      <c r="F186" s="630" t="str">
        <f t="shared" si="93"/>
        <v/>
      </c>
      <c r="G186" s="253"/>
      <c r="H186" s="253"/>
      <c r="I186" s="292"/>
      <c r="J186" s="646"/>
      <c r="K186" s="391"/>
      <c r="L186" s="391"/>
      <c r="M186" s="907"/>
      <c r="N186" s="834"/>
    </row>
    <row r="187" spans="1:14">
      <c r="A187" s="84"/>
      <c r="B187" s="133"/>
      <c r="C187" s="135" t="s">
        <v>125</v>
      </c>
      <c r="D187" s="136"/>
      <c r="E187" s="141"/>
      <c r="F187" s="630" t="str">
        <f t="shared" si="93"/>
        <v/>
      </c>
      <c r="G187" s="253"/>
      <c r="H187" s="253"/>
      <c r="I187" s="292"/>
      <c r="J187" s="646"/>
      <c r="K187" s="391"/>
      <c r="L187" s="391"/>
      <c r="M187" s="907"/>
      <c r="N187" s="834"/>
    </row>
    <row r="188" spans="1:14">
      <c r="A188" s="84"/>
      <c r="B188" s="133"/>
      <c r="C188" s="135" t="s">
        <v>225</v>
      </c>
      <c r="D188" s="136"/>
      <c r="E188" s="141"/>
      <c r="F188" s="630" t="str">
        <f t="shared" si="93"/>
        <v/>
      </c>
      <c r="G188" s="253"/>
      <c r="H188" s="253"/>
      <c r="I188" s="292"/>
      <c r="J188" s="646"/>
      <c r="K188" s="391"/>
      <c r="L188" s="391"/>
      <c r="M188" s="907"/>
      <c r="N188" s="834"/>
    </row>
    <row r="189" spans="1:14">
      <c r="A189" s="84"/>
      <c r="B189" s="133"/>
      <c r="C189" s="135" t="s">
        <v>226</v>
      </c>
      <c r="D189" s="136"/>
      <c r="E189" s="141"/>
      <c r="F189" s="630" t="str">
        <f t="shared" si="93"/>
        <v/>
      </c>
      <c r="G189" s="253"/>
      <c r="H189" s="253"/>
      <c r="I189" s="292"/>
      <c r="J189" s="646"/>
      <c r="K189" s="391"/>
      <c r="L189" s="391"/>
      <c r="M189" s="907"/>
      <c r="N189" s="834"/>
    </row>
    <row r="190" spans="1:14">
      <c r="A190" s="84"/>
      <c r="B190" s="133"/>
      <c r="C190" s="135" t="s">
        <v>227</v>
      </c>
      <c r="D190" s="136"/>
      <c r="E190" s="141"/>
      <c r="F190" s="630" t="str">
        <f t="shared" si="93"/>
        <v/>
      </c>
      <c r="G190" s="253"/>
      <c r="H190" s="253"/>
      <c r="I190" s="292"/>
      <c r="J190" s="646"/>
      <c r="K190" s="391"/>
      <c r="L190" s="391"/>
      <c r="M190" s="907"/>
      <c r="N190" s="834"/>
    </row>
    <row r="191" spans="1:14">
      <c r="A191" s="84"/>
      <c r="B191" s="133"/>
      <c r="C191" s="135" t="s">
        <v>228</v>
      </c>
      <c r="D191" s="136"/>
      <c r="E191" s="141"/>
      <c r="F191" s="630" t="str">
        <f t="shared" si="93"/>
        <v/>
      </c>
      <c r="G191" s="253"/>
      <c r="H191" s="253"/>
      <c r="I191" s="292"/>
      <c r="J191" s="646"/>
      <c r="K191" s="391"/>
      <c r="L191" s="391"/>
      <c r="M191" s="907"/>
      <c r="N191" s="834"/>
    </row>
    <row r="192" spans="1:14">
      <c r="A192" s="84"/>
      <c r="B192" s="133"/>
      <c r="C192" s="135" t="s">
        <v>165</v>
      </c>
      <c r="D192" s="136"/>
      <c r="E192" s="141"/>
      <c r="F192" s="630" t="str">
        <f t="shared" si="93"/>
        <v/>
      </c>
      <c r="G192" s="253"/>
      <c r="H192" s="253"/>
      <c r="I192" s="292"/>
      <c r="J192" s="646"/>
      <c r="K192" s="391"/>
      <c r="L192" s="391"/>
      <c r="M192" s="907"/>
      <c r="N192" s="834"/>
    </row>
    <row r="193" spans="1:14">
      <c r="A193" s="84"/>
      <c r="B193" s="133"/>
      <c r="C193" s="135" t="s">
        <v>166</v>
      </c>
      <c r="D193" s="136"/>
      <c r="E193" s="141"/>
      <c r="F193" s="630" t="str">
        <f t="shared" si="93"/>
        <v/>
      </c>
      <c r="G193" s="253"/>
      <c r="H193" s="253"/>
      <c r="I193" s="292"/>
      <c r="J193" s="646"/>
      <c r="K193" s="391"/>
      <c r="L193" s="391"/>
      <c r="M193" s="907"/>
      <c r="N193" s="834"/>
    </row>
    <row r="194" spans="1:14">
      <c r="A194" s="84"/>
      <c r="B194" s="133"/>
      <c r="C194" s="135" t="s">
        <v>167</v>
      </c>
      <c r="D194" s="136"/>
      <c r="E194" s="141"/>
      <c r="F194" s="630" t="str">
        <f t="shared" si="93"/>
        <v/>
      </c>
      <c r="G194" s="253"/>
      <c r="H194" s="253"/>
      <c r="I194" s="292"/>
      <c r="J194" s="646"/>
      <c r="K194" s="391"/>
      <c r="L194" s="391"/>
      <c r="M194" s="907"/>
      <c r="N194" s="834"/>
    </row>
    <row r="195" spans="1:14">
      <c r="A195" s="84"/>
      <c r="B195" s="133"/>
      <c r="C195" s="135" t="s">
        <v>168</v>
      </c>
      <c r="D195" s="136"/>
      <c r="E195" s="141"/>
      <c r="F195" s="630" t="str">
        <f t="shared" si="93"/>
        <v/>
      </c>
      <c r="G195" s="253"/>
      <c r="H195" s="253"/>
      <c r="I195" s="292"/>
      <c r="J195" s="646"/>
      <c r="K195" s="391"/>
      <c r="L195" s="391"/>
      <c r="M195" s="907"/>
      <c r="N195" s="834"/>
    </row>
    <row r="196" spans="1:14">
      <c r="A196" s="84"/>
      <c r="B196" s="133"/>
      <c r="C196" s="135" t="s">
        <v>169</v>
      </c>
      <c r="D196" s="136"/>
      <c r="E196" s="141"/>
      <c r="F196" s="630" t="str">
        <f>IF(SUM(G196:I196)=0,"",SUM(G196:I196))</f>
        <v/>
      </c>
      <c r="G196" s="253"/>
      <c r="H196" s="253"/>
      <c r="I196" s="292"/>
      <c r="J196" s="646"/>
      <c r="K196" s="391"/>
      <c r="L196" s="391"/>
      <c r="M196" s="907"/>
      <c r="N196" s="834"/>
    </row>
    <row r="197" spans="1:14">
      <c r="A197" s="84"/>
      <c r="B197" s="133"/>
      <c r="C197" s="135" t="s">
        <v>170</v>
      </c>
      <c r="D197" s="136"/>
      <c r="E197" s="141"/>
      <c r="F197" s="630" t="str">
        <f t="shared" ref="F197:F203" si="94">IF(SUM(G197:I197)=0,"",SUM(G197:I197))</f>
        <v/>
      </c>
      <c r="G197" s="253"/>
      <c r="H197" s="253"/>
      <c r="I197" s="292"/>
      <c r="J197" s="646"/>
      <c r="K197" s="391"/>
      <c r="L197" s="391"/>
      <c r="M197" s="907"/>
      <c r="N197" s="834"/>
    </row>
    <row r="198" spans="1:14">
      <c r="A198" s="84"/>
      <c r="B198" s="133"/>
      <c r="C198" s="135" t="s">
        <v>171</v>
      </c>
      <c r="D198" s="136"/>
      <c r="E198" s="141"/>
      <c r="F198" s="630" t="str">
        <f t="shared" si="94"/>
        <v/>
      </c>
      <c r="G198" s="253"/>
      <c r="H198" s="253"/>
      <c r="I198" s="292"/>
      <c r="J198" s="646"/>
      <c r="K198" s="391"/>
      <c r="L198" s="391"/>
      <c r="M198" s="907"/>
      <c r="N198" s="834"/>
    </row>
    <row r="199" spans="1:14">
      <c r="A199" s="84"/>
      <c r="B199" s="133"/>
      <c r="C199" s="135" t="s">
        <v>172</v>
      </c>
      <c r="D199" s="136"/>
      <c r="E199" s="141"/>
      <c r="F199" s="630" t="str">
        <f t="shared" si="94"/>
        <v/>
      </c>
      <c r="G199" s="253"/>
      <c r="H199" s="253"/>
      <c r="I199" s="292"/>
      <c r="J199" s="646"/>
      <c r="K199" s="391"/>
      <c r="L199" s="391"/>
      <c r="M199" s="907"/>
      <c r="N199" s="834"/>
    </row>
    <row r="200" spans="1:14">
      <c r="A200" s="84"/>
      <c r="B200" s="133"/>
      <c r="C200" s="135" t="s">
        <v>173</v>
      </c>
      <c r="D200" s="136"/>
      <c r="E200" s="141"/>
      <c r="F200" s="630" t="str">
        <f t="shared" si="94"/>
        <v/>
      </c>
      <c r="G200" s="253"/>
      <c r="H200" s="253"/>
      <c r="I200" s="292"/>
      <c r="J200" s="646"/>
      <c r="K200" s="391"/>
      <c r="L200" s="391"/>
      <c r="M200" s="907"/>
      <c r="N200" s="834"/>
    </row>
    <row r="201" spans="1:14">
      <c r="A201" s="84"/>
      <c r="B201" s="133"/>
      <c r="C201" s="314" t="s">
        <v>174</v>
      </c>
      <c r="D201" s="142"/>
      <c r="E201" s="143"/>
      <c r="F201" s="310" t="str">
        <f t="shared" si="94"/>
        <v/>
      </c>
      <c r="G201" s="253"/>
      <c r="H201" s="253"/>
      <c r="I201" s="292"/>
      <c r="J201" s="655"/>
      <c r="K201" s="427"/>
      <c r="L201" s="427"/>
      <c r="M201" s="913"/>
      <c r="N201" s="845"/>
    </row>
    <row r="202" spans="1:14">
      <c r="A202" s="84"/>
      <c r="B202" s="133"/>
      <c r="C202" s="314" t="s">
        <v>175</v>
      </c>
      <c r="D202" s="142"/>
      <c r="E202" s="143"/>
      <c r="F202" s="310" t="str">
        <f t="shared" si="94"/>
        <v/>
      </c>
      <c r="G202" s="253"/>
      <c r="H202" s="253"/>
      <c r="I202" s="292"/>
      <c r="J202" s="655"/>
      <c r="K202" s="427"/>
      <c r="L202" s="427"/>
      <c r="M202" s="913"/>
      <c r="N202" s="845"/>
    </row>
    <row r="203" spans="1:14">
      <c r="A203" s="84"/>
      <c r="B203" s="133"/>
      <c r="C203" s="314" t="s">
        <v>176</v>
      </c>
      <c r="D203" s="136"/>
      <c r="E203" s="141"/>
      <c r="F203" s="630" t="str">
        <f t="shared" si="94"/>
        <v/>
      </c>
      <c r="G203" s="253"/>
      <c r="H203" s="253"/>
      <c r="I203" s="292"/>
      <c r="J203" s="646"/>
      <c r="K203" s="391"/>
      <c r="L203" s="391"/>
      <c r="M203" s="907"/>
      <c r="N203" s="834"/>
    </row>
    <row r="204" spans="1:14">
      <c r="A204" s="84"/>
      <c r="B204" s="133"/>
      <c r="C204" s="314" t="s">
        <v>177</v>
      </c>
      <c r="D204" s="136"/>
      <c r="E204" s="141"/>
      <c r="F204" s="630" t="str">
        <f>IF(SUM(G204:I204)=0,"",SUM(G204:I204))</f>
        <v/>
      </c>
      <c r="G204" s="253"/>
      <c r="H204" s="253"/>
      <c r="I204" s="292"/>
      <c r="J204" s="646"/>
      <c r="K204" s="391"/>
      <c r="L204" s="391"/>
      <c r="M204" s="907"/>
      <c r="N204" s="834"/>
    </row>
    <row r="205" spans="1:14">
      <c r="A205" s="84"/>
      <c r="B205" s="133"/>
      <c r="C205" s="314" t="s">
        <v>178</v>
      </c>
      <c r="D205" s="142"/>
      <c r="E205" s="143"/>
      <c r="F205" s="310" t="str">
        <f>IF(SUM(G205:I205)=0,"",SUM(G205:I205))</f>
        <v/>
      </c>
      <c r="G205" s="253"/>
      <c r="H205" s="253"/>
      <c r="I205" s="292"/>
      <c r="J205" s="655"/>
      <c r="K205" s="427"/>
      <c r="L205" s="427"/>
      <c r="M205" s="913"/>
      <c r="N205" s="845"/>
    </row>
    <row r="206" spans="1:14">
      <c r="A206" s="84"/>
      <c r="B206" s="133"/>
      <c r="C206" s="314" t="s">
        <v>179</v>
      </c>
      <c r="D206" s="136"/>
      <c r="E206" s="141"/>
      <c r="F206" s="630" t="str">
        <f>IF(SUM(G206:I206)=0,"",SUM(G206:I206))</f>
        <v/>
      </c>
      <c r="G206" s="253"/>
      <c r="H206" s="253"/>
      <c r="I206" s="292"/>
      <c r="J206" s="646"/>
      <c r="K206" s="391"/>
      <c r="L206" s="391"/>
      <c r="M206" s="907"/>
      <c r="N206" s="834"/>
    </row>
    <row r="207" spans="1:14">
      <c r="A207" s="84"/>
      <c r="B207" s="133"/>
      <c r="C207" s="314" t="s">
        <v>180</v>
      </c>
      <c r="D207" s="136"/>
      <c r="E207" s="141"/>
      <c r="F207" s="630" t="str">
        <f>IF(SUM(G207:I207)=0,"",SUM(G207:I207))</f>
        <v/>
      </c>
      <c r="G207" s="253"/>
      <c r="H207" s="253"/>
      <c r="I207" s="292"/>
      <c r="J207" s="646"/>
      <c r="K207" s="391"/>
      <c r="L207" s="391"/>
      <c r="M207" s="907"/>
      <c r="N207" s="834"/>
    </row>
    <row r="208" spans="1:14">
      <c r="A208" s="84"/>
      <c r="B208" s="133"/>
      <c r="C208" s="314" t="s">
        <v>370</v>
      </c>
      <c r="D208" s="136"/>
      <c r="E208" s="141"/>
      <c r="F208" s="630" t="str">
        <f t="shared" ref="F208:F209" si="95">IF(SUM(G208:I208)=0,"",SUM(G208:I208))</f>
        <v/>
      </c>
      <c r="G208" s="253"/>
      <c r="H208" s="253"/>
      <c r="I208" s="292"/>
      <c r="J208" s="646"/>
      <c r="K208" s="391"/>
      <c r="L208" s="391"/>
      <c r="M208" s="907"/>
      <c r="N208" s="834"/>
    </row>
    <row r="209" spans="1:14">
      <c r="A209" s="84"/>
      <c r="B209" s="133"/>
      <c r="C209" s="314" t="s">
        <v>371</v>
      </c>
      <c r="D209" s="136"/>
      <c r="E209" s="141"/>
      <c r="F209" s="630" t="str">
        <f t="shared" si="95"/>
        <v/>
      </c>
      <c r="G209" s="253"/>
      <c r="H209" s="253"/>
      <c r="I209" s="292"/>
      <c r="J209" s="646"/>
      <c r="K209" s="391"/>
      <c r="L209" s="391"/>
      <c r="M209" s="907"/>
      <c r="N209" s="834"/>
    </row>
    <row r="210" spans="1:14">
      <c r="A210" s="84"/>
      <c r="B210" s="133"/>
      <c r="C210" s="314" t="s">
        <v>372</v>
      </c>
      <c r="D210" s="142"/>
      <c r="E210" s="143"/>
      <c r="F210" s="310" t="str">
        <f>IF(SUM(G210:I210)=0,"",SUM(G210:I210))</f>
        <v/>
      </c>
      <c r="G210" s="253"/>
      <c r="H210" s="253"/>
      <c r="I210" s="292"/>
      <c r="J210" s="655"/>
      <c r="K210" s="427"/>
      <c r="L210" s="427"/>
      <c r="M210" s="913"/>
      <c r="N210" s="845"/>
    </row>
    <row r="211" spans="1:14">
      <c r="A211" s="84"/>
      <c r="B211" s="133"/>
      <c r="C211" s="314" t="s">
        <v>373</v>
      </c>
      <c r="D211" s="136"/>
      <c r="E211" s="141"/>
      <c r="F211" s="630" t="str">
        <f>IF(SUM(G211:I211)=0,"",SUM(G211:I211))</f>
        <v/>
      </c>
      <c r="G211" s="253"/>
      <c r="H211" s="253"/>
      <c r="I211" s="292"/>
      <c r="J211" s="646"/>
      <c r="K211" s="391"/>
      <c r="L211" s="391"/>
      <c r="M211" s="907"/>
      <c r="N211" s="834"/>
    </row>
    <row r="212" spans="1:14">
      <c r="A212" s="84"/>
      <c r="B212" s="133"/>
      <c r="C212" s="314" t="s">
        <v>374</v>
      </c>
      <c r="D212" s="136"/>
      <c r="E212" s="141"/>
      <c r="F212" s="630" t="str">
        <f>IF(SUM(G212:I212)=0,"",SUM(G212:I212))</f>
        <v/>
      </c>
      <c r="G212" s="253"/>
      <c r="H212" s="253"/>
      <c r="I212" s="292"/>
      <c r="J212" s="646"/>
      <c r="K212" s="391"/>
      <c r="L212" s="391"/>
      <c r="M212" s="907"/>
      <c r="N212" s="834"/>
    </row>
    <row r="213" spans="1:14">
      <c r="A213" s="84"/>
      <c r="B213" s="133"/>
      <c r="C213" s="308" t="s">
        <v>36</v>
      </c>
      <c r="D213" s="127"/>
      <c r="E213" s="309"/>
      <c r="F213" s="310" t="n">
        <f t="shared" ref="F213:N213" si="96">SUM(F183:F212)</f>
        <v>0.0</v>
      </c>
      <c r="G213" s="311" t="n">
        <f t="shared" si="96"/>
        <v>0.0</v>
      </c>
      <c r="H213" s="311" t="n">
        <f t="shared" si="96"/>
        <v>0.0</v>
      </c>
      <c r="I213" s="312" t="n">
        <f t="shared" si="96"/>
        <v>0.0</v>
      </c>
      <c r="J213" s="654" t="n">
        <f t="shared" si="96"/>
        <v>0.0</v>
      </c>
      <c r="K213" s="843" t="n">
        <f t="shared" si="96"/>
        <v>0.0</v>
      </c>
      <c r="L213" s="843" t="n">
        <f t="shared" si="96"/>
        <v>0.0</v>
      </c>
      <c r="M213" s="912" t="n">
        <f t="shared" si="96"/>
        <v>0.0</v>
      </c>
      <c r="N213" s="844" t="n">
        <f t="shared" si="96"/>
        <v>0.0</v>
      </c>
    </row>
    <row r="214" spans="1:14">
      <c r="A214" s="84"/>
      <c r="B214" s="1108" t="s">
        <v>411</v>
      </c>
      <c r="C214" s="1109"/>
      <c r="D214" s="1109"/>
      <c r="E214" s="1109"/>
      <c r="F214" s="630" t="n">
        <f>SUM(G214:I214)</f>
        <v>10234.690000000002</v>
      </c>
      <c r="G214" s="254" t="n">
        <f t="shared" ref="G214:N214" si="97">SUMPRODUCT(G134:G146,G279:G291)</f>
        <v>3420.17</v>
      </c>
      <c r="H214" s="254" t="n">
        <f t="shared" si="97"/>
        <v>3414.1750000000006</v>
      </c>
      <c r="I214" s="315" t="n">
        <f t="shared" si="97"/>
        <v>3400.3450000000003</v>
      </c>
      <c r="J214" s="656" t="n">
        <f t="shared" si="97"/>
        <v>3393.345</v>
      </c>
      <c r="K214" s="806" t="n">
        <f t="shared" si="97"/>
        <v>3192.7100000000005</v>
      </c>
      <c r="L214" s="806" t="n">
        <f t="shared" si="97"/>
        <v>2979.8950000000004</v>
      </c>
      <c r="M214" s="898" t="n">
        <f t="shared" si="97"/>
        <v>2805.975</v>
      </c>
      <c r="N214" s="807" t="n">
        <f t="shared" si="97"/>
        <v>2554.56</v>
      </c>
    </row>
    <row r="215" spans="1:14" ht="14.25" thickBot="1">
      <c r="A215" s="316"/>
      <c r="B215" s="1110" t="s">
        <v>412</v>
      </c>
      <c r="C215" s="1111"/>
      <c r="D215" s="1111"/>
      <c r="E215" s="1111"/>
      <c r="F215" s="317" t="n">
        <f>SUM(G215:I215)</f>
        <v>0.0</v>
      </c>
      <c r="G215" s="318" t="n">
        <f t="shared" ref="G215:N215" si="98">SUMPRODUCT(G183:G212,G221:G250)</f>
        <v>0.0</v>
      </c>
      <c r="H215" s="318" t="n">
        <f t="shared" si="98"/>
        <v>0.0</v>
      </c>
      <c r="I215" s="319" t="n">
        <f t="shared" si="98"/>
        <v>0.0</v>
      </c>
      <c r="J215" s="657" t="n">
        <f t="shared" si="98"/>
        <v>0.0</v>
      </c>
      <c r="K215" s="846" t="n">
        <f t="shared" si="98"/>
        <v>0.0</v>
      </c>
      <c r="L215" s="846" t="n">
        <f t="shared" si="98"/>
        <v>0.0</v>
      </c>
      <c r="M215" s="914" t="n">
        <f t="shared" si="98"/>
        <v>0.0</v>
      </c>
      <c r="N215" s="847" t="n">
        <f t="shared" si="98"/>
        <v>0.0</v>
      </c>
    </row>
    <row r="216" spans="1:14">
      <c r="K216" s="370"/>
      <c r="L216" s="370"/>
      <c r="M216" s="370"/>
    </row>
    <row r="217" spans="1:14" ht="14.25" thickBot="1">
      <c r="A217" s="198" t="s">
        <v>182</v>
      </c>
      <c r="B217" s="201"/>
      <c r="C217" s="201"/>
      <c r="D217" s="201"/>
      <c r="E217" s="201"/>
      <c r="F217" s="201"/>
      <c r="G217" s="201"/>
      <c r="H217" s="201"/>
      <c r="I217" s="201"/>
      <c r="J217" s="201"/>
      <c r="K217" s="726"/>
      <c r="L217" s="726"/>
      <c r="M217" s="726"/>
    </row>
    <row r="218" spans="1:14">
      <c r="A218" s="230"/>
      <c r="B218" s="231"/>
      <c r="C218" s="231"/>
      <c r="D218" s="231"/>
      <c r="E218" s="231"/>
      <c r="F218" s="1112" t="s">
        <v>351</v>
      </c>
      <c r="G218" s="1113"/>
      <c r="H218" s="1113"/>
      <c r="I218" s="1114"/>
      <c r="J218" s="1115" t="s">
        <v>383</v>
      </c>
      <c r="K218" s="1115" t="s">
        <v>324</v>
      </c>
      <c r="L218" s="1115" t="s">
        <v>323</v>
      </c>
      <c r="M218" s="1129" t="s">
        <v>322</v>
      </c>
      <c r="N218" s="1127" t="s">
        <v>349</v>
      </c>
    </row>
    <row r="219" spans="1:14" ht="14.25" thickBot="1">
      <c r="A219" s="232"/>
      <c r="F219" s="233"/>
      <c r="G219" s="234" t="s">
        <v>362</v>
      </c>
      <c r="H219" s="235" t="s">
        <v>361</v>
      </c>
      <c r="I219" s="236" t="s">
        <v>360</v>
      </c>
      <c r="J219" s="1116"/>
      <c r="K219" s="1126"/>
      <c r="L219" s="1126"/>
      <c r="M219" s="1130"/>
      <c r="N219" s="1128"/>
    </row>
    <row r="220" spans="1:14">
      <c r="A220" s="320" t="s">
        <v>183</v>
      </c>
      <c r="B220" s="321"/>
      <c r="C220" s="321"/>
      <c r="D220" s="321"/>
      <c r="E220" s="321"/>
      <c r="F220" s="320"/>
      <c r="G220" s="322" t="n">
        <f>COUNT(G221:G250)</f>
        <v>0.0</v>
      </c>
      <c r="H220" s="322" t="n">
        <f t="shared" ref="H220:N220" si="99">COUNT(H221:H250)</f>
        <v>0.0</v>
      </c>
      <c r="I220" s="323" t="n">
        <f t="shared" si="99"/>
        <v>0.0</v>
      </c>
      <c r="J220" s="641" t="n">
        <f>COUNT(J221:J250)</f>
        <v>0.0</v>
      </c>
      <c r="K220" s="848" t="n">
        <f t="shared" si="99"/>
        <v>0.0</v>
      </c>
      <c r="L220" s="848" t="n">
        <f t="shared" si="99"/>
        <v>0.0</v>
      </c>
      <c r="M220" s="915" t="n">
        <f t="shared" si="99"/>
        <v>0.0</v>
      </c>
      <c r="N220" s="849" t="n">
        <f t="shared" si="99"/>
        <v>0.0</v>
      </c>
    </row>
    <row r="221" spans="1:14">
      <c r="A221" s="207" t="s">
        <v>184</v>
      </c>
      <c r="B221" s="259"/>
      <c r="D221" s="212" t="s">
        <v>185</v>
      </c>
      <c r="E221" s="209"/>
      <c r="F221" s="324"/>
      <c r="G221" s="325"/>
      <c r="H221" s="325"/>
      <c r="I221" s="326"/>
      <c r="J221" s="642"/>
      <c r="K221" s="850"/>
      <c r="L221" s="850"/>
      <c r="M221" s="916"/>
      <c r="N221" s="851"/>
    </row>
    <row r="222" spans="1:14">
      <c r="A222" s="232"/>
      <c r="D222" s="212" t="s">
        <v>186</v>
      </c>
      <c r="E222" s="209"/>
      <c r="F222" s="324"/>
      <c r="G222" s="325"/>
      <c r="H222" s="325"/>
      <c r="I222" s="326"/>
      <c r="J222" s="642"/>
      <c r="K222" s="850"/>
      <c r="L222" s="850"/>
      <c r="M222" s="916"/>
      <c r="N222" s="851"/>
    </row>
    <row r="223" spans="1:14">
      <c r="A223" s="232"/>
      <c r="C223" s="327"/>
      <c r="D223" s="212" t="s">
        <v>187</v>
      </c>
      <c r="E223" s="209"/>
      <c r="F223" s="324"/>
      <c r="G223" s="325"/>
      <c r="H223" s="325"/>
      <c r="I223" s="326"/>
      <c r="J223" s="642"/>
      <c r="K223" s="850"/>
      <c r="L223" s="850"/>
      <c r="M223" s="916"/>
      <c r="N223" s="851"/>
    </row>
    <row r="224" spans="1:14">
      <c r="A224" s="232"/>
      <c r="C224" s="327"/>
      <c r="D224" s="328" t="s">
        <v>188</v>
      </c>
      <c r="E224" s="329"/>
      <c r="F224" s="324"/>
      <c r="G224" s="330"/>
      <c r="H224" s="330"/>
      <c r="I224" s="331"/>
      <c r="J224" s="643"/>
      <c r="K224" s="852"/>
      <c r="L224" s="852"/>
      <c r="M224" s="917"/>
      <c r="N224" s="853"/>
    </row>
    <row r="225" spans="1:14">
      <c r="A225" s="232"/>
      <c r="C225" s="327"/>
      <c r="D225" s="328" t="s">
        <v>189</v>
      </c>
      <c r="E225" s="329"/>
      <c r="F225" s="324"/>
      <c r="G225" s="330"/>
      <c r="H225" s="330"/>
      <c r="I225" s="331"/>
      <c r="J225" s="643"/>
      <c r="K225" s="852"/>
      <c r="L225" s="852"/>
      <c r="M225" s="917"/>
      <c r="N225" s="853"/>
    </row>
    <row r="226" spans="1:14">
      <c r="A226" s="232"/>
      <c r="C226" s="327"/>
      <c r="D226" s="212" t="s">
        <v>190</v>
      </c>
      <c r="E226" s="209"/>
      <c r="F226" s="324"/>
      <c r="G226" s="325"/>
      <c r="H226" s="325"/>
      <c r="I226" s="326"/>
      <c r="J226" s="642"/>
      <c r="K226" s="850"/>
      <c r="L226" s="850"/>
      <c r="M226" s="916"/>
      <c r="N226" s="851"/>
    </row>
    <row r="227" spans="1:14">
      <c r="A227" s="232"/>
      <c r="C227" s="327"/>
      <c r="D227" s="212" t="s">
        <v>191</v>
      </c>
      <c r="E227" s="209"/>
      <c r="F227" s="324"/>
      <c r="G227" s="325"/>
      <c r="H227" s="325"/>
      <c r="I227" s="326"/>
      <c r="J227" s="642"/>
      <c r="K227" s="850"/>
      <c r="L227" s="850"/>
      <c r="M227" s="916"/>
      <c r="N227" s="851"/>
    </row>
    <row r="228" spans="1:14">
      <c r="A228" s="232"/>
      <c r="C228" s="327"/>
      <c r="D228" s="212" t="s">
        <v>192</v>
      </c>
      <c r="E228" s="209"/>
      <c r="F228" s="324"/>
      <c r="G228" s="325"/>
      <c r="H228" s="325"/>
      <c r="I228" s="326"/>
      <c r="J228" s="642"/>
      <c r="K228" s="850"/>
      <c r="L228" s="850"/>
      <c r="M228" s="916"/>
      <c r="N228" s="851"/>
    </row>
    <row r="229" spans="1:14">
      <c r="A229" s="232"/>
      <c r="C229" s="327"/>
      <c r="D229" s="212" t="s">
        <v>193</v>
      </c>
      <c r="E229" s="209"/>
      <c r="F229" s="324"/>
      <c r="G229" s="325"/>
      <c r="H229" s="325"/>
      <c r="I229" s="326"/>
      <c r="J229" s="642"/>
      <c r="K229" s="850"/>
      <c r="L229" s="850"/>
      <c r="M229" s="916"/>
      <c r="N229" s="851"/>
    </row>
    <row r="230" spans="1:14">
      <c r="A230" s="232"/>
      <c r="C230" s="327"/>
      <c r="D230" s="212" t="s">
        <v>165</v>
      </c>
      <c r="E230" s="209"/>
      <c r="F230" s="324"/>
      <c r="G230" s="325"/>
      <c r="H230" s="325"/>
      <c r="I230" s="326"/>
      <c r="J230" s="642"/>
      <c r="K230" s="850"/>
      <c r="L230" s="850"/>
      <c r="M230" s="916"/>
      <c r="N230" s="851"/>
    </row>
    <row r="231" spans="1:14">
      <c r="A231" s="232"/>
      <c r="C231" s="327"/>
      <c r="D231" s="212" t="s">
        <v>166</v>
      </c>
      <c r="E231" s="209"/>
      <c r="F231" s="324"/>
      <c r="G231" s="325"/>
      <c r="H231" s="325"/>
      <c r="I231" s="326"/>
      <c r="J231" s="642"/>
      <c r="K231" s="850"/>
      <c r="L231" s="850"/>
      <c r="M231" s="916"/>
      <c r="N231" s="851"/>
    </row>
    <row r="232" spans="1:14">
      <c r="A232" s="232"/>
      <c r="C232" s="327"/>
      <c r="D232" s="212" t="s">
        <v>167</v>
      </c>
      <c r="E232" s="209"/>
      <c r="F232" s="324"/>
      <c r="G232" s="325"/>
      <c r="H232" s="325"/>
      <c r="I232" s="326"/>
      <c r="J232" s="642"/>
      <c r="K232" s="850"/>
      <c r="L232" s="850"/>
      <c r="M232" s="916"/>
      <c r="N232" s="851"/>
    </row>
    <row r="233" spans="1:14">
      <c r="A233" s="232"/>
      <c r="C233" s="327"/>
      <c r="D233" s="212" t="s">
        <v>168</v>
      </c>
      <c r="E233" s="209"/>
      <c r="F233" s="324"/>
      <c r="G233" s="325"/>
      <c r="H233" s="325"/>
      <c r="I233" s="326"/>
      <c r="J233" s="642"/>
      <c r="K233" s="850"/>
      <c r="L233" s="850"/>
      <c r="M233" s="916"/>
      <c r="N233" s="851"/>
    </row>
    <row r="234" spans="1:14">
      <c r="A234" s="232"/>
      <c r="C234" s="327"/>
      <c r="D234" s="212" t="s">
        <v>169</v>
      </c>
      <c r="E234" s="209"/>
      <c r="F234" s="324"/>
      <c r="G234" s="325"/>
      <c r="H234" s="325"/>
      <c r="I234" s="326"/>
      <c r="J234" s="642"/>
      <c r="K234" s="850"/>
      <c r="L234" s="850"/>
      <c r="M234" s="916"/>
      <c r="N234" s="851"/>
    </row>
    <row r="235" spans="1:14">
      <c r="A235" s="232"/>
      <c r="C235" s="327"/>
      <c r="D235" s="212" t="s">
        <v>170</v>
      </c>
      <c r="E235" s="209"/>
      <c r="F235" s="324"/>
      <c r="G235" s="325"/>
      <c r="H235" s="325"/>
      <c r="I235" s="326"/>
      <c r="J235" s="642"/>
      <c r="K235" s="850"/>
      <c r="L235" s="850"/>
      <c r="M235" s="916"/>
      <c r="N235" s="851"/>
    </row>
    <row r="236" spans="1:14">
      <c r="A236" s="232"/>
      <c r="C236" s="327"/>
      <c r="D236" s="212" t="s">
        <v>171</v>
      </c>
      <c r="E236" s="209"/>
      <c r="F236" s="324"/>
      <c r="G236" s="325"/>
      <c r="H236" s="325"/>
      <c r="I236" s="326"/>
      <c r="J236" s="642"/>
      <c r="K236" s="850"/>
      <c r="L236" s="850"/>
      <c r="M236" s="916"/>
      <c r="N236" s="851"/>
    </row>
    <row r="237" spans="1:14">
      <c r="A237" s="232"/>
      <c r="C237" s="327"/>
      <c r="D237" s="212" t="s">
        <v>172</v>
      </c>
      <c r="E237" s="209"/>
      <c r="F237" s="324"/>
      <c r="G237" s="325"/>
      <c r="H237" s="325"/>
      <c r="I237" s="326"/>
      <c r="J237" s="642"/>
      <c r="K237" s="850"/>
      <c r="L237" s="850"/>
      <c r="M237" s="916"/>
      <c r="N237" s="851"/>
    </row>
    <row r="238" spans="1:14">
      <c r="A238" s="232"/>
      <c r="C238" s="327"/>
      <c r="D238" s="212" t="s">
        <v>173</v>
      </c>
      <c r="E238" s="209"/>
      <c r="F238" s="324"/>
      <c r="G238" s="325"/>
      <c r="H238" s="325"/>
      <c r="I238" s="326"/>
      <c r="J238" s="642"/>
      <c r="K238" s="850"/>
      <c r="L238" s="850"/>
      <c r="M238" s="916"/>
      <c r="N238" s="851"/>
    </row>
    <row r="239" spans="1:14">
      <c r="A239" s="232"/>
      <c r="C239" s="327"/>
      <c r="D239" s="212" t="s">
        <v>174</v>
      </c>
      <c r="E239" s="209"/>
      <c r="F239" s="324"/>
      <c r="G239" s="325"/>
      <c r="H239" s="325"/>
      <c r="I239" s="326"/>
      <c r="J239" s="642"/>
      <c r="K239" s="850"/>
      <c r="L239" s="850"/>
      <c r="M239" s="916"/>
      <c r="N239" s="851"/>
    </row>
    <row r="240" spans="1:14">
      <c r="A240" s="232"/>
      <c r="D240" s="212" t="s">
        <v>175</v>
      </c>
      <c r="E240" s="209"/>
      <c r="F240" s="324"/>
      <c r="G240" s="325"/>
      <c r="H240" s="325"/>
      <c r="I240" s="326"/>
      <c r="J240" s="642"/>
      <c r="K240" s="850"/>
      <c r="L240" s="850"/>
      <c r="M240" s="916"/>
      <c r="N240" s="851"/>
    </row>
    <row r="241" spans="1:14">
      <c r="A241" s="232"/>
      <c r="C241" s="327"/>
      <c r="D241" s="212" t="s">
        <v>176</v>
      </c>
      <c r="E241" s="209"/>
      <c r="F241" s="324"/>
      <c r="G241" s="325"/>
      <c r="H241" s="325"/>
      <c r="I241" s="326"/>
      <c r="J241" s="642"/>
      <c r="K241" s="850"/>
      <c r="L241" s="850"/>
      <c r="M241" s="916"/>
      <c r="N241" s="851"/>
    </row>
    <row r="242" spans="1:14">
      <c r="A242" s="232"/>
      <c r="C242" s="327"/>
      <c r="D242" s="212" t="s">
        <v>177</v>
      </c>
      <c r="E242" s="209"/>
      <c r="F242" s="324"/>
      <c r="G242" s="325"/>
      <c r="H242" s="325"/>
      <c r="I242" s="326"/>
      <c r="J242" s="642"/>
      <c r="K242" s="850"/>
      <c r="L242" s="850"/>
      <c r="M242" s="916"/>
      <c r="N242" s="851"/>
    </row>
    <row r="243" spans="1:14">
      <c r="A243" s="232"/>
      <c r="D243" s="212" t="s">
        <v>178</v>
      </c>
      <c r="E243" s="209"/>
      <c r="F243" s="324"/>
      <c r="G243" s="325"/>
      <c r="H243" s="325"/>
      <c r="I243" s="326"/>
      <c r="J243" s="642"/>
      <c r="K243" s="850"/>
      <c r="L243" s="850"/>
      <c r="M243" s="916"/>
      <c r="N243" s="851"/>
    </row>
    <row r="244" spans="1:14">
      <c r="A244" s="232"/>
      <c r="C244" s="327"/>
      <c r="D244" s="212" t="s">
        <v>179</v>
      </c>
      <c r="E244" s="209"/>
      <c r="F244" s="324"/>
      <c r="G244" s="325"/>
      <c r="H244" s="325"/>
      <c r="I244" s="326"/>
      <c r="J244" s="642"/>
      <c r="K244" s="850"/>
      <c r="L244" s="850"/>
      <c r="M244" s="916"/>
      <c r="N244" s="851"/>
    </row>
    <row r="245" spans="1:14">
      <c r="A245" s="232"/>
      <c r="C245" s="327"/>
      <c r="D245" s="212" t="s">
        <v>180</v>
      </c>
      <c r="E245" s="209"/>
      <c r="F245" s="324"/>
      <c r="G245" s="325"/>
      <c r="H245" s="325"/>
      <c r="I245" s="326"/>
      <c r="J245" s="642"/>
      <c r="K245" s="850"/>
      <c r="L245" s="850"/>
      <c r="M245" s="916"/>
      <c r="N245" s="851"/>
    </row>
    <row r="246" spans="1:14">
      <c r="A246" s="232"/>
      <c r="C246" s="327"/>
      <c r="D246" s="212" t="s">
        <v>370</v>
      </c>
      <c r="E246" s="209"/>
      <c r="F246" s="324"/>
      <c r="G246" s="325"/>
      <c r="H246" s="325"/>
      <c r="I246" s="326"/>
      <c r="J246" s="642"/>
      <c r="K246" s="850"/>
      <c r="L246" s="850"/>
      <c r="M246" s="916"/>
      <c r="N246" s="851"/>
    </row>
    <row r="247" spans="1:14">
      <c r="A247" s="232"/>
      <c r="C247" s="327"/>
      <c r="D247" s="212" t="s">
        <v>371</v>
      </c>
      <c r="E247" s="209"/>
      <c r="F247" s="324"/>
      <c r="G247" s="325"/>
      <c r="H247" s="325"/>
      <c r="I247" s="326"/>
      <c r="J247" s="642"/>
      <c r="K247" s="850"/>
      <c r="L247" s="850"/>
      <c r="M247" s="916"/>
      <c r="N247" s="851"/>
    </row>
    <row r="248" spans="1:14">
      <c r="A248" s="232"/>
      <c r="D248" s="212" t="s">
        <v>372</v>
      </c>
      <c r="E248" s="209"/>
      <c r="F248" s="324"/>
      <c r="G248" s="325"/>
      <c r="H248" s="325"/>
      <c r="I248" s="326"/>
      <c r="J248" s="642"/>
      <c r="K248" s="850"/>
      <c r="L248" s="850"/>
      <c r="M248" s="916"/>
      <c r="N248" s="851"/>
    </row>
    <row r="249" spans="1:14">
      <c r="A249" s="232"/>
      <c r="C249" s="327"/>
      <c r="D249" s="212" t="s">
        <v>373</v>
      </c>
      <c r="E249" s="209"/>
      <c r="F249" s="324"/>
      <c r="G249" s="325"/>
      <c r="H249" s="325"/>
      <c r="I249" s="326"/>
      <c r="J249" s="642"/>
      <c r="K249" s="850"/>
      <c r="L249" s="850"/>
      <c r="M249" s="916"/>
      <c r="N249" s="851"/>
    </row>
    <row r="250" spans="1:14">
      <c r="A250" s="232"/>
      <c r="C250" s="327"/>
      <c r="D250" s="212" t="s">
        <v>374</v>
      </c>
      <c r="E250" s="209"/>
      <c r="F250" s="324"/>
      <c r="G250" s="325"/>
      <c r="H250" s="325"/>
      <c r="I250" s="326"/>
      <c r="J250" s="642"/>
      <c r="K250" s="850"/>
      <c r="L250" s="850"/>
      <c r="M250" s="916"/>
      <c r="N250" s="851"/>
    </row>
    <row r="251" spans="1:14">
      <c r="A251" s="207" t="s">
        <v>194</v>
      </c>
      <c r="B251" s="259"/>
      <c r="C251" s="259"/>
      <c r="D251" s="212" t="s">
        <v>195</v>
      </c>
      <c r="E251" s="209"/>
      <c r="F251" s="627"/>
      <c r="G251" s="273"/>
      <c r="H251" s="273"/>
      <c r="I251" s="332"/>
      <c r="J251" s="644"/>
      <c r="K251" s="786" t="str">
        <f>IF(J251="","",$J251)</f>
        <v/>
      </c>
      <c r="L251" s="786" t="str">
        <f t="shared" ref="L251:N251" si="100">IF(K251="","",$J251)</f>
        <v/>
      </c>
      <c r="M251" s="786" t="str">
        <f t="shared" si="100"/>
        <v/>
      </c>
      <c r="N251" s="787" t="str">
        <f t="shared" si="100"/>
        <v/>
      </c>
    </row>
    <row r="252" spans="1:14">
      <c r="A252" s="232"/>
      <c r="D252" s="212" t="s">
        <v>196</v>
      </c>
      <c r="E252" s="209"/>
      <c r="F252" s="627"/>
      <c r="G252" s="273"/>
      <c r="H252" s="273"/>
      <c r="I252" s="332"/>
      <c r="J252" s="644"/>
      <c r="K252" s="786" t="str">
        <f t="shared" ref="K252:N252" si="101">IF(J252="","",$J252)</f>
        <v/>
      </c>
      <c r="L252" s="786" t="str">
        <f t="shared" si="101"/>
        <v/>
      </c>
      <c r="M252" s="786" t="str">
        <f t="shared" si="101"/>
        <v/>
      </c>
      <c r="N252" s="787" t="str">
        <f t="shared" si="101"/>
        <v/>
      </c>
    </row>
    <row r="253" spans="1:14">
      <c r="A253" s="232"/>
      <c r="C253" s="327"/>
      <c r="D253" s="212" t="s">
        <v>197</v>
      </c>
      <c r="E253" s="209"/>
      <c r="F253" s="627"/>
      <c r="G253" s="273"/>
      <c r="H253" s="273"/>
      <c r="I253" s="332"/>
      <c r="J253" s="644"/>
      <c r="K253" s="786" t="str">
        <f t="shared" ref="K253:N253" si="102">IF(J253="","",$J253)</f>
        <v/>
      </c>
      <c r="L253" s="786" t="str">
        <f t="shared" si="102"/>
        <v/>
      </c>
      <c r="M253" s="786" t="str">
        <f t="shared" si="102"/>
        <v/>
      </c>
      <c r="N253" s="787" t="str">
        <f t="shared" si="102"/>
        <v/>
      </c>
    </row>
    <row r="254" spans="1:14">
      <c r="A254" s="232"/>
      <c r="C254" s="327"/>
      <c r="D254" s="212" t="s">
        <v>198</v>
      </c>
      <c r="E254" s="209"/>
      <c r="F254" s="627"/>
      <c r="G254" s="273"/>
      <c r="H254" s="273"/>
      <c r="I254" s="332"/>
      <c r="J254" s="644"/>
      <c r="K254" s="786" t="str">
        <f t="shared" ref="K254:N254" si="103">IF(J254="","",$J254)</f>
        <v/>
      </c>
      <c r="L254" s="786" t="str">
        <f t="shared" si="103"/>
        <v/>
      </c>
      <c r="M254" s="786" t="str">
        <f t="shared" si="103"/>
        <v/>
      </c>
      <c r="N254" s="787" t="str">
        <f t="shared" si="103"/>
        <v/>
      </c>
    </row>
    <row r="255" spans="1:14">
      <c r="A255" s="232"/>
      <c r="C255" s="327"/>
      <c r="D255" s="212" t="s">
        <v>199</v>
      </c>
      <c r="E255" s="209"/>
      <c r="F255" s="627"/>
      <c r="G255" s="273"/>
      <c r="H255" s="273"/>
      <c r="I255" s="332"/>
      <c r="J255" s="644"/>
      <c r="K255" s="786" t="str">
        <f t="shared" ref="K255:N255" si="104">IF(J255="","",$J255)</f>
        <v/>
      </c>
      <c r="L255" s="786" t="str">
        <f t="shared" si="104"/>
        <v/>
      </c>
      <c r="M255" s="786" t="str">
        <f t="shared" si="104"/>
        <v/>
      </c>
      <c r="N255" s="787" t="str">
        <f t="shared" si="104"/>
        <v/>
      </c>
    </row>
    <row r="256" spans="1:14">
      <c r="A256" s="232"/>
      <c r="C256" s="327"/>
      <c r="D256" s="212" t="s">
        <v>200</v>
      </c>
      <c r="E256" s="209"/>
      <c r="F256" s="627"/>
      <c r="G256" s="273"/>
      <c r="H256" s="273"/>
      <c r="I256" s="332"/>
      <c r="J256" s="644"/>
      <c r="K256" s="786" t="str">
        <f t="shared" ref="K256:N256" si="105">IF(J256="","",$J256)</f>
        <v/>
      </c>
      <c r="L256" s="786" t="str">
        <f t="shared" si="105"/>
        <v/>
      </c>
      <c r="M256" s="786" t="str">
        <f t="shared" si="105"/>
        <v/>
      </c>
      <c r="N256" s="787" t="str">
        <f t="shared" si="105"/>
        <v/>
      </c>
    </row>
    <row r="257" spans="1:14">
      <c r="A257" s="232"/>
      <c r="C257" s="327"/>
      <c r="D257" s="212" t="s">
        <v>201</v>
      </c>
      <c r="E257" s="209"/>
      <c r="F257" s="627"/>
      <c r="G257" s="273"/>
      <c r="H257" s="273"/>
      <c r="I257" s="332"/>
      <c r="J257" s="644"/>
      <c r="K257" s="786" t="str">
        <f t="shared" ref="K257:N257" si="106">IF(J257="","",$J257)</f>
        <v/>
      </c>
      <c r="L257" s="786" t="str">
        <f t="shared" si="106"/>
        <v/>
      </c>
      <c r="M257" s="786" t="str">
        <f t="shared" si="106"/>
        <v/>
      </c>
      <c r="N257" s="787" t="str">
        <f t="shared" si="106"/>
        <v/>
      </c>
    </row>
    <row r="258" spans="1:14">
      <c r="A258" s="232"/>
      <c r="C258" s="327"/>
      <c r="D258" s="212" t="s">
        <v>202</v>
      </c>
      <c r="E258" s="209"/>
      <c r="F258" s="627"/>
      <c r="G258" s="273"/>
      <c r="H258" s="273"/>
      <c r="I258" s="332"/>
      <c r="J258" s="644"/>
      <c r="K258" s="786" t="str">
        <f t="shared" ref="K258:N258" si="107">IF(J258="","",$J258)</f>
        <v/>
      </c>
      <c r="L258" s="786" t="str">
        <f t="shared" si="107"/>
        <v/>
      </c>
      <c r="M258" s="786" t="str">
        <f t="shared" si="107"/>
        <v/>
      </c>
      <c r="N258" s="787" t="str">
        <f t="shared" si="107"/>
        <v/>
      </c>
    </row>
    <row r="259" spans="1:14">
      <c r="A259" s="232"/>
      <c r="C259" s="327"/>
      <c r="D259" s="212" t="s">
        <v>203</v>
      </c>
      <c r="E259" s="209"/>
      <c r="F259" s="627"/>
      <c r="G259" s="273"/>
      <c r="H259" s="273"/>
      <c r="I259" s="332"/>
      <c r="J259" s="644"/>
      <c r="K259" s="786" t="str">
        <f t="shared" ref="K259:N259" si="108">IF(J259="","",$J259)</f>
        <v/>
      </c>
      <c r="L259" s="786" t="str">
        <f t="shared" si="108"/>
        <v/>
      </c>
      <c r="M259" s="786" t="str">
        <f t="shared" si="108"/>
        <v/>
      </c>
      <c r="N259" s="787" t="str">
        <f t="shared" si="108"/>
        <v/>
      </c>
    </row>
    <row r="260" spans="1:14">
      <c r="A260" s="232"/>
      <c r="C260" s="327"/>
      <c r="D260" s="212" t="s">
        <v>204</v>
      </c>
      <c r="E260" s="209"/>
      <c r="F260" s="627"/>
      <c r="G260" s="273"/>
      <c r="H260" s="273"/>
      <c r="I260" s="332"/>
      <c r="J260" s="644"/>
      <c r="K260" s="786" t="str">
        <f t="shared" ref="K260:N260" si="109">IF(J260="","",$J260)</f>
        <v/>
      </c>
      <c r="L260" s="786" t="str">
        <f t="shared" si="109"/>
        <v/>
      </c>
      <c r="M260" s="786" t="str">
        <f t="shared" si="109"/>
        <v/>
      </c>
      <c r="N260" s="787" t="str">
        <f t="shared" si="109"/>
        <v/>
      </c>
    </row>
    <row r="261" spans="1:14">
      <c r="A261" s="232"/>
      <c r="C261" s="327"/>
      <c r="D261" s="212" t="s">
        <v>205</v>
      </c>
      <c r="E261" s="209"/>
      <c r="F261" s="627"/>
      <c r="G261" s="273"/>
      <c r="H261" s="273"/>
      <c r="I261" s="332"/>
      <c r="J261" s="644"/>
      <c r="K261" s="786" t="str">
        <f t="shared" ref="K261:N261" si="110">IF(J261="","",$J261)</f>
        <v/>
      </c>
      <c r="L261" s="786" t="str">
        <f t="shared" si="110"/>
        <v/>
      </c>
      <c r="M261" s="786" t="str">
        <f t="shared" si="110"/>
        <v/>
      </c>
      <c r="N261" s="787" t="str">
        <f t="shared" si="110"/>
        <v/>
      </c>
    </row>
    <row r="262" spans="1:14">
      <c r="A262" s="232"/>
      <c r="C262" s="327"/>
      <c r="D262" s="333" t="s">
        <v>206</v>
      </c>
      <c r="E262" s="277"/>
      <c r="F262" s="627"/>
      <c r="G262" s="273"/>
      <c r="H262" s="273"/>
      <c r="I262" s="332"/>
      <c r="J262" s="645"/>
      <c r="K262" s="786" t="str">
        <f t="shared" ref="K262:N262" si="111">IF(J262="","",$J262)</f>
        <v/>
      </c>
      <c r="L262" s="786" t="str">
        <f t="shared" si="111"/>
        <v/>
      </c>
      <c r="M262" s="786" t="str">
        <f t="shared" si="111"/>
        <v/>
      </c>
      <c r="N262" s="787" t="str">
        <f t="shared" si="111"/>
        <v/>
      </c>
    </row>
    <row r="263" spans="1:14">
      <c r="A263" s="232"/>
      <c r="D263" s="212" t="s">
        <v>207</v>
      </c>
      <c r="E263" s="209"/>
      <c r="F263" s="627"/>
      <c r="G263" s="273"/>
      <c r="H263" s="273"/>
      <c r="I263" s="332"/>
      <c r="J263" s="646"/>
      <c r="K263" s="786" t="str">
        <f t="shared" ref="K263:N263" si="112">IF(J263="","",$J263)</f>
        <v/>
      </c>
      <c r="L263" s="786" t="str">
        <f t="shared" si="112"/>
        <v/>
      </c>
      <c r="M263" s="786" t="str">
        <f t="shared" si="112"/>
        <v/>
      </c>
      <c r="N263" s="787" t="str">
        <f t="shared" si="112"/>
        <v/>
      </c>
    </row>
    <row r="264" spans="1:14">
      <c r="A264" s="232"/>
      <c r="D264" s="334" t="s">
        <v>208</v>
      </c>
      <c r="E264" s="335"/>
      <c r="F264" s="627"/>
      <c r="G264" s="273"/>
      <c r="H264" s="273"/>
      <c r="I264" s="332"/>
      <c r="J264" s="647"/>
      <c r="K264" s="786" t="str">
        <f t="shared" ref="K264:N264" si="113">IF(J264="","",$J264)</f>
        <v/>
      </c>
      <c r="L264" s="786" t="str">
        <f t="shared" si="113"/>
        <v/>
      </c>
      <c r="M264" s="786" t="str">
        <f t="shared" si="113"/>
        <v/>
      </c>
      <c r="N264" s="787" t="str">
        <f t="shared" si="113"/>
        <v/>
      </c>
    </row>
    <row r="265" spans="1:14">
      <c r="A265" s="232"/>
      <c r="C265" s="327"/>
      <c r="D265" s="212" t="s">
        <v>209</v>
      </c>
      <c r="E265" s="209"/>
      <c r="F265" s="627"/>
      <c r="G265" s="273"/>
      <c r="H265" s="273"/>
      <c r="I265" s="332"/>
      <c r="J265" s="644"/>
      <c r="K265" s="786" t="str">
        <f t="shared" ref="K265:N265" si="114">IF(J265="","",$J265)</f>
        <v/>
      </c>
      <c r="L265" s="786" t="str">
        <f t="shared" si="114"/>
        <v/>
      </c>
      <c r="M265" s="786" t="str">
        <f t="shared" si="114"/>
        <v/>
      </c>
      <c r="N265" s="787" t="str">
        <f t="shared" si="114"/>
        <v/>
      </c>
    </row>
    <row r="266" spans="1:14">
      <c r="A266" s="232"/>
      <c r="C266" s="327"/>
      <c r="D266" s="333" t="s">
        <v>210</v>
      </c>
      <c r="E266" s="277"/>
      <c r="F266" s="336"/>
      <c r="G266" s="278"/>
      <c r="H266" s="278"/>
      <c r="I266" s="337"/>
      <c r="J266" s="645"/>
      <c r="K266" s="786" t="str">
        <f t="shared" ref="K266:N266" si="115">IF(J266="","",$J266)</f>
        <v/>
      </c>
      <c r="L266" s="786" t="str">
        <f t="shared" si="115"/>
        <v/>
      </c>
      <c r="M266" s="786" t="str">
        <f t="shared" si="115"/>
        <v/>
      </c>
      <c r="N266" s="787" t="str">
        <f t="shared" si="115"/>
        <v/>
      </c>
    </row>
    <row r="267" spans="1:14">
      <c r="A267" s="232"/>
      <c r="C267" s="327"/>
      <c r="D267" s="333" t="s">
        <v>211</v>
      </c>
      <c r="E267" s="209"/>
      <c r="F267" s="627"/>
      <c r="G267" s="273"/>
      <c r="H267" s="273"/>
      <c r="I267" s="332"/>
      <c r="J267" s="646"/>
      <c r="K267" s="786" t="str">
        <f t="shared" ref="K267:N267" si="116">IF(J267="","",$J267)</f>
        <v/>
      </c>
      <c r="L267" s="786" t="str">
        <f t="shared" si="116"/>
        <v/>
      </c>
      <c r="M267" s="786" t="str">
        <f t="shared" si="116"/>
        <v/>
      </c>
      <c r="N267" s="787" t="str">
        <f t="shared" si="116"/>
        <v/>
      </c>
    </row>
    <row r="268" spans="1:14">
      <c r="A268" s="232"/>
      <c r="C268" s="327"/>
      <c r="D268" s="212" t="s">
        <v>212</v>
      </c>
      <c r="E268" s="209"/>
      <c r="F268" s="627"/>
      <c r="G268" s="273"/>
      <c r="H268" s="273"/>
      <c r="I268" s="332"/>
      <c r="J268" s="644"/>
      <c r="K268" s="786" t="str">
        <f t="shared" ref="K268:N272" si="117">IF(J268="","",$J268)</f>
        <v/>
      </c>
      <c r="L268" s="786" t="str">
        <f t="shared" si="117"/>
        <v/>
      </c>
      <c r="M268" s="786" t="str">
        <f t="shared" si="117"/>
        <v/>
      </c>
      <c r="N268" s="787" t="str">
        <f t="shared" si="117"/>
        <v/>
      </c>
    </row>
    <row r="269" spans="1:14">
      <c r="A269" s="232"/>
      <c r="D269" s="334" t="s">
        <v>375</v>
      </c>
      <c r="E269" s="335"/>
      <c r="F269" s="627"/>
      <c r="G269" s="273"/>
      <c r="H269" s="273"/>
      <c r="I269" s="332"/>
      <c r="J269" s="647"/>
      <c r="K269" s="786" t="str">
        <f t="shared" si="117"/>
        <v/>
      </c>
      <c r="L269" s="786" t="str">
        <f t="shared" si="117"/>
        <v/>
      </c>
      <c r="M269" s="786" t="str">
        <f t="shared" si="117"/>
        <v/>
      </c>
      <c r="N269" s="787" t="str">
        <f t="shared" si="117"/>
        <v/>
      </c>
    </row>
    <row r="270" spans="1:14">
      <c r="A270" s="232"/>
      <c r="C270" s="327"/>
      <c r="D270" s="212" t="s">
        <v>376</v>
      </c>
      <c r="E270" s="209"/>
      <c r="F270" s="627"/>
      <c r="G270" s="273"/>
      <c r="H270" s="273"/>
      <c r="I270" s="332"/>
      <c r="J270" s="644"/>
      <c r="K270" s="786" t="str">
        <f t="shared" si="117"/>
        <v/>
      </c>
      <c r="L270" s="786" t="str">
        <f t="shared" si="117"/>
        <v/>
      </c>
      <c r="M270" s="786" t="str">
        <f t="shared" si="117"/>
        <v/>
      </c>
      <c r="N270" s="787" t="str">
        <f t="shared" si="117"/>
        <v/>
      </c>
    </row>
    <row r="271" spans="1:14">
      <c r="A271" s="232"/>
      <c r="C271" s="327"/>
      <c r="D271" s="333" t="s">
        <v>377</v>
      </c>
      <c r="E271" s="277"/>
      <c r="F271" s="336"/>
      <c r="G271" s="278"/>
      <c r="H271" s="278"/>
      <c r="I271" s="337"/>
      <c r="J271" s="645"/>
      <c r="K271" s="786" t="str">
        <f t="shared" si="117"/>
        <v/>
      </c>
      <c r="L271" s="786" t="str">
        <f t="shared" si="117"/>
        <v/>
      </c>
      <c r="M271" s="786" t="str">
        <f t="shared" si="117"/>
        <v/>
      </c>
      <c r="N271" s="787" t="str">
        <f t="shared" si="117"/>
        <v/>
      </c>
    </row>
    <row r="272" spans="1:14">
      <c r="A272" s="232"/>
      <c r="C272" s="327"/>
      <c r="D272" s="333" t="s">
        <v>378</v>
      </c>
      <c r="E272" s="209"/>
      <c r="F272" s="627"/>
      <c r="G272" s="273"/>
      <c r="H272" s="273"/>
      <c r="I272" s="332"/>
      <c r="J272" s="646"/>
      <c r="K272" s="786" t="str">
        <f t="shared" si="117"/>
        <v/>
      </c>
      <c r="L272" s="786" t="str">
        <f t="shared" si="117"/>
        <v/>
      </c>
      <c r="M272" s="786" t="str">
        <f t="shared" si="117"/>
        <v/>
      </c>
      <c r="N272" s="787" t="str">
        <f t="shared" si="117"/>
        <v/>
      </c>
    </row>
    <row r="273" spans="1:14">
      <c r="A273" s="232"/>
      <c r="C273" s="327"/>
      <c r="D273" s="212" t="s">
        <v>379</v>
      </c>
      <c r="E273" s="209"/>
      <c r="F273" s="627"/>
      <c r="G273" s="273"/>
      <c r="H273" s="273"/>
      <c r="I273" s="332"/>
      <c r="J273" s="644"/>
      <c r="K273" s="786" t="str">
        <f t="shared" ref="K273" si="118">IF(J273="","",$J273)</f>
        <v/>
      </c>
      <c r="L273" s="786" t="str">
        <f t="shared" ref="L273" si="119">IF(K273="","",$J273)</f>
        <v/>
      </c>
      <c r="M273" s="786" t="str">
        <f t="shared" ref="M273" si="120">IF(L273="","",$J273)</f>
        <v/>
      </c>
      <c r="N273" s="787" t="str">
        <f t="shared" ref="N273" si="121">IF(M273="","",$J273)</f>
        <v/>
      </c>
    </row>
    <row r="274" spans="1:14" ht="14.25" thickBot="1">
      <c r="A274" s="338"/>
      <c r="B274" s="339"/>
      <c r="C274" s="340"/>
      <c r="D274" s="341" t="s">
        <v>380</v>
      </c>
      <c r="E274" s="342"/>
      <c r="F274" s="343"/>
      <c r="G274" s="344"/>
      <c r="H274" s="344"/>
      <c r="I274" s="345"/>
      <c r="J274" s="648"/>
      <c r="K274" s="854" t="str">
        <f t="shared" ref="K274:N274" si="122">IF(J274="","",$J274)</f>
        <v/>
      </c>
      <c r="L274" s="854" t="str">
        <f t="shared" si="122"/>
        <v/>
      </c>
      <c r="M274" s="854" t="str">
        <f t="shared" si="122"/>
        <v/>
      </c>
      <c r="N274" s="855" t="str">
        <f t="shared" si="122"/>
        <v/>
      </c>
    </row>
    <row r="275" spans="1:14">
      <c r="K275" s="370"/>
      <c r="L275" s="370"/>
      <c r="M275" s="370"/>
    </row>
    <row r="276" spans="1:14" ht="14.25" thickBot="1">
      <c r="A276" s="198" t="s">
        <v>213</v>
      </c>
      <c r="B276" s="201"/>
      <c r="C276" s="201"/>
      <c r="D276" s="201"/>
      <c r="E276" s="201"/>
      <c r="F276" s="201"/>
      <c r="G276" s="201"/>
      <c r="H276" s="201"/>
      <c r="I276" s="201"/>
      <c r="J276" s="201"/>
      <c r="K276" s="726"/>
      <c r="L276" s="726"/>
      <c r="M276" s="726"/>
    </row>
    <row r="277" spans="1:14">
      <c r="A277" s="230"/>
      <c r="B277" s="231"/>
      <c r="C277" s="231"/>
      <c r="D277" s="231"/>
      <c r="E277" s="231"/>
      <c r="F277" s="1112" t="s">
        <v>351</v>
      </c>
      <c r="G277" s="1113"/>
      <c r="H277" s="1113"/>
      <c r="I277" s="1114"/>
      <c r="J277" s="1115" t="s">
        <v>383</v>
      </c>
      <c r="K277" s="1115" t="s">
        <v>324</v>
      </c>
      <c r="L277" s="1115" t="s">
        <v>323</v>
      </c>
      <c r="M277" s="1129" t="s">
        <v>322</v>
      </c>
      <c r="N277" s="1127" t="s">
        <v>349</v>
      </c>
    </row>
    <row r="278" spans="1:14" ht="14.25" thickBot="1">
      <c r="A278" s="232"/>
      <c r="F278" s="233"/>
      <c r="G278" s="234" t="s">
        <v>362</v>
      </c>
      <c r="H278" s="235" t="s">
        <v>361</v>
      </c>
      <c r="I278" s="236" t="s">
        <v>360</v>
      </c>
      <c r="J278" s="1116"/>
      <c r="K278" s="1126"/>
      <c r="L278" s="1126"/>
      <c r="M278" s="1130"/>
      <c r="N278" s="1128"/>
    </row>
    <row r="279" spans="1:14">
      <c r="A279" s="230" t="s">
        <v>184</v>
      </c>
      <c r="B279" s="231"/>
      <c r="C279" s="346"/>
      <c r="D279" s="347" t="s">
        <v>185</v>
      </c>
      <c r="E279" s="348"/>
      <c r="F279" s="324"/>
      <c r="G279" s="995">
        <v>0.45500000000000002</v>
      </c>
      <c r="H279" s="995">
        <v>0.45500000000000002</v>
      </c>
      <c r="I279" s="996">
        <v>0.45500000000000002</v>
      </c>
      <c r="J279" s="997">
        <v>0.45500000000000002</v>
      </c>
      <c r="K279" s="998">
        <v>0.45500000000000002</v>
      </c>
      <c r="L279" s="998">
        <v>0.45500000000000002</v>
      </c>
      <c r="M279" s="999">
        <v>0.45500000000000002</v>
      </c>
      <c r="N279" s="1000">
        <v>0.45500000000000002</v>
      </c>
    </row>
    <row r="280" spans="1:14">
      <c r="A280" s="232"/>
      <c r="D280" s="981" t="s">
        <v>186</v>
      </c>
      <c r="E280" s="982"/>
      <c r="F280" s="324"/>
      <c r="G280" s="995">
        <v>0.68500000000000005</v>
      </c>
      <c r="H280" s="995">
        <v>0.68500000000000005</v>
      </c>
      <c r="I280" s="996">
        <v>0.68500000000000005</v>
      </c>
      <c r="J280" s="997">
        <v>0.68500000000000005</v>
      </c>
      <c r="K280" s="998">
        <v>0.68500000000000005</v>
      </c>
      <c r="L280" s="998">
        <v>0.68500000000000005</v>
      </c>
      <c r="M280" s="999">
        <v>0.68500000000000005</v>
      </c>
      <c r="N280" s="1000">
        <v>0.68500000000000005</v>
      </c>
    </row>
    <row r="281" spans="1:14">
      <c r="A281" s="232"/>
      <c r="C281" s="327"/>
      <c r="D281" s="981" t="s">
        <v>187</v>
      </c>
      <c r="E281" s="982"/>
      <c r="F281" s="324"/>
      <c r="G281" s="995">
        <v>0.69</v>
      </c>
      <c r="H281" s="995">
        <v>0.69</v>
      </c>
      <c r="I281" s="996">
        <v>0.69</v>
      </c>
      <c r="J281" s="997">
        <v>0.69</v>
      </c>
      <c r="K281" s="998">
        <v>0.69</v>
      </c>
      <c r="L281" s="998">
        <v>0.69</v>
      </c>
      <c r="M281" s="999">
        <v>0.69</v>
      </c>
      <c r="N281" s="1000">
        <v>0.69</v>
      </c>
    </row>
    <row r="282" spans="1:14">
      <c r="A282" s="232"/>
      <c r="C282" s="327"/>
      <c r="D282" s="981" t="s">
        <v>188</v>
      </c>
      <c r="E282" s="982"/>
      <c r="F282" s="324"/>
      <c r="G282" s="995">
        <v>0.9</v>
      </c>
      <c r="H282" s="995">
        <v>0.9</v>
      </c>
      <c r="I282" s="996">
        <v>0.9</v>
      </c>
      <c r="J282" s="997">
        <v>0.9</v>
      </c>
      <c r="K282" s="998">
        <v>0.9</v>
      </c>
      <c r="L282" s="998">
        <v>0.9</v>
      </c>
      <c r="M282" s="999">
        <v>0.9</v>
      </c>
      <c r="N282" s="1000">
        <v>0.9</v>
      </c>
    </row>
    <row r="283" spans="1:14">
      <c r="A283" s="232"/>
      <c r="C283" s="327"/>
      <c r="D283" s="981" t="s">
        <v>189</v>
      </c>
      <c r="E283" s="982"/>
      <c r="F283" s="324"/>
      <c r="G283" s="995">
        <v>1</v>
      </c>
      <c r="H283" s="995">
        <v>1</v>
      </c>
      <c r="I283" s="996">
        <v>1</v>
      </c>
      <c r="J283" s="997">
        <v>1</v>
      </c>
      <c r="K283" s="998">
        <v>1</v>
      </c>
      <c r="L283" s="998">
        <v>1</v>
      </c>
      <c r="M283" s="999">
        <v>1</v>
      </c>
      <c r="N283" s="1000">
        <v>1</v>
      </c>
    </row>
    <row r="284" spans="1:14">
      <c r="A284" s="232"/>
      <c r="C284" s="327"/>
      <c r="D284" s="981" t="s">
        <v>190</v>
      </c>
      <c r="E284" s="982"/>
      <c r="F284" s="324"/>
      <c r="G284" s="995">
        <v>1.2</v>
      </c>
      <c r="H284" s="995">
        <v>1.2</v>
      </c>
      <c r="I284" s="996">
        <v>1.2</v>
      </c>
      <c r="J284" s="997">
        <v>1.2</v>
      </c>
      <c r="K284" s="998">
        <v>1.2</v>
      </c>
      <c r="L284" s="998">
        <v>1.2</v>
      </c>
      <c r="M284" s="999">
        <v>1.2</v>
      </c>
      <c r="N284" s="1000">
        <v>1.2</v>
      </c>
    </row>
    <row r="285" spans="1:14">
      <c r="A285" s="232"/>
      <c r="C285" s="327"/>
      <c r="D285" s="981" t="s">
        <v>191</v>
      </c>
      <c r="E285" s="982"/>
      <c r="F285" s="324"/>
      <c r="G285" s="995">
        <v>1.3</v>
      </c>
      <c r="H285" s="995">
        <v>1.3</v>
      </c>
      <c r="I285" s="996">
        <v>1.3</v>
      </c>
      <c r="J285" s="997">
        <v>1.3</v>
      </c>
      <c r="K285" s="998">
        <v>1.3</v>
      </c>
      <c r="L285" s="998">
        <v>1.3</v>
      </c>
      <c r="M285" s="999">
        <v>1.3</v>
      </c>
      <c r="N285" s="1000">
        <v>1.3</v>
      </c>
    </row>
    <row r="286" spans="1:14">
      <c r="A286" s="232"/>
      <c r="C286" s="327"/>
      <c r="D286" s="981" t="s">
        <v>192</v>
      </c>
      <c r="E286" s="982"/>
      <c r="F286" s="324"/>
      <c r="G286" s="995">
        <v>1.5</v>
      </c>
      <c r="H286" s="995">
        <v>1.5</v>
      </c>
      <c r="I286" s="996">
        <v>1.5</v>
      </c>
      <c r="J286" s="997">
        <v>1.5</v>
      </c>
      <c r="K286" s="998">
        <v>1.5</v>
      </c>
      <c r="L286" s="998">
        <v>1.5</v>
      </c>
      <c r="M286" s="999">
        <v>1.5</v>
      </c>
      <c r="N286" s="1000">
        <v>1.5</v>
      </c>
    </row>
    <row r="287" spans="1:14">
      <c r="A287" s="232"/>
      <c r="C287" s="327"/>
      <c r="D287" s="981" t="s">
        <v>193</v>
      </c>
      <c r="E287" s="982"/>
      <c r="F287" s="324"/>
      <c r="G287" s="995">
        <v>1.7</v>
      </c>
      <c r="H287" s="995">
        <v>1.7</v>
      </c>
      <c r="I287" s="996">
        <v>1.7</v>
      </c>
      <c r="J287" s="997">
        <v>1.7</v>
      </c>
      <c r="K287" s="998">
        <v>1.7</v>
      </c>
      <c r="L287" s="998">
        <v>1.7</v>
      </c>
      <c r="M287" s="999">
        <v>1.7</v>
      </c>
      <c r="N287" s="1000">
        <v>1.7</v>
      </c>
    </row>
    <row r="288" spans="1:14">
      <c r="A288" s="232"/>
      <c r="C288" s="327"/>
      <c r="D288" s="981" t="s">
        <v>165</v>
      </c>
      <c r="E288" s="982"/>
      <c r="F288" s="324"/>
      <c r="G288" s="995">
        <v>1.9</v>
      </c>
      <c r="H288" s="995">
        <v>1.9</v>
      </c>
      <c r="I288" s="996">
        <v>1.9</v>
      </c>
      <c r="J288" s="997">
        <v>1.9</v>
      </c>
      <c r="K288" s="998">
        <v>1.9</v>
      </c>
      <c r="L288" s="998">
        <v>1.9</v>
      </c>
      <c r="M288" s="999">
        <v>1.9</v>
      </c>
      <c r="N288" s="1000">
        <v>1.9</v>
      </c>
    </row>
    <row r="289" spans="1:14">
      <c r="A289" s="232"/>
      <c r="C289" s="327"/>
      <c r="D289" s="981" t="s">
        <v>166</v>
      </c>
      <c r="E289" s="982"/>
      <c r="F289" s="324"/>
      <c r="G289" s="995">
        <v>2.1</v>
      </c>
      <c r="H289" s="995">
        <v>2.1</v>
      </c>
      <c r="I289" s="996">
        <v>2.1</v>
      </c>
      <c r="J289" s="997">
        <v>2.1</v>
      </c>
      <c r="K289" s="998">
        <v>2.1</v>
      </c>
      <c r="L289" s="998">
        <v>2.1</v>
      </c>
      <c r="M289" s="999">
        <v>2.1</v>
      </c>
      <c r="N289" s="1000">
        <v>2.1</v>
      </c>
    </row>
    <row r="290" spans="1:14">
      <c r="A290" s="232"/>
      <c r="C290" s="327"/>
      <c r="D290" s="981" t="s">
        <v>167</v>
      </c>
      <c r="E290" s="982"/>
      <c r="F290" s="324"/>
      <c r="G290" s="995">
        <v>2.2999999999999998</v>
      </c>
      <c r="H290" s="995">
        <v>2.2999999999999998</v>
      </c>
      <c r="I290" s="996">
        <v>2.2999999999999998</v>
      </c>
      <c r="J290" s="997">
        <v>2.2999999999999998</v>
      </c>
      <c r="K290" s="998">
        <v>2.2999999999999998</v>
      </c>
      <c r="L290" s="998">
        <v>2.2999999999999998</v>
      </c>
      <c r="M290" s="999">
        <v>2.2999999999999998</v>
      </c>
      <c r="N290" s="1000">
        <v>2.2999999999999998</v>
      </c>
    </row>
    <row r="291" spans="1:14">
      <c r="A291" s="232"/>
      <c r="C291" s="327"/>
      <c r="D291" s="981" t="s">
        <v>168</v>
      </c>
      <c r="E291" s="982"/>
      <c r="F291" s="324"/>
      <c r="G291" s="995">
        <v>2.4</v>
      </c>
      <c r="H291" s="995">
        <v>2.4</v>
      </c>
      <c r="I291" s="996">
        <v>2.4</v>
      </c>
      <c r="J291" s="997">
        <v>2.4</v>
      </c>
      <c r="K291" s="998">
        <v>2.4</v>
      </c>
      <c r="L291" s="998">
        <v>2.4</v>
      </c>
      <c r="M291" s="999">
        <v>2.4</v>
      </c>
      <c r="N291" s="1000">
        <v>2.4</v>
      </c>
    </row>
    <row r="292" spans="1:14" hidden="1">
      <c r="A292" s="232"/>
      <c r="C292" s="327"/>
      <c r="D292" s="981"/>
      <c r="E292" s="982"/>
      <c r="F292" s="324"/>
      <c r="G292" s="983">
        <v>0</v>
      </c>
      <c r="H292" s="983">
        <v>0</v>
      </c>
      <c r="I292" s="984">
        <v>0</v>
      </c>
      <c r="J292" s="638">
        <v>0</v>
      </c>
      <c r="K292" s="856">
        <v>0</v>
      </c>
      <c r="L292" s="856">
        <v>0</v>
      </c>
      <c r="M292" s="918">
        <v>0</v>
      </c>
      <c r="N292" s="857">
        <v>0</v>
      </c>
    </row>
    <row r="293" spans="1:14" hidden="1">
      <c r="A293" s="232"/>
      <c r="C293" s="327"/>
      <c r="D293" s="981"/>
      <c r="E293" s="982"/>
      <c r="F293" s="324"/>
      <c r="G293" s="983">
        <v>0</v>
      </c>
      <c r="H293" s="983">
        <v>0</v>
      </c>
      <c r="I293" s="984">
        <v>0</v>
      </c>
      <c r="J293" s="638">
        <v>0</v>
      </c>
      <c r="K293" s="856">
        <v>0</v>
      </c>
      <c r="L293" s="856">
        <v>0</v>
      </c>
      <c r="M293" s="918">
        <v>0</v>
      </c>
      <c r="N293" s="857">
        <v>0</v>
      </c>
    </row>
    <row r="294" spans="1:14">
      <c r="A294" s="260" t="s">
        <v>194</v>
      </c>
      <c r="B294" s="261"/>
      <c r="C294" s="261"/>
      <c r="D294" s="981" t="s">
        <v>195</v>
      </c>
      <c r="E294" s="982"/>
      <c r="F294" s="985">
        <v>1200000</v>
      </c>
      <c r="G294" s="273"/>
      <c r="H294" s="273"/>
      <c r="I294" s="332"/>
      <c r="J294" s="639">
        <v>1200000</v>
      </c>
      <c r="K294" s="858">
        <v>1200000</v>
      </c>
      <c r="L294" s="858">
        <v>1200000</v>
      </c>
      <c r="M294" s="919">
        <v>1200000</v>
      </c>
      <c r="N294" s="859">
        <v>1200000</v>
      </c>
    </row>
    <row r="295" spans="1:14">
      <c r="A295" s="232"/>
      <c r="D295" s="981" t="s">
        <v>196</v>
      </c>
      <c r="E295" s="982"/>
      <c r="F295" s="985">
        <v>2100000</v>
      </c>
      <c r="G295" s="273"/>
      <c r="H295" s="273"/>
      <c r="I295" s="332"/>
      <c r="J295" s="639">
        <v>2100000</v>
      </c>
      <c r="K295" s="858">
        <v>2100000</v>
      </c>
      <c r="L295" s="858">
        <v>2100000</v>
      </c>
      <c r="M295" s="919">
        <v>2100000</v>
      </c>
      <c r="N295" s="859">
        <v>2100000</v>
      </c>
    </row>
    <row r="296" spans="1:14">
      <c r="A296" s="232"/>
      <c r="D296" s="981" t="s">
        <v>335</v>
      </c>
      <c r="E296" s="982"/>
      <c r="F296" s="985">
        <v>3200000</v>
      </c>
      <c r="G296" s="273"/>
      <c r="H296" s="273"/>
      <c r="I296" s="332"/>
      <c r="J296" s="639">
        <v>3200000</v>
      </c>
      <c r="K296" s="858">
        <v>3200000</v>
      </c>
      <c r="L296" s="858">
        <v>3200000</v>
      </c>
      <c r="M296" s="919">
        <v>3200000</v>
      </c>
      <c r="N296" s="859">
        <v>3200000</v>
      </c>
    </row>
    <row r="297" spans="1:14">
      <c r="A297" s="232"/>
      <c r="D297" s="981" t="s">
        <v>198</v>
      </c>
      <c r="E297" s="982"/>
      <c r="F297" s="985">
        <v>4200000</v>
      </c>
      <c r="G297" s="273"/>
      <c r="H297" s="273"/>
      <c r="I297" s="332"/>
      <c r="J297" s="653">
        <v>4200000</v>
      </c>
      <c r="K297" s="653">
        <v>4200000</v>
      </c>
      <c r="L297" s="653">
        <v>4200000</v>
      </c>
      <c r="M297" s="653">
        <v>4200000</v>
      </c>
      <c r="N297" s="1131">
        <v>4200000</v>
      </c>
    </row>
    <row r="298" spans="1:14">
      <c r="A298" s="232"/>
      <c r="D298" s="981" t="s">
        <v>336</v>
      </c>
      <c r="E298" s="982"/>
      <c r="F298" s="985">
        <v>5200000</v>
      </c>
      <c r="G298" s="273"/>
      <c r="H298" s="273"/>
      <c r="I298" s="332"/>
      <c r="J298" s="653">
        <v>5200000</v>
      </c>
      <c r="K298" s="653">
        <v>5200000</v>
      </c>
      <c r="L298" s="653">
        <v>5200000</v>
      </c>
      <c r="M298" s="653">
        <v>5200000</v>
      </c>
      <c r="N298" s="1131">
        <v>5200000</v>
      </c>
    </row>
    <row r="299" spans="1:14">
      <c r="A299" s="232"/>
      <c r="D299" s="981" t="s">
        <v>200</v>
      </c>
      <c r="E299" s="982"/>
      <c r="F299" s="985">
        <v>6200000</v>
      </c>
      <c r="G299" s="273"/>
      <c r="H299" s="273"/>
      <c r="I299" s="332"/>
      <c r="J299" s="653">
        <v>6200000</v>
      </c>
      <c r="K299" s="653">
        <v>6200000</v>
      </c>
      <c r="L299" s="653">
        <v>6200000</v>
      </c>
      <c r="M299" s="653">
        <v>6200000</v>
      </c>
      <c r="N299" s="1131">
        <v>6200000</v>
      </c>
    </row>
    <row r="300" spans="1:14" ht="14.25" thickBot="1">
      <c r="A300" s="232"/>
      <c r="D300" s="981" t="s">
        <v>201</v>
      </c>
      <c r="E300" s="982"/>
      <c r="F300" s="985">
        <v>7200000</v>
      </c>
      <c r="G300" s="273"/>
      <c r="H300" s="273"/>
      <c r="I300" s="332"/>
      <c r="J300" s="653">
        <v>7200000</v>
      </c>
      <c r="K300" s="653">
        <v>7200000</v>
      </c>
      <c r="L300" s="653">
        <v>7200000</v>
      </c>
      <c r="M300" s="653">
        <v>7200000</v>
      </c>
      <c r="N300" s="1131">
        <v>7200000</v>
      </c>
    </row>
    <row r="301" spans="1:14" hidden="1">
      <c r="A301" s="232"/>
      <c r="D301" s="981"/>
      <c r="E301" s="982"/>
      <c r="F301" s="985"/>
      <c r="G301" s="273"/>
      <c r="H301" s="273"/>
      <c r="I301" s="332"/>
      <c r="J301" s="639">
        <v>0</v>
      </c>
      <c r="K301" s="858">
        <v>0</v>
      </c>
      <c r="L301" s="858">
        <v>0</v>
      </c>
      <c r="M301" s="919">
        <v>0</v>
      </c>
      <c r="N301" s="859">
        <v>0</v>
      </c>
    </row>
    <row r="302" spans="1:14" ht="14.25" hidden="1" thickBot="1">
      <c r="A302" s="338"/>
      <c r="B302" s="339"/>
      <c r="C302" s="339"/>
      <c r="D302" s="349"/>
      <c r="E302" s="350"/>
      <c r="F302" s="351"/>
      <c r="G302" s="344"/>
      <c r="H302" s="344"/>
      <c r="I302" s="345"/>
      <c r="J302" s="640">
        <v>0</v>
      </c>
      <c r="K302" s="860">
        <v>0</v>
      </c>
      <c r="L302" s="860">
        <v>0</v>
      </c>
      <c r="M302" s="920">
        <v>0</v>
      </c>
      <c r="N302" s="861">
        <v>0</v>
      </c>
    </row>
    <row r="303" spans="1:14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</row>
  </sheetData>
  <mergeCells count="33">
    <mergeCell ref="L66:L67"/>
    <mergeCell ref="N66:N67"/>
    <mergeCell ref="K109:K110"/>
    <mergeCell ref="K218:K219"/>
    <mergeCell ref="K277:K278"/>
    <mergeCell ref="L109:L110"/>
    <mergeCell ref="L218:L219"/>
    <mergeCell ref="L277:L278"/>
    <mergeCell ref="M109:M110"/>
    <mergeCell ref="M218:M219"/>
    <mergeCell ref="M277:M278"/>
    <mergeCell ref="M66:M67"/>
    <mergeCell ref="N109:N110"/>
    <mergeCell ref="N218:N219"/>
    <mergeCell ref="N277:N278"/>
    <mergeCell ref="F277:I277"/>
    <mergeCell ref="J277:J278"/>
    <mergeCell ref="F109:I109"/>
    <mergeCell ref="J109:J110"/>
    <mergeCell ref="K66:K67"/>
    <mergeCell ref="B214:E214"/>
    <mergeCell ref="B215:E215"/>
    <mergeCell ref="F66:I66"/>
    <mergeCell ref="F218:I218"/>
    <mergeCell ref="J218:J219"/>
    <mergeCell ref="J66:J67"/>
    <mergeCell ref="B75:E75"/>
    <mergeCell ref="C71:E71"/>
    <mergeCell ref="B150:E150"/>
    <mergeCell ref="B182:E182"/>
    <mergeCell ref="C73:E73"/>
    <mergeCell ref="C74:E74"/>
    <mergeCell ref="C72:E7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25" xr:uid="{00000000-0002-0000-0400-000000000000}">
      <formula1>AND(G224&lt;G225,G225&lt;G226)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7" max="16" man="1"/>
    <brk id="21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L38"/>
  <sheetViews>
    <sheetView view="pageBreakPreview" zoomScale="85" zoomScaleNormal="100" zoomScaleSheetLayoutView="85" workbookViewId="0">
      <selection activeCell="F26" sqref="F26"/>
    </sheetView>
  </sheetViews>
  <sheetFormatPr defaultColWidth="9" defaultRowHeight="11.25"/>
  <cols>
    <col min="1" max="1" customWidth="true" style="862" width="2.625" collapsed="false"/>
    <col min="2" max="2" customWidth="true" style="862" width="4.25" collapsed="false"/>
    <col min="3" max="3" customWidth="true" style="862" width="46.75" collapsed="false"/>
    <col min="4" max="11" customWidth="true" style="862" width="13.0" collapsed="false"/>
    <col min="12" max="12" customWidth="true" style="862" width="1.625" collapsed="false"/>
    <col min="13" max="16384" style="862" width="9.0" collapsed="false"/>
  </cols>
  <sheetData>
    <row r="1" spans="2:11">
      <c r="B1" s="862" t="s">
        <v>119</v>
      </c>
    </row>
    <row r="3" spans="2:11" ht="3" customHeight="1" thickBot="1"/>
    <row r="4" spans="2:11" ht="18.75" customHeight="1" thickBot="1">
      <c r="D4" s="863" t="s">
        <v>348</v>
      </c>
      <c r="E4" s="864" t="s">
        <v>399</v>
      </c>
      <c r="F4" s="864" t="s">
        <v>328</v>
      </c>
      <c r="G4" s="864" t="s">
        <v>329</v>
      </c>
      <c r="H4" s="864" t="s">
        <v>330</v>
      </c>
      <c r="I4" s="865" t="s">
        <v>344</v>
      </c>
    </row>
    <row r="5" spans="2:11" ht="18.75" customHeight="1" thickBot="1">
      <c r="C5" s="111" t="s">
        <v>222</v>
      </c>
      <c r="D5" s="112">
        <v>0.23</v>
      </c>
      <c r="E5" s="626">
        <v>0.24</v>
      </c>
      <c r="F5" s="626">
        <v>0.25</v>
      </c>
      <c r="G5" s="626">
        <v>0.26</v>
      </c>
      <c r="H5" s="626">
        <v>0.27</v>
      </c>
      <c r="I5" s="113">
        <v>0.28000000000000003</v>
      </c>
    </row>
    <row r="7" spans="2:11" ht="18.75" customHeight="1" thickBot="1">
      <c r="B7" s="862" t="s">
        <v>429</v>
      </c>
      <c r="D7" s="114"/>
    </row>
    <row r="8" spans="2:11" ht="18.75" customHeight="1" thickBot="1">
      <c r="C8" s="694"/>
      <c r="D8" s="690" t="s">
        <v>347</v>
      </c>
      <c r="E8" s="691" t="s">
        <v>346</v>
      </c>
      <c r="F8" s="691" t="s">
        <v>345</v>
      </c>
      <c r="G8" s="691" t="s">
        <v>399</v>
      </c>
      <c r="H8" s="691" t="s">
        <v>328</v>
      </c>
      <c r="I8" s="691" t="s">
        <v>329</v>
      </c>
      <c r="J8" s="928" t="s">
        <v>330</v>
      </c>
      <c r="K8" s="923" t="s">
        <v>344</v>
      </c>
    </row>
    <row r="9" spans="2:11" ht="18.75" customHeight="1">
      <c r="C9" s="695" t="s">
        <v>120</v>
      </c>
      <c r="D9" s="692">
        <v>0.43120000000000003</v>
      </c>
      <c r="E9" s="154">
        <v>0.41660000000000003</v>
      </c>
      <c r="F9" s="154">
        <v>0.40760000000000002</v>
      </c>
      <c r="G9" s="154">
        <v>0.39460000000000001</v>
      </c>
      <c r="H9" s="154">
        <v>0.41560000000000002</v>
      </c>
      <c r="I9" s="154">
        <v>0.44490000000000002</v>
      </c>
      <c r="J9" s="929">
        <v>0.43769999999999998</v>
      </c>
      <c r="K9" s="924">
        <v>0.40620000000000001</v>
      </c>
    </row>
    <row r="10" spans="2:11" ht="18.75" customHeight="1">
      <c r="C10" s="696" t="s">
        <v>258</v>
      </c>
      <c r="D10" s="693">
        <v>0.38250000000000001</v>
      </c>
      <c r="E10" s="116">
        <v>0.39240000000000003</v>
      </c>
      <c r="F10" s="116">
        <v>0.39510000000000001</v>
      </c>
      <c r="G10" s="116">
        <v>0.38979999999999998</v>
      </c>
      <c r="H10" s="116">
        <v>0.33300000000000002</v>
      </c>
      <c r="I10" s="116">
        <v>0.31030000000000002</v>
      </c>
      <c r="J10" s="930">
        <v>0.33279999999999998</v>
      </c>
      <c r="K10" s="925">
        <v>0.3669</v>
      </c>
    </row>
    <row r="11" spans="2:11" ht="18.75" customHeight="1">
      <c r="C11" s="696" t="s">
        <v>259</v>
      </c>
      <c r="D11" s="693">
        <v>0.18629999999999999</v>
      </c>
      <c r="E11" s="116">
        <v>0.191</v>
      </c>
      <c r="F11" s="116">
        <v>0.1973</v>
      </c>
      <c r="G11" s="116">
        <v>0.2157</v>
      </c>
      <c r="H11" s="116">
        <v>0.25130000000000002</v>
      </c>
      <c r="I11" s="116">
        <v>0.24479999999999999</v>
      </c>
      <c r="J11" s="930">
        <v>0.22950000000000001</v>
      </c>
      <c r="K11" s="925">
        <v>0.22700000000000001</v>
      </c>
    </row>
    <row r="12" spans="2:11" ht="18.75" customHeight="1">
      <c r="C12" s="866" t="s">
        <v>266</v>
      </c>
      <c r="D12" s="867">
        <v>4296</v>
      </c>
      <c r="E12" s="868">
        <v>4296</v>
      </c>
      <c r="F12" s="868">
        <v>4296</v>
      </c>
      <c r="G12" s="868">
        <v>4296</v>
      </c>
      <c r="H12" s="868">
        <v>4296</v>
      </c>
      <c r="I12" s="868">
        <v>4296</v>
      </c>
      <c r="J12" s="868">
        <v>4296</v>
      </c>
      <c r="K12" s="926">
        <v>4296</v>
      </c>
    </row>
    <row r="13" spans="2:11" ht="18.75" customHeight="1">
      <c r="C13" s="866" t="s">
        <v>267</v>
      </c>
      <c r="D13" s="867">
        <v>17647</v>
      </c>
      <c r="E13" s="868">
        <v>17647</v>
      </c>
      <c r="F13" s="868">
        <v>17647</v>
      </c>
      <c r="G13" s="868">
        <v>17647</v>
      </c>
      <c r="H13" s="868">
        <v>17647</v>
      </c>
      <c r="I13" s="868">
        <v>17647</v>
      </c>
      <c r="J13" s="868">
        <v>17647</v>
      </c>
      <c r="K13" s="926">
        <v>17647</v>
      </c>
    </row>
    <row r="14" spans="2:11" ht="18.75" customHeight="1" thickBot="1">
      <c r="C14" s="869" t="s">
        <v>268</v>
      </c>
      <c r="D14" s="870">
        <v>80362</v>
      </c>
      <c r="E14" s="871">
        <v>80362</v>
      </c>
      <c r="F14" s="871">
        <v>80362</v>
      </c>
      <c r="G14" s="871">
        <v>80362</v>
      </c>
      <c r="H14" s="871">
        <v>80362</v>
      </c>
      <c r="I14" s="871">
        <v>80362</v>
      </c>
      <c r="J14" s="871">
        <v>80362</v>
      </c>
      <c r="K14" s="927">
        <v>80362</v>
      </c>
    </row>
    <row r="16" spans="2:11" ht="18.75" customHeight="1" thickBot="1">
      <c r="B16" s="862" t="s">
        <v>430</v>
      </c>
      <c r="D16" s="114"/>
    </row>
    <row r="17" spans="3:4" ht="18.75" customHeight="1">
      <c r="C17" s="118" t="s">
        <v>121</v>
      </c>
      <c r="D17" s="874">
        <v>0.1749</v>
      </c>
    </row>
    <row r="18" spans="3:4" ht="18.75" customHeight="1">
      <c r="C18" s="115" t="s">
        <v>122</v>
      </c>
      <c r="D18" s="875">
        <v>9.6699999999999994E-2</v>
      </c>
    </row>
    <row r="19" spans="3:4" ht="18.75" customHeight="1">
      <c r="C19" s="115" t="s">
        <v>123</v>
      </c>
      <c r="D19" s="875">
        <v>8.6400000000000005E-2</v>
      </c>
    </row>
    <row r="20" spans="3:4" ht="18.75" customHeight="1">
      <c r="C20" s="115" t="s">
        <v>124</v>
      </c>
      <c r="D20" s="875">
        <v>0.1074</v>
      </c>
    </row>
    <row r="21" spans="3:4" ht="18.75" customHeight="1">
      <c r="C21" s="115" t="s">
        <v>125</v>
      </c>
      <c r="D21" s="875">
        <v>0.14050000000000001</v>
      </c>
    </row>
    <row r="22" spans="3:4" ht="18.75" customHeight="1">
      <c r="C22" s="115" t="s">
        <v>126</v>
      </c>
      <c r="D22" s="875">
        <v>0.1333</v>
      </c>
    </row>
    <row r="23" spans="3:4" ht="18.75" customHeight="1">
      <c r="C23" s="115" t="s">
        <v>127</v>
      </c>
      <c r="D23" s="875">
        <v>0.1361</v>
      </c>
    </row>
    <row r="24" spans="3:4" ht="18.75" customHeight="1">
      <c r="C24" s="115" t="s">
        <v>128</v>
      </c>
      <c r="D24" s="875">
        <v>6.0999999999999999E-2</v>
      </c>
    </row>
    <row r="25" spans="3:4" ht="18.75" customHeight="1">
      <c r="C25" s="115" t="s">
        <v>129</v>
      </c>
      <c r="D25" s="987">
        <v>2.41E-2</v>
      </c>
    </row>
    <row r="26" spans="3:4" ht="18.75" customHeight="1">
      <c r="C26" s="115" t="s">
        <v>332</v>
      </c>
      <c r="D26" s="987">
        <v>1.15E-2</v>
      </c>
    </row>
    <row r="27" spans="3:4" ht="18.75" customHeight="1">
      <c r="C27" s="115" t="s">
        <v>333</v>
      </c>
      <c r="D27" s="987">
        <v>6.1000000000000004E-3</v>
      </c>
    </row>
    <row r="28" spans="3:4" ht="18.75" customHeight="1">
      <c r="C28" s="115" t="s">
        <v>343</v>
      </c>
      <c r="D28" s="987">
        <v>3.8999999999999998E-3</v>
      </c>
    </row>
    <row r="29" spans="3:4" ht="18.75" customHeight="1" thickBot="1">
      <c r="C29" s="986" t="s">
        <v>342</v>
      </c>
      <c r="D29" s="987">
        <v>1.8100000000000002E-2</v>
      </c>
    </row>
    <row r="30" spans="3:4" ht="18.75" hidden="1" customHeight="1">
      <c r="C30" s="986"/>
      <c r="D30" s="987"/>
    </row>
    <row r="31" spans="3:4" ht="18.75" hidden="1" customHeight="1" thickBot="1">
      <c r="C31" s="117"/>
      <c r="D31" s="876"/>
    </row>
    <row r="32" spans="3:4">
      <c r="C32" s="988"/>
      <c r="D32" s="988"/>
    </row>
    <row r="33" spans="2:4" ht="18.75" customHeight="1" thickBot="1">
      <c r="B33" s="862" t="s">
        <v>223</v>
      </c>
      <c r="D33" s="114"/>
    </row>
    <row r="34" spans="2:4" ht="18.75" customHeight="1">
      <c r="C34" s="119" t="s">
        <v>340</v>
      </c>
      <c r="D34" s="120">
        <v>1</v>
      </c>
    </row>
    <row r="35" spans="2:4" ht="18.75" customHeight="1" thickBot="1">
      <c r="C35" s="121" t="s">
        <v>341</v>
      </c>
      <c r="D35" s="122">
        <v>1</v>
      </c>
    </row>
    <row r="37" spans="2:4" ht="18.75" customHeight="1" thickBot="1">
      <c r="B37" s="872"/>
      <c r="D37" s="114"/>
    </row>
    <row r="38" spans="2:4" ht="36" customHeight="1" thickBot="1">
      <c r="C38" s="123" t="s">
        <v>130</v>
      </c>
      <c r="D38" s="124">
        <v>95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2015-10-28T05:07:20Z</dcterms:created>
  <dc:creator>曹福泉</dc:creator>
  <cp:lastModifiedBy>70118 井領 茜</cp:lastModifiedBy>
  <cp:lastPrinted>2023-03-02T06:26:57Z</cp:lastPrinted>
  <dcterms:modified xsi:type="dcterms:W3CDTF">2026-07-28T10:09:49Z</dcterms:modified>
</cp:coreProperties>
</file>