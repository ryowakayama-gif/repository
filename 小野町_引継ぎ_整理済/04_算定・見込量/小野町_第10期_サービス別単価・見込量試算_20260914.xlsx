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試算の読み方" sheetId="1" state="visible" r:id="rId1"/>
    <sheet xmlns:r="http://schemas.openxmlformats.org/officeDocument/2006/relationships" name="01_実績と単価_介護" sheetId="2" state="visible" r:id="rId2"/>
    <sheet xmlns:r="http://schemas.openxmlformats.org/officeDocument/2006/relationships" name="02_実績と単価_予防" sheetId="3" state="visible" r:id="rId3"/>
    <sheet xmlns:r="http://schemas.openxmlformats.org/officeDocument/2006/relationships" name="03_利用率と1件当たり単位数" sheetId="4" state="visible" r:id="rId4"/>
    <sheet xmlns:r="http://schemas.openxmlformats.org/officeDocument/2006/relationships" name="04_見込量試算_介護" sheetId="5" state="visible" r:id="rId5"/>
    <sheet xmlns:r="http://schemas.openxmlformats.org/officeDocument/2006/relationships" name="05_見込量試算_予防" sheetId="6" state="visible" r:id="rId6"/>
    <sheet xmlns:r="http://schemas.openxmlformats.org/officeDocument/2006/relationships" name="06_感度分析" sheetId="7" state="visible" r:id="rId7"/>
    <sheet xmlns:r="http://schemas.openxmlformats.org/officeDocument/2006/relationships" name="07_標準給付費への接続" sheetId="8" state="visible" r:id="rId8"/>
    <sheet xmlns:r="http://schemas.openxmlformats.org/officeDocument/2006/relationships" name="08_第9期の見込みと実績" sheetId="9" state="visible" r:id="rId9"/>
    <sheet xmlns:r="http://schemas.openxmlformats.org/officeDocument/2006/relationships" name="09_人口推計の出典比較" sheetId="10" state="visible" r:id="rId10"/>
  </sheets>
  <definedNames/>
  <calcPr calcId="124519" fullCalcOnLoad="1"/>
</workbook>
</file>

<file path=xl/styles.xml><?xml version="1.0" encoding="utf-8"?>
<styleSheet xmlns="http://schemas.openxmlformats.org/spreadsheetml/2006/main">
  <numFmts count="3">
    <numFmt numFmtId="164" formatCode="#,##0.0"/>
    <numFmt numFmtId="165" formatCode="0.0000"/>
    <numFmt numFmtId="166" formatCode="0.0％"/>
  </numFmts>
  <fonts count="7">
    <font>
      <name val="Calibri"/>
      <family val="2"/>
      <color theme="1"/>
      <sz val="11"/>
      <scheme val="minor"/>
    </font>
    <font>
      <b val="1"/>
      <sz val="13"/>
    </font>
    <font>
      <b val="1"/>
      <sz val="10"/>
    </font>
    <font>
      <b val="1"/>
      <color rgb="00FFFFFF"/>
      <sz val="9"/>
    </font>
    <font>
      <b val="1"/>
      <sz val="9"/>
    </font>
    <font>
      <sz val="9"/>
    </font>
    <font>
      <i val="1"/>
      <sz val="9"/>
    </font>
  </fonts>
  <fills count="6">
    <fill>
      <patternFill/>
    </fill>
    <fill>
      <patternFill patternType="gray125"/>
    </fill>
    <fill>
      <patternFill patternType="solid">
        <fgColor rgb="001F3864"/>
      </patternFill>
    </fill>
    <fill>
      <patternFill patternType="solid">
        <fgColor rgb="00EAF1FB"/>
      </patternFill>
    </fill>
    <fill>
      <patternFill patternType="solid">
        <fgColor rgb="00FCE4E4"/>
      </patternFill>
    </fill>
    <fill>
      <patternFill patternType="solid">
        <fgColor rgb="00FFE0B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3" fontId="0" fillId="0" borderId="0" applyAlignment="1" pivotButton="0" quotePrefix="0" xfId="0">
      <alignment vertical="top" wrapText="1"/>
    </xf>
    <xf numFmtId="0" fontId="3" fillId="2" borderId="1" applyAlignment="1" pivotButton="0" quotePrefix="0" xfId="0">
      <alignment horizontal="center" vertical="center" wrapText="1"/>
    </xf>
    <xf numFmtId="0" fontId="5" fillId="0" borderId="1" applyAlignment="1" pivotButton="0" quotePrefix="0" xfId="0">
      <alignment vertical="top"/>
    </xf>
    <xf numFmtId="3" fontId="5" fillId="3" borderId="1" applyAlignment="1" pivotButton="0" quotePrefix="0" xfId="0">
      <alignment vertical="top"/>
    </xf>
    <xf numFmtId="164" fontId="5" fillId="3" borderId="1" applyAlignment="1" pivotButton="0" quotePrefix="0" xfId="0">
      <alignment vertical="top"/>
    </xf>
    <xf numFmtId="0" fontId="5" fillId="0" borderId="1" applyAlignment="1" pivotButton="0" quotePrefix="0" xfId="0">
      <alignment vertical="top" wrapText="1"/>
    </xf>
    <xf numFmtId="0" fontId="5" fillId="4" borderId="1" applyAlignment="1" pivotButton="0" quotePrefix="0" xfId="0">
      <alignment vertical="top"/>
    </xf>
    <xf numFmtId="3" fontId="5" fillId="4" borderId="1" applyAlignment="1" pivotButton="0" quotePrefix="0" xfId="0">
      <alignment vertical="top"/>
    </xf>
    <xf numFmtId="164" fontId="5" fillId="4" borderId="1" applyAlignment="1" pivotButton="0" quotePrefix="0" xfId="0">
      <alignment vertical="top"/>
    </xf>
    <xf numFmtId="0" fontId="5" fillId="4" borderId="1" applyAlignment="1" pivotButton="0" quotePrefix="0" xfId="0">
      <alignment vertical="top" wrapText="1"/>
    </xf>
    <xf numFmtId="0" fontId="6" fillId="0" borderId="0" pivotButton="0" quotePrefix="0" xfId="0"/>
    <xf numFmtId="165" fontId="5" fillId="3" borderId="1" applyAlignment="1" pivotButton="0" quotePrefix="0" xfId="0">
      <alignment vertical="top"/>
    </xf>
    <xf numFmtId="3" fontId="5" fillId="0" borderId="1" applyAlignment="1" pivotButton="0" quotePrefix="0" xfId="0">
      <alignment vertical="top"/>
    </xf>
    <xf numFmtId="165" fontId="5" fillId="0" borderId="1" applyAlignment="1" pivotButton="0" quotePrefix="0" xfId="0">
      <alignment vertical="top"/>
    </xf>
    <xf numFmtId="165" fontId="5" fillId="4" borderId="1" applyAlignment="1" pivotButton="0" quotePrefix="0" xfId="0">
      <alignment vertical="top"/>
    </xf>
    <xf numFmtId="0" fontId="2" fillId="0" borderId="0" pivotButton="0" quotePrefix="0" xfId="0"/>
    <xf numFmtId="0" fontId="4" fillId="0" borderId="1" applyAlignment="1" pivotButton="0" quotePrefix="0" xfId="0">
      <alignment vertical="top" wrapText="1"/>
    </xf>
    <xf numFmtId="3" fontId="5" fillId="4" borderId="1" applyAlignment="1" pivotButton="0" quotePrefix="0" xfId="0">
      <alignment vertical="top" wrapText="1"/>
    </xf>
    <xf numFmtId="166" fontId="5" fillId="3" borderId="1" applyAlignment="1" pivotButton="0" quotePrefix="0" xfId="0">
      <alignment vertical="top"/>
    </xf>
    <xf numFmtId="166" fontId="5" fillId="5" borderId="1" applyAlignment="1" pivotButton="0" quotePrefix="0" xfId="0">
      <alignment vertical="top"/>
    </xf>
    <xf numFmtId="0" fontId="5" fillId="5" borderId="1" applyAlignment="1" pivotButton="0" quotePrefix="0" xfId="0">
      <alignment vertical="top"/>
    </xf>
    <xf numFmtId="3" fontId="5" fillId="5"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6"/>
  <sheetViews>
    <sheetView workbookViewId="0">
      <selection activeCell="A1" sqref="A1"/>
    </sheetView>
  </sheetViews>
  <sheetFormatPr baseColWidth="8" defaultRowHeight="15"/>
  <cols>
    <col width="3" customWidth="1" min="1" max="1"/>
    <col width="34" customWidth="1" min="2" max="2"/>
    <col width="26" customWidth="1" min="3" max="3"/>
    <col width="26" customWidth="1" min="4" max="4"/>
    <col width="18" customWidth="1" min="5" max="5"/>
    <col width="26" customWidth="1" min="6" max="6"/>
    <col width="26" customWidth="1" min="7" max="7"/>
    <col width="60" customWidth="1" min="8" max="8"/>
  </cols>
  <sheetData>
    <row r="1">
      <c r="A1" s="1" t="inlineStr">
        <is>
          <t>小野町 第10期介護保険事業計画　サービス別単価の算出と見込量の試算</t>
        </is>
      </c>
      <c r="B1" s="2" t="n"/>
      <c r="C1" s="2" t="n"/>
      <c r="D1" s="2" t="n"/>
      <c r="E1" s="2" t="n"/>
      <c r="F1" s="2" t="n"/>
      <c r="G1" s="2" t="n"/>
      <c r="H1" s="2" t="n"/>
    </row>
    <row r="2">
      <c r="A2" s="2" t="inlineStr">
        <is>
          <t>作成 令和8年9月14日／出典 介護保険事業状況報告（年報）令和3〜7年度、第10期将来推計用推計人口</t>
        </is>
      </c>
      <c r="B2" s="2" t="n"/>
      <c r="C2" s="2" t="n"/>
      <c r="D2" s="2" t="n"/>
      <c r="E2" s="2" t="n"/>
      <c r="F2" s="2" t="n"/>
      <c r="G2" s="2" t="n"/>
      <c r="H2" s="2" t="n"/>
    </row>
    <row r="3">
      <c r="A3" s="2" t="n"/>
      <c r="B3" s="2" t="n"/>
      <c r="C3" s="2" t="n"/>
      <c r="D3" s="2" t="n"/>
      <c r="E3" s="2" t="n"/>
      <c r="F3" s="2" t="n"/>
      <c r="G3" s="2" t="n"/>
      <c r="H3" s="2" t="n"/>
    </row>
    <row r="4">
      <c r="A4" s="3" t="inlineStr">
        <is>
          <t>■ 何を計算したか</t>
        </is>
      </c>
      <c r="B4" s="2" t="n"/>
      <c r="C4" s="2" t="n"/>
      <c r="D4" s="2" t="n"/>
      <c r="E4" s="2" t="n"/>
      <c r="F4" s="2" t="n"/>
      <c r="G4" s="2" t="n"/>
      <c r="H4" s="2" t="n"/>
    </row>
    <row r="5">
      <c r="A5" s="2" t="inlineStr"/>
      <c r="B5" s="2" t="inlineStr">
        <is>
          <t>年報の様式2から、サービス区分ごとの件数・単位数・費用額・給付費を令和3〜7年度の5年分取り出した。</t>
        </is>
      </c>
      <c r="C5" s="2" t="n"/>
      <c r="D5" s="2" t="n"/>
      <c r="E5" s="2" t="n"/>
      <c r="F5" s="2" t="n"/>
      <c r="G5" s="2" t="n"/>
      <c r="H5" s="2" t="n"/>
    </row>
    <row r="6">
      <c r="A6" s="2" t="inlineStr"/>
      <c r="B6" s="2" t="inlineStr">
        <is>
          <t>件数を給付費で割って1件当たり給付費（単価）を求め、件数を第1号被保険者数で割って利用率を求めた。</t>
        </is>
      </c>
      <c r="C6" s="2" t="n"/>
      <c r="D6" s="2" t="n"/>
      <c r="E6" s="2" t="n"/>
      <c r="F6" s="2" t="n"/>
      <c r="G6" s="2" t="n"/>
      <c r="H6" s="2" t="n"/>
    </row>
    <row r="7">
      <c r="A7" s="2" t="inlineStr"/>
      <c r="B7" s="2" t="inlineStr">
        <is>
          <t>この利用率に将来の第1号被保険者数を乗じて件数を見込み、単価を乗じて給付費を試算した。</t>
        </is>
      </c>
      <c r="C7" s="2" t="n"/>
      <c r="D7" s="2" t="n"/>
      <c r="E7" s="2" t="n"/>
      <c r="F7" s="2" t="n"/>
      <c r="G7" s="2" t="n"/>
      <c r="H7" s="2" t="n"/>
    </row>
    <row r="8">
      <c r="A8" s="2" t="n"/>
      <c r="B8" s="2" t="n"/>
      <c r="C8" s="2" t="n"/>
      <c r="D8" s="2" t="n"/>
      <c r="E8" s="2" t="n"/>
      <c r="F8" s="2" t="n"/>
      <c r="G8" s="2" t="n"/>
      <c r="H8" s="2" t="n"/>
    </row>
    <row r="9">
      <c r="A9" s="3" t="inlineStr">
        <is>
          <t>■ 認定者数を基礎に使わなかった理由</t>
        </is>
      </c>
      <c r="B9" s="2" t="n"/>
      <c r="C9" s="2" t="n"/>
      <c r="D9" s="2" t="n"/>
      <c r="E9" s="2" t="n"/>
      <c r="F9" s="2" t="n"/>
      <c r="G9" s="2" t="n"/>
      <c r="H9" s="2" t="n"/>
    </row>
    <row r="10">
      <c r="A10" s="2" t="inlineStr"/>
      <c r="B10" s="2" t="inlineStr">
        <is>
          <t>令和7年9月審査分で認定者数が961人から862人へ1か月で99人（10.3％）減った。</t>
        </is>
      </c>
      <c r="C10" s="2" t="n"/>
      <c r="D10" s="2" t="n"/>
      <c r="E10" s="2" t="n"/>
      <c r="F10" s="2" t="n"/>
      <c r="G10" s="2" t="n"/>
      <c r="H10" s="2" t="n"/>
    </row>
    <row r="11">
      <c r="A11" s="2" t="inlineStr"/>
      <c r="B11" s="2" t="inlineStr">
        <is>
          <t>しかし同じ月の給付件数は1,303件から1,365件へ増えている。認定者だけが落ちて給付が落ちていない。</t>
        </is>
      </c>
      <c r="C11" s="2" t="n"/>
      <c r="D11" s="2" t="n"/>
      <c r="E11" s="2" t="n"/>
      <c r="F11" s="2" t="n"/>
      <c r="G11" s="2" t="n"/>
      <c r="H11" s="2" t="n"/>
    </row>
    <row r="12">
      <c r="A12" s="2" t="inlineStr"/>
      <c r="B12" s="2" t="inlineStr">
        <is>
          <t>年度でみても認定者は16.1％減、受給者延は4.6％減、給付費は7.4％減であり、認定者数だけが下方に外れる。</t>
        </is>
      </c>
      <c r="C12" s="2" t="n"/>
      <c r="D12" s="2" t="n"/>
      <c r="E12" s="2" t="n"/>
      <c r="F12" s="2" t="n"/>
      <c r="G12" s="2" t="n"/>
      <c r="H12" s="2" t="n"/>
    </row>
    <row r="13">
      <c r="A13" s="2" t="inlineStr"/>
      <c r="B13" s="2" t="inlineStr">
        <is>
          <t>**認定者1人当たりで組むと、令和7年度の高い1人当たり単価が将来に持ち越され、見込みが不安定になる。**</t>
        </is>
      </c>
      <c r="C13" s="2" t="n"/>
      <c r="D13" s="2" t="n"/>
      <c r="E13" s="2" t="n"/>
      <c r="F13" s="2" t="n"/>
      <c r="G13" s="2" t="n"/>
      <c r="H13" s="2" t="n"/>
    </row>
    <row r="14">
      <c r="A14" s="2" t="n"/>
      <c r="B14" s="2" t="n"/>
      <c r="C14" s="2" t="n"/>
      <c r="D14" s="2" t="n"/>
      <c r="E14" s="2" t="n"/>
      <c r="F14" s="2" t="n"/>
      <c r="G14" s="2" t="n"/>
      <c r="H14" s="2" t="n"/>
    </row>
    <row r="15">
      <c r="A15" s="3" t="inlineStr">
        <is>
          <t>■ 分母の選び方（令和3〜7年度の給付件数総計を各分母で割ったときのばらつき）</t>
        </is>
      </c>
      <c r="B15" s="2" t="n"/>
      <c r="C15" s="2" t="n"/>
      <c r="D15" s="2" t="n"/>
      <c r="E15" s="2" t="n"/>
      <c r="F15" s="2" t="n"/>
      <c r="G15" s="2" t="n"/>
      <c r="H15" s="2" t="n"/>
    </row>
    <row r="16">
      <c r="A16" s="2" t="inlineStr"/>
      <c r="B16" s="2" t="inlineStr">
        <is>
          <t>分母</t>
        </is>
      </c>
      <c r="C16" s="2" t="inlineStr">
        <is>
          <t>変動係数</t>
        </is>
      </c>
      <c r="D16" s="2" t="inlineStr">
        <is>
          <t>判定</t>
        </is>
      </c>
      <c r="E16" s="2" t="n"/>
      <c r="F16" s="2" t="n"/>
      <c r="G16" s="2" t="n"/>
      <c r="H16" s="2" t="n"/>
    </row>
    <row r="17">
      <c r="A17" s="2" t="inlineStr"/>
      <c r="B17" s="2" t="inlineStr">
        <is>
          <t>第1号被保険者数</t>
        </is>
      </c>
      <c r="C17" s="2" t="inlineStr">
        <is>
          <t>1.63％</t>
        </is>
      </c>
      <c r="D17" s="2" t="inlineStr">
        <is>
          <t>**採用（最も安定）**</t>
        </is>
      </c>
      <c r="E17" s="2" t="n"/>
      <c r="F17" s="2" t="n"/>
      <c r="G17" s="2" t="n"/>
      <c r="H17" s="2" t="n"/>
    </row>
    <row r="18">
      <c r="A18" s="2" t="inlineStr"/>
      <c r="B18" s="2" t="inlineStr">
        <is>
          <t>75歳以上人口</t>
        </is>
      </c>
      <c r="C18" s="2" t="inlineStr">
        <is>
          <t>2.28％</t>
        </is>
      </c>
      <c r="D18" s="2" t="inlineStr">
        <is>
          <t>感度ケース</t>
        </is>
      </c>
      <c r="E18" s="2" t="n"/>
      <c r="F18" s="2" t="n"/>
      <c r="G18" s="2" t="n"/>
      <c r="H18" s="2" t="n"/>
    </row>
    <row r="19">
      <c r="A19" s="2" t="inlineStr"/>
      <c r="B19" s="2" t="inlineStr">
        <is>
          <t>85歳以上人口</t>
        </is>
      </c>
      <c r="C19" s="2" t="inlineStr">
        <is>
          <t>2.38％</t>
        </is>
      </c>
      <c r="D19" s="2" t="inlineStr">
        <is>
          <t>感度ケース</t>
        </is>
      </c>
      <c r="E19" s="2" t="n"/>
      <c r="F19" s="2" t="n"/>
      <c r="G19" s="2" t="n"/>
      <c r="H19" s="2" t="n"/>
    </row>
    <row r="20">
      <c r="A20" s="2" t="inlineStr"/>
      <c r="B20" s="2" t="inlineStr">
        <is>
          <t>認定者数</t>
        </is>
      </c>
      <c r="C20" s="2" t="inlineStr">
        <is>
          <t>5.18％</t>
        </is>
      </c>
      <c r="D20" s="2" t="inlineStr">
        <is>
          <t>感度ケース</t>
        </is>
      </c>
      <c r="E20" s="2" t="n"/>
      <c r="F20" s="2" t="n"/>
      <c r="G20" s="2" t="n"/>
      <c r="H20" s="2" t="n"/>
    </row>
    <row r="21">
      <c r="A21" s="2" t="n"/>
      <c r="B21" s="2" t="n"/>
      <c r="C21" s="2" t="n"/>
      <c r="D21" s="2" t="n"/>
      <c r="E21" s="2" t="n"/>
      <c r="F21" s="2" t="n"/>
      <c r="G21" s="2" t="n"/>
      <c r="H21" s="2" t="n"/>
    </row>
    <row r="22">
      <c r="A22" s="3" t="inlineStr">
        <is>
          <t>■ 試算の連鎖</t>
        </is>
      </c>
      <c r="B22" s="2" t="n"/>
      <c r="C22" s="2" t="n"/>
      <c r="D22" s="2" t="n"/>
      <c r="E22" s="2" t="n"/>
      <c r="F22" s="2" t="n"/>
      <c r="G22" s="2" t="n"/>
      <c r="H22" s="2" t="n"/>
    </row>
    <row r="23">
      <c r="A23" s="2" t="inlineStr"/>
      <c r="B23" s="2" t="inlineStr">
        <is>
          <t>① 件数率 ＝ 件数 ÷ 第1号被保険者数（基準期間の平均）</t>
        </is>
      </c>
      <c r="C23" s="2" t="n"/>
      <c r="D23" s="2" t="n"/>
      <c r="E23" s="2" t="n"/>
      <c r="F23" s="2" t="n"/>
      <c r="G23" s="2" t="n"/>
      <c r="H23" s="2" t="n"/>
    </row>
    <row r="24">
      <c r="A24" s="2" t="inlineStr"/>
      <c r="B24" s="2" t="inlineStr">
        <is>
          <t>② 給付費率 ＝ 価格調整後の給付費 ÷ 第1号被保険者数（基準期間の平均）</t>
        </is>
      </c>
      <c r="C24" s="2" t="n"/>
      <c r="D24" s="2" t="n"/>
      <c r="E24" s="2" t="n"/>
      <c r="F24" s="2" t="n"/>
      <c r="G24" s="2" t="n"/>
      <c r="H24" s="2" t="n"/>
    </row>
    <row r="25">
      <c r="A25" s="2" t="inlineStr"/>
      <c r="B25" s="2" t="inlineStr">
        <is>
          <t>③ 見込件数 ＝ ① × 将来の第1号被保険者数（第10期将来推計用推計人口）</t>
        </is>
      </c>
      <c r="C25" s="2" t="n"/>
      <c r="D25" s="2" t="n"/>
      <c r="E25" s="2" t="n"/>
      <c r="F25" s="2" t="n"/>
      <c r="G25" s="2" t="n"/>
      <c r="H25" s="2" t="n"/>
    </row>
    <row r="26">
      <c r="A26" s="2" t="inlineStr"/>
      <c r="B26" s="2" t="inlineStr">
        <is>
          <t>④ 見込給付費 ＝ ② × 将来の第1号被保険者数 ×（1＋令和9年度の報酬改定率）</t>
        </is>
      </c>
      <c r="C26" s="2" t="n"/>
      <c r="D26" s="2" t="n"/>
      <c r="E26" s="2" t="n"/>
      <c r="F26" s="2" t="n"/>
      <c r="G26" s="2" t="n"/>
      <c r="H26" s="2" t="n"/>
    </row>
    <row r="27">
      <c r="A27" s="2" t="inlineStr"/>
      <c r="B27" s="2" t="inlineStr">
        <is>
          <t>⑤ 表示単価 ＝ ④ ÷ ③</t>
        </is>
      </c>
      <c r="C27" s="2" t="n"/>
      <c r="D27" s="2" t="n"/>
      <c r="E27" s="2" t="n"/>
      <c r="F27" s="2" t="n"/>
      <c r="G27" s="2" t="n"/>
      <c r="H27" s="2" t="n"/>
    </row>
    <row r="28">
      <c r="A28" s="2" t="n"/>
      <c r="B28" s="2" t="n"/>
      <c r="C28" s="2" t="n"/>
      <c r="D28" s="2" t="n"/>
      <c r="E28" s="2" t="n"/>
      <c r="F28" s="2" t="n"/>
      <c r="G28" s="2" t="n"/>
      <c r="H28" s="2" t="n"/>
    </row>
    <row r="29">
      <c r="A29" s="3" t="inlineStr">
        <is>
          <t>■ 給付費に平均件数×直近単価を使わなかった理由</t>
        </is>
      </c>
      <c r="B29" s="2" t="n"/>
      <c r="C29" s="2" t="n"/>
      <c r="D29" s="2" t="n"/>
      <c r="E29" s="2" t="n"/>
      <c r="F29" s="2" t="n"/>
      <c r="G29" s="2" t="n"/>
      <c r="H29" s="2" t="n"/>
    </row>
    <row r="30">
      <c r="A30" s="2" t="inlineStr"/>
      <c r="B30" s="2" t="inlineStr">
        <is>
          <t>件数と単価が逆方向に動くサービスがある。訪問介護は令和5年度から令和7年度にかけて</t>
        </is>
      </c>
      <c r="C30" s="2" t="n"/>
      <c r="D30" s="2" t="n"/>
      <c r="E30" s="2" t="n"/>
      <c r="F30" s="2" t="n"/>
      <c r="G30" s="2" t="n"/>
      <c r="H30" s="2" t="n"/>
    </row>
    <row r="31">
      <c r="A31" s="2" t="inlineStr"/>
      <c r="B31" s="2" t="inlineStr">
        <is>
          <t>件数が958件から628件へ34.4％減った一方、単価は37,532円から47,368円へ26.2％上がった。</t>
        </is>
      </c>
      <c r="C31" s="2" t="n"/>
      <c r="D31" s="2" t="n"/>
      <c r="E31" s="2" t="n"/>
      <c r="F31" s="2" t="n"/>
      <c r="G31" s="2" t="n"/>
      <c r="H31" s="2" t="n"/>
    </row>
    <row r="32">
      <c r="A32" s="2" t="inlineStr"/>
      <c r="B32" s="2" t="inlineStr">
        <is>
          <t>**平均件数に直近単価を乗じると、少ない利用者に高い単価を掛けることになり給付費を二重に見込む。**</t>
        </is>
      </c>
      <c r="C32" s="2" t="n"/>
      <c r="D32" s="2" t="n"/>
      <c r="E32" s="2" t="n"/>
      <c r="F32" s="2" t="n"/>
      <c r="G32" s="2" t="n"/>
      <c r="H32" s="2" t="n"/>
    </row>
    <row r="33">
      <c r="A33" s="2" t="inlineStr"/>
      <c r="B33" s="2" t="inlineStr">
        <is>
          <t>このため給付費そのものを第1号被保険者数で割った率を延ばし、単価は結果として表示している。</t>
        </is>
      </c>
      <c r="C33" s="2" t="n"/>
      <c r="D33" s="2" t="n"/>
      <c r="E33" s="2" t="n"/>
      <c r="F33" s="2" t="n"/>
      <c r="G33" s="2" t="n"/>
      <c r="H33" s="2" t="n"/>
    </row>
    <row r="34">
      <c r="A34" s="2" t="n"/>
      <c r="B34" s="2" t="n"/>
      <c r="C34" s="2" t="n"/>
      <c r="D34" s="2" t="n"/>
      <c r="E34" s="2" t="n"/>
      <c r="F34" s="2" t="n"/>
      <c r="G34" s="2" t="n"/>
      <c r="H34" s="2" t="n"/>
    </row>
    <row r="35">
      <c r="A35" s="3" t="inlineStr">
        <is>
          <t>■ 価格水準の調整</t>
        </is>
      </c>
      <c r="B35" s="2" t="n"/>
      <c r="C35" s="2" t="n"/>
      <c r="D35" s="2" t="n"/>
      <c r="E35" s="2" t="n"/>
      <c r="F35" s="2" t="n"/>
      <c r="G35" s="2" t="n"/>
      <c r="H35" s="2" t="n"/>
    </row>
    <row r="36">
      <c r="A36" s="2" t="inlineStr"/>
      <c r="B36" s="2" t="inlineStr">
        <is>
          <t>令和6年度の介護報酬改定は＋1.59％。基準期間（令和5〜7年度）のうち</t>
        </is>
      </c>
      <c r="C36" s="2" t="n"/>
      <c r="D36" s="2" t="n"/>
      <c r="E36" s="2" t="n"/>
      <c r="F36" s="2" t="n"/>
      <c r="G36" s="2" t="n"/>
      <c r="H36" s="2" t="n"/>
    </row>
    <row r="37">
      <c r="A37" s="2" t="inlineStr"/>
      <c r="B37" s="2" t="inlineStr">
        <is>
          <t>令和5年度だけが改定前の価格である。令和5年度の給付費に改定率を乗じ、</t>
        </is>
      </c>
      <c r="C37" s="2" t="n"/>
      <c r="D37" s="2" t="n"/>
      <c r="E37" s="2" t="n"/>
      <c r="F37" s="2" t="n"/>
      <c r="G37" s="2" t="n"/>
      <c r="H37" s="2" t="n"/>
    </row>
    <row r="38">
      <c r="A38" s="2" t="inlineStr"/>
      <c r="B38" s="2" t="inlineStr">
        <is>
          <t>改定後の価格水準にそろえてから3年平均をとった。</t>
        </is>
      </c>
      <c r="C38" s="2" t="n"/>
      <c r="D38" s="2" t="n"/>
      <c r="E38" s="2" t="n"/>
      <c r="F38" s="2" t="n"/>
      <c r="G38" s="2" t="n"/>
      <c r="H38" s="2" t="n"/>
    </row>
    <row r="39">
      <c r="A39" s="2" t="inlineStr"/>
      <c r="B39" s="2" t="inlineStr">
        <is>
          <t>※ 令和6年度改定は令和6年6月施行（訪問看護等は4月）であり、令和6年度の実績は</t>
        </is>
      </c>
      <c r="C39" s="2" t="n"/>
      <c r="D39" s="2" t="n"/>
      <c r="E39" s="2" t="n"/>
      <c r="F39" s="2" t="n"/>
      <c r="G39" s="2" t="n"/>
      <c r="H39" s="2" t="n"/>
    </row>
    <row r="40">
      <c r="A40" s="2" t="inlineStr"/>
      <c r="B40" s="2" t="inlineStr">
        <is>
          <t xml:space="preserve">　 11か月分の反映にとどまる。この分だけ給付費率がわずかに低めに出る。</t>
        </is>
      </c>
      <c r="C40" s="2" t="n"/>
      <c r="D40" s="2" t="n"/>
      <c r="E40" s="2" t="n"/>
      <c r="F40" s="2" t="n"/>
      <c r="G40" s="2" t="n"/>
      <c r="H40" s="2" t="n"/>
    </row>
    <row r="41">
      <c r="A41" s="2" t="n"/>
      <c r="B41" s="2" t="n"/>
      <c r="C41" s="2" t="n"/>
      <c r="D41" s="2" t="n"/>
      <c r="E41" s="2" t="n"/>
      <c r="F41" s="2" t="n"/>
      <c r="G41" s="2" t="n"/>
      <c r="H41" s="2" t="n"/>
    </row>
    <row r="42">
      <c r="A42" s="3" t="inlineStr">
        <is>
          <t>■ 基準期間</t>
        </is>
      </c>
      <c r="B42" s="2" t="n"/>
      <c r="C42" s="2" t="n"/>
      <c r="D42" s="2" t="n"/>
      <c r="E42" s="2" t="n"/>
      <c r="F42" s="2" t="n"/>
      <c r="G42" s="2" t="n"/>
      <c r="H42" s="2" t="n"/>
    </row>
    <row r="43">
      <c r="A43" s="2" t="inlineStr"/>
      <c r="B43" s="2" t="inlineStr">
        <is>
          <t>既定は令和5〜7年度の3年平均。次のサービスは個別に扱う。</t>
        </is>
      </c>
      <c r="C43" s="2" t="n"/>
      <c r="D43" s="2" t="n"/>
      <c r="E43" s="2" t="n"/>
      <c r="F43" s="2" t="n"/>
      <c r="G43" s="2" t="n"/>
      <c r="H43" s="2" t="n"/>
    </row>
    <row r="44">
      <c r="A44" s="2" t="inlineStr"/>
      <c r="B44" s="2" t="inlineStr">
        <is>
          <t>特定福祉用具販売</t>
        </is>
      </c>
      <c r="C44" s="2" t="inlineStr">
        <is>
          <t>令和6年度／令和7年度</t>
        </is>
      </c>
      <c r="D44" s="2" t="inlineStr">
        <is>
          <t>令和6年度から様式2に計上。2年平均</t>
        </is>
      </c>
      <c r="E44" s="2" t="n"/>
      <c r="F44" s="2" t="n"/>
      <c r="G44" s="2" t="n"/>
      <c r="H44" s="2" t="n"/>
    </row>
    <row r="45">
      <c r="A45" s="2" t="inlineStr"/>
      <c r="B45" s="2" t="inlineStr">
        <is>
          <t>住宅改修</t>
        </is>
      </c>
      <c r="C45" s="2" t="inlineStr">
        <is>
          <t>令和6年度／令和7年度</t>
        </is>
      </c>
      <c r="D45" s="2" t="inlineStr">
        <is>
          <t>令和6年度から様式2に計上。2年平均</t>
        </is>
      </c>
      <c r="E45" s="2" t="n"/>
      <c r="F45" s="2" t="n"/>
      <c r="G45" s="2" t="n"/>
      <c r="H45" s="2" t="n"/>
    </row>
    <row r="46">
      <c r="A46" s="2" t="inlineStr"/>
      <c r="B46" s="2" t="inlineStr">
        <is>
          <t>定期巡回・随時対応型訪問介護看護</t>
        </is>
      </c>
      <c r="C46" s="2" t="inlineStr">
        <is>
          <t>令和7年度</t>
        </is>
      </c>
      <c r="D46" s="2" t="inlineStr">
        <is>
          <t>令和7年度に利用実績が消滅。0で据置</t>
        </is>
      </c>
      <c r="E46" s="2" t="n"/>
      <c r="F46" s="2" t="n"/>
      <c r="G46" s="2" t="n"/>
      <c r="H46" s="2" t="n"/>
    </row>
    <row r="47">
      <c r="A47" s="2" t="inlineStr"/>
      <c r="B47" s="2" t="inlineStr">
        <is>
          <t>地域密着型通所介護</t>
        </is>
      </c>
      <c r="C47" s="2" t="inlineStr">
        <is>
          <t>令和7年度</t>
        </is>
      </c>
      <c r="D47" s="2" t="inlineStr">
        <is>
          <t>令和5年度以降ほぼ実績なし。0で据置</t>
        </is>
      </c>
      <c r="E47" s="2" t="n"/>
      <c r="F47" s="2" t="n"/>
      <c r="G47" s="2" t="n"/>
      <c r="H47" s="2" t="n"/>
    </row>
    <row r="48">
      <c r="A48" s="2" t="inlineStr"/>
      <c r="B48" s="2" t="inlineStr">
        <is>
          <t>介護療養型医療施設</t>
        </is>
      </c>
      <c r="C48" s="2" t="inlineStr">
        <is>
          <t>令和7年度</t>
        </is>
      </c>
      <c r="D48" s="2" t="inlineStr">
        <is>
          <t>令和5年度末で制度廃止。0で据置</t>
        </is>
      </c>
      <c r="E48" s="2" t="n"/>
      <c r="F48" s="2" t="n"/>
      <c r="G48" s="2" t="n"/>
      <c r="H48" s="2" t="n"/>
    </row>
    <row r="49">
      <c r="A49" s="2" t="inlineStr"/>
      <c r="B49" s="2" t="inlineStr">
        <is>
          <t>介護医療院</t>
        </is>
      </c>
      <c r="C49" s="2" t="inlineStr">
        <is>
          <t>令和7年度</t>
        </is>
      </c>
      <c r="D49" s="2" t="inlineStr">
        <is>
          <t>令和6年度1件から令和7年度14件へ。入所が定着したとみて直近年度で置く</t>
        </is>
      </c>
      <c r="E49" s="2" t="n"/>
      <c r="F49" s="2" t="n"/>
      <c r="G49" s="2" t="n"/>
      <c r="H49" s="2" t="n"/>
    </row>
    <row r="50">
      <c r="A50" s="2" t="inlineStr"/>
      <c r="B50" s="2" t="inlineStr">
        <is>
          <t>訪問リハビリテーション</t>
        </is>
      </c>
      <c r="C50" s="2" t="inlineStr">
        <is>
          <t>令和7年度</t>
        </is>
      </c>
      <c r="D50" s="2" t="inlineStr">
        <is>
          <t>5年間で令和5年度の1件のみ。0で据置</t>
        </is>
      </c>
      <c r="E50" s="2" t="n"/>
      <c r="F50" s="2" t="n"/>
      <c r="G50" s="2" t="n"/>
      <c r="H50" s="2" t="n"/>
    </row>
    <row r="51">
      <c r="A51" s="2" t="inlineStr"/>
      <c r="B51" s="2" t="inlineStr">
        <is>
          <t>認知症対応型共同生活介護（介護給付）</t>
        </is>
      </c>
      <c r="C51" s="2" t="inlineStr">
        <is>
          <t>令和7年度</t>
        </is>
      </c>
      <c r="D51" s="2" t="inlineStr">
        <is>
          <t>令和5→7年度で▲13.6％の単調減。令和8年度の月報も月41.3件とさらに低い。3年平均だと令和7年度実績を9.8％上回るため直近年度で置く</t>
        </is>
      </c>
      <c r="E51" s="2" t="n"/>
      <c r="F51" s="2" t="n"/>
      <c r="G51" s="2" t="n"/>
      <c r="H51" s="2" t="n"/>
    </row>
    <row r="52">
      <c r="A52" s="2" t="inlineStr"/>
      <c r="B52" s="2" t="inlineStr">
        <is>
          <t>認知症対応型共同生活介護（予防給付）</t>
        </is>
      </c>
      <c r="C52" s="2" t="inlineStr">
        <is>
          <t>令和7年度</t>
        </is>
      </c>
      <c r="D52" s="2" t="inlineStr">
        <is>
          <t>令和6年度3.1件／月から令和7年度1.2件／月へ。令和8年度の月報も月1.0件。3年平均だと直近実績の1.88倍になるため直近年度で置く</t>
        </is>
      </c>
      <c r="E52" s="2" t="n"/>
      <c r="F52" s="2" t="n"/>
      <c r="G52" s="2" t="n"/>
      <c r="H52" s="2" t="n"/>
    </row>
    <row r="53">
      <c r="A53" s="2" t="inlineStr"/>
      <c r="B53" s="2" t="inlineStr">
        <is>
          <t>福祉用具貸与（予防給付）</t>
        </is>
      </c>
      <c r="C53" s="2" t="inlineStr">
        <is>
          <t>令和7年度</t>
        </is>
      </c>
      <c r="D53" s="2" t="inlineStr">
        <is>
          <t>令和5→7年度で＋24.6％の単調増。令和8年度の月報も月63.0件と増え続けている。3年平均だと直近実績を13.3％下回るため直近年度で置く</t>
        </is>
      </c>
      <c r="E53" s="2" t="n"/>
      <c r="F53" s="2" t="n"/>
      <c r="G53" s="2" t="n"/>
      <c r="H53" s="2" t="n"/>
    </row>
    <row r="54">
      <c r="A54" s="2" t="n"/>
      <c r="B54" s="2" t="n"/>
      <c r="C54" s="2" t="n"/>
      <c r="D54" s="2" t="n"/>
      <c r="E54" s="2" t="n"/>
      <c r="F54" s="2" t="n"/>
      <c r="G54" s="2" t="n"/>
      <c r="H54" s="2" t="n"/>
    </row>
    <row r="55">
      <c r="A55" s="3" t="inlineStr">
        <is>
          <t>■ この試算で決めていないこと（町・協議会の判断が要るもの）</t>
        </is>
      </c>
      <c r="B55" s="2" t="n"/>
      <c r="C55" s="2" t="n"/>
      <c r="D55" s="2" t="n"/>
      <c r="E55" s="2" t="n"/>
      <c r="F55" s="2" t="n"/>
      <c r="G55" s="2" t="n"/>
      <c r="H55" s="2" t="n"/>
    </row>
    <row r="56">
      <c r="A56" s="2" t="inlineStr"/>
      <c r="B56" s="2" t="inlineStr">
        <is>
          <t>1. 令和9年度の介護報酬改定率。基本ケースは0.0％（据置）。06_感度分析で±1.5％を示した</t>
        </is>
      </c>
      <c r="C56" s="2" t="n"/>
      <c r="D56" s="2" t="n"/>
      <c r="E56" s="2" t="n"/>
      <c r="F56" s="2" t="n"/>
      <c r="G56" s="2" t="n"/>
      <c r="H56" s="2" t="n"/>
    </row>
    <row r="57">
      <c r="A57" s="2" t="inlineStr"/>
      <c r="B57" s="2" t="inlineStr">
        <is>
          <t>2. 施設・居住系の整備方針。第9期は新規整備を原則行わない方針だったが、認知症対応型共同生活介護の</t>
        </is>
      </c>
      <c r="C57" s="2" t="n"/>
      <c r="D57" s="2" t="n"/>
      <c r="E57" s="2" t="n"/>
      <c r="F57" s="2" t="n"/>
      <c r="G57" s="2" t="n"/>
      <c r="H57" s="2" t="n"/>
    </row>
    <row r="58">
      <c r="A58" s="2" t="inlineStr"/>
      <c r="B58" s="2" t="inlineStr">
        <is>
          <t xml:space="preserve">   定員は令和4年度71人から令和6年度98人へ増えている。整備があれば件数が段差で増える</t>
        </is>
      </c>
      <c r="C58" s="2" t="n"/>
      <c r="D58" s="2" t="n"/>
      <c r="E58" s="2" t="n"/>
      <c r="F58" s="2" t="n"/>
      <c r="G58" s="2" t="n"/>
      <c r="H58" s="2" t="n"/>
    </row>
    <row r="59">
      <c r="A59" s="2" t="inlineStr"/>
      <c r="B59" s="2" t="inlineStr">
        <is>
          <t>3. 地域支援事業費。年報 様式4の令和7年度が未入力のため実績が取れない。決算書の受領を要する</t>
        </is>
      </c>
      <c r="C59" s="2" t="n"/>
      <c r="D59" s="2" t="n"/>
      <c r="E59" s="2" t="n"/>
      <c r="F59" s="2" t="n"/>
      <c r="G59" s="2" t="n"/>
      <c r="H59" s="2" t="n"/>
    </row>
    <row r="60">
      <c r="A60" s="2" t="inlineStr"/>
      <c r="B60" s="2" t="inlineStr">
        <is>
          <t>4. 審査支払手数料。年報にない。1件60円で仮置きした</t>
        </is>
      </c>
      <c r="C60" s="2" t="n"/>
      <c r="D60" s="2" t="n"/>
      <c r="E60" s="2" t="n"/>
      <c r="F60" s="2" t="n"/>
      <c r="G60" s="2" t="n"/>
      <c r="H60" s="2" t="n"/>
    </row>
    <row r="61">
      <c r="A61" s="2" t="n"/>
      <c r="B61" s="2" t="n"/>
      <c r="C61" s="2" t="n"/>
      <c r="D61" s="2" t="n"/>
      <c r="E61" s="2" t="n"/>
      <c r="F61" s="2" t="n"/>
      <c r="G61" s="2" t="n"/>
      <c r="H61" s="2" t="n"/>
    </row>
    <row r="62">
      <c r="A62" s="3" t="inlineStr">
        <is>
          <t>■ この試算の限界</t>
        </is>
      </c>
      <c r="B62" s="2" t="n"/>
      <c r="C62" s="2" t="n"/>
      <c r="D62" s="2" t="n"/>
      <c r="E62" s="2" t="n"/>
      <c r="F62" s="2" t="n"/>
      <c r="G62" s="2" t="n"/>
      <c r="H62" s="2" t="n"/>
    </row>
    <row r="63">
      <c r="A63" s="2" t="inlineStr"/>
      <c r="B63" s="2" t="inlineStr">
        <is>
          <t>**年報には回数・日数が入っていない。**様式2にあるのは件数（＝月あたり受給者数の年間累計）と単位数である。</t>
        </is>
      </c>
      <c r="C63" s="2" t="n"/>
      <c r="D63" s="2" t="n"/>
      <c r="E63" s="2" t="n"/>
      <c r="F63" s="2" t="n"/>
      <c r="G63" s="2" t="n"/>
      <c r="H63" s="2" t="n"/>
    </row>
    <row r="64">
      <c r="A64" s="2" t="inlineStr"/>
      <c r="B64" s="2" t="inlineStr">
        <is>
          <t>計画書の見込量は訪問系を回数、通所・短期入所を日数で書くのが通例であり、その単位に変換するには</t>
        </is>
      </c>
      <c r="C64" s="2" t="n"/>
      <c r="D64" s="2" t="n"/>
      <c r="E64" s="2" t="n"/>
      <c r="F64" s="2" t="n"/>
      <c r="G64" s="2" t="n"/>
      <c r="H64" s="2" t="n"/>
    </row>
    <row r="65">
      <c r="A65" s="2" t="inlineStr"/>
      <c r="B65" s="2" t="inlineStr">
        <is>
          <t>国保連の給付実績（サービス提供量）または見える化システムのサービス別給付実績が要る。</t>
        </is>
      </c>
      <c r="C65" s="2" t="n"/>
      <c r="D65" s="2" t="n"/>
      <c r="E65" s="2" t="n"/>
      <c r="F65" s="2" t="n"/>
      <c r="G65" s="2" t="n"/>
      <c r="H65" s="2" t="n"/>
    </row>
    <row r="66">
      <c r="A66" s="2" t="inlineStr"/>
      <c r="B66" s="2" t="inlineStr">
        <is>
          <t>**本試算は件数（延べ利用者数）と給付費で組んでいる。回数・日数への変換は当該データの受領後に行う。**</t>
        </is>
      </c>
      <c r="C66" s="2" t="n"/>
      <c r="D66" s="2" t="n"/>
      <c r="E66" s="2" t="n"/>
      <c r="F66" s="2" t="n"/>
      <c r="G66" s="2" t="n"/>
      <c r="H66" s="2" t="n"/>
    </row>
    <row r="67">
      <c r="A67" s="2" t="inlineStr"/>
      <c r="B67" s="2" t="inlineStr">
        <is>
          <t>参考として、1件当たり単位数を03シートに載せた（回数・日数の代替指標）。</t>
        </is>
      </c>
      <c r="C67" s="2" t="n"/>
      <c r="D67" s="2" t="n"/>
      <c r="E67" s="2" t="n"/>
      <c r="F67" s="2" t="n"/>
      <c r="G67" s="2" t="n"/>
      <c r="H67" s="2" t="n"/>
    </row>
    <row r="68">
      <c r="A68" s="2" t="n"/>
      <c r="B68" s="2" t="n"/>
      <c r="C68" s="2" t="n"/>
      <c r="D68" s="2" t="n"/>
      <c r="E68" s="2" t="n"/>
      <c r="F68" s="2" t="n"/>
      <c r="G68" s="2" t="n"/>
      <c r="H68" s="2" t="n"/>
    </row>
    <row r="69">
      <c r="A69" s="3" t="inlineStr">
        <is>
          <t>■ 検算1　サービス名の正規化に漏れがないか</t>
        </is>
      </c>
      <c r="B69" s="2" t="n"/>
      <c r="C69" s="2" t="n"/>
      <c r="D69" s="2" t="n"/>
      <c r="E69" s="2" t="n"/>
      <c r="F69" s="2" t="n"/>
      <c r="G69" s="2" t="n"/>
      <c r="H69" s="2" t="n"/>
    </row>
    <row r="70">
      <c r="A70" s="2" t="inlineStr"/>
      <c r="B70" s="2" t="inlineStr">
        <is>
          <t>年報の様式2はサービス名の表記が年度で変わる。29区分に正規化したうえで、合計が様式2の「総計」行と一致するかを全年度・介護／予防別に確認した。</t>
        </is>
      </c>
      <c r="C70" s="2" t="n"/>
      <c r="D70" s="2" t="n"/>
      <c r="E70" s="2" t="n"/>
      <c r="F70" s="2" t="n"/>
      <c r="G70" s="2" t="n"/>
      <c r="H70" s="2" t="n"/>
    </row>
    <row r="71">
      <c r="A71" s="2" t="inlineStr"/>
      <c r="B71" s="2" t="inlineStr">
        <is>
          <t>年度</t>
        </is>
      </c>
      <c r="C71" s="2" t="inlineStr">
        <is>
          <t>正規化後の合計（介護）</t>
        </is>
      </c>
      <c r="D71" s="2" t="inlineStr">
        <is>
          <t>様式2の総計（介護）</t>
        </is>
      </c>
      <c r="E71" s="2" t="inlineStr">
        <is>
          <t>差</t>
        </is>
      </c>
      <c r="F71" s="2" t="inlineStr">
        <is>
          <t>正規化後の合計（予防）</t>
        </is>
      </c>
      <c r="G71" s="2" t="inlineStr">
        <is>
          <t>様式2の総計（予防）</t>
        </is>
      </c>
      <c r="H71" s="2" t="inlineStr">
        <is>
          <t>差</t>
        </is>
      </c>
    </row>
    <row r="72">
      <c r="A72" s="2" t="inlineStr"/>
      <c r="B72" s="2" t="inlineStr">
        <is>
          <t>令和3年度</t>
        </is>
      </c>
      <c r="C72" s="4" t="n">
        <v>1040505972</v>
      </c>
      <c r="D72" s="4" t="n">
        <v>1040505972</v>
      </c>
      <c r="E72" s="4" t="n">
        <v>0</v>
      </c>
      <c r="F72" s="4" t="n">
        <v>20199407</v>
      </c>
      <c r="G72" s="4" t="n">
        <v>20199407</v>
      </c>
      <c r="H72" s="4" t="n">
        <v>0</v>
      </c>
    </row>
    <row r="73">
      <c r="A73" s="2" t="inlineStr"/>
      <c r="B73" s="2" t="inlineStr">
        <is>
          <t>令和4年度</t>
        </is>
      </c>
      <c r="C73" s="4" t="n">
        <v>995835789</v>
      </c>
      <c r="D73" s="4" t="n">
        <v>995835789</v>
      </c>
      <c r="E73" s="4" t="n">
        <v>0</v>
      </c>
      <c r="F73" s="4" t="n">
        <v>26890318</v>
      </c>
      <c r="G73" s="4" t="n">
        <v>26890318</v>
      </c>
      <c r="H73" s="4" t="n">
        <v>0</v>
      </c>
    </row>
    <row r="74">
      <c r="A74" s="2" t="inlineStr"/>
      <c r="B74" s="2" t="inlineStr">
        <is>
          <t>令和5年度</t>
        </is>
      </c>
      <c r="C74" s="4" t="n">
        <v>990570658</v>
      </c>
      <c r="D74" s="4" t="n">
        <v>990570658</v>
      </c>
      <c r="E74" s="4" t="n">
        <v>0</v>
      </c>
      <c r="F74" s="4" t="n">
        <v>35753193</v>
      </c>
      <c r="G74" s="4" t="n">
        <v>35753193</v>
      </c>
      <c r="H74" s="4" t="n">
        <v>0</v>
      </c>
    </row>
    <row r="75">
      <c r="A75" s="2" t="inlineStr"/>
      <c r="B75" s="2" t="inlineStr">
        <is>
          <t>令和6年度</t>
        </is>
      </c>
      <c r="C75" s="4" t="n">
        <v>1048012050</v>
      </c>
      <c r="D75" s="4" t="n">
        <v>1048012050</v>
      </c>
      <c r="E75" s="4" t="n">
        <v>0</v>
      </c>
      <c r="F75" s="4" t="n">
        <v>37986333</v>
      </c>
      <c r="G75" s="4" t="n">
        <v>37986333</v>
      </c>
      <c r="H75" s="4" t="n">
        <v>0</v>
      </c>
    </row>
    <row r="76">
      <c r="A76" s="2" t="inlineStr"/>
      <c r="B76" s="2" t="inlineStr">
        <is>
          <t>令和7年度</t>
        </is>
      </c>
      <c r="C76" s="4" t="n">
        <v>968627085</v>
      </c>
      <c r="D76" s="4" t="n">
        <v>968627085</v>
      </c>
      <c r="E76" s="4" t="n">
        <v>0</v>
      </c>
      <c r="F76" s="4" t="n">
        <v>36516977</v>
      </c>
      <c r="G76" s="4" t="n">
        <v>36516977</v>
      </c>
      <c r="H76" s="4" t="n">
        <v>0</v>
      </c>
    </row>
    <row r="77">
      <c r="A77" s="2" t="inlineStr"/>
      <c r="B77" s="2" t="inlineStr"/>
      <c r="C77" s="2" t="inlineStr"/>
      <c r="D77" s="2" t="inlineStr"/>
      <c r="E77" s="2" t="inlineStr"/>
      <c r="F77" s="2" t="inlineStr"/>
      <c r="G77" s="2" t="inlineStr"/>
      <c r="H77" s="2" t="inlineStr">
        <is>
          <t>**全年度・介護／予防とも差0で一致。取りこぼしも二重計上もない**</t>
        </is>
      </c>
    </row>
    <row r="78">
      <c r="A78" s="2" t="n"/>
      <c r="B78" s="2" t="n"/>
      <c r="C78" s="2" t="n"/>
      <c r="D78" s="2" t="n"/>
      <c r="E78" s="2" t="n"/>
      <c r="F78" s="2" t="n"/>
      <c r="G78" s="2" t="n"/>
      <c r="H78" s="2" t="n"/>
    </row>
    <row r="79">
      <c r="A79" s="3" t="inlineStr">
        <is>
          <t>■ 検算2　様式2（サービス別）と様式3（保険給付支払）の突合</t>
        </is>
      </c>
      <c r="B79" s="2" t="n"/>
      <c r="C79" s="2" t="n"/>
      <c r="D79" s="2" t="n"/>
      <c r="E79" s="2" t="n"/>
      <c r="F79" s="2" t="n"/>
      <c r="G79" s="2" t="n"/>
      <c r="H79" s="2" t="n"/>
    </row>
    <row r="80">
      <c r="A80" s="2" t="inlineStr"/>
      <c r="B80" s="2" t="inlineStr">
        <is>
          <t>年度</t>
        </is>
      </c>
      <c r="C80" s="2" t="inlineStr">
        <is>
          <t>様式2の総計（給付費）</t>
        </is>
      </c>
      <c r="D80" s="2" t="inlineStr">
        <is>
          <t>様式3の介護サービス等諸費＋介護予防サービス等諸費</t>
        </is>
      </c>
      <c r="E80" s="2" t="inlineStr">
        <is>
          <t>差</t>
        </is>
      </c>
      <c r="F80" s="2" t="inlineStr">
        <is>
          <t>差の率</t>
        </is>
      </c>
      <c r="G80" s="2" t="n"/>
      <c r="H80" s="2" t="n"/>
    </row>
    <row r="81">
      <c r="A81" s="2" t="inlineStr"/>
      <c r="B81" s="2" t="inlineStr">
        <is>
          <t>令和3年度</t>
        </is>
      </c>
      <c r="C81" s="4" t="n">
        <v>1060705379</v>
      </c>
      <c r="D81" s="4" t="n">
        <v>1060705379</v>
      </c>
      <c r="E81" s="4" t="n">
        <v>0</v>
      </c>
      <c r="F81" s="2" t="inlineStr">
        <is>
          <t>+0.00％</t>
        </is>
      </c>
      <c r="G81" s="2" t="n"/>
      <c r="H81" s="2" t="n"/>
    </row>
    <row r="82">
      <c r="A82" s="2" t="inlineStr"/>
      <c r="B82" s="2" t="inlineStr">
        <is>
          <t>令和4年度</t>
        </is>
      </c>
      <c r="C82" s="4" t="n">
        <v>1022726107</v>
      </c>
      <c r="D82" s="4" t="n">
        <v>1022726107</v>
      </c>
      <c r="E82" s="4" t="n">
        <v>0</v>
      </c>
      <c r="F82" s="2" t="inlineStr">
        <is>
          <t>+0.00％</t>
        </is>
      </c>
      <c r="G82" s="2" t="n"/>
      <c r="H82" s="2" t="n"/>
    </row>
    <row r="83">
      <c r="A83" s="2" t="inlineStr"/>
      <c r="B83" s="2" t="inlineStr">
        <is>
          <t>令和5年度</t>
        </is>
      </c>
      <c r="C83" s="4" t="n">
        <v>1026323851</v>
      </c>
      <c r="D83" s="4" t="n">
        <v>1026323851</v>
      </c>
      <c r="E83" s="4" t="n">
        <v>0</v>
      </c>
      <c r="F83" s="2" t="inlineStr">
        <is>
          <t>+0.00％</t>
        </is>
      </c>
      <c r="G83" s="2" t="n"/>
      <c r="H83" s="2" t="n"/>
    </row>
    <row r="84">
      <c r="A84" s="2" t="inlineStr"/>
      <c r="B84" s="2" t="inlineStr">
        <is>
          <t>令和6年度</t>
        </is>
      </c>
      <c r="C84" s="4" t="n">
        <v>1085998383</v>
      </c>
      <c r="D84" s="4" t="n">
        <v>1085998383</v>
      </c>
      <c r="E84" s="4" t="n">
        <v>0</v>
      </c>
      <c r="F84" s="2" t="inlineStr">
        <is>
          <t>+0.00％</t>
        </is>
      </c>
      <c r="G84" s="2" t="n"/>
      <c r="H84" s="2" t="n"/>
    </row>
    <row r="85">
      <c r="A85" s="2" t="inlineStr"/>
      <c r="B85" s="2" t="inlineStr">
        <is>
          <t>令和7年度</t>
        </is>
      </c>
      <c r="C85" s="4" t="n">
        <v>1005144062</v>
      </c>
      <c r="D85" s="4" t="n">
        <v>1005144062</v>
      </c>
      <c r="E85" s="4" t="n">
        <v>0</v>
      </c>
      <c r="F85" s="2" t="inlineStr">
        <is>
          <t>+0.00％</t>
        </is>
      </c>
      <c r="G85" s="2" t="n"/>
      <c r="H85" s="2" t="n"/>
    </row>
    <row r="86">
      <c r="A86" s="2" t="inlineStr"/>
      <c r="B86" s="2" t="inlineStr"/>
      <c r="C86" s="2" t="inlineStr"/>
      <c r="D86" s="2" t="inlineStr"/>
      <c r="E86" s="2" t="inlineStr"/>
      <c r="F86" s="2" t="inlineStr">
        <is>
          <t>**全年度で差0。サービス別の給付費の積み上げは、保険給付支払状況の総給付費と完全に一致する**</t>
        </is>
      </c>
      <c r="G86" s="2" t="n"/>
      <c r="H86"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2" customWidth="1" min="2" max="2"/>
    <col width="10" customWidth="1" min="3" max="3"/>
    <col width="13" customWidth="1" min="4" max="4"/>
    <col width="12" customWidth="1" min="5" max="5"/>
    <col width="10" customWidth="1" min="6" max="6"/>
    <col width="13" customWidth="1" min="7" max="7"/>
    <col width="12" customWidth="1" min="8" max="8"/>
    <col width="10" customWidth="1" min="9" max="9"/>
    <col width="13" customWidth="1" min="10" max="10"/>
    <col width="12" customWidth="1" min="11" max="11"/>
    <col width="10" customWidth="1" min="12" max="12"/>
    <col width="13" customWidth="1" min="13" max="13"/>
    <col width="12" customWidth="1" min="14" max="14"/>
    <col width="10" customWidth="1" min="15" max="15"/>
    <col width="13" customWidth="1" min="16" max="16"/>
    <col width="12" customWidth="1" min="17" max="17"/>
    <col width="13" customWidth="1" min="18" max="18"/>
    <col width="20" customWidth="1" min="19" max="19"/>
    <col width="34" customWidth="1" min="20" max="20"/>
  </cols>
  <sheetData>
    <row r="1">
      <c r="A1" s="5" t="inlineStr">
        <is>
          <t>区分</t>
        </is>
      </c>
      <c r="B1" s="5" t="inlineStr">
        <is>
          <t>サービス</t>
        </is>
      </c>
      <c r="C1" s="5" t="inlineStr">
        <is>
          <t>3年度 件数</t>
        </is>
      </c>
      <c r="D1" s="5" t="inlineStr">
        <is>
          <t>3年度 給付費(千円)</t>
        </is>
      </c>
      <c r="E1" s="5" t="inlineStr">
        <is>
          <t>3年度 単価(円/件)</t>
        </is>
      </c>
      <c r="F1" s="5" t="inlineStr">
        <is>
          <t>4年度 件数</t>
        </is>
      </c>
      <c r="G1" s="5" t="inlineStr">
        <is>
          <t>4年度 給付費(千円)</t>
        </is>
      </c>
      <c r="H1" s="5" t="inlineStr">
        <is>
          <t>4年度 単価(円/件)</t>
        </is>
      </c>
      <c r="I1" s="5" t="inlineStr">
        <is>
          <t>5年度 件数</t>
        </is>
      </c>
      <c r="J1" s="5" t="inlineStr">
        <is>
          <t>5年度 給付費(千円)</t>
        </is>
      </c>
      <c r="K1" s="5" t="inlineStr">
        <is>
          <t>5年度 単価(円/件)</t>
        </is>
      </c>
      <c r="L1" s="5" t="inlineStr">
        <is>
          <t>6年度 件数</t>
        </is>
      </c>
      <c r="M1" s="5" t="inlineStr">
        <is>
          <t>6年度 給付費(千円)</t>
        </is>
      </c>
      <c r="N1" s="5" t="inlineStr">
        <is>
          <t>6年度 単価(円/件)</t>
        </is>
      </c>
      <c r="O1" s="5" t="inlineStr">
        <is>
          <t>7年度 件数</t>
        </is>
      </c>
      <c r="P1" s="5" t="inlineStr">
        <is>
          <t>7年度 給付費(千円)</t>
        </is>
      </c>
      <c r="Q1" s="5" t="inlineStr">
        <is>
          <t>7年度 単価(円/件)</t>
        </is>
      </c>
      <c r="R1" s="5" t="inlineStr">
        <is>
          <t>単価の5年変化</t>
        </is>
      </c>
      <c r="S1" s="5" t="inlineStr">
        <is>
          <t>基準期間</t>
        </is>
      </c>
      <c r="T1" s="5" t="inlineStr">
        <is>
          <t>備考</t>
        </is>
      </c>
    </row>
    <row r="2">
      <c r="A2" s="6" t="inlineStr">
        <is>
          <t>居宅</t>
        </is>
      </c>
      <c r="B2" s="6" t="inlineStr">
        <is>
          <t>訪問介護</t>
        </is>
      </c>
      <c r="C2" s="7" t="n">
        <v>1165</v>
      </c>
      <c r="D2" s="8" t="n">
        <v>29881.789</v>
      </c>
      <c r="E2" s="7" t="n">
        <v>25649.6042918455</v>
      </c>
      <c r="F2" s="7" t="n">
        <v>1071</v>
      </c>
      <c r="G2" s="8" t="n">
        <v>34390.755</v>
      </c>
      <c r="H2" s="7" t="n">
        <v>32110.88235294117</v>
      </c>
      <c r="I2" s="7" t="n">
        <v>958</v>
      </c>
      <c r="J2" s="8" t="n">
        <v>35955.99</v>
      </c>
      <c r="K2" s="7" t="n">
        <v>37532.34864300626</v>
      </c>
      <c r="L2" s="7" t="n">
        <v>843</v>
      </c>
      <c r="M2" s="8" t="n">
        <v>32840.254</v>
      </c>
      <c r="N2" s="7" t="n">
        <v>38956.41043890866</v>
      </c>
      <c r="O2" s="7" t="n">
        <v>628</v>
      </c>
      <c r="P2" s="8" t="n">
        <v>29747.388</v>
      </c>
      <c r="Q2" s="7" t="n">
        <v>47368.45222929936</v>
      </c>
      <c r="R2" s="6" t="inlineStr">
        <is>
          <t>+84.7％</t>
        </is>
      </c>
      <c r="S2" s="6" t="inlineStr">
        <is>
          <t>5年度／6年度／7年度</t>
        </is>
      </c>
      <c r="T2" s="9" t="inlineStr">
        <is>
          <t>令和5〜7年度の3年平均</t>
        </is>
      </c>
    </row>
    <row r="3">
      <c r="A3" s="6" t="inlineStr">
        <is>
          <t>居宅</t>
        </is>
      </c>
      <c r="B3" s="6" t="inlineStr">
        <is>
          <t>訪問入浴介護</t>
        </is>
      </c>
      <c r="C3" s="7" t="n">
        <v>65</v>
      </c>
      <c r="D3" s="8" t="n">
        <v>2412.189</v>
      </c>
      <c r="E3" s="7" t="n">
        <v>37110.6</v>
      </c>
      <c r="F3" s="7" t="n">
        <v>56</v>
      </c>
      <c r="G3" s="8" t="n">
        <v>2016.596</v>
      </c>
      <c r="H3" s="7" t="n">
        <v>36010.64285714286</v>
      </c>
      <c r="I3" s="7" t="n">
        <v>81</v>
      </c>
      <c r="J3" s="8" t="n">
        <v>3490.65</v>
      </c>
      <c r="K3" s="7" t="n">
        <v>43094.44444444445</v>
      </c>
      <c r="L3" s="7" t="n">
        <v>89</v>
      </c>
      <c r="M3" s="8" t="n">
        <v>4283.514</v>
      </c>
      <c r="N3" s="7" t="n">
        <v>48129.37078651685</v>
      </c>
      <c r="O3" s="7" t="n">
        <v>68</v>
      </c>
      <c r="P3" s="8" t="n">
        <v>3170.413</v>
      </c>
      <c r="Q3" s="7" t="n">
        <v>46623.72058823529</v>
      </c>
      <c r="R3" s="6" t="inlineStr">
        <is>
          <t>+25.6％</t>
        </is>
      </c>
      <c r="S3" s="6" t="inlineStr">
        <is>
          <t>5年度／6年度／7年度</t>
        </is>
      </c>
      <c r="T3" s="9" t="inlineStr">
        <is>
          <t>令和5〜7年度の3年平均</t>
        </is>
      </c>
    </row>
    <row r="4">
      <c r="A4" s="6" t="inlineStr">
        <is>
          <t>居宅</t>
        </is>
      </c>
      <c r="B4" s="6" t="inlineStr">
        <is>
          <t>訪問看護</t>
        </is>
      </c>
      <c r="C4" s="7" t="n">
        <v>691</v>
      </c>
      <c r="D4" s="8" t="n">
        <v>23321.027</v>
      </c>
      <c r="E4" s="7" t="n">
        <v>33749.67727930535</v>
      </c>
      <c r="F4" s="7" t="n">
        <v>573</v>
      </c>
      <c r="G4" s="8" t="n">
        <v>21970.739</v>
      </c>
      <c r="H4" s="7" t="n">
        <v>38343.34904013962</v>
      </c>
      <c r="I4" s="7" t="n">
        <v>456</v>
      </c>
      <c r="J4" s="8" t="n">
        <v>19238.015</v>
      </c>
      <c r="K4" s="7" t="n">
        <v>42188.62938596492</v>
      </c>
      <c r="L4" s="7" t="n">
        <v>470</v>
      </c>
      <c r="M4" s="8" t="n">
        <v>19136.659</v>
      </c>
      <c r="N4" s="7" t="n">
        <v>40716.29574468085</v>
      </c>
      <c r="O4" s="7" t="n">
        <v>519</v>
      </c>
      <c r="P4" s="8" t="n">
        <v>20186.841</v>
      </c>
      <c r="Q4" s="7" t="n">
        <v>38895.64739884393</v>
      </c>
      <c r="R4" s="6" t="inlineStr">
        <is>
          <t>+15.2％</t>
        </is>
      </c>
      <c r="S4" s="6" t="inlineStr">
        <is>
          <t>5年度／6年度／7年度</t>
        </is>
      </c>
      <c r="T4" s="9" t="inlineStr">
        <is>
          <t>令和5〜7年度の3年平均</t>
        </is>
      </c>
    </row>
    <row r="5">
      <c r="A5" s="6" t="inlineStr">
        <is>
          <t>居宅</t>
        </is>
      </c>
      <c r="B5" s="6" t="inlineStr">
        <is>
          <t>訪問リハビリテーション</t>
        </is>
      </c>
      <c r="C5" s="7" t="n">
        <v>0</v>
      </c>
      <c r="D5" s="8" t="n">
        <v>0</v>
      </c>
      <c r="E5" s="7" t="n"/>
      <c r="F5" s="7" t="n">
        <v>0</v>
      </c>
      <c r="G5" s="8" t="n">
        <v>0</v>
      </c>
      <c r="H5" s="7" t="n"/>
      <c r="I5" s="7" t="n">
        <v>1</v>
      </c>
      <c r="J5" s="8" t="n">
        <v>8.603999999999999</v>
      </c>
      <c r="K5" s="7" t="n">
        <v>8604</v>
      </c>
      <c r="L5" s="7" t="n">
        <v>0</v>
      </c>
      <c r="M5" s="8" t="n">
        <v>0</v>
      </c>
      <c r="N5" s="7" t="n"/>
      <c r="O5" s="7" t="n">
        <v>0</v>
      </c>
      <c r="P5" s="8" t="n">
        <v>0</v>
      </c>
      <c r="Q5" s="7" t="n"/>
      <c r="R5" s="6" t="inlineStr">
        <is>
          <t>―</t>
        </is>
      </c>
      <c r="S5" s="6" t="inlineStr">
        <is>
          <t>7年度</t>
        </is>
      </c>
      <c r="T5" s="9" t="inlineStr">
        <is>
          <t>5年間で令和5年度の1件のみ。0で据置</t>
        </is>
      </c>
    </row>
    <row r="6">
      <c r="A6" s="6" t="inlineStr">
        <is>
          <t>居宅</t>
        </is>
      </c>
      <c r="B6" s="6" t="inlineStr">
        <is>
          <t>居宅療養管理指導</t>
        </is>
      </c>
      <c r="C6" s="7" t="n">
        <v>206</v>
      </c>
      <c r="D6" s="8" t="n">
        <v>1081.087</v>
      </c>
      <c r="E6" s="7" t="n">
        <v>5247.995145631068</v>
      </c>
      <c r="F6" s="7" t="n">
        <v>222</v>
      </c>
      <c r="G6" s="8" t="n">
        <v>911.933</v>
      </c>
      <c r="H6" s="7" t="n">
        <v>4107.806306306306</v>
      </c>
      <c r="I6" s="7" t="n">
        <v>176</v>
      </c>
      <c r="J6" s="8" t="n">
        <v>757.254</v>
      </c>
      <c r="K6" s="7" t="n">
        <v>4302.579545454545</v>
      </c>
      <c r="L6" s="7" t="n">
        <v>251</v>
      </c>
      <c r="M6" s="8" t="n">
        <v>1166.071</v>
      </c>
      <c r="N6" s="7" t="n">
        <v>4645.701195219123</v>
      </c>
      <c r="O6" s="7" t="n">
        <v>195</v>
      </c>
      <c r="P6" s="8" t="n">
        <v>866.4829999999999</v>
      </c>
      <c r="Q6" s="7" t="n">
        <v>4443.502564102564</v>
      </c>
      <c r="R6" s="6" t="inlineStr">
        <is>
          <t>-15.3％</t>
        </is>
      </c>
      <c r="S6" s="6" t="inlineStr">
        <is>
          <t>5年度／6年度／7年度</t>
        </is>
      </c>
      <c r="T6" s="9" t="inlineStr">
        <is>
          <t>令和5〜7年度の3年平均</t>
        </is>
      </c>
    </row>
    <row r="7">
      <c r="A7" s="6" t="inlineStr">
        <is>
          <t>居宅</t>
        </is>
      </c>
      <c r="B7" s="6" t="inlineStr">
        <is>
          <t>通所介護</t>
        </is>
      </c>
      <c r="C7" s="7" t="n">
        <v>2371</v>
      </c>
      <c r="D7" s="8" t="n">
        <v>172155.079</v>
      </c>
      <c r="E7" s="7" t="n">
        <v>72608.63728384647</v>
      </c>
      <c r="F7" s="7" t="n">
        <v>2236</v>
      </c>
      <c r="G7" s="8" t="n">
        <v>153576.035</v>
      </c>
      <c r="H7" s="7" t="n">
        <v>68683.37880143113</v>
      </c>
      <c r="I7" s="7" t="n">
        <v>2162</v>
      </c>
      <c r="J7" s="8" t="n">
        <v>158119.04</v>
      </c>
      <c r="K7" s="7" t="n">
        <v>73135.54116558742</v>
      </c>
      <c r="L7" s="7" t="n">
        <v>2247</v>
      </c>
      <c r="M7" s="8" t="n">
        <v>163097.159</v>
      </c>
      <c r="N7" s="7" t="n">
        <v>72584.40542946151</v>
      </c>
      <c r="O7" s="7" t="n">
        <v>2053</v>
      </c>
      <c r="P7" s="8" t="n">
        <v>152490.576</v>
      </c>
      <c r="Q7" s="7" t="n">
        <v>74276.94885533366</v>
      </c>
      <c r="R7" s="6" t="inlineStr">
        <is>
          <t>+2.3％</t>
        </is>
      </c>
      <c r="S7" s="6" t="inlineStr">
        <is>
          <t>5年度／6年度／7年度</t>
        </is>
      </c>
      <c r="T7" s="9" t="inlineStr">
        <is>
          <t>令和5〜7年度の3年平均</t>
        </is>
      </c>
    </row>
    <row r="8">
      <c r="A8" s="6" t="inlineStr">
        <is>
          <t>居宅</t>
        </is>
      </c>
      <c r="B8" s="6" t="inlineStr">
        <is>
          <t>通所リハビリテーション</t>
        </is>
      </c>
      <c r="C8" s="7" t="n">
        <v>363</v>
      </c>
      <c r="D8" s="8" t="n">
        <v>17145.749</v>
      </c>
      <c r="E8" s="7" t="n">
        <v>47233.46831955923</v>
      </c>
      <c r="F8" s="7" t="n">
        <v>306</v>
      </c>
      <c r="G8" s="8" t="n">
        <v>12481.362</v>
      </c>
      <c r="H8" s="7" t="n">
        <v>40788.76470588235</v>
      </c>
      <c r="I8" s="7" t="n">
        <v>287</v>
      </c>
      <c r="J8" s="8" t="n">
        <v>12991.471</v>
      </c>
      <c r="K8" s="7" t="n">
        <v>45266.44947735192</v>
      </c>
      <c r="L8" s="7" t="n">
        <v>307</v>
      </c>
      <c r="M8" s="8" t="n">
        <v>14336.126</v>
      </c>
      <c r="N8" s="7" t="n">
        <v>46697.47882736156</v>
      </c>
      <c r="O8" s="7" t="n">
        <v>311</v>
      </c>
      <c r="P8" s="8" t="n">
        <v>15575.466</v>
      </c>
      <c r="Q8" s="7" t="n">
        <v>50081.88424437299</v>
      </c>
      <c r="R8" s="6" t="inlineStr">
        <is>
          <t>+6.0％</t>
        </is>
      </c>
      <c r="S8" s="6" t="inlineStr">
        <is>
          <t>5年度／6年度／7年度</t>
        </is>
      </c>
      <c r="T8" s="9" t="inlineStr">
        <is>
          <t>令和5〜7年度の3年平均</t>
        </is>
      </c>
    </row>
    <row r="9">
      <c r="A9" s="6" t="inlineStr">
        <is>
          <t>居宅</t>
        </is>
      </c>
      <c r="B9" s="6" t="inlineStr">
        <is>
          <t>短期入所生活介護</t>
        </is>
      </c>
      <c r="C9" s="7" t="n">
        <v>542</v>
      </c>
      <c r="D9" s="8" t="n">
        <v>42000.963</v>
      </c>
      <c r="E9" s="7" t="n">
        <v>77492.5516605166</v>
      </c>
      <c r="F9" s="7" t="n">
        <v>360</v>
      </c>
      <c r="G9" s="8" t="n">
        <v>27833.736</v>
      </c>
      <c r="H9" s="7" t="n">
        <v>77315.93333333333</v>
      </c>
      <c r="I9" s="7" t="n">
        <v>418</v>
      </c>
      <c r="J9" s="8" t="n">
        <v>33592.131</v>
      </c>
      <c r="K9" s="7" t="n">
        <v>80363.94976076555</v>
      </c>
      <c r="L9" s="7" t="n">
        <v>345</v>
      </c>
      <c r="M9" s="8" t="n">
        <v>25408.337</v>
      </c>
      <c r="N9" s="7" t="n">
        <v>73647.35362318841</v>
      </c>
      <c r="O9" s="7" t="n">
        <v>357</v>
      </c>
      <c r="P9" s="8" t="n">
        <v>27393.691</v>
      </c>
      <c r="Q9" s="7" t="n">
        <v>76733.02801120449</v>
      </c>
      <c r="R9" s="6" t="inlineStr">
        <is>
          <t>-1.0％</t>
        </is>
      </c>
      <c r="S9" s="6" t="inlineStr">
        <is>
          <t>5年度／6年度／7年度</t>
        </is>
      </c>
      <c r="T9" s="9" t="inlineStr">
        <is>
          <t>令和5〜7年度の3年平均</t>
        </is>
      </c>
    </row>
    <row r="10">
      <c r="A10" s="6" t="inlineStr">
        <is>
          <t>居宅</t>
        </is>
      </c>
      <c r="B10" s="6" t="inlineStr">
        <is>
          <t>短期入所療養介護（介護老人保健施設）</t>
        </is>
      </c>
      <c r="C10" s="7" t="n">
        <v>47</v>
      </c>
      <c r="D10" s="8" t="n">
        <v>5008.482</v>
      </c>
      <c r="E10" s="7" t="n">
        <v>106563.4468085106</v>
      </c>
      <c r="F10" s="7" t="n">
        <v>22</v>
      </c>
      <c r="G10" s="8" t="n">
        <v>2039.463</v>
      </c>
      <c r="H10" s="7" t="n">
        <v>92702.86363636363</v>
      </c>
      <c r="I10" s="7" t="n">
        <v>35</v>
      </c>
      <c r="J10" s="8" t="n">
        <v>2048.688</v>
      </c>
      <c r="K10" s="7" t="n">
        <v>58533.94285714286</v>
      </c>
      <c r="L10" s="7" t="n">
        <v>13</v>
      </c>
      <c r="M10" s="8" t="n">
        <v>1218.78</v>
      </c>
      <c r="N10" s="7" t="n">
        <v>93752.30769230769</v>
      </c>
      <c r="O10" s="7" t="n">
        <v>27</v>
      </c>
      <c r="P10" s="8" t="n">
        <v>2327.634</v>
      </c>
      <c r="Q10" s="7" t="n">
        <v>86208.66666666667</v>
      </c>
      <c r="R10" s="6" t="inlineStr">
        <is>
          <t>-19.1％</t>
        </is>
      </c>
      <c r="S10" s="6" t="inlineStr">
        <is>
          <t>5年度／6年度／7年度</t>
        </is>
      </c>
      <c r="T10" s="9" t="inlineStr">
        <is>
          <t>令和5〜7年度の3年平均</t>
        </is>
      </c>
    </row>
    <row r="11">
      <c r="A11" s="6" t="inlineStr">
        <is>
          <t>居宅</t>
        </is>
      </c>
      <c r="B11" s="6" t="inlineStr">
        <is>
          <t>短期入所療養介護（病院等）</t>
        </is>
      </c>
      <c r="C11" s="7" t="n">
        <v>0</v>
      </c>
      <c r="D11" s="8" t="n">
        <v>0</v>
      </c>
      <c r="E11" s="7" t="n"/>
      <c r="F11" s="7" t="n">
        <v>0</v>
      </c>
      <c r="G11" s="8" t="n">
        <v>0</v>
      </c>
      <c r="H11" s="7" t="n"/>
      <c r="I11" s="7" t="n">
        <v>0</v>
      </c>
      <c r="J11" s="8" t="n">
        <v>0</v>
      </c>
      <c r="K11" s="7" t="n"/>
      <c r="L11" s="7" t="n">
        <v>0</v>
      </c>
      <c r="M11" s="8" t="n">
        <v>0</v>
      </c>
      <c r="N11" s="7" t="n"/>
      <c r="O11" s="7" t="n">
        <v>0</v>
      </c>
      <c r="P11" s="8" t="n">
        <v>0</v>
      </c>
      <c r="Q11" s="7" t="n"/>
      <c r="R11" s="6" t="inlineStr">
        <is>
          <t>―</t>
        </is>
      </c>
      <c r="S11" s="6" t="inlineStr">
        <is>
          <t>5年度／6年度／7年度</t>
        </is>
      </c>
      <c r="T11" s="9" t="inlineStr">
        <is>
          <t>令和5〜7年度の3年平均</t>
        </is>
      </c>
    </row>
    <row r="12">
      <c r="A12" s="6" t="inlineStr">
        <is>
          <t>居宅</t>
        </is>
      </c>
      <c r="B12" s="6" t="inlineStr">
        <is>
          <t>短期入所療養介護（介護医療院）</t>
        </is>
      </c>
      <c r="C12" s="7" t="n">
        <v>0</v>
      </c>
      <c r="D12" s="8" t="n">
        <v>0</v>
      </c>
      <c r="E12" s="7" t="n"/>
      <c r="F12" s="7" t="n">
        <v>0</v>
      </c>
      <c r="G12" s="8" t="n">
        <v>0</v>
      </c>
      <c r="H12" s="7" t="n"/>
      <c r="I12" s="7" t="n">
        <v>0</v>
      </c>
      <c r="J12" s="8" t="n">
        <v>0</v>
      </c>
      <c r="K12" s="7" t="n"/>
      <c r="L12" s="7" t="n">
        <v>0</v>
      </c>
      <c r="M12" s="8" t="n">
        <v>0</v>
      </c>
      <c r="N12" s="7" t="n"/>
      <c r="O12" s="7" t="n">
        <v>0</v>
      </c>
      <c r="P12" s="8" t="n">
        <v>0</v>
      </c>
      <c r="Q12" s="7" t="n"/>
      <c r="R12" s="6" t="inlineStr">
        <is>
          <t>―</t>
        </is>
      </c>
      <c r="S12" s="6" t="inlineStr">
        <is>
          <t>5年度／6年度／7年度</t>
        </is>
      </c>
      <c r="T12" s="9" t="inlineStr">
        <is>
          <t>令和5〜7年度の3年平均</t>
        </is>
      </c>
    </row>
    <row r="13">
      <c r="A13" s="6" t="inlineStr">
        <is>
          <t>居宅</t>
        </is>
      </c>
      <c r="B13" s="6" t="inlineStr">
        <is>
          <t>福祉用具貸与</t>
        </is>
      </c>
      <c r="C13" s="7" t="n">
        <v>2241</v>
      </c>
      <c r="D13" s="8" t="n">
        <v>28071.122</v>
      </c>
      <c r="E13" s="7" t="n">
        <v>12526.15885765283</v>
      </c>
      <c r="F13" s="7" t="n">
        <v>2350</v>
      </c>
      <c r="G13" s="8" t="n">
        <v>29595.714</v>
      </c>
      <c r="H13" s="7" t="n">
        <v>12593.92085106383</v>
      </c>
      <c r="I13" s="7" t="n">
        <v>2362</v>
      </c>
      <c r="J13" s="8" t="n">
        <v>29421.794</v>
      </c>
      <c r="K13" s="7" t="n">
        <v>12456.30567315834</v>
      </c>
      <c r="L13" s="7" t="n">
        <v>2444</v>
      </c>
      <c r="M13" s="8" t="n">
        <v>30679.002</v>
      </c>
      <c r="N13" s="7" t="n">
        <v>12552.78314238953</v>
      </c>
      <c r="O13" s="7" t="n">
        <v>2387</v>
      </c>
      <c r="P13" s="8" t="n">
        <v>31304.782</v>
      </c>
      <c r="Q13" s="7" t="n">
        <v>13114.69710934227</v>
      </c>
      <c r="R13" s="6" t="inlineStr">
        <is>
          <t>+4.7％</t>
        </is>
      </c>
      <c r="S13" s="6" t="inlineStr">
        <is>
          <t>5年度／6年度／7年度</t>
        </is>
      </c>
      <c r="T13" s="9" t="inlineStr">
        <is>
          <t>令和5〜7年度の3年平均</t>
        </is>
      </c>
    </row>
    <row r="14">
      <c r="A14" s="6" t="inlineStr">
        <is>
          <t>居宅</t>
        </is>
      </c>
      <c r="B14" s="6" t="inlineStr">
        <is>
          <t>特定福祉用具販売</t>
        </is>
      </c>
      <c r="C14" s="7" t="n">
        <v>32</v>
      </c>
      <c r="D14" s="8" t="n">
        <v>871.282</v>
      </c>
      <c r="E14" s="7" t="n">
        <v>27227.5625</v>
      </c>
      <c r="F14" s="7" t="n">
        <v>35</v>
      </c>
      <c r="G14" s="8" t="n">
        <v>1140.92</v>
      </c>
      <c r="H14" s="7" t="n">
        <v>32597.71428571429</v>
      </c>
      <c r="I14" s="7" t="n">
        <v>35</v>
      </c>
      <c r="J14" s="8" t="n">
        <v>1138.253</v>
      </c>
      <c r="K14" s="7" t="n">
        <v>32521.51428571429</v>
      </c>
      <c r="L14" s="7" t="n">
        <v>38</v>
      </c>
      <c r="M14" s="8" t="n">
        <v>1345.836</v>
      </c>
      <c r="N14" s="7" t="n">
        <v>35416.73684210526</v>
      </c>
      <c r="O14" s="7" t="n">
        <v>45</v>
      </c>
      <c r="P14" s="8" t="n">
        <v>1722.55</v>
      </c>
      <c r="Q14" s="7" t="n">
        <v>38278.88888888889</v>
      </c>
      <c r="R14" s="6" t="inlineStr">
        <is>
          <t>+40.6％</t>
        </is>
      </c>
      <c r="S14" s="6" t="inlineStr">
        <is>
          <t>6年度／7年度</t>
        </is>
      </c>
      <c r="T14" s="9" t="inlineStr">
        <is>
          <t>令和6年度から様式2に計上。2年平均</t>
        </is>
      </c>
    </row>
    <row r="15">
      <c r="A15" s="6" t="inlineStr">
        <is>
          <t>居宅</t>
        </is>
      </c>
      <c r="B15" s="6" t="inlineStr">
        <is>
          <t>住宅改修</t>
        </is>
      </c>
      <c r="C15" s="7" t="n">
        <v>24</v>
      </c>
      <c r="D15" s="8" t="n">
        <v>2591.465</v>
      </c>
      <c r="E15" s="7" t="n">
        <v>107977.7083333333</v>
      </c>
      <c r="F15" s="7" t="n">
        <v>25</v>
      </c>
      <c r="G15" s="8" t="n">
        <v>3343.228</v>
      </c>
      <c r="H15" s="7" t="n">
        <v>133729.12</v>
      </c>
      <c r="I15" s="7" t="n">
        <v>20</v>
      </c>
      <c r="J15" s="8" t="n">
        <v>1569.425</v>
      </c>
      <c r="K15" s="7" t="n">
        <v>78471.25</v>
      </c>
      <c r="L15" s="7" t="n">
        <v>30</v>
      </c>
      <c r="M15" s="8" t="n">
        <v>2244.181</v>
      </c>
      <c r="N15" s="7" t="n">
        <v>74806.03333333334</v>
      </c>
      <c r="O15" s="7" t="n">
        <v>22</v>
      </c>
      <c r="P15" s="8" t="n">
        <v>1812.993</v>
      </c>
      <c r="Q15" s="7" t="n">
        <v>82408.77272727272</v>
      </c>
      <c r="R15" s="6" t="inlineStr">
        <is>
          <t>-23.7％</t>
        </is>
      </c>
      <c r="S15" s="6" t="inlineStr">
        <is>
          <t>6年度／7年度</t>
        </is>
      </c>
      <c r="T15" s="9" t="inlineStr">
        <is>
          <t>令和6年度から様式2に計上。2年平均</t>
        </is>
      </c>
    </row>
    <row r="16">
      <c r="A16" s="6" t="inlineStr">
        <is>
          <t>居宅</t>
        </is>
      </c>
      <c r="B16" s="6" t="inlineStr">
        <is>
          <t>特定施設入居者生活介護</t>
        </is>
      </c>
      <c r="C16" s="7" t="n">
        <v>49</v>
      </c>
      <c r="D16" s="8" t="n">
        <v>9042.462</v>
      </c>
      <c r="E16" s="7" t="n">
        <v>184540.0408163265</v>
      </c>
      <c r="F16" s="7" t="n">
        <v>32</v>
      </c>
      <c r="G16" s="8" t="n">
        <v>5778.891</v>
      </c>
      <c r="H16" s="7" t="n">
        <v>180590.34375</v>
      </c>
      <c r="I16" s="7" t="n">
        <v>32</v>
      </c>
      <c r="J16" s="8" t="n">
        <v>5792.083</v>
      </c>
      <c r="K16" s="7" t="n">
        <v>181002.59375</v>
      </c>
      <c r="L16" s="7" t="n">
        <v>51</v>
      </c>
      <c r="M16" s="8" t="n">
        <v>9985.370000000001</v>
      </c>
      <c r="N16" s="7" t="n">
        <v>195791.568627451</v>
      </c>
      <c r="O16" s="7" t="n">
        <v>45</v>
      </c>
      <c r="P16" s="8" t="n">
        <v>9718.948</v>
      </c>
      <c r="Q16" s="7" t="n">
        <v>215976.6222222222</v>
      </c>
      <c r="R16" s="6" t="inlineStr">
        <is>
          <t>+17.0％</t>
        </is>
      </c>
      <c r="S16" s="6" t="inlineStr">
        <is>
          <t>5年度／6年度／7年度</t>
        </is>
      </c>
      <c r="T16" s="9" t="inlineStr">
        <is>
          <t>令和5〜7年度の3年平均</t>
        </is>
      </c>
    </row>
    <row r="17">
      <c r="A17" s="6" t="inlineStr">
        <is>
          <t>居宅</t>
        </is>
      </c>
      <c r="B17" s="6" t="inlineStr">
        <is>
          <t>居宅介護支援・介護予防支援</t>
        </is>
      </c>
      <c r="C17" s="7" t="n">
        <v>3406</v>
      </c>
      <c r="D17" s="8" t="n">
        <v>51550.12</v>
      </c>
      <c r="E17" s="7" t="n">
        <v>15135.09101585437</v>
      </c>
      <c r="F17" s="7" t="n">
        <v>3285</v>
      </c>
      <c r="G17" s="8" t="n">
        <v>49934.878</v>
      </c>
      <c r="H17" s="7" t="n">
        <v>15200.87610350076</v>
      </c>
      <c r="I17" s="7" t="n">
        <v>3204</v>
      </c>
      <c r="J17" s="8" t="n">
        <v>50346.845</v>
      </c>
      <c r="K17" s="7" t="n">
        <v>15713.74687890137</v>
      </c>
      <c r="L17" s="7" t="n">
        <v>3222</v>
      </c>
      <c r="M17" s="8" t="n">
        <v>50941.163</v>
      </c>
      <c r="N17" s="7" t="n">
        <v>15810.41682184978</v>
      </c>
      <c r="O17" s="7" t="n">
        <v>3036</v>
      </c>
      <c r="P17" s="8" t="n">
        <v>48080.693</v>
      </c>
      <c r="Q17" s="7" t="n">
        <v>15836.85540184453</v>
      </c>
      <c r="R17" s="6" t="inlineStr">
        <is>
          <t>+4.6％</t>
        </is>
      </c>
      <c r="S17" s="6" t="inlineStr">
        <is>
          <t>5年度／6年度／7年度</t>
        </is>
      </c>
      <c r="T17" s="9" t="inlineStr">
        <is>
          <t>令和5〜7年度の3年平均</t>
        </is>
      </c>
    </row>
    <row r="18">
      <c r="A18" s="6" t="inlineStr">
        <is>
          <t>地域密着型</t>
        </is>
      </c>
      <c r="B18" s="6" t="inlineStr">
        <is>
          <t>定期巡回・随時対応型訪問介護看護</t>
        </is>
      </c>
      <c r="C18" s="7" t="n">
        <v>83</v>
      </c>
      <c r="D18" s="8" t="n">
        <v>9632.987999999999</v>
      </c>
      <c r="E18" s="7" t="n">
        <v>116060.0963855422</v>
      </c>
      <c r="F18" s="7" t="n">
        <v>33</v>
      </c>
      <c r="G18" s="8" t="n">
        <v>4209.327</v>
      </c>
      <c r="H18" s="7" t="n">
        <v>127555.3636363636</v>
      </c>
      <c r="I18" s="7" t="n">
        <v>43</v>
      </c>
      <c r="J18" s="8" t="n">
        <v>5488.704</v>
      </c>
      <c r="K18" s="7" t="n">
        <v>127644.2790697674</v>
      </c>
      <c r="L18" s="7" t="n">
        <v>33</v>
      </c>
      <c r="M18" s="8" t="n">
        <v>3429.387</v>
      </c>
      <c r="N18" s="7" t="n">
        <v>103920.8181818182</v>
      </c>
      <c r="O18" s="7" t="n">
        <v>0</v>
      </c>
      <c r="P18" s="8" t="n">
        <v>0</v>
      </c>
      <c r="Q18" s="7" t="n"/>
      <c r="R18" s="6" t="inlineStr">
        <is>
          <t>-10.5％</t>
        </is>
      </c>
      <c r="S18" s="6" t="inlineStr">
        <is>
          <t>7年度</t>
        </is>
      </c>
      <c r="T18" s="9" t="inlineStr">
        <is>
          <t>令和7年度に利用実績が消滅。0で据置</t>
        </is>
      </c>
    </row>
    <row r="19">
      <c r="A19" s="6" t="inlineStr">
        <is>
          <t>地域密着型</t>
        </is>
      </c>
      <c r="B19" s="6" t="inlineStr">
        <is>
          <t>夜間対応型訪問介護</t>
        </is>
      </c>
      <c r="C19" s="7" t="n">
        <v>0</v>
      </c>
      <c r="D19" s="8" t="n">
        <v>0</v>
      </c>
      <c r="E19" s="7" t="n"/>
      <c r="F19" s="7" t="n">
        <v>0</v>
      </c>
      <c r="G19" s="8" t="n">
        <v>0</v>
      </c>
      <c r="H19" s="7" t="n"/>
      <c r="I19" s="7" t="n">
        <v>0</v>
      </c>
      <c r="J19" s="8" t="n">
        <v>0</v>
      </c>
      <c r="K19" s="7" t="n"/>
      <c r="L19" s="7" t="n">
        <v>0</v>
      </c>
      <c r="M19" s="8" t="n">
        <v>0</v>
      </c>
      <c r="N19" s="7" t="n"/>
      <c r="O19" s="7" t="n">
        <v>0</v>
      </c>
      <c r="P19" s="8" t="n">
        <v>0</v>
      </c>
      <c r="Q19" s="7" t="n"/>
      <c r="R19" s="6" t="inlineStr">
        <is>
          <t>―</t>
        </is>
      </c>
      <c r="S19" s="6" t="inlineStr">
        <is>
          <t>5年度／6年度／7年度</t>
        </is>
      </c>
      <c r="T19" s="9" t="inlineStr">
        <is>
          <t>令和5〜7年度の3年平均</t>
        </is>
      </c>
    </row>
    <row r="20">
      <c r="A20" s="6" t="inlineStr">
        <is>
          <t>地域密着型</t>
        </is>
      </c>
      <c r="B20" s="6" t="inlineStr">
        <is>
          <t>地域密着型通所介護</t>
        </is>
      </c>
      <c r="C20" s="7" t="n">
        <v>14</v>
      </c>
      <c r="D20" s="8" t="n">
        <v>1159.839</v>
      </c>
      <c r="E20" s="7" t="n">
        <v>82845.64285714286</v>
      </c>
      <c r="F20" s="7" t="n">
        <v>10</v>
      </c>
      <c r="G20" s="8" t="n">
        <v>906.822</v>
      </c>
      <c r="H20" s="7" t="n">
        <v>90682.2</v>
      </c>
      <c r="I20" s="7" t="n">
        <v>1</v>
      </c>
      <c r="J20" s="8" t="n">
        <v>11.115</v>
      </c>
      <c r="K20" s="7" t="n">
        <v>11115</v>
      </c>
      <c r="L20" s="7" t="n">
        <v>0</v>
      </c>
      <c r="M20" s="8" t="n">
        <v>0</v>
      </c>
      <c r="N20" s="7" t="n"/>
      <c r="O20" s="7" t="n">
        <v>0</v>
      </c>
      <c r="P20" s="8" t="n">
        <v>0</v>
      </c>
      <c r="Q20" s="7" t="n"/>
      <c r="R20" s="6" t="inlineStr">
        <is>
          <t>-86.6％</t>
        </is>
      </c>
      <c r="S20" s="6" t="inlineStr">
        <is>
          <t>7年度</t>
        </is>
      </c>
      <c r="T20" s="9" t="inlineStr">
        <is>
          <t>令和5年度以降ほぼ実績なし。0で据置</t>
        </is>
      </c>
    </row>
    <row r="21">
      <c r="A21" s="6" t="inlineStr">
        <is>
          <t>地域密着型</t>
        </is>
      </c>
      <c r="B21" s="6" t="inlineStr">
        <is>
          <t>認知症対応型通所介護</t>
        </is>
      </c>
      <c r="C21" s="7" t="n">
        <v>179</v>
      </c>
      <c r="D21" s="8" t="n">
        <v>20971.566</v>
      </c>
      <c r="E21" s="7" t="n">
        <v>117159.5865921788</v>
      </c>
      <c r="F21" s="7" t="n">
        <v>213</v>
      </c>
      <c r="G21" s="8" t="n">
        <v>21954.645</v>
      </c>
      <c r="H21" s="7" t="n">
        <v>103073.4507042254</v>
      </c>
      <c r="I21" s="7" t="n">
        <v>102</v>
      </c>
      <c r="J21" s="8" t="n">
        <v>11313.144</v>
      </c>
      <c r="K21" s="7" t="n">
        <v>110913.1764705882</v>
      </c>
      <c r="L21" s="7" t="n">
        <v>89</v>
      </c>
      <c r="M21" s="8" t="n">
        <v>10760.544</v>
      </c>
      <c r="N21" s="7" t="n">
        <v>120904.9887640449</v>
      </c>
      <c r="O21" s="7" t="n">
        <v>115</v>
      </c>
      <c r="P21" s="8" t="n">
        <v>12237.804</v>
      </c>
      <c r="Q21" s="7" t="n">
        <v>106415.6869565217</v>
      </c>
      <c r="R21" s="6" t="inlineStr">
        <is>
          <t>-9.2％</t>
        </is>
      </c>
      <c r="S21" s="6" t="inlineStr">
        <is>
          <t>5年度／6年度／7年度</t>
        </is>
      </c>
      <c r="T21" s="9" t="inlineStr">
        <is>
          <t>令和5〜7年度の3年平均</t>
        </is>
      </c>
    </row>
    <row r="22">
      <c r="A22" s="6" t="inlineStr">
        <is>
          <t>地域密着型</t>
        </is>
      </c>
      <c r="B22" s="6" t="inlineStr">
        <is>
          <t>小規模多機能型居宅介護</t>
        </is>
      </c>
      <c r="C22" s="7" t="n">
        <v>353</v>
      </c>
      <c r="D22" s="8" t="n">
        <v>61660.961</v>
      </c>
      <c r="E22" s="7" t="n">
        <v>174676.9433427762</v>
      </c>
      <c r="F22" s="7" t="n">
        <v>307</v>
      </c>
      <c r="G22" s="8" t="n">
        <v>56524.176</v>
      </c>
      <c r="H22" s="7" t="n">
        <v>184117.8371335505</v>
      </c>
      <c r="I22" s="7" t="n">
        <v>310</v>
      </c>
      <c r="J22" s="8" t="n">
        <v>52635.375</v>
      </c>
      <c r="K22" s="7" t="n">
        <v>169791.5322580645</v>
      </c>
      <c r="L22" s="7" t="n">
        <v>321</v>
      </c>
      <c r="M22" s="8" t="n">
        <v>54142.704</v>
      </c>
      <c r="N22" s="7" t="n">
        <v>168668.8598130841</v>
      </c>
      <c r="O22" s="7" t="n">
        <v>270</v>
      </c>
      <c r="P22" s="8" t="n">
        <v>49578.822</v>
      </c>
      <c r="Q22" s="7" t="n">
        <v>183625.2666666667</v>
      </c>
      <c r="R22" s="6" t="inlineStr">
        <is>
          <t>+5.1％</t>
        </is>
      </c>
      <c r="S22" s="6" t="inlineStr">
        <is>
          <t>5年度／6年度／7年度</t>
        </is>
      </c>
      <c r="T22" s="9" t="inlineStr">
        <is>
          <t>令和5〜7年度の3年平均</t>
        </is>
      </c>
    </row>
    <row r="23">
      <c r="A23" s="6" t="inlineStr">
        <is>
          <t>地域密着型</t>
        </is>
      </c>
      <c r="B23" s="6" t="inlineStr">
        <is>
          <t>認知症対応型共同生活介護</t>
        </is>
      </c>
      <c r="C23" s="7" t="n">
        <v>591</v>
      </c>
      <c r="D23" s="8" t="n">
        <v>143993.183</v>
      </c>
      <c r="E23" s="7" t="n">
        <v>243643.2876480542</v>
      </c>
      <c r="F23" s="7" t="n">
        <v>681</v>
      </c>
      <c r="G23" s="8" t="n">
        <v>170102.762</v>
      </c>
      <c r="H23" s="7" t="n">
        <v>249783.7914831131</v>
      </c>
      <c r="I23" s="7" t="n">
        <v>611</v>
      </c>
      <c r="J23" s="8" t="n">
        <v>155473.435</v>
      </c>
      <c r="K23" s="7" t="n">
        <v>254457.3404255319</v>
      </c>
      <c r="L23" s="7" t="n">
        <v>609</v>
      </c>
      <c r="M23" s="8" t="n">
        <v>155374.454</v>
      </c>
      <c r="N23" s="7" t="n">
        <v>255130.4663382594</v>
      </c>
      <c r="O23" s="7" t="n">
        <v>537</v>
      </c>
      <c r="P23" s="8" t="n">
        <v>134380.035</v>
      </c>
      <c r="Q23" s="7" t="n">
        <v>250242.1508379888</v>
      </c>
      <c r="R23" s="6" t="inlineStr">
        <is>
          <t>+2.7％</t>
        </is>
      </c>
      <c r="S23" s="6" t="inlineStr">
        <is>
          <t>7年度</t>
        </is>
      </c>
      <c r="T23" s="9" t="inlineStr">
        <is>
          <t>令和5→7年度で▲13.6％の単調減。令和8年度の月報も月41.3件とさらに低い。3年平均だと令和7年度実績を9.8％上回るため直近年度で置く</t>
        </is>
      </c>
    </row>
    <row r="24">
      <c r="A24" s="6" t="inlineStr">
        <is>
          <t>地域密着型</t>
        </is>
      </c>
      <c r="B24" s="6" t="inlineStr">
        <is>
          <t>地域密着型特定施設入居者生活介護</t>
        </is>
      </c>
      <c r="C24" s="7" t="n">
        <v>0</v>
      </c>
      <c r="D24" s="8" t="n">
        <v>0</v>
      </c>
      <c r="E24" s="7" t="n"/>
      <c r="F24" s="7" t="n">
        <v>0</v>
      </c>
      <c r="G24" s="8" t="n">
        <v>0</v>
      </c>
      <c r="H24" s="7" t="n"/>
      <c r="I24" s="7" t="n">
        <v>0</v>
      </c>
      <c r="J24" s="8" t="n">
        <v>0</v>
      </c>
      <c r="K24" s="7" t="n"/>
      <c r="L24" s="7" t="n">
        <v>0</v>
      </c>
      <c r="M24" s="8" t="n">
        <v>0</v>
      </c>
      <c r="N24" s="7" t="n"/>
      <c r="O24" s="7" t="n">
        <v>0</v>
      </c>
      <c r="P24" s="8" t="n">
        <v>0</v>
      </c>
      <c r="Q24" s="7" t="n"/>
      <c r="R24" s="6" t="inlineStr">
        <is>
          <t>―</t>
        </is>
      </c>
      <c r="S24" s="6" t="inlineStr">
        <is>
          <t>5年度／6年度／7年度</t>
        </is>
      </c>
      <c r="T24" s="9" t="inlineStr">
        <is>
          <t>令和5〜7年度の3年平均</t>
        </is>
      </c>
    </row>
    <row r="25">
      <c r="A25" s="6" t="inlineStr">
        <is>
          <t>地域密着型</t>
        </is>
      </c>
      <c r="B25" s="6" t="inlineStr">
        <is>
          <t>地域密着型介護老人福祉施設入所者生活介護</t>
        </is>
      </c>
      <c r="C25" s="7" t="n">
        <v>571</v>
      </c>
      <c r="D25" s="8" t="n">
        <v>134022.197</v>
      </c>
      <c r="E25" s="7" t="n">
        <v>234714.880910683</v>
      </c>
      <c r="F25" s="7" t="n">
        <v>571</v>
      </c>
      <c r="G25" s="8" t="n">
        <v>132128.882</v>
      </c>
      <c r="H25" s="7" t="n">
        <v>231399.0928196147</v>
      </c>
      <c r="I25" s="7" t="n">
        <v>565</v>
      </c>
      <c r="J25" s="8" t="n">
        <v>133929.248</v>
      </c>
      <c r="K25" s="7" t="n">
        <v>237042.9168141593</v>
      </c>
      <c r="L25" s="7" t="n">
        <v>520</v>
      </c>
      <c r="M25" s="8" t="n">
        <v>131702.338</v>
      </c>
      <c r="N25" s="7" t="n">
        <v>253273.7269230769</v>
      </c>
      <c r="O25" s="7" t="n">
        <v>496</v>
      </c>
      <c r="P25" s="8" t="n">
        <v>126349.617</v>
      </c>
      <c r="Q25" s="7" t="n">
        <v>254737.1310483871</v>
      </c>
      <c r="R25" s="6" t="inlineStr">
        <is>
          <t>+8.5％</t>
        </is>
      </c>
      <c r="S25" s="6" t="inlineStr">
        <is>
          <t>5年度／6年度／7年度</t>
        </is>
      </c>
      <c r="T25" s="9" t="inlineStr">
        <is>
          <t>令和5〜7年度の3年平均</t>
        </is>
      </c>
    </row>
    <row r="26">
      <c r="A26" s="6" t="inlineStr">
        <is>
          <t>地域密着型</t>
        </is>
      </c>
      <c r="B26" s="6" t="inlineStr">
        <is>
          <t>看護小規模多機能型居宅介護</t>
        </is>
      </c>
      <c r="C26" s="7" t="n">
        <v>0</v>
      </c>
      <c r="D26" s="8" t="n">
        <v>0</v>
      </c>
      <c r="E26" s="7" t="n"/>
      <c r="F26" s="7" t="n">
        <v>0</v>
      </c>
      <c r="G26" s="8" t="n">
        <v>0</v>
      </c>
      <c r="H26" s="7" t="n"/>
      <c r="I26" s="7" t="n">
        <v>0</v>
      </c>
      <c r="J26" s="8" t="n">
        <v>0</v>
      </c>
      <c r="K26" s="7" t="n"/>
      <c r="L26" s="7" t="n">
        <v>0</v>
      </c>
      <c r="M26" s="8" t="n">
        <v>0</v>
      </c>
      <c r="N26" s="7" t="n"/>
      <c r="O26" s="7" t="n">
        <v>0</v>
      </c>
      <c r="P26" s="8" t="n">
        <v>0</v>
      </c>
      <c r="Q26" s="7" t="n"/>
      <c r="R26" s="6" t="inlineStr">
        <is>
          <t>―</t>
        </is>
      </c>
      <c r="S26" s="6" t="inlineStr">
        <is>
          <t>5年度／6年度／7年度</t>
        </is>
      </c>
      <c r="T26" s="9" t="inlineStr">
        <is>
          <t>令和5〜7年度の3年平均</t>
        </is>
      </c>
    </row>
    <row r="27">
      <c r="A27" s="6" t="inlineStr">
        <is>
          <t>施設</t>
        </is>
      </c>
      <c r="B27" s="6" t="inlineStr">
        <is>
          <t>介護老人福祉施設</t>
        </is>
      </c>
      <c r="C27" s="7" t="n">
        <v>732</v>
      </c>
      <c r="D27" s="8" t="n">
        <v>182966.333</v>
      </c>
      <c r="E27" s="7" t="n">
        <v>249954.0068306011</v>
      </c>
      <c r="F27" s="7" t="n">
        <v>715</v>
      </c>
      <c r="G27" s="8" t="n">
        <v>173985.629</v>
      </c>
      <c r="H27" s="7" t="n">
        <v>243336.544055944</v>
      </c>
      <c r="I27" s="7" t="n">
        <v>781</v>
      </c>
      <c r="J27" s="8" t="n">
        <v>193045.155</v>
      </c>
      <c r="K27" s="7" t="n">
        <v>247176.895006402</v>
      </c>
      <c r="L27" s="7" t="n">
        <v>866</v>
      </c>
      <c r="M27" s="8" t="n">
        <v>219177.39</v>
      </c>
      <c r="N27" s="7" t="n">
        <v>253091.6743648961</v>
      </c>
      <c r="O27" s="7" t="n">
        <v>827</v>
      </c>
      <c r="P27" s="8" t="n">
        <v>204849.64</v>
      </c>
      <c r="Q27" s="7" t="n">
        <v>247702.1039903265</v>
      </c>
      <c r="R27" s="6" t="inlineStr">
        <is>
          <t>-0.9％</t>
        </is>
      </c>
      <c r="S27" s="6" t="inlineStr">
        <is>
          <t>5年度／6年度／7年度</t>
        </is>
      </c>
      <c r="T27" s="9" t="inlineStr">
        <is>
          <t>令和5〜7年度の3年平均</t>
        </is>
      </c>
    </row>
    <row r="28">
      <c r="A28" s="6" t="inlineStr">
        <is>
          <t>施設</t>
        </is>
      </c>
      <c r="B28" s="6" t="inlineStr">
        <is>
          <t>介護老人保健施設</t>
        </is>
      </c>
      <c r="C28" s="7" t="n">
        <v>354</v>
      </c>
      <c r="D28" s="8" t="n">
        <v>97209.19</v>
      </c>
      <c r="E28" s="7" t="n">
        <v>274602.2316384181</v>
      </c>
      <c r="F28" s="7" t="n">
        <v>328</v>
      </c>
      <c r="G28" s="8" t="n">
        <v>90967.914</v>
      </c>
      <c r="H28" s="7" t="n">
        <v>277341.2012195122</v>
      </c>
      <c r="I28" s="7" t="n">
        <v>308</v>
      </c>
      <c r="J28" s="8" t="n">
        <v>84204.239</v>
      </c>
      <c r="K28" s="7" t="n">
        <v>273390.3863636364</v>
      </c>
      <c r="L28" s="7" t="n">
        <v>426</v>
      </c>
      <c r="M28" s="8" t="n">
        <v>116436.979</v>
      </c>
      <c r="N28" s="7" t="n">
        <v>273326.2417840376</v>
      </c>
      <c r="O28" s="7" t="n">
        <v>343</v>
      </c>
      <c r="P28" s="8" t="n">
        <v>92523.077</v>
      </c>
      <c r="Q28" s="7" t="n">
        <v>269746.5801749271</v>
      </c>
      <c r="R28" s="6" t="inlineStr">
        <is>
          <t>-1.8％</t>
        </is>
      </c>
      <c r="S28" s="6" t="inlineStr">
        <is>
          <t>5年度／6年度／7年度</t>
        </is>
      </c>
      <c r="T28" s="9" t="inlineStr">
        <is>
          <t>令和5〜7年度の3年平均</t>
        </is>
      </c>
    </row>
    <row r="29">
      <c r="A29" s="6" t="inlineStr">
        <is>
          <t>施設</t>
        </is>
      </c>
      <c r="B29" s="6" t="inlineStr">
        <is>
          <t>介護療養型医療施設</t>
        </is>
      </c>
      <c r="C29" s="7" t="n">
        <v>12</v>
      </c>
      <c r="D29" s="8" t="n">
        <v>3570.723</v>
      </c>
      <c r="E29" s="7" t="n">
        <v>297560.25</v>
      </c>
      <c r="F29" s="7" t="n">
        <v>0</v>
      </c>
      <c r="G29" s="8" t="n">
        <v>0</v>
      </c>
      <c r="H29" s="7" t="n"/>
      <c r="I29" s="7" t="n">
        <v>0</v>
      </c>
      <c r="J29" s="8" t="n">
        <v>0</v>
      </c>
      <c r="K29" s="7" t="n"/>
      <c r="L29" s="7" t="n">
        <v>0</v>
      </c>
      <c r="M29" s="8" t="n">
        <v>0</v>
      </c>
      <c r="N29" s="7" t="n"/>
      <c r="O29" s="7" t="n">
        <v>0</v>
      </c>
      <c r="P29" s="8" t="n">
        <v>0</v>
      </c>
      <c r="Q29" s="7" t="n"/>
      <c r="R29" s="6" t="inlineStr">
        <is>
          <t>―</t>
        </is>
      </c>
      <c r="S29" s="6" t="inlineStr">
        <is>
          <t>7年度</t>
        </is>
      </c>
      <c r="T29" s="9" t="inlineStr">
        <is>
          <t>令和5年度末で制度廃止。0で据置</t>
        </is>
      </c>
    </row>
    <row r="30">
      <c r="A30" s="6" t="inlineStr">
        <is>
          <t>施設</t>
        </is>
      </c>
      <c r="B30" s="6" t="inlineStr">
        <is>
          <t>介護医療院</t>
        </is>
      </c>
      <c r="C30" s="7" t="n">
        <v>1</v>
      </c>
      <c r="D30" s="8" t="n">
        <v>186.176</v>
      </c>
      <c r="E30" s="7" t="n">
        <v>186176</v>
      </c>
      <c r="F30" s="7" t="n">
        <v>1</v>
      </c>
      <c r="G30" s="8" t="n">
        <v>41.382</v>
      </c>
      <c r="H30" s="7" t="n">
        <v>41382</v>
      </c>
      <c r="I30" s="7" t="n">
        <v>0</v>
      </c>
      <c r="J30" s="8" t="n">
        <v>0</v>
      </c>
      <c r="K30" s="7" t="n"/>
      <c r="L30" s="7" t="n">
        <v>1</v>
      </c>
      <c r="M30" s="8" t="n">
        <v>305.802</v>
      </c>
      <c r="N30" s="7" t="n">
        <v>305802</v>
      </c>
      <c r="O30" s="7" t="n">
        <v>14</v>
      </c>
      <c r="P30" s="8" t="n">
        <v>4309.632</v>
      </c>
      <c r="Q30" s="7" t="n">
        <v>307830.8571428572</v>
      </c>
      <c r="R30" s="6" t="inlineStr">
        <is>
          <t>+65.3％</t>
        </is>
      </c>
      <c r="S30" s="6" t="inlineStr">
        <is>
          <t>7年度</t>
        </is>
      </c>
      <c r="T30" s="9" t="inlineStr">
        <is>
          <t>令和6年度1件から令和7年度14件へ。入所が定着したとみて直近年度で置く</t>
        </is>
      </c>
    </row>
    <row r="31">
      <c r="A31" s="10" t="inlineStr">
        <is>
          <t>合計</t>
        </is>
      </c>
      <c r="B31" s="10" t="inlineStr"/>
      <c r="C31" s="11" t="n">
        <v>14092</v>
      </c>
      <c r="D31" s="12" t="n">
        <v>1040505.972</v>
      </c>
      <c r="E31" s="11" t="n">
        <v>73836.64291796763</v>
      </c>
      <c r="F31" s="11" t="n">
        <v>13432</v>
      </c>
      <c r="G31" s="12" t="n">
        <v>995835.789</v>
      </c>
      <c r="H31" s="11" t="n">
        <v>74139.05516676593</v>
      </c>
      <c r="I31" s="11" t="n">
        <v>12948</v>
      </c>
      <c r="J31" s="12" t="n">
        <v>990570.6580000001</v>
      </c>
      <c r="K31" s="11" t="n">
        <v>76503.75795489652</v>
      </c>
      <c r="L31" s="11" t="n">
        <v>13215</v>
      </c>
      <c r="M31" s="12" t="n">
        <v>1048012.05</v>
      </c>
      <c r="N31" s="11" t="n">
        <v>79304.73325766175</v>
      </c>
      <c r="O31" s="11" t="n">
        <v>12295</v>
      </c>
      <c r="P31" s="12" t="n">
        <v>968627.085</v>
      </c>
      <c r="Q31" s="11" t="n">
        <v>78782.19479463197</v>
      </c>
      <c r="R31" s="10" t="inlineStr"/>
      <c r="S31" s="10" t="inlineStr"/>
      <c r="T31" s="13" t="inlineStr"/>
    </row>
    <row r="33">
      <c r="A33" s="14" t="inlineStr">
        <is>
          <t>※ 介護給付（要介護1〜5）。件数は請求件数であり、月あたり受給者数の年間累計（人月）にあたる。</t>
        </is>
      </c>
    </row>
    <row r="34">
      <c r="A34" s="14" t="inlineStr">
        <is>
          <t>※ 単価は給付費÷件数。1人が1か月そのサービスを使ったときの給付費である。</t>
        </is>
      </c>
    </row>
    <row r="35">
      <c r="A35" s="14" t="inlineStr">
        <is>
          <t>※ 令和6年度に介護報酬が改定された（改定率＋1.59％）。単価の上昇にはこれが含まれる。</t>
        </is>
      </c>
    </row>
    <row r="36">
      <c r="A36" s="14" t="inlineStr">
        <is>
          <t>※ 令和7年度から様式2の表記が「（短期利用以外）」「（短期利用）」に分割されたサービスは合算した。</t>
        </is>
      </c>
    </row>
    <row r="37">
      <c r="A37" s="14" t="inlineStr">
        <is>
          <t>※ 令和5年度までの「福祉用具購入費」「住宅改修費」は令和6年度からの「特定福祉用具販売」「住宅改修」と同一区分として接続した。</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2" customWidth="1" min="2" max="2"/>
    <col width="10" customWidth="1" min="3" max="3"/>
    <col width="13" customWidth="1" min="4" max="4"/>
    <col width="12" customWidth="1" min="5" max="5"/>
    <col width="10" customWidth="1" min="6" max="6"/>
    <col width="13" customWidth="1" min="7" max="7"/>
    <col width="12" customWidth="1" min="8" max="8"/>
    <col width="10" customWidth="1" min="9" max="9"/>
    <col width="13" customWidth="1" min="10" max="10"/>
    <col width="12" customWidth="1" min="11" max="11"/>
    <col width="10" customWidth="1" min="12" max="12"/>
    <col width="13" customWidth="1" min="13" max="13"/>
    <col width="12" customWidth="1" min="14" max="14"/>
    <col width="10" customWidth="1" min="15" max="15"/>
    <col width="13" customWidth="1" min="16" max="16"/>
    <col width="12" customWidth="1" min="17" max="17"/>
    <col width="13" customWidth="1" min="18" max="18"/>
    <col width="20" customWidth="1" min="19" max="19"/>
    <col width="34" customWidth="1" min="20" max="20"/>
  </cols>
  <sheetData>
    <row r="1">
      <c r="A1" s="5" t="inlineStr">
        <is>
          <t>区分</t>
        </is>
      </c>
      <c r="B1" s="5" t="inlineStr">
        <is>
          <t>サービス</t>
        </is>
      </c>
      <c r="C1" s="5" t="inlineStr">
        <is>
          <t>3年度 件数</t>
        </is>
      </c>
      <c r="D1" s="5" t="inlineStr">
        <is>
          <t>3年度 給付費(千円)</t>
        </is>
      </c>
      <c r="E1" s="5" t="inlineStr">
        <is>
          <t>3年度 単価(円/件)</t>
        </is>
      </c>
      <c r="F1" s="5" t="inlineStr">
        <is>
          <t>4年度 件数</t>
        </is>
      </c>
      <c r="G1" s="5" t="inlineStr">
        <is>
          <t>4年度 給付費(千円)</t>
        </is>
      </c>
      <c r="H1" s="5" t="inlineStr">
        <is>
          <t>4年度 単価(円/件)</t>
        </is>
      </c>
      <c r="I1" s="5" t="inlineStr">
        <is>
          <t>5年度 件数</t>
        </is>
      </c>
      <c r="J1" s="5" t="inlineStr">
        <is>
          <t>5年度 給付費(千円)</t>
        </is>
      </c>
      <c r="K1" s="5" t="inlineStr">
        <is>
          <t>5年度 単価(円/件)</t>
        </is>
      </c>
      <c r="L1" s="5" t="inlineStr">
        <is>
          <t>6年度 件数</t>
        </is>
      </c>
      <c r="M1" s="5" t="inlineStr">
        <is>
          <t>6年度 給付費(千円)</t>
        </is>
      </c>
      <c r="N1" s="5" t="inlineStr">
        <is>
          <t>6年度 単価(円/件)</t>
        </is>
      </c>
      <c r="O1" s="5" t="inlineStr">
        <is>
          <t>7年度 件数</t>
        </is>
      </c>
      <c r="P1" s="5" t="inlineStr">
        <is>
          <t>7年度 給付費(千円)</t>
        </is>
      </c>
      <c r="Q1" s="5" t="inlineStr">
        <is>
          <t>7年度 単価(円/件)</t>
        </is>
      </c>
      <c r="R1" s="5" t="inlineStr">
        <is>
          <t>単価の5年変化</t>
        </is>
      </c>
      <c r="S1" s="5" t="inlineStr">
        <is>
          <t>基準期間</t>
        </is>
      </c>
      <c r="T1" s="5" t="inlineStr">
        <is>
          <t>備考</t>
        </is>
      </c>
    </row>
    <row r="2">
      <c r="A2" s="6" t="inlineStr">
        <is>
          <t>居宅</t>
        </is>
      </c>
      <c r="B2" s="6" t="inlineStr">
        <is>
          <t>訪問入浴介護</t>
        </is>
      </c>
      <c r="C2" s="7" t="n">
        <v>0</v>
      </c>
      <c r="D2" s="8" t="n">
        <v>0</v>
      </c>
      <c r="E2" s="7" t="n"/>
      <c r="F2" s="7" t="n">
        <v>0</v>
      </c>
      <c r="G2" s="8" t="n">
        <v>0</v>
      </c>
      <c r="H2" s="7" t="n"/>
      <c r="I2" s="7" t="n">
        <v>0</v>
      </c>
      <c r="J2" s="8" t="n">
        <v>0</v>
      </c>
      <c r="K2" s="7" t="n"/>
      <c r="L2" s="7" t="n">
        <v>0</v>
      </c>
      <c r="M2" s="8" t="n">
        <v>0</v>
      </c>
      <c r="N2" s="7" t="n"/>
      <c r="O2" s="7" t="n">
        <v>0</v>
      </c>
      <c r="P2" s="8" t="n">
        <v>0</v>
      </c>
      <c r="Q2" s="7" t="n"/>
      <c r="R2" s="6" t="inlineStr">
        <is>
          <t>―</t>
        </is>
      </c>
      <c r="S2" s="6" t="inlineStr">
        <is>
          <t>5年度／6年度／7年度</t>
        </is>
      </c>
      <c r="T2" s="9" t="inlineStr">
        <is>
          <t>令和5〜7年度の3年平均</t>
        </is>
      </c>
    </row>
    <row r="3">
      <c r="A3" s="6" t="inlineStr">
        <is>
          <t>居宅</t>
        </is>
      </c>
      <c r="B3" s="6" t="inlineStr">
        <is>
          <t>訪問看護</t>
        </is>
      </c>
      <c r="C3" s="7" t="n">
        <v>42</v>
      </c>
      <c r="D3" s="8" t="n">
        <v>1244.052</v>
      </c>
      <c r="E3" s="7" t="n">
        <v>29620.28571428571</v>
      </c>
      <c r="F3" s="7" t="n">
        <v>34</v>
      </c>
      <c r="G3" s="8" t="n">
        <v>984.367</v>
      </c>
      <c r="H3" s="7" t="n">
        <v>28951.97058823529</v>
      </c>
      <c r="I3" s="7" t="n">
        <v>48</v>
      </c>
      <c r="J3" s="8" t="n">
        <v>1482.816</v>
      </c>
      <c r="K3" s="7" t="n">
        <v>30892</v>
      </c>
      <c r="L3" s="7" t="n">
        <v>66</v>
      </c>
      <c r="M3" s="8" t="n">
        <v>1872.471</v>
      </c>
      <c r="N3" s="7" t="n">
        <v>28370.77272727273</v>
      </c>
      <c r="O3" s="7" t="n">
        <v>88</v>
      </c>
      <c r="P3" s="8" t="n">
        <v>2213.819</v>
      </c>
      <c r="Q3" s="7" t="n">
        <v>25157.03409090909</v>
      </c>
      <c r="R3" s="6" t="inlineStr">
        <is>
          <t>-15.1％</t>
        </is>
      </c>
      <c r="S3" s="6" t="inlineStr">
        <is>
          <t>5年度／6年度／7年度</t>
        </is>
      </c>
      <c r="T3" s="9" t="inlineStr">
        <is>
          <t>令和5〜7年度の3年平均</t>
        </is>
      </c>
    </row>
    <row r="4">
      <c r="A4" s="6" t="inlineStr">
        <is>
          <t>居宅</t>
        </is>
      </c>
      <c r="B4" s="6" t="inlineStr">
        <is>
          <t>訪問リハビリテーション</t>
        </is>
      </c>
      <c r="C4" s="7" t="n">
        <v>0</v>
      </c>
      <c r="D4" s="8" t="n">
        <v>0</v>
      </c>
      <c r="E4" s="7" t="n"/>
      <c r="F4" s="7" t="n">
        <v>0</v>
      </c>
      <c r="G4" s="8" t="n">
        <v>0</v>
      </c>
      <c r="H4" s="7" t="n"/>
      <c r="I4" s="7" t="n">
        <v>0</v>
      </c>
      <c r="J4" s="8" t="n">
        <v>0</v>
      </c>
      <c r="K4" s="7" t="n"/>
      <c r="L4" s="7" t="n">
        <v>0</v>
      </c>
      <c r="M4" s="8" t="n">
        <v>0</v>
      </c>
      <c r="N4" s="7" t="n"/>
      <c r="O4" s="7" t="n">
        <v>0</v>
      </c>
      <c r="P4" s="8" t="n">
        <v>0</v>
      </c>
      <c r="Q4" s="7" t="n"/>
      <c r="R4" s="6" t="inlineStr">
        <is>
          <t>―</t>
        </is>
      </c>
      <c r="S4" s="6" t="inlineStr">
        <is>
          <t>7年度</t>
        </is>
      </c>
      <c r="T4" s="9" t="inlineStr">
        <is>
          <t>5年間で令和5年度の1件のみ。0で据置</t>
        </is>
      </c>
    </row>
    <row r="5">
      <c r="A5" s="6" t="inlineStr">
        <is>
          <t>居宅</t>
        </is>
      </c>
      <c r="B5" s="6" t="inlineStr">
        <is>
          <t>居宅療養管理指導</t>
        </is>
      </c>
      <c r="C5" s="7" t="n">
        <v>0</v>
      </c>
      <c r="D5" s="8" t="n">
        <v>0</v>
      </c>
      <c r="E5" s="7" t="n"/>
      <c r="F5" s="7" t="n">
        <v>9</v>
      </c>
      <c r="G5" s="8" t="n">
        <v>44.793</v>
      </c>
      <c r="H5" s="7" t="n">
        <v>4977</v>
      </c>
      <c r="I5" s="7" t="n">
        <v>24</v>
      </c>
      <c r="J5" s="8" t="n">
        <v>129.6</v>
      </c>
      <c r="K5" s="7" t="n">
        <v>5400</v>
      </c>
      <c r="L5" s="7" t="n">
        <v>24</v>
      </c>
      <c r="M5" s="8" t="n">
        <v>126.846</v>
      </c>
      <c r="N5" s="7" t="n">
        <v>5285.25</v>
      </c>
      <c r="O5" s="7" t="n">
        <v>25</v>
      </c>
      <c r="P5" s="8" t="n">
        <v>132.372</v>
      </c>
      <c r="Q5" s="7" t="n">
        <v>5294.88</v>
      </c>
      <c r="R5" s="6" t="inlineStr">
        <is>
          <t>+6.4％</t>
        </is>
      </c>
      <c r="S5" s="6" t="inlineStr">
        <is>
          <t>5年度／6年度／7年度</t>
        </is>
      </c>
      <c r="T5" s="9" t="inlineStr">
        <is>
          <t>令和5〜7年度の3年平均</t>
        </is>
      </c>
    </row>
    <row r="6">
      <c r="A6" s="6" t="inlineStr">
        <is>
          <t>居宅</t>
        </is>
      </c>
      <c r="B6" s="6" t="inlineStr">
        <is>
          <t>通所リハビリテーション</t>
        </is>
      </c>
      <c r="C6" s="7" t="n">
        <v>170</v>
      </c>
      <c r="D6" s="8" t="n">
        <v>6211.512</v>
      </c>
      <c r="E6" s="7" t="n">
        <v>36538.30588235294</v>
      </c>
      <c r="F6" s="7" t="n">
        <v>219</v>
      </c>
      <c r="G6" s="8" t="n">
        <v>7853.22</v>
      </c>
      <c r="H6" s="7" t="n">
        <v>35859.45205479452</v>
      </c>
      <c r="I6" s="7" t="n">
        <v>280</v>
      </c>
      <c r="J6" s="8" t="n">
        <v>10928.277</v>
      </c>
      <c r="K6" s="7" t="n">
        <v>39029.56071428571</v>
      </c>
      <c r="L6" s="7" t="n">
        <v>278</v>
      </c>
      <c r="M6" s="8" t="n">
        <v>10597.228</v>
      </c>
      <c r="N6" s="7" t="n">
        <v>38119.52517985611</v>
      </c>
      <c r="O6" s="7" t="n">
        <v>329</v>
      </c>
      <c r="P6" s="8" t="n">
        <v>11689.154</v>
      </c>
      <c r="Q6" s="7" t="n">
        <v>35529.34346504559</v>
      </c>
      <c r="R6" s="6" t="inlineStr">
        <is>
          <t>-2.8％</t>
        </is>
      </c>
      <c r="S6" s="6" t="inlineStr">
        <is>
          <t>5年度／6年度／7年度</t>
        </is>
      </c>
      <c r="T6" s="9" t="inlineStr">
        <is>
          <t>令和5〜7年度の3年平均</t>
        </is>
      </c>
    </row>
    <row r="7">
      <c r="A7" s="6" t="inlineStr">
        <is>
          <t>居宅</t>
        </is>
      </c>
      <c r="B7" s="6" t="inlineStr">
        <is>
          <t>短期入所生活介護</t>
        </is>
      </c>
      <c r="C7" s="7" t="n">
        <v>9</v>
      </c>
      <c r="D7" s="8" t="n">
        <v>237.413</v>
      </c>
      <c r="E7" s="7" t="n">
        <v>26379.22222222222</v>
      </c>
      <c r="F7" s="7" t="n">
        <v>9</v>
      </c>
      <c r="G7" s="8" t="n">
        <v>325.044</v>
      </c>
      <c r="H7" s="7" t="n">
        <v>36116</v>
      </c>
      <c r="I7" s="7" t="n">
        <v>4</v>
      </c>
      <c r="J7" s="8" t="n">
        <v>93.483</v>
      </c>
      <c r="K7" s="7" t="n">
        <v>23370.75</v>
      </c>
      <c r="L7" s="7" t="n">
        <v>3</v>
      </c>
      <c r="M7" s="8" t="n">
        <v>58.662</v>
      </c>
      <c r="N7" s="7" t="n">
        <v>19554</v>
      </c>
      <c r="O7" s="7" t="n">
        <v>9</v>
      </c>
      <c r="P7" s="8" t="n">
        <v>292.959</v>
      </c>
      <c r="Q7" s="7" t="n">
        <v>32551</v>
      </c>
      <c r="R7" s="6" t="inlineStr">
        <is>
          <t>+23.4％</t>
        </is>
      </c>
      <c r="S7" s="6" t="inlineStr">
        <is>
          <t>5年度／6年度／7年度</t>
        </is>
      </c>
      <c r="T7" s="9" t="inlineStr">
        <is>
          <t>令和5〜7年度の3年平均</t>
        </is>
      </c>
    </row>
    <row r="8">
      <c r="A8" s="6" t="inlineStr">
        <is>
          <t>居宅</t>
        </is>
      </c>
      <c r="B8" s="6" t="inlineStr">
        <is>
          <t>短期入所療養介護（介護老人保健施設）</t>
        </is>
      </c>
      <c r="C8" s="7" t="n">
        <v>1</v>
      </c>
      <c r="D8" s="8" t="n">
        <v>46.323</v>
      </c>
      <c r="E8" s="7" t="n">
        <v>46323</v>
      </c>
      <c r="F8" s="7" t="n">
        <v>1</v>
      </c>
      <c r="G8" s="8" t="n">
        <v>41.733</v>
      </c>
      <c r="H8" s="7" t="n">
        <v>41733</v>
      </c>
      <c r="I8" s="7" t="n">
        <v>2</v>
      </c>
      <c r="J8" s="8" t="n">
        <v>123.534</v>
      </c>
      <c r="K8" s="7" t="n">
        <v>61767</v>
      </c>
      <c r="L8" s="7" t="n">
        <v>0</v>
      </c>
      <c r="M8" s="8" t="n">
        <v>0</v>
      </c>
      <c r="N8" s="7" t="n"/>
      <c r="O8" s="7" t="n">
        <v>1</v>
      </c>
      <c r="P8" s="8" t="n">
        <v>50.004</v>
      </c>
      <c r="Q8" s="7" t="n">
        <v>50004</v>
      </c>
      <c r="R8" s="6" t="inlineStr">
        <is>
          <t>+7.9％</t>
        </is>
      </c>
      <c r="S8" s="6" t="inlineStr">
        <is>
          <t>5年度／6年度／7年度</t>
        </is>
      </c>
      <c r="T8" s="9" t="inlineStr">
        <is>
          <t>令和5〜7年度の3年平均</t>
        </is>
      </c>
    </row>
    <row r="9">
      <c r="A9" s="6" t="inlineStr">
        <is>
          <t>居宅</t>
        </is>
      </c>
      <c r="B9" s="6" t="inlineStr">
        <is>
          <t>短期入所療養介護（病院等）</t>
        </is>
      </c>
      <c r="C9" s="7" t="n">
        <v>0</v>
      </c>
      <c r="D9" s="8" t="n">
        <v>0</v>
      </c>
      <c r="E9" s="7" t="n"/>
      <c r="F9" s="7" t="n">
        <v>0</v>
      </c>
      <c r="G9" s="8" t="n">
        <v>0</v>
      </c>
      <c r="H9" s="7" t="n"/>
      <c r="I9" s="7" t="n">
        <v>0</v>
      </c>
      <c r="J9" s="8" t="n">
        <v>0</v>
      </c>
      <c r="K9" s="7" t="n"/>
      <c r="L9" s="7" t="n">
        <v>0</v>
      </c>
      <c r="M9" s="8" t="n">
        <v>0</v>
      </c>
      <c r="N9" s="7" t="n"/>
      <c r="O9" s="7" t="n">
        <v>0</v>
      </c>
      <c r="P9" s="8" t="n">
        <v>0</v>
      </c>
      <c r="Q9" s="7" t="n"/>
      <c r="R9" s="6" t="inlineStr">
        <is>
          <t>―</t>
        </is>
      </c>
      <c r="S9" s="6" t="inlineStr">
        <is>
          <t>5年度／6年度／7年度</t>
        </is>
      </c>
      <c r="T9" s="9" t="inlineStr">
        <is>
          <t>令和5〜7年度の3年平均</t>
        </is>
      </c>
    </row>
    <row r="10">
      <c r="A10" s="6" t="inlineStr">
        <is>
          <t>居宅</t>
        </is>
      </c>
      <c r="B10" s="6" t="inlineStr">
        <is>
          <t>短期入所療養介護（介護医療院）</t>
        </is>
      </c>
      <c r="C10" s="7" t="n">
        <v>0</v>
      </c>
      <c r="D10" s="8" t="n">
        <v>0</v>
      </c>
      <c r="E10" s="7" t="n"/>
      <c r="F10" s="7" t="n">
        <v>0</v>
      </c>
      <c r="G10" s="8" t="n">
        <v>0</v>
      </c>
      <c r="H10" s="7" t="n"/>
      <c r="I10" s="7" t="n">
        <v>0</v>
      </c>
      <c r="J10" s="8" t="n">
        <v>0</v>
      </c>
      <c r="K10" s="7" t="n"/>
      <c r="L10" s="7" t="n">
        <v>0</v>
      </c>
      <c r="M10" s="8" t="n">
        <v>0</v>
      </c>
      <c r="N10" s="7" t="n"/>
      <c r="O10" s="7" t="n">
        <v>0</v>
      </c>
      <c r="P10" s="8" t="n">
        <v>0</v>
      </c>
      <c r="Q10" s="7" t="n"/>
      <c r="R10" s="6" t="inlineStr">
        <is>
          <t>―</t>
        </is>
      </c>
      <c r="S10" s="6" t="inlineStr">
        <is>
          <t>5年度／6年度／7年度</t>
        </is>
      </c>
      <c r="T10" s="9" t="inlineStr">
        <is>
          <t>令和5〜7年度の3年平均</t>
        </is>
      </c>
    </row>
    <row r="11">
      <c r="A11" s="6" t="inlineStr">
        <is>
          <t>居宅</t>
        </is>
      </c>
      <c r="B11" s="6" t="inlineStr">
        <is>
          <t>福祉用具貸与</t>
        </is>
      </c>
      <c r="C11" s="7" t="n">
        <v>454</v>
      </c>
      <c r="D11" s="8" t="n">
        <v>3365.118</v>
      </c>
      <c r="E11" s="7" t="n">
        <v>7412.154185022026</v>
      </c>
      <c r="F11" s="7" t="n">
        <v>506</v>
      </c>
      <c r="G11" s="8" t="n">
        <v>4020.867</v>
      </c>
      <c r="H11" s="7" t="n">
        <v>7946.377470355731</v>
      </c>
      <c r="I11" s="7" t="n">
        <v>605</v>
      </c>
      <c r="J11" s="8" t="n">
        <v>4813.603</v>
      </c>
      <c r="K11" s="7" t="n">
        <v>7956.368595041322</v>
      </c>
      <c r="L11" s="7" t="n">
        <v>607</v>
      </c>
      <c r="M11" s="8" t="n">
        <v>4885.239</v>
      </c>
      <c r="N11" s="7" t="n">
        <v>8048.169686985173</v>
      </c>
      <c r="O11" s="7" t="n">
        <v>688</v>
      </c>
      <c r="P11" s="8" t="n">
        <v>6000.387</v>
      </c>
      <c r="Q11" s="7" t="n">
        <v>8721.492732558139</v>
      </c>
      <c r="R11" s="6" t="inlineStr">
        <is>
          <t>+17.7％</t>
        </is>
      </c>
      <c r="S11" s="6" t="inlineStr">
        <is>
          <t>7年度</t>
        </is>
      </c>
      <c r="T11" s="9" t="inlineStr">
        <is>
          <t>令和5→7年度で＋24.6％の単調増。令和8年度の月報も月63.0件と増え続けている。3年平均だと直近実績を13.3％下回るため直近年度で置く</t>
        </is>
      </c>
    </row>
    <row r="12">
      <c r="A12" s="6" t="inlineStr">
        <is>
          <t>居宅</t>
        </is>
      </c>
      <c r="B12" s="6" t="inlineStr">
        <is>
          <t>特定福祉用具販売</t>
        </is>
      </c>
      <c r="C12" s="7" t="n">
        <v>10</v>
      </c>
      <c r="D12" s="8" t="n">
        <v>235.71</v>
      </c>
      <c r="E12" s="7" t="n">
        <v>23571</v>
      </c>
      <c r="F12" s="7" t="n">
        <v>13</v>
      </c>
      <c r="G12" s="8" t="n">
        <v>364.752</v>
      </c>
      <c r="H12" s="7" t="n">
        <v>28057.84615384615</v>
      </c>
      <c r="I12" s="7" t="n">
        <v>20</v>
      </c>
      <c r="J12" s="8" t="n">
        <v>553.878</v>
      </c>
      <c r="K12" s="7" t="n">
        <v>27693.9</v>
      </c>
      <c r="L12" s="7" t="n">
        <v>12</v>
      </c>
      <c r="M12" s="8" t="n">
        <v>334.525</v>
      </c>
      <c r="N12" s="7" t="n">
        <v>27877.08333333333</v>
      </c>
      <c r="O12" s="7" t="n">
        <v>17</v>
      </c>
      <c r="P12" s="8" t="n">
        <v>484.06</v>
      </c>
      <c r="Q12" s="7" t="n">
        <v>28474.11764705883</v>
      </c>
      <c r="R12" s="6" t="inlineStr">
        <is>
          <t>+20.8％</t>
        </is>
      </c>
      <c r="S12" s="6" t="inlineStr">
        <is>
          <t>6年度／7年度</t>
        </is>
      </c>
      <c r="T12" s="9" t="inlineStr">
        <is>
          <t>令和6年度から様式2に計上。2年平均</t>
        </is>
      </c>
    </row>
    <row r="13">
      <c r="A13" s="6" t="inlineStr">
        <is>
          <t>居宅</t>
        </is>
      </c>
      <c r="B13" s="6" t="inlineStr">
        <is>
          <t>住宅改修</t>
        </is>
      </c>
      <c r="C13" s="7" t="n">
        <v>12</v>
      </c>
      <c r="D13" s="8" t="n">
        <v>1304.585</v>
      </c>
      <c r="E13" s="7" t="n">
        <v>108715.4166666667</v>
      </c>
      <c r="F13" s="7" t="n">
        <v>12</v>
      </c>
      <c r="G13" s="8" t="n">
        <v>1342.413</v>
      </c>
      <c r="H13" s="7" t="n">
        <v>111867.75</v>
      </c>
      <c r="I13" s="7" t="n">
        <v>16</v>
      </c>
      <c r="J13" s="8" t="n">
        <v>1673.993</v>
      </c>
      <c r="K13" s="7" t="n">
        <v>104624.5625</v>
      </c>
      <c r="L13" s="7" t="n">
        <v>13</v>
      </c>
      <c r="M13" s="8" t="n">
        <v>1470.629</v>
      </c>
      <c r="N13" s="7" t="n">
        <v>113125.3076923077</v>
      </c>
      <c r="O13" s="7" t="n">
        <v>11</v>
      </c>
      <c r="P13" s="8" t="n">
        <v>876.749</v>
      </c>
      <c r="Q13" s="7" t="n">
        <v>79704.45454545454</v>
      </c>
      <c r="R13" s="6" t="inlineStr">
        <is>
          <t>-26.7％</t>
        </is>
      </c>
      <c r="S13" s="6" t="inlineStr">
        <is>
          <t>6年度／7年度</t>
        </is>
      </c>
      <c r="T13" s="9" t="inlineStr">
        <is>
          <t>令和6年度から様式2に計上。2年平均</t>
        </is>
      </c>
    </row>
    <row r="14">
      <c r="A14" s="6" t="inlineStr">
        <is>
          <t>居宅</t>
        </is>
      </c>
      <c r="B14" s="6" t="inlineStr">
        <is>
          <t>特定施設入居者生活介護</t>
        </is>
      </c>
      <c r="C14" s="7" t="n">
        <v>0</v>
      </c>
      <c r="D14" s="8" t="n">
        <v>0</v>
      </c>
      <c r="E14" s="7" t="n"/>
      <c r="F14" s="7" t="n">
        <v>0</v>
      </c>
      <c r="G14" s="8" t="n">
        <v>0</v>
      </c>
      <c r="H14" s="7" t="n"/>
      <c r="I14" s="7" t="n">
        <v>0</v>
      </c>
      <c r="J14" s="8" t="n">
        <v>0</v>
      </c>
      <c r="K14" s="7" t="n"/>
      <c r="L14" s="7" t="n">
        <v>0</v>
      </c>
      <c r="M14" s="8" t="n">
        <v>0</v>
      </c>
      <c r="N14" s="7" t="n"/>
      <c r="O14" s="7" t="n">
        <v>0</v>
      </c>
      <c r="P14" s="8" t="n">
        <v>0</v>
      </c>
      <c r="Q14" s="7" t="n"/>
      <c r="R14" s="6" t="inlineStr">
        <is>
          <t>―</t>
        </is>
      </c>
      <c r="S14" s="6" t="inlineStr">
        <is>
          <t>5年度／6年度／7年度</t>
        </is>
      </c>
      <c r="T14" s="9" t="inlineStr">
        <is>
          <t>令和5〜7年度の3年平均</t>
        </is>
      </c>
    </row>
    <row r="15">
      <c r="A15" s="6" t="inlineStr">
        <is>
          <t>居宅</t>
        </is>
      </c>
      <c r="B15" s="6" t="inlineStr">
        <is>
          <t>居宅介護支援・介護予防支援</t>
        </is>
      </c>
      <c r="C15" s="7" t="n">
        <v>573</v>
      </c>
      <c r="D15" s="8" t="n">
        <v>2545.33</v>
      </c>
      <c r="E15" s="7" t="n">
        <v>4442.111692844677</v>
      </c>
      <c r="F15" s="7" t="n">
        <v>667</v>
      </c>
      <c r="G15" s="8" t="n">
        <v>2987.46</v>
      </c>
      <c r="H15" s="7" t="n">
        <v>4478.950524737631</v>
      </c>
      <c r="I15" s="7" t="n">
        <v>802</v>
      </c>
      <c r="J15" s="8" t="n">
        <v>3593.76</v>
      </c>
      <c r="K15" s="7" t="n">
        <v>4480.997506234414</v>
      </c>
      <c r="L15" s="7" t="n">
        <v>807</v>
      </c>
      <c r="M15" s="8" t="n">
        <v>3606.26</v>
      </c>
      <c r="N15" s="7" t="n">
        <v>4468.723667905824</v>
      </c>
      <c r="O15" s="7" t="n">
        <v>919</v>
      </c>
      <c r="P15" s="8" t="n">
        <v>4145.98</v>
      </c>
      <c r="Q15" s="7" t="n">
        <v>4511.403699673559</v>
      </c>
      <c r="R15" s="6" t="inlineStr">
        <is>
          <t>+1.6％</t>
        </is>
      </c>
      <c r="S15" s="6" t="inlineStr">
        <is>
          <t>5年度／6年度／7年度</t>
        </is>
      </c>
      <c r="T15" s="9" t="inlineStr">
        <is>
          <t>令和5〜7年度の3年平均</t>
        </is>
      </c>
    </row>
    <row r="16">
      <c r="A16" s="6" t="inlineStr">
        <is>
          <t>地域密着型</t>
        </is>
      </c>
      <c r="B16" s="6" t="inlineStr">
        <is>
          <t>認知症対応型通所介護</t>
        </is>
      </c>
      <c r="C16" s="7" t="n">
        <v>0</v>
      </c>
      <c r="D16" s="8" t="n">
        <v>0</v>
      </c>
      <c r="E16" s="7" t="n"/>
      <c r="F16" s="7" t="n">
        <v>0</v>
      </c>
      <c r="G16" s="8" t="n">
        <v>0</v>
      </c>
      <c r="H16" s="7" t="n"/>
      <c r="I16" s="7" t="n">
        <v>0</v>
      </c>
      <c r="J16" s="8" t="n">
        <v>0</v>
      </c>
      <c r="K16" s="7" t="n"/>
      <c r="L16" s="7" t="n">
        <v>0</v>
      </c>
      <c r="M16" s="8" t="n">
        <v>0</v>
      </c>
      <c r="N16" s="7" t="n"/>
      <c r="O16" s="7" t="n">
        <v>0</v>
      </c>
      <c r="P16" s="8" t="n">
        <v>0</v>
      </c>
      <c r="Q16" s="7" t="n"/>
      <c r="R16" s="6" t="inlineStr">
        <is>
          <t>―</t>
        </is>
      </c>
      <c r="S16" s="6" t="inlineStr">
        <is>
          <t>5年度／6年度／7年度</t>
        </is>
      </c>
      <c r="T16" s="9" t="inlineStr">
        <is>
          <t>令和5〜7年度の3年平均</t>
        </is>
      </c>
    </row>
    <row r="17">
      <c r="A17" s="6" t="inlineStr">
        <is>
          <t>地域密着型</t>
        </is>
      </c>
      <c r="B17" s="6" t="inlineStr">
        <is>
          <t>小規模多機能型居宅介護</t>
        </is>
      </c>
      <c r="C17" s="7" t="n">
        <v>64</v>
      </c>
      <c r="D17" s="8" t="n">
        <v>5009.364</v>
      </c>
      <c r="E17" s="7" t="n">
        <v>78271.3125</v>
      </c>
      <c r="F17" s="7" t="n">
        <v>63</v>
      </c>
      <c r="G17" s="8" t="n">
        <v>4950.054</v>
      </c>
      <c r="H17" s="7" t="n">
        <v>78572.28571428571</v>
      </c>
      <c r="I17" s="7" t="n">
        <v>63</v>
      </c>
      <c r="J17" s="8" t="n">
        <v>5155.362</v>
      </c>
      <c r="K17" s="7" t="n">
        <v>81831.14285714286</v>
      </c>
      <c r="L17" s="7" t="n">
        <v>89</v>
      </c>
      <c r="M17" s="8" t="n">
        <v>6632.172</v>
      </c>
      <c r="N17" s="7" t="n">
        <v>74518.78651685393</v>
      </c>
      <c r="O17" s="7" t="n">
        <v>92</v>
      </c>
      <c r="P17" s="8" t="n">
        <v>7288.119</v>
      </c>
      <c r="Q17" s="7" t="n">
        <v>79218.68478260869</v>
      </c>
      <c r="R17" s="6" t="inlineStr">
        <is>
          <t>+1.2％</t>
        </is>
      </c>
      <c r="S17" s="6" t="inlineStr">
        <is>
          <t>5年度／6年度／7年度</t>
        </is>
      </c>
      <c r="T17" s="9" t="inlineStr">
        <is>
          <t>令和5〜7年度の3年平均</t>
        </is>
      </c>
    </row>
    <row r="18">
      <c r="A18" s="6" t="inlineStr">
        <is>
          <t>地域密着型</t>
        </is>
      </c>
      <c r="B18" s="6" t="inlineStr">
        <is>
          <t>認知症対応型共同生活介護</t>
        </is>
      </c>
      <c r="C18" s="7" t="n">
        <v>0</v>
      </c>
      <c r="D18" s="8" t="n">
        <v>0</v>
      </c>
      <c r="E18" s="7" t="n"/>
      <c r="F18" s="7" t="n">
        <v>18</v>
      </c>
      <c r="G18" s="8" t="n">
        <v>3975.615</v>
      </c>
      <c r="H18" s="7" t="n">
        <v>220867.5</v>
      </c>
      <c r="I18" s="7" t="n">
        <v>31</v>
      </c>
      <c r="J18" s="8" t="n">
        <v>7204.887</v>
      </c>
      <c r="K18" s="7" t="n">
        <v>232415.7096774194</v>
      </c>
      <c r="L18" s="7" t="n">
        <v>37</v>
      </c>
      <c r="M18" s="8" t="n">
        <v>8402.300999999999</v>
      </c>
      <c r="N18" s="7" t="n">
        <v>227089.2162162162</v>
      </c>
      <c r="O18" s="7" t="n">
        <v>14</v>
      </c>
      <c r="P18" s="8" t="n">
        <v>3343.374</v>
      </c>
      <c r="Q18" s="7" t="n">
        <v>238812.4285714286</v>
      </c>
      <c r="R18" s="6" t="inlineStr">
        <is>
          <t>+8.1％</t>
        </is>
      </c>
      <c r="S18" s="6" t="inlineStr">
        <is>
          <t>7年度</t>
        </is>
      </c>
      <c r="T18" s="9" t="inlineStr">
        <is>
          <t>令和6年度3.1件／月から令和7年度1.2件／月へ。令和8年度の月報も月1.0件。3年平均だと直近実績の1.88倍になるため直近年度で置く</t>
        </is>
      </c>
    </row>
    <row r="19">
      <c r="A19" s="10" t="inlineStr">
        <is>
          <t>合計</t>
        </is>
      </c>
      <c r="B19" s="10" t="inlineStr"/>
      <c r="C19" s="11" t="n">
        <v>1335</v>
      </c>
      <c r="D19" s="12" t="n">
        <v>20199.407</v>
      </c>
      <c r="E19" s="11" t="n">
        <v>15130.64194756554</v>
      </c>
      <c r="F19" s="11" t="n">
        <v>1551</v>
      </c>
      <c r="G19" s="12" t="n">
        <v>26890.318</v>
      </c>
      <c r="H19" s="11" t="n">
        <v>17337.40683430045</v>
      </c>
      <c r="I19" s="11" t="n">
        <v>1895</v>
      </c>
      <c r="J19" s="12" t="n">
        <v>35753.193</v>
      </c>
      <c r="K19" s="11" t="n">
        <v>18867.12031662269</v>
      </c>
      <c r="L19" s="11" t="n">
        <v>1936</v>
      </c>
      <c r="M19" s="12" t="n">
        <v>37986.333</v>
      </c>
      <c r="N19" s="11" t="n">
        <v>19621.03977272727</v>
      </c>
      <c r="O19" s="11" t="n">
        <v>2193</v>
      </c>
      <c r="P19" s="12" t="n">
        <v>36516.977</v>
      </c>
      <c r="Q19" s="11" t="n">
        <v>16651.60829913361</v>
      </c>
      <c r="R19" s="10" t="inlineStr"/>
      <c r="S19" s="10" t="inlineStr"/>
      <c r="T19" s="13" t="inlineStr"/>
    </row>
    <row r="21">
      <c r="A21" s="14" t="inlineStr">
        <is>
          <t>※ 予防給付（要支援1・2）。件数は請求件数であり、月あたり受給者数の年間累計（人月）にあたる。</t>
        </is>
      </c>
    </row>
    <row r="22">
      <c r="A22" s="14" t="inlineStr">
        <is>
          <t>※ 単価は給付費÷件数。1人が1か月そのサービスを使ったときの給付費である。</t>
        </is>
      </c>
    </row>
    <row r="23">
      <c r="A23" s="14" t="inlineStr">
        <is>
          <t>※ 令和6年度に介護報酬が改定された（改定率＋1.59％）。単価の上昇にはこれが含まれる。</t>
        </is>
      </c>
    </row>
    <row r="24">
      <c r="A24" s="14" t="inlineStr">
        <is>
          <t>※ 令和7年度から様式2の表記が「（短期利用以外）」「（短期利用）」に分割されたサービスは合算した。</t>
        </is>
      </c>
    </row>
    <row r="25">
      <c r="A25" s="14" t="inlineStr">
        <is>
          <t>※ 令和5年度までの「福祉用具購入費」「住宅改修費」は令和6年度からの「特定福祉用具販売」「住宅改修」と同一区分として接続した。</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3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32" customWidth="1" min="2" max="2"/>
    <col width="8" customWidth="1" min="3" max="3"/>
    <col width="10" customWidth="1" min="4" max="4"/>
    <col width="10" customWidth="1" min="5" max="5"/>
    <col width="10" customWidth="1" min="6" max="6"/>
    <col width="10" customWidth="1" min="7" max="7"/>
    <col width="10" customWidth="1" min="8" max="8"/>
    <col width="11" customWidth="1" min="9" max="9"/>
    <col width="18" customWidth="1" min="10" max="10"/>
    <col width="11" customWidth="1" min="11" max="11"/>
    <col width="11" customWidth="1" min="12" max="12"/>
    <col width="11" customWidth="1" min="13" max="13"/>
    <col width="11" customWidth="1" min="14" max="14"/>
    <col width="11" customWidth="1" min="15" max="15"/>
    <col width="40" customWidth="1" min="16" max="16"/>
  </cols>
  <sheetData>
    <row r="1">
      <c r="A1" s="5" t="inlineStr">
        <is>
          <t>区分</t>
        </is>
      </c>
      <c r="B1" s="5" t="inlineStr">
        <is>
          <t>サービス</t>
        </is>
      </c>
      <c r="C1" s="5" t="inlineStr">
        <is>
          <t>計画表記の単位</t>
        </is>
      </c>
      <c r="D1" s="5" t="inlineStr">
        <is>
          <t>3年度 件数/1号</t>
        </is>
      </c>
      <c r="E1" s="5" t="inlineStr">
        <is>
          <t>4年度 件数/1号</t>
        </is>
      </c>
      <c r="F1" s="5" t="inlineStr">
        <is>
          <t>5年度 件数/1号</t>
        </is>
      </c>
      <c r="G1" s="5" t="inlineStr">
        <is>
          <t>6年度 件数/1号</t>
        </is>
      </c>
      <c r="H1" s="5" t="inlineStr">
        <is>
          <t>7年度 件数/1号</t>
        </is>
      </c>
      <c r="I1" s="5" t="inlineStr">
        <is>
          <t>採用利用率</t>
        </is>
      </c>
      <c r="J1" s="5" t="inlineStr">
        <is>
          <t>基準期間</t>
        </is>
      </c>
      <c r="K1" s="5" t="inlineStr">
        <is>
          <t>3年度 単位数/件</t>
        </is>
      </c>
      <c r="L1" s="5" t="inlineStr">
        <is>
          <t>4年度 単位数/件</t>
        </is>
      </c>
      <c r="M1" s="5" t="inlineStr">
        <is>
          <t>5年度 単位数/件</t>
        </is>
      </c>
      <c r="N1" s="5" t="inlineStr">
        <is>
          <t>6年度 単位数/件</t>
        </is>
      </c>
      <c r="O1" s="5" t="inlineStr">
        <is>
          <t>7年度 単位数/件</t>
        </is>
      </c>
      <c r="P1" s="5" t="inlineStr">
        <is>
          <t>備考</t>
        </is>
      </c>
    </row>
    <row r="2">
      <c r="A2" s="6" t="inlineStr">
        <is>
          <t>居宅</t>
        </is>
      </c>
      <c r="B2" s="6" t="inlineStr">
        <is>
          <t>訪問介護</t>
        </is>
      </c>
      <c r="C2" s="6" t="inlineStr">
        <is>
          <t>回</t>
        </is>
      </c>
      <c r="D2" s="15" t="n">
        <v>0.3330474556889651</v>
      </c>
      <c r="E2" s="15" t="n">
        <v>0.3074935400516796</v>
      </c>
      <c r="F2" s="15" t="n">
        <v>0.2742628113369596</v>
      </c>
      <c r="G2" s="15" t="n">
        <v>0.2413398225021471</v>
      </c>
      <c r="H2" s="15" t="n">
        <v>0.1823990705779843</v>
      </c>
      <c r="I2" s="15" t="n">
        <v>0.232667234805697</v>
      </c>
      <c r="J2" s="6" t="inlineStr">
        <is>
          <t>5年度／6年度／7年度</t>
        </is>
      </c>
      <c r="K2" s="16" t="n">
        <v>2863.84034334764</v>
      </c>
      <c r="L2" s="16" t="n">
        <v>3576.665732959851</v>
      </c>
      <c r="M2" s="16" t="n">
        <v>4170.260960334029</v>
      </c>
      <c r="N2" s="16" t="n">
        <v>4329.017793594306</v>
      </c>
      <c r="O2" s="16" t="n">
        <v>5273.662420382166</v>
      </c>
      <c r="P2" s="9" t="inlineStr">
        <is>
          <t>介護給付と予防給付の合計で表示。試算は04・05で別々に行う</t>
        </is>
      </c>
    </row>
    <row r="3">
      <c r="A3" s="6" t="inlineStr">
        <is>
          <t>居宅</t>
        </is>
      </c>
      <c r="B3" s="6" t="inlineStr">
        <is>
          <t>訪問入浴介護</t>
        </is>
      </c>
      <c r="C3" s="6" t="inlineStr">
        <is>
          <t>回</t>
        </is>
      </c>
      <c r="D3" s="15" t="n">
        <v>0.01858204688393368</v>
      </c>
      <c r="E3" s="15" t="n">
        <v>0.01607809359747344</v>
      </c>
      <c r="F3" s="15" t="n">
        <v>0.02318923561408531</v>
      </c>
      <c r="G3" s="15" t="n">
        <v>0.02547953048955053</v>
      </c>
      <c r="H3" s="15" t="n">
        <v>0.01975021783328493</v>
      </c>
      <c r="I3" s="15" t="n">
        <v>0.02280632797897359</v>
      </c>
      <c r="J3" s="6" t="inlineStr">
        <is>
          <t>5年度／6年度／7年度</t>
        </is>
      </c>
      <c r="K3" s="16" t="n">
        <v>4123.4</v>
      </c>
      <c r="L3" s="16" t="n">
        <v>4014.910714285714</v>
      </c>
      <c r="M3" s="16" t="n">
        <v>4788.271604938272</v>
      </c>
      <c r="N3" s="16" t="n">
        <v>5347.70786516854</v>
      </c>
      <c r="O3" s="16" t="n">
        <v>5247.279411764706</v>
      </c>
      <c r="P3" s="9" t="inlineStr">
        <is>
          <t>介護給付と予防給付の合計で表示。試算は04・05で別々に行う</t>
        </is>
      </c>
    </row>
    <row r="4">
      <c r="A4" s="6" t="inlineStr">
        <is>
          <t>居宅</t>
        </is>
      </c>
      <c r="B4" s="6" t="inlineStr">
        <is>
          <t>訪問看護</t>
        </is>
      </c>
      <c r="C4" s="6" t="inlineStr">
        <is>
          <t>回</t>
        </is>
      </c>
      <c r="D4" s="15" t="n">
        <v>0.2095483133218982</v>
      </c>
      <c r="E4" s="15" t="n">
        <v>0.1742750502440425</v>
      </c>
      <c r="F4" s="15" t="n">
        <v>0.1442885771543086</v>
      </c>
      <c r="G4" s="15" t="n">
        <v>0.1534497566561695</v>
      </c>
      <c r="H4" s="15" t="n">
        <v>0.1762997386000581</v>
      </c>
      <c r="I4" s="15" t="n">
        <v>0.1580126908035121</v>
      </c>
      <c r="J4" s="6" t="inlineStr">
        <is>
          <t>5年度／6年度／7年度</t>
        </is>
      </c>
      <c r="K4" s="16" t="n">
        <v>3752.462482946794</v>
      </c>
      <c r="L4" s="16" t="n">
        <v>4254.024711696869</v>
      </c>
      <c r="M4" s="16" t="n">
        <v>4596.501984126984</v>
      </c>
      <c r="N4" s="16" t="n">
        <v>4361.595149253732</v>
      </c>
      <c r="O4" s="16" t="n">
        <v>4110.841845140033</v>
      </c>
      <c r="P4" s="9" t="inlineStr">
        <is>
          <t>介護給付と予防給付の合計で表示。試算は04・05で別々に行う</t>
        </is>
      </c>
    </row>
    <row r="5">
      <c r="A5" s="6" t="inlineStr">
        <is>
          <t>居宅</t>
        </is>
      </c>
      <c r="B5" s="6" t="inlineStr">
        <is>
          <t>訪問リハビリテーション</t>
        </is>
      </c>
      <c r="C5" s="6" t="inlineStr">
        <is>
          <t>回</t>
        </is>
      </c>
      <c r="D5" s="15" t="n">
        <v>0</v>
      </c>
      <c r="E5" s="15" t="n">
        <v>0</v>
      </c>
      <c r="F5" s="15" t="n">
        <v>0.000286286859433152</v>
      </c>
      <c r="G5" s="15" t="n">
        <v>0</v>
      </c>
      <c r="H5" s="15" t="n">
        <v>0</v>
      </c>
      <c r="I5" s="15" t="n">
        <v>0</v>
      </c>
      <c r="J5" s="6" t="inlineStr">
        <is>
          <t>7年度</t>
        </is>
      </c>
      <c r="K5" s="16" t="n"/>
      <c r="L5" s="16" t="n"/>
      <c r="M5" s="16" t="n">
        <v>956</v>
      </c>
      <c r="N5" s="16" t="n"/>
      <c r="O5" s="16" t="n"/>
      <c r="P5" s="9" t="inlineStr">
        <is>
          <t>介護給付と予防給付の合計で表示。試算は04・05で別々に行う</t>
        </is>
      </c>
    </row>
    <row r="6">
      <c r="A6" s="6" t="inlineStr">
        <is>
          <t>居宅</t>
        </is>
      </c>
      <c r="B6" s="6" t="inlineStr">
        <is>
          <t>居宅療養管理指導</t>
        </is>
      </c>
      <c r="C6" s="6" t="inlineStr">
        <is>
          <t>人</t>
        </is>
      </c>
      <c r="D6" s="15" t="n">
        <v>0.05889079473985134</v>
      </c>
      <c r="E6" s="15" t="n">
        <v>0.06632213608957795</v>
      </c>
      <c r="F6" s="15" t="n">
        <v>0.0572573718866304</v>
      </c>
      <c r="G6" s="15" t="n">
        <v>0.0787288863441168</v>
      </c>
      <c r="H6" s="15" t="n">
        <v>0.06389776357827476</v>
      </c>
      <c r="I6" s="15" t="n">
        <v>0.06662800726967399</v>
      </c>
      <c r="J6" s="6" t="inlineStr">
        <is>
          <t>5年度／6年度／7年度</t>
        </is>
      </c>
      <c r="K6" s="16" t="n">
        <v>587.1213592233009</v>
      </c>
      <c r="L6" s="16" t="n">
        <v>465.8398268398269</v>
      </c>
      <c r="M6" s="16" t="n">
        <v>496.01</v>
      </c>
      <c r="N6" s="16" t="n">
        <v>526.3272727272728</v>
      </c>
      <c r="O6" s="16" t="n">
        <v>509.5454545454546</v>
      </c>
      <c r="P6" s="9" t="inlineStr">
        <is>
          <t>介護給付と予防給付の合計で表示。試算は04・05で別々に行う</t>
        </is>
      </c>
    </row>
    <row r="7">
      <c r="A7" s="6" t="inlineStr">
        <is>
          <t>居宅</t>
        </is>
      </c>
      <c r="B7" s="6" t="inlineStr">
        <is>
          <t>通所介護</t>
        </is>
      </c>
      <c r="C7" s="6" t="inlineStr">
        <is>
          <t>回</t>
        </is>
      </c>
      <c r="D7" s="15" t="n">
        <v>0.6778158947970269</v>
      </c>
      <c r="E7" s="15" t="n">
        <v>0.6419753086419753</v>
      </c>
      <c r="F7" s="15" t="n">
        <v>0.6189521900944747</v>
      </c>
      <c r="G7" s="15" t="n">
        <v>0.6432865731462926</v>
      </c>
      <c r="H7" s="15" t="n">
        <v>0.596282311937264</v>
      </c>
      <c r="I7" s="15" t="n">
        <v>0.6195070250593437</v>
      </c>
      <c r="J7" s="6" t="inlineStr">
        <is>
          <t>5年度／6年度／7年度</t>
        </is>
      </c>
      <c r="K7" s="16" t="n">
        <v>8099.060733867566</v>
      </c>
      <c r="L7" s="16" t="n">
        <v>7678.509838998211</v>
      </c>
      <c r="M7" s="16" t="n">
        <v>8173.225254394079</v>
      </c>
      <c r="N7" s="16" t="n">
        <v>8099.212283044058</v>
      </c>
      <c r="O7" s="16" t="n">
        <v>8297.113979542133</v>
      </c>
      <c r="P7" s="9" t="inlineStr">
        <is>
          <t>介護給付と予防給付の合計で表示。試算は04・05で別々に行う</t>
        </is>
      </c>
    </row>
    <row r="8">
      <c r="A8" s="6" t="inlineStr">
        <is>
          <t>居宅</t>
        </is>
      </c>
      <c r="B8" s="6" t="inlineStr">
        <is>
          <t>通所リハビリテーション</t>
        </is>
      </c>
      <c r="C8" s="6" t="inlineStr">
        <is>
          <t>回</t>
        </is>
      </c>
      <c r="D8" s="15" t="n">
        <v>0.1523727844482561</v>
      </c>
      <c r="E8" s="15" t="n">
        <v>0.1507321274763135</v>
      </c>
      <c r="F8" s="15" t="n">
        <v>0.1623246492985972</v>
      </c>
      <c r="G8" s="15" t="n">
        <v>0.1674778127683939</v>
      </c>
      <c r="H8" s="15" t="n">
        <v>0.1858844031367993</v>
      </c>
      <c r="I8" s="15" t="n">
        <v>0.1718956217345968</v>
      </c>
      <c r="J8" s="6" t="inlineStr">
        <is>
          <t>5年度／6年度／7年度</t>
        </is>
      </c>
      <c r="K8" s="16" t="n">
        <v>4885.476547842401</v>
      </c>
      <c r="L8" s="16" t="n">
        <v>4313.944761904762</v>
      </c>
      <c r="M8" s="16" t="n">
        <v>4722.518518518518</v>
      </c>
      <c r="N8" s="16" t="n">
        <v>4792.128205128205</v>
      </c>
      <c r="O8" s="16" t="n">
        <v>4801.384375</v>
      </c>
      <c r="P8" s="9" t="inlineStr">
        <is>
          <t>介護給付と予防給付の合計で表示。試算は04・05で別々に行う</t>
        </is>
      </c>
    </row>
    <row r="9">
      <c r="A9" s="6" t="inlineStr">
        <is>
          <t>居宅</t>
        </is>
      </c>
      <c r="B9" s="6" t="inlineStr">
        <is>
          <t>短期入所生活介護</t>
        </is>
      </c>
      <c r="C9" s="6" t="inlineStr">
        <is>
          <t>日</t>
        </is>
      </c>
      <c r="D9" s="15" t="n">
        <v>0.1575185820468839</v>
      </c>
      <c r="E9" s="15" t="n">
        <v>0.1059431524547804</v>
      </c>
      <c r="F9" s="15" t="n">
        <v>0.1208130546807901</v>
      </c>
      <c r="G9" s="15" t="n">
        <v>0.0996278270827369</v>
      </c>
      <c r="H9" s="15" t="n">
        <v>0.1063026430438571</v>
      </c>
      <c r="I9" s="15" t="n">
        <v>0.1089145082691281</v>
      </c>
      <c r="J9" s="6" t="inlineStr">
        <is>
          <t>5年度／6年度／7年度</t>
        </is>
      </c>
      <c r="K9" s="16" t="n">
        <v>8543.141560798547</v>
      </c>
      <c r="L9" s="16" t="n">
        <v>8585.154471544716</v>
      </c>
      <c r="M9" s="16" t="n">
        <v>8920.898104265403</v>
      </c>
      <c r="N9" s="16" t="n">
        <v>8124.123563218391</v>
      </c>
      <c r="O9" s="16" t="n">
        <v>8392.426229508197</v>
      </c>
      <c r="P9" s="9" t="inlineStr">
        <is>
          <t>介護給付と予防給付の合計で表示。試算は04・05で別々に行う</t>
        </is>
      </c>
    </row>
    <row r="10">
      <c r="A10" s="6" t="inlineStr">
        <is>
          <t>居宅</t>
        </is>
      </c>
      <c r="B10" s="6" t="inlineStr">
        <is>
          <t>短期入所療養介護（介護老人保健施設）</t>
        </is>
      </c>
      <c r="C10" s="6" t="inlineStr">
        <is>
          <t>日</t>
        </is>
      </c>
      <c r="D10" s="15" t="n">
        <v>0.0137221269296741</v>
      </c>
      <c r="E10" s="15" t="n">
        <v>0.006603502727533735</v>
      </c>
      <c r="F10" s="15" t="n">
        <v>0.01059261379902663</v>
      </c>
      <c r="G10" s="15" t="n">
        <v>0.003721729172630976</v>
      </c>
      <c r="H10" s="15" t="n">
        <v>0.00813244263723497</v>
      </c>
      <c r="I10" s="15" t="n">
        <v>0.007482261869630857</v>
      </c>
      <c r="J10" s="6" t="inlineStr">
        <is>
          <t>5年度／6年度／7年度</t>
        </is>
      </c>
      <c r="K10" s="16" t="n">
        <v>11700.9375</v>
      </c>
      <c r="L10" s="16" t="n">
        <v>10054.08695652174</v>
      </c>
      <c r="M10" s="16" t="n">
        <v>6523.189189189189</v>
      </c>
      <c r="N10" s="16" t="n">
        <v>10416.92307692308</v>
      </c>
      <c r="O10" s="16" t="n">
        <v>9435.071428571429</v>
      </c>
      <c r="P10" s="9" t="inlineStr">
        <is>
          <t>介護給付と予防給付の合計で表示。試算は04・05で別々に行う</t>
        </is>
      </c>
    </row>
    <row r="11">
      <c r="A11" s="6" t="inlineStr">
        <is>
          <t>居宅</t>
        </is>
      </c>
      <c r="B11" s="6" t="inlineStr">
        <is>
          <t>短期入所療養介護（病院等）</t>
        </is>
      </c>
      <c r="C11" s="6" t="inlineStr">
        <is>
          <t>日</t>
        </is>
      </c>
      <c r="D11" s="15" t="n">
        <v>0</v>
      </c>
      <c r="E11" s="15" t="n">
        <v>0</v>
      </c>
      <c r="F11" s="15" t="n">
        <v>0</v>
      </c>
      <c r="G11" s="15" t="n">
        <v>0</v>
      </c>
      <c r="H11" s="15" t="n">
        <v>0</v>
      </c>
      <c r="I11" s="15" t="n">
        <v>0</v>
      </c>
      <c r="J11" s="6" t="inlineStr">
        <is>
          <t>5年度／6年度／7年度</t>
        </is>
      </c>
      <c r="K11" s="16" t="n"/>
      <c r="L11" s="16" t="n"/>
      <c r="M11" s="16" t="n"/>
      <c r="N11" s="16" t="n"/>
      <c r="O11" s="16" t="n"/>
      <c r="P11" s="9" t="inlineStr">
        <is>
          <t>介護給付と予防給付の合計で表示。試算は04・05で別々に行う</t>
        </is>
      </c>
    </row>
    <row r="12">
      <c r="A12" s="6" t="inlineStr">
        <is>
          <t>居宅</t>
        </is>
      </c>
      <c r="B12" s="6" t="inlineStr">
        <is>
          <t>短期入所療養介護（介護医療院）</t>
        </is>
      </c>
      <c r="C12" s="6" t="inlineStr">
        <is>
          <t>日</t>
        </is>
      </c>
      <c r="D12" s="15" t="n">
        <v>0</v>
      </c>
      <c r="E12" s="15" t="n">
        <v>0</v>
      </c>
      <c r="F12" s="15" t="n">
        <v>0</v>
      </c>
      <c r="G12" s="15" t="n">
        <v>0</v>
      </c>
      <c r="H12" s="15" t="n">
        <v>0</v>
      </c>
      <c r="I12" s="15" t="n">
        <v>0</v>
      </c>
      <c r="J12" s="6" t="inlineStr">
        <is>
          <t>5年度／6年度／7年度</t>
        </is>
      </c>
      <c r="K12" s="16" t="n"/>
      <c r="L12" s="16" t="n"/>
      <c r="M12" s="16" t="n"/>
      <c r="N12" s="16" t="n"/>
      <c r="O12" s="16" t="n"/>
      <c r="P12" s="9" t="inlineStr">
        <is>
          <t>介護給付と予防給付の合計で表示。試算は04・05で別々に行う</t>
        </is>
      </c>
    </row>
    <row r="13">
      <c r="A13" s="6" t="inlineStr">
        <is>
          <t>居宅</t>
        </is>
      </c>
      <c r="B13" s="6" t="inlineStr">
        <is>
          <t>福祉用具貸与</t>
        </is>
      </c>
      <c r="C13" s="6" t="inlineStr">
        <is>
          <t>人</t>
        </is>
      </c>
      <c r="D13" s="15" t="n">
        <v>0.7704402515723271</v>
      </c>
      <c r="E13" s="15" t="n">
        <v>0.8199827734711456</v>
      </c>
      <c r="F13" s="15" t="n">
        <v>0.849413111938162</v>
      </c>
      <c r="G13" s="15" t="n">
        <v>0.8734612081305468</v>
      </c>
      <c r="H13" s="15" t="n">
        <v>0.8931164681963404</v>
      </c>
      <c r="I13" s="15" t="n">
        <v>0.8895541937920625</v>
      </c>
      <c r="J13" s="6" t="inlineStr">
        <is>
          <t>介護 5年度／6年度／7年度／予防 7年度</t>
        </is>
      </c>
      <c r="K13" s="16" t="n">
        <v>1303.686456400742</v>
      </c>
      <c r="L13" s="16" t="n">
        <v>1315.290266106443</v>
      </c>
      <c r="M13" s="16" t="n">
        <v>1287.011796427368</v>
      </c>
      <c r="N13" s="16" t="n">
        <v>1297.761061946903</v>
      </c>
      <c r="O13" s="16" t="n">
        <v>1354.500162601626</v>
      </c>
      <c r="P13" s="9" t="inlineStr">
        <is>
          <t>介護給付と予防給付の合計で表示。試算は04・05で別々に行う</t>
        </is>
      </c>
    </row>
    <row r="14">
      <c r="A14" s="6" t="inlineStr">
        <is>
          <t>居宅</t>
        </is>
      </c>
      <c r="B14" s="6" t="inlineStr">
        <is>
          <t>特定福祉用具販売</t>
        </is>
      </c>
      <c r="C14" s="6" t="inlineStr">
        <is>
          <t>人</t>
        </is>
      </c>
      <c r="D14" s="15" t="n">
        <v>0.01200686106346484</v>
      </c>
      <c r="E14" s="15" t="n">
        <v>0.01378122308354866</v>
      </c>
      <c r="F14" s="15" t="n">
        <v>0.01574577726882336</v>
      </c>
      <c r="G14" s="15" t="n">
        <v>0.0143143429716576</v>
      </c>
      <c r="H14" s="15" t="n">
        <v>0.01800755155387743</v>
      </c>
      <c r="I14" s="15" t="n">
        <v>0.01616094726276752</v>
      </c>
      <c r="J14" s="6" t="inlineStr">
        <is>
          <t>6年度／7年度</t>
        </is>
      </c>
      <c r="K14" s="16" t="n">
        <v>0</v>
      </c>
      <c r="L14" s="16" t="n">
        <v>0</v>
      </c>
      <c r="M14" s="16" t="n">
        <v>0</v>
      </c>
      <c r="N14" s="16" t="n">
        <v>0</v>
      </c>
      <c r="O14" s="16" t="n">
        <v>0</v>
      </c>
      <c r="P14" s="9" t="inlineStr">
        <is>
          <t>介護給付と予防給付の合計で表示。試算は04・05で別々に行う</t>
        </is>
      </c>
    </row>
    <row r="15">
      <c r="A15" s="6" t="inlineStr">
        <is>
          <t>居宅</t>
        </is>
      </c>
      <c r="B15" s="6" t="inlineStr">
        <is>
          <t>住宅改修</t>
        </is>
      </c>
      <c r="C15" s="6" t="inlineStr">
        <is>
          <t>人</t>
        </is>
      </c>
      <c r="D15" s="15" t="n">
        <v>0.01029159519725558</v>
      </c>
      <c r="E15" s="15" t="n">
        <v>0.0106230261269021</v>
      </c>
      <c r="F15" s="15" t="n">
        <v>0.01030632693959347</v>
      </c>
      <c r="G15" s="15" t="n">
        <v>0.01231033495562554</v>
      </c>
      <c r="H15" s="15" t="n">
        <v>0.009584664536741214</v>
      </c>
      <c r="I15" s="15" t="n">
        <v>0.01094749974618337</v>
      </c>
      <c r="J15" s="6" t="inlineStr">
        <is>
          <t>6年度／7年度</t>
        </is>
      </c>
      <c r="K15" s="16" t="n">
        <v>0</v>
      </c>
      <c r="L15" s="16" t="n">
        <v>0</v>
      </c>
      <c r="M15" s="16" t="n">
        <v>0</v>
      </c>
      <c r="N15" s="16" t="n">
        <v>0</v>
      </c>
      <c r="O15" s="16" t="n">
        <v>0</v>
      </c>
      <c r="P15" s="9" t="inlineStr">
        <is>
          <t>介護給付と予防給付の合計で表示。試算は04・05で別々に行う</t>
        </is>
      </c>
    </row>
    <row r="16">
      <c r="A16" s="6" t="inlineStr">
        <is>
          <t>居宅</t>
        </is>
      </c>
      <c r="B16" s="6" t="inlineStr">
        <is>
          <t>特定施設入居者生活介護</t>
        </is>
      </c>
      <c r="C16" s="6" t="inlineStr">
        <is>
          <t>人</t>
        </is>
      </c>
      <c r="D16" s="15" t="n">
        <v>0.01400800457404231</v>
      </c>
      <c r="E16" s="15" t="n">
        <v>0.009187482055699111</v>
      </c>
      <c r="F16" s="15" t="n">
        <v>0.009161179501860864</v>
      </c>
      <c r="G16" s="15" t="n">
        <v>0.01460062983109075</v>
      </c>
      <c r="H16" s="15" t="n">
        <v>0.0130699970955562</v>
      </c>
      <c r="I16" s="15" t="n">
        <v>0.01227726880950261</v>
      </c>
      <c r="J16" s="6" t="inlineStr">
        <is>
          <t>5年度／6年度／7年度</t>
        </is>
      </c>
      <c r="K16" s="16" t="n">
        <v>0</v>
      </c>
      <c r="L16" s="16" t="n">
        <v>0</v>
      </c>
      <c r="M16" s="16" t="n">
        <v>0</v>
      </c>
      <c r="N16" s="16" t="n">
        <v>0</v>
      </c>
      <c r="O16" s="16" t="n">
        <v>23774.08888888889</v>
      </c>
      <c r="P16" s="9" t="inlineStr">
        <is>
          <t>介護給付と予防給付の合計で表示。試算は04・05で別々に行う</t>
        </is>
      </c>
    </row>
    <row r="17">
      <c r="A17" s="6" t="inlineStr">
        <is>
          <t>居宅</t>
        </is>
      </c>
      <c r="B17" s="6" t="inlineStr">
        <is>
          <t>居宅介護支援・介護予防支援</t>
        </is>
      </c>
      <c r="C17" s="6" t="inlineStr">
        <is>
          <t>人</t>
        </is>
      </c>
      <c r="D17" s="15" t="n">
        <v>1.137507146941109</v>
      </c>
      <c r="E17" s="15" t="n">
        <v>1.13465403387884</v>
      </c>
      <c r="F17" s="15" t="n">
        <v>1.146865158889207</v>
      </c>
      <c r="G17" s="15" t="n">
        <v>1.153449756656169</v>
      </c>
      <c r="H17" s="15" t="n">
        <v>1.148707522509439</v>
      </c>
      <c r="I17" s="15" t="n">
        <v>1.149674146018272</v>
      </c>
      <c r="J17" s="6" t="inlineStr">
        <is>
          <t>5年度／6年度／7年度</t>
        </is>
      </c>
      <c r="K17" s="16" t="n">
        <v>1358.656697662729</v>
      </c>
      <c r="L17" s="16" t="n">
        <v>1338.195850202429</v>
      </c>
      <c r="M17" s="16" t="n">
        <v>1345.415376934598</v>
      </c>
      <c r="N17" s="16" t="n">
        <v>1352.469099032018</v>
      </c>
      <c r="O17" s="16" t="n">
        <v>1319.358027812895</v>
      </c>
      <c r="P17" s="9" t="inlineStr">
        <is>
          <t>介護給付と予防給付の合計で表示。試算は04・05で別々に行う</t>
        </is>
      </c>
    </row>
    <row r="18">
      <c r="A18" s="6" t="inlineStr">
        <is>
          <t>地域密着型</t>
        </is>
      </c>
      <c r="B18" s="6" t="inlineStr">
        <is>
          <t>定期巡回・随時対応型訪問介護看護</t>
        </is>
      </c>
      <c r="C18" s="6" t="inlineStr">
        <is>
          <t>人</t>
        </is>
      </c>
      <c r="D18" s="15" t="n">
        <v>0.02372784448256146</v>
      </c>
      <c r="E18" s="15" t="n">
        <v>0.009474590869939707</v>
      </c>
      <c r="F18" s="15" t="n">
        <v>0.01231033495562554</v>
      </c>
      <c r="G18" s="15" t="n">
        <v>0.009447466361294017</v>
      </c>
      <c r="H18" s="15" t="n">
        <v>0</v>
      </c>
      <c r="I18" s="15" t="n">
        <v>0</v>
      </c>
      <c r="J18" s="6" t="inlineStr">
        <is>
          <t>7年度</t>
        </is>
      </c>
      <c r="K18" s="16" t="n">
        <v>12895.56626506024</v>
      </c>
      <c r="L18" s="16" t="n">
        <v>14172.81818181818</v>
      </c>
      <c r="M18" s="16" t="n">
        <v>14182.6976744186</v>
      </c>
      <c r="N18" s="16" t="n">
        <v>11546.75757575758</v>
      </c>
      <c r="O18" s="16" t="n"/>
      <c r="P18" s="9" t="inlineStr">
        <is>
          <t>介護給付と予防給付の合計で表示。試算は04・05で別々に行う</t>
        </is>
      </c>
    </row>
    <row r="19">
      <c r="A19" s="6" t="inlineStr">
        <is>
          <t>地域密着型</t>
        </is>
      </c>
      <c r="B19" s="6" t="inlineStr">
        <is>
          <t>夜間対応型訪問介護</t>
        </is>
      </c>
      <c r="C19" s="6" t="inlineStr">
        <is>
          <t>人</t>
        </is>
      </c>
      <c r="D19" s="15" t="n">
        <v>0</v>
      </c>
      <c r="E19" s="15" t="n">
        <v>0</v>
      </c>
      <c r="F19" s="15" t="n">
        <v>0</v>
      </c>
      <c r="G19" s="15" t="n">
        <v>0</v>
      </c>
      <c r="H19" s="15" t="n">
        <v>0</v>
      </c>
      <c r="I19" s="15" t="n">
        <v>0</v>
      </c>
      <c r="J19" s="6" t="inlineStr">
        <is>
          <t>5年度／6年度／7年度</t>
        </is>
      </c>
      <c r="K19" s="16" t="n"/>
      <c r="L19" s="16" t="n"/>
      <c r="M19" s="16" t="n"/>
      <c r="N19" s="16" t="n"/>
      <c r="O19" s="16" t="n"/>
      <c r="P19" s="9" t="inlineStr">
        <is>
          <t>介護給付と予防給付の合計で表示。試算は04・05で別々に行う</t>
        </is>
      </c>
    </row>
    <row r="20">
      <c r="A20" s="6" t="inlineStr">
        <is>
          <t>地域密着型</t>
        </is>
      </c>
      <c r="B20" s="6" t="inlineStr">
        <is>
          <t>地域密着型通所介護</t>
        </is>
      </c>
      <c r="C20" s="6" t="inlineStr">
        <is>
          <t>回</t>
        </is>
      </c>
      <c r="D20" s="15" t="n">
        <v>0.004002287021154946</v>
      </c>
      <c r="E20" s="15" t="n">
        <v>0.002871088142405972</v>
      </c>
      <c r="F20" s="15" t="n">
        <v>0.000286286859433152</v>
      </c>
      <c r="G20" s="15" t="n">
        <v>0</v>
      </c>
      <c r="H20" s="15" t="n">
        <v>0</v>
      </c>
      <c r="I20" s="15" t="n">
        <v>0</v>
      </c>
      <c r="J20" s="6" t="inlineStr">
        <is>
          <t>7年度</t>
        </is>
      </c>
      <c r="K20" s="16" t="n">
        <v>9205.071428571429</v>
      </c>
      <c r="L20" s="16" t="n">
        <v>10075.8</v>
      </c>
      <c r="M20" s="16" t="n">
        <v>1235</v>
      </c>
      <c r="N20" s="16" t="n"/>
      <c r="O20" s="16" t="n"/>
      <c r="P20" s="9" t="inlineStr">
        <is>
          <t>介護給付と予防給付の合計で表示。試算は04・05で別々に行う</t>
        </is>
      </c>
    </row>
    <row r="21">
      <c r="A21" s="6" t="inlineStr">
        <is>
          <t>地域密着型</t>
        </is>
      </c>
      <c r="B21" s="6" t="inlineStr">
        <is>
          <t>認知症対応型通所介護</t>
        </is>
      </c>
      <c r="C21" s="6" t="inlineStr">
        <is>
          <t>回</t>
        </is>
      </c>
      <c r="D21" s="15" t="n">
        <v>0.05117209834190966</v>
      </c>
      <c r="E21" s="15" t="n">
        <v>0.0611541774332472</v>
      </c>
      <c r="F21" s="15" t="n">
        <v>0.0292012596621815</v>
      </c>
      <c r="G21" s="15" t="n">
        <v>0.02547953048955053</v>
      </c>
      <c r="H21" s="15" t="n">
        <v>0.03340110368864362</v>
      </c>
      <c r="I21" s="15" t="n">
        <v>0.02936063128012522</v>
      </c>
      <c r="J21" s="6" t="inlineStr">
        <is>
          <t>5年度／6年度／7年度</t>
        </is>
      </c>
      <c r="K21" s="16" t="n">
        <v>13017.73184357542</v>
      </c>
      <c r="L21" s="16" t="n">
        <v>11452.60563380282</v>
      </c>
      <c r="M21" s="16" t="n">
        <v>12323.6862745098</v>
      </c>
      <c r="N21" s="16" t="n">
        <v>13433.88764044944</v>
      </c>
      <c r="O21" s="16" t="n">
        <v>11823.9652173913</v>
      </c>
      <c r="P21" s="9" t="inlineStr">
        <is>
          <t>介護給付と予防給付の合計で表示。試算は04・05で別々に行う</t>
        </is>
      </c>
    </row>
    <row r="22">
      <c r="A22" s="6" t="inlineStr">
        <is>
          <t>地域密着型</t>
        </is>
      </c>
      <c r="B22" s="6" t="inlineStr">
        <is>
          <t>小規模多機能型居宅介護</t>
        </is>
      </c>
      <c r="C22" s="6" t="inlineStr">
        <is>
          <t>人</t>
        </is>
      </c>
      <c r="D22" s="15" t="n">
        <v>0.1192109777015437</v>
      </c>
      <c r="E22" s="15" t="n">
        <v>0.106230261269021</v>
      </c>
      <c r="F22" s="15" t="n">
        <v>0.1067849985685657</v>
      </c>
      <c r="G22" s="15" t="n">
        <v>0.1173776123675923</v>
      </c>
      <c r="H22" s="15" t="n">
        <v>0.1051408655242521</v>
      </c>
      <c r="I22" s="15" t="n">
        <v>0.1097678254868034</v>
      </c>
      <c r="J22" s="6" t="inlineStr">
        <is>
          <t>5年度／6年度／7年度</t>
        </is>
      </c>
      <c r="K22" s="16" t="n">
        <v>17774.88489208633</v>
      </c>
      <c r="L22" s="16" t="n">
        <v>18460.72972972973</v>
      </c>
      <c r="M22" s="16" t="n">
        <v>17214.9946380697</v>
      </c>
      <c r="N22" s="16" t="n">
        <v>16470.15609756098</v>
      </c>
      <c r="O22" s="16" t="n">
        <v>17454.55524861878</v>
      </c>
      <c r="P22" s="9" t="inlineStr">
        <is>
          <t>介護給付と予防給付の合計で表示。試算は04・05で別々に行う</t>
        </is>
      </c>
    </row>
    <row r="23">
      <c r="A23" s="6" t="inlineStr">
        <is>
          <t>地域密着型</t>
        </is>
      </c>
      <c r="B23" s="6" t="inlineStr">
        <is>
          <t>認知症対応型共同生活介護</t>
        </is>
      </c>
      <c r="C23" s="6" t="inlineStr">
        <is>
          <t>人</t>
        </is>
      </c>
      <c r="D23" s="15" t="n">
        <v>0.1689536878216124</v>
      </c>
      <c r="E23" s="15" t="n">
        <v>0.2006890611541774</v>
      </c>
      <c r="F23" s="15" t="n">
        <v>0.1837961637560836</v>
      </c>
      <c r="G23" s="15" t="n">
        <v>0.1849413111938162</v>
      </c>
      <c r="H23" s="15" t="n">
        <v>0.1600348533255881</v>
      </c>
      <c r="I23" s="15" t="n">
        <v>0.1600348533255881</v>
      </c>
      <c r="J23" s="6" t="inlineStr">
        <is>
          <t>7年度</t>
        </is>
      </c>
      <c r="K23" s="16" t="n">
        <v>27290.51607445009</v>
      </c>
      <c r="L23" s="16" t="n">
        <v>27849.51931330472</v>
      </c>
      <c r="M23" s="16" t="n">
        <v>28317.83800623053</v>
      </c>
      <c r="N23" s="16" t="n">
        <v>28404.01702786378</v>
      </c>
      <c r="O23" s="16" t="n">
        <v>28014.91470054446</v>
      </c>
      <c r="P23" s="9" t="inlineStr">
        <is>
          <t>介護給付と予防給付の合計で表示。試算は04・05で別々に行う</t>
        </is>
      </c>
    </row>
    <row r="24">
      <c r="A24" s="6" t="inlineStr">
        <is>
          <t>地域密着型</t>
        </is>
      </c>
      <c r="B24" s="6" t="inlineStr">
        <is>
          <t>地域密着型特定施設入居者生活介護</t>
        </is>
      </c>
      <c r="C24" s="6" t="inlineStr">
        <is>
          <t>人</t>
        </is>
      </c>
      <c r="D24" s="15" t="n">
        <v>0</v>
      </c>
      <c r="E24" s="15" t="n">
        <v>0</v>
      </c>
      <c r="F24" s="15" t="n">
        <v>0</v>
      </c>
      <c r="G24" s="15" t="n">
        <v>0</v>
      </c>
      <c r="H24" s="15" t="n">
        <v>0</v>
      </c>
      <c r="I24" s="15" t="n">
        <v>0</v>
      </c>
      <c r="J24" s="6" t="inlineStr">
        <is>
          <t>5年度／6年度／7年度</t>
        </is>
      </c>
      <c r="K24" s="16" t="n"/>
      <c r="L24" s="16" t="n"/>
      <c r="M24" s="16" t="n"/>
      <c r="N24" s="16" t="n"/>
      <c r="O24" s="16" t="n"/>
      <c r="P24" s="9" t="inlineStr">
        <is>
          <t>介護給付と予防給付の合計で表示。試算は04・05で別々に行う</t>
        </is>
      </c>
    </row>
    <row r="25">
      <c r="A25" s="6" t="inlineStr">
        <is>
          <t>地域密着型</t>
        </is>
      </c>
      <c r="B25" s="6" t="inlineStr">
        <is>
          <t>地域密着型介護老人福祉施設入所者生活介護</t>
        </is>
      </c>
      <c r="C25" s="6" t="inlineStr">
        <is>
          <t>人</t>
        </is>
      </c>
      <c r="D25" s="15" t="n">
        <v>0.1632361349342481</v>
      </c>
      <c r="E25" s="15" t="n">
        <v>0.163939132931381</v>
      </c>
      <c r="F25" s="15" t="n">
        <v>0.1617520755797309</v>
      </c>
      <c r="G25" s="15" t="n">
        <v>0.148869166905239</v>
      </c>
      <c r="H25" s="15" t="n">
        <v>0.1440604124310195</v>
      </c>
      <c r="I25" s="15" t="n">
        <v>0.1515605516386631</v>
      </c>
      <c r="J25" s="6" t="inlineStr">
        <is>
          <t>5年度／6年度／7年度</t>
        </is>
      </c>
      <c r="K25" s="16" t="n">
        <v>26197.77408056042</v>
      </c>
      <c r="L25" s="16" t="n">
        <v>25760.22767075307</v>
      </c>
      <c r="M25" s="16" t="n">
        <v>26372.90442477876</v>
      </c>
      <c r="N25" s="16" t="n">
        <v>28169.71538461539</v>
      </c>
      <c r="O25" s="16" t="n">
        <v>28297.98790322581</v>
      </c>
      <c r="P25" s="9" t="inlineStr">
        <is>
          <t>介護給付と予防給付の合計で表示。試算は04・05で別々に行う</t>
        </is>
      </c>
    </row>
    <row r="26">
      <c r="A26" s="6" t="inlineStr">
        <is>
          <t>地域密着型</t>
        </is>
      </c>
      <c r="B26" s="6" t="inlineStr">
        <is>
          <t>看護小規模多機能型居宅介護</t>
        </is>
      </c>
      <c r="C26" s="6" t="inlineStr">
        <is>
          <t>人</t>
        </is>
      </c>
      <c r="D26" s="15" t="n">
        <v>0</v>
      </c>
      <c r="E26" s="15" t="n">
        <v>0</v>
      </c>
      <c r="F26" s="15" t="n">
        <v>0</v>
      </c>
      <c r="G26" s="15" t="n">
        <v>0</v>
      </c>
      <c r="H26" s="15" t="n">
        <v>0</v>
      </c>
      <c r="I26" s="15" t="n">
        <v>0</v>
      </c>
      <c r="J26" s="6" t="inlineStr">
        <is>
          <t>5年度／6年度／7年度</t>
        </is>
      </c>
      <c r="K26" s="16" t="n"/>
      <c r="L26" s="16" t="n"/>
      <c r="M26" s="16" t="n"/>
      <c r="N26" s="16" t="n"/>
      <c r="O26" s="16" t="n"/>
      <c r="P26" s="9" t="inlineStr">
        <is>
          <t>介護給付と予防給付の合計で表示。試算は04・05で別々に行う</t>
        </is>
      </c>
    </row>
    <row r="27">
      <c r="A27" s="6" t="inlineStr">
        <is>
          <t>施設</t>
        </is>
      </c>
      <c r="B27" s="6" t="inlineStr">
        <is>
          <t>介護老人福祉施設</t>
        </is>
      </c>
      <c r="C27" s="6" t="inlineStr">
        <is>
          <t>人</t>
        </is>
      </c>
      <c r="D27" s="15" t="n">
        <v>0.20926243567753</v>
      </c>
      <c r="E27" s="15" t="n">
        <v>0.205282802182027</v>
      </c>
      <c r="F27" s="15" t="n">
        <v>0.2235900372172917</v>
      </c>
      <c r="G27" s="15" t="n">
        <v>0.2479244202691097</v>
      </c>
      <c r="H27" s="15" t="n">
        <v>0.2401975021783329</v>
      </c>
      <c r="I27" s="15" t="n">
        <v>0.2372373198882448</v>
      </c>
      <c r="J27" s="6" t="inlineStr">
        <is>
          <t>5年度／6年度／7年度</t>
        </is>
      </c>
      <c r="K27" s="16" t="n">
        <v>27828.92896174864</v>
      </c>
      <c r="L27" s="16" t="n">
        <v>27061.47832167832</v>
      </c>
      <c r="M27" s="16" t="n">
        <v>27526.03457106274</v>
      </c>
      <c r="N27" s="16" t="n">
        <v>28181.21131639723</v>
      </c>
      <c r="O27" s="16" t="n">
        <v>27511.07255139057</v>
      </c>
      <c r="P27" s="9" t="inlineStr">
        <is>
          <t>介護給付と予防給付の合計で表示。試算は04・05で別々に行う</t>
        </is>
      </c>
    </row>
    <row r="28">
      <c r="A28" s="6" t="inlineStr">
        <is>
          <t>施設</t>
        </is>
      </c>
      <c r="B28" s="6" t="inlineStr">
        <is>
          <t>介護老人保健施設</t>
        </is>
      </c>
      <c r="C28" s="6" t="inlineStr">
        <is>
          <t>人</t>
        </is>
      </c>
      <c r="D28" s="15" t="n">
        <v>0.1012006861063465</v>
      </c>
      <c r="E28" s="15" t="n">
        <v>0.09417169107091587</v>
      </c>
      <c r="F28" s="15" t="n">
        <v>0.08817635270541083</v>
      </c>
      <c r="G28" s="15" t="n">
        <v>0.1219582021185228</v>
      </c>
      <c r="H28" s="15" t="n">
        <v>0.09962242230612837</v>
      </c>
      <c r="I28" s="15" t="n">
        <v>0.1032523257100207</v>
      </c>
      <c r="J28" s="6" t="inlineStr">
        <is>
          <t>5年度／6年度／7年度</t>
        </is>
      </c>
      <c r="K28" s="16" t="n">
        <v>30605.29943502825</v>
      </c>
      <c r="L28" s="16" t="n">
        <v>30815.68902439025</v>
      </c>
      <c r="M28" s="16" t="n">
        <v>30375.83116883117</v>
      </c>
      <c r="N28" s="16" t="n">
        <v>30503.43896713615</v>
      </c>
      <c r="O28" s="16" t="n">
        <v>30100.67346938776</v>
      </c>
      <c r="P28" s="9" t="inlineStr">
        <is>
          <t>介護給付と予防給付の合計で表示。試算は04・05で別々に行う</t>
        </is>
      </c>
    </row>
    <row r="29">
      <c r="A29" s="6" t="inlineStr">
        <is>
          <t>施設</t>
        </is>
      </c>
      <c r="B29" s="6" t="inlineStr">
        <is>
          <t>介護療養型医療施設</t>
        </is>
      </c>
      <c r="C29" s="6" t="inlineStr">
        <is>
          <t>人</t>
        </is>
      </c>
      <c r="D29" s="15" t="n">
        <v>0.003430531732418525</v>
      </c>
      <c r="E29" s="15" t="n">
        <v>0</v>
      </c>
      <c r="F29" s="15" t="n">
        <v>0</v>
      </c>
      <c r="G29" s="15" t="n">
        <v>0</v>
      </c>
      <c r="H29" s="15" t="n">
        <v>0</v>
      </c>
      <c r="I29" s="15" t="n">
        <v>0</v>
      </c>
      <c r="J29" s="6" t="inlineStr">
        <is>
          <t>7年度</t>
        </is>
      </c>
      <c r="K29" s="16" t="n">
        <v>33062.25</v>
      </c>
      <c r="L29" s="16" t="n"/>
      <c r="M29" s="16" t="n"/>
      <c r="N29" s="16" t="n"/>
      <c r="O29" s="16" t="n"/>
      <c r="P29" s="9" t="inlineStr">
        <is>
          <t>介護給付と予防給付の合計で表示。試算は04・05で別々に行う</t>
        </is>
      </c>
    </row>
    <row r="30">
      <c r="A30" s="6" t="inlineStr">
        <is>
          <t>施設</t>
        </is>
      </c>
      <c r="B30" s="6" t="inlineStr">
        <is>
          <t>介護医療院</t>
        </is>
      </c>
      <c r="C30" s="6" t="inlineStr">
        <is>
          <t>人</t>
        </is>
      </c>
      <c r="D30" s="15" t="n">
        <v>0.0002858776443682104</v>
      </c>
      <c r="E30" s="15" t="n">
        <v>0.0002871088142405972</v>
      </c>
      <c r="F30" s="15" t="n">
        <v>0</v>
      </c>
      <c r="G30" s="15" t="n">
        <v>0.000286286859433152</v>
      </c>
      <c r="H30" s="15" t="n">
        <v>0.004066221318617485</v>
      </c>
      <c r="I30" s="15" t="n">
        <v>0.004066221318617485</v>
      </c>
      <c r="J30" s="6" t="inlineStr">
        <is>
          <t>7年度</t>
        </is>
      </c>
      <c r="K30" s="16" t="n">
        <v>23272</v>
      </c>
      <c r="L30" s="16" t="n">
        <v>4598</v>
      </c>
      <c r="M30" s="16" t="n"/>
      <c r="N30" s="16" t="n">
        <v>33978</v>
      </c>
      <c r="O30" s="16" t="n">
        <v>34203.42857142857</v>
      </c>
      <c r="P30" s="9" t="inlineStr">
        <is>
          <t>介護給付と予防給付の合計で表示。試算は04・05で別々に行う</t>
        </is>
      </c>
    </row>
    <row r="32">
      <c r="A32" s="14" t="inlineStr">
        <is>
          <t>※ 「件数/1号」は第1号被保険者1人当たりの年間利用件数。この率を将来の第1号被保険者数に乗じる。</t>
        </is>
      </c>
    </row>
    <row r="33">
      <c r="A33" s="14" t="inlineStr">
        <is>
          <t>※ 「単位数/件」は1件（＝1人が1か月そのサービスを使ったとき）当たりの単位数。</t>
        </is>
      </c>
    </row>
    <row r="34">
      <c r="A34" s="14" t="inlineStr">
        <is>
          <t xml:space="preserve">　 訪問系の回数、通所・短期入所の日数を推定する手がかりになるが、報酬区分の構成により変動するため、回数・日数の見込量には直接使えない。</t>
        </is>
      </c>
    </row>
    <row r="35">
      <c r="A35" s="14" t="inlineStr">
        <is>
          <t>**※ 回数・日数ベースの見込量には、国保連の給付実績（サービス提供量）または見える化システムのサービス別給付実績が必要。町へ追加依頼する。**</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39"/>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1" customWidth="1" min="1" max="1"/>
    <col width="32" customWidth="1" min="2" max="2"/>
    <col width="8" customWidth="1" min="3" max="3"/>
    <col width="11" customWidth="1" min="4" max="4"/>
    <col width="12" customWidth="1" min="5" max="5"/>
    <col width="10" customWidth="1" min="6" max="6"/>
    <col width="9" customWidth="1" min="7" max="7"/>
    <col width="13" customWidth="1" min="8" max="8"/>
    <col width="10" customWidth="1" min="9" max="9"/>
    <col width="9" customWidth="1" min="10" max="10"/>
    <col width="13" customWidth="1" min="11" max="11"/>
    <col width="10" customWidth="1" min="12" max="12"/>
    <col width="9" customWidth="1" min="13" max="13"/>
    <col width="13" customWidth="1" min="14" max="14"/>
    <col width="10" customWidth="1" min="15" max="15"/>
    <col width="9" customWidth="1" min="16" max="16"/>
    <col width="13" customWidth="1" min="17" max="17"/>
    <col width="15" customWidth="1" min="18" max="18"/>
    <col width="11" customWidth="1" min="19" max="19"/>
  </cols>
  <sheetData>
    <row r="1">
      <c r="A1" s="5" t="inlineStr">
        <is>
          <t>区分</t>
        </is>
      </c>
      <c r="B1" s="5" t="inlineStr">
        <is>
          <t>サービス</t>
        </is>
      </c>
      <c r="C1" s="5" t="inlineStr">
        <is>
          <t>計画表記の単位</t>
        </is>
      </c>
      <c r="D1" s="5" t="inlineStr">
        <is>
          <t>採用件数率</t>
        </is>
      </c>
      <c r="E1" s="5" t="inlineStr">
        <is>
          <t>表示単価(円/件)</t>
        </is>
      </c>
      <c r="F1" s="5" t="inlineStr">
        <is>
          <t>8年度 件数</t>
        </is>
      </c>
      <c r="G1" s="5" t="inlineStr">
        <is>
          <t>8年度 人/月</t>
        </is>
      </c>
      <c r="H1" s="5" t="inlineStr">
        <is>
          <t>8年度 給付費(千円)</t>
        </is>
      </c>
      <c r="I1" s="5" t="inlineStr">
        <is>
          <t>9年度 件数</t>
        </is>
      </c>
      <c r="J1" s="5" t="inlineStr">
        <is>
          <t>9年度 人/月</t>
        </is>
      </c>
      <c r="K1" s="5" t="inlineStr">
        <is>
          <t>9年度 給付費(千円)</t>
        </is>
      </c>
      <c r="L1" s="5" t="inlineStr">
        <is>
          <t>10年度 件数</t>
        </is>
      </c>
      <c r="M1" s="5" t="inlineStr">
        <is>
          <t>10年度 人/月</t>
        </is>
      </c>
      <c r="N1" s="5" t="inlineStr">
        <is>
          <t>10年度 給付費(千円)</t>
        </is>
      </c>
      <c r="O1" s="5" t="inlineStr">
        <is>
          <t>11年度 件数</t>
        </is>
      </c>
      <c r="P1" s="5" t="inlineStr">
        <is>
          <t>11年度 人/月</t>
        </is>
      </c>
      <c r="Q1" s="5" t="inlineStr">
        <is>
          <t>11年度 給付費(千円)</t>
        </is>
      </c>
      <c r="R1" s="5" t="inlineStr">
        <is>
          <t>令和7年度実績(千円)</t>
        </is>
      </c>
      <c r="S1" s="5" t="inlineStr">
        <is>
          <t>R7→R11</t>
        </is>
      </c>
    </row>
    <row r="2">
      <c r="A2" s="6" t="inlineStr">
        <is>
          <t>居宅</t>
        </is>
      </c>
      <c r="B2" s="6" t="inlineStr">
        <is>
          <t>訪問介護</t>
        </is>
      </c>
      <c r="C2" s="6" t="inlineStr">
        <is>
          <t>回</t>
        </is>
      </c>
      <c r="D2" s="17" t="n">
        <v>0.232667234805697</v>
      </c>
      <c r="E2" s="16" t="n">
        <v>40829.54580638403</v>
      </c>
      <c r="F2" s="7" t="n">
        <v>802.4692928448491</v>
      </c>
      <c r="G2" s="8" t="n">
        <v>66.87244107040409</v>
      </c>
      <c r="H2" s="7" t="n">
        <v>32764.45675042537</v>
      </c>
      <c r="I2" s="7" t="n">
        <v>799.9099532619864</v>
      </c>
      <c r="J2" s="8" t="n">
        <v>66.6591627718322</v>
      </c>
      <c r="K2" s="7" t="n">
        <v>32659.96007769278</v>
      </c>
      <c r="L2" s="7" t="n">
        <v>797.5832809139295</v>
      </c>
      <c r="M2" s="8" t="n">
        <v>66.46527340949412</v>
      </c>
      <c r="N2" s="7" t="n">
        <v>32564.96310248135</v>
      </c>
      <c r="O2" s="7" t="n">
        <v>795.2566085658725</v>
      </c>
      <c r="P2" s="8" t="n">
        <v>66.27138404715605</v>
      </c>
      <c r="Q2" s="7" t="n">
        <v>32469.96612726991</v>
      </c>
      <c r="R2" s="16" t="n">
        <v>29747.388</v>
      </c>
      <c r="S2" s="6" t="inlineStr">
        <is>
          <t>+9.2％</t>
        </is>
      </c>
    </row>
    <row r="3">
      <c r="A3" s="6" t="inlineStr">
        <is>
          <t>居宅</t>
        </is>
      </c>
      <c r="B3" s="6" t="inlineStr">
        <is>
          <t>訪問入浴介護</t>
        </is>
      </c>
      <c r="C3" s="6" t="inlineStr">
        <is>
          <t>回</t>
        </is>
      </c>
      <c r="D3" s="17" t="n">
        <v>0.02280632797897359</v>
      </c>
      <c r="E3" s="16" t="n">
        <v>46220.48962172808</v>
      </c>
      <c r="F3" s="7" t="n">
        <v>78.65902519947991</v>
      </c>
      <c r="G3" s="8" t="n">
        <v>6.554918766623326</v>
      </c>
      <c r="H3" s="7" t="n">
        <v>3635.658657887809</v>
      </c>
      <c r="I3" s="7" t="n">
        <v>78.40815559171121</v>
      </c>
      <c r="J3" s="8" t="n">
        <v>6.534012965975934</v>
      </c>
      <c r="K3" s="7" t="n">
        <v>3624.063341785528</v>
      </c>
      <c r="L3" s="7" t="n">
        <v>78.18009231192147</v>
      </c>
      <c r="M3" s="8" t="n">
        <v>6.515007692660123</v>
      </c>
      <c r="N3" s="7" t="n">
        <v>3613.522145328909</v>
      </c>
      <c r="O3" s="7" t="n">
        <v>77.95202903213173</v>
      </c>
      <c r="P3" s="8" t="n">
        <v>6.496002419344311</v>
      </c>
      <c r="Q3" s="7" t="n">
        <v>3602.98094887229</v>
      </c>
      <c r="R3" s="16" t="n">
        <v>3170.413</v>
      </c>
      <c r="S3" s="6" t="inlineStr">
        <is>
          <t>+13.6％</t>
        </is>
      </c>
    </row>
    <row r="4">
      <c r="A4" s="6" t="inlineStr">
        <is>
          <t>居宅</t>
        </is>
      </c>
      <c r="B4" s="6" t="inlineStr">
        <is>
          <t>訪問看護</t>
        </is>
      </c>
      <c r="C4" s="6" t="inlineStr">
        <is>
          <t>回</t>
        </is>
      </c>
      <c r="D4" s="17" t="n">
        <v>0.1386140883346157</v>
      </c>
      <c r="E4" s="16" t="n">
        <v>40729.12144399775</v>
      </c>
      <c r="F4" s="7" t="n">
        <v>478.0799906660894</v>
      </c>
      <c r="G4" s="8" t="n">
        <v>39.83999922217412</v>
      </c>
      <c r="H4" s="7" t="n">
        <v>19471.77799978447</v>
      </c>
      <c r="I4" s="7" t="n">
        <v>476.5552356944087</v>
      </c>
      <c r="J4" s="8" t="n">
        <v>39.71293630786739</v>
      </c>
      <c r="K4" s="7" t="n">
        <v>19409.67606937054</v>
      </c>
      <c r="L4" s="7" t="n">
        <v>475.1690948110625</v>
      </c>
      <c r="M4" s="8" t="n">
        <v>39.59742456758854</v>
      </c>
      <c r="N4" s="7" t="n">
        <v>19353.21976899424</v>
      </c>
      <c r="O4" s="7" t="n">
        <v>473.7829539277163</v>
      </c>
      <c r="P4" s="8" t="n">
        <v>39.48191282730969</v>
      </c>
      <c r="Q4" s="7" t="n">
        <v>19296.76346861795</v>
      </c>
      <c r="R4" s="16" t="n">
        <v>20186.841</v>
      </c>
      <c r="S4" s="6" t="inlineStr">
        <is>
          <t>-4.4％</t>
        </is>
      </c>
    </row>
    <row r="5">
      <c r="A5" s="6" t="inlineStr">
        <is>
          <t>居宅</t>
        </is>
      </c>
      <c r="B5" s="6" t="inlineStr">
        <is>
          <t>訪問リハビリテーション</t>
        </is>
      </c>
      <c r="C5" s="6" t="inlineStr">
        <is>
          <t>回</t>
        </is>
      </c>
      <c r="D5" s="17" t="n">
        <v>0</v>
      </c>
      <c r="E5" s="16" t="n">
        <v>0</v>
      </c>
      <c r="F5" s="7" t="n">
        <v>0</v>
      </c>
      <c r="G5" s="8" t="n">
        <v>0</v>
      </c>
      <c r="H5" s="7" t="n">
        <v>0</v>
      </c>
      <c r="I5" s="7" t="n">
        <v>0</v>
      </c>
      <c r="J5" s="8" t="n">
        <v>0</v>
      </c>
      <c r="K5" s="7" t="n">
        <v>0</v>
      </c>
      <c r="L5" s="7" t="n">
        <v>0</v>
      </c>
      <c r="M5" s="8" t="n">
        <v>0</v>
      </c>
      <c r="N5" s="7" t="n">
        <v>0</v>
      </c>
      <c r="O5" s="7" t="n">
        <v>0</v>
      </c>
      <c r="P5" s="8" t="n">
        <v>0</v>
      </c>
      <c r="Q5" s="7" t="n">
        <v>0</v>
      </c>
      <c r="R5" s="16" t="n">
        <v>0</v>
      </c>
      <c r="S5" s="6" t="inlineStr">
        <is>
          <t>―</t>
        </is>
      </c>
    </row>
    <row r="6">
      <c r="A6" s="6" t="inlineStr">
        <is>
          <t>居宅</t>
        </is>
      </c>
      <c r="B6" s="6" t="inlineStr">
        <is>
          <t>居宅療養管理指導</t>
        </is>
      </c>
      <c r="C6" s="6" t="inlineStr">
        <is>
          <t>人</t>
        </is>
      </c>
      <c r="D6" s="17" t="n">
        <v>0.05962704768623315</v>
      </c>
      <c r="E6" s="16" t="n">
        <v>4504.302513368592</v>
      </c>
      <c r="F6" s="7" t="n">
        <v>205.6536874698181</v>
      </c>
      <c r="G6" s="8" t="n">
        <v>17.13780728915151</v>
      </c>
      <c r="H6" s="7" t="n">
        <v>926.3264213538209</v>
      </c>
      <c r="I6" s="7" t="n">
        <v>204.9977899452696</v>
      </c>
      <c r="J6" s="8" t="n">
        <v>17.0831491621058</v>
      </c>
      <c r="K6" s="7" t="n">
        <v>923.3720604854846</v>
      </c>
      <c r="L6" s="7" t="n">
        <v>204.4015194684072</v>
      </c>
      <c r="M6" s="8" t="n">
        <v>17.0334599557006</v>
      </c>
      <c r="N6" s="7" t="n">
        <v>920.6862778779062</v>
      </c>
      <c r="O6" s="7" t="n">
        <v>203.8052489915449</v>
      </c>
      <c r="P6" s="8" t="n">
        <v>16.98377074929541</v>
      </c>
      <c r="Q6" s="7" t="n">
        <v>918.0004952703275</v>
      </c>
      <c r="R6" s="16" t="n">
        <v>866.4829999999999</v>
      </c>
      <c r="S6" s="6" t="inlineStr">
        <is>
          <t>+5.9％</t>
        </is>
      </c>
    </row>
    <row r="7">
      <c r="A7" s="6" t="inlineStr">
        <is>
          <t>居宅</t>
        </is>
      </c>
      <c r="B7" s="6" t="inlineStr">
        <is>
          <t>通所介護</t>
        </is>
      </c>
      <c r="C7" s="6" t="inlineStr">
        <is>
          <t>回</t>
        </is>
      </c>
      <c r="D7" s="17" t="n">
        <v>0.6195070250593437</v>
      </c>
      <c r="E7" s="16" t="n">
        <v>73698.25456429715</v>
      </c>
      <c r="F7" s="7" t="n">
        <v>2136.679729429677</v>
      </c>
      <c r="G7" s="8" t="n">
        <v>178.0566441191397</v>
      </c>
      <c r="H7" s="7" t="n">
        <v>157469.5666218819</v>
      </c>
      <c r="I7" s="7" t="n">
        <v>2129.865152154024</v>
      </c>
      <c r="J7" s="8" t="n">
        <v>177.488762679502</v>
      </c>
      <c r="K7" s="7" t="n">
        <v>156967.3441710728</v>
      </c>
      <c r="L7" s="7" t="n">
        <v>2123.67008190343</v>
      </c>
      <c r="M7" s="8" t="n">
        <v>176.9725068252859</v>
      </c>
      <c r="N7" s="7" t="n">
        <v>156510.7783067008</v>
      </c>
      <c r="O7" s="7" t="n">
        <v>2117.475011652837</v>
      </c>
      <c r="P7" s="8" t="n">
        <v>176.4562509710697</v>
      </c>
      <c r="Q7" s="7" t="n">
        <v>156054.2124423289</v>
      </c>
      <c r="R7" s="16" t="n">
        <v>152490.576</v>
      </c>
      <c r="S7" s="6" t="inlineStr">
        <is>
          <t>+2.3％</t>
        </is>
      </c>
    </row>
    <row r="8">
      <c r="A8" s="6" t="inlineStr">
        <is>
          <t>居宅</t>
        </is>
      </c>
      <c r="B8" s="6" t="inlineStr">
        <is>
          <t>通所リハビリテーション</t>
        </is>
      </c>
      <c r="C8" s="6" t="inlineStr">
        <is>
          <t>回</t>
        </is>
      </c>
      <c r="D8" s="17" t="n">
        <v>0.08679419888419357</v>
      </c>
      <c r="E8" s="16" t="n">
        <v>47647.0982112151</v>
      </c>
      <c r="F8" s="7" t="n">
        <v>299.3531919515836</v>
      </c>
      <c r="G8" s="8" t="n">
        <v>24.94609932929863</v>
      </c>
      <c r="H8" s="7" t="n">
        <v>14263.31093675783</v>
      </c>
      <c r="I8" s="7" t="n">
        <v>298.3984557638575</v>
      </c>
      <c r="J8" s="8" t="n">
        <v>24.86653798032146</v>
      </c>
      <c r="K8" s="7" t="n">
        <v>14217.82052785544</v>
      </c>
      <c r="L8" s="7" t="n">
        <v>297.5305137750155</v>
      </c>
      <c r="M8" s="8" t="n">
        <v>24.7942094812513</v>
      </c>
      <c r="N8" s="7" t="n">
        <v>14176.46561067146</v>
      </c>
      <c r="O8" s="7" t="n">
        <v>296.6625717861736</v>
      </c>
      <c r="P8" s="8" t="n">
        <v>24.72188098218113</v>
      </c>
      <c r="Q8" s="7" t="n">
        <v>14135.11069348747</v>
      </c>
      <c r="R8" s="16" t="n">
        <v>15575.466</v>
      </c>
      <c r="S8" s="6" t="inlineStr">
        <is>
          <t>-9.2％</t>
        </is>
      </c>
    </row>
    <row r="9">
      <c r="A9" s="6" t="inlineStr">
        <is>
          <t>居宅</t>
        </is>
      </c>
      <c r="B9" s="6" t="inlineStr">
        <is>
          <t>短期入所生活介護</t>
        </is>
      </c>
      <c r="C9" s="6" t="inlineStr">
        <is>
          <t>日</t>
        </is>
      </c>
      <c r="D9" s="17" t="n">
        <v>0.1073751724574136</v>
      </c>
      <c r="E9" s="16" t="n">
        <v>77610.46861748543</v>
      </c>
      <c r="F9" s="7" t="n">
        <v>370.3369698056196</v>
      </c>
      <c r="G9" s="8" t="n">
        <v>30.8614141504683</v>
      </c>
      <c r="H9" s="7" t="n">
        <v>28742.02577299369</v>
      </c>
      <c r="I9" s="7" t="n">
        <v>369.1558429085881</v>
      </c>
      <c r="J9" s="8" t="n">
        <v>30.762986909049</v>
      </c>
      <c r="K9" s="7" t="n">
        <v>28650.35796101836</v>
      </c>
      <c r="L9" s="7" t="n">
        <v>368.0820911840139</v>
      </c>
      <c r="M9" s="8" t="n">
        <v>30.67350759866783</v>
      </c>
      <c r="N9" s="7" t="n">
        <v>28567.02358649532</v>
      </c>
      <c r="O9" s="7" t="n">
        <v>367.0083394594398</v>
      </c>
      <c r="P9" s="8" t="n">
        <v>30.58402828828665</v>
      </c>
      <c r="Q9" s="7" t="n">
        <v>28483.68921197229</v>
      </c>
      <c r="R9" s="16" t="n">
        <v>27393.691</v>
      </c>
      <c r="S9" s="6" t="inlineStr">
        <is>
          <t>+4.0％</t>
        </is>
      </c>
    </row>
    <row r="10">
      <c r="A10" s="6" t="inlineStr">
        <is>
          <t>居宅</t>
        </is>
      </c>
      <c r="B10" s="6" t="inlineStr">
        <is>
          <t>短期入所療養介護（介護老人保健施設）</t>
        </is>
      </c>
      <c r="C10" s="6" t="inlineStr">
        <is>
          <t>日</t>
        </is>
      </c>
      <c r="D10" s="17" t="n">
        <v>0.007194589170041673</v>
      </c>
      <c r="E10" s="16" t="n">
        <v>75093.79041612482</v>
      </c>
      <c r="F10" s="7" t="n">
        <v>24.81413804747373</v>
      </c>
      <c r="G10" s="8" t="n">
        <v>2.067844837289477</v>
      </c>
      <c r="H10" s="7" t="n">
        <v>1863.387681893781</v>
      </c>
      <c r="I10" s="7" t="n">
        <v>24.73499756660327</v>
      </c>
      <c r="J10" s="8" t="n">
        <v>2.061249797216939</v>
      </c>
      <c r="K10" s="7" t="n">
        <v>1857.444723209863</v>
      </c>
      <c r="L10" s="7" t="n">
        <v>24.66305167490286</v>
      </c>
      <c r="M10" s="8" t="n">
        <v>2.055254306241905</v>
      </c>
      <c r="N10" s="7" t="n">
        <v>1852.042033497211</v>
      </c>
      <c r="O10" s="7" t="n">
        <v>24.59110578320244</v>
      </c>
      <c r="P10" s="8" t="n">
        <v>2.04925881526687</v>
      </c>
      <c r="Q10" s="7" t="n">
        <v>1846.639343784559</v>
      </c>
      <c r="R10" s="16" t="n">
        <v>2327.634</v>
      </c>
      <c r="S10" s="6" t="inlineStr">
        <is>
          <t>-20.7％</t>
        </is>
      </c>
    </row>
    <row r="11">
      <c r="A11" s="6" t="inlineStr">
        <is>
          <t>居宅</t>
        </is>
      </c>
      <c r="B11" s="6" t="inlineStr">
        <is>
          <t>短期入所療養介護（病院等）</t>
        </is>
      </c>
      <c r="C11" s="6" t="inlineStr">
        <is>
          <t>日</t>
        </is>
      </c>
      <c r="D11" s="17" t="n">
        <v>0</v>
      </c>
      <c r="E11" s="16" t="n">
        <v>0</v>
      </c>
      <c r="F11" s="7" t="n">
        <v>0</v>
      </c>
      <c r="G11" s="8" t="n">
        <v>0</v>
      </c>
      <c r="H11" s="7" t="n">
        <v>0</v>
      </c>
      <c r="I11" s="7" t="n">
        <v>0</v>
      </c>
      <c r="J11" s="8" t="n">
        <v>0</v>
      </c>
      <c r="K11" s="7" t="n">
        <v>0</v>
      </c>
      <c r="L11" s="7" t="n">
        <v>0</v>
      </c>
      <c r="M11" s="8" t="n">
        <v>0</v>
      </c>
      <c r="N11" s="7" t="n">
        <v>0</v>
      </c>
      <c r="O11" s="7" t="n">
        <v>0</v>
      </c>
      <c r="P11" s="8" t="n">
        <v>0</v>
      </c>
      <c r="Q11" s="7" t="n">
        <v>0</v>
      </c>
      <c r="R11" s="16" t="n">
        <v>0</v>
      </c>
      <c r="S11" s="6" t="inlineStr">
        <is>
          <t>―</t>
        </is>
      </c>
    </row>
    <row r="12">
      <c r="A12" s="6" t="inlineStr">
        <is>
          <t>居宅</t>
        </is>
      </c>
      <c r="B12" s="6" t="inlineStr">
        <is>
          <t>短期入所療養介護（介護医療院）</t>
        </is>
      </c>
      <c r="C12" s="6" t="inlineStr">
        <is>
          <t>日</t>
        </is>
      </c>
      <c r="D12" s="17" t="n">
        <v>0</v>
      </c>
      <c r="E12" s="16" t="n">
        <v>0</v>
      </c>
      <c r="F12" s="7" t="n">
        <v>0</v>
      </c>
      <c r="G12" s="8" t="n">
        <v>0</v>
      </c>
      <c r="H12" s="7" t="n">
        <v>0</v>
      </c>
      <c r="I12" s="7" t="n">
        <v>0</v>
      </c>
      <c r="J12" s="8" t="n">
        <v>0</v>
      </c>
      <c r="K12" s="7" t="n">
        <v>0</v>
      </c>
      <c r="L12" s="7" t="n">
        <v>0</v>
      </c>
      <c r="M12" s="8" t="n">
        <v>0</v>
      </c>
      <c r="N12" s="7" t="n">
        <v>0</v>
      </c>
      <c r="O12" s="7" t="n">
        <v>0</v>
      </c>
      <c r="P12" s="8" t="n">
        <v>0</v>
      </c>
      <c r="Q12" s="7" t="n">
        <v>0</v>
      </c>
      <c r="R12" s="16" t="n">
        <v>0</v>
      </c>
      <c r="S12" s="6" t="inlineStr">
        <is>
          <t>―</t>
        </is>
      </c>
    </row>
    <row r="13">
      <c r="A13" s="6" t="inlineStr">
        <is>
          <t>居宅</t>
        </is>
      </c>
      <c r="B13" s="6" t="inlineStr">
        <is>
          <t>福祉用具貸与</t>
        </is>
      </c>
      <c r="C13" s="6" t="inlineStr">
        <is>
          <t>人</t>
        </is>
      </c>
      <c r="D13" s="17" t="n">
        <v>0.6897284604200032</v>
      </c>
      <c r="E13" s="16" t="n">
        <v>12774.25079084056</v>
      </c>
      <c r="F13" s="7" t="n">
        <v>2378.873459988591</v>
      </c>
      <c r="G13" s="8" t="n">
        <v>198.2394549990493</v>
      </c>
      <c r="H13" s="7" t="n">
        <v>30388.32617756887</v>
      </c>
      <c r="I13" s="7" t="n">
        <v>2371.286446923971</v>
      </c>
      <c r="J13" s="8" t="n">
        <v>197.6072039103309</v>
      </c>
      <c r="K13" s="7" t="n">
        <v>30291.40776992803</v>
      </c>
      <c r="L13" s="7" t="n">
        <v>2364.389162319771</v>
      </c>
      <c r="M13" s="8" t="n">
        <v>197.0324301933142</v>
      </c>
      <c r="N13" s="7" t="n">
        <v>30203.30012661817</v>
      </c>
      <c r="O13" s="7" t="n">
        <v>2357.491877715571</v>
      </c>
      <c r="P13" s="8" t="n">
        <v>196.4576564762976</v>
      </c>
      <c r="Q13" s="7" t="n">
        <v>30115.19248330832</v>
      </c>
      <c r="R13" s="16" t="n">
        <v>31304.782</v>
      </c>
      <c r="S13" s="6" t="inlineStr">
        <is>
          <t>-3.8％</t>
        </is>
      </c>
    </row>
    <row r="14">
      <c r="A14" s="6" t="inlineStr">
        <is>
          <t>居宅</t>
        </is>
      </c>
      <c r="B14" s="6" t="inlineStr">
        <is>
          <t>特定福祉用具販売</t>
        </is>
      </c>
      <c r="C14" s="6" t="inlineStr">
        <is>
          <t>人</t>
        </is>
      </c>
      <c r="D14" s="17" t="n">
        <v>0.01197444887700799</v>
      </c>
      <c r="E14" s="16" t="n">
        <v>36978.74271489034</v>
      </c>
      <c r="F14" s="7" t="n">
        <v>41.29987417680056</v>
      </c>
      <c r="G14" s="8" t="n">
        <v>3.441656181400047</v>
      </c>
      <c r="H14" s="7" t="n">
        <v>1527.217421341251</v>
      </c>
      <c r="I14" s="7" t="n">
        <v>41.16815523915346</v>
      </c>
      <c r="J14" s="8" t="n">
        <v>3.430679603262789</v>
      </c>
      <c r="K14" s="7" t="n">
        <v>1522.346620635321</v>
      </c>
      <c r="L14" s="7" t="n">
        <v>41.04841075038339</v>
      </c>
      <c r="M14" s="8" t="n">
        <v>3.420700895865282</v>
      </c>
      <c r="N14" s="7" t="n">
        <v>1517.918619993566</v>
      </c>
      <c r="O14" s="7" t="n">
        <v>40.92866626161331</v>
      </c>
      <c r="P14" s="8" t="n">
        <v>3.410722188467776</v>
      </c>
      <c r="Q14" s="7" t="n">
        <v>1513.490619351811</v>
      </c>
      <c r="R14" s="16" t="n">
        <v>1722.55</v>
      </c>
      <c r="S14" s="6" t="inlineStr">
        <is>
          <t>-12.1％</t>
        </is>
      </c>
    </row>
    <row r="15">
      <c r="A15" s="6" t="inlineStr">
        <is>
          <t>居宅</t>
        </is>
      </c>
      <c r="B15" s="6" t="inlineStr">
        <is>
          <t>住宅改修</t>
        </is>
      </c>
      <c r="C15" s="6" t="inlineStr">
        <is>
          <t>人</t>
        </is>
      </c>
      <c r="D15" s="17" t="n">
        <v>0.007489191070411018</v>
      </c>
      <c r="E15" s="16" t="n">
        <v>78049.36121597016</v>
      </c>
      <c r="F15" s="7" t="n">
        <v>25.8302200018476</v>
      </c>
      <c r="G15" s="8" t="n">
        <v>2.1525183334873</v>
      </c>
      <c r="H15" s="7" t="n">
        <v>2016.032171212181</v>
      </c>
      <c r="I15" s="7" t="n">
        <v>25.74783890007308</v>
      </c>
      <c r="J15" s="8" t="n">
        <v>2.145653241672757</v>
      </c>
      <c r="K15" s="7" t="n">
        <v>2009.602378842412</v>
      </c>
      <c r="L15" s="7" t="n">
        <v>25.67294698936897</v>
      </c>
      <c r="M15" s="8" t="n">
        <v>2.139412249114081</v>
      </c>
      <c r="N15" s="7" t="n">
        <v>2003.757113051712</v>
      </c>
      <c r="O15" s="7" t="n">
        <v>25.59805507866486</v>
      </c>
      <c r="P15" s="8" t="n">
        <v>2.133171256555405</v>
      </c>
      <c r="Q15" s="7" t="n">
        <v>1997.911847261013</v>
      </c>
      <c r="R15" s="16" t="n">
        <v>1812.993</v>
      </c>
      <c r="S15" s="6" t="inlineStr">
        <is>
          <t>+10.2％</t>
        </is>
      </c>
    </row>
    <row r="16">
      <c r="A16" s="6" t="inlineStr">
        <is>
          <t>居宅</t>
        </is>
      </c>
      <c r="B16" s="6" t="inlineStr">
        <is>
          <t>特定施設入居者生活介護</t>
        </is>
      </c>
      <c r="C16" s="6" t="inlineStr">
        <is>
          <t>人</t>
        </is>
      </c>
      <c r="D16" s="17" t="n">
        <v>0.01227726880950261</v>
      </c>
      <c r="E16" s="16" t="n">
        <v>199991.7284799936</v>
      </c>
      <c r="F16" s="7" t="n">
        <v>42.34430012397449</v>
      </c>
      <c r="G16" s="8" t="n">
        <v>3.528691676997874</v>
      </c>
      <c r="H16" s="7" t="n">
        <v>8468.509773069267</v>
      </c>
      <c r="I16" s="7" t="n">
        <v>42.20925016706996</v>
      </c>
      <c r="J16" s="8" t="n">
        <v>3.517437513922497</v>
      </c>
      <c r="K16" s="7" t="n">
        <v>8441.500898756782</v>
      </c>
      <c r="L16" s="7" t="n">
        <v>42.08647747897493</v>
      </c>
      <c r="M16" s="8" t="n">
        <v>3.507206456581244</v>
      </c>
      <c r="N16" s="7" t="n">
        <v>8416.947376654523</v>
      </c>
      <c r="O16" s="7" t="n">
        <v>41.96370479087991</v>
      </c>
      <c r="P16" s="8" t="n">
        <v>3.496975399239993</v>
      </c>
      <c r="Q16" s="7" t="n">
        <v>8392.393854552263</v>
      </c>
      <c r="R16" s="16" t="n">
        <v>9718.948</v>
      </c>
      <c r="S16" s="6" t="inlineStr">
        <is>
          <t>-13.6％</t>
        </is>
      </c>
    </row>
    <row r="17">
      <c r="A17" s="6" t="inlineStr">
        <is>
          <t>居宅</t>
        </is>
      </c>
      <c r="B17" s="6" t="inlineStr">
        <is>
          <t>居宅介護支援・介護予防支援</t>
        </is>
      </c>
      <c r="C17" s="6" t="inlineStr">
        <is>
          <t>人</t>
        </is>
      </c>
      <c r="D17" s="17" t="n">
        <v>0.9071561653658755</v>
      </c>
      <c r="E17" s="16" t="n">
        <v>15870.6116614193</v>
      </c>
      <c r="F17" s="7" t="n">
        <v>3128.781614346904</v>
      </c>
      <c r="G17" s="8" t="n">
        <v>260.7318011955754</v>
      </c>
      <c r="H17" s="7" t="n">
        <v>49655.67797468829</v>
      </c>
      <c r="I17" s="7" t="n">
        <v>3118.80289652788</v>
      </c>
      <c r="J17" s="8" t="n">
        <v>259.9002413773233</v>
      </c>
      <c r="K17" s="7" t="n">
        <v>49497.30961930367</v>
      </c>
      <c r="L17" s="7" t="n">
        <v>3109.731334874221</v>
      </c>
      <c r="M17" s="8" t="n">
        <v>259.1442779061851</v>
      </c>
      <c r="N17" s="7" t="n">
        <v>49353.33838713582</v>
      </c>
      <c r="O17" s="7" t="n">
        <v>3100.659773220562</v>
      </c>
      <c r="P17" s="8" t="n">
        <v>258.3883144350469</v>
      </c>
      <c r="Q17" s="7" t="n">
        <v>49209.36715496798</v>
      </c>
      <c r="R17" s="16" t="n">
        <v>48080.693</v>
      </c>
      <c r="S17" s="6" t="inlineStr">
        <is>
          <t>+2.3％</t>
        </is>
      </c>
    </row>
    <row r="18">
      <c r="A18" s="6" t="inlineStr">
        <is>
          <t>地域密着型</t>
        </is>
      </c>
      <c r="B18" s="6" t="inlineStr">
        <is>
          <t>定期巡回・随時対応型訪問介護看護</t>
        </is>
      </c>
      <c r="C18" s="6" t="inlineStr">
        <is>
          <t>人</t>
        </is>
      </c>
      <c r="D18" s="17" t="n">
        <v>0</v>
      </c>
      <c r="E18" s="16" t="n">
        <v>0</v>
      </c>
      <c r="F18" s="7" t="n">
        <v>0</v>
      </c>
      <c r="G18" s="8" t="n">
        <v>0</v>
      </c>
      <c r="H18" s="7" t="n">
        <v>0</v>
      </c>
      <c r="I18" s="7" t="n">
        <v>0</v>
      </c>
      <c r="J18" s="8" t="n">
        <v>0</v>
      </c>
      <c r="K18" s="7" t="n">
        <v>0</v>
      </c>
      <c r="L18" s="7" t="n">
        <v>0</v>
      </c>
      <c r="M18" s="8" t="n">
        <v>0</v>
      </c>
      <c r="N18" s="7" t="n">
        <v>0</v>
      </c>
      <c r="O18" s="7" t="n">
        <v>0</v>
      </c>
      <c r="P18" s="8" t="n">
        <v>0</v>
      </c>
      <c r="Q18" s="7" t="n">
        <v>0</v>
      </c>
      <c r="R18" s="16" t="n">
        <v>0</v>
      </c>
      <c r="S18" s="6" t="inlineStr">
        <is>
          <t>―</t>
        </is>
      </c>
    </row>
    <row r="19">
      <c r="A19" s="6" t="inlineStr">
        <is>
          <t>地域密着型</t>
        </is>
      </c>
      <c r="B19" s="6" t="inlineStr">
        <is>
          <t>夜間対応型訪問介護</t>
        </is>
      </c>
      <c r="C19" s="6" t="inlineStr">
        <is>
          <t>人</t>
        </is>
      </c>
      <c r="D19" s="17" t="n">
        <v>0</v>
      </c>
      <c r="E19" s="16" t="n">
        <v>0</v>
      </c>
      <c r="F19" s="7" t="n">
        <v>0</v>
      </c>
      <c r="G19" s="8" t="n">
        <v>0</v>
      </c>
      <c r="H19" s="7" t="n">
        <v>0</v>
      </c>
      <c r="I19" s="7" t="n">
        <v>0</v>
      </c>
      <c r="J19" s="8" t="n">
        <v>0</v>
      </c>
      <c r="K19" s="7" t="n">
        <v>0</v>
      </c>
      <c r="L19" s="7" t="n">
        <v>0</v>
      </c>
      <c r="M19" s="8" t="n">
        <v>0</v>
      </c>
      <c r="N19" s="7" t="n">
        <v>0</v>
      </c>
      <c r="O19" s="7" t="n">
        <v>0</v>
      </c>
      <c r="P19" s="8" t="n">
        <v>0</v>
      </c>
      <c r="Q19" s="7" t="n">
        <v>0</v>
      </c>
      <c r="R19" s="16" t="n">
        <v>0</v>
      </c>
      <c r="S19" s="6" t="inlineStr">
        <is>
          <t>―</t>
        </is>
      </c>
    </row>
    <row r="20">
      <c r="A20" s="6" t="inlineStr">
        <is>
          <t>地域密着型</t>
        </is>
      </c>
      <c r="B20" s="6" t="inlineStr">
        <is>
          <t>地域密着型通所介護</t>
        </is>
      </c>
      <c r="C20" s="6" t="inlineStr">
        <is>
          <t>回</t>
        </is>
      </c>
      <c r="D20" s="17" t="n">
        <v>0</v>
      </c>
      <c r="E20" s="16" t="n">
        <v>0</v>
      </c>
      <c r="F20" s="7" t="n">
        <v>0</v>
      </c>
      <c r="G20" s="8" t="n">
        <v>0</v>
      </c>
      <c r="H20" s="7" t="n">
        <v>0</v>
      </c>
      <c r="I20" s="7" t="n">
        <v>0</v>
      </c>
      <c r="J20" s="8" t="n">
        <v>0</v>
      </c>
      <c r="K20" s="7" t="n">
        <v>0</v>
      </c>
      <c r="L20" s="7" t="n">
        <v>0</v>
      </c>
      <c r="M20" s="8" t="n">
        <v>0</v>
      </c>
      <c r="N20" s="7" t="n">
        <v>0</v>
      </c>
      <c r="O20" s="7" t="n">
        <v>0</v>
      </c>
      <c r="P20" s="8" t="n">
        <v>0</v>
      </c>
      <c r="Q20" s="7" t="n">
        <v>0</v>
      </c>
      <c r="R20" s="16" t="n">
        <v>0</v>
      </c>
      <c r="S20" s="6" t="inlineStr">
        <is>
          <t>―</t>
        </is>
      </c>
    </row>
    <row r="21">
      <c r="A21" s="6" t="inlineStr">
        <is>
          <t>地域密着型</t>
        </is>
      </c>
      <c r="B21" s="6" t="inlineStr">
        <is>
          <t>認知症対応型通所介護</t>
        </is>
      </c>
      <c r="C21" s="6" t="inlineStr">
        <is>
          <t>回</t>
        </is>
      </c>
      <c r="D21" s="17" t="n">
        <v>0.02936063128012522</v>
      </c>
      <c r="E21" s="16" t="n">
        <v>112682.6952285764</v>
      </c>
      <c r="F21" s="7" t="n">
        <v>101.2648172851519</v>
      </c>
      <c r="G21" s="8" t="n">
        <v>8.438734773762656</v>
      </c>
      <c r="H21" s="7" t="n">
        <v>11410.79254352024</v>
      </c>
      <c r="I21" s="7" t="n">
        <v>100.9418503410705</v>
      </c>
      <c r="J21" s="8" t="n">
        <v>8.411820861755876</v>
      </c>
      <c r="K21" s="7" t="n">
        <v>11374.39975779142</v>
      </c>
      <c r="L21" s="7" t="n">
        <v>100.6482440282692</v>
      </c>
      <c r="M21" s="8" t="n">
        <v>8.387353669022437</v>
      </c>
      <c r="N21" s="7" t="n">
        <v>11341.31540712885</v>
      </c>
      <c r="O21" s="7" t="n">
        <v>100.354637715468</v>
      </c>
      <c r="P21" s="8" t="n">
        <v>8.362886476289001</v>
      </c>
      <c r="Q21" s="7" t="n">
        <v>11308.23105646628</v>
      </c>
      <c r="R21" s="16" t="n">
        <v>12237.804</v>
      </c>
      <c r="S21" s="6" t="inlineStr">
        <is>
          <t>-7.6％</t>
        </is>
      </c>
    </row>
    <row r="22">
      <c r="A22" s="6" t="inlineStr">
        <is>
          <t>地域密着型</t>
        </is>
      </c>
      <c r="B22" s="6" t="inlineStr">
        <is>
          <t>小規模多機能型居宅介護</t>
        </is>
      </c>
      <c r="C22" s="6" t="inlineStr">
        <is>
          <t>人</t>
        </is>
      </c>
      <c r="D22" s="17" t="n">
        <v>0.08635566362521871</v>
      </c>
      <c r="E22" s="16" t="n">
        <v>174505.617755753</v>
      </c>
      <c r="F22" s="7" t="n">
        <v>297.8406838433793</v>
      </c>
      <c r="G22" s="8" t="n">
        <v>24.82005698694828</v>
      </c>
      <c r="H22" s="7" t="n">
        <v>51974.87252688482</v>
      </c>
      <c r="I22" s="7" t="n">
        <v>296.8907715435019</v>
      </c>
      <c r="J22" s="8" t="n">
        <v>24.74089762862516</v>
      </c>
      <c r="K22" s="7" t="n">
        <v>51809.10749418093</v>
      </c>
      <c r="L22" s="7" t="n">
        <v>296.0272149072497</v>
      </c>
      <c r="M22" s="8" t="n">
        <v>24.66893457560414</v>
      </c>
      <c r="N22" s="7" t="n">
        <v>51658.41200990466</v>
      </c>
      <c r="O22" s="7" t="n">
        <v>295.1636582709975</v>
      </c>
      <c r="P22" s="8" t="n">
        <v>24.59697152258313</v>
      </c>
      <c r="Q22" s="7" t="n">
        <v>51507.7165256284</v>
      </c>
      <c r="R22" s="16" t="n">
        <v>49578.822</v>
      </c>
      <c r="S22" s="6" t="inlineStr">
        <is>
          <t>+3.9％</t>
        </is>
      </c>
    </row>
    <row r="23">
      <c r="A23" s="6" t="inlineStr">
        <is>
          <t>地域密着型</t>
        </is>
      </c>
      <c r="B23" s="6" t="inlineStr">
        <is>
          <t>認知症対応型共同生活介護</t>
        </is>
      </c>
      <c r="C23" s="6" t="inlineStr">
        <is>
          <t>人</t>
        </is>
      </c>
      <c r="D23" s="17" t="n">
        <v>0.1559686320069707</v>
      </c>
      <c r="E23" s="16" t="n">
        <v>250242.1508379888</v>
      </c>
      <c r="F23" s="7" t="n">
        <v>537.9358117920418</v>
      </c>
      <c r="G23" s="8" t="n">
        <v>44.82798431600349</v>
      </c>
      <c r="H23" s="7" t="n">
        <v>134614.2145556201</v>
      </c>
      <c r="I23" s="7" t="n">
        <v>536.2201568399652</v>
      </c>
      <c r="J23" s="8" t="n">
        <v>44.6850130699971</v>
      </c>
      <c r="K23" s="7" t="n">
        <v>134184.8853703166</v>
      </c>
      <c r="L23" s="7" t="n">
        <v>534.6604705198955</v>
      </c>
      <c r="M23" s="8" t="n">
        <v>44.55503920999129</v>
      </c>
      <c r="N23" s="7" t="n">
        <v>133794.5861109497</v>
      </c>
      <c r="O23" s="7" t="n">
        <v>533.1007841998257</v>
      </c>
      <c r="P23" s="8" t="n">
        <v>44.42506534998548</v>
      </c>
      <c r="Q23" s="7" t="n">
        <v>133404.2868515829</v>
      </c>
      <c r="R23" s="16" t="n">
        <v>134380.035</v>
      </c>
      <c r="S23" s="6" t="inlineStr">
        <is>
          <t>-0.7％</t>
        </is>
      </c>
    </row>
    <row r="24">
      <c r="A24" s="6" t="inlineStr">
        <is>
          <t>地域密着型</t>
        </is>
      </c>
      <c r="B24" s="6" t="inlineStr">
        <is>
          <t>地域密着型特定施設入居者生活介護</t>
        </is>
      </c>
      <c r="C24" s="6" t="inlineStr">
        <is>
          <t>人</t>
        </is>
      </c>
      <c r="D24" s="17" t="n">
        <v>0</v>
      </c>
      <c r="E24" s="16" t="n">
        <v>0</v>
      </c>
      <c r="F24" s="7" t="n">
        <v>0</v>
      </c>
      <c r="G24" s="8" t="n">
        <v>0</v>
      </c>
      <c r="H24" s="7" t="n">
        <v>0</v>
      </c>
      <c r="I24" s="7" t="n">
        <v>0</v>
      </c>
      <c r="J24" s="8" t="n">
        <v>0</v>
      </c>
      <c r="K24" s="7" t="n">
        <v>0</v>
      </c>
      <c r="L24" s="7" t="n">
        <v>0</v>
      </c>
      <c r="M24" s="8" t="n">
        <v>0</v>
      </c>
      <c r="N24" s="7" t="n">
        <v>0</v>
      </c>
      <c r="O24" s="7" t="n">
        <v>0</v>
      </c>
      <c r="P24" s="8" t="n">
        <v>0</v>
      </c>
      <c r="Q24" s="7" t="n">
        <v>0</v>
      </c>
      <c r="R24" s="16" t="n">
        <v>0</v>
      </c>
      <c r="S24" s="6" t="inlineStr">
        <is>
          <t>―</t>
        </is>
      </c>
    </row>
    <row r="25">
      <c r="A25" s="6" t="inlineStr">
        <is>
          <t>地域密着型</t>
        </is>
      </c>
      <c r="B25" s="6" t="inlineStr">
        <is>
          <t>地域密着型介護老人福祉施設入所者生活介護</t>
        </is>
      </c>
      <c r="C25" s="6" t="inlineStr">
        <is>
          <t>人</t>
        </is>
      </c>
      <c r="D25" s="17" t="n">
        <v>0.1515605516386631</v>
      </c>
      <c r="E25" s="16" t="n">
        <v>249304.1190012729</v>
      </c>
      <c r="F25" s="7" t="n">
        <v>522.7323426017491</v>
      </c>
      <c r="G25" s="8" t="n">
        <v>43.56102855014576</v>
      </c>
      <c r="H25" s="7" t="n">
        <v>130319.3261458006</v>
      </c>
      <c r="I25" s="7" t="n">
        <v>521.0651765337238</v>
      </c>
      <c r="J25" s="8" t="n">
        <v>43.42209804447699</v>
      </c>
      <c r="K25" s="7" t="n">
        <v>129903.6947779828</v>
      </c>
      <c r="L25" s="7" t="n">
        <v>519.5495710173373</v>
      </c>
      <c r="M25" s="8" t="n">
        <v>43.29579758477811</v>
      </c>
      <c r="N25" s="7" t="n">
        <v>129525.8480799665</v>
      </c>
      <c r="O25" s="7" t="n">
        <v>518.0339655009506</v>
      </c>
      <c r="P25" s="8" t="n">
        <v>43.16949712507921</v>
      </c>
      <c r="Q25" s="7" t="n">
        <v>129148.0013819503</v>
      </c>
      <c r="R25" s="16" t="n">
        <v>126349.617</v>
      </c>
      <c r="S25" s="6" t="inlineStr">
        <is>
          <t>+2.2％</t>
        </is>
      </c>
    </row>
    <row r="26">
      <c r="A26" s="6" t="inlineStr">
        <is>
          <t>地域密着型</t>
        </is>
      </c>
      <c r="B26" s="6" t="inlineStr">
        <is>
          <t>看護小規模多機能型居宅介護</t>
        </is>
      </c>
      <c r="C26" s="6" t="inlineStr">
        <is>
          <t>人</t>
        </is>
      </c>
      <c r="D26" s="17" t="n">
        <v>0</v>
      </c>
      <c r="E26" s="16" t="n">
        <v>0</v>
      </c>
      <c r="F26" s="7" t="n">
        <v>0</v>
      </c>
      <c r="G26" s="8" t="n">
        <v>0</v>
      </c>
      <c r="H26" s="7" t="n">
        <v>0</v>
      </c>
      <c r="I26" s="7" t="n">
        <v>0</v>
      </c>
      <c r="J26" s="8" t="n">
        <v>0</v>
      </c>
      <c r="K26" s="7" t="n">
        <v>0</v>
      </c>
      <c r="L26" s="7" t="n">
        <v>0</v>
      </c>
      <c r="M26" s="8" t="n">
        <v>0</v>
      </c>
      <c r="N26" s="7" t="n">
        <v>0</v>
      </c>
      <c r="O26" s="7" t="n">
        <v>0</v>
      </c>
      <c r="P26" s="8" t="n">
        <v>0</v>
      </c>
      <c r="Q26" s="7" t="n">
        <v>0</v>
      </c>
      <c r="R26" s="16" t="n">
        <v>0</v>
      </c>
      <c r="S26" s="6" t="inlineStr">
        <is>
          <t>―</t>
        </is>
      </c>
    </row>
    <row r="27">
      <c r="A27" s="6" t="inlineStr">
        <is>
          <t>施設</t>
        </is>
      </c>
      <c r="B27" s="6" t="inlineStr">
        <is>
          <t>介護老人福祉施設</t>
        </is>
      </c>
      <c r="C27" s="6" t="inlineStr">
        <is>
          <t>人</t>
        </is>
      </c>
      <c r="D27" s="17" t="n">
        <v>0.2372373198882448</v>
      </c>
      <c r="E27" s="16" t="n">
        <v>250649.2353616817</v>
      </c>
      <c r="F27" s="7" t="n">
        <v>818.2315162945562</v>
      </c>
      <c r="G27" s="8" t="n">
        <v>68.18595969121301</v>
      </c>
      <c r="H27" s="7" t="n">
        <v>205089.1039080599</v>
      </c>
      <c r="I27" s="7" t="n">
        <v>815.6219057757854</v>
      </c>
      <c r="J27" s="8" t="n">
        <v>67.96849214798212</v>
      </c>
      <c r="K27" s="7" t="n">
        <v>204435.0070269382</v>
      </c>
      <c r="L27" s="7" t="n">
        <v>813.249532576903</v>
      </c>
      <c r="M27" s="8" t="n">
        <v>67.77079438140858</v>
      </c>
      <c r="N27" s="7" t="n">
        <v>203840.3734986458</v>
      </c>
      <c r="O27" s="7" t="n">
        <v>810.8771593780206</v>
      </c>
      <c r="P27" s="8" t="n">
        <v>67.57309661483505</v>
      </c>
      <c r="Q27" s="7" t="n">
        <v>203245.7399703533</v>
      </c>
      <c r="R27" s="16" t="n">
        <v>204849.64</v>
      </c>
      <c r="S27" s="6" t="inlineStr">
        <is>
          <t>-0.8％</t>
        </is>
      </c>
    </row>
    <row r="28">
      <c r="A28" s="6" t="inlineStr">
        <is>
          <t>施設</t>
        </is>
      </c>
      <c r="B28" s="6" t="inlineStr">
        <is>
          <t>介護老人保健施設</t>
        </is>
      </c>
      <c r="C28" s="6" t="inlineStr">
        <is>
          <t>人</t>
        </is>
      </c>
      <c r="D28" s="17" t="n">
        <v>0.1032523257100207</v>
      </c>
      <c r="E28" s="16" t="n">
        <v>273430.6329498911</v>
      </c>
      <c r="F28" s="7" t="n">
        <v>356.1172713738612</v>
      </c>
      <c r="G28" s="8" t="n">
        <v>29.6764392811551</v>
      </c>
      <c r="H28" s="7" t="n">
        <v>97373.37091614302</v>
      </c>
      <c r="I28" s="7" t="n">
        <v>354.981495791051</v>
      </c>
      <c r="J28" s="8" t="n">
        <v>29.58179131592092</v>
      </c>
      <c r="K28" s="7" t="n">
        <v>97062.81507964619</v>
      </c>
      <c r="L28" s="7" t="n">
        <v>353.9489725339508</v>
      </c>
      <c r="M28" s="8" t="n">
        <v>29.49574771116257</v>
      </c>
      <c r="N28" s="7" t="n">
        <v>96780.49159192179</v>
      </c>
      <c r="O28" s="7" t="n">
        <v>352.9164492768506</v>
      </c>
      <c r="P28" s="8" t="n">
        <v>29.40970410640422</v>
      </c>
      <c r="Q28" s="7" t="n">
        <v>96498.16810419739</v>
      </c>
      <c r="R28" s="16" t="n">
        <v>92523.077</v>
      </c>
      <c r="S28" s="6" t="inlineStr">
        <is>
          <t>+4.3％</t>
        </is>
      </c>
    </row>
    <row r="29">
      <c r="A29" s="6" t="inlineStr">
        <is>
          <t>施設</t>
        </is>
      </c>
      <c r="B29" s="6" t="inlineStr">
        <is>
          <t>介護療養型医療施設</t>
        </is>
      </c>
      <c r="C29" s="6" t="inlineStr">
        <is>
          <t>人</t>
        </is>
      </c>
      <c r="D29" s="17" t="n">
        <v>0</v>
      </c>
      <c r="E29" s="16" t="n">
        <v>0</v>
      </c>
      <c r="F29" s="7" t="n">
        <v>0</v>
      </c>
      <c r="G29" s="8" t="n">
        <v>0</v>
      </c>
      <c r="H29" s="7" t="n">
        <v>0</v>
      </c>
      <c r="I29" s="7" t="n">
        <v>0</v>
      </c>
      <c r="J29" s="8" t="n">
        <v>0</v>
      </c>
      <c r="K29" s="7" t="n">
        <v>0</v>
      </c>
      <c r="L29" s="7" t="n">
        <v>0</v>
      </c>
      <c r="M29" s="8" t="n">
        <v>0</v>
      </c>
      <c r="N29" s="7" t="n">
        <v>0</v>
      </c>
      <c r="O29" s="7" t="n">
        <v>0</v>
      </c>
      <c r="P29" s="8" t="n">
        <v>0</v>
      </c>
      <c r="Q29" s="7" t="n">
        <v>0</v>
      </c>
      <c r="R29" s="16" t="n">
        <v>0</v>
      </c>
      <c r="S29" s="6" t="inlineStr">
        <is>
          <t>―</t>
        </is>
      </c>
    </row>
    <row r="30">
      <c r="A30" s="6" t="inlineStr">
        <is>
          <t>施設</t>
        </is>
      </c>
      <c r="B30" s="6" t="inlineStr">
        <is>
          <t>介護医療院</t>
        </is>
      </c>
      <c r="C30" s="6" t="inlineStr">
        <is>
          <t>人</t>
        </is>
      </c>
      <c r="D30" s="17" t="n">
        <v>0.004066221318617485</v>
      </c>
      <c r="E30" s="16" t="n">
        <v>307830.8571428572</v>
      </c>
      <c r="F30" s="7" t="n">
        <v>14.02439732791171</v>
      </c>
      <c r="G30" s="8" t="n">
        <v>1.168699777325976</v>
      </c>
      <c r="H30" s="7" t="n">
        <v>4317.142250363056</v>
      </c>
      <c r="I30" s="7" t="n">
        <v>13.97966889340691</v>
      </c>
      <c r="J30" s="8" t="n">
        <v>1.164972407783909</v>
      </c>
      <c r="K30" s="7" t="n">
        <v>4303.373458030787</v>
      </c>
      <c r="L30" s="7" t="n">
        <v>13.93900668022074</v>
      </c>
      <c r="M30" s="8" t="n">
        <v>1.161583890018395</v>
      </c>
      <c r="N30" s="7" t="n">
        <v>4290.856374092362</v>
      </c>
      <c r="O30" s="7" t="n">
        <v>13.89834446703456</v>
      </c>
      <c r="P30" s="8" t="n">
        <v>1.15819537225288</v>
      </c>
      <c r="Q30" s="7" t="n">
        <v>4278.339290153936</v>
      </c>
      <c r="R30" s="16" t="n">
        <v>4309.632</v>
      </c>
      <c r="S30" s="6" t="inlineStr">
        <is>
          <t>-0.7％</t>
        </is>
      </c>
    </row>
    <row r="31">
      <c r="A31" s="10" t="inlineStr">
        <is>
          <t>合計</t>
        </is>
      </c>
      <c r="B31" s="10" t="inlineStr"/>
      <c r="C31" s="10" t="inlineStr"/>
      <c r="D31" s="18" t="inlineStr"/>
      <c r="E31" s="11" t="inlineStr"/>
      <c r="F31" s="11">
        <f>SUM(F2:F30)</f>
        <v/>
      </c>
      <c r="G31" s="12">
        <f>SUM(G2:G30)</f>
        <v/>
      </c>
      <c r="H31" s="11">
        <f>SUM(H2:H30)</f>
        <v/>
      </c>
      <c r="I31" s="11">
        <f>SUM(I2:I30)</f>
        <v/>
      </c>
      <c r="J31" s="12">
        <f>SUM(J2:J30)</f>
        <v/>
      </c>
      <c r="K31" s="11">
        <f>SUM(K2:K30)</f>
        <v/>
      </c>
      <c r="L31" s="11">
        <f>SUM(L2:L30)</f>
        <v/>
      </c>
      <c r="M31" s="12">
        <f>SUM(M2:M30)</f>
        <v/>
      </c>
      <c r="N31" s="11">
        <f>SUM(N2:N30)</f>
        <v/>
      </c>
      <c r="O31" s="11">
        <f>SUM(O2:O30)</f>
        <v/>
      </c>
      <c r="P31" s="12">
        <f>SUM(P2:P30)</f>
        <v/>
      </c>
      <c r="Q31" s="11">
        <f>SUM(Q2:Q30)</f>
        <v/>
      </c>
      <c r="R31" s="11">
        <f>SUM(R2:R30)</f>
        <v/>
      </c>
      <c r="S31" s="10" t="inlineStr"/>
    </row>
    <row r="33">
      <c r="A33" s="14" t="inlineStr">
        <is>
          <t>※ 介護給付（要介護1〜5）。件数＝採用件数率×第1号被保険者数（第10期将来推計用推計人口）。</t>
        </is>
      </c>
    </row>
    <row r="34">
      <c r="A34" s="14" t="inlineStr">
        <is>
          <t>※ 「人/月」は件数÷12。計画書の見込量表に載せる月あたり延べ利用者数にあたる。</t>
        </is>
      </c>
    </row>
    <row r="35">
      <c r="A35" s="14" t="inlineStr">
        <is>
          <t>※ 給付費＝給付費率×第1号被保険者数。給付費率は基準期間の「価格調整後の給付費÷第1号被保険者数」の平均。</t>
        </is>
      </c>
    </row>
    <row r="36">
      <c r="A36" s="14" t="inlineStr">
        <is>
          <t xml:space="preserve">　 令和9年度以降はこれに報酬改定率(1+0.000)を乗じている。</t>
        </is>
      </c>
    </row>
    <row r="37">
      <c r="A37" s="14" t="inlineStr">
        <is>
          <t>**※ 平均件数に直近単価を乗じる方法は採らなかった。件数と単価が逆方向に動くサービスで給付費を二重に見込むため（00シート参照）。表示単価は給付費÷件数の結果である。**</t>
        </is>
      </c>
    </row>
    <row r="38">
      <c r="A38" s="14" t="inlineStr">
        <is>
          <t>※ 令和8年度は第9期の最終年度であり、第10期の見込みではない。実績との突合に使う。</t>
        </is>
      </c>
    </row>
    <row r="39">
      <c r="A39" s="14" t="inlineStr">
        <is>
          <t>※ この表は件数（延べ利用者数）ベース。回数・日数ベースの表記は給付実績データの受領後に行う。</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27"/>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1" customWidth="1" min="1" max="1"/>
    <col width="32" customWidth="1" min="2" max="2"/>
    <col width="8" customWidth="1" min="3" max="3"/>
    <col width="11" customWidth="1" min="4" max="4"/>
    <col width="12" customWidth="1" min="5" max="5"/>
    <col width="10" customWidth="1" min="6" max="6"/>
    <col width="9" customWidth="1" min="7" max="7"/>
    <col width="13" customWidth="1" min="8" max="8"/>
    <col width="10" customWidth="1" min="9" max="9"/>
    <col width="9" customWidth="1" min="10" max="10"/>
    <col width="13" customWidth="1" min="11" max="11"/>
    <col width="10" customWidth="1" min="12" max="12"/>
    <col width="9" customWidth="1" min="13" max="13"/>
    <col width="13" customWidth="1" min="14" max="14"/>
    <col width="10" customWidth="1" min="15" max="15"/>
    <col width="9" customWidth="1" min="16" max="16"/>
    <col width="13" customWidth="1" min="17" max="17"/>
    <col width="15" customWidth="1" min="18" max="18"/>
    <col width="11" customWidth="1" min="19" max="19"/>
  </cols>
  <sheetData>
    <row r="1">
      <c r="A1" s="5" t="inlineStr">
        <is>
          <t>区分</t>
        </is>
      </c>
      <c r="B1" s="5" t="inlineStr">
        <is>
          <t>サービス</t>
        </is>
      </c>
      <c r="C1" s="5" t="inlineStr">
        <is>
          <t>計画表記の単位</t>
        </is>
      </c>
      <c r="D1" s="5" t="inlineStr">
        <is>
          <t>採用件数率</t>
        </is>
      </c>
      <c r="E1" s="5" t="inlineStr">
        <is>
          <t>表示単価(円/件)</t>
        </is>
      </c>
      <c r="F1" s="5" t="inlineStr">
        <is>
          <t>8年度 件数</t>
        </is>
      </c>
      <c r="G1" s="5" t="inlineStr">
        <is>
          <t>8年度 人/月</t>
        </is>
      </c>
      <c r="H1" s="5" t="inlineStr">
        <is>
          <t>8年度 給付費(千円)</t>
        </is>
      </c>
      <c r="I1" s="5" t="inlineStr">
        <is>
          <t>9年度 件数</t>
        </is>
      </c>
      <c r="J1" s="5" t="inlineStr">
        <is>
          <t>9年度 人/月</t>
        </is>
      </c>
      <c r="K1" s="5" t="inlineStr">
        <is>
          <t>9年度 給付費(千円)</t>
        </is>
      </c>
      <c r="L1" s="5" t="inlineStr">
        <is>
          <t>10年度 件数</t>
        </is>
      </c>
      <c r="M1" s="5" t="inlineStr">
        <is>
          <t>10年度 人/月</t>
        </is>
      </c>
      <c r="N1" s="5" t="inlineStr">
        <is>
          <t>10年度 給付費(千円)</t>
        </is>
      </c>
      <c r="O1" s="5" t="inlineStr">
        <is>
          <t>11年度 件数</t>
        </is>
      </c>
      <c r="P1" s="5" t="inlineStr">
        <is>
          <t>11年度 人/月</t>
        </is>
      </c>
      <c r="Q1" s="5" t="inlineStr">
        <is>
          <t>11年度 給付費(千円)</t>
        </is>
      </c>
      <c r="R1" s="5" t="inlineStr">
        <is>
          <t>令和7年度実績(千円)</t>
        </is>
      </c>
      <c r="S1" s="5" t="inlineStr">
        <is>
          <t>R7→R11</t>
        </is>
      </c>
    </row>
    <row r="2">
      <c r="A2" s="6" t="inlineStr">
        <is>
          <t>居宅</t>
        </is>
      </c>
      <c r="B2" s="6" t="inlineStr">
        <is>
          <t>訪問入浴介護</t>
        </is>
      </c>
      <c r="C2" s="6" t="inlineStr">
        <is>
          <t>回</t>
        </is>
      </c>
      <c r="D2" s="17" t="n">
        <v>0</v>
      </c>
      <c r="E2" s="16" t="n">
        <v>0</v>
      </c>
      <c r="F2" s="7" t="n">
        <v>0</v>
      </c>
      <c r="G2" s="8" t="n">
        <v>0</v>
      </c>
      <c r="H2" s="7" t="n">
        <v>0</v>
      </c>
      <c r="I2" s="7" t="n">
        <v>0</v>
      </c>
      <c r="J2" s="8" t="n">
        <v>0</v>
      </c>
      <c r="K2" s="7" t="n">
        <v>0</v>
      </c>
      <c r="L2" s="7" t="n">
        <v>0</v>
      </c>
      <c r="M2" s="8" t="n">
        <v>0</v>
      </c>
      <c r="N2" s="7" t="n">
        <v>0</v>
      </c>
      <c r="O2" s="7" t="n">
        <v>0</v>
      </c>
      <c r="P2" s="8" t="n">
        <v>0</v>
      </c>
      <c r="Q2" s="7" t="n">
        <v>0</v>
      </c>
      <c r="R2" s="16" t="n">
        <v>0</v>
      </c>
      <c r="S2" s="6" t="inlineStr">
        <is>
          <t>―</t>
        </is>
      </c>
    </row>
    <row r="3">
      <c r="A3" s="6" t="inlineStr">
        <is>
          <t>居宅</t>
        </is>
      </c>
      <c r="B3" s="6" t="inlineStr">
        <is>
          <t>訪問看護</t>
        </is>
      </c>
      <c r="C3" s="6" t="inlineStr">
        <is>
          <t>回</t>
        </is>
      </c>
      <c r="D3" s="17" t="n">
        <v>0.01939860246889641</v>
      </c>
      <c r="E3" s="16" t="n">
        <v>27670.64599414647</v>
      </c>
      <c r="F3" s="7" t="n">
        <v>66.90577991522373</v>
      </c>
      <c r="G3" s="8" t="n">
        <v>5.575481659601977</v>
      </c>
      <c r="H3" s="7" t="n">
        <v>1851.326150996431</v>
      </c>
      <c r="I3" s="7" t="n">
        <v>66.69239528806587</v>
      </c>
      <c r="J3" s="8" t="n">
        <v>5.557699607338822</v>
      </c>
      <c r="K3" s="7" t="n">
        <v>1845.421660517753</v>
      </c>
      <c r="L3" s="7" t="n">
        <v>66.4984092633769</v>
      </c>
      <c r="M3" s="8" t="n">
        <v>5.541534105281408</v>
      </c>
      <c r="N3" s="7" t="n">
        <v>1840.053941900773</v>
      </c>
      <c r="O3" s="7" t="n">
        <v>66.30442323868793</v>
      </c>
      <c r="P3" s="8" t="n">
        <v>5.525368603223995</v>
      </c>
      <c r="Q3" s="7" t="n">
        <v>1834.686223283793</v>
      </c>
      <c r="R3" s="16" t="n">
        <v>2213.819</v>
      </c>
      <c r="S3" s="6" t="inlineStr">
        <is>
          <t>-17.1％</t>
        </is>
      </c>
    </row>
    <row r="4">
      <c r="A4" s="6" t="inlineStr">
        <is>
          <t>居宅</t>
        </is>
      </c>
      <c r="B4" s="6" t="inlineStr">
        <is>
          <t>訪問リハビリテーション</t>
        </is>
      </c>
      <c r="C4" s="6" t="inlineStr">
        <is>
          <t>回</t>
        </is>
      </c>
      <c r="D4" s="17" t="n">
        <v>0</v>
      </c>
      <c r="E4" s="16" t="n">
        <v>0</v>
      </c>
      <c r="F4" s="7" t="n">
        <v>0</v>
      </c>
      <c r="G4" s="8" t="n">
        <v>0</v>
      </c>
      <c r="H4" s="7" t="n">
        <v>0</v>
      </c>
      <c r="I4" s="7" t="n">
        <v>0</v>
      </c>
      <c r="J4" s="8" t="n">
        <v>0</v>
      </c>
      <c r="K4" s="7" t="n">
        <v>0</v>
      </c>
      <c r="L4" s="7" t="n">
        <v>0</v>
      </c>
      <c r="M4" s="8" t="n">
        <v>0</v>
      </c>
      <c r="N4" s="7" t="n">
        <v>0</v>
      </c>
      <c r="O4" s="7" t="n">
        <v>0</v>
      </c>
      <c r="P4" s="8" t="n">
        <v>0</v>
      </c>
      <c r="Q4" s="7" t="n">
        <v>0</v>
      </c>
      <c r="R4" s="16" t="n">
        <v>0</v>
      </c>
      <c r="S4" s="6" t="inlineStr">
        <is>
          <t>―</t>
        </is>
      </c>
    </row>
    <row r="5">
      <c r="A5" s="6" t="inlineStr">
        <is>
          <t>居宅</t>
        </is>
      </c>
      <c r="B5" s="6" t="inlineStr">
        <is>
          <t>居宅療養管理指導</t>
        </is>
      </c>
      <c r="C5" s="6" t="inlineStr">
        <is>
          <t>人</t>
        </is>
      </c>
      <c r="D5" s="17" t="n">
        <v>0.00700095958344084</v>
      </c>
      <c r="E5" s="16" t="n">
        <v>5354.206863798503</v>
      </c>
      <c r="F5" s="7" t="n">
        <v>24.14630960328746</v>
      </c>
      <c r="G5" s="8" t="n">
        <v>2.012192466940621</v>
      </c>
      <c r="H5" s="7" t="n">
        <v>129.2843366133254</v>
      </c>
      <c r="I5" s="7" t="n">
        <v>24.06929904786961</v>
      </c>
      <c r="J5" s="8" t="n">
        <v>2.005774920655801</v>
      </c>
      <c r="K5" s="7" t="n">
        <v>128.8720061689222</v>
      </c>
      <c r="L5" s="7" t="n">
        <v>23.9992894520352</v>
      </c>
      <c r="M5" s="8" t="n">
        <v>1.9999407876696</v>
      </c>
      <c r="N5" s="7" t="n">
        <v>128.4971603103739</v>
      </c>
      <c r="O5" s="7" t="n">
        <v>23.92927985620079</v>
      </c>
      <c r="P5" s="8" t="n">
        <v>1.994106654683399</v>
      </c>
      <c r="Q5" s="7" t="n">
        <v>128.1223144518255</v>
      </c>
      <c r="R5" s="16" t="n">
        <v>132.372</v>
      </c>
      <c r="S5" s="6" t="inlineStr">
        <is>
          <t>-3.2％</t>
        </is>
      </c>
    </row>
    <row r="6">
      <c r="A6" s="6" t="inlineStr">
        <is>
          <t>居宅</t>
        </is>
      </c>
      <c r="B6" s="6" t="inlineStr">
        <is>
          <t>通所リハビリテーション</t>
        </is>
      </c>
      <c r="C6" s="6" t="inlineStr">
        <is>
          <t>回</t>
        </is>
      </c>
      <c r="D6" s="17" t="n">
        <v>0.08510142285040323</v>
      </c>
      <c r="E6" s="16" t="n">
        <v>37630.6414898314</v>
      </c>
      <c r="F6" s="7" t="n">
        <v>293.5148074110407</v>
      </c>
      <c r="G6" s="8" t="n">
        <v>24.4595672842534</v>
      </c>
      <c r="H6" s="7" t="n">
        <v>11045.15048964178</v>
      </c>
      <c r="I6" s="7" t="n">
        <v>292.5786917596863</v>
      </c>
      <c r="J6" s="8" t="n">
        <v>24.38155764664053</v>
      </c>
      <c r="K6" s="7" t="n">
        <v>11009.92385717264</v>
      </c>
      <c r="L6" s="7" t="n">
        <v>291.7276775311823</v>
      </c>
      <c r="M6" s="8" t="n">
        <v>24.31063979426519</v>
      </c>
      <c r="N6" s="7" t="n">
        <v>10977.89964583706</v>
      </c>
      <c r="O6" s="7" t="n">
        <v>290.8766633026783</v>
      </c>
      <c r="P6" s="8" t="n">
        <v>24.23972194188985</v>
      </c>
      <c r="Q6" s="7" t="n">
        <v>10945.87543450148</v>
      </c>
      <c r="R6" s="16" t="n">
        <v>11689.154</v>
      </c>
      <c r="S6" s="6" t="inlineStr">
        <is>
          <t>-6.4％</t>
        </is>
      </c>
    </row>
    <row r="7">
      <c r="A7" s="6" t="inlineStr">
        <is>
          <t>居宅</t>
        </is>
      </c>
      <c r="B7" s="6" t="inlineStr">
        <is>
          <t>短期入所生活介護</t>
        </is>
      </c>
      <c r="C7" s="6" t="inlineStr">
        <is>
          <t>日</t>
        </is>
      </c>
      <c r="D7" s="17" t="n">
        <v>0.001539335811714435</v>
      </c>
      <c r="E7" s="16" t="n">
        <v>27949.48732952393</v>
      </c>
      <c r="F7" s="7" t="n">
        <v>5.309169214603085</v>
      </c>
      <c r="G7" s="8" t="n">
        <v>0.4424307678835904</v>
      </c>
      <c r="H7" s="7" t="n">
        <v>148.3885576938474</v>
      </c>
      <c r="I7" s="7" t="n">
        <v>5.292236520674226</v>
      </c>
      <c r="J7" s="8" t="n">
        <v>0.4410197100561855</v>
      </c>
      <c r="K7" s="7" t="n">
        <v>147.9152975794281</v>
      </c>
      <c r="L7" s="7" t="n">
        <v>5.276843162557083</v>
      </c>
      <c r="M7" s="8" t="n">
        <v>0.4397369302130902</v>
      </c>
      <c r="N7" s="7" t="n">
        <v>147.4850611117741</v>
      </c>
      <c r="O7" s="7" t="n">
        <v>5.261449804439938</v>
      </c>
      <c r="P7" s="8" t="n">
        <v>0.4384541503699949</v>
      </c>
      <c r="Q7" s="7" t="n">
        <v>147.0548246441202</v>
      </c>
      <c r="R7" s="16" t="n">
        <v>292.959</v>
      </c>
      <c r="S7" s="6" t="inlineStr">
        <is>
          <t>-49.8％</t>
        </is>
      </c>
    </row>
    <row r="8">
      <c r="A8" s="6" t="inlineStr">
        <is>
          <t>居宅</t>
        </is>
      </c>
      <c r="B8" s="6" t="inlineStr">
        <is>
          <t>短期入所療養介護（介護老人保健施設）</t>
        </is>
      </c>
      <c r="C8" s="6" t="inlineStr">
        <is>
          <t>日</t>
        </is>
      </c>
      <c r="D8" s="17" t="n">
        <v>0.0002876726995891843</v>
      </c>
      <c r="E8" s="16" t="n">
        <v>58459.79788378457</v>
      </c>
      <c r="F8" s="7" t="n">
        <v>0.9921831408830967</v>
      </c>
      <c r="G8" s="8" t="n">
        <v>0.08268192840692472</v>
      </c>
      <c r="H8" s="7" t="n">
        <v>58.00282587972438</v>
      </c>
      <c r="I8" s="7" t="n">
        <v>0.9890187411876157</v>
      </c>
      <c r="J8" s="8" t="n">
        <v>0.0824182284323013</v>
      </c>
      <c r="K8" s="7" t="n">
        <v>57.81783571310305</v>
      </c>
      <c r="L8" s="7" t="n">
        <v>0.9861420141917239</v>
      </c>
      <c r="M8" s="8" t="n">
        <v>0.08217850118264365</v>
      </c>
      <c r="N8" s="7" t="n">
        <v>57.64966283435638</v>
      </c>
      <c r="O8" s="7" t="n">
        <v>0.9832652871958319</v>
      </c>
      <c r="P8" s="8" t="n">
        <v>0.081938773932986</v>
      </c>
      <c r="Q8" s="7" t="n">
        <v>57.48148995560972</v>
      </c>
      <c r="R8" s="16" t="n">
        <v>50.004</v>
      </c>
      <c r="S8" s="6" t="inlineStr">
        <is>
          <t>+15.0％</t>
        </is>
      </c>
    </row>
    <row r="9">
      <c r="A9" s="6" t="inlineStr">
        <is>
          <t>居宅</t>
        </is>
      </c>
      <c r="B9" s="6" t="inlineStr">
        <is>
          <t>短期入所療養介護（病院等）</t>
        </is>
      </c>
      <c r="C9" s="6" t="inlineStr">
        <is>
          <t>日</t>
        </is>
      </c>
      <c r="D9" s="17" t="n">
        <v>0</v>
      </c>
      <c r="E9" s="16" t="n">
        <v>0</v>
      </c>
      <c r="F9" s="7" t="n">
        <v>0</v>
      </c>
      <c r="G9" s="8" t="n">
        <v>0</v>
      </c>
      <c r="H9" s="7" t="n">
        <v>0</v>
      </c>
      <c r="I9" s="7" t="n">
        <v>0</v>
      </c>
      <c r="J9" s="8" t="n">
        <v>0</v>
      </c>
      <c r="K9" s="7" t="n">
        <v>0</v>
      </c>
      <c r="L9" s="7" t="n">
        <v>0</v>
      </c>
      <c r="M9" s="8" t="n">
        <v>0</v>
      </c>
      <c r="N9" s="7" t="n">
        <v>0</v>
      </c>
      <c r="O9" s="7" t="n">
        <v>0</v>
      </c>
      <c r="P9" s="8" t="n">
        <v>0</v>
      </c>
      <c r="Q9" s="7" t="n">
        <v>0</v>
      </c>
      <c r="R9" s="16" t="n">
        <v>0</v>
      </c>
      <c r="S9" s="6" t="inlineStr">
        <is>
          <t>―</t>
        </is>
      </c>
    </row>
    <row r="10">
      <c r="A10" s="6" t="inlineStr">
        <is>
          <t>居宅</t>
        </is>
      </c>
      <c r="B10" s="6" t="inlineStr">
        <is>
          <t>短期入所療養介護（介護医療院）</t>
        </is>
      </c>
      <c r="C10" s="6" t="inlineStr">
        <is>
          <t>日</t>
        </is>
      </c>
      <c r="D10" s="17" t="n">
        <v>0</v>
      </c>
      <c r="E10" s="16" t="n">
        <v>0</v>
      </c>
      <c r="F10" s="7" t="n">
        <v>0</v>
      </c>
      <c r="G10" s="8" t="n">
        <v>0</v>
      </c>
      <c r="H10" s="7" t="n">
        <v>0</v>
      </c>
      <c r="I10" s="7" t="n">
        <v>0</v>
      </c>
      <c r="J10" s="8" t="n">
        <v>0</v>
      </c>
      <c r="K10" s="7" t="n">
        <v>0</v>
      </c>
      <c r="L10" s="7" t="n">
        <v>0</v>
      </c>
      <c r="M10" s="8" t="n">
        <v>0</v>
      </c>
      <c r="N10" s="7" t="n">
        <v>0</v>
      </c>
      <c r="O10" s="7" t="n">
        <v>0</v>
      </c>
      <c r="P10" s="8" t="n">
        <v>0</v>
      </c>
      <c r="Q10" s="7" t="n">
        <v>0</v>
      </c>
      <c r="R10" s="16" t="n">
        <v>0</v>
      </c>
      <c r="S10" s="6" t="inlineStr">
        <is>
          <t>―</t>
        </is>
      </c>
    </row>
    <row r="11">
      <c r="A11" s="6" t="inlineStr">
        <is>
          <t>居宅</t>
        </is>
      </c>
      <c r="B11" s="6" t="inlineStr">
        <is>
          <t>福祉用具貸与</t>
        </is>
      </c>
      <c r="C11" s="6" t="inlineStr">
        <is>
          <t>人</t>
        </is>
      </c>
      <c r="D11" s="17" t="n">
        <v>0.1998257333720592</v>
      </c>
      <c r="E11" s="16" t="n">
        <v>8721.492732558139</v>
      </c>
      <c r="F11" s="7" t="n">
        <v>689.1989544002323</v>
      </c>
      <c r="G11" s="8" t="n">
        <v>57.43324620001936</v>
      </c>
      <c r="H11" s="7" t="n">
        <v>6010.843672088296</v>
      </c>
      <c r="I11" s="7" t="n">
        <v>687.0008713331397</v>
      </c>
      <c r="J11" s="8" t="n">
        <v>57.25007261109497</v>
      </c>
      <c r="K11" s="7" t="n">
        <v>5991.673106593087</v>
      </c>
      <c r="L11" s="7" t="n">
        <v>685.0026139994191</v>
      </c>
      <c r="M11" s="8" t="n">
        <v>57.08355116661826</v>
      </c>
      <c r="N11" s="7" t="n">
        <v>5974.245319779262</v>
      </c>
      <c r="O11" s="7" t="n">
        <v>683.0043566656985</v>
      </c>
      <c r="P11" s="8" t="n">
        <v>56.91702972214154</v>
      </c>
      <c r="Q11" s="7" t="n">
        <v>5956.817532965438</v>
      </c>
      <c r="R11" s="16" t="n">
        <v>6000.387</v>
      </c>
      <c r="S11" s="6" t="inlineStr">
        <is>
          <t>-0.7％</t>
        </is>
      </c>
    </row>
    <row r="12">
      <c r="A12" s="6" t="inlineStr">
        <is>
          <t>居宅</t>
        </is>
      </c>
      <c r="B12" s="6" t="inlineStr">
        <is>
          <t>特定福祉用具販売</t>
        </is>
      </c>
      <c r="C12" s="6" t="inlineStr">
        <is>
          <t>人</t>
        </is>
      </c>
      <c r="D12" s="17" t="n">
        <v>0.004186498385759528</v>
      </c>
      <c r="E12" s="16" t="n">
        <v>28229.15434422078</v>
      </c>
      <c r="F12" s="7" t="n">
        <v>14.43923293248461</v>
      </c>
      <c r="G12" s="8" t="n">
        <v>1.203269411040384</v>
      </c>
      <c r="H12" s="7" t="n">
        <v>407.6073350632637</v>
      </c>
      <c r="I12" s="7" t="n">
        <v>14.39318145024126</v>
      </c>
      <c r="J12" s="8" t="n">
        <v>1.199431787520105</v>
      </c>
      <c r="K12" s="7" t="n">
        <v>406.3073406632359</v>
      </c>
      <c r="L12" s="7" t="n">
        <v>14.35131646638366</v>
      </c>
      <c r="M12" s="8" t="n">
        <v>1.195943038865305</v>
      </c>
      <c r="N12" s="7" t="n">
        <v>405.1255275723015</v>
      </c>
      <c r="O12" s="7" t="n">
        <v>14.30945148252607</v>
      </c>
      <c r="P12" s="8" t="n">
        <v>1.192454290210506</v>
      </c>
      <c r="Q12" s="7" t="n">
        <v>403.9437144813671</v>
      </c>
      <c r="R12" s="16" t="n">
        <v>484.06</v>
      </c>
      <c r="S12" s="6" t="inlineStr">
        <is>
          <t>-16.6％</t>
        </is>
      </c>
    </row>
    <row r="13">
      <c r="A13" s="6" t="inlineStr">
        <is>
          <t>居宅</t>
        </is>
      </c>
      <c r="B13" s="6" t="inlineStr">
        <is>
          <t>住宅改修</t>
        </is>
      </c>
      <c r="C13" s="6" t="inlineStr">
        <is>
          <t>人</t>
        </is>
      </c>
      <c r="D13" s="17" t="n">
        <v>0.003458308675772357</v>
      </c>
      <c r="E13" s="16" t="n">
        <v>97687.71974706068</v>
      </c>
      <c r="F13" s="7" t="n">
        <v>11.92770662273886</v>
      </c>
      <c r="G13" s="8" t="n">
        <v>0.9939755518949051</v>
      </c>
      <c r="H13" s="7" t="n">
        <v>1165.190461787273</v>
      </c>
      <c r="I13" s="7" t="n">
        <v>11.88966522730536</v>
      </c>
      <c r="J13" s="8" t="n">
        <v>0.9908054356087804</v>
      </c>
      <c r="K13" s="7" t="n">
        <v>1161.474284611379</v>
      </c>
      <c r="L13" s="7" t="n">
        <v>11.85508214054764</v>
      </c>
      <c r="M13" s="8" t="n">
        <v>0.9879235117123034</v>
      </c>
      <c r="N13" s="7" t="n">
        <v>1158.095941724202</v>
      </c>
      <c r="O13" s="7" t="n">
        <v>11.82049905378992</v>
      </c>
      <c r="P13" s="8" t="n">
        <v>0.9850415878158264</v>
      </c>
      <c r="Q13" s="7" t="n">
        <v>1154.717598837025</v>
      </c>
      <c r="R13" s="16" t="n">
        <v>876.749</v>
      </c>
      <c r="S13" s="6" t="inlineStr">
        <is>
          <t>+31.7％</t>
        </is>
      </c>
    </row>
    <row r="14">
      <c r="A14" s="6" t="inlineStr">
        <is>
          <t>居宅</t>
        </is>
      </c>
      <c r="B14" s="6" t="inlineStr">
        <is>
          <t>特定施設入居者生活介護</t>
        </is>
      </c>
      <c r="C14" s="6" t="inlineStr">
        <is>
          <t>人</t>
        </is>
      </c>
      <c r="D14" s="17" t="n">
        <v>0</v>
      </c>
      <c r="E14" s="16" t="n">
        <v>0</v>
      </c>
      <c r="F14" s="7" t="n">
        <v>0</v>
      </c>
      <c r="G14" s="8" t="n">
        <v>0</v>
      </c>
      <c r="H14" s="7" t="n">
        <v>0</v>
      </c>
      <c r="I14" s="7" t="n">
        <v>0</v>
      </c>
      <c r="J14" s="8" t="n">
        <v>0</v>
      </c>
      <c r="K14" s="7" t="n">
        <v>0</v>
      </c>
      <c r="L14" s="7" t="n">
        <v>0</v>
      </c>
      <c r="M14" s="8" t="n">
        <v>0</v>
      </c>
      <c r="N14" s="7" t="n">
        <v>0</v>
      </c>
      <c r="O14" s="7" t="n">
        <v>0</v>
      </c>
      <c r="P14" s="8" t="n">
        <v>0</v>
      </c>
      <c r="Q14" s="7" t="n">
        <v>0</v>
      </c>
      <c r="R14" s="16" t="n">
        <v>0</v>
      </c>
      <c r="S14" s="6" t="inlineStr">
        <is>
          <t>―</t>
        </is>
      </c>
    </row>
    <row r="15">
      <c r="A15" s="6" t="inlineStr">
        <is>
          <t>居宅</t>
        </is>
      </c>
      <c r="B15" s="6" t="inlineStr">
        <is>
          <t>居宅介護支援・介護予防支援</t>
        </is>
      </c>
      <c r="C15" s="6" t="inlineStr">
        <is>
          <t>人</t>
        </is>
      </c>
      <c r="D15" s="17" t="n">
        <v>0.2425179806523965</v>
      </c>
      <c r="E15" s="16" t="n">
        <v>4510.739575690291</v>
      </c>
      <c r="F15" s="7" t="n">
        <v>836.4445152701154</v>
      </c>
      <c r="G15" s="8" t="n">
        <v>69.70370960584295</v>
      </c>
      <c r="H15" s="7" t="n">
        <v>3772.983377897991</v>
      </c>
      <c r="I15" s="7" t="n">
        <v>833.776817482939</v>
      </c>
      <c r="J15" s="8" t="n">
        <v>69.48140145691158</v>
      </c>
      <c r="K15" s="7" t="n">
        <v>3760.950087913393</v>
      </c>
      <c r="L15" s="7" t="n">
        <v>831.3516376764151</v>
      </c>
      <c r="M15" s="8" t="n">
        <v>69.27930313970126</v>
      </c>
      <c r="N15" s="7" t="n">
        <v>3750.010733381941</v>
      </c>
      <c r="O15" s="7" t="n">
        <v>828.9264578698911</v>
      </c>
      <c r="P15" s="8" t="n">
        <v>69.07720482249093</v>
      </c>
      <c r="Q15" s="7" t="n">
        <v>3739.071378850489</v>
      </c>
      <c r="R15" s="16" t="n">
        <v>4145.98</v>
      </c>
      <c r="S15" s="6" t="inlineStr">
        <is>
          <t>-9.8％</t>
        </is>
      </c>
    </row>
    <row r="16">
      <c r="A16" s="6" t="inlineStr">
        <is>
          <t>地域密着型</t>
        </is>
      </c>
      <c r="B16" s="6" t="inlineStr">
        <is>
          <t>認知症対応型通所介護</t>
        </is>
      </c>
      <c r="C16" s="6" t="inlineStr">
        <is>
          <t>回</t>
        </is>
      </c>
      <c r="D16" s="17" t="n">
        <v>0</v>
      </c>
      <c r="E16" s="16" t="n">
        <v>0</v>
      </c>
      <c r="F16" s="7" t="n">
        <v>0</v>
      </c>
      <c r="G16" s="8" t="n">
        <v>0</v>
      </c>
      <c r="H16" s="7" t="n">
        <v>0</v>
      </c>
      <c r="I16" s="7" t="n">
        <v>0</v>
      </c>
      <c r="J16" s="8" t="n">
        <v>0</v>
      </c>
      <c r="K16" s="7" t="n">
        <v>0</v>
      </c>
      <c r="L16" s="7" t="n">
        <v>0</v>
      </c>
      <c r="M16" s="8" t="n">
        <v>0</v>
      </c>
      <c r="N16" s="7" t="n">
        <v>0</v>
      </c>
      <c r="O16" s="7" t="n">
        <v>0</v>
      </c>
      <c r="P16" s="8" t="n">
        <v>0</v>
      </c>
      <c r="Q16" s="7" t="n">
        <v>0</v>
      </c>
      <c r="R16" s="16" t="n">
        <v>0</v>
      </c>
      <c r="S16" s="6" t="inlineStr">
        <is>
          <t>―</t>
        </is>
      </c>
    </row>
    <row r="17">
      <c r="A17" s="6" t="inlineStr">
        <is>
          <t>地域密着型</t>
        </is>
      </c>
      <c r="B17" s="6" t="inlineStr">
        <is>
          <t>小規模多機能型居宅介護</t>
        </is>
      </c>
      <c r="C17" s="6" t="inlineStr">
        <is>
          <t>人</t>
        </is>
      </c>
      <c r="D17" s="17" t="n">
        <v>0.02341216186158467</v>
      </c>
      <c r="E17" s="16" t="n">
        <v>78518.68233595132</v>
      </c>
      <c r="F17" s="7" t="n">
        <v>80.74854626060552</v>
      </c>
      <c r="G17" s="8" t="n">
        <v>6.729045521717127</v>
      </c>
      <c r="H17" s="7" t="n">
        <v>6340.269452926355</v>
      </c>
      <c r="I17" s="7" t="n">
        <v>80.49101248012809</v>
      </c>
      <c r="J17" s="8" t="n">
        <v>6.707584373344008</v>
      </c>
      <c r="K17" s="7" t="n">
        <v>6320.048239826271</v>
      </c>
      <c r="L17" s="7" t="n">
        <v>80.25689086151225</v>
      </c>
      <c r="M17" s="8" t="n">
        <v>6.688074238459354</v>
      </c>
      <c r="N17" s="7" t="n">
        <v>6301.665318826195</v>
      </c>
      <c r="O17" s="7" t="n">
        <v>80.0227692428964</v>
      </c>
      <c r="P17" s="8" t="n">
        <v>6.6685641035747</v>
      </c>
      <c r="Q17" s="7" t="n">
        <v>6283.282397826119</v>
      </c>
      <c r="R17" s="16" t="n">
        <v>7288.119</v>
      </c>
      <c r="S17" s="6" t="inlineStr">
        <is>
          <t>-13.8％</t>
        </is>
      </c>
    </row>
    <row r="18">
      <c r="A18" s="6" t="inlineStr">
        <is>
          <t>地域密着型</t>
        </is>
      </c>
      <c r="B18" s="6" t="inlineStr">
        <is>
          <t>認知症対応型共同生活介護</t>
        </is>
      </c>
      <c r="C18" s="6" t="inlineStr">
        <is>
          <t>人</t>
        </is>
      </c>
      <c r="D18" s="17" t="n">
        <v>0.004066221318617485</v>
      </c>
      <c r="E18" s="16" t="n">
        <v>238812.4285714286</v>
      </c>
      <c r="F18" s="7" t="n">
        <v>14.02439732791171</v>
      </c>
      <c r="G18" s="8" t="n">
        <v>1.168699777325976</v>
      </c>
      <c r="H18" s="7" t="n">
        <v>3349.200385129248</v>
      </c>
      <c r="I18" s="7" t="n">
        <v>13.97966889340691</v>
      </c>
      <c r="J18" s="8" t="n">
        <v>1.164972407783909</v>
      </c>
      <c r="K18" s="7" t="n">
        <v>3338.51867905896</v>
      </c>
      <c r="L18" s="7" t="n">
        <v>13.93900668022074</v>
      </c>
      <c r="M18" s="8" t="n">
        <v>1.161583890018395</v>
      </c>
      <c r="N18" s="7" t="n">
        <v>3328.808037176881</v>
      </c>
      <c r="O18" s="7" t="n">
        <v>13.89834446703456</v>
      </c>
      <c r="P18" s="8" t="n">
        <v>1.15819537225288</v>
      </c>
      <c r="Q18" s="7" t="n">
        <v>3319.097395294801</v>
      </c>
      <c r="R18" s="16" t="n">
        <v>3343.374</v>
      </c>
      <c r="S18" s="6" t="inlineStr">
        <is>
          <t>-0.7％</t>
        </is>
      </c>
    </row>
    <row r="19">
      <c r="A19" s="10" t="inlineStr">
        <is>
          <t>合計</t>
        </is>
      </c>
      <c r="B19" s="10" t="inlineStr"/>
      <c r="C19" s="10" t="inlineStr"/>
      <c r="D19" s="18" t="inlineStr"/>
      <c r="E19" s="11" t="inlineStr"/>
      <c r="F19" s="11">
        <f>SUM(F2:F18)</f>
        <v/>
      </c>
      <c r="G19" s="12">
        <f>SUM(G2:G18)</f>
        <v/>
      </c>
      <c r="H19" s="11">
        <f>SUM(H2:H18)</f>
        <v/>
      </c>
      <c r="I19" s="11">
        <f>SUM(I2:I18)</f>
        <v/>
      </c>
      <c r="J19" s="12">
        <f>SUM(J2:J18)</f>
        <v/>
      </c>
      <c r="K19" s="11">
        <f>SUM(K2:K18)</f>
        <v/>
      </c>
      <c r="L19" s="11">
        <f>SUM(L2:L18)</f>
        <v/>
      </c>
      <c r="M19" s="12">
        <f>SUM(M2:M18)</f>
        <v/>
      </c>
      <c r="N19" s="11">
        <f>SUM(N2:N18)</f>
        <v/>
      </c>
      <c r="O19" s="11">
        <f>SUM(O2:O18)</f>
        <v/>
      </c>
      <c r="P19" s="12">
        <f>SUM(P2:P18)</f>
        <v/>
      </c>
      <c r="Q19" s="11">
        <f>SUM(Q2:Q18)</f>
        <v/>
      </c>
      <c r="R19" s="11">
        <f>SUM(R2:R18)</f>
        <v/>
      </c>
      <c r="S19" s="10" t="inlineStr"/>
    </row>
    <row r="21">
      <c r="A21" s="14" t="inlineStr">
        <is>
          <t>※ 予防給付（要支援1・2）。件数＝採用件数率×第1号被保険者数（第10期将来推計用推計人口）。</t>
        </is>
      </c>
    </row>
    <row r="22">
      <c r="A22" s="14" t="inlineStr">
        <is>
          <t>※ 「人/月」は件数÷12。計画書の見込量表に載せる月あたり延べ利用者数にあたる。</t>
        </is>
      </c>
    </row>
    <row r="23">
      <c r="A23" s="14" t="inlineStr">
        <is>
          <t>※ 給付費＝給付費率×第1号被保険者数。給付費率は基準期間の「価格調整後の給付費÷第1号被保険者数」の平均。</t>
        </is>
      </c>
    </row>
    <row r="24">
      <c r="A24" s="14" t="inlineStr">
        <is>
          <t xml:space="preserve">　 令和9年度以降はこれに報酬改定率(1+0.000)を乗じている。</t>
        </is>
      </c>
    </row>
    <row r="25">
      <c r="A25" s="14" t="inlineStr">
        <is>
          <t>**※ 平均件数に直近単価を乗じる方法は採らなかった。件数と単価が逆方向に動くサービスで給付費を二重に見込むため（00シート参照）。表示単価は給付費÷件数の結果である。**</t>
        </is>
      </c>
    </row>
    <row r="26">
      <c r="A26" s="14" t="inlineStr">
        <is>
          <t>※ 令和8年度は第9期の最終年度であり、第10期の見込みではない。実績との突合に使う。</t>
        </is>
      </c>
    </row>
    <row r="27">
      <c r="A27" s="14" t="inlineStr">
        <is>
          <t>※ この表は件数（延べ利用者数）ベース。回数・日数ベースの表記は給付実績データの受領後に行う。</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cols>
    <col width="22" customWidth="1" min="1" max="1"/>
    <col width="11" customWidth="1" min="2" max="2"/>
    <col width="11" customWidth="1" min="3" max="3"/>
    <col width="46" customWidth="1" min="4" max="4"/>
    <col width="15" customWidth="1" min="5" max="5"/>
    <col width="15" customWidth="1" min="6" max="6"/>
    <col width="15" customWidth="1" min="7" max="7"/>
    <col width="15" customWidth="1" min="8" max="8"/>
    <col width="17" customWidth="1" min="9" max="9"/>
    <col width="17" customWidth="1" min="10" max="10"/>
    <col width="12" customWidth="1" min="11" max="11"/>
  </cols>
  <sheetData>
    <row r="1">
      <c r="A1" s="5" t="inlineStr">
        <is>
          <t>ケース</t>
        </is>
      </c>
      <c r="B1" s="5" t="inlineStr">
        <is>
          <t>分母</t>
        </is>
      </c>
      <c r="C1" s="5" t="inlineStr">
        <is>
          <t>報酬改定率</t>
        </is>
      </c>
      <c r="D1" s="5" t="inlineStr">
        <is>
          <t>設定の趣旨</t>
        </is>
      </c>
      <c r="E1" s="5" t="inlineStr">
        <is>
          <t>8年度 総給付費(千円)</t>
        </is>
      </c>
      <c r="F1" s="5" t="inlineStr">
        <is>
          <t>9年度 総給付費(千円)</t>
        </is>
      </c>
      <c r="G1" s="5" t="inlineStr">
        <is>
          <t>10年度 総給付費(千円)</t>
        </is>
      </c>
      <c r="H1" s="5" t="inlineStr">
        <is>
          <t>11年度 総給付費(千円)</t>
        </is>
      </c>
      <c r="I1" s="5" t="inlineStr">
        <is>
          <t>第10期3年計(千円)</t>
        </is>
      </c>
      <c r="J1" s="5" t="inlineStr">
        <is>
          <t>基本ケースとの差</t>
        </is>
      </c>
      <c r="K1" s="5" t="inlineStr">
        <is>
          <t>差の率</t>
        </is>
      </c>
    </row>
    <row r="2">
      <c r="A2" s="10" t="inlineStr">
        <is>
          <t>基本（1号人口）</t>
        </is>
      </c>
      <c r="B2" s="10" t="inlineStr">
        <is>
          <t>1号</t>
        </is>
      </c>
      <c r="C2" s="10" t="inlineStr">
        <is>
          <t>+0.0％</t>
        </is>
      </c>
      <c r="D2" s="13" t="inlineStr">
        <is>
          <t>第1号被保険者数に連動。変動係数が最も小さく、認定者数の断層の影響を受けない</t>
        </is>
      </c>
      <c r="E2" s="11" t="n">
        <v>1020569.344252968</v>
      </c>
      <c r="F2" s="11" t="n">
        <v>1017314.411580662</v>
      </c>
      <c r="G2" s="11" t="n">
        <v>1014355.381878566</v>
      </c>
      <c r="H2" s="11" t="n">
        <v>1011396.352176469</v>
      </c>
      <c r="I2" s="11" t="n">
        <v>3043066.145635697</v>
      </c>
      <c r="J2" s="11" t="n">
        <v>0</v>
      </c>
      <c r="K2" s="10" t="inlineStr">
        <is>
          <t>+0.00％</t>
        </is>
      </c>
    </row>
    <row r="3">
      <c r="A3" s="6" t="inlineStr">
        <is>
          <t>後期高齢者連動</t>
        </is>
      </c>
      <c r="B3" s="6" t="inlineStr">
        <is>
          <t>75+</t>
        </is>
      </c>
      <c r="C3" s="6" t="inlineStr">
        <is>
          <t>+0.0％</t>
        </is>
      </c>
      <c r="D3" s="9" t="inlineStr">
        <is>
          <t>75歳以上人口に連動。利用が後期高齢者に集中していることを反映するが、小野町は令和11年度まで85歳以上が減るため下振れる</t>
        </is>
      </c>
      <c r="E3" s="7" t="n">
        <v>1041123.288748779</v>
      </c>
      <c r="F3" s="7" t="n">
        <v>1051897.440429731</v>
      </c>
      <c r="G3" s="7" t="n">
        <v>1062671.592110682</v>
      </c>
      <c r="H3" s="7" t="n">
        <v>1074012.80440642</v>
      </c>
      <c r="I3" s="7" t="n">
        <v>3188581.836946833</v>
      </c>
      <c r="J3" s="7" t="n">
        <v>145515.6913111359</v>
      </c>
      <c r="K3" s="6" t="inlineStr">
        <is>
          <t>+4.78％</t>
        </is>
      </c>
    </row>
    <row r="4">
      <c r="A4" s="6" t="inlineStr">
        <is>
          <t>認定者連動</t>
        </is>
      </c>
      <c r="B4" s="6" t="inlineStr">
        <is>
          <t>認定</t>
        </is>
      </c>
      <c r="C4" s="6" t="inlineStr">
        <is>
          <t>+0.0％</t>
        </is>
      </c>
      <c r="D4" s="9" t="inlineStr">
        <is>
          <t>**認定者数に連動。令和7年9月の計上変更により1人当たり利用量が跳ねており、上振れる**</t>
        </is>
      </c>
      <c r="E4" s="7" t="n">
        <v>930102.6115410411</v>
      </c>
      <c r="F4" s="7" t="n">
        <v>926548.0792676356</v>
      </c>
      <c r="G4" s="7" t="n">
        <v>925363.2351765005</v>
      </c>
      <c r="H4" s="7" t="n">
        <v>924178.3910853657</v>
      </c>
      <c r="I4" s="7" t="n">
        <v>2776089.705529502</v>
      </c>
      <c r="J4" s="7" t="n">
        <v>-266976.4401061954</v>
      </c>
      <c r="K4" s="6" t="inlineStr">
        <is>
          <t>-8.77％</t>
        </is>
      </c>
    </row>
    <row r="5">
      <c r="A5" s="6" t="inlineStr">
        <is>
          <t>基本＋報酬改定+1.5％</t>
        </is>
      </c>
      <c r="B5" s="6" t="inlineStr">
        <is>
          <t>1号</t>
        </is>
      </c>
      <c r="C5" s="6" t="inlineStr">
        <is>
          <t>+1.5％</t>
        </is>
      </c>
      <c r="D5" s="9" t="inlineStr">
        <is>
          <t>令和9年度の介護報酬改定を＋1.5％と置いた場合</t>
        </is>
      </c>
      <c r="E5" s="7" t="n">
        <v>1020569.344252968</v>
      </c>
      <c r="F5" s="7" t="n">
        <v>1032574.127754372</v>
      </c>
      <c r="G5" s="7" t="n">
        <v>1029570.712606744</v>
      </c>
      <c r="H5" s="7" t="n">
        <v>1026567.297459117</v>
      </c>
      <c r="I5" s="7" t="n">
        <v>3088712.137820234</v>
      </c>
      <c r="J5" s="7" t="n">
        <v>45645.99218453653</v>
      </c>
      <c r="K5" s="6" t="inlineStr">
        <is>
          <t>+1.50％</t>
        </is>
      </c>
    </row>
    <row r="6">
      <c r="A6" s="6" t="inlineStr">
        <is>
          <t>基本＋報酬改定−1.5％</t>
        </is>
      </c>
      <c r="B6" s="6" t="inlineStr">
        <is>
          <t>1号</t>
        </is>
      </c>
      <c r="C6" s="6" t="inlineStr">
        <is>
          <t>-1.5％</t>
        </is>
      </c>
      <c r="D6" s="9" t="inlineStr">
        <is>
          <t>令和9年度の介護報酬改定を−1.5％と置いた場合</t>
        </is>
      </c>
      <c r="E6" s="7" t="n">
        <v>1020569.344252968</v>
      </c>
      <c r="F6" s="7" t="n">
        <v>1002054.695406952</v>
      </c>
      <c r="G6" s="7" t="n">
        <v>999140.0511503875</v>
      </c>
      <c r="H6" s="7" t="n">
        <v>996225.4068938228</v>
      </c>
      <c r="I6" s="7" t="n">
        <v>2997420.153451162</v>
      </c>
      <c r="J6" s="7" t="n">
        <v>-45645.99218453467</v>
      </c>
      <c r="K6" s="6" t="inlineStr">
        <is>
          <t>-1.50％</t>
        </is>
      </c>
    </row>
    <row r="8">
      <c r="A8" s="14" t="inlineStr">
        <is>
          <t>※ 総給付費は介護給付と予防給付の合計。特定入所者介護サービス費・高額介護サービス費・高額医療合算介護サービス費・審査支払手数料は含まない（07で加算する）。</t>
        </is>
      </c>
    </row>
    <row r="9">
      <c r="A9" s="14" t="inlineStr">
        <is>
          <t>※ 第10期3年計は令和9〜11年度の合計。令和8年度は第9期のため含まない。</t>
        </is>
      </c>
    </row>
    <row r="10">
      <c r="A10" s="14" t="inlineStr">
        <is>
          <t>**※ 分母を認定者数にすると総給付費が大きく振れる。これが認定者数ベースで組めない理由である。**</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cols>
    <col width="30" customWidth="1" min="1" max="1"/>
    <col width="20" customWidth="1" min="2" max="2"/>
    <col width="17" customWidth="1" min="3" max="3"/>
    <col width="15" customWidth="1" min="4" max="4"/>
    <col width="15" customWidth="1" min="5" max="5"/>
    <col width="15" customWidth="1" min="6" max="6"/>
    <col width="15" customWidth="1" min="7" max="7"/>
    <col width="17" customWidth="1" min="8" max="8"/>
    <col width="46" customWidth="1" min="9" max="9"/>
  </cols>
  <sheetData>
    <row r="1">
      <c r="A1" s="5" t="inlineStr">
        <is>
          <t>区分</t>
        </is>
      </c>
      <c r="B1" s="5" t="inlineStr">
        <is>
          <t>算出</t>
        </is>
      </c>
      <c r="C1" s="5" t="inlineStr">
        <is>
          <t>令和7年度実績(千円)</t>
        </is>
      </c>
      <c r="D1" s="5" t="inlineStr">
        <is>
          <t>8年度(千円)</t>
        </is>
      </c>
      <c r="E1" s="5" t="inlineStr">
        <is>
          <t>9年度(千円)</t>
        </is>
      </c>
      <c r="F1" s="5" t="inlineStr">
        <is>
          <t>10年度(千円)</t>
        </is>
      </c>
      <c r="G1" s="5" t="inlineStr">
        <is>
          <t>11年度(千円)</t>
        </is>
      </c>
      <c r="H1" s="5" t="inlineStr">
        <is>
          <t>第10期3年計(千円)</t>
        </is>
      </c>
      <c r="I1" s="5" t="inlineStr">
        <is>
          <t>備考</t>
        </is>
      </c>
    </row>
    <row r="2">
      <c r="A2" s="6" t="inlineStr">
        <is>
          <t>① 総給付費</t>
        </is>
      </c>
      <c r="B2" s="6" t="inlineStr">
        <is>
          <t>04＋05の合計</t>
        </is>
      </c>
      <c r="C2" s="7" t="n">
        <v>1005144.062</v>
      </c>
      <c r="D2" s="7" t="n">
        <v>1020569.344252968</v>
      </c>
      <c r="E2" s="7" t="n">
        <v>1017314.411580662</v>
      </c>
      <c r="F2" s="7" t="n">
        <v>1014355.381878566</v>
      </c>
      <c r="G2" s="7" t="n">
        <v>1011396.352176469</v>
      </c>
      <c r="H2" s="7" t="n">
        <v>3043066.145635697</v>
      </c>
      <c r="I2" s="9" t="inlineStr">
        <is>
          <t>介護給付＋予防給付</t>
        </is>
      </c>
    </row>
    <row r="3">
      <c r="A3" s="6" t="inlineStr">
        <is>
          <t>② 特定入所者介護サービス費</t>
        </is>
      </c>
      <c r="B3" s="6" t="inlineStr">
        <is>
          <t>①×4.993％</t>
        </is>
      </c>
      <c r="C3" s="7" t="n">
        <v>49691.037</v>
      </c>
      <c r="D3" s="7" t="n">
        <v>50958.82411050804</v>
      </c>
      <c r="E3" s="7" t="n">
        <v>50796.29959174446</v>
      </c>
      <c r="F3" s="7" t="n">
        <v>50648.55002923211</v>
      </c>
      <c r="G3" s="7" t="n">
        <v>50500.80046671975</v>
      </c>
      <c r="H3" s="7" t="n">
        <v>151945.6500876963</v>
      </c>
      <c r="I3" s="9" t="inlineStr">
        <is>
          <t>令和5〜7年度の対総給付費比の平均。補足給付は施設利用と連動する</t>
        </is>
      </c>
    </row>
    <row r="4">
      <c r="A4" s="6" t="inlineStr">
        <is>
          <t>③ 高額介護サービス費</t>
        </is>
      </c>
      <c r="B4" s="6" t="inlineStr">
        <is>
          <t>①×2.461％</t>
        </is>
      </c>
      <c r="C4" s="7" t="n">
        <v>25611.472</v>
      </c>
      <c r="D4" s="7" t="n">
        <v>25111.96270465744</v>
      </c>
      <c r="E4" s="7" t="n">
        <v>25031.87236260141</v>
      </c>
      <c r="F4" s="7" t="n">
        <v>24959.0629607323</v>
      </c>
      <c r="G4" s="7" t="n">
        <v>24886.25355886318</v>
      </c>
      <c r="H4" s="7" t="n">
        <v>74877.18888219689</v>
      </c>
      <c r="I4" s="9" t="inlineStr">
        <is>
          <t>令和5〜7年度の対総給付費比の平均</t>
        </is>
      </c>
    </row>
    <row r="5">
      <c r="A5" s="6" t="inlineStr">
        <is>
          <t>④ 高額医療合算介護サービス費</t>
        </is>
      </c>
      <c r="B5" s="6" t="inlineStr">
        <is>
          <t>①×0.266％</t>
        </is>
      </c>
      <c r="C5" s="7" t="n">
        <v>3066.591</v>
      </c>
      <c r="D5" s="7" t="n">
        <v>2711.500049182207</v>
      </c>
      <c r="E5" s="7" t="n">
        <v>2702.852180077827</v>
      </c>
      <c r="F5" s="7" t="n">
        <v>2694.990480892027</v>
      </c>
      <c r="G5" s="7" t="n">
        <v>2687.128781706228</v>
      </c>
      <c r="H5" s="7" t="n">
        <v>8084.971442676082</v>
      </c>
      <c r="I5" s="9" t="inlineStr">
        <is>
          <t>令和5〜7年度の対総給付費比の平均</t>
        </is>
      </c>
    </row>
    <row r="6">
      <c r="A6" s="6" t="inlineStr">
        <is>
          <t>⑤ 審査支払手数料</t>
        </is>
      </c>
      <c r="B6" s="6" t="inlineStr">
        <is>
          <t>件数×60円</t>
        </is>
      </c>
      <c r="C6" s="7" t="n">
        <v>869.28</v>
      </c>
      <c r="D6" s="7" t="n">
        <v>881.9384362002291</v>
      </c>
      <c r="E6" s="7" t="n">
        <v>879.1256432752649</v>
      </c>
      <c r="F6" s="7" t="n">
        <v>876.5685587980241</v>
      </c>
      <c r="G6" s="7" t="n">
        <v>874.0114743207836</v>
      </c>
      <c r="H6" s="7" t="n">
        <v>2629.705676394073</v>
      </c>
      <c r="I6" s="9" t="inlineStr">
        <is>
          <t>**年報にないため仮置き。決算書での確認を要する**</t>
        </is>
      </c>
    </row>
    <row r="7">
      <c r="A7" s="10" t="inlineStr">
        <is>
          <t>標準給付費見込額（①〜⑤の計）</t>
        </is>
      </c>
      <c r="B7" s="10" t="inlineStr"/>
      <c r="C7" s="11">
        <f>SUM(C2:C6)</f>
        <v/>
      </c>
      <c r="D7" s="11">
        <f>SUM(D2:D6)</f>
        <v/>
      </c>
      <c r="E7" s="11">
        <f>SUM(E2:E6)</f>
        <v/>
      </c>
      <c r="F7" s="11">
        <f>SUM(F2:F6)</f>
        <v/>
      </c>
      <c r="G7" s="11">
        <f>SUM(G2:G6)</f>
        <v/>
      </c>
      <c r="H7" s="11">
        <f>SUM(H2:H6)</f>
        <v/>
      </c>
      <c r="I7" s="13" t="inlineStr">
        <is>
          <t>09_保険料算定の①に入る</t>
        </is>
      </c>
    </row>
    <row r="8">
      <c r="A8" s="6" t="n"/>
      <c r="B8" s="6" t="n"/>
      <c r="C8" s="16" t="n"/>
      <c r="D8" s="16" t="n"/>
      <c r="E8" s="16" t="n"/>
      <c r="F8" s="16" t="n"/>
      <c r="G8" s="16" t="n"/>
      <c r="H8" s="16" t="n"/>
      <c r="I8" s="9" t="n"/>
    </row>
    <row r="9">
      <c r="A9" s="6" t="inlineStr">
        <is>
          <t>【参考】第9期計画が見込んだ標準給付費</t>
        </is>
      </c>
      <c r="B9" s="6" t="inlineStr">
        <is>
          <t>同年度の見込み</t>
        </is>
      </c>
      <c r="C9" s="7" t="n">
        <v>1189712</v>
      </c>
      <c r="D9" s="7" t="n">
        <v>1190880</v>
      </c>
      <c r="E9" s="16" t="n"/>
      <c r="F9" s="16" t="n"/>
      <c r="G9" s="16" t="n"/>
      <c r="H9" s="7" t="n">
        <v>3566486</v>
      </c>
      <c r="I9" s="9" t="inlineStr">
        <is>
          <t>第9期の3年計は令和6〜8年度で3,566,486千円。第10期の3年計はこれの93.1％の水準となる</t>
        </is>
      </c>
    </row>
    <row r="10">
      <c r="A10" s="6" t="inlineStr">
        <is>
          <t>【参考】令和7年度の実績（様式3の保険給付支払計）</t>
        </is>
      </c>
      <c r="B10" s="6" t="inlineStr">
        <is>
          <t>実績</t>
        </is>
      </c>
      <c r="C10" s="7" t="n">
        <v>1083513.162</v>
      </c>
      <c r="D10" s="16" t="n"/>
      <c r="E10" s="16" t="n"/>
      <c r="F10" s="16" t="n"/>
      <c r="G10" s="16" t="n"/>
      <c r="H10" s="16" t="n"/>
      <c r="I10" s="9" t="inlineStr">
        <is>
          <t>審査支払手数料を含まない。第9期の見込みとの対比は08を参照</t>
        </is>
      </c>
    </row>
    <row r="12">
      <c r="A12" s="14" t="inlineStr">
        <is>
          <t>※ 標準給付費＝総給付費＋特定入所者介護サービス費＋高額介護サービス費＋高額医療合算介護サービス費＋審査支払手数料。</t>
        </is>
      </c>
    </row>
    <row r="13">
      <c r="A13" s="14" t="inlineStr">
        <is>
          <t>※ 地域支援事業費は含まない。年報 様式4の令和7年度が未入力のため、実績が取れていない。</t>
        </is>
      </c>
    </row>
    <row r="14">
      <c r="A14" s="14" t="inlineStr">
        <is>
          <t>**※ ②〜④は総給付費に対する比率で置いた。施設整備方針が変わると②の比率が動く。**</t>
        </is>
      </c>
    </row>
    <row r="16">
      <c r="A16" s="19" t="inlineStr">
        <is>
          <t>【参考】この標準給付費で保険料基準額はどのくらいになるか</t>
        </is>
      </c>
    </row>
    <row r="17">
      <c r="A17" t="inlineStr">
        <is>
          <t>**地域支援事業費と調整交付金と基金取崩額が未確定のため、下表は見当をつけるためのものです。確定値ではありません。**</t>
        </is>
      </c>
    </row>
    <row r="18">
      <c r="A18" s="20" t="inlineStr">
        <is>
          <t>項目</t>
        </is>
      </c>
      <c r="B18" s="20" t="inlineStr">
        <is>
          <t>値</t>
        </is>
      </c>
      <c r="C18" s="20" t="inlineStr">
        <is>
          <t>単位</t>
        </is>
      </c>
      <c r="D18" s="20" t="inlineStr">
        <is>
          <t>置き方</t>
        </is>
      </c>
    </row>
    <row r="19">
      <c r="A19" s="9" t="inlineStr">
        <is>
          <t>保険料基準額（月額）　取崩なし</t>
        </is>
      </c>
      <c r="B19" s="21" t="n">
        <v>6558.265143781572</v>
      </c>
      <c r="C19" s="9" t="inlineStr">
        <is>
          <t>円</t>
        </is>
      </c>
      <c r="D19" s="9" t="inlineStr">
        <is>
          <t>（標準給付費3,280,604＋地域支援事業費191,749）×23％＋（標準給付費＋総合事業費103,743）×（5％−5.963％）−取崩0千円　÷収納率99.35％÷補正後被保険者数9,798人÷12</t>
        </is>
      </c>
    </row>
    <row r="20">
      <c r="A20" s="9" t="inlineStr">
        <is>
          <t>保険料基準額（月額）　保有額12,000千円を全額取り崩す</t>
        </is>
      </c>
      <c r="B20" s="21" t="n">
        <v>6455.531374733072</v>
      </c>
      <c r="C20" s="9" t="inlineStr">
        <is>
          <t>円</t>
        </is>
      </c>
      <c r="D20" s="9" t="inlineStr">
        <is>
          <t>（標準給付費3,280,604＋地域支援事業費191,749）×23％＋（標準給付費＋総合事業費103,743）×（5％−5.963％）−取崩12,000千円　÷収納率99.35％÷補正後被保険者数9,798人÷12</t>
        </is>
      </c>
    </row>
    <row r="21">
      <c r="A21" s="9" t="inlineStr">
        <is>
          <t>保険料基準額（月額）　第9期と同じ35,000千円を取り崩す</t>
        </is>
      </c>
      <c r="B21" s="21" t="n">
        <v>6258.62498405678</v>
      </c>
      <c r="C21" s="9" t="inlineStr">
        <is>
          <t>円</t>
        </is>
      </c>
      <c r="D21" s="9" t="inlineStr">
        <is>
          <t>（標準給付費3,280,604＋地域支援事業費191,749）×23％＋（標準給付費＋総合事業費103,743）×（5％−5.963％）−取崩35,000千円　÷収納率99.35％÷補正後被保険者数9,798人÷12</t>
        </is>
      </c>
    </row>
    <row r="22">
      <c r="A22" s="9" t="inlineStr">
        <is>
          <t>第9期の保険料基準額（月額）</t>
        </is>
      </c>
      <c r="B22" s="21" t="n">
        <v>6600</v>
      </c>
      <c r="C22" s="9" t="inlineStr">
        <is>
          <t>円</t>
        </is>
      </c>
      <c r="D22" s="9" t="inlineStr">
        <is>
          <t>算定値6,886円を基金取崩により6,597円とし、100円未満切上げ</t>
        </is>
      </c>
    </row>
    <row r="24">
      <c r="A24" s="14" t="inlineStr">
        <is>
          <t>※ 地域支援事業費は年報 様式4 の令和6年度決算（総合事業34,581千円＋包括的支援事業・任意事業29,335千円）を3年度とも据え置き、3年計191,749千円（うち総合事業費103,743千円）とした。令和7年度は年報が未入力のため取れない。</t>
        </is>
      </c>
    </row>
    <row r="25">
      <c r="A25" s="14" t="inlineStr">
        <is>
          <t>※ 第1号被保険者負担割合は第9期と同じ23％。**3年の計画期間ごとに政令で定められるもので、第10期の値は確認を要する。1ptで月額303円。**</t>
        </is>
      </c>
    </row>
    <row r="26">
      <c r="A26" s="14" t="inlineStr">
        <is>
          <t>**※ 調整交付金は標準給付費と総合事業費にのみかかる（包括的支援事業・任意事業費は対象外）。**見込交付割合は第9期計画の公表値から逆算した小野町の実績値5.963％を置いた。**小野町は後期高齢者加入割合が高く低所得層が厚いため、標準の5％を上回る。**第10期の値は見える化システムの係数シート（全国値）で確認する。1ptで月額295円。</t>
        </is>
      </c>
    </row>
    <row r="27">
      <c r="A27" s="14" t="inlineStr">
        <is>
          <t>※ 補正後被保険者数は、令和7年度末の所得段階別構成比（様式1 所得段階別）を第10期3年分の第1号被保険者数10,284人に当てたもの。所得段階の設定が変われば動く。</t>
        </is>
      </c>
    </row>
    <row r="28">
      <c r="A28" s="14" t="inlineStr">
        <is>
          <t>**※ 準備基金の保有額は令和5・6年度末とも12,000千円である。第9期が見込んだ35,000千円の取崩は、この残高では実行できない。残高の確認が第10期の保険料算定の前提となる。**</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6" customWidth="1" min="2" max="2"/>
    <col width="16" customWidth="1" min="3" max="3"/>
    <col width="9" customWidth="1" min="4" max="4"/>
    <col width="12" customWidth="1" min="5" max="5"/>
    <col width="16" customWidth="1" min="6" max="6"/>
    <col width="16" customWidth="1" min="7" max="7"/>
    <col width="9" customWidth="1" min="8" max="8"/>
    <col width="12" customWidth="1" min="9" max="9"/>
    <col width="16" customWidth="1" min="10" max="10"/>
    <col width="12" customWidth="1" min="11" max="11"/>
    <col width="50" customWidth="1" min="12" max="12"/>
  </cols>
  <sheetData>
    <row r="1">
      <c r="A1" s="5" t="inlineStr">
        <is>
          <t>区分</t>
        </is>
      </c>
      <c r="B1" s="5" t="inlineStr">
        <is>
          <t>令和6年度 見込</t>
        </is>
      </c>
      <c r="C1" s="5" t="inlineStr">
        <is>
          <t>令和6年度 実績</t>
        </is>
      </c>
      <c r="D1" s="5" t="inlineStr">
        <is>
          <t>達成率</t>
        </is>
      </c>
      <c r="E1" s="5" t="inlineStr">
        <is>
          <t>差</t>
        </is>
      </c>
      <c r="F1" s="5" t="inlineStr">
        <is>
          <t>令和7年度 見込</t>
        </is>
      </c>
      <c r="G1" s="5" t="inlineStr">
        <is>
          <t>令和7年度 実績</t>
        </is>
      </c>
      <c r="H1" s="5" t="inlineStr">
        <is>
          <t>達成率</t>
        </is>
      </c>
      <c r="I1" s="5" t="inlineStr">
        <is>
          <t>差</t>
        </is>
      </c>
      <c r="J1" s="5" t="inlineStr">
        <is>
          <t>令和8年度 見込</t>
        </is>
      </c>
      <c r="K1" s="5" t="inlineStr">
        <is>
          <t>令和8年度 実績</t>
        </is>
      </c>
      <c r="L1" s="5" t="inlineStr">
        <is>
          <t>評価</t>
        </is>
      </c>
    </row>
    <row r="2">
      <c r="A2" s="6" t="inlineStr">
        <is>
          <t>総給付費</t>
        </is>
      </c>
      <c r="B2" s="16" t="n">
        <v>1106604</v>
      </c>
      <c r="C2" s="16" t="n">
        <v>1085998.383</v>
      </c>
      <c r="D2" s="22" t="n">
        <v>0.9813794121474347</v>
      </c>
      <c r="E2" s="16" t="n">
        <v>-20605.61700000009</v>
      </c>
      <c r="F2" s="16" t="n">
        <v>1110764</v>
      </c>
      <c r="G2" s="16" t="n">
        <v>1005144.062</v>
      </c>
      <c r="H2" s="23" t="n">
        <v>0.9049123504182707</v>
      </c>
      <c r="I2" s="16" t="n">
        <v>-105619.938</v>
      </c>
      <c r="J2" s="16" t="n">
        <v>1112373</v>
      </c>
      <c r="K2" s="6" t="inlineStr">
        <is>
          <t>年度途中</t>
        </is>
      </c>
      <c r="L2" s="9" t="inlineStr">
        <is>
          <t>令和7年度は見込みを9.5％下回った。認定者数の計上変更と重なる</t>
        </is>
      </c>
    </row>
    <row r="3">
      <c r="A3" s="6" t="inlineStr">
        <is>
          <t xml:space="preserve">　うち特定入所者介護サービス費</t>
        </is>
      </c>
      <c r="B3" s="16" t="n">
        <v>52077</v>
      </c>
      <c r="C3" s="16" t="n">
        <v>52989.607</v>
      </c>
      <c r="D3" s="22" t="n">
        <v>1.017524185340938</v>
      </c>
      <c r="E3" s="16" t="n">
        <v>912.6070000000036</v>
      </c>
      <c r="F3" s="16" t="n">
        <v>51854</v>
      </c>
      <c r="G3" s="16" t="n">
        <v>49691.037</v>
      </c>
      <c r="H3" s="22" t="n">
        <v>0.9582874416631311</v>
      </c>
      <c r="I3" s="16" t="n">
        <v>-2162.963000000003</v>
      </c>
      <c r="J3" s="16" t="n">
        <v>51564</v>
      </c>
      <c r="K3" s="6" t="inlineStr">
        <is>
          <t>年度途中</t>
        </is>
      </c>
      <c r="L3" s="9" t="inlineStr">
        <is>
          <t>見込みはほぼ的中。補足給付は施設利用に連動しており安定している</t>
        </is>
      </c>
    </row>
    <row r="4">
      <c r="A4" s="6" t="inlineStr">
        <is>
          <t>標準給付費（審査支払手数料を除く）</t>
        </is>
      </c>
      <c r="B4" s="16" t="n">
        <v>1185894</v>
      </c>
      <c r="C4" s="16" t="n">
        <v>1169469.972</v>
      </c>
      <c r="D4" s="22" t="n">
        <v>0.9861505092360701</v>
      </c>
      <c r="E4" s="16" t="n">
        <v>-16424.02799999993</v>
      </c>
      <c r="F4" s="16" t="n">
        <v>1189712</v>
      </c>
      <c r="G4" s="16" t="n">
        <v>1083513.162</v>
      </c>
      <c r="H4" s="23" t="n">
        <v>0.9107356755248329</v>
      </c>
      <c r="I4" s="16" t="n">
        <v>-106198.838</v>
      </c>
      <c r="J4" s="16" t="n">
        <v>1190880</v>
      </c>
      <c r="K4" s="6" t="inlineStr">
        <is>
          <t>年度途中</t>
        </is>
      </c>
      <c r="L4" s="9" t="inlineStr">
        <is>
          <t>**令和7年度の実績は見込みの91.1％。106百万円の下振れ**</t>
        </is>
      </c>
    </row>
    <row r="5">
      <c r="A5" s="6" t="inlineStr">
        <is>
          <t>地域支援事業費</t>
        </is>
      </c>
      <c r="B5" s="16" t="n">
        <v>67320</v>
      </c>
      <c r="C5" s="6" t="inlineStr">
        <is>
          <t>未受領</t>
        </is>
      </c>
      <c r="D5" s="6" t="n"/>
      <c r="E5" s="6" t="n"/>
      <c r="F5" s="16" t="n">
        <v>69120</v>
      </c>
      <c r="G5" s="6" t="inlineStr">
        <is>
          <t>未受領</t>
        </is>
      </c>
      <c r="H5" s="6" t="n"/>
      <c r="I5" s="6" t="n"/>
      <c r="J5" s="16" t="n">
        <v>70820</v>
      </c>
      <c r="K5" s="6" t="inlineStr">
        <is>
          <t>年度途中</t>
        </is>
      </c>
      <c r="L5" s="9" t="inlineStr">
        <is>
          <t>**年報 様式4の令和6・7年度が未入力。決算書の受領を要する**</t>
        </is>
      </c>
    </row>
    <row r="6">
      <c r="A6" s="6" t="inlineStr">
        <is>
          <t xml:space="preserve">　うち介護予防・日常生活支援総合事業費</t>
        </is>
      </c>
      <c r="B6" s="16" t="n">
        <v>36220</v>
      </c>
      <c r="C6" s="6" t="inlineStr">
        <is>
          <t>未受領</t>
        </is>
      </c>
      <c r="D6" s="6" t="n"/>
      <c r="E6" s="6" t="n"/>
      <c r="F6" s="16" t="n">
        <v>37020</v>
      </c>
      <c r="G6" s="6" t="inlineStr">
        <is>
          <t>未受領</t>
        </is>
      </c>
      <c r="H6" s="6" t="n"/>
      <c r="I6" s="6" t="n"/>
      <c r="J6" s="16" t="n">
        <v>37720</v>
      </c>
      <c r="K6" s="6" t="inlineStr">
        <is>
          <t>年度途中</t>
        </is>
      </c>
      <c r="L6" s="9" t="inlineStr">
        <is>
          <t>令和5年度決算は34.7百万円（介護予防・生活支援サービス事業）</t>
        </is>
      </c>
    </row>
    <row r="7">
      <c r="A7" s="6" t="inlineStr">
        <is>
          <t xml:space="preserve">　うち包括的支援事業・任意事業費</t>
        </is>
      </c>
      <c r="B7" s="16" t="n">
        <v>24000</v>
      </c>
      <c r="C7" s="6" t="inlineStr">
        <is>
          <t>未受領</t>
        </is>
      </c>
      <c r="D7" s="6" t="n"/>
      <c r="E7" s="6" t="n"/>
      <c r="F7" s="16" t="n">
        <v>25000</v>
      </c>
      <c r="G7" s="6" t="inlineStr">
        <is>
          <t>未受領</t>
        </is>
      </c>
      <c r="H7" s="6" t="n"/>
      <c r="I7" s="6" t="n"/>
      <c r="J7" s="16" t="n">
        <v>26000</v>
      </c>
      <c r="K7" s="6" t="inlineStr">
        <is>
          <t>年度途中</t>
        </is>
      </c>
      <c r="L7" s="9" t="inlineStr">
        <is>
          <t>令和5年度決算は27.6百万円（社会保障充実分を含む）</t>
        </is>
      </c>
    </row>
    <row r="8">
      <c r="A8" s="6" t="n"/>
      <c r="B8" s="6" t="n"/>
      <c r="C8" s="6" t="n"/>
      <c r="D8" s="6" t="n"/>
      <c r="E8" s="6" t="n"/>
      <c r="F8" s="6" t="n"/>
      <c r="G8" s="6" t="n"/>
      <c r="H8" s="6" t="n"/>
      <c r="I8" s="6" t="n"/>
      <c r="J8" s="6" t="n"/>
      <c r="K8" s="6" t="n"/>
      <c r="L8" s="9" t="n"/>
    </row>
    <row r="9">
      <c r="A9" s="6" t="inlineStr">
        <is>
          <t>■ 保険料算定の前提</t>
        </is>
      </c>
      <c r="B9" s="6" t="n"/>
      <c r="C9" s="6" t="n"/>
      <c r="D9" s="6" t="n"/>
      <c r="E9" s="6" t="n"/>
      <c r="F9" s="6" t="n"/>
      <c r="G9" s="6" t="n"/>
      <c r="H9" s="6" t="n"/>
      <c r="I9" s="6" t="n"/>
      <c r="J9" s="6" t="n"/>
      <c r="K9" s="6" t="n"/>
      <c r="L9" s="9" t="n"/>
    </row>
    <row r="10">
      <c r="A10" s="6" t="inlineStr">
        <is>
          <t>保険料収納必要額</t>
        </is>
      </c>
      <c r="B10" s="6" t="inlineStr">
        <is>
          <t>832,562（基金取崩前）／797,563（取崩後）</t>
        </is>
      </c>
      <c r="C10" s="6" t="inlineStr"/>
      <c r="D10" s="6" t="inlineStr"/>
      <c r="E10" s="6" t="inlineStr"/>
      <c r="F10" s="6" t="inlineStr"/>
      <c r="G10" s="6" t="inlineStr"/>
      <c r="H10" s="6" t="inlineStr"/>
      <c r="I10" s="6" t="inlineStr"/>
      <c r="J10" s="6" t="inlineStr"/>
      <c r="K10" s="6" t="inlineStr"/>
      <c r="L10" s="9" t="inlineStr">
        <is>
          <t>第9期計画本文</t>
        </is>
      </c>
    </row>
    <row r="11">
      <c r="A11" s="6" t="inlineStr">
        <is>
          <t>介護給付費準備基金の取崩</t>
        </is>
      </c>
      <c r="B11" s="6" t="inlineStr">
        <is>
          <t>3年間で35,000</t>
        </is>
      </c>
      <c r="C11" s="6" t="inlineStr">
        <is>
          <t>12,000（保有額）</t>
        </is>
      </c>
      <c r="D11" s="6" t="inlineStr"/>
      <c r="E11" s="6" t="inlineStr"/>
      <c r="F11" s="6" t="inlineStr"/>
      <c r="G11" s="6" t="inlineStr"/>
      <c r="H11" s="6" t="inlineStr"/>
      <c r="I11" s="6" t="inlineStr"/>
      <c r="J11" s="6" t="inlineStr"/>
      <c r="K11" s="6" t="inlineStr"/>
      <c r="L11" s="9" t="inlineStr">
        <is>
          <t>**令和5・6年度末の基金保有額はいずれも12,000千円。令和4年度末の120,000千円から1桁減っている。取崩実績か入力誤りかの確認を要する**</t>
        </is>
      </c>
    </row>
    <row r="12">
      <c r="A12" s="6" t="inlineStr">
        <is>
          <t>保険料収納率（現年度分）</t>
        </is>
      </c>
      <c r="B12" s="6" t="inlineStr">
        <is>
          <t>99.40（予定）</t>
        </is>
      </c>
      <c r="C12" s="16" t="n">
        <v>99.36161385255406</v>
      </c>
      <c r="D12" s="6" t="inlineStr"/>
      <c r="E12" s="6" t="inlineStr"/>
      <c r="F12" s="6" t="inlineStr">
        <is>
          <t>99.40（予定）</t>
        </is>
      </c>
      <c r="G12" s="16" t="n">
        <v>99.35350971747596</v>
      </c>
      <c r="H12" s="6" t="inlineStr"/>
      <c r="I12" s="6" t="inlineStr"/>
      <c r="J12" s="6" t="inlineStr"/>
      <c r="K12" s="6" t="inlineStr"/>
      <c r="L12" s="9" t="inlineStr">
        <is>
          <t>実績は予定をやや下回る。第10期は99.35％で置く</t>
        </is>
      </c>
    </row>
    <row r="13">
      <c r="A13" s="6" t="inlineStr">
        <is>
          <t>保険料基準額（月額）</t>
        </is>
      </c>
      <c r="B13" s="6" t="inlineStr">
        <is>
          <t>6,600円</t>
        </is>
      </c>
      <c r="C13" s="6" t="inlineStr">
        <is>
          <t>6,600円</t>
        </is>
      </c>
      <c r="D13" s="6" t="inlineStr"/>
      <c r="E13" s="6" t="inlineStr"/>
      <c r="F13" s="6" t="inlineStr">
        <is>
          <t>6,600円</t>
        </is>
      </c>
      <c r="G13" s="6" t="inlineStr">
        <is>
          <t>6,600円</t>
        </is>
      </c>
      <c r="H13" s="6" t="inlineStr"/>
      <c r="I13" s="6" t="inlineStr"/>
      <c r="J13" s="6" t="inlineStr">
        <is>
          <t>6,600円</t>
        </is>
      </c>
      <c r="K13" s="6" t="inlineStr">
        <is>
          <t>6,600円</t>
        </is>
      </c>
      <c r="L13" s="9" t="inlineStr">
        <is>
          <t>算定値6,886円を基金取崩により6,597円とし、100円未満切上げで6,600円</t>
        </is>
      </c>
    </row>
    <row r="14">
      <c r="A14" s="6" t="inlineStr">
        <is>
          <t>調定額（現年度分）</t>
        </is>
      </c>
      <c r="B14" s="6" t="inlineStr"/>
      <c r="C14" s="16" t="n">
        <v>258620.9</v>
      </c>
      <c r="D14" s="6" t="inlineStr"/>
      <c r="E14" s="6" t="inlineStr"/>
      <c r="F14" s="6" t="inlineStr"/>
      <c r="G14" s="16" t="n">
        <v>265881.8</v>
      </c>
      <c r="H14" s="6" t="inlineStr"/>
      <c r="I14" s="6" t="inlineStr"/>
      <c r="J14" s="6" t="inlineStr"/>
      <c r="K14" s="6" t="inlineStr"/>
      <c r="L14" s="9" t="inlineStr">
        <is>
          <t>令和7年度は265,882千円。令和6年度から2.8％増</t>
        </is>
      </c>
    </row>
    <row r="16">
      <c r="A16" s="14" t="inlineStr">
        <is>
          <t>※ 見込みは第9期計画（令和6年3月策定）の記載。実績は介護保険事業状況報告（年報）様式3。</t>
        </is>
      </c>
    </row>
    <row r="17">
      <c r="A17" s="14" t="inlineStr">
        <is>
          <t>※ 標準給付費の実績には審査支払手数料を含めていない。年報に計上欄がないため。</t>
        </is>
      </c>
    </row>
    <row r="18">
      <c r="A18" s="14" t="inlineStr">
        <is>
          <t>※ 令和8年度は年度途中であり、実績が確定していない。</t>
        </is>
      </c>
    </row>
    <row r="19">
      <c r="A19" s="14" t="inlineStr">
        <is>
          <t>**※ 令和7年度の標準給付費は見込みの91.1％にとどまった。第10期の見込みを第9期と同水準で置くと、同じ幅の過大見積りを繰り返すことになる。**</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27"/>
  <sheetViews>
    <sheetView workbookViewId="0">
      <selection activeCell="A1" sqref="A1"/>
    </sheetView>
  </sheetViews>
  <sheetFormatPr baseColWidth="8" defaultRowHeight="15"/>
  <cols>
    <col width="22" customWidth="1" min="1" max="1"/>
    <col width="26" customWidth="1" min="2" max="2"/>
    <col width="10" customWidth="1" min="3" max="3"/>
    <col width="10" customWidth="1" min="4" max="4"/>
    <col width="10" customWidth="1" min="5" max="5"/>
    <col width="10" customWidth="1" min="6" max="6"/>
    <col width="10" customWidth="1" min="7" max="7"/>
    <col width="10" customWidth="1" min="8" max="8"/>
    <col width="10" customWidth="1" min="9" max="9"/>
    <col width="14" customWidth="1" min="10" max="10"/>
    <col width="56" customWidth="1" min="11" max="11"/>
  </cols>
  <sheetData>
    <row r="1">
      <c r="A1" s="5" t="inlineStr">
        <is>
          <t>区分</t>
        </is>
      </c>
      <c r="B1" s="5" t="inlineStr">
        <is>
          <t>出典</t>
        </is>
      </c>
      <c r="C1" s="5" t="inlineStr">
        <is>
          <t>5年度</t>
        </is>
      </c>
      <c r="D1" s="5" t="inlineStr">
        <is>
          <t>6年度</t>
        </is>
      </c>
      <c r="E1" s="5" t="inlineStr">
        <is>
          <t>7年度</t>
        </is>
      </c>
      <c r="F1" s="5" t="inlineStr">
        <is>
          <t>8年度</t>
        </is>
      </c>
      <c r="G1" s="5" t="inlineStr">
        <is>
          <t>9年度</t>
        </is>
      </c>
      <c r="H1" s="5" t="inlineStr">
        <is>
          <t>10年度</t>
        </is>
      </c>
      <c r="I1" s="5" t="inlineStr">
        <is>
          <t>11年度</t>
        </is>
      </c>
      <c r="J1" s="5" t="inlineStr">
        <is>
          <t>令和7→11 増減率</t>
        </is>
      </c>
      <c r="K1" s="5" t="inlineStr">
        <is>
          <t>備考</t>
        </is>
      </c>
    </row>
    <row r="2">
      <c r="A2" s="6" t="inlineStr">
        <is>
          <t>総人口</t>
        </is>
      </c>
      <c r="B2" s="6" t="inlineStr">
        <is>
          <t>第10期将来推計用推計人口</t>
        </is>
      </c>
      <c r="C2" s="16" t="n">
        <v>9314</v>
      </c>
      <c r="D2" s="16" t="n">
        <v>9132</v>
      </c>
      <c r="E2" s="16" t="n">
        <v>8951</v>
      </c>
      <c r="F2" s="16" t="n">
        <v>8771</v>
      </c>
      <c r="G2" s="16" t="n">
        <v>8591</v>
      </c>
      <c r="H2" s="16" t="n">
        <v>8411</v>
      </c>
      <c r="I2" s="16" t="n">
        <v>8232</v>
      </c>
      <c r="J2" s="6" t="inlineStr">
        <is>
          <t>-8.0％</t>
        </is>
      </c>
      <c r="K2" s="9" t="inlineStr">
        <is>
          <t>コーホート変化率法。平成27年→令和2年の国勢調査の移動率で令和2年から延ばしたもの</t>
        </is>
      </c>
    </row>
    <row r="3">
      <c r="A3" s="6" t="inlineStr">
        <is>
          <t>総人口</t>
        </is>
      </c>
      <c r="B3" s="6" t="inlineStr">
        <is>
          <t>障がい計画の設定シート</t>
        </is>
      </c>
      <c r="C3" s="16" t="n">
        <v>9372</v>
      </c>
      <c r="D3" s="16" t="n">
        <v>9116</v>
      </c>
      <c r="E3" s="16" t="n">
        <v>8740</v>
      </c>
      <c r="F3" s="16" t="n">
        <v>8520</v>
      </c>
      <c r="G3" s="16" t="n">
        <v>8287</v>
      </c>
      <c r="H3" s="16" t="n">
        <v>8076</v>
      </c>
      <c r="I3" s="16" t="n">
        <v>7830</v>
      </c>
      <c r="J3" s="6" t="inlineStr">
        <is>
          <t>-10.4％</t>
        </is>
      </c>
      <c r="K3" s="9" t="inlineStr">
        <is>
          <t>令和5〜8年度はワークシート入力値（住民基本台帳）、令和9年度以降が推計</t>
        </is>
      </c>
    </row>
    <row r="4">
      <c r="A4" s="24" t="inlineStr">
        <is>
          <t xml:space="preserve">　差（第10期−障がい）</t>
        </is>
      </c>
      <c r="B4" s="24" t="inlineStr"/>
      <c r="C4" s="25" t="n">
        <v>-58</v>
      </c>
      <c r="D4" s="25" t="n">
        <v>16</v>
      </c>
      <c r="E4" s="25" t="n">
        <v>211</v>
      </c>
      <c r="F4" s="25" t="n">
        <v>251</v>
      </c>
      <c r="G4" s="25" t="n">
        <v>304</v>
      </c>
      <c r="H4" s="25" t="n">
        <v>335</v>
      </c>
      <c r="I4" s="25" t="n">
        <v>402</v>
      </c>
      <c r="J4" s="6" t="inlineStr"/>
      <c r="K4" s="9" t="inlineStr"/>
    </row>
    <row r="5">
      <c r="A5" s="6" t="n"/>
      <c r="B5" s="6" t="n"/>
      <c r="C5" s="6" t="n"/>
      <c r="D5" s="6" t="n"/>
      <c r="E5" s="6" t="n"/>
      <c r="F5" s="6" t="n"/>
      <c r="G5" s="6" t="n"/>
      <c r="H5" s="6" t="n"/>
      <c r="I5" s="6" t="n"/>
      <c r="J5" s="6" t="n"/>
      <c r="K5" s="9" t="n"/>
    </row>
    <row r="6">
      <c r="A6" s="6" t="inlineStr">
        <is>
          <t>65歳以上人口</t>
        </is>
      </c>
      <c r="B6" s="6" t="inlineStr">
        <is>
          <t>第10期将来推計用推計人口</t>
        </is>
      </c>
      <c r="C6" s="16" t="n">
        <v>3449</v>
      </c>
      <c r="D6" s="16" t="n">
        <v>3465</v>
      </c>
      <c r="E6" s="16" t="n">
        <v>3460</v>
      </c>
      <c r="F6" s="16" t="n">
        <v>3449</v>
      </c>
      <c r="G6" s="16" t="n">
        <v>3438</v>
      </c>
      <c r="H6" s="16" t="n">
        <v>3428</v>
      </c>
      <c r="I6" s="16" t="n">
        <v>3418</v>
      </c>
      <c r="J6" s="6" t="inlineStr">
        <is>
          <t>-1.2％</t>
        </is>
      </c>
      <c r="K6" s="9" t="inlineStr">
        <is>
          <t>**介護保険事業計画が使う区分。両者はよく一致している**</t>
        </is>
      </c>
    </row>
    <row r="7">
      <c r="A7" s="6" t="inlineStr">
        <is>
          <t>65歳以上人口</t>
        </is>
      </c>
      <c r="B7" s="6" t="inlineStr">
        <is>
          <t>障がい計画の設定シート</t>
        </is>
      </c>
      <c r="C7" s="16" t="n">
        <v>3502</v>
      </c>
      <c r="D7" s="16" t="n">
        <v>3493</v>
      </c>
      <c r="E7" s="16" t="n">
        <v>3483</v>
      </c>
      <c r="F7" s="16" t="n">
        <v>3459</v>
      </c>
      <c r="G7" s="16" t="n">
        <v>3460</v>
      </c>
      <c r="H7" s="16" t="n">
        <v>3452</v>
      </c>
      <c r="I7" s="16" t="n">
        <v>3422</v>
      </c>
      <c r="J7" s="6" t="inlineStr">
        <is>
          <t>-1.8％</t>
        </is>
      </c>
      <c r="K7" s="9" t="inlineStr"/>
    </row>
    <row r="8">
      <c r="A8" s="24" t="inlineStr">
        <is>
          <t xml:space="preserve">　差（第10期−障がい）</t>
        </is>
      </c>
      <c r="B8" s="24" t="inlineStr"/>
      <c r="C8" s="25" t="n">
        <v>-53</v>
      </c>
      <c r="D8" s="25" t="n">
        <v>-28</v>
      </c>
      <c r="E8" s="25" t="n">
        <v>-23</v>
      </c>
      <c r="F8" s="25" t="n">
        <v>-10</v>
      </c>
      <c r="G8" s="25" t="n">
        <v>-22</v>
      </c>
      <c r="H8" s="25" t="n">
        <v>-24</v>
      </c>
      <c r="I8" s="25" t="n">
        <v>-4</v>
      </c>
      <c r="J8" s="6" t="inlineStr"/>
      <c r="K8" s="9" t="inlineStr"/>
    </row>
    <row r="9">
      <c r="A9" s="6" t="n"/>
      <c r="B9" s="6" t="n"/>
      <c r="C9" s="6" t="n"/>
      <c r="D9" s="6" t="n"/>
      <c r="E9" s="6" t="n"/>
      <c r="F9" s="6" t="n"/>
      <c r="G9" s="6" t="n"/>
      <c r="H9" s="6" t="n"/>
      <c r="I9" s="6" t="n"/>
      <c r="J9" s="6" t="n"/>
      <c r="K9" s="9" t="n"/>
    </row>
    <row r="10">
      <c r="A10" s="6" t="inlineStr">
        <is>
          <t>0〜14歳人口</t>
        </is>
      </c>
      <c r="B10" s="6" t="inlineStr">
        <is>
          <t>第10期将来推計用推計人口</t>
        </is>
      </c>
      <c r="C10" s="16" t="n">
        <v>906</v>
      </c>
      <c r="D10" s="16" t="n">
        <v>869</v>
      </c>
      <c r="E10" s="16" t="n">
        <v>834</v>
      </c>
      <c r="F10" s="16" t="n">
        <v>800</v>
      </c>
      <c r="G10" s="16" t="n">
        <v>765</v>
      </c>
      <c r="H10" s="16" t="n">
        <v>731</v>
      </c>
      <c r="I10" s="16" t="n">
        <v>697</v>
      </c>
      <c r="J10" s="6" t="inlineStr">
        <is>
          <t>-16.4％</t>
        </is>
      </c>
      <c r="K10" s="9" t="inlineStr">
        <is>
          <t>**障害児サービス（児童発達支援・放課後等デイサービス）の人口比率型の分母**</t>
        </is>
      </c>
    </row>
    <row r="11">
      <c r="A11" s="6" t="inlineStr">
        <is>
          <t>0〜14歳人口</t>
        </is>
      </c>
      <c r="B11" s="6" t="inlineStr">
        <is>
          <t>障がい計画の設定シート</t>
        </is>
      </c>
      <c r="C11" s="16" t="n">
        <v>884</v>
      </c>
      <c r="D11" s="16" t="n">
        <v>809</v>
      </c>
      <c r="E11" s="16" t="n">
        <v>732</v>
      </c>
      <c r="F11" s="16" t="n">
        <v>679</v>
      </c>
      <c r="G11" s="16" t="n">
        <v>624</v>
      </c>
      <c r="H11" s="16" t="n">
        <v>584</v>
      </c>
      <c r="I11" s="16" t="n">
        <v>517</v>
      </c>
      <c r="J11" s="6" t="inlineStr">
        <is>
          <t>-29.4％</t>
        </is>
      </c>
      <c r="K11" s="9" t="inlineStr"/>
    </row>
    <row r="12">
      <c r="A12" s="24" t="inlineStr">
        <is>
          <t xml:space="preserve">　差（第10期−障がい）</t>
        </is>
      </c>
      <c r="B12" s="24" t="inlineStr"/>
      <c r="C12" s="25" t="n">
        <v>22</v>
      </c>
      <c r="D12" s="25" t="n">
        <v>60</v>
      </c>
      <c r="E12" s="25" t="n">
        <v>102</v>
      </c>
      <c r="F12" s="25" t="n">
        <v>121</v>
      </c>
      <c r="G12" s="25" t="n">
        <v>141</v>
      </c>
      <c r="H12" s="25" t="n">
        <v>147</v>
      </c>
      <c r="I12" s="25" t="n">
        <v>180</v>
      </c>
      <c r="J12" s="6" t="inlineStr"/>
      <c r="K12" s="9" t="inlineStr"/>
    </row>
    <row r="13">
      <c r="A13" s="6" t="n"/>
      <c r="B13" s="6" t="n"/>
      <c r="C13" s="6" t="n"/>
      <c r="D13" s="6" t="n"/>
      <c r="E13" s="6" t="n"/>
      <c r="F13" s="6" t="n"/>
      <c r="G13" s="6" t="n"/>
      <c r="H13" s="6" t="n"/>
      <c r="I13" s="6" t="n"/>
      <c r="J13" s="6" t="n"/>
      <c r="K13" s="9" t="n"/>
    </row>
    <row r="14">
      <c r="A14" s="6" t="inlineStr">
        <is>
          <t>15〜64歳人口</t>
        </is>
      </c>
      <c r="B14" s="6" t="inlineStr">
        <is>
          <t>第10期将来推計用推計人口</t>
        </is>
      </c>
      <c r="C14" s="16" t="n">
        <v>4960</v>
      </c>
      <c r="D14" s="16" t="n">
        <v>4799</v>
      </c>
      <c r="E14" s="16" t="n">
        <v>4657</v>
      </c>
      <c r="F14" s="16" t="n">
        <v>4522</v>
      </c>
      <c r="G14" s="16" t="n">
        <v>4387</v>
      </c>
      <c r="H14" s="16" t="n">
        <v>4252</v>
      </c>
      <c r="I14" s="16" t="n">
        <v>4118</v>
      </c>
      <c r="J14" s="6" t="inlineStr">
        <is>
          <t>-11.6％</t>
        </is>
      </c>
      <c r="K14" s="9" t="inlineStr">
        <is>
          <t>第2号被保険者数の基礎</t>
        </is>
      </c>
    </row>
    <row r="15">
      <c r="A15" s="6" t="inlineStr">
        <is>
          <t>15〜64歳人口</t>
        </is>
      </c>
      <c r="B15" s="6" t="inlineStr">
        <is>
          <t>障がい計画の設定シート</t>
        </is>
      </c>
      <c r="C15" s="16" t="n">
        <v>4986</v>
      </c>
      <c r="D15" s="16" t="n">
        <v>4814</v>
      </c>
      <c r="E15" s="16" t="n">
        <v>4525</v>
      </c>
      <c r="F15" s="16" t="n">
        <v>4382</v>
      </c>
      <c r="G15" s="16" t="n">
        <v>4203</v>
      </c>
      <c r="H15" s="16" t="n">
        <v>4040</v>
      </c>
      <c r="I15" s="16" t="n">
        <v>3891</v>
      </c>
      <c r="J15" s="6" t="inlineStr">
        <is>
          <t>-14.0％</t>
        </is>
      </c>
      <c r="K15" s="9" t="inlineStr"/>
    </row>
    <row r="16">
      <c r="A16" s="6" t="n"/>
      <c r="B16" s="6" t="n"/>
      <c r="C16" s="6" t="n"/>
      <c r="D16" s="6" t="n"/>
      <c r="E16" s="6" t="n"/>
      <c r="F16" s="6" t="n"/>
      <c r="G16" s="6" t="n"/>
      <c r="H16" s="6" t="n"/>
      <c r="I16" s="6" t="n"/>
      <c r="J16" s="6" t="n"/>
      <c r="K16" s="9" t="n"/>
    </row>
    <row r="17">
      <c r="A17" s="6" t="inlineStr">
        <is>
          <t>■ 実績との突合（第1号被保険者数・年報 様式1）</t>
        </is>
      </c>
      <c r="B17" s="6" t="n"/>
      <c r="C17" s="6" t="n"/>
      <c r="D17" s="6" t="n"/>
      <c r="E17" s="6" t="n"/>
      <c r="F17" s="6" t="n"/>
      <c r="G17" s="6" t="n"/>
      <c r="H17" s="6" t="n"/>
      <c r="I17" s="6" t="n"/>
      <c r="J17" s="6" t="n"/>
      <c r="K17" s="9" t="n"/>
    </row>
    <row r="18">
      <c r="A18" s="6" t="inlineStr">
        <is>
          <t>年度</t>
        </is>
      </c>
      <c r="B18" s="6" t="inlineStr">
        <is>
          <t>年報の実績（年度末）</t>
        </is>
      </c>
      <c r="C18" s="6" t="inlineStr">
        <is>
          <t>第10期推計（10月1日）</t>
        </is>
      </c>
      <c r="D18" s="6" t="inlineStr">
        <is>
          <t>差</t>
        </is>
      </c>
      <c r="E18" s="6" t="inlineStr">
        <is>
          <t>差の率</t>
        </is>
      </c>
      <c r="F18" s="6" t="inlineStr">
        <is>
          <t>障がい計画の65歳以上</t>
        </is>
      </c>
      <c r="G18" s="6" t="inlineStr">
        <is>
          <t>差</t>
        </is>
      </c>
      <c r="H18" s="6" t="inlineStr">
        <is>
          <t>差の率</t>
        </is>
      </c>
      <c r="I18" s="6" t="n"/>
      <c r="J18" s="6" t="n"/>
      <c r="K18" s="9" t="n"/>
    </row>
    <row r="19">
      <c r="A19" s="6" t="inlineStr">
        <is>
          <t>令和5年度</t>
        </is>
      </c>
      <c r="B19" s="16" t="n">
        <v>3493</v>
      </c>
      <c r="C19" s="16" t="n">
        <v>3449</v>
      </c>
      <c r="D19" s="16" t="n">
        <v>-44</v>
      </c>
      <c r="E19" s="6" t="inlineStr">
        <is>
          <t>-1.26％</t>
        </is>
      </c>
      <c r="F19" s="16" t="n">
        <v>3502</v>
      </c>
      <c r="G19" s="16" t="n">
        <v>9</v>
      </c>
      <c r="H19" s="6" t="inlineStr">
        <is>
          <t>+0.26％</t>
        </is>
      </c>
      <c r="I19" s="6" t="n"/>
      <c r="J19" s="6" t="n"/>
      <c r="K19" s="9" t="n"/>
    </row>
    <row r="20">
      <c r="A20" s="6" t="inlineStr">
        <is>
          <t>令和6年度</t>
        </is>
      </c>
      <c r="B20" s="16" t="n">
        <v>3493</v>
      </c>
      <c r="C20" s="16" t="n">
        <v>3465</v>
      </c>
      <c r="D20" s="16" t="n">
        <v>-28</v>
      </c>
      <c r="E20" s="6" t="inlineStr">
        <is>
          <t>-0.80％</t>
        </is>
      </c>
      <c r="F20" s="16" t="n">
        <v>3493</v>
      </c>
      <c r="G20" s="16" t="n">
        <v>0</v>
      </c>
      <c r="H20" s="6" t="inlineStr">
        <is>
          <t>+0.00％</t>
        </is>
      </c>
      <c r="I20" s="6" t="n"/>
      <c r="J20" s="6" t="n"/>
      <c r="K20" s="9" t="n"/>
    </row>
    <row r="21">
      <c r="A21" s="6" t="inlineStr">
        <is>
          <t>令和7年度</t>
        </is>
      </c>
      <c r="B21" s="16" t="n">
        <v>3443</v>
      </c>
      <c r="C21" s="16" t="n">
        <v>3460</v>
      </c>
      <c r="D21" s="16" t="n">
        <v>17</v>
      </c>
      <c r="E21" s="6" t="inlineStr">
        <is>
          <t>+0.49％</t>
        </is>
      </c>
      <c r="F21" s="16" t="n">
        <v>3483</v>
      </c>
      <c r="G21" s="16" t="n">
        <v>40</v>
      </c>
      <c r="H21" s="6" t="inlineStr">
        <is>
          <t>+1.16％</t>
        </is>
      </c>
      <c r="I21" s="6" t="n"/>
      <c r="J21" s="6" t="n"/>
      <c r="K21" s="9" t="n"/>
    </row>
    <row r="23">
      <c r="A23" s="14" t="inlineStr">
        <is>
          <t>※ 第10期将来推計用推計人口の年齢区分は、男女別5歳階級の推計値を合計して四捨五入したもの。総人口は総数を独立に四捨五入しているため、年齢3区分の合計と1人ずれる年がある（令和9年度・令和11年度）。</t>
        </is>
      </c>
    </row>
    <row r="24">
      <c r="A24" s="14" t="inlineStr">
        <is>
          <t>※ 第1号被保険者数は65〜74歳・75〜84歳・85歳以上の3階級の合計としている（年齢階層別認定率の計算で内訳と合計を一致させるため）。</t>
        </is>
      </c>
    </row>
    <row r="25">
      <c r="A25" s="14" t="inlineStr">
        <is>
          <t>※ 65歳以上人口は3つの出典がよく一致している。差が出るのは0〜14歳と15〜64歳である。</t>
        </is>
      </c>
    </row>
    <row r="26">
      <c r="A26" s="14" t="inlineStr">
        <is>
          <t>**※ 0〜14歳は令和11年度で697人と517人、180人（35％）の差がある。障害児サービスの見込量は人口比率型で算定しているため、この差がそのまま見込量に効く。**</t>
        </is>
      </c>
    </row>
    <row r="27">
      <c r="A27" s="14" t="inlineStr">
        <is>
          <t>**※ 高齢者計画は第10期将来推計用推計人口を用いる。介護保険事業計画の様式であり、第1号被保険者数の実績との一致が確認できているため。**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2026-09-14T23:27:07Z</dcterms:created>
  <dcterms:modified xmlns:dcterms="http://purl.org/dc/terms/" xmlns:xsi="http://www.w3.org/2001/XMLSchema-instance" xsi:type="dcterms:W3CDTF">2026-09-14T23:27:08Z</dcterms:modified>
</cp:coreProperties>
</file>