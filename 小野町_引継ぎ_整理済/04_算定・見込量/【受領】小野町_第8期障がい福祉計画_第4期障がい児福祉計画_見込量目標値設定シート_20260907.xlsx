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taka\Desktop\福祉計画\★小野町（障がい＋高齢）\障がい\★見込量算定\"/>
    </mc:Choice>
  </mc:AlternateContent>
  <xr:revisionPtr revIDLastSave="0" documentId="13_ncr:1_{4C4D98AC-CBDD-4646-83BD-01267B46EC21}" xr6:coauthVersionLast="47" xr6:coauthVersionMax="47" xr10:uidLastSave="{00000000-0000-0000-0000-000000000000}"/>
  <bookViews>
    <workbookView xWindow="19090" yWindow="-110" windowWidth="19420" windowHeight="10300" activeTab="2" xr2:uid="{00000000-000D-0000-FFFF-FFFF00000000}"/>
  </bookViews>
  <sheets>
    <sheet name="表紙・使い方" sheetId="1" r:id="rId1"/>
    <sheet name="人口基礎データ" sheetId="2" r:id="rId2"/>
    <sheet name="見込量算定(障害福祉)" sheetId="3" r:id="rId3"/>
    <sheet name="見込量算定(障害児)" sheetId="4" r:id="rId4"/>
    <sheet name="地域生活支援事業" sheetId="5" r:id="rId5"/>
    <sheet name="成果目標算定" sheetId="6" r:id="rId6"/>
    <sheet name="サマリー" sheetId="7" r:id="rId7"/>
    <sheet name="確認事項" sheetId="8" state="hidden" r:id="rId8"/>
    <sheet name="参考資料" sheetId="9"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6" l="1"/>
  <c r="C42" i="7"/>
  <c r="E41" i="7"/>
  <c r="D41" i="7"/>
  <c r="C41" i="7"/>
  <c r="F40" i="7"/>
  <c r="G40" i="7" s="1"/>
  <c r="E40" i="7"/>
  <c r="D40" i="7"/>
  <c r="C40" i="7"/>
  <c r="C39" i="7"/>
  <c r="C38" i="7"/>
  <c r="F34" i="7"/>
  <c r="G34" i="7" s="1"/>
  <c r="E34" i="7"/>
  <c r="D34" i="7"/>
  <c r="C34" i="7"/>
  <c r="F33" i="7"/>
  <c r="G33" i="7" s="1"/>
  <c r="C33" i="7"/>
  <c r="C32" i="7"/>
  <c r="E31" i="7"/>
  <c r="D31" i="7"/>
  <c r="C31" i="7"/>
  <c r="J17" i="7" s="1"/>
  <c r="E30" i="7"/>
  <c r="C30" i="7"/>
  <c r="C29" i="7"/>
  <c r="F28" i="7"/>
  <c r="G28" i="7" s="1"/>
  <c r="E28" i="7"/>
  <c r="D28" i="7"/>
  <c r="C28" i="7"/>
  <c r="F27" i="7"/>
  <c r="G27" i="7" s="1"/>
  <c r="C27" i="7"/>
  <c r="C26" i="7"/>
  <c r="F25" i="7"/>
  <c r="G25" i="7" s="1"/>
  <c r="E25" i="7"/>
  <c r="C25" i="7"/>
  <c r="F24" i="7"/>
  <c r="G24" i="7" s="1"/>
  <c r="C24" i="7"/>
  <c r="C23" i="7"/>
  <c r="E22" i="7"/>
  <c r="D22" i="7"/>
  <c r="C22" i="7"/>
  <c r="F21" i="7"/>
  <c r="G21" i="7" s="1"/>
  <c r="E21" i="7"/>
  <c r="D21" i="7"/>
  <c r="C21" i="7"/>
  <c r="C20" i="7"/>
  <c r="C19" i="7"/>
  <c r="J18" i="7"/>
  <c r="F18" i="7"/>
  <c r="G18" i="7" s="1"/>
  <c r="E18" i="7"/>
  <c r="D18" i="7"/>
  <c r="C18" i="7"/>
  <c r="C17" i="7"/>
  <c r="J16" i="7"/>
  <c r="D16" i="7"/>
  <c r="C16" i="7"/>
  <c r="J15" i="7"/>
  <c r="C15" i="7"/>
  <c r="J14" i="7"/>
  <c r="C14" i="7"/>
  <c r="K13" i="7"/>
  <c r="J13" i="7"/>
  <c r="F13" i="7"/>
  <c r="G13" i="7" s="1"/>
  <c r="C13" i="7"/>
  <c r="B7" i="7"/>
  <c r="D13" i="6"/>
  <c r="G13" i="6" s="1"/>
  <c r="G12" i="6"/>
  <c r="G11" i="6"/>
  <c r="G9" i="6"/>
  <c r="D8" i="6"/>
  <c r="D7" i="6"/>
  <c r="G7" i="6" s="1"/>
  <c r="D6" i="6"/>
  <c r="G6" i="6" s="1"/>
  <c r="N26" i="5"/>
  <c r="M26" i="5"/>
  <c r="L26" i="5"/>
  <c r="N25" i="5"/>
  <c r="M25" i="5"/>
  <c r="L25" i="5"/>
  <c r="N24" i="5"/>
  <c r="M24" i="5"/>
  <c r="L24" i="5"/>
  <c r="N23" i="5"/>
  <c r="M23" i="5"/>
  <c r="L23" i="5"/>
  <c r="N22" i="5"/>
  <c r="M22" i="5"/>
  <c r="L22" i="5"/>
  <c r="N21" i="5"/>
  <c r="M21" i="5"/>
  <c r="L21" i="5"/>
  <c r="N20" i="5"/>
  <c r="M20" i="5"/>
  <c r="L20" i="5"/>
  <c r="N19" i="5"/>
  <c r="M19" i="5"/>
  <c r="L19" i="5"/>
  <c r="N18" i="5"/>
  <c r="M18" i="5"/>
  <c r="L18" i="5"/>
  <c r="N17" i="5"/>
  <c r="M17" i="5"/>
  <c r="L17" i="5"/>
  <c r="N16" i="5"/>
  <c r="M16" i="5"/>
  <c r="L16" i="5"/>
  <c r="N15" i="5"/>
  <c r="M15" i="5"/>
  <c r="L15" i="5"/>
  <c r="N14" i="5"/>
  <c r="M14" i="5"/>
  <c r="L14" i="5"/>
  <c r="N13" i="5"/>
  <c r="M13" i="5"/>
  <c r="L13" i="5"/>
  <c r="N12" i="5"/>
  <c r="M12" i="5"/>
  <c r="L12" i="5"/>
  <c r="N11" i="5"/>
  <c r="M11" i="5"/>
  <c r="L11" i="5"/>
  <c r="N10" i="5"/>
  <c r="M10" i="5"/>
  <c r="L10" i="5"/>
  <c r="N9" i="5"/>
  <c r="M9" i="5"/>
  <c r="L9" i="5"/>
  <c r="N8" i="5"/>
  <c r="M8" i="5"/>
  <c r="L8" i="5"/>
  <c r="N7" i="5"/>
  <c r="M7" i="5"/>
  <c r="L7" i="5"/>
  <c r="N6" i="5"/>
  <c r="M6" i="5"/>
  <c r="L6" i="5"/>
  <c r="Y10" i="4"/>
  <c r="X10" i="4"/>
  <c r="W10" i="4"/>
  <c r="N10" i="4"/>
  <c r="F42" i="7" s="1"/>
  <c r="G42" i="7" s="1"/>
  <c r="M10" i="4"/>
  <c r="E42" i="7" s="1"/>
  <c r="L10" i="4"/>
  <c r="D42" i="7" s="1"/>
  <c r="Y9" i="4"/>
  <c r="X9" i="4"/>
  <c r="W9" i="4"/>
  <c r="N9" i="4"/>
  <c r="F41" i="7" s="1"/>
  <c r="G41" i="7" s="1"/>
  <c r="M9" i="4"/>
  <c r="L9" i="4"/>
  <c r="Y8" i="4"/>
  <c r="X8" i="4"/>
  <c r="W8" i="4"/>
  <c r="N8" i="4"/>
  <c r="M8" i="4"/>
  <c r="L8" i="4"/>
  <c r="X7" i="4"/>
  <c r="N7" i="4"/>
  <c r="F39" i="7" s="1"/>
  <c r="G39" i="7" s="1"/>
  <c r="M7" i="4"/>
  <c r="E39" i="7" s="1"/>
  <c r="L7" i="4"/>
  <c r="D39" i="7" s="1"/>
  <c r="N6" i="4"/>
  <c r="F38" i="7" s="1"/>
  <c r="G38" i="7" s="1"/>
  <c r="M6" i="4"/>
  <c r="X6" i="4" s="1"/>
  <c r="L6" i="4"/>
  <c r="D38" i="7" s="1"/>
  <c r="Y27" i="3"/>
  <c r="X27" i="3"/>
  <c r="W27" i="3"/>
  <c r="N27" i="3"/>
  <c r="M27" i="3"/>
  <c r="L27" i="3"/>
  <c r="Y26" i="3"/>
  <c r="X26" i="3"/>
  <c r="W26" i="3"/>
  <c r="N26" i="3"/>
  <c r="M26" i="3"/>
  <c r="E33" i="7" s="1"/>
  <c r="L26" i="3"/>
  <c r="D33" i="7" s="1"/>
  <c r="Y25" i="3"/>
  <c r="X25" i="3"/>
  <c r="W25" i="3"/>
  <c r="N25" i="3"/>
  <c r="F32" i="7" s="1"/>
  <c r="M25" i="3"/>
  <c r="E32" i="7" s="1"/>
  <c r="L25" i="3"/>
  <c r="D32" i="7" s="1"/>
  <c r="Y24" i="3"/>
  <c r="X24" i="3"/>
  <c r="W24" i="3"/>
  <c r="N24" i="3"/>
  <c r="F31" i="7" s="1"/>
  <c r="M24" i="3"/>
  <c r="L24" i="3"/>
  <c r="Y23" i="3"/>
  <c r="X23" i="3"/>
  <c r="W23" i="3"/>
  <c r="N23" i="3"/>
  <c r="F30" i="7" s="1"/>
  <c r="M23" i="3"/>
  <c r="L23" i="3"/>
  <c r="D30" i="7" s="1"/>
  <c r="Y22" i="3"/>
  <c r="X22" i="3"/>
  <c r="W22" i="3"/>
  <c r="N22" i="3"/>
  <c r="F29" i="7" s="1"/>
  <c r="G29" i="7" s="1"/>
  <c r="M22" i="3"/>
  <c r="E29" i="7" s="1"/>
  <c r="L22" i="3"/>
  <c r="D29" i="7" s="1"/>
  <c r="Y21" i="3"/>
  <c r="X21" i="3"/>
  <c r="W21" i="3"/>
  <c r="N21" i="3"/>
  <c r="M21" i="3"/>
  <c r="L21" i="3"/>
  <c r="Y20" i="3"/>
  <c r="X20" i="3"/>
  <c r="W20" i="3"/>
  <c r="N20" i="3"/>
  <c r="M20" i="3"/>
  <c r="E27" i="7" s="1"/>
  <c r="L20" i="3"/>
  <c r="D27" i="7" s="1"/>
  <c r="Y19" i="3"/>
  <c r="X19" i="3"/>
  <c r="W19" i="3"/>
  <c r="N19" i="3"/>
  <c r="F26" i="7" s="1"/>
  <c r="G26" i="7" s="1"/>
  <c r="M19" i="3"/>
  <c r="E26" i="7" s="1"/>
  <c r="L19" i="3"/>
  <c r="D26" i="7" s="1"/>
  <c r="Y18" i="3"/>
  <c r="X18" i="3"/>
  <c r="W18" i="3"/>
  <c r="N18" i="3"/>
  <c r="M18" i="3"/>
  <c r="L18" i="3"/>
  <c r="D25" i="7" s="1"/>
  <c r="W17" i="3"/>
  <c r="N17" i="3"/>
  <c r="Y17" i="3" s="1"/>
  <c r="M17" i="3"/>
  <c r="E24" i="7" s="1"/>
  <c r="L17" i="3"/>
  <c r="D24" i="7" s="1"/>
  <c r="Y16" i="3"/>
  <c r="N16" i="3"/>
  <c r="F23" i="7" s="1"/>
  <c r="M16" i="3"/>
  <c r="X16" i="3" s="1"/>
  <c r="L16" i="3"/>
  <c r="W16" i="3" s="1"/>
  <c r="Y15" i="3"/>
  <c r="X15" i="3"/>
  <c r="W15" i="3"/>
  <c r="N15" i="3"/>
  <c r="F22" i="7" s="1"/>
  <c r="G22" i="7" s="1"/>
  <c r="M15" i="3"/>
  <c r="L15" i="3"/>
  <c r="Y14" i="3"/>
  <c r="X14" i="3"/>
  <c r="W14" i="3"/>
  <c r="N14" i="3"/>
  <c r="M14" i="3"/>
  <c r="L14" i="3"/>
  <c r="X13" i="3"/>
  <c r="W13" i="3"/>
  <c r="N13" i="3"/>
  <c r="F20" i="7" s="1"/>
  <c r="G20" i="7" s="1"/>
  <c r="M13" i="3"/>
  <c r="E20" i="7" s="1"/>
  <c r="L13" i="3"/>
  <c r="D20" i="7" s="1"/>
  <c r="Y12" i="3"/>
  <c r="X12" i="3"/>
  <c r="W12" i="3"/>
  <c r="N12" i="3"/>
  <c r="F19" i="7" s="1"/>
  <c r="G19" i="7" s="1"/>
  <c r="M12" i="3"/>
  <c r="E19" i="7" s="1"/>
  <c r="L12" i="3"/>
  <c r="D19" i="7" s="1"/>
  <c r="Y11" i="3"/>
  <c r="X11" i="3"/>
  <c r="W11" i="3"/>
  <c r="N11" i="3"/>
  <c r="M11" i="3"/>
  <c r="L11" i="3"/>
  <c r="Y10" i="3"/>
  <c r="X10" i="3"/>
  <c r="W10" i="3"/>
  <c r="N10" i="3"/>
  <c r="F17" i="7" s="1"/>
  <c r="G17" i="7" s="1"/>
  <c r="M10" i="3"/>
  <c r="E17" i="7" s="1"/>
  <c r="L10" i="3"/>
  <c r="D17" i="7" s="1"/>
  <c r="Y9" i="3"/>
  <c r="X9" i="3"/>
  <c r="W9" i="3"/>
  <c r="N9" i="3"/>
  <c r="F16" i="7" s="1"/>
  <c r="G16" i="7" s="1"/>
  <c r="M9" i="3"/>
  <c r="E16" i="7" s="1"/>
  <c r="L9" i="3"/>
  <c r="Y8" i="3"/>
  <c r="X8" i="3"/>
  <c r="W8" i="3"/>
  <c r="N8" i="3"/>
  <c r="F15" i="7" s="1"/>
  <c r="G15" i="7" s="1"/>
  <c r="M8" i="3"/>
  <c r="E15" i="7" s="1"/>
  <c r="L8" i="3"/>
  <c r="D15" i="7" s="1"/>
  <c r="N7" i="3"/>
  <c r="Y7" i="3" s="1"/>
  <c r="M7" i="3"/>
  <c r="X7" i="3" s="1"/>
  <c r="L7" i="3"/>
  <c r="W7" i="3" s="1"/>
  <c r="N6" i="3"/>
  <c r="Y6" i="3" s="1"/>
  <c r="M6" i="3"/>
  <c r="E13" i="7" s="1"/>
  <c r="L6" i="3"/>
  <c r="D13" i="7" s="1"/>
  <c r="K13" i="2"/>
  <c r="J13" i="2"/>
  <c r="K12" i="2"/>
  <c r="J12" i="2"/>
  <c r="K11" i="2"/>
  <c r="J11" i="2"/>
  <c r="K10" i="2"/>
  <c r="J10" i="2"/>
  <c r="K9" i="2"/>
  <c r="J9" i="2"/>
  <c r="K8" i="2"/>
  <c r="J8" i="2"/>
  <c r="K7" i="2"/>
  <c r="J7" i="2"/>
  <c r="K6" i="2"/>
  <c r="J6" i="2"/>
  <c r="X6" i="3" l="1"/>
  <c r="G32" i="7"/>
  <c r="K18" i="7"/>
  <c r="K16" i="7"/>
  <c r="G30" i="7"/>
  <c r="K17" i="7"/>
  <c r="G31" i="7"/>
  <c r="G8" i="6"/>
  <c r="G23" i="7"/>
  <c r="K14" i="7"/>
  <c r="K15" i="7"/>
  <c r="X17" i="3"/>
  <c r="D14" i="7"/>
  <c r="W6" i="4"/>
  <c r="E14" i="7"/>
  <c r="E38" i="7"/>
  <c r="W6" i="3"/>
  <c r="F14" i="7"/>
  <c r="G14" i="7" s="1"/>
  <c r="Y6" i="4"/>
  <c r="W7" i="4"/>
  <c r="D23" i="7"/>
  <c r="E23" i="7"/>
  <c r="Y13" i="3"/>
  <c r="Y7" i="4"/>
</calcChain>
</file>

<file path=xl/sharedStrings.xml><?xml version="1.0" encoding="utf-8"?>
<sst xmlns="http://schemas.openxmlformats.org/spreadsheetml/2006/main" count="905" uniqueCount="406">
  <si>
    <t>小野町
第8期障がい福祉計画・第4期障がい児福祉計画
見込量・目標値設定シート</t>
  </si>
  <si>
    <t>計画期間：令和9年度～令和11年度</t>
  </si>
  <si>
    <t>作成方針</t>
  </si>
  <si>
    <t>小野町ワークシートに入力された人口・R5～R8実績を基礎に、R9～R11の必要見込量と成果目標を設定します。</t>
  </si>
  <si>
    <t>見込量の考え方</t>
  </si>
  <si>
    <t>小規模自治体では0→1人等で伸び率が過大になりやすいため、単純CAGRではなく「横ばい・直近平均・線形トレンド・人口比率・政策調整」を使い分けています。</t>
  </si>
  <si>
    <t>R8実績の扱い</t>
  </si>
  <si>
    <t>元ワークシートにR8実績が入力されているため、阿蘇市フォーマットを拡張し、R8を最新実績として算定に反映しています。</t>
  </si>
  <si>
    <t>黄色セル</t>
  </si>
  <si>
    <t>不足している基準値・実績値や政策調整値の入力欄です。</t>
  </si>
  <si>
    <t>緑色セル</t>
  </si>
  <si>
    <t>小野町の政策的な初期設定値です。必要に応じて上書きしてください。</t>
  </si>
  <si>
    <t>重要</t>
  </si>
  <si>
    <t>成果目標は令和8年3月31日告示の国基本指針を基準に設定しています。厚生労働省は令和8年10月の基本指針改正を予定しているため、計画確定前に最新版を再確認してください。</t>
  </si>
  <si>
    <t>シート</t>
  </si>
  <si>
    <t>用途</t>
  </si>
  <si>
    <t>人口基礎データ</t>
  </si>
  <si>
    <t>人口・年齢3区分・障害者手帳所持者数の実績／推計</t>
  </si>
  <si>
    <t>見込量算定(障害福祉)・(障害児)</t>
  </si>
  <si>
    <t>R5～R8実績からR9～R11見込量を算定。算定方法・政策値は変更可能</t>
  </si>
  <si>
    <t>成果目標算定・確認事項</t>
  </si>
  <si>
    <t>国基本指針の成果目標と、小野町で追加確認が必要な事項</t>
  </si>
  <si>
    <t>参考URL</t>
  </si>
  <si>
    <t>内容</t>
  </si>
  <si>
    <t>https://www.mhlw.go.jp/stf/newpage_72187.html</t>
  </si>
  <si>
    <t>厚生労働省「第8期障害福祉計画について」</t>
  </si>
  <si>
    <t>https://www.mhlw.go.jp/web/t_doc?dataId=83ac0954&amp;dataType=0&amp;pageNo=1</t>
  </si>
  <si>
    <t>令和8年3月31日 基本指針（こども家庭庁・厚生労働省告示第4号）</t>
  </si>
  <si>
    <t>小野町　人口基礎データ（R5～R11）</t>
  </si>
  <si>
    <t>※R5～R8はワークシート入力値、R9～R11はワークシートの人口推計値を採用。障害児サービスの人口比率型では、入手可能な年少人口「0～14歳」を算定基礎として使用します。</t>
  </si>
  <si>
    <t>区分</t>
  </si>
  <si>
    <t>単位</t>
  </si>
  <si>
    <t>R5</t>
  </si>
  <si>
    <t>R6</t>
  </si>
  <si>
    <t>R7</t>
  </si>
  <si>
    <t>R8</t>
  </si>
  <si>
    <t>R9</t>
  </si>
  <si>
    <t>R10</t>
  </si>
  <si>
    <t>R11</t>
  </si>
  <si>
    <t>R7→R11増減</t>
  </si>
  <si>
    <t>増減率</t>
  </si>
  <si>
    <t>備考</t>
  </si>
  <si>
    <t>総人口</t>
  </si>
  <si>
    <t>人</t>
  </si>
  <si>
    <t>小野町ワークシート人口推計</t>
  </si>
  <si>
    <t>0～14歳人口</t>
  </si>
  <si>
    <t>障害児サービスの人口比率型に使用</t>
  </si>
  <si>
    <t>15～64歳人口</t>
  </si>
  <si>
    <t>65歳以上人口</t>
  </si>
  <si>
    <t>身体障害者手帳所持者数</t>
  </si>
  <si>
    <t>療育手帳所持者数</t>
  </si>
  <si>
    <t>精神障害者保健福祉手帳所持者数</t>
  </si>
  <si>
    <t>障害者手帳所持者数計</t>
  </si>
  <si>
    <t>3手帳の合計</t>
  </si>
  <si>
    <t>見込量算定（障害福祉サービス）－小野町</t>
  </si>
  <si>
    <t>※R5～R8実績は小野町ワークシートから反映。R9～R11見込は選択した算定方法で自動計算します。緑色の政策値は小野町向け初期設定で、必要に応じて変更してください。</t>
  </si>
  <si>
    <t>利用者数（実績・算定方法・政策値・見込）</t>
  </si>
  <si>
    <t>サービス量（実績・算定方法・政策値・見込）</t>
  </si>
  <si>
    <t>分類</t>
  </si>
  <si>
    <t>サービス名</t>
  </si>
  <si>
    <t>単位（量）</t>
  </si>
  <si>
    <t>R5実績</t>
  </si>
  <si>
    <t>R6実績</t>
  </si>
  <si>
    <t>R7実績</t>
  </si>
  <si>
    <t>R8実績</t>
  </si>
  <si>
    <t>算定方法（者）</t>
  </si>
  <si>
    <t>政策R9</t>
  </si>
  <si>
    <t>政策R10</t>
  </si>
  <si>
    <t>政策R11</t>
  </si>
  <si>
    <t>R9見込</t>
  </si>
  <si>
    <t>R10見込</t>
  </si>
  <si>
    <t>R11見込</t>
  </si>
  <si>
    <t>R5実績量</t>
  </si>
  <si>
    <t>R6実績量</t>
  </si>
  <si>
    <t>R7実績量</t>
  </si>
  <si>
    <t>R8実績量</t>
  </si>
  <si>
    <t>算定方法（量）</t>
  </si>
  <si>
    <t>政策R9量</t>
  </si>
  <si>
    <t>政策R10量</t>
  </si>
  <si>
    <t>政策R11量</t>
  </si>
  <si>
    <t>R9見込量</t>
  </si>
  <si>
    <t>R10見込量</t>
  </si>
  <si>
    <t>R11見込量</t>
  </si>
  <si>
    <t>訪問系</t>
  </si>
  <si>
    <t>居宅介護</t>
  </si>
  <si>
    <t>時間/月</t>
  </si>
  <si>
    <t>線形トレンド</t>
  </si>
  <si>
    <t>利用者数連動</t>
  </si>
  <si>
    <t>R7の利用時間が突出しているため、利用量はR7・R8の1人当たり利用量平均で連動。</t>
  </si>
  <si>
    <t>重度訪問介護</t>
  </si>
  <si>
    <t>直近実績横ばい</t>
  </si>
  <si>
    <t>少人数のため伸び率推計を避け、R8実績を基準。</t>
  </si>
  <si>
    <t>同行援護</t>
  </si>
  <si>
    <t>4年間実績0。ニーズ発生時の圏域内提供体制は別途確保。</t>
  </si>
  <si>
    <t>行動援護</t>
  </si>
  <si>
    <t>4年間実績0。強度行動障がい者のニーズ把握とあわせて毎年度見直し。</t>
  </si>
  <si>
    <t>重度障害者等包括支援</t>
  </si>
  <si>
    <t>4年間実績0。個別ニーズ発生時に見直し。</t>
  </si>
  <si>
    <t>日中活動系</t>
  </si>
  <si>
    <t>生活介護</t>
  </si>
  <si>
    <t>人日/月</t>
  </si>
  <si>
    <t>直近3年平均</t>
  </si>
  <si>
    <t>利用者数は概ね横ばい。人口減少下でも重度化・高齢化を考慮して直近平均を採用。</t>
  </si>
  <si>
    <t>自立訓練（機能訓練）</t>
  </si>
  <si>
    <t>実績0。必要時に圏域での利用確保を検討。</t>
  </si>
  <si>
    <t>自立訓練（生活訓練）</t>
  </si>
  <si>
    <t>直近2年平均</t>
  </si>
  <si>
    <t>変動が大きいため直近2年平均を採用。</t>
  </si>
  <si>
    <t>就労選択支援</t>
  </si>
  <si>
    <t>-</t>
  </si>
  <si>
    <t>政策調整</t>
  </si>
  <si>
    <t>新設サービス。協議会圏域で提供体制を確保し、小野町では月1人程度の利用を初期設定。</t>
  </si>
  <si>
    <t>就労移行支援</t>
  </si>
  <si>
    <t>R8実績0だが一般就労移行目標との整合から利用機会を確保。利用量はR7以前の実績水準から15人日/月を仮置き。</t>
  </si>
  <si>
    <t>就労継続支援A型</t>
  </si>
  <si>
    <t>4年間増加傾向が明確なため線形トレンドを採用。</t>
  </si>
  <si>
    <t>就労継続支援B型</t>
  </si>
  <si>
    <t>利用者数は概ね横ばい。</t>
  </si>
  <si>
    <t>就労定着支援</t>
  </si>
  <si>
    <t>国目標（R6実績の1.47倍以上）からR11は2人以上を設定。</t>
  </si>
  <si>
    <t>療養介護</t>
  </si>
  <si>
    <t>4年間3人で安定。</t>
  </si>
  <si>
    <t>短期入所（福祉型）</t>
  </si>
  <si>
    <t>実績0。ただし緊急時・レスパイト需要に備え提供体制確保を計画本文に記載。</t>
  </si>
  <si>
    <t>短期入所（医療型）</t>
  </si>
  <si>
    <t>実績0。医療的ケア等の個別ニーズ発生時に見直し。</t>
  </si>
  <si>
    <t>居住系</t>
  </si>
  <si>
    <t>自立生活援助</t>
  </si>
  <si>
    <t>実績0。地域移行意向の把握結果に応じ見直し。</t>
  </si>
  <si>
    <t>共同生活援助（グループホーム）</t>
  </si>
  <si>
    <t>増加傾向。施設・在宅からの地域生活移行先として需要増を見込む。</t>
  </si>
  <si>
    <t>施設入所支援</t>
  </si>
  <si>
    <t>R7基準19人。国の5％以上削減目標からR11は18人以下。R8で18人となっており水準を維持。</t>
  </si>
  <si>
    <t>相談支援</t>
  </si>
  <si>
    <t>計画相談支援</t>
  </si>
  <si>
    <t>相談支援体制充実・のぞまないセルフプラン解消を踏まえ増加を見込む。</t>
  </si>
  <si>
    <t>地域移行支援</t>
  </si>
  <si>
    <t>施設入所者の地域移行目標（R11までに2人以上）を支えるため利用枠を設定。</t>
  </si>
  <si>
    <t>地域定着支援</t>
  </si>
  <si>
    <t>地域移行後の定着支援を見込み段階的に設定。</t>
  </si>
  <si>
    <t>見込量算定（障害児支援）－小野町</t>
  </si>
  <si>
    <t>※障害児サービスの人口比率型は、ワークシートで将来推計がある0～14歳人口を基礎にしています。R8実績0の障害児相談支援は要確認です。</t>
  </si>
  <si>
    <t>障害児通所</t>
  </si>
  <si>
    <t>児童発達支援</t>
  </si>
  <si>
    <t>人口比率型</t>
  </si>
  <si>
    <t>0～14歳人口の減少を基礎に推計。</t>
  </si>
  <si>
    <t>放課後等デイサービス</t>
  </si>
  <si>
    <t>利用実績と年少人口がともに減少。R8利用率を年少人口推計に連動。</t>
  </si>
  <si>
    <t>保育所等訪問支援</t>
  </si>
  <si>
    <t>インクルージョン推進の観点から利用実績0でも活用可能な体制を前提に月1人を初期設定。</t>
  </si>
  <si>
    <t>居宅訪問型児童発達支援</t>
  </si>
  <si>
    <t>4年間実績0。対象児の発生時に見直し。</t>
  </si>
  <si>
    <t>障害児相談</t>
  </si>
  <si>
    <t>障害児相談支援</t>
  </si>
  <si>
    <t>R8実績0は要確認。伴走的相談支援・セルフプラン解消を踏まえ、R9以降は回復・拡充を見込む。</t>
  </si>
  <si>
    <t>地域生活支援事業・相談支援体制　見込量／確認表</t>
  </si>
  <si>
    <t>※元ワークシートでR6～R8実績が未入力の項目が多いため、実績が揃っている項目のみ初期見込を設定し、不足項目は「要確認」としています。</t>
  </si>
  <si>
    <t>項目</t>
  </si>
  <si>
    <t>設定方法</t>
  </si>
  <si>
    <t>R9採用</t>
  </si>
  <si>
    <t>R10採用</t>
  </si>
  <si>
    <t>R11採用</t>
  </si>
  <si>
    <t>確認事項・備考</t>
  </si>
  <si>
    <t>必須</t>
  </si>
  <si>
    <t>理解促進研修・啓発事業（利用者数）</t>
  </si>
  <si>
    <t>人/月</t>
  </si>
  <si>
    <t>R8実績を維持。</t>
  </si>
  <si>
    <t>理解促進研修・啓発事業（サービス量）</t>
  </si>
  <si>
    <t>R6～R8は16で安定。</t>
  </si>
  <si>
    <t>自発的活動支援事業（利用者数）</t>
  </si>
  <si>
    <t>自発的活動支援事業（サービス量）</t>
  </si>
  <si>
    <t>委託相談支援</t>
  </si>
  <si>
    <t>事業所数</t>
  </si>
  <si>
    <t>R6～R8は2事業所。</t>
  </si>
  <si>
    <t>基幹相談支援センター</t>
  </si>
  <si>
    <t>設置の有無</t>
  </si>
  <si>
    <t>〇</t>
  </si>
  <si>
    <t>現行ワークシートではR6～R8「〇」。機能強化・協議会等との連携状況を確認。</t>
  </si>
  <si>
    <t>権利擁護</t>
  </si>
  <si>
    <t>障がい者虐待防止センター</t>
  </si>
  <si>
    <t>実施の有無</t>
  </si>
  <si>
    <t>継続実施。</t>
  </si>
  <si>
    <t>地域共生</t>
  </si>
  <si>
    <t>共生推進委員会</t>
  </si>
  <si>
    <t>成年後見制度利用支援事業</t>
  </si>
  <si>
    <t>人/年</t>
  </si>
  <si>
    <t>要確認</t>
  </si>
  <si>
    <t>R6～R8実績が未入力。地域福祉計画との整合を確認。</t>
  </si>
  <si>
    <t>意思疎通</t>
  </si>
  <si>
    <t>手話通訳者派遣事業</t>
  </si>
  <si>
    <t>件/年</t>
  </si>
  <si>
    <t>R6～R8実績未入力。</t>
  </si>
  <si>
    <t>要約筆記者派遣事業</t>
  </si>
  <si>
    <t>手話通訳者設置事業</t>
  </si>
  <si>
    <t>日常生活用具</t>
  </si>
  <si>
    <t>排泄管理支援用具</t>
  </si>
  <si>
    <t>R6～R8実績未入力。R5実績277件。</t>
  </si>
  <si>
    <t>人材養成</t>
  </si>
  <si>
    <t>手話奉仕員養成研修事業</t>
  </si>
  <si>
    <t>R6～R8は20人で安定。</t>
  </si>
  <si>
    <t>移動支援</t>
  </si>
  <si>
    <t>移動支援事業（利用者数）</t>
  </si>
  <si>
    <t>移動支援事業（時間数）</t>
  </si>
  <si>
    <t>地域活動</t>
  </si>
  <si>
    <t>地域活動支援センター（箇所数）</t>
  </si>
  <si>
    <t>箇所</t>
  </si>
  <si>
    <t>実績未入力。</t>
  </si>
  <si>
    <t>地域活動支援センター（利用者数）</t>
  </si>
  <si>
    <t>任意</t>
  </si>
  <si>
    <t>訪問入浴サービス事業（利用者数）</t>
  </si>
  <si>
    <t>日中一時支援事業（利用者数）</t>
  </si>
  <si>
    <t>自動車運転免許取得・自動車改造助成事業</t>
  </si>
  <si>
    <t>成果目標・体制整備目標（令和11年度末）－小野町</t>
  </si>
  <si>
    <t>※令和8年3月31日告示の国基本指針に基づく初期設定。令和8年10月改正予定のため、最終確定前に最新告示・福島県方針を再確認してください。</t>
  </si>
  <si>
    <t>指標</t>
  </si>
  <si>
    <t>基準年度</t>
  </si>
  <si>
    <t>基準値</t>
  </si>
  <si>
    <t>国の基準</t>
  </si>
  <si>
    <t>率・倍率</t>
  </si>
  <si>
    <t>R11目標値</t>
  </si>
  <si>
    <t>小野町の設定・状況</t>
  </si>
  <si>
    <t>確認</t>
  </si>
  <si>
    <t>所管</t>
  </si>
  <si>
    <t>出典・備考</t>
  </si>
  <si>
    <t>地域生活移行</t>
  </si>
  <si>
    <t>地域生活移行者数</t>
  </si>
  <si>
    <t>R7年度末</t>
  </si>
  <si>
    <t>施設入所者の6％以上</t>
  </si>
  <si>
    <t>2人以上</t>
  </si>
  <si>
    <t>町</t>
  </si>
  <si>
    <t>国基本指針 第二・一</t>
  </si>
  <si>
    <t>施設入所者削減数</t>
  </si>
  <si>
    <t>施設入所者の5％以上削減</t>
  </si>
  <si>
    <t>1人以上</t>
  </si>
  <si>
    <t>R11年度末施設入所者数</t>
  </si>
  <si>
    <t>基準値－削減数</t>
  </si>
  <si>
    <t>18人以下</t>
  </si>
  <si>
    <t>上記から算定</t>
  </si>
  <si>
    <t>一般就労</t>
  </si>
  <si>
    <t>一般就労移行者数（就労移行支援事業等計）</t>
  </si>
  <si>
    <t>R6年度</t>
  </si>
  <si>
    <t>R6実績の1.31倍以上</t>
  </si>
  <si>
    <t>要入力</t>
  </si>
  <si>
    <t>国基本指針 第二・三</t>
  </si>
  <si>
    <t>就労移行支援から一般就労へ移行</t>
  </si>
  <si>
    <t>R6実績の1.14倍以上</t>
  </si>
  <si>
    <t>就労継続支援A型から一般就労へ移行</t>
  </si>
  <si>
    <t>R6実績のおおむね1.52倍以上</t>
  </si>
  <si>
    <t>就労継続支援B型から一般就労へ移行</t>
  </si>
  <si>
    <t>R6実績のおおむね1.67倍以上</t>
  </si>
  <si>
    <t>就労定着支援利用者数</t>
  </si>
  <si>
    <t>R6実績の1.47倍以上</t>
  </si>
  <si>
    <t>一般就労移行率5割以上の就労移行支援事業所割合</t>
  </si>
  <si>
    <t>R11年度</t>
  </si>
  <si>
    <t>50％以上</t>
  </si>
  <si>
    <t>%</t>
  </si>
  <si>
    <t>圏域事業所状況確認</t>
  </si>
  <si>
    <t>町/県</t>
  </si>
  <si>
    <t>就労定着率7割以上の就労定着支援事業所割合</t>
  </si>
  <si>
    <t>25％以上</t>
  </si>
  <si>
    <t>就労選択支援事業所</t>
  </si>
  <si>
    <t>協議会圏域ごと1事業所以上</t>
  </si>
  <si>
    <t>事業所以上</t>
  </si>
  <si>
    <t>圏域で1か所以上</t>
  </si>
  <si>
    <t>圏域確認</t>
  </si>
  <si>
    <t>障害児支援</t>
  </si>
  <si>
    <t>児童発達支援センター等の4つの中核機能</t>
  </si>
  <si>
    <t>各市町村で機能確保（圏域可）</t>
  </si>
  <si>
    <t>確保</t>
  </si>
  <si>
    <t>町又は圏域で確保</t>
  </si>
  <si>
    <t>国基本指針 第二・四</t>
  </si>
  <si>
    <t>インクルージョン推進のための協議の場</t>
  </si>
  <si>
    <t>各市町村で設置（圏域可）</t>
  </si>
  <si>
    <t>設置</t>
  </si>
  <si>
    <t>主に重症心身障がい児を支援する児童発達支援・放デイ事業所</t>
  </si>
  <si>
    <t>各市町村に1か所以上（圏域可）</t>
  </si>
  <si>
    <t>か所以上</t>
  </si>
  <si>
    <t>町又は圏域で1か所以上</t>
  </si>
  <si>
    <t>医療的ケア児等支援の協議の場</t>
  </si>
  <si>
    <t>医療的ケア児等コーディネーター</t>
  </si>
  <si>
    <t>R8年度</t>
  </si>
  <si>
    <t>各市町村で配置（圏域可）</t>
  </si>
  <si>
    <t>人以上</t>
  </si>
  <si>
    <t>町又は圏域で1人以上</t>
  </si>
  <si>
    <t>障害児・家族への伴走的相談支援体制</t>
  </si>
  <si>
    <t>各市町村又は圏域で確保</t>
  </si>
  <si>
    <t>関係機関連携の下で確保</t>
  </si>
  <si>
    <t>地域生活支援</t>
  </si>
  <si>
    <t>地域生活支援拠点等の整備（全日常生活圏域を対象）</t>
  </si>
  <si>
    <t>各市町村で整備（共同整備可）</t>
  </si>
  <si>
    <t>整備</t>
  </si>
  <si>
    <t>整備・機能充実</t>
  </si>
  <si>
    <t>国基本指針 第二・五</t>
  </si>
  <si>
    <t>拠点コーディネーター配置</t>
  </si>
  <si>
    <t>配置</t>
  </si>
  <si>
    <t>地域生活支援拠点等の運用検証</t>
  </si>
  <si>
    <t>年1回以上</t>
  </si>
  <si>
    <t>回/年以上</t>
  </si>
  <si>
    <t>強度行動障がい者の支援ニーズ把握・支援体制</t>
  </si>
  <si>
    <t>市町村又は圏域で整備</t>
  </si>
  <si>
    <t>ニーズ把握＋連携体制整備</t>
  </si>
  <si>
    <t>町/圏域</t>
  </si>
  <si>
    <t>基幹相談支援センター・地域生活支援拠点等・協議会の連携</t>
  </si>
  <si>
    <t>R11までに連携体制確保</t>
  </si>
  <si>
    <t>現行設置を前提に機能連携を強化</t>
  </si>
  <si>
    <t>要機能確認</t>
  </si>
  <si>
    <t>国基本指針 第二・六</t>
  </si>
  <si>
    <t>のぞまないセルフプラン件数</t>
  </si>
  <si>
    <t>R11年度末0件</t>
  </si>
  <si>
    <t>件</t>
  </si>
  <si>
    <t>0件</t>
  </si>
  <si>
    <t>サービスの質</t>
  </si>
  <si>
    <t>障害福祉サービス等の質向上の取組を実施する体制</t>
  </si>
  <si>
    <t>体制構築</t>
  </si>
  <si>
    <t>構築</t>
  </si>
  <si>
    <t>国基本指針 第二・八</t>
  </si>
  <si>
    <t>小野町　第8期・第4期　見込量／目標値サマリー</t>
  </si>
  <si>
    <t>※見込量は初期設定です。特に黄色・要確認項目は自治体確認後に確定してください。</t>
  </si>
  <si>
    <t>主要指標</t>
  </si>
  <si>
    <t>値</t>
  </si>
  <si>
    <t>重点確認</t>
  </si>
  <si>
    <t>状況</t>
  </si>
  <si>
    <t>R7総人口</t>
  </si>
  <si>
    <t>R6一般就労移行者数</t>
  </si>
  <si>
    <t>未入力</t>
  </si>
  <si>
    <t>R11総人口</t>
  </si>
  <si>
    <t>R8障害児相談支援</t>
  </si>
  <si>
    <t>0人/月（要確認）</t>
  </si>
  <si>
    <t>R7→R11人口増減率</t>
  </si>
  <si>
    <t>地域生活支援拠点等</t>
  </si>
  <si>
    <t>整備・コーディネーター状況要確認</t>
  </si>
  <si>
    <t>R7施設入所者数</t>
  </si>
  <si>
    <t>医療的ケア児支援</t>
  </si>
  <si>
    <t>協議の場・コーディネーター要確認</t>
  </si>
  <si>
    <t>R11施設入所者目標</t>
  </si>
  <si>
    <t>国基本指針</t>
  </si>
  <si>
    <t>令和8年10月改正予定・確定前再確認</t>
  </si>
  <si>
    <t>サービス</t>
  </si>
  <si>
    <t>R8→R11増減</t>
  </si>
  <si>
    <t>障害児サービス</t>
  </si>
  <si>
    <t>小野町　計画確定前の確認事項</t>
  </si>
  <si>
    <t>このシートの「要確認」を解消すると、成果目標と見込量の精度が大きく上がります。</t>
  </si>
  <si>
    <t>優先度</t>
  </si>
  <si>
    <t>確認事項</t>
  </si>
  <si>
    <t>理由</t>
  </si>
  <si>
    <t>現状</t>
  </si>
  <si>
    <t>対応案</t>
  </si>
  <si>
    <t>関連シート</t>
  </si>
  <si>
    <t>最優先</t>
  </si>
  <si>
    <t>R6年度 一般就労移行者数（合計・就労移行・A型・B型）</t>
  </si>
  <si>
    <t>R11成果目標の基準値。国指針で倍率が設定されているため必須。</t>
  </si>
  <si>
    <t>R6実績を事業所・県資料等で確認し成果目標算定シートD9:D12へ入力</t>
  </si>
  <si>
    <t>成果目標算定</t>
  </si>
  <si>
    <t>のぞまないセルフプラン件数（障害者・障害児）</t>
  </si>
  <si>
    <t>R11年度末0件が国の基本目標。</t>
  </si>
  <si>
    <t>R8時点の件数・理由を確認</t>
  </si>
  <si>
    <t>高</t>
  </si>
  <si>
    <t>障害児相談支援 R8実績0人/月の確認</t>
  </si>
  <si>
    <t>児発・放デイ利用者がいる一方で相談支援0は、セルフプランや入力時点の影響が考えられる。</t>
  </si>
  <si>
    <t>0人/月</t>
  </si>
  <si>
    <t>年度途中値か年間実績か確認。R9～R11初期値は4→5→5人/月</t>
  </si>
  <si>
    <t>見込量算定(障害児)</t>
  </si>
  <si>
    <t>地域生活支援拠点等の整備・拠点コーディネーター・年1回以上の検証</t>
  </si>
  <si>
    <t>第8期の市町村成果目標。</t>
  </si>
  <si>
    <t>元シート実績欄未入力</t>
  </si>
  <si>
    <t>町単独又は圏域の整備状況、コーディネーター人数、検証回数を確認</t>
  </si>
  <si>
    <t>児童発達支援センター等4中核機能・インクルージョン協議の場</t>
  </si>
  <si>
    <t>第4期障害児福祉計画の主要成果目標。</t>
  </si>
  <si>
    <t>未確認</t>
  </si>
  <si>
    <t>町単独又は圏域での機能確保状況を確認</t>
  </si>
  <si>
    <t>医療的ケア児等の協議の場・コーディネーター配置</t>
  </si>
  <si>
    <t>R11までに市町村又は圏域で確保が基本。</t>
  </si>
  <si>
    <t>元シートR8コーディネーター0</t>
  </si>
  <si>
    <t>圏域配置を含め実態確認</t>
  </si>
  <si>
    <t>中</t>
  </si>
  <si>
    <t>地域生活支援事業のR6～R8実績</t>
  </si>
  <si>
    <t>成年後見、意思疎通、日常生活用具、移動支援、地域活動支援センター等が未入力。</t>
  </si>
  <si>
    <t>多くが空欄</t>
  </si>
  <si>
    <t>決算・実績報告から補完</t>
  </si>
  <si>
    <t>地域生活支援事業</t>
  </si>
  <si>
    <t>精神障がい者サービス別シートの実績値</t>
  </si>
  <si>
    <t>総サービス実績より精神障がい者内数が大きく、整合しない。</t>
  </si>
  <si>
    <t>例：自立訓練（生活訓練）の総数R8=2に対し精神障がい者シートは20相当</t>
  </si>
  <si>
    <t>本算定では採用せず。元データを確認後、精神包括ケアの活動指標に使用</t>
  </si>
  <si>
    <t>元ワークシート</t>
  </si>
  <si>
    <t>国基本指針の令和8年10月改正内容</t>
  </si>
  <si>
    <t>厚労省が改正予定を公表。</t>
  </si>
  <si>
    <t>9月7日時点未告示</t>
  </si>
  <si>
    <t>計画素案確定前に最新版を確認し目標・活動指標を更新</t>
  </si>
  <si>
    <t>表紙・成果目標算定</t>
  </si>
  <si>
    <t>福島県の第8期障害福祉計画方針・圏域目標</t>
  </si>
  <si>
    <t>市町村目標は県計画との整合が必要。</t>
  </si>
  <si>
    <t>策定中の可能性</t>
  </si>
  <si>
    <t>県提示の成果目標・圏域整備方針が出た段階で反映</t>
  </si>
  <si>
    <t>小野町　第8期障がい福祉計画・第4期障がい児福祉計画　参考資料・出典</t>
  </si>
  <si>
    <t>国の基本指針は令和8年10月に追加改正予定のため、計画確定前に最新版を再確認してください。</t>
  </si>
  <si>
    <t>資料名</t>
  </si>
  <si>
    <t>URL</t>
  </si>
  <si>
    <t>本シートでの主な使用箇所</t>
  </si>
  <si>
    <t>確認日</t>
  </si>
  <si>
    <t>計画期間、基本指針の改正状況、令和8年10月改正予定</t>
  </si>
  <si>
    <t>2026/09/07</t>
  </si>
  <si>
    <t>障害福祉サービス等及び障害児通所支援等の円滑な実施を確保するための基本的な指針</t>
  </si>
  <si>
    <t>地域生活移行、一般就労、障害児支援、地域生活支援拠点、相談支援等の成果目標</t>
  </si>
  <si>
    <t>小野町提出「障がい福祉計画ワークシート」</t>
  </si>
  <si>
    <t>人口、手帳所持者数、R5～R8サービス実績、地域生活支援事業実績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</si>
</sst>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9">
    <font>
      <sz val="11"/>
      <name val="Carlito"/>
    </font>
    <font>
      <b/>
      <sz val="10"/>
      <color rgb="FF1F1F1F"/>
      <name val="Yu Gothic"/>
      <family val="3"/>
      <charset val="128"/>
    </font>
    <font>
      <sz val="10"/>
      <color rgb="FF1F1F1F"/>
      <name val="Yu Gothic"/>
      <family val="3"/>
      <charset val="128"/>
    </font>
    <font>
      <b/>
      <sz val="18"/>
      <color rgb="FF203864"/>
      <name val="Yu Gothic"/>
      <family val="3"/>
      <charset val="128"/>
    </font>
    <font>
      <b/>
      <sz val="10"/>
      <color rgb="FFFFFFFF"/>
      <name val="Yu Gothic"/>
      <family val="3"/>
      <charset val="128"/>
    </font>
    <font>
      <b/>
      <sz val="16"/>
      <color rgb="FF1F3A68"/>
      <name val="Yu Gothic"/>
      <family val="3"/>
      <charset val="128"/>
    </font>
    <font>
      <sz val="10"/>
      <color rgb="FF7F4125"/>
      <name val="Yu Gothic"/>
      <family val="3"/>
      <charset val="128"/>
    </font>
    <font>
      <sz val="11"/>
      <name val="Carlito"/>
    </font>
    <font>
      <sz val="6"/>
      <name val="ＭＳ Ｐゴシック"/>
      <family val="3"/>
      <charset val="128"/>
    </font>
  </fonts>
  <fills count="11">
    <fill>
      <patternFill patternType="none"/>
    </fill>
    <fill>
      <patternFill patternType="gray125"/>
    </fill>
    <fill>
      <patternFill patternType="solid">
        <fgColor rgb="FFD9E2F3"/>
      </patternFill>
    </fill>
    <fill>
      <patternFill patternType="solid">
        <fgColor rgb="FFFFF2CC"/>
      </patternFill>
    </fill>
    <fill>
      <patternFill patternType="solid">
        <fgColor rgb="FFE2F0D9"/>
      </patternFill>
    </fill>
    <fill>
      <patternFill patternType="solid">
        <fgColor rgb="FFFCE4D6"/>
      </patternFill>
    </fill>
    <fill>
      <patternFill patternType="solid">
        <fgColor rgb="FF2F5597"/>
      </patternFill>
    </fill>
    <fill>
      <patternFill patternType="solid">
        <fgColor rgb="FFEAF2F8"/>
      </patternFill>
    </fill>
    <fill>
      <patternFill patternType="solid">
        <fgColor rgb="FF2F5DA8"/>
      </patternFill>
    </fill>
    <fill>
      <patternFill patternType="solid">
        <fgColor rgb="FFDCE6F1"/>
      </patternFill>
    </fill>
    <fill>
      <patternFill patternType="solid">
        <fgColor rgb="FFFCE4D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42">
    <xf numFmtId="0" fontId="0" fillId="0" borderId="0" xfId="0"/>
    <xf numFmtId="0" fontId="1" fillId="2" borderId="0" xfId="1" applyFont="1" applyFill="1" applyAlignment="1">
      <alignment vertical="center" wrapText="1"/>
    </xf>
    <xf numFmtId="0" fontId="2" fillId="0" borderId="0" xfId="1" applyFont="1"/>
    <xf numFmtId="0" fontId="2" fillId="0" borderId="0" xfId="1" applyFont="1" applyAlignment="1">
      <alignment wrapText="1"/>
    </xf>
    <xf numFmtId="0" fontId="2" fillId="3" borderId="0" xfId="1" applyFont="1" applyFill="1" applyAlignment="1">
      <alignment horizontal="center" wrapText="1"/>
    </xf>
    <xf numFmtId="0" fontId="2" fillId="4" borderId="0" xfId="1" applyFont="1" applyFill="1" applyAlignment="1">
      <alignment horizontal="center" wrapText="1"/>
    </xf>
    <xf numFmtId="0" fontId="2" fillId="5" borderId="0" xfId="1" applyFont="1" applyFill="1" applyAlignment="1">
      <alignment wrapText="1"/>
    </xf>
    <xf numFmtId="0" fontId="1" fillId="6" borderId="0" xfId="1" applyFont="1" applyFill="1" applyAlignment="1">
      <alignment horizontal="center" vertical="center" wrapText="1"/>
    </xf>
    <xf numFmtId="0" fontId="1" fillId="7" borderId="0" xfId="1" applyFont="1" applyFill="1" applyAlignment="1">
      <alignment wrapText="1"/>
    </xf>
    <xf numFmtId="0" fontId="2" fillId="0" borderId="0" xfId="1" applyFont="1" applyAlignment="1">
      <alignment horizontal="center"/>
    </xf>
    <xf numFmtId="2" fontId="2" fillId="0" borderId="0" xfId="1" applyNumberFormat="1" applyFont="1"/>
    <xf numFmtId="0" fontId="4" fillId="8" borderId="0" xfId="1" applyFont="1" applyFill="1" applyAlignment="1">
      <alignment horizontal="center" vertical="center" wrapText="1"/>
    </xf>
    <xf numFmtId="0" fontId="3" fillId="2" borderId="0" xfId="1" applyFont="1" applyFill="1" applyAlignment="1">
      <alignment vertical="center" wrapText="1"/>
    </xf>
    <xf numFmtId="0" fontId="1" fillId="2" borderId="0" xfId="1" applyFont="1" applyFill="1" applyAlignment="1">
      <alignment vertical="center" wrapText="1"/>
    </xf>
    <xf numFmtId="0" fontId="3" fillId="2" borderId="0" xfId="1" applyFont="1" applyFill="1" applyAlignment="1">
      <alignment vertical="center"/>
    </xf>
    <xf numFmtId="0" fontId="2" fillId="0" borderId="0" xfId="1" applyFont="1" applyAlignment="1">
      <alignment wrapText="1"/>
    </xf>
    <xf numFmtId="0" fontId="2" fillId="5" borderId="0" xfId="1" applyFont="1" applyFill="1" applyAlignment="1">
      <alignment wrapText="1"/>
    </xf>
    <xf numFmtId="0" fontId="5" fillId="9" borderId="0" xfId="1" applyFont="1" applyFill="1"/>
    <xf numFmtId="0" fontId="6" fillId="10" borderId="0" xfId="1" applyFont="1" applyFill="1"/>
    <xf numFmtId="0" fontId="2" fillId="0" borderId="1" xfId="1" applyFont="1" applyBorder="1"/>
    <xf numFmtId="0" fontId="4" fillId="8" borderId="1" xfId="1" applyFont="1" applyFill="1" applyBorder="1" applyAlignment="1">
      <alignment horizontal="center" vertical="center" wrapText="1"/>
    </xf>
    <xf numFmtId="0" fontId="4" fillId="8" borderId="1" xfId="1" applyFont="1" applyFill="1" applyBorder="1" applyAlignment="1">
      <alignment horizontal="center" vertical="center" wrapText="1"/>
    </xf>
    <xf numFmtId="0" fontId="1" fillId="7" borderId="1" xfId="1" applyFont="1" applyFill="1" applyBorder="1" applyAlignment="1">
      <alignment wrapText="1"/>
    </xf>
    <xf numFmtId="0" fontId="2" fillId="7" borderId="1" xfId="1" applyFont="1" applyFill="1" applyBorder="1" applyAlignment="1">
      <alignment horizontal="center" wrapText="1"/>
    </xf>
    <xf numFmtId="0" fontId="2" fillId="7" borderId="1" xfId="1" applyFont="1" applyFill="1" applyBorder="1" applyAlignment="1">
      <alignment wrapText="1"/>
    </xf>
    <xf numFmtId="1" fontId="2" fillId="7" borderId="1" xfId="1" applyNumberFormat="1" applyFont="1" applyFill="1" applyBorder="1" applyAlignment="1">
      <alignment wrapText="1"/>
    </xf>
    <xf numFmtId="0" fontId="2" fillId="0" borderId="1" xfId="1" applyFont="1" applyBorder="1" applyAlignment="1">
      <alignment wrapText="1"/>
    </xf>
    <xf numFmtId="0" fontId="2" fillId="3" borderId="1" xfId="1" applyFont="1" applyFill="1" applyBorder="1" applyAlignment="1">
      <alignment horizontal="center" wrapText="1"/>
    </xf>
    <xf numFmtId="0" fontId="2" fillId="4" borderId="1" xfId="1" applyFont="1" applyFill="1" applyBorder="1" applyAlignment="1">
      <alignment horizontal="center" wrapText="1"/>
    </xf>
    <xf numFmtId="1" fontId="2" fillId="0" borderId="1" xfId="1" applyNumberFormat="1" applyFont="1" applyBorder="1" applyAlignment="1">
      <alignment wrapText="1"/>
    </xf>
    <xf numFmtId="0" fontId="2" fillId="5" borderId="1" xfId="1" applyFont="1" applyFill="1" applyBorder="1" applyAlignment="1">
      <alignment wrapText="1"/>
    </xf>
    <xf numFmtId="0" fontId="2" fillId="5" borderId="1" xfId="1" applyFont="1" applyFill="1" applyBorder="1" applyAlignment="1">
      <alignment horizontal="center" wrapText="1"/>
    </xf>
    <xf numFmtId="0" fontId="2" fillId="0" borderId="1" xfId="1" applyFont="1" applyBorder="1" applyAlignment="1">
      <alignment horizontal="center" wrapText="1"/>
    </xf>
    <xf numFmtId="2" fontId="2" fillId="0" borderId="1" xfId="1" applyNumberFormat="1" applyFont="1" applyBorder="1" applyAlignment="1">
      <alignment wrapText="1"/>
    </xf>
    <xf numFmtId="176" fontId="2" fillId="0" borderId="1" xfId="1" applyNumberFormat="1" applyFont="1" applyBorder="1" applyAlignment="1">
      <alignment wrapText="1"/>
    </xf>
    <xf numFmtId="0" fontId="1" fillId="6" borderId="1" xfId="1" applyFont="1" applyFill="1" applyBorder="1" applyAlignment="1">
      <alignment horizontal="center" vertical="center" wrapText="1"/>
    </xf>
    <xf numFmtId="0" fontId="4" fillId="8" borderId="1" xfId="1" applyFont="1" applyFill="1" applyBorder="1" applyAlignment="1">
      <alignment vertical="top" wrapText="1"/>
    </xf>
    <xf numFmtId="0" fontId="0" fillId="0" borderId="1" xfId="1" applyFont="1" applyBorder="1" applyAlignment="1">
      <alignment vertical="top" wrapText="1"/>
    </xf>
    <xf numFmtId="0" fontId="1" fillId="0" borderId="1" xfId="1" applyFont="1" applyBorder="1"/>
    <xf numFmtId="0" fontId="2" fillId="3" borderId="1" xfId="1" applyFont="1" applyFill="1" applyBorder="1" applyAlignment="1">
      <alignment horizontal="center"/>
    </xf>
    <xf numFmtId="1" fontId="2" fillId="0" borderId="1" xfId="1" applyNumberFormat="1" applyFont="1" applyBorder="1"/>
    <xf numFmtId="176" fontId="2" fillId="0" borderId="1" xfId="1" applyNumberFormat="1" applyFont="1" applyBorder="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lineChart>
        <c:grouping val="standard"/>
        <c:varyColors val="1"/>
        <c:ser>
          <c:idx val="0"/>
          <c:order val="0"/>
          <c:tx>
            <c:v>総人口</c:v>
          </c:tx>
          <c:marker>
            <c:symbol val="none"/>
          </c:marker>
          <c:cat>
            <c:strRef>
              <c:f>人口基礎データ!$C$5:$I$5</c:f>
              <c:strCache>
                <c:ptCount val="7"/>
                <c:pt idx="0">
                  <c:v>R5</c:v>
                </c:pt>
                <c:pt idx="1">
                  <c:v>R6</c:v>
                </c:pt>
                <c:pt idx="2">
                  <c:v>R7</c:v>
                </c:pt>
                <c:pt idx="3">
                  <c:v>R8</c:v>
                </c:pt>
                <c:pt idx="4">
                  <c:v>R9</c:v>
                </c:pt>
                <c:pt idx="5">
                  <c:v>R10</c:v>
                </c:pt>
                <c:pt idx="6">
                  <c:v>R11</c:v>
                </c:pt>
              </c:strCache>
            </c:strRef>
          </c:cat>
          <c:val>
            <c:numRef>
              <c:f>人口基礎データ!$C$6:$I$6</c:f>
              <c:numCache>
                <c:formatCode>General</c:formatCode>
                <c:ptCount val="7"/>
                <c:pt idx="0">
                  <c:v>9372</c:v>
                </c:pt>
                <c:pt idx="1">
                  <c:v>9116</c:v>
                </c:pt>
                <c:pt idx="2">
                  <c:v>8740</c:v>
                </c:pt>
                <c:pt idx="3">
                  <c:v>8520</c:v>
                </c:pt>
                <c:pt idx="4">
                  <c:v>8287</c:v>
                </c:pt>
                <c:pt idx="5">
                  <c:v>8076</c:v>
                </c:pt>
                <c:pt idx="6">
                  <c:v>7830</c:v>
                </c:pt>
              </c:numCache>
            </c:numRef>
          </c:val>
          <c:smooth val="1"/>
          <c:extLst>
            <c:ext xmlns:c16="http://schemas.microsoft.com/office/drawing/2014/chart" uri="{C3380CC4-5D6E-409C-BE32-E72D297353CC}">
              <c16:uniqueId val="{00000000-63B7-4EF4-9552-462AFB6BD54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lineChart>
        <c:grouping val="standard"/>
        <c:varyColors val="1"/>
        <c:ser>
          <c:idx val="0"/>
          <c:order val="0"/>
          <c:tx>
            <c:v>身体障害者手帳</c:v>
          </c:tx>
          <c:marker>
            <c:symbol val="none"/>
          </c:marker>
          <c:cat>
            <c:strRef>
              <c:f>人口基礎データ!$C$5:$I$5</c:f>
              <c:strCache>
                <c:ptCount val="7"/>
                <c:pt idx="0">
                  <c:v>R5</c:v>
                </c:pt>
                <c:pt idx="1">
                  <c:v>R6</c:v>
                </c:pt>
                <c:pt idx="2">
                  <c:v>R7</c:v>
                </c:pt>
                <c:pt idx="3">
                  <c:v>R8</c:v>
                </c:pt>
                <c:pt idx="4">
                  <c:v>R9</c:v>
                </c:pt>
                <c:pt idx="5">
                  <c:v>R10</c:v>
                </c:pt>
                <c:pt idx="6">
                  <c:v>R11</c:v>
                </c:pt>
              </c:strCache>
            </c:strRef>
          </c:cat>
          <c:val>
            <c:numRef>
              <c:f>人口基礎データ!$C$10:$I$10</c:f>
              <c:numCache>
                <c:formatCode>General</c:formatCode>
                <c:ptCount val="7"/>
                <c:pt idx="0">
                  <c:v>412</c:v>
                </c:pt>
                <c:pt idx="1">
                  <c:v>406</c:v>
                </c:pt>
                <c:pt idx="2">
                  <c:v>372</c:v>
                </c:pt>
                <c:pt idx="3">
                  <c:v>363</c:v>
                </c:pt>
                <c:pt idx="4">
                  <c:v>353</c:v>
                </c:pt>
                <c:pt idx="5">
                  <c:v>344</c:v>
                </c:pt>
                <c:pt idx="6">
                  <c:v>333</c:v>
                </c:pt>
              </c:numCache>
            </c:numRef>
          </c:val>
          <c:smooth val="1"/>
          <c:extLst>
            <c:ext xmlns:c16="http://schemas.microsoft.com/office/drawing/2014/chart" uri="{C3380CC4-5D6E-409C-BE32-E72D297353CC}">
              <c16:uniqueId val="{00000000-0A98-45B4-AAB5-51E83EADBB57}"/>
            </c:ext>
          </c:extLst>
        </c:ser>
        <c:ser>
          <c:idx val="1"/>
          <c:order val="1"/>
          <c:tx>
            <c:v>療育手帳</c:v>
          </c:tx>
          <c:marker>
            <c:symbol val="none"/>
          </c:marker>
          <c:cat>
            <c:strRef>
              <c:f>人口基礎データ!$C$5:$I$5</c:f>
              <c:strCache>
                <c:ptCount val="7"/>
                <c:pt idx="0">
                  <c:v>R5</c:v>
                </c:pt>
                <c:pt idx="1">
                  <c:v>R6</c:v>
                </c:pt>
                <c:pt idx="2">
                  <c:v>R7</c:v>
                </c:pt>
                <c:pt idx="3">
                  <c:v>R8</c:v>
                </c:pt>
                <c:pt idx="4">
                  <c:v>R9</c:v>
                </c:pt>
                <c:pt idx="5">
                  <c:v>R10</c:v>
                </c:pt>
                <c:pt idx="6">
                  <c:v>R11</c:v>
                </c:pt>
              </c:strCache>
            </c:strRef>
          </c:cat>
          <c:val>
            <c:numRef>
              <c:f>人口基礎データ!$C$11:$I$11</c:f>
              <c:numCache>
                <c:formatCode>General</c:formatCode>
                <c:ptCount val="7"/>
                <c:pt idx="0">
                  <c:v>82</c:v>
                </c:pt>
                <c:pt idx="1">
                  <c:v>77</c:v>
                </c:pt>
                <c:pt idx="2">
                  <c:v>74</c:v>
                </c:pt>
                <c:pt idx="3">
                  <c:v>72</c:v>
                </c:pt>
                <c:pt idx="4">
                  <c:v>70</c:v>
                </c:pt>
                <c:pt idx="5">
                  <c:v>68</c:v>
                </c:pt>
                <c:pt idx="6">
                  <c:v>66</c:v>
                </c:pt>
              </c:numCache>
            </c:numRef>
          </c:val>
          <c:smooth val="1"/>
          <c:extLst>
            <c:ext xmlns:c16="http://schemas.microsoft.com/office/drawing/2014/chart" uri="{C3380CC4-5D6E-409C-BE32-E72D297353CC}">
              <c16:uniqueId val="{00000001-0A98-45B4-AAB5-51E83EADBB57}"/>
            </c:ext>
          </c:extLst>
        </c:ser>
        <c:ser>
          <c:idx val="2"/>
          <c:order val="2"/>
          <c:tx>
            <c:v>精神障害者保健福祉手帳</c:v>
          </c:tx>
          <c:marker>
            <c:symbol val="none"/>
          </c:marker>
          <c:cat>
            <c:strRef>
              <c:f>人口基礎データ!$C$5:$I$5</c:f>
              <c:strCache>
                <c:ptCount val="7"/>
                <c:pt idx="0">
                  <c:v>R5</c:v>
                </c:pt>
                <c:pt idx="1">
                  <c:v>R6</c:v>
                </c:pt>
                <c:pt idx="2">
                  <c:v>R7</c:v>
                </c:pt>
                <c:pt idx="3">
                  <c:v>R8</c:v>
                </c:pt>
                <c:pt idx="4">
                  <c:v>R9</c:v>
                </c:pt>
                <c:pt idx="5">
                  <c:v>R10</c:v>
                </c:pt>
                <c:pt idx="6">
                  <c:v>R11</c:v>
                </c:pt>
              </c:strCache>
            </c:strRef>
          </c:cat>
          <c:val>
            <c:numRef>
              <c:f>人口基礎データ!$C$12:$I$12</c:f>
              <c:numCache>
                <c:formatCode>General</c:formatCode>
                <c:ptCount val="7"/>
                <c:pt idx="0">
                  <c:v>45</c:v>
                </c:pt>
                <c:pt idx="1">
                  <c:v>47</c:v>
                </c:pt>
                <c:pt idx="2">
                  <c:v>62</c:v>
                </c:pt>
                <c:pt idx="3">
                  <c:v>60</c:v>
                </c:pt>
                <c:pt idx="4">
                  <c:v>59</c:v>
                </c:pt>
                <c:pt idx="5">
                  <c:v>57</c:v>
                </c:pt>
                <c:pt idx="6">
                  <c:v>56</c:v>
                </c:pt>
              </c:numCache>
            </c:numRef>
          </c:val>
          <c:smooth val="1"/>
          <c:extLst>
            <c:ext xmlns:c16="http://schemas.microsoft.com/office/drawing/2014/chart" uri="{C3380CC4-5D6E-409C-BE32-E72D297353CC}">
              <c16:uniqueId val="{00000002-0A98-45B4-AAB5-51E83EADBB57}"/>
            </c:ext>
          </c:extLst>
        </c:ser>
        <c:ser>
          <c:idx val="3"/>
          <c:order val="3"/>
          <c:tx>
            <c:v>手帳計</c:v>
          </c:tx>
          <c:marker>
            <c:symbol val="none"/>
          </c:marker>
          <c:cat>
            <c:strRef>
              <c:f>人口基礎データ!$C$5:$I$5</c:f>
              <c:strCache>
                <c:ptCount val="7"/>
                <c:pt idx="0">
                  <c:v>R5</c:v>
                </c:pt>
                <c:pt idx="1">
                  <c:v>R6</c:v>
                </c:pt>
                <c:pt idx="2">
                  <c:v>R7</c:v>
                </c:pt>
                <c:pt idx="3">
                  <c:v>R8</c:v>
                </c:pt>
                <c:pt idx="4">
                  <c:v>R9</c:v>
                </c:pt>
                <c:pt idx="5">
                  <c:v>R10</c:v>
                </c:pt>
                <c:pt idx="6">
                  <c:v>R11</c:v>
                </c:pt>
              </c:strCache>
            </c:strRef>
          </c:cat>
          <c:val>
            <c:numRef>
              <c:f>人口基礎データ!$C$13:$I$13</c:f>
              <c:numCache>
                <c:formatCode>General</c:formatCode>
                <c:ptCount val="7"/>
                <c:pt idx="0">
                  <c:v>539</c:v>
                </c:pt>
                <c:pt idx="1">
                  <c:v>530</c:v>
                </c:pt>
                <c:pt idx="2">
                  <c:v>508</c:v>
                </c:pt>
                <c:pt idx="3">
                  <c:v>495</c:v>
                </c:pt>
                <c:pt idx="4">
                  <c:v>482</c:v>
                </c:pt>
                <c:pt idx="5">
                  <c:v>469</c:v>
                </c:pt>
                <c:pt idx="6">
                  <c:v>455</c:v>
                </c:pt>
              </c:numCache>
            </c:numRef>
          </c:val>
          <c:smooth val="1"/>
          <c:extLst>
            <c:ext xmlns:c16="http://schemas.microsoft.com/office/drawing/2014/chart" uri="{C3380CC4-5D6E-409C-BE32-E72D297353CC}">
              <c16:uniqueId val="{00000003-0A98-45B4-AAB5-51E83EADBB5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r>
              <a:rPr lang="ja-JP" altLang="en-US"/>
              <a:t>主要障害福祉サービス </a:t>
            </a:r>
            <a:r>
              <a:rPr lang="en-US"/>
              <a:t>R8</a:t>
            </a:r>
            <a:r>
              <a:rPr lang="ja-JP" altLang="en-US"/>
              <a:t>実績と</a:t>
            </a:r>
            <a:r>
              <a:rPr lang="en-US"/>
              <a:t>R11</a:t>
            </a:r>
            <a:r>
              <a:rPr lang="ja-JP" altLang="en-US"/>
              <a:t>見込</a:t>
            </a:r>
          </a:p>
        </c:rich>
      </c:tx>
      <c:overlay val="1"/>
    </c:title>
    <c:autoTitleDeleted val="0"/>
    <c:plotArea>
      <c:layout/>
      <c:barChart>
        <c:barDir val="col"/>
        <c:grouping val="clustered"/>
        <c:varyColors val="0"/>
        <c:ser>
          <c:idx val="0"/>
          <c:order val="0"/>
          <c:tx>
            <c:v>R8</c:v>
          </c:tx>
          <c:invertIfNegative val="1"/>
          <c:cat>
            <c:strRef>
              <c:f>サマリー!$I$13:$I$18</c:f>
              <c:strCache>
                <c:ptCount val="6"/>
                <c:pt idx="0">
                  <c:v>生活介護</c:v>
                </c:pt>
                <c:pt idx="1">
                  <c:v>就労継続支援A型</c:v>
                </c:pt>
                <c:pt idx="2">
                  <c:v>就労継続支援B型</c:v>
                </c:pt>
                <c:pt idx="3">
                  <c:v>共同生活援助（グループホーム）</c:v>
                </c:pt>
                <c:pt idx="4">
                  <c:v>施設入所支援</c:v>
                </c:pt>
                <c:pt idx="5">
                  <c:v>計画相談支援</c:v>
                </c:pt>
              </c:strCache>
            </c:strRef>
          </c:cat>
          <c:val>
            <c:numRef>
              <c:f>サマリー!$J$13:$J$18</c:f>
              <c:numCache>
                <c:formatCode>General</c:formatCode>
                <c:ptCount val="6"/>
                <c:pt idx="0">
                  <c:v>30</c:v>
                </c:pt>
                <c:pt idx="1">
                  <c:v>11</c:v>
                </c:pt>
                <c:pt idx="2">
                  <c:v>36</c:v>
                </c:pt>
                <c:pt idx="3">
                  <c:v>18</c:v>
                </c:pt>
                <c:pt idx="4">
                  <c:v>18</c:v>
                </c:pt>
                <c:pt idx="5">
                  <c:v>15</c:v>
                </c:pt>
              </c:numCache>
            </c:numRef>
          </c:val>
          <c:extLst>
            <c:ext xmlns:c16="http://schemas.microsoft.com/office/drawing/2014/chart" uri="{C3380CC4-5D6E-409C-BE32-E72D297353CC}">
              <c16:uniqueId val="{00000000-27F1-4BF5-960C-F103CCFDA793}"/>
            </c:ext>
          </c:extLst>
        </c:ser>
        <c:ser>
          <c:idx val="1"/>
          <c:order val="1"/>
          <c:tx>
            <c:v>R11</c:v>
          </c:tx>
          <c:invertIfNegative val="1"/>
          <c:cat>
            <c:strRef>
              <c:f>サマリー!$I$13:$I$18</c:f>
              <c:strCache>
                <c:ptCount val="6"/>
                <c:pt idx="0">
                  <c:v>生活介護</c:v>
                </c:pt>
                <c:pt idx="1">
                  <c:v>就労継続支援A型</c:v>
                </c:pt>
                <c:pt idx="2">
                  <c:v>就労継続支援B型</c:v>
                </c:pt>
                <c:pt idx="3">
                  <c:v>共同生活援助（グループホーム）</c:v>
                </c:pt>
                <c:pt idx="4">
                  <c:v>施設入所支援</c:v>
                </c:pt>
                <c:pt idx="5">
                  <c:v>計画相談支援</c:v>
                </c:pt>
              </c:strCache>
            </c:strRef>
          </c:cat>
          <c:val>
            <c:numRef>
              <c:f>サマリー!$K$13:$K$18</c:f>
              <c:numCache>
                <c:formatCode>General</c:formatCode>
                <c:ptCount val="6"/>
                <c:pt idx="0">
                  <c:v>31</c:v>
                </c:pt>
                <c:pt idx="1">
                  <c:v>17</c:v>
                </c:pt>
                <c:pt idx="2">
                  <c:v>36</c:v>
                </c:pt>
                <c:pt idx="3">
                  <c:v>22</c:v>
                </c:pt>
                <c:pt idx="4">
                  <c:v>18</c:v>
                </c:pt>
                <c:pt idx="5">
                  <c:v>18</c:v>
                </c:pt>
              </c:numCache>
            </c:numRef>
          </c:val>
          <c:extLst>
            <c:ext xmlns:c16="http://schemas.microsoft.com/office/drawing/2014/chart" uri="{C3380CC4-5D6E-409C-BE32-E72D297353CC}">
              <c16:uniqueId val="{00000001-27F1-4BF5-960C-F103CCFDA79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0</xdr:colOff>
      <xdr:row>30</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15</xdr:row>
      <xdr:rowOff>0</xdr:rowOff>
    </xdr:from>
    <xdr:to>
      <xdr:col>12</xdr:col>
      <xdr:colOff>0</xdr:colOff>
      <xdr:row>30</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19</xdr:row>
      <xdr:rowOff>0</xdr:rowOff>
    </xdr:from>
    <xdr:to>
      <xdr:col>16</xdr:col>
      <xdr:colOff>0</xdr:colOff>
      <xdr:row>38</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workbookViewId="0"/>
  </sheetViews>
  <sheetFormatPr defaultRowHeight="14.25"/>
  <cols>
    <col min="1" max="1" width="24" customWidth="1"/>
    <col min="2" max="2" width="82" customWidth="1"/>
    <col min="3" max="8" width="11" customWidth="1"/>
  </cols>
  <sheetData>
    <row r="1" spans="1:26" ht="33.950000000000003" customHeight="1">
      <c r="A1" s="12" t="s">
        <v>0</v>
      </c>
      <c r="B1" s="12"/>
      <c r="C1" s="12"/>
      <c r="D1" s="12"/>
      <c r="E1" s="12"/>
      <c r="F1" s="12"/>
      <c r="G1" s="12"/>
      <c r="H1" s="12"/>
      <c r="I1" s="2"/>
      <c r="J1" s="2"/>
      <c r="K1" s="2"/>
      <c r="L1" s="2"/>
      <c r="M1" s="2"/>
      <c r="N1" s="2"/>
      <c r="O1" s="2"/>
      <c r="P1" s="2"/>
      <c r="Q1" s="2"/>
      <c r="R1" s="2"/>
      <c r="S1" s="2"/>
      <c r="T1" s="2"/>
      <c r="U1" s="2"/>
      <c r="V1" s="2"/>
      <c r="W1" s="2"/>
      <c r="X1" s="2"/>
      <c r="Y1" s="2"/>
      <c r="Z1" s="2"/>
    </row>
    <row r="2" spans="1:26" ht="33.950000000000003" customHeight="1">
      <c r="A2" s="12"/>
      <c r="B2" s="12"/>
      <c r="C2" s="12"/>
      <c r="D2" s="12"/>
      <c r="E2" s="12"/>
      <c r="F2" s="12"/>
      <c r="G2" s="12"/>
      <c r="H2" s="12"/>
      <c r="I2" s="2"/>
      <c r="J2" s="2"/>
      <c r="K2" s="2"/>
      <c r="L2" s="2"/>
      <c r="M2" s="2"/>
      <c r="N2" s="2"/>
      <c r="O2" s="2"/>
      <c r="P2" s="2"/>
      <c r="Q2" s="2"/>
      <c r="R2" s="2"/>
      <c r="S2" s="2"/>
      <c r="T2" s="2"/>
      <c r="U2" s="2"/>
      <c r="V2" s="2"/>
      <c r="W2" s="2"/>
      <c r="X2" s="2"/>
      <c r="Y2" s="2"/>
      <c r="Z2" s="2"/>
    </row>
    <row r="3" spans="1:26" ht="16.5">
      <c r="A3" s="3"/>
      <c r="B3" s="3"/>
      <c r="C3" s="3"/>
      <c r="D3" s="3"/>
      <c r="E3" s="3"/>
      <c r="F3" s="3"/>
      <c r="G3" s="3"/>
      <c r="H3" s="3"/>
      <c r="I3" s="2"/>
      <c r="J3" s="2"/>
      <c r="K3" s="2"/>
      <c r="L3" s="2"/>
      <c r="M3" s="2"/>
      <c r="N3" s="2"/>
      <c r="O3" s="2"/>
      <c r="P3" s="2"/>
      <c r="Q3" s="2"/>
      <c r="R3" s="2"/>
      <c r="S3" s="2"/>
      <c r="T3" s="2"/>
      <c r="U3" s="2"/>
      <c r="V3" s="2"/>
      <c r="W3" s="2"/>
      <c r="X3" s="2"/>
      <c r="Y3" s="2"/>
      <c r="Z3" s="2"/>
    </row>
    <row r="4" spans="1:26" ht="16.5">
      <c r="A4" s="13" t="s">
        <v>1</v>
      </c>
      <c r="B4" s="13"/>
      <c r="C4" s="13"/>
      <c r="D4" s="13"/>
      <c r="E4" s="13"/>
      <c r="F4" s="13"/>
      <c r="G4" s="13"/>
      <c r="H4" s="13"/>
      <c r="I4" s="2"/>
      <c r="J4" s="2"/>
      <c r="K4" s="2"/>
      <c r="L4" s="2"/>
      <c r="M4" s="2"/>
      <c r="N4" s="2"/>
      <c r="O4" s="2"/>
      <c r="P4" s="2"/>
      <c r="Q4" s="2"/>
      <c r="R4" s="2"/>
      <c r="S4" s="2"/>
      <c r="T4" s="2"/>
      <c r="U4" s="2"/>
      <c r="V4" s="2"/>
      <c r="W4" s="2"/>
      <c r="X4" s="2"/>
      <c r="Y4" s="2"/>
      <c r="Z4" s="2"/>
    </row>
    <row r="5" spans="1:26" ht="16.5">
      <c r="A5" s="3"/>
      <c r="B5" s="3"/>
      <c r="C5" s="3"/>
      <c r="D5" s="3"/>
      <c r="E5" s="3"/>
      <c r="F5" s="3"/>
      <c r="G5" s="3"/>
      <c r="H5" s="3"/>
      <c r="I5" s="2"/>
      <c r="J5" s="2"/>
      <c r="K5" s="2"/>
      <c r="L5" s="2"/>
      <c r="M5" s="2"/>
      <c r="N5" s="2"/>
      <c r="O5" s="2"/>
      <c r="P5" s="2"/>
      <c r="Q5" s="2"/>
      <c r="R5" s="2"/>
      <c r="S5" s="2"/>
      <c r="T5" s="2"/>
      <c r="U5" s="2"/>
      <c r="V5" s="2"/>
      <c r="W5" s="2"/>
      <c r="X5" s="2"/>
      <c r="Y5" s="2"/>
      <c r="Z5" s="2"/>
    </row>
    <row r="6" spans="1:26" ht="16.5">
      <c r="A6" s="3"/>
      <c r="B6" s="3"/>
      <c r="C6" s="3"/>
      <c r="D6" s="3"/>
      <c r="E6" s="3"/>
      <c r="F6" s="3"/>
      <c r="G6" s="3"/>
      <c r="H6" s="3"/>
      <c r="I6" s="2"/>
      <c r="J6" s="2"/>
      <c r="K6" s="2"/>
      <c r="L6" s="2"/>
      <c r="M6" s="2"/>
      <c r="N6" s="2"/>
      <c r="O6" s="2"/>
      <c r="P6" s="2"/>
      <c r="Q6" s="2"/>
      <c r="R6" s="2"/>
      <c r="S6" s="2"/>
      <c r="T6" s="2"/>
      <c r="U6" s="2"/>
      <c r="V6" s="2"/>
      <c r="W6" s="2"/>
      <c r="X6" s="2"/>
      <c r="Y6" s="2"/>
      <c r="Z6" s="2"/>
    </row>
    <row r="7" spans="1:26" ht="33">
      <c r="A7" s="1" t="s">
        <v>2</v>
      </c>
      <c r="B7" s="3" t="s">
        <v>3</v>
      </c>
      <c r="C7" s="3"/>
      <c r="D7" s="3"/>
      <c r="E7" s="3"/>
      <c r="F7" s="3"/>
      <c r="G7" s="3"/>
      <c r="H7" s="3"/>
      <c r="I7" s="2"/>
      <c r="J7" s="2"/>
      <c r="K7" s="2"/>
      <c r="L7" s="2"/>
      <c r="M7" s="2"/>
      <c r="N7" s="2"/>
      <c r="O7" s="2"/>
      <c r="P7" s="2"/>
      <c r="Q7" s="2"/>
      <c r="R7" s="2"/>
      <c r="S7" s="2"/>
      <c r="T7" s="2"/>
      <c r="U7" s="2"/>
      <c r="V7" s="2"/>
      <c r="W7" s="2"/>
      <c r="X7" s="2"/>
      <c r="Y7" s="2"/>
      <c r="Z7" s="2"/>
    </row>
    <row r="8" spans="1:26" ht="33">
      <c r="A8" s="1" t="s">
        <v>4</v>
      </c>
      <c r="B8" s="3" t="s">
        <v>5</v>
      </c>
      <c r="C8" s="3"/>
      <c r="D8" s="3"/>
      <c r="E8" s="3"/>
      <c r="F8" s="3"/>
      <c r="G8" s="3"/>
      <c r="H8" s="3"/>
      <c r="I8" s="2"/>
      <c r="J8" s="2"/>
      <c r="K8" s="2"/>
      <c r="L8" s="2"/>
      <c r="M8" s="2"/>
      <c r="N8" s="2"/>
      <c r="O8" s="2"/>
      <c r="P8" s="2"/>
      <c r="Q8" s="2"/>
      <c r="R8" s="2"/>
      <c r="S8" s="2"/>
      <c r="T8" s="2"/>
      <c r="U8" s="2"/>
      <c r="V8" s="2"/>
      <c r="W8" s="2"/>
      <c r="X8" s="2"/>
      <c r="Y8" s="2"/>
      <c r="Z8" s="2"/>
    </row>
    <row r="9" spans="1:26" ht="33">
      <c r="A9" s="1" t="s">
        <v>6</v>
      </c>
      <c r="B9" s="3" t="s">
        <v>7</v>
      </c>
      <c r="C9" s="3"/>
      <c r="D9" s="3"/>
      <c r="E9" s="3"/>
      <c r="F9" s="3"/>
      <c r="G9" s="3"/>
      <c r="H9" s="3"/>
      <c r="I9" s="2"/>
      <c r="J9" s="2"/>
      <c r="K9" s="2"/>
      <c r="L9" s="2"/>
      <c r="M9" s="2"/>
      <c r="N9" s="2"/>
      <c r="O9" s="2"/>
      <c r="P9" s="2"/>
      <c r="Q9" s="2"/>
      <c r="R9" s="2"/>
      <c r="S9" s="2"/>
      <c r="T9" s="2"/>
      <c r="U9" s="2"/>
      <c r="V9" s="2"/>
      <c r="W9" s="2"/>
      <c r="X9" s="2"/>
      <c r="Y9" s="2"/>
      <c r="Z9" s="2"/>
    </row>
    <row r="10" spans="1:26" ht="16.5">
      <c r="A10" s="1" t="s">
        <v>8</v>
      </c>
      <c r="B10" s="4" t="s">
        <v>9</v>
      </c>
      <c r="C10" s="3"/>
      <c r="D10" s="3"/>
      <c r="E10" s="3"/>
      <c r="F10" s="3"/>
      <c r="G10" s="3"/>
      <c r="H10" s="3"/>
      <c r="I10" s="2"/>
      <c r="J10" s="2"/>
      <c r="K10" s="2"/>
      <c r="L10" s="2"/>
      <c r="M10" s="2"/>
      <c r="N10" s="2"/>
      <c r="O10" s="2"/>
      <c r="P10" s="2"/>
      <c r="Q10" s="2"/>
      <c r="R10" s="2"/>
      <c r="S10" s="2"/>
      <c r="T10" s="2"/>
      <c r="U10" s="2"/>
      <c r="V10" s="2"/>
      <c r="W10" s="2"/>
      <c r="X10" s="2"/>
      <c r="Y10" s="2"/>
      <c r="Z10" s="2"/>
    </row>
    <row r="11" spans="1:26" ht="16.5">
      <c r="A11" s="1" t="s">
        <v>10</v>
      </c>
      <c r="B11" s="5" t="s">
        <v>11</v>
      </c>
      <c r="C11" s="3"/>
      <c r="D11" s="3"/>
      <c r="E11" s="3"/>
      <c r="F11" s="3"/>
      <c r="G11" s="3"/>
      <c r="H11" s="3"/>
      <c r="I11" s="2"/>
      <c r="J11" s="2"/>
      <c r="K11" s="2"/>
      <c r="L11" s="2"/>
      <c r="M11" s="2"/>
      <c r="N11" s="2"/>
      <c r="O11" s="2"/>
      <c r="P11" s="2"/>
      <c r="Q11" s="2"/>
      <c r="R11" s="2"/>
      <c r="S11" s="2"/>
      <c r="T11" s="2"/>
      <c r="U11" s="2"/>
      <c r="V11" s="2"/>
      <c r="W11" s="2"/>
      <c r="X11" s="2"/>
      <c r="Y11" s="2"/>
      <c r="Z11" s="2"/>
    </row>
    <row r="12" spans="1:26" ht="33">
      <c r="A12" s="1" t="s">
        <v>12</v>
      </c>
      <c r="B12" s="6" t="s">
        <v>13</v>
      </c>
      <c r="C12" s="3"/>
      <c r="D12" s="3"/>
      <c r="E12" s="3"/>
      <c r="F12" s="3"/>
      <c r="G12" s="3"/>
      <c r="H12" s="3"/>
      <c r="I12" s="2"/>
      <c r="J12" s="2"/>
      <c r="K12" s="2"/>
      <c r="L12" s="2"/>
      <c r="M12" s="2"/>
      <c r="N12" s="2"/>
      <c r="O12" s="2"/>
      <c r="P12" s="2"/>
      <c r="Q12" s="2"/>
      <c r="R12" s="2"/>
      <c r="S12" s="2"/>
      <c r="T12" s="2"/>
      <c r="U12" s="2"/>
      <c r="V12" s="2"/>
      <c r="W12" s="2"/>
      <c r="X12" s="2"/>
      <c r="Y12" s="2"/>
      <c r="Z12" s="2"/>
    </row>
    <row r="13" spans="1:26" ht="16.5">
      <c r="A13" s="3"/>
      <c r="B13" s="3"/>
      <c r="C13" s="3"/>
      <c r="D13" s="3"/>
      <c r="E13" s="3"/>
      <c r="F13" s="3"/>
      <c r="G13" s="3"/>
      <c r="H13" s="3"/>
      <c r="I13" s="2"/>
      <c r="J13" s="2"/>
      <c r="K13" s="2"/>
      <c r="L13" s="2"/>
      <c r="M13" s="2"/>
      <c r="N13" s="2"/>
      <c r="O13" s="2"/>
      <c r="P13" s="2"/>
      <c r="Q13" s="2"/>
      <c r="R13" s="2"/>
      <c r="S13" s="2"/>
      <c r="T13" s="2"/>
      <c r="U13" s="2"/>
      <c r="V13" s="2"/>
      <c r="W13" s="2"/>
      <c r="X13" s="2"/>
      <c r="Y13" s="2"/>
      <c r="Z13" s="2"/>
    </row>
    <row r="14" spans="1:26" ht="16.5">
      <c r="A14" s="7" t="s">
        <v>14</v>
      </c>
      <c r="B14" s="7" t="s">
        <v>15</v>
      </c>
      <c r="C14" s="3"/>
      <c r="D14" s="3"/>
      <c r="E14" s="3"/>
      <c r="F14" s="3"/>
      <c r="G14" s="3"/>
      <c r="H14" s="3"/>
      <c r="I14" s="2"/>
      <c r="J14" s="2"/>
      <c r="K14" s="2"/>
      <c r="L14" s="2"/>
      <c r="M14" s="2"/>
      <c r="N14" s="2"/>
      <c r="O14" s="2"/>
      <c r="P14" s="2"/>
      <c r="Q14" s="2"/>
      <c r="R14" s="2"/>
      <c r="S14" s="2"/>
      <c r="T14" s="2"/>
      <c r="U14" s="2"/>
      <c r="V14" s="2"/>
      <c r="W14" s="2"/>
      <c r="X14" s="2"/>
      <c r="Y14" s="2"/>
      <c r="Z14" s="2"/>
    </row>
    <row r="15" spans="1:26" ht="16.5">
      <c r="A15" s="3" t="s">
        <v>16</v>
      </c>
      <c r="B15" s="3" t="s">
        <v>17</v>
      </c>
      <c r="C15" s="3"/>
      <c r="D15" s="3"/>
      <c r="E15" s="3"/>
      <c r="F15" s="3"/>
      <c r="G15" s="3"/>
      <c r="H15" s="3"/>
      <c r="I15" s="2"/>
      <c r="J15" s="2"/>
      <c r="K15" s="2"/>
      <c r="L15" s="2"/>
      <c r="M15" s="2"/>
      <c r="N15" s="2"/>
      <c r="O15" s="2"/>
      <c r="P15" s="2"/>
      <c r="Q15" s="2"/>
      <c r="R15" s="2"/>
      <c r="S15" s="2"/>
      <c r="T15" s="2"/>
      <c r="U15" s="2"/>
      <c r="V15" s="2"/>
      <c r="W15" s="2"/>
      <c r="X15" s="2"/>
      <c r="Y15" s="2"/>
      <c r="Z15" s="2"/>
    </row>
    <row r="16" spans="1:26" ht="33">
      <c r="A16" s="3" t="s">
        <v>18</v>
      </c>
      <c r="B16" s="3" t="s">
        <v>19</v>
      </c>
      <c r="C16" s="3"/>
      <c r="D16" s="3"/>
      <c r="E16" s="3"/>
      <c r="F16" s="3"/>
      <c r="G16" s="3"/>
      <c r="H16" s="3"/>
      <c r="I16" s="2"/>
      <c r="J16" s="2"/>
      <c r="K16" s="2"/>
      <c r="L16" s="2"/>
      <c r="M16" s="2"/>
      <c r="N16" s="2"/>
      <c r="O16" s="2"/>
      <c r="P16" s="2"/>
      <c r="Q16" s="2"/>
      <c r="R16" s="2"/>
      <c r="S16" s="2"/>
      <c r="T16" s="2"/>
      <c r="U16" s="2"/>
      <c r="V16" s="2"/>
      <c r="W16" s="2"/>
      <c r="X16" s="2"/>
      <c r="Y16" s="2"/>
      <c r="Z16" s="2"/>
    </row>
    <row r="17" spans="1:26" ht="16.5">
      <c r="A17" s="3" t="s">
        <v>20</v>
      </c>
      <c r="B17" s="3" t="s">
        <v>21</v>
      </c>
      <c r="C17" s="3"/>
      <c r="D17" s="3"/>
      <c r="E17" s="3"/>
      <c r="F17" s="3"/>
      <c r="G17" s="3"/>
      <c r="H17" s="3"/>
      <c r="I17" s="2"/>
      <c r="J17" s="2"/>
      <c r="K17" s="2"/>
      <c r="L17" s="2"/>
      <c r="M17" s="2"/>
      <c r="N17" s="2"/>
      <c r="O17" s="2"/>
      <c r="P17" s="2"/>
      <c r="Q17" s="2"/>
      <c r="R17" s="2"/>
      <c r="S17" s="2"/>
      <c r="T17" s="2"/>
      <c r="U17" s="2"/>
      <c r="V17" s="2"/>
      <c r="W17" s="2"/>
      <c r="X17" s="2"/>
      <c r="Y17" s="2"/>
      <c r="Z17" s="2"/>
    </row>
    <row r="18" spans="1:26" ht="16.5">
      <c r="A18" s="3"/>
      <c r="B18" s="3"/>
      <c r="C18" s="3"/>
      <c r="D18" s="3"/>
      <c r="E18" s="3"/>
      <c r="F18" s="3"/>
      <c r="G18" s="3"/>
      <c r="H18" s="3"/>
      <c r="I18" s="2"/>
      <c r="J18" s="2"/>
      <c r="K18" s="2"/>
      <c r="L18" s="2"/>
      <c r="M18" s="2"/>
      <c r="N18" s="2"/>
      <c r="O18" s="2"/>
      <c r="P18" s="2"/>
      <c r="Q18" s="2"/>
      <c r="R18" s="2"/>
      <c r="S18" s="2"/>
      <c r="T18" s="2"/>
      <c r="U18" s="2"/>
      <c r="V18" s="2"/>
      <c r="W18" s="2"/>
      <c r="X18" s="2"/>
      <c r="Y18" s="2"/>
      <c r="Z18" s="2"/>
    </row>
    <row r="19" spans="1:26" ht="16.5">
      <c r="A19" s="7" t="s">
        <v>22</v>
      </c>
      <c r="B19" s="7" t="s">
        <v>23</v>
      </c>
      <c r="C19" s="3"/>
      <c r="D19" s="3"/>
      <c r="E19" s="3"/>
      <c r="F19" s="3"/>
      <c r="G19" s="3"/>
      <c r="H19" s="3"/>
      <c r="I19" s="2"/>
      <c r="J19" s="2"/>
      <c r="K19" s="2"/>
      <c r="L19" s="2"/>
      <c r="M19" s="2"/>
      <c r="N19" s="2"/>
      <c r="O19" s="2"/>
      <c r="P19" s="2"/>
      <c r="Q19" s="2"/>
      <c r="R19" s="2"/>
      <c r="S19" s="2"/>
      <c r="T19" s="2"/>
      <c r="U19" s="2"/>
      <c r="V19" s="2"/>
      <c r="W19" s="2"/>
      <c r="X19" s="2"/>
      <c r="Y19" s="2"/>
      <c r="Z19" s="2"/>
    </row>
    <row r="20" spans="1:26" ht="33">
      <c r="A20" s="3" t="s">
        <v>24</v>
      </c>
      <c r="B20" s="3" t="s">
        <v>25</v>
      </c>
      <c r="C20" s="3"/>
      <c r="D20" s="3"/>
      <c r="E20" s="3"/>
      <c r="F20" s="3"/>
      <c r="G20" s="3"/>
      <c r="H20" s="3"/>
      <c r="I20" s="2"/>
      <c r="J20" s="2"/>
      <c r="K20" s="2"/>
      <c r="L20" s="2"/>
      <c r="M20" s="2"/>
      <c r="N20" s="2"/>
      <c r="O20" s="2"/>
      <c r="P20" s="2"/>
      <c r="Q20" s="2"/>
      <c r="R20" s="2"/>
      <c r="S20" s="2"/>
      <c r="T20" s="2"/>
      <c r="U20" s="2"/>
      <c r="V20" s="2"/>
      <c r="W20" s="2"/>
      <c r="X20" s="2"/>
      <c r="Y20" s="2"/>
      <c r="Z20" s="2"/>
    </row>
    <row r="21" spans="1:26" ht="49.5">
      <c r="A21" s="3" t="s">
        <v>26</v>
      </c>
      <c r="B21" s="3" t="s">
        <v>27</v>
      </c>
      <c r="C21" s="3"/>
      <c r="D21" s="3"/>
      <c r="E21" s="3"/>
      <c r="F21" s="3"/>
      <c r="G21" s="3"/>
      <c r="H21" s="3"/>
      <c r="I21" s="2"/>
      <c r="J21" s="2"/>
      <c r="K21" s="2"/>
      <c r="L21" s="2"/>
      <c r="M21" s="2"/>
      <c r="N21" s="2"/>
      <c r="O21" s="2"/>
      <c r="P21" s="2"/>
      <c r="Q21" s="2"/>
      <c r="R21" s="2"/>
      <c r="S21" s="2"/>
      <c r="T21" s="2"/>
      <c r="U21" s="2"/>
      <c r="V21" s="2"/>
      <c r="W21" s="2"/>
      <c r="X21" s="2"/>
      <c r="Y21" s="2"/>
      <c r="Z21" s="2"/>
    </row>
    <row r="22" spans="1:26" ht="16.5">
      <c r="A22" s="3"/>
      <c r="B22" s="3"/>
      <c r="C22" s="3"/>
      <c r="D22" s="3"/>
      <c r="E22" s="3"/>
      <c r="F22" s="3"/>
      <c r="G22" s="3"/>
      <c r="H22" s="3"/>
      <c r="I22" s="2"/>
      <c r="J22" s="2"/>
      <c r="K22" s="2"/>
      <c r="L22" s="2"/>
      <c r="M22" s="2"/>
      <c r="N22" s="2"/>
      <c r="O22" s="2"/>
      <c r="P22" s="2"/>
      <c r="Q22" s="2"/>
      <c r="R22" s="2"/>
      <c r="S22" s="2"/>
      <c r="T22" s="2"/>
      <c r="U22" s="2"/>
      <c r="V22" s="2"/>
      <c r="W22" s="2"/>
      <c r="X22" s="2"/>
      <c r="Y22" s="2"/>
      <c r="Z22" s="2"/>
    </row>
    <row r="23" spans="1:26" ht="16.5">
      <c r="A23" s="3"/>
      <c r="B23" s="3"/>
      <c r="C23" s="3"/>
      <c r="D23" s="3"/>
      <c r="E23" s="3"/>
      <c r="F23" s="3"/>
      <c r="G23" s="3"/>
      <c r="H23" s="3"/>
      <c r="I23" s="2"/>
      <c r="J23" s="2"/>
      <c r="K23" s="2"/>
      <c r="L23" s="2"/>
      <c r="M23" s="2"/>
      <c r="N23" s="2"/>
      <c r="O23" s="2"/>
      <c r="P23" s="2"/>
      <c r="Q23" s="2"/>
      <c r="R23" s="2"/>
      <c r="S23" s="2"/>
      <c r="T23" s="2"/>
      <c r="U23" s="2"/>
      <c r="V23" s="2"/>
      <c r="W23" s="2"/>
      <c r="X23" s="2"/>
      <c r="Y23" s="2"/>
      <c r="Z23" s="2"/>
    </row>
    <row r="24" spans="1:26" ht="16.5">
      <c r="A24" s="3"/>
      <c r="B24" s="3"/>
      <c r="C24" s="3"/>
      <c r="D24" s="3"/>
      <c r="E24" s="3"/>
      <c r="F24" s="3"/>
      <c r="G24" s="3"/>
      <c r="H24" s="3"/>
      <c r="I24" s="2"/>
      <c r="J24" s="2"/>
      <c r="K24" s="2"/>
      <c r="L24" s="2"/>
      <c r="M24" s="2"/>
      <c r="N24" s="2"/>
      <c r="O24" s="2"/>
      <c r="P24" s="2"/>
      <c r="Q24" s="2"/>
      <c r="R24" s="2"/>
      <c r="S24" s="2"/>
      <c r="T24" s="2"/>
      <c r="U24" s="2"/>
      <c r="V24" s="2"/>
      <c r="W24" s="2"/>
      <c r="X24" s="2"/>
      <c r="Y24" s="2"/>
      <c r="Z24" s="2"/>
    </row>
    <row r="25" spans="1:26" ht="16.5">
      <c r="A25" s="3"/>
      <c r="B25" s="3"/>
      <c r="C25" s="3"/>
      <c r="D25" s="3"/>
      <c r="E25" s="3"/>
      <c r="F25" s="3"/>
      <c r="G25" s="3"/>
      <c r="H25" s="3"/>
      <c r="I25" s="2"/>
      <c r="J25" s="2"/>
      <c r="K25" s="2"/>
      <c r="L25" s="2"/>
      <c r="M25" s="2"/>
      <c r="N25" s="2"/>
      <c r="O25" s="2"/>
      <c r="P25" s="2"/>
      <c r="Q25" s="2"/>
      <c r="R25" s="2"/>
      <c r="S25" s="2"/>
      <c r="T25" s="2"/>
      <c r="U25" s="2"/>
      <c r="V25" s="2"/>
      <c r="W25" s="2"/>
      <c r="X25" s="2"/>
      <c r="Y25" s="2"/>
      <c r="Z25" s="2"/>
    </row>
    <row r="26" spans="1:26" ht="16.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2">
    <mergeCell ref="A1:H2"/>
    <mergeCell ref="A4:H4"/>
  </mergeCells>
  <phoneticPr fontI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
  <sheetViews>
    <sheetView workbookViewId="0">
      <selection activeCell="F11" sqref="F11"/>
    </sheetView>
  </sheetViews>
  <sheetFormatPr defaultRowHeight="14.25"/>
  <cols>
    <col min="1" max="1" width="30" customWidth="1"/>
    <col min="2" max="9" width="10" customWidth="1"/>
    <col min="10" max="10" width="13" customWidth="1"/>
    <col min="11" max="11" width="11" customWidth="1"/>
    <col min="12" max="12" width="34" customWidth="1"/>
  </cols>
  <sheetData>
    <row r="1" spans="1:26" ht="30">
      <c r="A1" s="14" t="s">
        <v>28</v>
      </c>
      <c r="B1" s="14"/>
      <c r="C1" s="14"/>
      <c r="D1" s="14"/>
      <c r="E1" s="14"/>
      <c r="F1" s="14"/>
      <c r="G1" s="14"/>
      <c r="H1" s="14"/>
      <c r="I1" s="14"/>
      <c r="J1" s="14"/>
      <c r="K1" s="14"/>
      <c r="L1" s="14"/>
      <c r="M1" s="2"/>
      <c r="N1" s="2"/>
      <c r="O1" s="2"/>
      <c r="P1" s="2"/>
      <c r="Q1" s="2"/>
      <c r="R1" s="2"/>
      <c r="S1" s="2"/>
      <c r="T1" s="2"/>
      <c r="U1" s="2"/>
      <c r="V1" s="2"/>
      <c r="W1" s="2"/>
      <c r="X1" s="2"/>
      <c r="Y1" s="2"/>
      <c r="Z1" s="2"/>
    </row>
    <row r="2" spans="1:26" ht="16.5">
      <c r="A2" s="15" t="s">
        <v>29</v>
      </c>
      <c r="B2" s="15"/>
      <c r="C2" s="15"/>
      <c r="D2" s="15"/>
      <c r="E2" s="15"/>
      <c r="F2" s="15"/>
      <c r="G2" s="15"/>
      <c r="H2" s="15"/>
      <c r="I2" s="15"/>
      <c r="J2" s="15"/>
      <c r="K2" s="15"/>
      <c r="L2" s="15"/>
      <c r="M2" s="2"/>
      <c r="N2" s="2"/>
      <c r="O2" s="2"/>
      <c r="P2" s="2"/>
      <c r="Q2" s="2"/>
      <c r="R2" s="2"/>
      <c r="S2" s="2"/>
      <c r="T2" s="2"/>
      <c r="U2" s="2"/>
      <c r="V2" s="2"/>
      <c r="W2" s="2"/>
      <c r="X2" s="2"/>
      <c r="Y2" s="2"/>
      <c r="Z2" s="2"/>
    </row>
    <row r="3" spans="1:26" ht="16.5">
      <c r="A3" s="2"/>
      <c r="B3" s="2"/>
      <c r="C3" s="2"/>
      <c r="D3" s="2"/>
      <c r="E3" s="2"/>
      <c r="F3" s="2"/>
      <c r="G3" s="2"/>
      <c r="H3" s="2"/>
      <c r="I3" s="2"/>
      <c r="J3" s="2"/>
      <c r="K3" s="2"/>
      <c r="L3" s="2"/>
      <c r="M3" s="2"/>
      <c r="N3" s="2"/>
      <c r="O3" s="2"/>
      <c r="P3" s="2"/>
      <c r="Q3" s="2"/>
      <c r="R3" s="2"/>
      <c r="S3" s="2"/>
      <c r="T3" s="2"/>
      <c r="U3" s="2"/>
      <c r="V3" s="2"/>
      <c r="W3" s="2"/>
      <c r="X3" s="2"/>
      <c r="Y3" s="2"/>
      <c r="Z3" s="2"/>
    </row>
    <row r="4" spans="1:26" ht="16.5">
      <c r="A4" s="2"/>
      <c r="B4" s="2"/>
      <c r="C4" s="2"/>
      <c r="D4" s="2"/>
      <c r="E4" s="2"/>
      <c r="F4" s="2"/>
      <c r="G4" s="2"/>
      <c r="H4" s="2"/>
      <c r="I4" s="2"/>
      <c r="J4" s="2"/>
      <c r="K4" s="2"/>
      <c r="L4" s="2"/>
      <c r="M4" s="2"/>
      <c r="N4" s="2"/>
      <c r="O4" s="2"/>
      <c r="P4" s="2"/>
      <c r="Q4" s="2"/>
      <c r="R4" s="2"/>
      <c r="S4" s="2"/>
      <c r="T4" s="2"/>
      <c r="U4" s="2"/>
      <c r="V4" s="2"/>
      <c r="W4" s="2"/>
      <c r="X4" s="2"/>
      <c r="Y4" s="2"/>
      <c r="Z4" s="2"/>
    </row>
    <row r="5" spans="1:26" ht="16.5">
      <c r="A5" s="21" t="s">
        <v>30</v>
      </c>
      <c r="B5" s="21" t="s">
        <v>31</v>
      </c>
      <c r="C5" s="21" t="s">
        <v>32</v>
      </c>
      <c r="D5" s="21" t="s">
        <v>33</v>
      </c>
      <c r="E5" s="21" t="s">
        <v>34</v>
      </c>
      <c r="F5" s="21" t="s">
        <v>35</v>
      </c>
      <c r="G5" s="21" t="s">
        <v>36</v>
      </c>
      <c r="H5" s="21" t="s">
        <v>37</v>
      </c>
      <c r="I5" s="21" t="s">
        <v>38</v>
      </c>
      <c r="J5" s="21" t="s">
        <v>39</v>
      </c>
      <c r="K5" s="21" t="s">
        <v>40</v>
      </c>
      <c r="L5" s="21" t="s">
        <v>41</v>
      </c>
      <c r="M5" s="2"/>
      <c r="N5" s="2"/>
      <c r="O5" s="2"/>
      <c r="P5" s="2"/>
      <c r="Q5" s="2"/>
      <c r="R5" s="2"/>
      <c r="S5" s="2"/>
      <c r="T5" s="2"/>
      <c r="U5" s="2"/>
      <c r="V5" s="2"/>
      <c r="W5" s="2"/>
      <c r="X5" s="2"/>
      <c r="Y5" s="2"/>
      <c r="Z5" s="2"/>
    </row>
    <row r="6" spans="1:26" ht="16.5">
      <c r="A6" s="38" t="s">
        <v>42</v>
      </c>
      <c r="B6" s="19" t="s">
        <v>43</v>
      </c>
      <c r="C6" s="39">
        <v>9372</v>
      </c>
      <c r="D6" s="39">
        <v>9116</v>
      </c>
      <c r="E6" s="39">
        <v>8740</v>
      </c>
      <c r="F6" s="39">
        <v>8520</v>
      </c>
      <c r="G6" s="39">
        <v>8287</v>
      </c>
      <c r="H6" s="39">
        <v>8076</v>
      </c>
      <c r="I6" s="39">
        <v>7830</v>
      </c>
      <c r="J6" s="40">
        <f t="shared" ref="J6:J13" si="0">I6-E6</f>
        <v>-910</v>
      </c>
      <c r="K6" s="41">
        <f t="shared" ref="K6:K13" si="1">IFERROR(I6/E6-1,0)</f>
        <v>-0.10411899313501149</v>
      </c>
      <c r="L6" s="26" t="s">
        <v>44</v>
      </c>
      <c r="M6" s="2"/>
      <c r="N6" s="2"/>
      <c r="O6" s="2"/>
      <c r="P6" s="2"/>
      <c r="Q6" s="2"/>
      <c r="R6" s="2"/>
      <c r="S6" s="2"/>
      <c r="T6" s="2"/>
      <c r="U6" s="2"/>
      <c r="V6" s="2"/>
      <c r="W6" s="2"/>
      <c r="X6" s="2"/>
      <c r="Y6" s="2"/>
      <c r="Z6" s="2"/>
    </row>
    <row r="7" spans="1:26" ht="16.5">
      <c r="A7" s="38" t="s">
        <v>45</v>
      </c>
      <c r="B7" s="19" t="s">
        <v>43</v>
      </c>
      <c r="C7" s="39">
        <v>884</v>
      </c>
      <c r="D7" s="39">
        <v>809</v>
      </c>
      <c r="E7" s="39">
        <v>732</v>
      </c>
      <c r="F7" s="39">
        <v>679</v>
      </c>
      <c r="G7" s="39">
        <v>624</v>
      </c>
      <c r="H7" s="39">
        <v>584</v>
      </c>
      <c r="I7" s="39">
        <v>517</v>
      </c>
      <c r="J7" s="40">
        <f t="shared" si="0"/>
        <v>-215</v>
      </c>
      <c r="K7" s="41">
        <f t="shared" si="1"/>
        <v>-0.29371584699453557</v>
      </c>
      <c r="L7" s="26" t="s">
        <v>46</v>
      </c>
      <c r="M7" s="2"/>
      <c r="N7" s="2"/>
      <c r="O7" s="2"/>
      <c r="P7" s="2"/>
      <c r="Q7" s="2"/>
      <c r="R7" s="2"/>
      <c r="S7" s="2"/>
      <c r="T7" s="2"/>
      <c r="U7" s="2"/>
      <c r="V7" s="2"/>
      <c r="W7" s="2"/>
      <c r="X7" s="2"/>
      <c r="Y7" s="2"/>
      <c r="Z7" s="2"/>
    </row>
    <row r="8" spans="1:26" ht="16.5">
      <c r="A8" s="38" t="s">
        <v>47</v>
      </c>
      <c r="B8" s="19" t="s">
        <v>43</v>
      </c>
      <c r="C8" s="39">
        <v>4986</v>
      </c>
      <c r="D8" s="39">
        <v>4814</v>
      </c>
      <c r="E8" s="39">
        <v>4525</v>
      </c>
      <c r="F8" s="39">
        <v>4382</v>
      </c>
      <c r="G8" s="39">
        <v>4203</v>
      </c>
      <c r="H8" s="39">
        <v>4040</v>
      </c>
      <c r="I8" s="39">
        <v>3891</v>
      </c>
      <c r="J8" s="40">
        <f t="shared" si="0"/>
        <v>-634</v>
      </c>
      <c r="K8" s="41">
        <f t="shared" si="1"/>
        <v>-0.14011049723756908</v>
      </c>
      <c r="L8" s="26"/>
      <c r="M8" s="2"/>
      <c r="N8" s="2"/>
      <c r="O8" s="2"/>
      <c r="P8" s="2"/>
      <c r="Q8" s="2"/>
      <c r="R8" s="2"/>
      <c r="S8" s="2"/>
      <c r="T8" s="2"/>
      <c r="U8" s="2"/>
      <c r="V8" s="2"/>
      <c r="W8" s="2"/>
      <c r="X8" s="2"/>
      <c r="Y8" s="2"/>
      <c r="Z8" s="2"/>
    </row>
    <row r="9" spans="1:26" ht="16.5">
      <c r="A9" s="38" t="s">
        <v>48</v>
      </c>
      <c r="B9" s="19" t="s">
        <v>43</v>
      </c>
      <c r="C9" s="39">
        <v>3502</v>
      </c>
      <c r="D9" s="39">
        <v>3493</v>
      </c>
      <c r="E9" s="39">
        <v>3483</v>
      </c>
      <c r="F9" s="39">
        <v>3459</v>
      </c>
      <c r="G9" s="39">
        <v>3460</v>
      </c>
      <c r="H9" s="39">
        <v>3452</v>
      </c>
      <c r="I9" s="39">
        <v>3422</v>
      </c>
      <c r="J9" s="40">
        <f t="shared" si="0"/>
        <v>-61</v>
      </c>
      <c r="K9" s="41">
        <f t="shared" si="1"/>
        <v>-1.7513637668676418E-2</v>
      </c>
      <c r="L9" s="26"/>
      <c r="M9" s="2"/>
      <c r="N9" s="2"/>
      <c r="O9" s="2"/>
      <c r="P9" s="2"/>
      <c r="Q9" s="2"/>
      <c r="R9" s="2"/>
      <c r="S9" s="2"/>
      <c r="T9" s="2"/>
      <c r="U9" s="2"/>
      <c r="V9" s="2"/>
      <c r="W9" s="2"/>
      <c r="X9" s="2"/>
      <c r="Y9" s="2"/>
      <c r="Z9" s="2"/>
    </row>
    <row r="10" spans="1:26" ht="16.5">
      <c r="A10" s="38" t="s">
        <v>49</v>
      </c>
      <c r="B10" s="19" t="s">
        <v>43</v>
      </c>
      <c r="C10" s="39">
        <v>412</v>
      </c>
      <c r="D10" s="39">
        <v>406</v>
      </c>
      <c r="E10" s="39">
        <v>372</v>
      </c>
      <c r="F10" s="39">
        <v>363</v>
      </c>
      <c r="G10" s="39">
        <v>353</v>
      </c>
      <c r="H10" s="39">
        <v>344</v>
      </c>
      <c r="I10" s="39">
        <v>333</v>
      </c>
      <c r="J10" s="40">
        <f t="shared" si="0"/>
        <v>-39</v>
      </c>
      <c r="K10" s="41">
        <f t="shared" si="1"/>
        <v>-0.10483870967741937</v>
      </c>
      <c r="L10" s="26"/>
      <c r="M10" s="2"/>
      <c r="N10" s="2"/>
      <c r="O10" s="2"/>
      <c r="P10" s="2"/>
      <c r="Q10" s="2"/>
      <c r="R10" s="2"/>
      <c r="S10" s="2"/>
      <c r="T10" s="2"/>
      <c r="U10" s="2"/>
      <c r="V10" s="2"/>
      <c r="W10" s="2"/>
      <c r="X10" s="2"/>
      <c r="Y10" s="2"/>
      <c r="Z10" s="2"/>
    </row>
    <row r="11" spans="1:26" ht="16.5">
      <c r="A11" s="38" t="s">
        <v>50</v>
      </c>
      <c r="B11" s="19" t="s">
        <v>43</v>
      </c>
      <c r="C11" s="39">
        <v>82</v>
      </c>
      <c r="D11" s="39">
        <v>77</v>
      </c>
      <c r="E11" s="39">
        <v>74</v>
      </c>
      <c r="F11" s="39">
        <v>72</v>
      </c>
      <c r="G11" s="39">
        <v>70</v>
      </c>
      <c r="H11" s="39">
        <v>68</v>
      </c>
      <c r="I11" s="39">
        <v>66</v>
      </c>
      <c r="J11" s="40">
        <f t="shared" si="0"/>
        <v>-8</v>
      </c>
      <c r="K11" s="41">
        <f t="shared" si="1"/>
        <v>-0.10810810810810811</v>
      </c>
      <c r="L11" s="26"/>
      <c r="M11" s="2"/>
      <c r="N11" s="2"/>
      <c r="O11" s="2"/>
      <c r="P11" s="2"/>
      <c r="Q11" s="2"/>
      <c r="R11" s="2"/>
      <c r="S11" s="2"/>
      <c r="T11" s="2"/>
      <c r="U11" s="2"/>
      <c r="V11" s="2"/>
      <c r="W11" s="2"/>
      <c r="X11" s="2"/>
      <c r="Y11" s="2"/>
      <c r="Z11" s="2"/>
    </row>
    <row r="12" spans="1:26" ht="16.5">
      <c r="A12" s="38" t="s">
        <v>51</v>
      </c>
      <c r="B12" s="19" t="s">
        <v>43</v>
      </c>
      <c r="C12" s="39">
        <v>45</v>
      </c>
      <c r="D12" s="39">
        <v>47</v>
      </c>
      <c r="E12" s="39">
        <v>62</v>
      </c>
      <c r="F12" s="39">
        <v>60</v>
      </c>
      <c r="G12" s="39">
        <v>59</v>
      </c>
      <c r="H12" s="39">
        <v>57</v>
      </c>
      <c r="I12" s="39">
        <v>56</v>
      </c>
      <c r="J12" s="40">
        <f t="shared" si="0"/>
        <v>-6</v>
      </c>
      <c r="K12" s="41">
        <f t="shared" si="1"/>
        <v>-9.6774193548387122E-2</v>
      </c>
      <c r="L12" s="26"/>
      <c r="M12" s="2"/>
      <c r="N12" s="2"/>
      <c r="O12" s="2"/>
      <c r="P12" s="2"/>
      <c r="Q12" s="2"/>
      <c r="R12" s="2"/>
      <c r="S12" s="2"/>
      <c r="T12" s="2"/>
      <c r="U12" s="2"/>
      <c r="V12" s="2"/>
      <c r="W12" s="2"/>
      <c r="X12" s="2"/>
      <c r="Y12" s="2"/>
      <c r="Z12" s="2"/>
    </row>
    <row r="13" spans="1:26" ht="16.5">
      <c r="A13" s="38" t="s">
        <v>52</v>
      </c>
      <c r="B13" s="19" t="s">
        <v>43</v>
      </c>
      <c r="C13" s="39">
        <v>539</v>
      </c>
      <c r="D13" s="39">
        <v>530</v>
      </c>
      <c r="E13" s="39">
        <v>508</v>
      </c>
      <c r="F13" s="39">
        <v>495</v>
      </c>
      <c r="G13" s="39">
        <v>482</v>
      </c>
      <c r="H13" s="39">
        <v>469</v>
      </c>
      <c r="I13" s="39">
        <v>455</v>
      </c>
      <c r="J13" s="40">
        <f t="shared" si="0"/>
        <v>-53</v>
      </c>
      <c r="K13" s="41">
        <f t="shared" si="1"/>
        <v>-0.10433070866141736</v>
      </c>
      <c r="L13" s="26" t="s">
        <v>53</v>
      </c>
      <c r="M13" s="2"/>
      <c r="N13" s="2"/>
      <c r="O13" s="2"/>
      <c r="P13" s="2"/>
      <c r="Q13" s="2"/>
      <c r="R13" s="2"/>
      <c r="S13" s="2"/>
      <c r="T13" s="2"/>
      <c r="U13" s="2"/>
      <c r="V13" s="2"/>
      <c r="W13" s="2"/>
      <c r="X13" s="2"/>
      <c r="Y13" s="2"/>
      <c r="Z13" s="2"/>
    </row>
    <row r="14" spans="1:26" ht="16.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2">
    <mergeCell ref="A1:L1"/>
    <mergeCell ref="A2:L2"/>
  </mergeCells>
  <phoneticPr fontId="8"/>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
  <sheetViews>
    <sheetView tabSelected="1" zoomScale="64" workbookViewId="0">
      <selection activeCell="I7" sqref="I7"/>
    </sheetView>
  </sheetViews>
  <sheetFormatPr defaultRowHeight="14.25"/>
  <cols>
    <col min="1" max="1" width="13" customWidth="1"/>
    <col min="2" max="2" width="27" customWidth="1"/>
    <col min="3" max="3" width="12" customWidth="1"/>
    <col min="4" max="7" width="9" customWidth="1"/>
    <col min="8" max="8" width="17" customWidth="1"/>
    <col min="9" max="14" width="9" customWidth="1"/>
    <col min="15" max="18" width="10" customWidth="1"/>
    <col min="19" max="19" width="17" customWidth="1"/>
    <col min="20" max="25" width="10" customWidth="1"/>
    <col min="26" max="26" width="46" customWidth="1"/>
  </cols>
  <sheetData>
    <row r="1" spans="1:26" ht="30">
      <c r="A1" s="14" t="s">
        <v>54</v>
      </c>
      <c r="B1" s="14"/>
      <c r="C1" s="14"/>
      <c r="D1" s="14"/>
      <c r="E1" s="14"/>
      <c r="F1" s="14"/>
      <c r="G1" s="14"/>
      <c r="H1" s="14"/>
      <c r="I1" s="14"/>
      <c r="J1" s="14"/>
      <c r="K1" s="14"/>
      <c r="L1" s="14"/>
      <c r="M1" s="14"/>
      <c r="N1" s="14"/>
      <c r="O1" s="14"/>
      <c r="P1" s="14"/>
      <c r="Q1" s="14"/>
      <c r="R1" s="14"/>
      <c r="S1" s="14"/>
      <c r="T1" s="14"/>
      <c r="U1" s="14"/>
      <c r="V1" s="14"/>
      <c r="W1" s="14"/>
      <c r="X1" s="14"/>
      <c r="Y1" s="14"/>
      <c r="Z1" s="14"/>
    </row>
    <row r="2" spans="1:26" ht="16.5">
      <c r="A2" s="15" t="s">
        <v>55</v>
      </c>
      <c r="B2" s="15"/>
      <c r="C2" s="15"/>
      <c r="D2" s="15"/>
      <c r="E2" s="15"/>
      <c r="F2" s="15"/>
      <c r="G2" s="15"/>
      <c r="H2" s="15"/>
      <c r="I2" s="15"/>
      <c r="J2" s="15"/>
      <c r="K2" s="15"/>
      <c r="L2" s="15"/>
      <c r="M2" s="15"/>
      <c r="N2" s="15"/>
      <c r="O2" s="15"/>
      <c r="P2" s="15"/>
      <c r="Q2" s="15"/>
      <c r="R2" s="15"/>
      <c r="S2" s="15"/>
      <c r="T2" s="15"/>
      <c r="U2" s="15"/>
      <c r="V2" s="15"/>
      <c r="W2" s="15"/>
      <c r="X2" s="15"/>
      <c r="Y2" s="15"/>
      <c r="Z2" s="15"/>
    </row>
    <row r="3" spans="1:26" ht="16.5">
      <c r="A3" s="2"/>
      <c r="B3" s="2"/>
      <c r="C3" s="2"/>
      <c r="D3" s="2"/>
      <c r="E3" s="2"/>
      <c r="F3" s="2"/>
      <c r="G3" s="2"/>
      <c r="H3" s="2"/>
      <c r="I3" s="2"/>
      <c r="J3" s="2"/>
      <c r="K3" s="2"/>
      <c r="L3" s="2"/>
      <c r="M3" s="2"/>
      <c r="N3" s="2"/>
      <c r="O3" s="2"/>
      <c r="P3" s="2"/>
      <c r="Q3" s="2"/>
      <c r="R3" s="2"/>
      <c r="S3" s="2"/>
      <c r="T3" s="2"/>
      <c r="U3" s="2"/>
      <c r="V3" s="2"/>
      <c r="W3" s="2"/>
      <c r="X3" s="2"/>
      <c r="Y3" s="2"/>
      <c r="Z3" s="2"/>
    </row>
    <row r="4" spans="1:26" ht="33.950000000000003" customHeight="1">
      <c r="A4" s="2"/>
      <c r="B4" s="2"/>
      <c r="C4" s="19"/>
      <c r="D4" s="20" t="s">
        <v>56</v>
      </c>
      <c r="E4" s="20"/>
      <c r="F4" s="20"/>
      <c r="G4" s="20"/>
      <c r="H4" s="20"/>
      <c r="I4" s="20"/>
      <c r="J4" s="20"/>
      <c r="K4" s="20"/>
      <c r="L4" s="20"/>
      <c r="M4" s="20"/>
      <c r="N4" s="20"/>
      <c r="O4" s="20" t="s">
        <v>57</v>
      </c>
      <c r="P4" s="20"/>
      <c r="Q4" s="20"/>
      <c r="R4" s="20"/>
      <c r="S4" s="20"/>
      <c r="T4" s="20"/>
      <c r="U4" s="20"/>
      <c r="V4" s="20"/>
      <c r="W4" s="20"/>
      <c r="X4" s="20"/>
      <c r="Y4" s="20"/>
      <c r="Z4" s="19"/>
    </row>
    <row r="5" spans="1:26" ht="33.950000000000003" customHeight="1">
      <c r="A5" s="11" t="s">
        <v>58</v>
      </c>
      <c r="B5" s="11" t="s">
        <v>59</v>
      </c>
      <c r="C5" s="21" t="s">
        <v>60</v>
      </c>
      <c r="D5" s="21" t="s">
        <v>61</v>
      </c>
      <c r="E5" s="21" t="s">
        <v>62</v>
      </c>
      <c r="F5" s="21" t="s">
        <v>63</v>
      </c>
      <c r="G5" s="21" t="s">
        <v>64</v>
      </c>
      <c r="H5" s="21" t="s">
        <v>65</v>
      </c>
      <c r="I5" s="21" t="s">
        <v>66</v>
      </c>
      <c r="J5" s="21" t="s">
        <v>67</v>
      </c>
      <c r="K5" s="21" t="s">
        <v>68</v>
      </c>
      <c r="L5" s="21" t="s">
        <v>69</v>
      </c>
      <c r="M5" s="21" t="s">
        <v>70</v>
      </c>
      <c r="N5" s="21" t="s">
        <v>71</v>
      </c>
      <c r="O5" s="21" t="s">
        <v>72</v>
      </c>
      <c r="P5" s="21" t="s">
        <v>73</v>
      </c>
      <c r="Q5" s="21" t="s">
        <v>74</v>
      </c>
      <c r="R5" s="21" t="s">
        <v>75</v>
      </c>
      <c r="S5" s="21" t="s">
        <v>76</v>
      </c>
      <c r="T5" s="21" t="s">
        <v>77</v>
      </c>
      <c r="U5" s="21" t="s">
        <v>78</v>
      </c>
      <c r="V5" s="21" t="s">
        <v>79</v>
      </c>
      <c r="W5" s="21" t="s">
        <v>80</v>
      </c>
      <c r="X5" s="21" t="s">
        <v>81</v>
      </c>
      <c r="Y5" s="21" t="s">
        <v>82</v>
      </c>
      <c r="Z5" s="21" t="s">
        <v>41</v>
      </c>
    </row>
    <row r="6" spans="1:26" ht="33">
      <c r="A6" s="8" t="s">
        <v>83</v>
      </c>
      <c r="B6" s="8" t="s">
        <v>84</v>
      </c>
      <c r="C6" s="22" t="s">
        <v>85</v>
      </c>
      <c r="D6" s="23">
        <v>4</v>
      </c>
      <c r="E6" s="23">
        <v>4</v>
      </c>
      <c r="F6" s="23">
        <v>5</v>
      </c>
      <c r="G6" s="23">
        <v>6</v>
      </c>
      <c r="H6" s="24" t="s">
        <v>86</v>
      </c>
      <c r="I6" s="23"/>
      <c r="J6" s="23"/>
      <c r="K6" s="23"/>
      <c r="L6" s="25">
        <f>IF($H6="直近実績横ばい",$G6,IF($H6="直近2年平均",ROUND(AVERAGE($F6:$G6),0),IF($H6="直近3年平均",ROUND(AVERAGE($E6:$G6),0),IF($H6="線形トレンド",MAX(0,ROUND($G6+1*($G6-$D6)/3,0)),IF($H6="人口比率型",IFERROR(ROUND($G6/人口基礎データ!$F$13*人口基礎データ!$G$13,0),$G6),IF($H6="政策調整",IF($I6="",$G6,$I6),$G6))))))</f>
        <v>7</v>
      </c>
      <c r="M6" s="25">
        <f>IF($H6="直近実績横ばい",$G6,IF($H6="直近2年平均",ROUND(AVERAGE($F6:$G6),0),IF($H6="直近3年平均",ROUND(AVERAGE($E6:$G6),0),IF($H6="線形トレンド",MAX(0,ROUND($G6+2*($G6-$D6)/3,0)),IF($H6="人口比率型",IFERROR(ROUND($G6/人口基礎データ!$F$13*人口基礎データ!$H$13,0),$G6),IF($H6="政策調整",IF($J6="",$G6,$J6),$G6))))))</f>
        <v>7</v>
      </c>
      <c r="N6" s="25">
        <f>IF($H6="直近実績横ばい",$G6,IF($H6="直近2年平均",ROUND(AVERAGE($F6:$G6),0),IF($H6="直近3年平均",ROUND(AVERAGE($E6:$G6),0),IF($H6="線形トレンド",MAX(0,ROUND($G6+3*($G6-$D6)/3,0)),IF($H6="人口比率型",IFERROR(ROUND($G6/人口基礎データ!$F$13*人口基礎データ!$I$13,0),$G6),IF($H6="政策調整",IF($K6="",$G6,$K6),$G6))))))</f>
        <v>8</v>
      </c>
      <c r="O6" s="23">
        <v>26</v>
      </c>
      <c r="P6" s="23">
        <v>29</v>
      </c>
      <c r="Q6" s="23">
        <v>113</v>
      </c>
      <c r="R6" s="23">
        <v>38</v>
      </c>
      <c r="S6" s="24" t="s">
        <v>87</v>
      </c>
      <c r="T6" s="23"/>
      <c r="U6" s="23"/>
      <c r="V6" s="23"/>
      <c r="W6" s="25">
        <f t="shared" ref="W6:W27" si="0">IF($S6="-","-",IF($S6="直近実績横ばい",$R6,IF($S6="直近2年平均",ROUND(AVERAGE($Q6:$R6),0),IF($S6="利用者数連動",IFERROR(ROUND($L6*(($Q6+$R6)/($F6+$G6)),0),0),IF($S6="政策調整",IF($T6="","",$T6),"")))))</f>
        <v>96</v>
      </c>
      <c r="X6" s="25">
        <f t="shared" ref="X6:X27" si="1">IF($S6="-","-",IF($S6="直近実績横ばい",$R6,IF($S6="直近2年平均",ROUND(AVERAGE($Q6:$R6),0),IF($S6="利用者数連動",IFERROR(ROUND($M6*(($Q6+$R6)/($F6+$G6)),0),0),IF($S6="政策調整",IF($U6="","",$U6),"")))))</f>
        <v>96</v>
      </c>
      <c r="Y6" s="25">
        <f t="shared" ref="Y6:Y27" si="2">IF($S6="-","-",IF($S6="直近実績横ばい",$R6,IF($S6="直近2年平均",ROUND(AVERAGE($Q6:$R6),0),IF($S6="利用者数連動",IFERROR(ROUND($N6*(($Q6+$R6)/($F6+$G6)),0),0),IF($S6="政策調整",IF($V6="","",$V6),"")))))</f>
        <v>110</v>
      </c>
      <c r="Z6" s="24" t="s">
        <v>88</v>
      </c>
    </row>
    <row r="7" spans="1:26" ht="16.5">
      <c r="A7" s="3" t="s">
        <v>83</v>
      </c>
      <c r="B7" s="3" t="s">
        <v>89</v>
      </c>
      <c r="C7" s="26" t="s">
        <v>85</v>
      </c>
      <c r="D7" s="27">
        <v>0</v>
      </c>
      <c r="E7" s="27">
        <v>0</v>
      </c>
      <c r="F7" s="27">
        <v>0</v>
      </c>
      <c r="G7" s="27">
        <v>1</v>
      </c>
      <c r="H7" s="26" t="s">
        <v>90</v>
      </c>
      <c r="I7" s="28"/>
      <c r="J7" s="28"/>
      <c r="K7" s="28"/>
      <c r="L7" s="29">
        <f>IF($H7="直近実績横ばい",$G7,IF($H7="直近2年平均",ROUND(AVERAGE($F7:$G7),0),IF($H7="直近3年平均",ROUND(AVERAGE($E7:$G7),0),IF($H7="線形トレンド",MAX(0,ROUND($G7+1*($G7-$D7)/3,0)),IF($H7="人口比率型",IFERROR(ROUND($G7/人口基礎データ!$F$13*人口基礎データ!$G$13,0),$G7),IF($H7="政策調整",IF($I7="",$G7,$I7),$G7))))))</f>
        <v>1</v>
      </c>
      <c r="M7" s="29">
        <f>IF($H7="直近実績横ばい",$G7,IF($H7="直近2年平均",ROUND(AVERAGE($F7:$G7),0),IF($H7="直近3年平均",ROUND(AVERAGE($E7:$G7),0),IF($H7="線形トレンド",MAX(0,ROUND($G7+2*($G7-$D7)/3,0)),IF($H7="人口比率型",IFERROR(ROUND($G7/人口基礎データ!$F$13*人口基礎データ!$H$13,0),$G7),IF($H7="政策調整",IF($J7="",$G7,$J7),$G7))))))</f>
        <v>1</v>
      </c>
      <c r="N7" s="29">
        <f>IF($H7="直近実績横ばい",$G7,IF($H7="直近2年平均",ROUND(AVERAGE($F7:$G7),0),IF($H7="直近3年平均",ROUND(AVERAGE($E7:$G7),0),IF($H7="線形トレンド",MAX(0,ROUND($G7+3*($G7-$D7)/3,0)),IF($H7="人口比率型",IFERROR(ROUND($G7/人口基礎データ!$F$13*人口基礎データ!$I$13,0),$G7),IF($H7="政策調整",IF($K7="",$G7,$K7),$G7))))))</f>
        <v>1</v>
      </c>
      <c r="O7" s="27">
        <v>0</v>
      </c>
      <c r="P7" s="27">
        <v>0</v>
      </c>
      <c r="Q7" s="27">
        <v>4</v>
      </c>
      <c r="R7" s="27">
        <v>16</v>
      </c>
      <c r="S7" s="26" t="s">
        <v>87</v>
      </c>
      <c r="T7" s="28"/>
      <c r="U7" s="28"/>
      <c r="V7" s="28"/>
      <c r="W7" s="29">
        <f t="shared" si="0"/>
        <v>20</v>
      </c>
      <c r="X7" s="29">
        <f t="shared" si="1"/>
        <v>20</v>
      </c>
      <c r="Y7" s="29">
        <f t="shared" si="2"/>
        <v>20</v>
      </c>
      <c r="Z7" s="26" t="s">
        <v>91</v>
      </c>
    </row>
    <row r="8" spans="1:26" ht="16.5">
      <c r="A8" s="3" t="s">
        <v>83</v>
      </c>
      <c r="B8" s="3" t="s">
        <v>92</v>
      </c>
      <c r="C8" s="26" t="s">
        <v>85</v>
      </c>
      <c r="D8" s="27">
        <v>0</v>
      </c>
      <c r="E8" s="27">
        <v>0</v>
      </c>
      <c r="F8" s="27">
        <v>0</v>
      </c>
      <c r="G8" s="27">
        <v>0</v>
      </c>
      <c r="H8" s="26" t="s">
        <v>90</v>
      </c>
      <c r="I8" s="28"/>
      <c r="J8" s="28"/>
      <c r="K8" s="28"/>
      <c r="L8" s="29">
        <f>IF($H8="直近実績横ばい",$G8,IF($H8="直近2年平均",ROUND(AVERAGE($F8:$G8),0),IF($H8="直近3年平均",ROUND(AVERAGE($E8:$G8),0),IF($H8="線形トレンド",MAX(0,ROUND($G8+1*($G8-$D8)/3,0)),IF($H8="人口比率型",IFERROR(ROUND($G8/人口基礎データ!$F$13*人口基礎データ!$G$13,0),$G8),IF($H8="政策調整",IF($I8="",$G8,$I8),$G8))))))</f>
        <v>0</v>
      </c>
      <c r="M8" s="29">
        <f>IF($H8="直近実績横ばい",$G8,IF($H8="直近2年平均",ROUND(AVERAGE($F8:$G8),0),IF($H8="直近3年平均",ROUND(AVERAGE($E8:$G8),0),IF($H8="線形トレンド",MAX(0,ROUND($G8+2*($G8-$D8)/3,0)),IF($H8="人口比率型",IFERROR(ROUND($G8/人口基礎データ!$F$13*人口基礎データ!$H$13,0),$G8),IF($H8="政策調整",IF($J8="",$G8,$J8),$G8))))))</f>
        <v>0</v>
      </c>
      <c r="N8" s="29">
        <f>IF($H8="直近実績横ばい",$G8,IF($H8="直近2年平均",ROUND(AVERAGE($F8:$G8),0),IF($H8="直近3年平均",ROUND(AVERAGE($E8:$G8),0),IF($H8="線形トレンド",MAX(0,ROUND($G8+3*($G8-$D8)/3,0)),IF($H8="人口比率型",IFERROR(ROUND($G8/人口基礎データ!$F$13*人口基礎データ!$I$13,0),$G8),IF($H8="政策調整",IF($K8="",$G8,$K8),$G8))))))</f>
        <v>0</v>
      </c>
      <c r="O8" s="27">
        <v>0</v>
      </c>
      <c r="P8" s="27">
        <v>0</v>
      </c>
      <c r="Q8" s="27">
        <v>0</v>
      </c>
      <c r="R8" s="27">
        <v>0</v>
      </c>
      <c r="S8" s="26" t="s">
        <v>90</v>
      </c>
      <c r="T8" s="28"/>
      <c r="U8" s="28"/>
      <c r="V8" s="28"/>
      <c r="W8" s="29">
        <f t="shared" si="0"/>
        <v>0</v>
      </c>
      <c r="X8" s="29">
        <f t="shared" si="1"/>
        <v>0</v>
      </c>
      <c r="Y8" s="29">
        <f t="shared" si="2"/>
        <v>0</v>
      </c>
      <c r="Z8" s="26" t="s">
        <v>93</v>
      </c>
    </row>
    <row r="9" spans="1:26" ht="33">
      <c r="A9" s="3" t="s">
        <v>83</v>
      </c>
      <c r="B9" s="3" t="s">
        <v>94</v>
      </c>
      <c r="C9" s="26" t="s">
        <v>85</v>
      </c>
      <c r="D9" s="27">
        <v>0</v>
      </c>
      <c r="E9" s="27">
        <v>0</v>
      </c>
      <c r="F9" s="27">
        <v>0</v>
      </c>
      <c r="G9" s="27">
        <v>0</v>
      </c>
      <c r="H9" s="26" t="s">
        <v>90</v>
      </c>
      <c r="I9" s="28"/>
      <c r="J9" s="28"/>
      <c r="K9" s="28"/>
      <c r="L9" s="29">
        <f>IF($H9="直近実績横ばい",$G9,IF($H9="直近2年平均",ROUND(AVERAGE($F9:$G9),0),IF($H9="直近3年平均",ROUND(AVERAGE($E9:$G9),0),IF($H9="線形トレンド",MAX(0,ROUND($G9+1*($G9-$D9)/3,0)),IF($H9="人口比率型",IFERROR(ROUND($G9/人口基礎データ!$F$13*人口基礎データ!$G$13,0),$G9),IF($H9="政策調整",IF($I9="",$G9,$I9),$G9))))))</f>
        <v>0</v>
      </c>
      <c r="M9" s="29">
        <f>IF($H9="直近実績横ばい",$G9,IF($H9="直近2年平均",ROUND(AVERAGE($F9:$G9),0),IF($H9="直近3年平均",ROUND(AVERAGE($E9:$G9),0),IF($H9="線形トレンド",MAX(0,ROUND($G9+2*($G9-$D9)/3,0)),IF($H9="人口比率型",IFERROR(ROUND($G9/人口基礎データ!$F$13*人口基礎データ!$H$13,0),$G9),IF($H9="政策調整",IF($J9="",$G9,$J9),$G9))))))</f>
        <v>0</v>
      </c>
      <c r="N9" s="29">
        <f>IF($H9="直近実績横ばい",$G9,IF($H9="直近2年平均",ROUND(AVERAGE($F9:$G9),0),IF($H9="直近3年平均",ROUND(AVERAGE($E9:$G9),0),IF($H9="線形トレンド",MAX(0,ROUND($G9+3*($G9-$D9)/3,0)),IF($H9="人口比率型",IFERROR(ROUND($G9/人口基礎データ!$F$13*人口基礎データ!$I$13,0),$G9),IF($H9="政策調整",IF($K9="",$G9,$K9),$G9))))))</f>
        <v>0</v>
      </c>
      <c r="O9" s="27">
        <v>0</v>
      </c>
      <c r="P9" s="27">
        <v>0</v>
      </c>
      <c r="Q9" s="27">
        <v>0</v>
      </c>
      <c r="R9" s="27">
        <v>0</v>
      </c>
      <c r="S9" s="26" t="s">
        <v>90</v>
      </c>
      <c r="T9" s="28"/>
      <c r="U9" s="28"/>
      <c r="V9" s="28"/>
      <c r="W9" s="29">
        <f t="shared" si="0"/>
        <v>0</v>
      </c>
      <c r="X9" s="29">
        <f t="shared" si="1"/>
        <v>0</v>
      </c>
      <c r="Y9" s="29">
        <f t="shared" si="2"/>
        <v>0</v>
      </c>
      <c r="Z9" s="26" t="s">
        <v>95</v>
      </c>
    </row>
    <row r="10" spans="1:26" ht="16.5">
      <c r="A10" s="3" t="s">
        <v>83</v>
      </c>
      <c r="B10" s="3" t="s">
        <v>96</v>
      </c>
      <c r="C10" s="26" t="s">
        <v>85</v>
      </c>
      <c r="D10" s="27">
        <v>0</v>
      </c>
      <c r="E10" s="27">
        <v>0</v>
      </c>
      <c r="F10" s="27">
        <v>0</v>
      </c>
      <c r="G10" s="27">
        <v>0</v>
      </c>
      <c r="H10" s="26" t="s">
        <v>90</v>
      </c>
      <c r="I10" s="28"/>
      <c r="J10" s="28"/>
      <c r="K10" s="28"/>
      <c r="L10" s="29">
        <f>IF($H10="直近実績横ばい",$G10,IF($H10="直近2年平均",ROUND(AVERAGE($F10:$G10),0),IF($H10="直近3年平均",ROUND(AVERAGE($E10:$G10),0),IF($H10="線形トレンド",MAX(0,ROUND($G10+1*($G10-$D10)/3,0)),IF($H10="人口比率型",IFERROR(ROUND($G10/人口基礎データ!$F$13*人口基礎データ!$G$13,0),$G10),IF($H10="政策調整",IF($I10="",$G10,$I10),$G10))))))</f>
        <v>0</v>
      </c>
      <c r="M10" s="29">
        <f>IF($H10="直近実績横ばい",$G10,IF($H10="直近2年平均",ROUND(AVERAGE($F10:$G10),0),IF($H10="直近3年平均",ROUND(AVERAGE($E10:$G10),0),IF($H10="線形トレンド",MAX(0,ROUND($G10+2*($G10-$D10)/3,0)),IF($H10="人口比率型",IFERROR(ROUND($G10/人口基礎データ!$F$13*人口基礎データ!$H$13,0),$G10),IF($H10="政策調整",IF($J10="",$G10,$J10),$G10))))))</f>
        <v>0</v>
      </c>
      <c r="N10" s="29">
        <f>IF($H10="直近実績横ばい",$G10,IF($H10="直近2年平均",ROUND(AVERAGE($F10:$G10),0),IF($H10="直近3年平均",ROUND(AVERAGE($E10:$G10),0),IF($H10="線形トレンド",MAX(0,ROUND($G10+3*($G10-$D10)/3,0)),IF($H10="人口比率型",IFERROR(ROUND($G10/人口基礎データ!$F$13*人口基礎データ!$I$13,0),$G10),IF($H10="政策調整",IF($K10="",$G10,$K10),$G10))))))</f>
        <v>0</v>
      </c>
      <c r="O10" s="27">
        <v>0</v>
      </c>
      <c r="P10" s="27">
        <v>0</v>
      </c>
      <c r="Q10" s="27">
        <v>0</v>
      </c>
      <c r="R10" s="27">
        <v>0</v>
      </c>
      <c r="S10" s="26" t="s">
        <v>90</v>
      </c>
      <c r="T10" s="28"/>
      <c r="U10" s="28"/>
      <c r="V10" s="28"/>
      <c r="W10" s="29">
        <f t="shared" si="0"/>
        <v>0</v>
      </c>
      <c r="X10" s="29">
        <f t="shared" si="1"/>
        <v>0</v>
      </c>
      <c r="Y10" s="29">
        <f t="shared" si="2"/>
        <v>0</v>
      </c>
      <c r="Z10" s="26" t="s">
        <v>97</v>
      </c>
    </row>
    <row r="11" spans="1:26" ht="33">
      <c r="A11" s="8" t="s">
        <v>98</v>
      </c>
      <c r="B11" s="8" t="s">
        <v>99</v>
      </c>
      <c r="C11" s="22" t="s">
        <v>100</v>
      </c>
      <c r="D11" s="23">
        <v>31</v>
      </c>
      <c r="E11" s="23">
        <v>30</v>
      </c>
      <c r="F11" s="23">
        <v>32</v>
      </c>
      <c r="G11" s="23">
        <v>30</v>
      </c>
      <c r="H11" s="24" t="s">
        <v>101</v>
      </c>
      <c r="I11" s="23"/>
      <c r="J11" s="23"/>
      <c r="K11" s="23"/>
      <c r="L11" s="25">
        <f>IF($H11="直近実績横ばい",$G11,IF($H11="直近2年平均",ROUND(AVERAGE($F11:$G11),0),IF($H11="直近3年平均",ROUND(AVERAGE($E11:$G11),0),IF($H11="線形トレンド",MAX(0,ROUND($G11+1*($G11-$D11)/3,0)),IF($H11="人口比率型",IFERROR(ROUND($G11/人口基礎データ!$F$13*人口基礎データ!$G$13,0),$G11),IF($H11="政策調整",IF($I11="",$G11,$I11),$G11))))))</f>
        <v>31</v>
      </c>
      <c r="M11" s="25">
        <f>IF($H11="直近実績横ばい",$G11,IF($H11="直近2年平均",ROUND(AVERAGE($F11:$G11),0),IF($H11="直近3年平均",ROUND(AVERAGE($E11:$G11),0),IF($H11="線形トレンド",MAX(0,ROUND($G11+2*($G11-$D11)/3,0)),IF($H11="人口比率型",IFERROR(ROUND($G11/人口基礎データ!$F$13*人口基礎データ!$H$13,0),$G11),IF($H11="政策調整",IF($J11="",$G11,$J11),$G11))))))</f>
        <v>31</v>
      </c>
      <c r="N11" s="25">
        <f>IF($H11="直近実績横ばい",$G11,IF($H11="直近2年平均",ROUND(AVERAGE($F11:$G11),0),IF($H11="直近3年平均",ROUND(AVERAGE($E11:$G11),0),IF($H11="線形トレンド",MAX(0,ROUND($G11+3*($G11-$D11)/3,0)),IF($H11="人口比率型",IFERROR(ROUND($G11/人口基礎データ!$F$13*人口基礎データ!$I$13,0),$G11),IF($H11="政策調整",IF($K11="",$G11,$K11),$G11))))))</f>
        <v>31</v>
      </c>
      <c r="O11" s="23">
        <v>589</v>
      </c>
      <c r="P11" s="23">
        <v>688</v>
      </c>
      <c r="Q11" s="23">
        <v>689</v>
      </c>
      <c r="R11" s="23">
        <v>568</v>
      </c>
      <c r="S11" s="24" t="s">
        <v>87</v>
      </c>
      <c r="T11" s="23"/>
      <c r="U11" s="23"/>
      <c r="V11" s="23"/>
      <c r="W11" s="25">
        <f t="shared" si="0"/>
        <v>629</v>
      </c>
      <c r="X11" s="25">
        <f t="shared" si="1"/>
        <v>629</v>
      </c>
      <c r="Y11" s="25">
        <f t="shared" si="2"/>
        <v>629</v>
      </c>
      <c r="Z11" s="24" t="s">
        <v>102</v>
      </c>
    </row>
    <row r="12" spans="1:26" ht="16.5">
      <c r="A12" s="3" t="s">
        <v>98</v>
      </c>
      <c r="B12" s="3" t="s">
        <v>103</v>
      </c>
      <c r="C12" s="26" t="s">
        <v>100</v>
      </c>
      <c r="D12" s="27">
        <v>0</v>
      </c>
      <c r="E12" s="27">
        <v>0</v>
      </c>
      <c r="F12" s="27">
        <v>0</v>
      </c>
      <c r="G12" s="27">
        <v>0</v>
      </c>
      <c r="H12" s="26" t="s">
        <v>90</v>
      </c>
      <c r="I12" s="28"/>
      <c r="J12" s="28"/>
      <c r="K12" s="28"/>
      <c r="L12" s="29">
        <f>IF($H12="直近実績横ばい",$G12,IF($H12="直近2年平均",ROUND(AVERAGE($F12:$G12),0),IF($H12="直近3年平均",ROUND(AVERAGE($E12:$G12),0),IF($H12="線形トレンド",MAX(0,ROUND($G12+1*($G12-$D12)/3,0)),IF($H12="人口比率型",IFERROR(ROUND($G12/人口基礎データ!$F$13*人口基礎データ!$G$13,0),$G12),IF($H12="政策調整",IF($I12="",$G12,$I12),$G12))))))</f>
        <v>0</v>
      </c>
      <c r="M12" s="29">
        <f>IF($H12="直近実績横ばい",$G12,IF($H12="直近2年平均",ROUND(AVERAGE($F12:$G12),0),IF($H12="直近3年平均",ROUND(AVERAGE($E12:$G12),0),IF($H12="線形トレンド",MAX(0,ROUND($G12+2*($G12-$D12)/3,0)),IF($H12="人口比率型",IFERROR(ROUND($G12/人口基礎データ!$F$13*人口基礎データ!$H$13,0),$G12),IF($H12="政策調整",IF($J12="",$G12,$J12),$G12))))))</f>
        <v>0</v>
      </c>
      <c r="N12" s="29">
        <f>IF($H12="直近実績横ばい",$G12,IF($H12="直近2年平均",ROUND(AVERAGE($F12:$G12),0),IF($H12="直近3年平均",ROUND(AVERAGE($E12:$G12),0),IF($H12="線形トレンド",MAX(0,ROUND($G12+3*($G12-$D12)/3,0)),IF($H12="人口比率型",IFERROR(ROUND($G12/人口基礎データ!$F$13*人口基礎データ!$I$13,0),$G12),IF($H12="政策調整",IF($K12="",$G12,$K12),$G12))))))</f>
        <v>0</v>
      </c>
      <c r="O12" s="27">
        <v>0</v>
      </c>
      <c r="P12" s="27">
        <v>0</v>
      </c>
      <c r="Q12" s="27">
        <v>0</v>
      </c>
      <c r="R12" s="27">
        <v>0</v>
      </c>
      <c r="S12" s="26" t="s">
        <v>90</v>
      </c>
      <c r="T12" s="28"/>
      <c r="U12" s="28"/>
      <c r="V12" s="28"/>
      <c r="W12" s="29">
        <f t="shared" si="0"/>
        <v>0</v>
      </c>
      <c r="X12" s="29">
        <f t="shared" si="1"/>
        <v>0</v>
      </c>
      <c r="Y12" s="29">
        <f t="shared" si="2"/>
        <v>0</v>
      </c>
      <c r="Z12" s="26" t="s">
        <v>104</v>
      </c>
    </row>
    <row r="13" spans="1:26" ht="16.5">
      <c r="A13" s="3" t="s">
        <v>98</v>
      </c>
      <c r="B13" s="3" t="s">
        <v>105</v>
      </c>
      <c r="C13" s="26" t="s">
        <v>100</v>
      </c>
      <c r="D13" s="27">
        <v>1</v>
      </c>
      <c r="E13" s="27">
        <v>5</v>
      </c>
      <c r="F13" s="27">
        <v>4</v>
      </c>
      <c r="G13" s="27">
        <v>2</v>
      </c>
      <c r="H13" s="26" t="s">
        <v>106</v>
      </c>
      <c r="I13" s="28"/>
      <c r="J13" s="28"/>
      <c r="K13" s="28"/>
      <c r="L13" s="29">
        <f>IF($H13="直近実績横ばい",$G13,IF($H13="直近2年平均",ROUND(AVERAGE($F13:$G13),0),IF($H13="直近3年平均",ROUND(AVERAGE($E13:$G13),0),IF($H13="線形トレンド",MAX(0,ROUND($G13+1*($G13-$D13)/3,0)),IF($H13="人口比率型",IFERROR(ROUND($G13/人口基礎データ!$F$13*人口基礎データ!$G$13,0),$G13),IF($H13="政策調整",IF($I13="",$G13,$I13),$G13))))))</f>
        <v>3</v>
      </c>
      <c r="M13" s="29">
        <f>IF($H13="直近実績横ばい",$G13,IF($H13="直近2年平均",ROUND(AVERAGE($F13:$G13),0),IF($H13="直近3年平均",ROUND(AVERAGE($E13:$G13),0),IF($H13="線形トレンド",MAX(0,ROUND($G13+2*($G13-$D13)/3,0)),IF($H13="人口比率型",IFERROR(ROUND($G13/人口基礎データ!$F$13*人口基礎データ!$H$13,0),$G13),IF($H13="政策調整",IF($J13="",$G13,$J13),$G13))))))</f>
        <v>3</v>
      </c>
      <c r="N13" s="29">
        <f>IF($H13="直近実績横ばい",$G13,IF($H13="直近2年平均",ROUND(AVERAGE($F13:$G13),0),IF($H13="直近3年平均",ROUND(AVERAGE($E13:$G13),0),IF($H13="線形トレンド",MAX(0,ROUND($G13+3*($G13-$D13)/3,0)),IF($H13="人口比率型",IFERROR(ROUND($G13/人口基礎データ!$F$13*人口基礎データ!$I$13,0),$G13),IF($H13="政策調整",IF($K13="",$G13,$K13),$G13))))))</f>
        <v>3</v>
      </c>
      <c r="O13" s="27">
        <v>30</v>
      </c>
      <c r="P13" s="27">
        <v>97</v>
      </c>
      <c r="Q13" s="27">
        <v>70</v>
      </c>
      <c r="R13" s="27">
        <v>39</v>
      </c>
      <c r="S13" s="26" t="s">
        <v>87</v>
      </c>
      <c r="T13" s="28"/>
      <c r="U13" s="28"/>
      <c r="V13" s="28"/>
      <c r="W13" s="29">
        <f t="shared" si="0"/>
        <v>55</v>
      </c>
      <c r="X13" s="29">
        <f t="shared" si="1"/>
        <v>55</v>
      </c>
      <c r="Y13" s="29">
        <f t="shared" si="2"/>
        <v>55</v>
      </c>
      <c r="Z13" s="26" t="s">
        <v>107</v>
      </c>
    </row>
    <row r="14" spans="1:26" ht="33">
      <c r="A14" s="3" t="s">
        <v>98</v>
      </c>
      <c r="B14" s="3" t="s">
        <v>108</v>
      </c>
      <c r="C14" s="26" t="s">
        <v>109</v>
      </c>
      <c r="D14" s="27" t="s">
        <v>109</v>
      </c>
      <c r="E14" s="27" t="s">
        <v>109</v>
      </c>
      <c r="F14" s="27">
        <v>0</v>
      </c>
      <c r="G14" s="27">
        <v>0</v>
      </c>
      <c r="H14" s="26" t="s">
        <v>110</v>
      </c>
      <c r="I14" s="28">
        <v>1</v>
      </c>
      <c r="J14" s="28">
        <v>1</v>
      </c>
      <c r="K14" s="28">
        <v>1</v>
      </c>
      <c r="L14" s="29">
        <f>IF($H14="直近実績横ばい",$G14,IF($H14="直近2年平均",ROUND(AVERAGE($F14:$G14),0),IF($H14="直近3年平均",ROUND(AVERAGE($E14:$G14),0),IF($H14="線形トレンド",MAX(0,ROUND($G14+1*($G14-$D14)/3,0)),IF($H14="人口比率型",IFERROR(ROUND($G14/人口基礎データ!$F$13*人口基礎データ!$G$13,0),$G14),IF($H14="政策調整",IF($I14="",$G14,$I14),$G14))))))</f>
        <v>1</v>
      </c>
      <c r="M14" s="29">
        <f>IF($H14="直近実績横ばい",$G14,IF($H14="直近2年平均",ROUND(AVERAGE($F14:$G14),0),IF($H14="直近3年平均",ROUND(AVERAGE($E14:$G14),0),IF($H14="線形トレンド",MAX(0,ROUND($G14+2*($G14-$D14)/3,0)),IF($H14="人口比率型",IFERROR(ROUND($G14/人口基礎データ!$F$13*人口基礎データ!$H$13,0),$G14),IF($H14="政策調整",IF($J14="",$G14,$J14),$G14))))))</f>
        <v>1</v>
      </c>
      <c r="N14" s="29">
        <f>IF($H14="直近実績横ばい",$G14,IF($H14="直近2年平均",ROUND(AVERAGE($F14:$G14),0),IF($H14="直近3年平均",ROUND(AVERAGE($E14:$G14),0),IF($H14="線形トレンド",MAX(0,ROUND($G14+3*($G14-$D14)/3,0)),IF($H14="人口比率型",IFERROR(ROUND($G14/人口基礎データ!$F$13*人口基礎データ!$I$13,0),$G14),IF($H14="政策調整",IF($K14="",$G14,$K14),$G14))))))</f>
        <v>1</v>
      </c>
      <c r="O14" s="27" t="s">
        <v>109</v>
      </c>
      <c r="P14" s="27" t="s">
        <v>109</v>
      </c>
      <c r="Q14" s="27">
        <v>0</v>
      </c>
      <c r="R14" s="27">
        <v>0</v>
      </c>
      <c r="S14" s="26" t="s">
        <v>109</v>
      </c>
      <c r="T14" s="28"/>
      <c r="U14" s="28"/>
      <c r="V14" s="28"/>
      <c r="W14" s="29" t="str">
        <f t="shared" si="0"/>
        <v>-</v>
      </c>
      <c r="X14" s="29" t="str">
        <f t="shared" si="1"/>
        <v>-</v>
      </c>
      <c r="Y14" s="29" t="str">
        <f t="shared" si="2"/>
        <v>-</v>
      </c>
      <c r="Z14" s="26" t="s">
        <v>111</v>
      </c>
    </row>
    <row r="15" spans="1:26" ht="33">
      <c r="A15" s="3" t="s">
        <v>98</v>
      </c>
      <c r="B15" s="3" t="s">
        <v>112</v>
      </c>
      <c r="C15" s="26" t="s">
        <v>100</v>
      </c>
      <c r="D15" s="27">
        <v>3</v>
      </c>
      <c r="E15" s="27">
        <v>1</v>
      </c>
      <c r="F15" s="27">
        <v>2</v>
      </c>
      <c r="G15" s="27">
        <v>0</v>
      </c>
      <c r="H15" s="26" t="s">
        <v>110</v>
      </c>
      <c r="I15" s="28">
        <v>1</v>
      </c>
      <c r="J15" s="28">
        <v>1</v>
      </c>
      <c r="K15" s="28">
        <v>1</v>
      </c>
      <c r="L15" s="29">
        <f>IF($H15="直近実績横ばい",$G15,IF($H15="直近2年平均",ROUND(AVERAGE($F15:$G15),0),IF($H15="直近3年平均",ROUND(AVERAGE($E15:$G15),0),IF($H15="線形トレンド",MAX(0,ROUND($G15+1*($G15-$D15)/3,0)),IF($H15="人口比率型",IFERROR(ROUND($G15/人口基礎データ!$F$13*人口基礎データ!$G$13,0),$G15),IF($H15="政策調整",IF($I15="",$G15,$I15),$G15))))))</f>
        <v>1</v>
      </c>
      <c r="M15" s="29">
        <f>IF($H15="直近実績横ばい",$G15,IF($H15="直近2年平均",ROUND(AVERAGE($F15:$G15),0),IF($H15="直近3年平均",ROUND(AVERAGE($E15:$G15),0),IF($H15="線形トレンド",MAX(0,ROUND($G15+2*($G15-$D15)/3,0)),IF($H15="人口比率型",IFERROR(ROUND($G15/人口基礎データ!$F$13*人口基礎データ!$H$13,0),$G15),IF($H15="政策調整",IF($J15="",$G15,$J15),$G15))))))</f>
        <v>1</v>
      </c>
      <c r="N15" s="29">
        <f>IF($H15="直近実績横ばい",$G15,IF($H15="直近2年平均",ROUND(AVERAGE($F15:$G15),0),IF($H15="直近3年平均",ROUND(AVERAGE($E15:$G15),0),IF($H15="線形トレンド",MAX(0,ROUND($G15+3*($G15-$D15)/3,0)),IF($H15="人口比率型",IFERROR(ROUND($G15/人口基礎データ!$F$13*人口基礎データ!$I$13,0),$G15),IF($H15="政策調整",IF($K15="",$G15,$K15),$G15))))))</f>
        <v>1</v>
      </c>
      <c r="O15" s="27">
        <v>48</v>
      </c>
      <c r="P15" s="27">
        <v>21</v>
      </c>
      <c r="Q15" s="27">
        <v>29</v>
      </c>
      <c r="R15" s="27">
        <v>0</v>
      </c>
      <c r="S15" s="26" t="s">
        <v>110</v>
      </c>
      <c r="T15" s="28">
        <v>15</v>
      </c>
      <c r="U15" s="28">
        <v>15</v>
      </c>
      <c r="V15" s="28">
        <v>15</v>
      </c>
      <c r="W15" s="29">
        <f t="shared" si="0"/>
        <v>15</v>
      </c>
      <c r="X15" s="29">
        <f t="shared" si="1"/>
        <v>15</v>
      </c>
      <c r="Y15" s="29">
        <f t="shared" si="2"/>
        <v>15</v>
      </c>
      <c r="Z15" s="26" t="s">
        <v>113</v>
      </c>
    </row>
    <row r="16" spans="1:26" ht="16.5">
      <c r="A16" s="3" t="s">
        <v>98</v>
      </c>
      <c r="B16" s="3" t="s">
        <v>114</v>
      </c>
      <c r="C16" s="26" t="s">
        <v>100</v>
      </c>
      <c r="D16" s="27">
        <v>5</v>
      </c>
      <c r="E16" s="27">
        <v>8</v>
      </c>
      <c r="F16" s="27">
        <v>9</v>
      </c>
      <c r="G16" s="27">
        <v>11</v>
      </c>
      <c r="H16" s="26" t="s">
        <v>86</v>
      </c>
      <c r="I16" s="28"/>
      <c r="J16" s="28"/>
      <c r="K16" s="28"/>
      <c r="L16" s="29">
        <f>IF($H16="直近実績横ばい",$G16,IF($H16="直近2年平均",ROUND(AVERAGE($F16:$G16),0),IF($H16="直近3年平均",ROUND(AVERAGE($E16:$G16),0),IF($H16="線形トレンド",MAX(0,ROUND($G16+1*($G16-$D16)/3,0)),IF($H16="人口比率型",IFERROR(ROUND($G16/人口基礎データ!$F$13*人口基礎データ!$G$13,0),$G16),IF($H16="政策調整",IF($I16="",$G16,$I16),$G16))))))</f>
        <v>13</v>
      </c>
      <c r="M16" s="29">
        <f>IF($H16="直近実績横ばい",$G16,IF($H16="直近2年平均",ROUND(AVERAGE($F16:$G16),0),IF($H16="直近3年平均",ROUND(AVERAGE($E16:$G16),0),IF($H16="線形トレンド",MAX(0,ROUND($G16+2*($G16-$D16)/3,0)),IF($H16="人口比率型",IFERROR(ROUND($G16/人口基礎データ!$F$13*人口基礎データ!$H$13,0),$G16),IF($H16="政策調整",IF($J16="",$G16,$J16),$G16))))))</f>
        <v>15</v>
      </c>
      <c r="N16" s="29">
        <f>IF($H16="直近実績横ばい",$G16,IF($H16="直近2年平均",ROUND(AVERAGE($F16:$G16),0),IF($H16="直近3年平均",ROUND(AVERAGE($E16:$G16),0),IF($H16="線形トレンド",MAX(0,ROUND($G16+3*($G16-$D16)/3,0)),IF($H16="人口比率型",IFERROR(ROUND($G16/人口基礎データ!$F$13*人口基礎データ!$I$13,0),$G16),IF($H16="政策調整",IF($K16="",$G16,$K16),$G16))))))</f>
        <v>17</v>
      </c>
      <c r="O16" s="27">
        <v>105</v>
      </c>
      <c r="P16" s="27">
        <v>163</v>
      </c>
      <c r="Q16" s="27">
        <v>188</v>
      </c>
      <c r="R16" s="27">
        <v>238</v>
      </c>
      <c r="S16" s="26" t="s">
        <v>87</v>
      </c>
      <c r="T16" s="28"/>
      <c r="U16" s="28"/>
      <c r="V16" s="28"/>
      <c r="W16" s="29">
        <f t="shared" si="0"/>
        <v>277</v>
      </c>
      <c r="X16" s="29">
        <f t="shared" si="1"/>
        <v>320</v>
      </c>
      <c r="Y16" s="29">
        <f t="shared" si="2"/>
        <v>362</v>
      </c>
      <c r="Z16" s="26" t="s">
        <v>115</v>
      </c>
    </row>
    <row r="17" spans="1:26" ht="16.5">
      <c r="A17" s="3" t="s">
        <v>98</v>
      </c>
      <c r="B17" s="3" t="s">
        <v>116</v>
      </c>
      <c r="C17" s="26" t="s">
        <v>100</v>
      </c>
      <c r="D17" s="27">
        <v>36</v>
      </c>
      <c r="E17" s="27">
        <v>33</v>
      </c>
      <c r="F17" s="27">
        <v>35</v>
      </c>
      <c r="G17" s="27">
        <v>36</v>
      </c>
      <c r="H17" s="26" t="s">
        <v>106</v>
      </c>
      <c r="I17" s="28"/>
      <c r="J17" s="28"/>
      <c r="K17" s="28"/>
      <c r="L17" s="29">
        <f>IF($H17="直近実績横ばい",$G17,IF($H17="直近2年平均",ROUND(AVERAGE($F17:$G17),0),IF($H17="直近3年平均",ROUND(AVERAGE($E17:$G17),0),IF($H17="線形トレンド",MAX(0,ROUND($G17+1*($G17-$D17)/3,0)),IF($H17="人口比率型",IFERROR(ROUND($G17/人口基礎データ!$F$13*人口基礎データ!$G$13,0),$G17),IF($H17="政策調整",IF($I17="",$G17,$I17),$G17))))))</f>
        <v>36</v>
      </c>
      <c r="M17" s="29">
        <f>IF($H17="直近実績横ばい",$G17,IF($H17="直近2年平均",ROUND(AVERAGE($F17:$G17),0),IF($H17="直近3年平均",ROUND(AVERAGE($E17:$G17),0),IF($H17="線形トレンド",MAX(0,ROUND($G17+2*($G17-$D17)/3,0)),IF($H17="人口比率型",IFERROR(ROUND($G17/人口基礎データ!$F$13*人口基礎データ!$H$13,0),$G17),IF($H17="政策調整",IF($J17="",$G17,$J17),$G17))))))</f>
        <v>36</v>
      </c>
      <c r="N17" s="29">
        <f>IF($H17="直近実績横ばい",$G17,IF($H17="直近2年平均",ROUND(AVERAGE($F17:$G17),0),IF($H17="直近3年平均",ROUND(AVERAGE($E17:$G17),0),IF($H17="線形トレンド",MAX(0,ROUND($G17+3*($G17-$D17)/3,0)),IF($H17="人口比率型",IFERROR(ROUND($G17/人口基礎データ!$F$13*人口基礎データ!$I$13,0),$G17),IF($H17="政策調整",IF($K17="",$G17,$K17),$G17))))))</f>
        <v>36</v>
      </c>
      <c r="O17" s="27">
        <v>653</v>
      </c>
      <c r="P17" s="27">
        <v>593</v>
      </c>
      <c r="Q17" s="27">
        <v>626</v>
      </c>
      <c r="R17" s="27">
        <v>664</v>
      </c>
      <c r="S17" s="26" t="s">
        <v>87</v>
      </c>
      <c r="T17" s="28"/>
      <c r="U17" s="28"/>
      <c r="V17" s="28"/>
      <c r="W17" s="29">
        <f t="shared" si="0"/>
        <v>654</v>
      </c>
      <c r="X17" s="29">
        <f t="shared" si="1"/>
        <v>654</v>
      </c>
      <c r="Y17" s="29">
        <f t="shared" si="2"/>
        <v>654</v>
      </c>
      <c r="Z17" s="26" t="s">
        <v>117</v>
      </c>
    </row>
    <row r="18" spans="1:26" ht="16.5">
      <c r="A18" s="3" t="s">
        <v>98</v>
      </c>
      <c r="B18" s="3" t="s">
        <v>118</v>
      </c>
      <c r="C18" s="26" t="s">
        <v>109</v>
      </c>
      <c r="D18" s="27">
        <v>0</v>
      </c>
      <c r="E18" s="27">
        <v>1</v>
      </c>
      <c r="F18" s="27">
        <v>0</v>
      </c>
      <c r="G18" s="27">
        <v>0</v>
      </c>
      <c r="H18" s="26" t="s">
        <v>110</v>
      </c>
      <c r="I18" s="28">
        <v>1</v>
      </c>
      <c r="J18" s="28">
        <v>1</v>
      </c>
      <c r="K18" s="28">
        <v>2</v>
      </c>
      <c r="L18" s="29">
        <f>IF($H18="直近実績横ばい",$G18,IF($H18="直近2年平均",ROUND(AVERAGE($F18:$G18),0),IF($H18="直近3年平均",ROUND(AVERAGE($E18:$G18),0),IF($H18="線形トレンド",MAX(0,ROUND($G18+1*($G18-$D18)/3,0)),IF($H18="人口比率型",IFERROR(ROUND($G18/人口基礎データ!$F$13*人口基礎データ!$G$13,0),$G18),IF($H18="政策調整",IF($I18="",$G18,$I18),$G18))))))</f>
        <v>1</v>
      </c>
      <c r="M18" s="29">
        <f>IF($H18="直近実績横ばい",$G18,IF($H18="直近2年平均",ROUND(AVERAGE($F18:$G18),0),IF($H18="直近3年平均",ROUND(AVERAGE($E18:$G18),0),IF($H18="線形トレンド",MAX(0,ROUND($G18+2*($G18-$D18)/3,0)),IF($H18="人口比率型",IFERROR(ROUND($G18/人口基礎データ!$F$13*人口基礎データ!$H$13,0),$G18),IF($H18="政策調整",IF($J18="",$G18,$J18),$G18))))))</f>
        <v>1</v>
      </c>
      <c r="N18" s="29">
        <f>IF($H18="直近実績横ばい",$G18,IF($H18="直近2年平均",ROUND(AVERAGE($F18:$G18),0),IF($H18="直近3年平均",ROUND(AVERAGE($E18:$G18),0),IF($H18="線形トレンド",MAX(0,ROUND($G18+3*($G18-$D18)/3,0)),IF($H18="人口比率型",IFERROR(ROUND($G18/人口基礎データ!$F$13*人口基礎データ!$I$13,0),$G18),IF($H18="政策調整",IF($K18="",$G18,$K18),$G18))))))</f>
        <v>2</v>
      </c>
      <c r="O18" s="27" t="s">
        <v>109</v>
      </c>
      <c r="P18" s="27" t="s">
        <v>109</v>
      </c>
      <c r="Q18" s="27" t="s">
        <v>109</v>
      </c>
      <c r="R18" s="27" t="s">
        <v>109</v>
      </c>
      <c r="S18" s="26" t="s">
        <v>109</v>
      </c>
      <c r="T18" s="28"/>
      <c r="U18" s="28"/>
      <c r="V18" s="28"/>
      <c r="W18" s="29" t="str">
        <f t="shared" si="0"/>
        <v>-</v>
      </c>
      <c r="X18" s="29" t="str">
        <f t="shared" si="1"/>
        <v>-</v>
      </c>
      <c r="Y18" s="29" t="str">
        <f t="shared" si="2"/>
        <v>-</v>
      </c>
      <c r="Z18" s="26" t="s">
        <v>119</v>
      </c>
    </row>
    <row r="19" spans="1:26" ht="16.5">
      <c r="A19" s="3" t="s">
        <v>98</v>
      </c>
      <c r="B19" s="3" t="s">
        <v>120</v>
      </c>
      <c r="C19" s="26" t="s">
        <v>109</v>
      </c>
      <c r="D19" s="27">
        <v>3</v>
      </c>
      <c r="E19" s="27">
        <v>3</v>
      </c>
      <c r="F19" s="27">
        <v>3</v>
      </c>
      <c r="G19" s="27">
        <v>3</v>
      </c>
      <c r="H19" s="26" t="s">
        <v>90</v>
      </c>
      <c r="I19" s="28"/>
      <c r="J19" s="28"/>
      <c r="K19" s="28"/>
      <c r="L19" s="29">
        <f>IF($H19="直近実績横ばい",$G19,IF($H19="直近2年平均",ROUND(AVERAGE($F19:$G19),0),IF($H19="直近3年平均",ROUND(AVERAGE($E19:$G19),0),IF($H19="線形トレンド",MAX(0,ROUND($G19+1*($G19-$D19)/3,0)),IF($H19="人口比率型",IFERROR(ROUND($G19/人口基礎データ!$F$13*人口基礎データ!$G$13,0),$G19),IF($H19="政策調整",IF($I19="",$G19,$I19),$G19))))))</f>
        <v>3</v>
      </c>
      <c r="M19" s="29">
        <f>IF($H19="直近実績横ばい",$G19,IF($H19="直近2年平均",ROUND(AVERAGE($F19:$G19),0),IF($H19="直近3年平均",ROUND(AVERAGE($E19:$G19),0),IF($H19="線形トレンド",MAX(0,ROUND($G19+2*($G19-$D19)/3,0)),IF($H19="人口比率型",IFERROR(ROUND($G19/人口基礎データ!$F$13*人口基礎データ!$H$13,0),$G19),IF($H19="政策調整",IF($J19="",$G19,$J19),$G19))))))</f>
        <v>3</v>
      </c>
      <c r="N19" s="29">
        <f>IF($H19="直近実績横ばい",$G19,IF($H19="直近2年平均",ROUND(AVERAGE($F19:$G19),0),IF($H19="直近3年平均",ROUND(AVERAGE($E19:$G19),0),IF($H19="線形トレンド",MAX(0,ROUND($G19+3*($G19-$D19)/3,0)),IF($H19="人口比率型",IFERROR(ROUND($G19/人口基礎データ!$F$13*人口基礎データ!$I$13,0),$G19),IF($H19="政策調整",IF($K19="",$G19,$K19),$G19))))))</f>
        <v>3</v>
      </c>
      <c r="O19" s="27" t="s">
        <v>109</v>
      </c>
      <c r="P19" s="27" t="s">
        <v>109</v>
      </c>
      <c r="Q19" s="27" t="s">
        <v>109</v>
      </c>
      <c r="R19" s="27" t="s">
        <v>109</v>
      </c>
      <c r="S19" s="26" t="s">
        <v>109</v>
      </c>
      <c r="T19" s="28"/>
      <c r="U19" s="28"/>
      <c r="V19" s="28"/>
      <c r="W19" s="29" t="str">
        <f t="shared" si="0"/>
        <v>-</v>
      </c>
      <c r="X19" s="29" t="str">
        <f t="shared" si="1"/>
        <v>-</v>
      </c>
      <c r="Y19" s="29" t="str">
        <f t="shared" si="2"/>
        <v>-</v>
      </c>
      <c r="Z19" s="26" t="s">
        <v>121</v>
      </c>
    </row>
    <row r="20" spans="1:26" ht="33">
      <c r="A20" s="3" t="s">
        <v>98</v>
      </c>
      <c r="B20" s="3" t="s">
        <v>122</v>
      </c>
      <c r="C20" s="26" t="s">
        <v>100</v>
      </c>
      <c r="D20" s="27">
        <v>0</v>
      </c>
      <c r="E20" s="27">
        <v>0</v>
      </c>
      <c r="F20" s="27">
        <v>0</v>
      </c>
      <c r="G20" s="27">
        <v>0</v>
      </c>
      <c r="H20" s="26" t="s">
        <v>90</v>
      </c>
      <c r="I20" s="28"/>
      <c r="J20" s="28"/>
      <c r="K20" s="28"/>
      <c r="L20" s="29">
        <f>IF($H20="直近実績横ばい",$G20,IF($H20="直近2年平均",ROUND(AVERAGE($F20:$G20),0),IF($H20="直近3年平均",ROUND(AVERAGE($E20:$G20),0),IF($H20="線形トレンド",MAX(0,ROUND($G20+1*($G20-$D20)/3,0)),IF($H20="人口比率型",IFERROR(ROUND($G20/人口基礎データ!$F$13*人口基礎データ!$G$13,0),$G20),IF($H20="政策調整",IF($I20="",$G20,$I20),$G20))))))</f>
        <v>0</v>
      </c>
      <c r="M20" s="29">
        <f>IF($H20="直近実績横ばい",$G20,IF($H20="直近2年平均",ROUND(AVERAGE($F20:$G20),0),IF($H20="直近3年平均",ROUND(AVERAGE($E20:$G20),0),IF($H20="線形トレンド",MAX(0,ROUND($G20+2*($G20-$D20)/3,0)),IF($H20="人口比率型",IFERROR(ROUND($G20/人口基礎データ!$F$13*人口基礎データ!$H$13,0),$G20),IF($H20="政策調整",IF($J20="",$G20,$J20),$G20))))))</f>
        <v>0</v>
      </c>
      <c r="N20" s="29">
        <f>IF($H20="直近実績横ばい",$G20,IF($H20="直近2年平均",ROUND(AVERAGE($F20:$G20),0),IF($H20="直近3年平均",ROUND(AVERAGE($E20:$G20),0),IF($H20="線形トレンド",MAX(0,ROUND($G20+3*($G20-$D20)/3,0)),IF($H20="人口比率型",IFERROR(ROUND($G20/人口基礎データ!$F$13*人口基礎データ!$I$13,0),$G20),IF($H20="政策調整",IF($K20="",$G20,$K20),$G20))))))</f>
        <v>0</v>
      </c>
      <c r="O20" s="27">
        <v>0</v>
      </c>
      <c r="P20" s="27">
        <v>0</v>
      </c>
      <c r="Q20" s="27">
        <v>0</v>
      </c>
      <c r="R20" s="27">
        <v>0</v>
      </c>
      <c r="S20" s="26" t="s">
        <v>90</v>
      </c>
      <c r="T20" s="28"/>
      <c r="U20" s="28"/>
      <c r="V20" s="28"/>
      <c r="W20" s="29">
        <f t="shared" si="0"/>
        <v>0</v>
      </c>
      <c r="X20" s="29">
        <f t="shared" si="1"/>
        <v>0</v>
      </c>
      <c r="Y20" s="29">
        <f t="shared" si="2"/>
        <v>0</v>
      </c>
      <c r="Z20" s="26" t="s">
        <v>123</v>
      </c>
    </row>
    <row r="21" spans="1:26" ht="16.5">
      <c r="A21" s="3" t="s">
        <v>98</v>
      </c>
      <c r="B21" s="3" t="s">
        <v>124</v>
      </c>
      <c r="C21" s="26" t="s">
        <v>100</v>
      </c>
      <c r="D21" s="27">
        <v>0</v>
      </c>
      <c r="E21" s="27">
        <v>0</v>
      </c>
      <c r="F21" s="27">
        <v>0</v>
      </c>
      <c r="G21" s="27">
        <v>0</v>
      </c>
      <c r="H21" s="26" t="s">
        <v>90</v>
      </c>
      <c r="I21" s="28"/>
      <c r="J21" s="28"/>
      <c r="K21" s="28"/>
      <c r="L21" s="29">
        <f>IF($H21="直近実績横ばい",$G21,IF($H21="直近2年平均",ROUND(AVERAGE($F21:$G21),0),IF($H21="直近3年平均",ROUND(AVERAGE($E21:$G21),0),IF($H21="線形トレンド",MAX(0,ROUND($G21+1*($G21-$D21)/3,0)),IF($H21="人口比率型",IFERROR(ROUND($G21/人口基礎データ!$F$13*人口基礎データ!$G$13,0),$G21),IF($H21="政策調整",IF($I21="",$G21,$I21),$G21))))))</f>
        <v>0</v>
      </c>
      <c r="M21" s="29">
        <f>IF($H21="直近実績横ばい",$G21,IF($H21="直近2年平均",ROUND(AVERAGE($F21:$G21),0),IF($H21="直近3年平均",ROUND(AVERAGE($E21:$G21),0),IF($H21="線形トレンド",MAX(0,ROUND($G21+2*($G21-$D21)/3,0)),IF($H21="人口比率型",IFERROR(ROUND($G21/人口基礎データ!$F$13*人口基礎データ!$H$13,0),$G21),IF($H21="政策調整",IF($J21="",$G21,$J21),$G21))))))</f>
        <v>0</v>
      </c>
      <c r="N21" s="29">
        <f>IF($H21="直近実績横ばい",$G21,IF($H21="直近2年平均",ROUND(AVERAGE($F21:$G21),0),IF($H21="直近3年平均",ROUND(AVERAGE($E21:$G21),0),IF($H21="線形トレンド",MAX(0,ROUND($G21+3*($G21-$D21)/3,0)),IF($H21="人口比率型",IFERROR(ROUND($G21/人口基礎データ!$F$13*人口基礎データ!$I$13,0),$G21),IF($H21="政策調整",IF($K21="",$G21,$K21),$G21))))))</f>
        <v>0</v>
      </c>
      <c r="O21" s="27">
        <v>0</v>
      </c>
      <c r="P21" s="27">
        <v>0</v>
      </c>
      <c r="Q21" s="27">
        <v>0</v>
      </c>
      <c r="R21" s="27">
        <v>0</v>
      </c>
      <c r="S21" s="26" t="s">
        <v>90</v>
      </c>
      <c r="T21" s="28"/>
      <c r="U21" s="28"/>
      <c r="V21" s="28"/>
      <c r="W21" s="29">
        <f t="shared" si="0"/>
        <v>0</v>
      </c>
      <c r="X21" s="29">
        <f t="shared" si="1"/>
        <v>0</v>
      </c>
      <c r="Y21" s="29">
        <f t="shared" si="2"/>
        <v>0</v>
      </c>
      <c r="Z21" s="26" t="s">
        <v>125</v>
      </c>
    </row>
    <row r="22" spans="1:26" ht="16.5">
      <c r="A22" s="8" t="s">
        <v>126</v>
      </c>
      <c r="B22" s="8" t="s">
        <v>127</v>
      </c>
      <c r="C22" s="22" t="s">
        <v>109</v>
      </c>
      <c r="D22" s="23">
        <v>0</v>
      </c>
      <c r="E22" s="23">
        <v>0</v>
      </c>
      <c r="F22" s="23">
        <v>0</v>
      </c>
      <c r="G22" s="23">
        <v>0</v>
      </c>
      <c r="H22" s="24" t="s">
        <v>90</v>
      </c>
      <c r="I22" s="23"/>
      <c r="J22" s="23"/>
      <c r="K22" s="23"/>
      <c r="L22" s="25">
        <f>IF($H22="直近実績横ばい",$G22,IF($H22="直近2年平均",ROUND(AVERAGE($F22:$G22),0),IF($H22="直近3年平均",ROUND(AVERAGE($E22:$G22),0),IF($H22="線形トレンド",MAX(0,ROUND($G22+1*($G22-$D22)/3,0)),IF($H22="人口比率型",IFERROR(ROUND($G22/人口基礎データ!$F$13*人口基礎データ!$G$13,0),$G22),IF($H22="政策調整",IF($I22="",$G22,$I22),$G22))))))</f>
        <v>0</v>
      </c>
      <c r="M22" s="25">
        <f>IF($H22="直近実績横ばい",$G22,IF($H22="直近2年平均",ROUND(AVERAGE($F22:$G22),0),IF($H22="直近3年平均",ROUND(AVERAGE($E22:$G22),0),IF($H22="線形トレンド",MAX(0,ROUND($G22+2*($G22-$D22)/3,0)),IF($H22="人口比率型",IFERROR(ROUND($G22/人口基礎データ!$F$13*人口基礎データ!$H$13,0),$G22),IF($H22="政策調整",IF($J22="",$G22,$J22),$G22))))))</f>
        <v>0</v>
      </c>
      <c r="N22" s="25">
        <f>IF($H22="直近実績横ばい",$G22,IF($H22="直近2年平均",ROUND(AVERAGE($F22:$G22),0),IF($H22="直近3年平均",ROUND(AVERAGE($E22:$G22),0),IF($H22="線形トレンド",MAX(0,ROUND($G22+3*($G22-$D22)/3,0)),IF($H22="人口比率型",IFERROR(ROUND($G22/人口基礎データ!$F$13*人口基礎データ!$I$13,0),$G22),IF($H22="政策調整",IF($K22="",$G22,$K22),$G22))))))</f>
        <v>0</v>
      </c>
      <c r="O22" s="23" t="s">
        <v>109</v>
      </c>
      <c r="P22" s="23" t="s">
        <v>109</v>
      </c>
      <c r="Q22" s="23" t="s">
        <v>109</v>
      </c>
      <c r="R22" s="23" t="s">
        <v>109</v>
      </c>
      <c r="S22" s="24" t="s">
        <v>109</v>
      </c>
      <c r="T22" s="23"/>
      <c r="U22" s="23"/>
      <c r="V22" s="23"/>
      <c r="W22" s="25" t="str">
        <f t="shared" si="0"/>
        <v>-</v>
      </c>
      <c r="X22" s="25" t="str">
        <f t="shared" si="1"/>
        <v>-</v>
      </c>
      <c r="Y22" s="25" t="str">
        <f t="shared" si="2"/>
        <v>-</v>
      </c>
      <c r="Z22" s="24" t="s">
        <v>128</v>
      </c>
    </row>
    <row r="23" spans="1:26" ht="33">
      <c r="A23" s="3" t="s">
        <v>126</v>
      </c>
      <c r="B23" s="3" t="s">
        <v>129</v>
      </c>
      <c r="C23" s="26" t="s">
        <v>109</v>
      </c>
      <c r="D23" s="27">
        <v>14</v>
      </c>
      <c r="E23" s="27">
        <v>15</v>
      </c>
      <c r="F23" s="27">
        <v>16</v>
      </c>
      <c r="G23" s="27">
        <v>18</v>
      </c>
      <c r="H23" s="26" t="s">
        <v>86</v>
      </c>
      <c r="I23" s="28"/>
      <c r="J23" s="28"/>
      <c r="K23" s="28"/>
      <c r="L23" s="29">
        <f>IF($H23="直近実績横ばい",$G23,IF($H23="直近2年平均",ROUND(AVERAGE($F23:$G23),0),IF($H23="直近3年平均",ROUND(AVERAGE($E23:$G23),0),IF($H23="線形トレンド",MAX(0,ROUND($G23+1*($G23-$D23)/3,0)),IF($H23="人口比率型",IFERROR(ROUND($G23/人口基礎データ!$F$13*人口基礎データ!$G$13,0),$G23),IF($H23="政策調整",IF($I23="",$G23,$I23),$G23))))))</f>
        <v>19</v>
      </c>
      <c r="M23" s="29">
        <f>IF($H23="直近実績横ばい",$G23,IF($H23="直近2年平均",ROUND(AVERAGE($F23:$G23),0),IF($H23="直近3年平均",ROUND(AVERAGE($E23:$G23),0),IF($H23="線形トレンド",MAX(0,ROUND($G23+2*($G23-$D23)/3,0)),IF($H23="人口比率型",IFERROR(ROUND($G23/人口基礎データ!$F$13*人口基礎データ!$H$13,0),$G23),IF($H23="政策調整",IF($J23="",$G23,$J23),$G23))))))</f>
        <v>21</v>
      </c>
      <c r="N23" s="29">
        <f>IF($H23="直近実績横ばい",$G23,IF($H23="直近2年平均",ROUND(AVERAGE($F23:$G23),0),IF($H23="直近3年平均",ROUND(AVERAGE($E23:$G23),0),IF($H23="線形トレンド",MAX(0,ROUND($G23+3*($G23-$D23)/3,0)),IF($H23="人口比率型",IFERROR(ROUND($G23/人口基礎データ!$F$13*人口基礎データ!$I$13,0),$G23),IF($H23="政策調整",IF($K23="",$G23,$K23),$G23))))))</f>
        <v>22</v>
      </c>
      <c r="O23" s="27" t="s">
        <v>109</v>
      </c>
      <c r="P23" s="27" t="s">
        <v>109</v>
      </c>
      <c r="Q23" s="27" t="s">
        <v>109</v>
      </c>
      <c r="R23" s="27" t="s">
        <v>109</v>
      </c>
      <c r="S23" s="26" t="s">
        <v>109</v>
      </c>
      <c r="T23" s="28"/>
      <c r="U23" s="28"/>
      <c r="V23" s="28"/>
      <c r="W23" s="29" t="str">
        <f t="shared" si="0"/>
        <v>-</v>
      </c>
      <c r="X23" s="29" t="str">
        <f t="shared" si="1"/>
        <v>-</v>
      </c>
      <c r="Y23" s="29" t="str">
        <f t="shared" si="2"/>
        <v>-</v>
      </c>
      <c r="Z23" s="26" t="s">
        <v>130</v>
      </c>
    </row>
    <row r="24" spans="1:26" ht="33">
      <c r="A24" s="3" t="s">
        <v>126</v>
      </c>
      <c r="B24" s="3" t="s">
        <v>131</v>
      </c>
      <c r="C24" s="26" t="s">
        <v>109</v>
      </c>
      <c r="D24" s="27">
        <v>16</v>
      </c>
      <c r="E24" s="27">
        <v>16</v>
      </c>
      <c r="F24" s="27">
        <v>19</v>
      </c>
      <c r="G24" s="27">
        <v>18</v>
      </c>
      <c r="H24" s="26" t="s">
        <v>110</v>
      </c>
      <c r="I24" s="28">
        <v>18</v>
      </c>
      <c r="J24" s="28">
        <v>18</v>
      </c>
      <c r="K24" s="28">
        <v>18</v>
      </c>
      <c r="L24" s="29">
        <f>IF($H24="直近実績横ばい",$G24,IF($H24="直近2年平均",ROUND(AVERAGE($F24:$G24),0),IF($H24="直近3年平均",ROUND(AVERAGE($E24:$G24),0),IF($H24="線形トレンド",MAX(0,ROUND($G24+1*($G24-$D24)/3,0)),IF($H24="人口比率型",IFERROR(ROUND($G24/人口基礎データ!$F$13*人口基礎データ!$G$13,0),$G24),IF($H24="政策調整",IF($I24="",$G24,$I24),$G24))))))</f>
        <v>18</v>
      </c>
      <c r="M24" s="29">
        <f>IF($H24="直近実績横ばい",$G24,IF($H24="直近2年平均",ROUND(AVERAGE($F24:$G24),0),IF($H24="直近3年平均",ROUND(AVERAGE($E24:$G24),0),IF($H24="線形トレンド",MAX(0,ROUND($G24+2*($G24-$D24)/3,0)),IF($H24="人口比率型",IFERROR(ROUND($G24/人口基礎データ!$F$13*人口基礎データ!$H$13,0),$G24),IF($H24="政策調整",IF($J24="",$G24,$J24),$G24))))))</f>
        <v>18</v>
      </c>
      <c r="N24" s="29">
        <f>IF($H24="直近実績横ばい",$G24,IF($H24="直近2年平均",ROUND(AVERAGE($F24:$G24),0),IF($H24="直近3年平均",ROUND(AVERAGE($E24:$G24),0),IF($H24="線形トレンド",MAX(0,ROUND($G24+3*($G24-$D24)/3,0)),IF($H24="人口比率型",IFERROR(ROUND($G24/人口基礎データ!$F$13*人口基礎データ!$I$13,0),$G24),IF($H24="政策調整",IF($K24="",$G24,$K24),$G24))))))</f>
        <v>18</v>
      </c>
      <c r="O24" s="27" t="s">
        <v>109</v>
      </c>
      <c r="P24" s="27" t="s">
        <v>109</v>
      </c>
      <c r="Q24" s="27" t="s">
        <v>109</v>
      </c>
      <c r="R24" s="27" t="s">
        <v>109</v>
      </c>
      <c r="S24" s="26" t="s">
        <v>109</v>
      </c>
      <c r="T24" s="28"/>
      <c r="U24" s="28"/>
      <c r="V24" s="28"/>
      <c r="W24" s="29" t="str">
        <f t="shared" si="0"/>
        <v>-</v>
      </c>
      <c r="X24" s="29" t="str">
        <f t="shared" si="1"/>
        <v>-</v>
      </c>
      <c r="Y24" s="29" t="str">
        <f t="shared" si="2"/>
        <v>-</v>
      </c>
      <c r="Z24" s="26" t="s">
        <v>132</v>
      </c>
    </row>
    <row r="25" spans="1:26" ht="33">
      <c r="A25" s="8" t="s">
        <v>133</v>
      </c>
      <c r="B25" s="8" t="s">
        <v>134</v>
      </c>
      <c r="C25" s="22" t="s">
        <v>109</v>
      </c>
      <c r="D25" s="23">
        <v>12</v>
      </c>
      <c r="E25" s="23">
        <v>14</v>
      </c>
      <c r="F25" s="23">
        <v>13</v>
      </c>
      <c r="G25" s="23">
        <v>15</v>
      </c>
      <c r="H25" s="24" t="s">
        <v>86</v>
      </c>
      <c r="I25" s="23"/>
      <c r="J25" s="23"/>
      <c r="K25" s="23"/>
      <c r="L25" s="25">
        <f>IF($H25="直近実績横ばい",$G25,IF($H25="直近2年平均",ROUND(AVERAGE($F25:$G25),0),IF($H25="直近3年平均",ROUND(AVERAGE($E25:$G25),0),IF($H25="線形トレンド",MAX(0,ROUND($G25+1*($G25-$D25)/3,0)),IF($H25="人口比率型",IFERROR(ROUND($G25/人口基礎データ!$F$13*人口基礎データ!$G$13,0),$G25),IF($H25="政策調整",IF($I25="",$G25,$I25),$G25))))))</f>
        <v>16</v>
      </c>
      <c r="M25" s="25">
        <f>IF($H25="直近実績横ばい",$G25,IF($H25="直近2年平均",ROUND(AVERAGE($F25:$G25),0),IF($H25="直近3年平均",ROUND(AVERAGE($E25:$G25),0),IF($H25="線形トレンド",MAX(0,ROUND($G25+2*($G25-$D25)/3,0)),IF($H25="人口比率型",IFERROR(ROUND($G25/人口基礎データ!$F$13*人口基礎データ!$H$13,0),$G25),IF($H25="政策調整",IF($J25="",$G25,$J25),$G25))))))</f>
        <v>17</v>
      </c>
      <c r="N25" s="25">
        <f>IF($H25="直近実績横ばい",$G25,IF($H25="直近2年平均",ROUND(AVERAGE($F25:$G25),0),IF($H25="直近3年平均",ROUND(AVERAGE($E25:$G25),0),IF($H25="線形トレンド",MAX(0,ROUND($G25+3*($G25-$D25)/3,0)),IF($H25="人口比率型",IFERROR(ROUND($G25/人口基礎データ!$F$13*人口基礎データ!$I$13,0),$G25),IF($H25="政策調整",IF($K25="",$G25,$K25),$G25))))))</f>
        <v>18</v>
      </c>
      <c r="O25" s="23" t="s">
        <v>109</v>
      </c>
      <c r="P25" s="23" t="s">
        <v>109</v>
      </c>
      <c r="Q25" s="23" t="s">
        <v>109</v>
      </c>
      <c r="R25" s="23" t="s">
        <v>109</v>
      </c>
      <c r="S25" s="24" t="s">
        <v>109</v>
      </c>
      <c r="T25" s="23"/>
      <c r="U25" s="23"/>
      <c r="V25" s="23"/>
      <c r="W25" s="25" t="str">
        <f t="shared" si="0"/>
        <v>-</v>
      </c>
      <c r="X25" s="25" t="str">
        <f t="shared" si="1"/>
        <v>-</v>
      </c>
      <c r="Y25" s="25" t="str">
        <f t="shared" si="2"/>
        <v>-</v>
      </c>
      <c r="Z25" s="24" t="s">
        <v>135</v>
      </c>
    </row>
    <row r="26" spans="1:26" ht="33">
      <c r="A26" s="3" t="s">
        <v>133</v>
      </c>
      <c r="B26" s="3" t="s">
        <v>136</v>
      </c>
      <c r="C26" s="26" t="s">
        <v>109</v>
      </c>
      <c r="D26" s="27">
        <v>0</v>
      </c>
      <c r="E26" s="27">
        <v>0</v>
      </c>
      <c r="F26" s="27">
        <v>0</v>
      </c>
      <c r="G26" s="27">
        <v>0</v>
      </c>
      <c r="H26" s="26" t="s">
        <v>110</v>
      </c>
      <c r="I26" s="28">
        <v>1</v>
      </c>
      <c r="J26" s="28">
        <v>1</v>
      </c>
      <c r="K26" s="28">
        <v>1</v>
      </c>
      <c r="L26" s="29">
        <f>IF($H26="直近実績横ばい",$G26,IF($H26="直近2年平均",ROUND(AVERAGE($F26:$G26),0),IF($H26="直近3年平均",ROUND(AVERAGE($E26:$G26),0),IF($H26="線形トレンド",MAX(0,ROUND($G26+1*($G26-$D26)/3,0)),IF($H26="人口比率型",IFERROR(ROUND($G26/人口基礎データ!$F$13*人口基礎データ!$G$13,0),$G26),IF($H26="政策調整",IF($I26="",$G26,$I26),$G26))))))</f>
        <v>1</v>
      </c>
      <c r="M26" s="29">
        <f>IF($H26="直近実績横ばい",$G26,IF($H26="直近2年平均",ROUND(AVERAGE($F26:$G26),0),IF($H26="直近3年平均",ROUND(AVERAGE($E26:$G26),0),IF($H26="線形トレンド",MAX(0,ROUND($G26+2*($G26-$D26)/3,0)),IF($H26="人口比率型",IFERROR(ROUND($G26/人口基礎データ!$F$13*人口基礎データ!$H$13,0),$G26),IF($H26="政策調整",IF($J26="",$G26,$J26),$G26))))))</f>
        <v>1</v>
      </c>
      <c r="N26" s="29">
        <f>IF($H26="直近実績横ばい",$G26,IF($H26="直近2年平均",ROUND(AVERAGE($F26:$G26),0),IF($H26="直近3年平均",ROUND(AVERAGE($E26:$G26),0),IF($H26="線形トレンド",MAX(0,ROUND($G26+3*($G26-$D26)/3,0)),IF($H26="人口比率型",IFERROR(ROUND($G26/人口基礎データ!$F$13*人口基礎データ!$I$13,0),$G26),IF($H26="政策調整",IF($K26="",$G26,$K26),$G26))))))</f>
        <v>1</v>
      </c>
      <c r="O26" s="27" t="s">
        <v>109</v>
      </c>
      <c r="P26" s="27" t="s">
        <v>109</v>
      </c>
      <c r="Q26" s="27" t="s">
        <v>109</v>
      </c>
      <c r="R26" s="27" t="s">
        <v>109</v>
      </c>
      <c r="S26" s="26" t="s">
        <v>109</v>
      </c>
      <c r="T26" s="28"/>
      <c r="U26" s="28"/>
      <c r="V26" s="28"/>
      <c r="W26" s="29" t="str">
        <f t="shared" si="0"/>
        <v>-</v>
      </c>
      <c r="X26" s="29" t="str">
        <f t="shared" si="1"/>
        <v>-</v>
      </c>
      <c r="Y26" s="29" t="str">
        <f t="shared" si="2"/>
        <v>-</v>
      </c>
      <c r="Z26" s="26" t="s">
        <v>137</v>
      </c>
    </row>
    <row r="27" spans="1:26" ht="16.5">
      <c r="A27" s="3" t="s">
        <v>133</v>
      </c>
      <c r="B27" s="3" t="s">
        <v>138</v>
      </c>
      <c r="C27" s="26" t="s">
        <v>109</v>
      </c>
      <c r="D27" s="27">
        <v>0</v>
      </c>
      <c r="E27" s="27">
        <v>0</v>
      </c>
      <c r="F27" s="27">
        <v>0</v>
      </c>
      <c r="G27" s="27">
        <v>0</v>
      </c>
      <c r="H27" s="26" t="s">
        <v>110</v>
      </c>
      <c r="I27" s="28">
        <v>1</v>
      </c>
      <c r="J27" s="28">
        <v>1</v>
      </c>
      <c r="K27" s="28">
        <v>2</v>
      </c>
      <c r="L27" s="29">
        <f>IF($H27="直近実績横ばい",$G27,IF($H27="直近2年平均",ROUND(AVERAGE($F27:$G27),0),IF($H27="直近3年平均",ROUND(AVERAGE($E27:$G27),0),IF($H27="線形トレンド",MAX(0,ROUND($G27+1*($G27-$D27)/3,0)),IF($H27="人口比率型",IFERROR(ROUND($G27/人口基礎データ!$F$13*人口基礎データ!$G$13,0),$G27),IF($H27="政策調整",IF($I27="",$G27,$I27),$G27))))))</f>
        <v>1</v>
      </c>
      <c r="M27" s="29">
        <f>IF($H27="直近実績横ばい",$G27,IF($H27="直近2年平均",ROUND(AVERAGE($F27:$G27),0),IF($H27="直近3年平均",ROUND(AVERAGE($E27:$G27),0),IF($H27="線形トレンド",MAX(0,ROUND($G27+2*($G27-$D27)/3,0)),IF($H27="人口比率型",IFERROR(ROUND($G27/人口基礎データ!$F$13*人口基礎データ!$H$13,0),$G27),IF($H27="政策調整",IF($J27="",$G27,$J27),$G27))))))</f>
        <v>1</v>
      </c>
      <c r="N27" s="29">
        <f>IF($H27="直近実績横ばい",$G27,IF($H27="直近2年平均",ROUND(AVERAGE($F27:$G27),0),IF($H27="直近3年平均",ROUND(AVERAGE($E27:$G27),0),IF($H27="線形トレンド",MAX(0,ROUND($G27+3*($G27-$D27)/3,0)),IF($H27="人口比率型",IFERROR(ROUND($G27/人口基礎データ!$F$13*人口基礎データ!$I$13,0),$G27),IF($H27="政策調整",IF($K27="",$G27,$K27),$G27))))))</f>
        <v>2</v>
      </c>
      <c r="O27" s="27" t="s">
        <v>109</v>
      </c>
      <c r="P27" s="27" t="s">
        <v>109</v>
      </c>
      <c r="Q27" s="27" t="s">
        <v>109</v>
      </c>
      <c r="R27" s="27" t="s">
        <v>109</v>
      </c>
      <c r="S27" s="26" t="s">
        <v>109</v>
      </c>
      <c r="T27" s="28"/>
      <c r="U27" s="28"/>
      <c r="V27" s="28"/>
      <c r="W27" s="29" t="str">
        <f t="shared" si="0"/>
        <v>-</v>
      </c>
      <c r="X27" s="29" t="str">
        <f t="shared" si="1"/>
        <v>-</v>
      </c>
      <c r="Y27" s="29" t="str">
        <f t="shared" si="2"/>
        <v>-</v>
      </c>
      <c r="Z27" s="26" t="s">
        <v>139</v>
      </c>
    </row>
    <row r="28" spans="1:26" ht="16.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4">
    <mergeCell ref="A1:Z1"/>
    <mergeCell ref="A2:Z2"/>
    <mergeCell ref="D4:N4"/>
    <mergeCell ref="O4:Y4"/>
  </mergeCells>
  <phoneticPr fontId="8"/>
  <dataValidations count="2">
    <dataValidation type="list" sqref="H6:H27" xr:uid="{00000000-0002-0000-0200-000000000000}">
      <formula1>"直近実績横ばい,直近2年平均,直近3年平均,線形トレンド,人口比率型,政策調整"</formula1>
    </dataValidation>
    <dataValidation type="list" sqref="S6:S27" xr:uid="{00000000-0002-0000-0200-000001000000}">
      <formula1>"利用者数連動,直近実績横ばい,直近2年平均,政策調整,-"</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
  <sheetViews>
    <sheetView workbookViewId="0">
      <selection activeCell="G6" sqref="G6"/>
    </sheetView>
  </sheetViews>
  <sheetFormatPr defaultRowHeight="14.25"/>
  <cols>
    <col min="1" max="1" width="13" customWidth="1"/>
    <col min="2" max="2" width="27" customWidth="1"/>
    <col min="3" max="3" width="12" customWidth="1"/>
    <col min="4" max="7" width="9" customWidth="1"/>
    <col min="8" max="8" width="17" customWidth="1"/>
    <col min="9" max="14" width="9" customWidth="1"/>
    <col min="15" max="18" width="10" customWidth="1"/>
    <col min="19" max="19" width="17" customWidth="1"/>
    <col min="20" max="25" width="10" customWidth="1"/>
    <col min="26" max="26" width="46" customWidth="1"/>
  </cols>
  <sheetData>
    <row r="1" spans="1:26" ht="30">
      <c r="A1" s="14" t="s">
        <v>140</v>
      </c>
      <c r="B1" s="14"/>
      <c r="C1" s="14"/>
      <c r="D1" s="14"/>
      <c r="E1" s="14"/>
      <c r="F1" s="14"/>
      <c r="G1" s="14"/>
      <c r="H1" s="14"/>
      <c r="I1" s="14"/>
      <c r="J1" s="14"/>
      <c r="K1" s="14"/>
      <c r="L1" s="14"/>
      <c r="M1" s="14"/>
      <c r="N1" s="14"/>
      <c r="O1" s="14"/>
      <c r="P1" s="14"/>
      <c r="Q1" s="14"/>
      <c r="R1" s="14"/>
      <c r="S1" s="14"/>
      <c r="T1" s="14"/>
      <c r="U1" s="14"/>
      <c r="V1" s="14"/>
      <c r="W1" s="14"/>
      <c r="X1" s="14"/>
      <c r="Y1" s="14"/>
      <c r="Z1" s="14"/>
    </row>
    <row r="2" spans="1:26" ht="16.5">
      <c r="A2" s="15" t="s">
        <v>141</v>
      </c>
      <c r="B2" s="15"/>
      <c r="C2" s="15"/>
      <c r="D2" s="15"/>
      <c r="E2" s="15"/>
      <c r="F2" s="15"/>
      <c r="G2" s="15"/>
      <c r="H2" s="15"/>
      <c r="I2" s="15"/>
      <c r="J2" s="15"/>
      <c r="K2" s="15"/>
      <c r="L2" s="15"/>
      <c r="M2" s="15"/>
      <c r="N2" s="15"/>
      <c r="O2" s="15"/>
      <c r="P2" s="15"/>
      <c r="Q2" s="15"/>
      <c r="R2" s="15"/>
      <c r="S2" s="15"/>
      <c r="T2" s="15"/>
      <c r="U2" s="15"/>
      <c r="V2" s="15"/>
      <c r="W2" s="15"/>
      <c r="X2" s="15"/>
      <c r="Y2" s="15"/>
      <c r="Z2" s="15"/>
    </row>
    <row r="3" spans="1:26" ht="16.5">
      <c r="A3" s="2"/>
      <c r="B3" s="2"/>
      <c r="C3" s="2"/>
      <c r="D3" s="2"/>
      <c r="E3" s="2"/>
      <c r="F3" s="2"/>
      <c r="G3" s="2"/>
      <c r="H3" s="2"/>
      <c r="I3" s="2"/>
      <c r="J3" s="2"/>
      <c r="K3" s="2"/>
      <c r="L3" s="2"/>
      <c r="M3" s="2"/>
      <c r="N3" s="2"/>
      <c r="O3" s="2"/>
      <c r="P3" s="2"/>
      <c r="Q3" s="2"/>
      <c r="R3" s="2"/>
      <c r="S3" s="2"/>
      <c r="T3" s="2"/>
      <c r="U3" s="2"/>
      <c r="V3" s="2"/>
      <c r="W3" s="2"/>
      <c r="X3" s="2"/>
      <c r="Y3" s="2"/>
      <c r="Z3" s="2"/>
    </row>
    <row r="4" spans="1:26" ht="33.950000000000003" customHeight="1">
      <c r="A4" s="19"/>
      <c r="B4" s="19"/>
      <c r="C4" s="19"/>
      <c r="D4" s="20" t="s">
        <v>56</v>
      </c>
      <c r="E4" s="20"/>
      <c r="F4" s="20"/>
      <c r="G4" s="20"/>
      <c r="H4" s="20"/>
      <c r="I4" s="20"/>
      <c r="J4" s="20"/>
      <c r="K4" s="20"/>
      <c r="L4" s="20"/>
      <c r="M4" s="20"/>
      <c r="N4" s="20"/>
      <c r="O4" s="20" t="s">
        <v>57</v>
      </c>
      <c r="P4" s="20"/>
      <c r="Q4" s="20"/>
      <c r="R4" s="20"/>
      <c r="S4" s="20"/>
      <c r="T4" s="20"/>
      <c r="U4" s="20"/>
      <c r="V4" s="20"/>
      <c r="W4" s="20"/>
      <c r="X4" s="20"/>
      <c r="Y4" s="20"/>
      <c r="Z4" s="19"/>
    </row>
    <row r="5" spans="1:26" ht="33.950000000000003" customHeight="1">
      <c r="A5" s="21" t="s">
        <v>58</v>
      </c>
      <c r="B5" s="21" t="s">
        <v>59</v>
      </c>
      <c r="C5" s="21" t="s">
        <v>60</v>
      </c>
      <c r="D5" s="21" t="s">
        <v>61</v>
      </c>
      <c r="E5" s="21" t="s">
        <v>62</v>
      </c>
      <c r="F5" s="21" t="s">
        <v>63</v>
      </c>
      <c r="G5" s="21" t="s">
        <v>64</v>
      </c>
      <c r="H5" s="21" t="s">
        <v>65</v>
      </c>
      <c r="I5" s="21" t="s">
        <v>66</v>
      </c>
      <c r="J5" s="21" t="s">
        <v>67</v>
      </c>
      <c r="K5" s="21" t="s">
        <v>68</v>
      </c>
      <c r="L5" s="21" t="s">
        <v>69</v>
      </c>
      <c r="M5" s="21" t="s">
        <v>70</v>
      </c>
      <c r="N5" s="21" t="s">
        <v>71</v>
      </c>
      <c r="O5" s="21" t="s">
        <v>72</v>
      </c>
      <c r="P5" s="21" t="s">
        <v>73</v>
      </c>
      <c r="Q5" s="21" t="s">
        <v>74</v>
      </c>
      <c r="R5" s="21" t="s">
        <v>75</v>
      </c>
      <c r="S5" s="21" t="s">
        <v>76</v>
      </c>
      <c r="T5" s="21" t="s">
        <v>77</v>
      </c>
      <c r="U5" s="21" t="s">
        <v>78</v>
      </c>
      <c r="V5" s="21" t="s">
        <v>79</v>
      </c>
      <c r="W5" s="21" t="s">
        <v>80</v>
      </c>
      <c r="X5" s="21" t="s">
        <v>81</v>
      </c>
      <c r="Y5" s="21" t="s">
        <v>82</v>
      </c>
      <c r="Z5" s="21" t="s">
        <v>41</v>
      </c>
    </row>
    <row r="6" spans="1:26" ht="16.5">
      <c r="A6" s="22" t="s">
        <v>142</v>
      </c>
      <c r="B6" s="22" t="s">
        <v>143</v>
      </c>
      <c r="C6" s="22" t="s">
        <v>100</v>
      </c>
      <c r="D6" s="23">
        <v>6</v>
      </c>
      <c r="E6" s="23">
        <v>7</v>
      </c>
      <c r="F6" s="23">
        <v>5</v>
      </c>
      <c r="G6" s="23">
        <v>6</v>
      </c>
      <c r="H6" s="24" t="s">
        <v>144</v>
      </c>
      <c r="I6" s="23"/>
      <c r="J6" s="23"/>
      <c r="K6" s="23"/>
      <c r="L6" s="25">
        <f>IF($H6="直近実績横ばい",$G6,IF($H6="直近2年平均",ROUND(AVERAGE($F6:$G6),0),IF($H6="直近3年平均",ROUND(AVERAGE($E6:$G6),0),IF($H6="線形トレンド",MAX(0,ROUND($G6+1*($G6-$D6)/3,0)),IF($H6="人口比率型",IFERROR(ROUND($G6/人口基礎データ!$F$7*人口基礎データ!$G$7,0),$G6),IF($H6="政策調整",IF($I6="",$G6,$I6),$G6))))))</f>
        <v>6</v>
      </c>
      <c r="M6" s="25">
        <f>IF($H6="直近実績横ばい",$G6,IF($H6="直近2年平均",ROUND(AVERAGE($F6:$G6),0),IF($H6="直近3年平均",ROUND(AVERAGE($E6:$G6),0),IF($H6="線形トレンド",MAX(0,ROUND($G6+2*($G6-$D6)/3,0)),IF($H6="人口比率型",IFERROR(ROUND($G6/人口基礎データ!$F$7*人口基礎データ!$H$7,0),$G6),IF($H6="政策調整",IF($J6="",$G6,$J6),$G6))))))</f>
        <v>5</v>
      </c>
      <c r="N6" s="25">
        <f>IF($H6="直近実績横ばい",$G6,IF($H6="直近2年平均",ROUND(AVERAGE($F6:$G6),0),IF($H6="直近3年平均",ROUND(AVERAGE($E6:$G6),0),IF($H6="線形トレンド",MAX(0,ROUND($G6+3*($G6-$D6)/3,0)),IF($H6="人口比率型",IFERROR(ROUND($G6/人口基礎データ!$F$7*人口基礎データ!$I$7,0),$G6),IF($H6="政策調整",IF($K6="",$G6,$K6),$G6))))))</f>
        <v>5</v>
      </c>
      <c r="O6" s="23">
        <v>26</v>
      </c>
      <c r="P6" s="23">
        <v>24</v>
      </c>
      <c r="Q6" s="23">
        <v>15</v>
      </c>
      <c r="R6" s="23">
        <v>25</v>
      </c>
      <c r="S6" s="24" t="s">
        <v>87</v>
      </c>
      <c r="T6" s="23"/>
      <c r="U6" s="23"/>
      <c r="V6" s="23"/>
      <c r="W6" s="25">
        <f>IF($S6="-","-",IF($S6="直近実績横ばい",$R6,IF($S6="直近2年平均",ROUND(AVERAGE($Q6:$R6),0),IF($S6="利用者数連動",IFERROR(ROUND($L6*(($Q6+$R6)/($F6+$G6)),0),0),IF($S6="政策調整",IF($T6="","",$T6),"")))))</f>
        <v>22</v>
      </c>
      <c r="X6" s="25">
        <f>IF($S6="-","-",IF($S6="直近実績横ばい",$R6,IF($S6="直近2年平均",ROUND(AVERAGE($Q6:$R6),0),IF($S6="利用者数連動",IFERROR(ROUND($M6*(($Q6+$R6)/($F6+$G6)),0),0),IF($S6="政策調整",IF($U6="","",$U6),"")))))</f>
        <v>18</v>
      </c>
      <c r="Y6" s="25">
        <f>IF($S6="-","-",IF($S6="直近実績横ばい",$R6,IF($S6="直近2年平均",ROUND(AVERAGE($Q6:$R6),0),IF($S6="利用者数連動",IFERROR(ROUND($N6*(($Q6+$R6)/($F6+$G6)),0),0),IF($S6="政策調整",IF($V6="","",$V6),"")))))</f>
        <v>18</v>
      </c>
      <c r="Z6" s="24" t="s">
        <v>145</v>
      </c>
    </row>
    <row r="7" spans="1:26" ht="33">
      <c r="A7" s="26" t="s">
        <v>142</v>
      </c>
      <c r="B7" s="26" t="s">
        <v>146</v>
      </c>
      <c r="C7" s="26" t="s">
        <v>100</v>
      </c>
      <c r="D7" s="27">
        <v>31</v>
      </c>
      <c r="E7" s="27">
        <v>30</v>
      </c>
      <c r="F7" s="27">
        <v>24</v>
      </c>
      <c r="G7" s="27">
        <v>19</v>
      </c>
      <c r="H7" s="26" t="s">
        <v>144</v>
      </c>
      <c r="I7" s="28"/>
      <c r="J7" s="28"/>
      <c r="K7" s="28"/>
      <c r="L7" s="29">
        <f>IF($H7="直近実績横ばい",$G7,IF($H7="直近2年平均",ROUND(AVERAGE($F7:$G7),0),IF($H7="直近3年平均",ROUND(AVERAGE($E7:$G7),0),IF($H7="線形トレンド",MAX(0,ROUND($G7+1*($G7-$D7)/3,0)),IF($H7="人口比率型",IFERROR(ROUND($G7/人口基礎データ!$F$7*人口基礎データ!$G$7,0),$G7),IF($H7="政策調整",IF($I7="",$G7,$I7),$G7))))))</f>
        <v>17</v>
      </c>
      <c r="M7" s="29">
        <f>IF($H7="直近実績横ばい",$G7,IF($H7="直近2年平均",ROUND(AVERAGE($F7:$G7),0),IF($H7="直近3年平均",ROUND(AVERAGE($E7:$G7),0),IF($H7="線形トレンド",MAX(0,ROUND($G7+2*($G7-$D7)/3,0)),IF($H7="人口比率型",IFERROR(ROUND($G7/人口基礎データ!$F$7*人口基礎データ!$H$7,0),$G7),IF($H7="政策調整",IF($J7="",$G7,$J7),$G7))))))</f>
        <v>16</v>
      </c>
      <c r="N7" s="29">
        <f>IF($H7="直近実績横ばい",$G7,IF($H7="直近2年平均",ROUND(AVERAGE($F7:$G7),0),IF($H7="直近3年平均",ROUND(AVERAGE($E7:$G7),0),IF($H7="線形トレンド",MAX(0,ROUND($G7+3*($G7-$D7)/3,0)),IF($H7="人口比率型",IFERROR(ROUND($G7/人口基礎データ!$F$7*人口基礎データ!$I$7,0),$G7),IF($H7="政策調整",IF($K7="",$G7,$K7),$G7))))))</f>
        <v>14</v>
      </c>
      <c r="O7" s="27">
        <v>100</v>
      </c>
      <c r="P7" s="27">
        <v>93</v>
      </c>
      <c r="Q7" s="27">
        <v>73</v>
      </c>
      <c r="R7" s="27">
        <v>65</v>
      </c>
      <c r="S7" s="26" t="s">
        <v>87</v>
      </c>
      <c r="T7" s="28"/>
      <c r="U7" s="28"/>
      <c r="V7" s="28"/>
      <c r="W7" s="29">
        <f>IF($S7="-","-",IF($S7="直近実績横ばい",$R7,IF($S7="直近2年平均",ROUND(AVERAGE($Q7:$R7),0),IF($S7="利用者数連動",IFERROR(ROUND($L7*(($Q7+$R7)/($F7+$G7)),0),0),IF($S7="政策調整",IF($T7="","",$T7),"")))))</f>
        <v>55</v>
      </c>
      <c r="X7" s="29">
        <f>IF($S7="-","-",IF($S7="直近実績横ばい",$R7,IF($S7="直近2年平均",ROUND(AVERAGE($Q7:$R7),0),IF($S7="利用者数連動",IFERROR(ROUND($M7*(($Q7+$R7)/($F7+$G7)),0),0),IF($S7="政策調整",IF($U7="","",$U7),"")))))</f>
        <v>51</v>
      </c>
      <c r="Y7" s="29">
        <f>IF($S7="-","-",IF($S7="直近実績横ばい",$R7,IF($S7="直近2年平均",ROUND(AVERAGE($Q7:$R7),0),IF($S7="利用者数連動",IFERROR(ROUND($N7*(($Q7+$R7)/($F7+$G7)),0),0),IF($S7="政策調整",IF($V7="","",$V7),"")))))</f>
        <v>45</v>
      </c>
      <c r="Z7" s="26" t="s">
        <v>147</v>
      </c>
    </row>
    <row r="8" spans="1:26" ht="33">
      <c r="A8" s="26" t="s">
        <v>142</v>
      </c>
      <c r="B8" s="26" t="s">
        <v>148</v>
      </c>
      <c r="C8" s="26" t="s">
        <v>100</v>
      </c>
      <c r="D8" s="27">
        <v>0</v>
      </c>
      <c r="E8" s="27">
        <v>0</v>
      </c>
      <c r="F8" s="27">
        <v>0</v>
      </c>
      <c r="G8" s="27">
        <v>0</v>
      </c>
      <c r="H8" s="26" t="s">
        <v>110</v>
      </c>
      <c r="I8" s="28">
        <v>1</v>
      </c>
      <c r="J8" s="28">
        <v>1</v>
      </c>
      <c r="K8" s="28">
        <v>1</v>
      </c>
      <c r="L8" s="29">
        <f>IF($H8="直近実績横ばい",$G8,IF($H8="直近2年平均",ROUND(AVERAGE($F8:$G8),0),IF($H8="直近3年平均",ROUND(AVERAGE($E8:$G8),0),IF($H8="線形トレンド",MAX(0,ROUND($G8+1*($G8-$D8)/3,0)),IF($H8="人口比率型",IFERROR(ROUND($G8/人口基礎データ!$F$7*人口基礎データ!$G$7,0),$G8),IF($H8="政策調整",IF($I8="",$G8,$I8),$G8))))))</f>
        <v>1</v>
      </c>
      <c r="M8" s="29">
        <f>IF($H8="直近実績横ばい",$G8,IF($H8="直近2年平均",ROUND(AVERAGE($F8:$G8),0),IF($H8="直近3年平均",ROUND(AVERAGE($E8:$G8),0),IF($H8="線形トレンド",MAX(0,ROUND($G8+2*($G8-$D8)/3,0)),IF($H8="人口比率型",IFERROR(ROUND($G8/人口基礎データ!$F$7*人口基礎データ!$H$7,0),$G8),IF($H8="政策調整",IF($J8="",$G8,$J8),$G8))))))</f>
        <v>1</v>
      </c>
      <c r="N8" s="29">
        <f>IF($H8="直近実績横ばい",$G8,IF($H8="直近2年平均",ROUND(AVERAGE($F8:$G8),0),IF($H8="直近3年平均",ROUND(AVERAGE($E8:$G8),0),IF($H8="線形トレンド",MAX(0,ROUND($G8+3*($G8-$D8)/3,0)),IF($H8="人口比率型",IFERROR(ROUND($G8/人口基礎データ!$F$7*人口基礎データ!$I$7,0),$G8),IF($H8="政策調整",IF($K8="",$G8,$K8),$G8))))))</f>
        <v>1</v>
      </c>
      <c r="O8" s="27">
        <v>0</v>
      </c>
      <c r="P8" s="27">
        <v>0</v>
      </c>
      <c r="Q8" s="27">
        <v>0</v>
      </c>
      <c r="R8" s="27">
        <v>0</v>
      </c>
      <c r="S8" s="26" t="s">
        <v>110</v>
      </c>
      <c r="T8" s="28">
        <v>1</v>
      </c>
      <c r="U8" s="28">
        <v>1</v>
      </c>
      <c r="V8" s="28">
        <v>1</v>
      </c>
      <c r="W8" s="29">
        <f>IF($S8="-","-",IF($S8="直近実績横ばい",$R8,IF($S8="直近2年平均",ROUND(AVERAGE($Q8:$R8),0),IF($S8="利用者数連動",IFERROR(ROUND($L8*(($Q8+$R8)/($F8+$G8)),0),0),IF($S8="政策調整",IF($T8="","",$T8),"")))))</f>
        <v>1</v>
      </c>
      <c r="X8" s="29">
        <f>IF($S8="-","-",IF($S8="直近実績横ばい",$R8,IF($S8="直近2年平均",ROUND(AVERAGE($Q8:$R8),0),IF($S8="利用者数連動",IFERROR(ROUND($M8*(($Q8+$R8)/($F8+$G8)),0),0),IF($S8="政策調整",IF($U8="","",$U8),"")))))</f>
        <v>1</v>
      </c>
      <c r="Y8" s="29">
        <f>IF($S8="-","-",IF($S8="直近実績横ばい",$R8,IF($S8="直近2年平均",ROUND(AVERAGE($Q8:$R8),0),IF($S8="利用者数連動",IFERROR(ROUND($N8*(($Q8+$R8)/($F8+$G8)),0),0),IF($S8="政策調整",IF($V8="","",$V8),"")))))</f>
        <v>1</v>
      </c>
      <c r="Z8" s="26" t="s">
        <v>149</v>
      </c>
    </row>
    <row r="9" spans="1:26" ht="16.5">
      <c r="A9" s="26" t="s">
        <v>142</v>
      </c>
      <c r="B9" s="26" t="s">
        <v>150</v>
      </c>
      <c r="C9" s="26" t="s">
        <v>100</v>
      </c>
      <c r="D9" s="27">
        <v>0</v>
      </c>
      <c r="E9" s="27">
        <v>0</v>
      </c>
      <c r="F9" s="27">
        <v>0</v>
      </c>
      <c r="G9" s="27">
        <v>0</v>
      </c>
      <c r="H9" s="26" t="s">
        <v>90</v>
      </c>
      <c r="I9" s="28"/>
      <c r="J9" s="28"/>
      <c r="K9" s="28"/>
      <c r="L9" s="29">
        <f>IF($H9="直近実績横ばい",$G9,IF($H9="直近2年平均",ROUND(AVERAGE($F9:$G9),0),IF($H9="直近3年平均",ROUND(AVERAGE($E9:$G9),0),IF($H9="線形トレンド",MAX(0,ROUND($G9+1*($G9-$D9)/3,0)),IF($H9="人口比率型",IFERROR(ROUND($G9/人口基礎データ!$F$7*人口基礎データ!$G$7,0),$G9),IF($H9="政策調整",IF($I9="",$G9,$I9),$G9))))))</f>
        <v>0</v>
      </c>
      <c r="M9" s="29">
        <f>IF($H9="直近実績横ばい",$G9,IF($H9="直近2年平均",ROUND(AVERAGE($F9:$G9),0),IF($H9="直近3年平均",ROUND(AVERAGE($E9:$G9),0),IF($H9="線形トレンド",MAX(0,ROUND($G9+2*($G9-$D9)/3,0)),IF($H9="人口比率型",IFERROR(ROUND($G9/人口基礎データ!$F$7*人口基礎データ!$H$7,0),$G9),IF($H9="政策調整",IF($J9="",$G9,$J9),$G9))))))</f>
        <v>0</v>
      </c>
      <c r="N9" s="29">
        <f>IF($H9="直近実績横ばい",$G9,IF($H9="直近2年平均",ROUND(AVERAGE($F9:$G9),0),IF($H9="直近3年平均",ROUND(AVERAGE($E9:$G9),0),IF($H9="線形トレンド",MAX(0,ROUND($G9+3*($G9-$D9)/3,0)),IF($H9="人口比率型",IFERROR(ROUND($G9/人口基礎データ!$F$7*人口基礎データ!$I$7,0),$G9),IF($H9="政策調整",IF($K9="",$G9,$K9),$G9))))))</f>
        <v>0</v>
      </c>
      <c r="O9" s="27">
        <v>0</v>
      </c>
      <c r="P9" s="27">
        <v>0</v>
      </c>
      <c r="Q9" s="27">
        <v>0</v>
      </c>
      <c r="R9" s="27">
        <v>0</v>
      </c>
      <c r="S9" s="26" t="s">
        <v>90</v>
      </c>
      <c r="T9" s="28"/>
      <c r="U9" s="28"/>
      <c r="V9" s="28"/>
      <c r="W9" s="29">
        <f>IF($S9="-","-",IF($S9="直近実績横ばい",$R9,IF($S9="直近2年平均",ROUND(AVERAGE($Q9:$R9),0),IF($S9="利用者数連動",IFERROR(ROUND($L9*(($Q9+$R9)/($F9+$G9)),0),0),IF($S9="政策調整",IF($T9="","",$T9),"")))))</f>
        <v>0</v>
      </c>
      <c r="X9" s="29">
        <f>IF($S9="-","-",IF($S9="直近実績横ばい",$R9,IF($S9="直近2年平均",ROUND(AVERAGE($Q9:$R9),0),IF($S9="利用者数連動",IFERROR(ROUND($M9*(($Q9+$R9)/($F9+$G9)),0),0),IF($S9="政策調整",IF($U9="","",$U9),"")))))</f>
        <v>0</v>
      </c>
      <c r="Y9" s="29">
        <f>IF($S9="-","-",IF($S9="直近実績横ばい",$R9,IF($S9="直近2年平均",ROUND(AVERAGE($Q9:$R9),0),IF($S9="利用者数連動",IFERROR(ROUND($N9*(($Q9+$R9)/($F9+$G9)),0),0),IF($S9="政策調整",IF($V9="","",$V9),"")))))</f>
        <v>0</v>
      </c>
      <c r="Z9" s="26" t="s">
        <v>151</v>
      </c>
    </row>
    <row r="10" spans="1:26" ht="33">
      <c r="A10" s="22" t="s">
        <v>152</v>
      </c>
      <c r="B10" s="22" t="s">
        <v>153</v>
      </c>
      <c r="C10" s="22" t="s">
        <v>109</v>
      </c>
      <c r="D10" s="23">
        <v>3</v>
      </c>
      <c r="E10" s="23">
        <v>4</v>
      </c>
      <c r="F10" s="23">
        <v>4</v>
      </c>
      <c r="G10" s="23">
        <v>0</v>
      </c>
      <c r="H10" s="24" t="s">
        <v>110</v>
      </c>
      <c r="I10" s="23">
        <v>4</v>
      </c>
      <c r="J10" s="23">
        <v>5</v>
      </c>
      <c r="K10" s="23">
        <v>5</v>
      </c>
      <c r="L10" s="25">
        <f>IF($H10="直近実績横ばい",$G10,IF($H10="直近2年平均",ROUND(AVERAGE($F10:$G10),0),IF($H10="直近3年平均",ROUND(AVERAGE($E10:$G10),0),IF($H10="線形トレンド",MAX(0,ROUND($G10+1*($G10-$D10)/3,0)),IF($H10="人口比率型",IFERROR(ROUND($G10/人口基礎データ!$F$7*人口基礎データ!$G$7,0),$G10),IF($H10="政策調整",IF($I10="",$G10,$I10),$G10))))))</f>
        <v>4</v>
      </c>
      <c r="M10" s="25">
        <f>IF($H10="直近実績横ばい",$G10,IF($H10="直近2年平均",ROUND(AVERAGE($F10:$G10),0),IF($H10="直近3年平均",ROUND(AVERAGE($E10:$G10),0),IF($H10="線形トレンド",MAX(0,ROUND($G10+2*($G10-$D10)/3,0)),IF($H10="人口比率型",IFERROR(ROUND($G10/人口基礎データ!$F$7*人口基礎データ!$H$7,0),$G10),IF($H10="政策調整",IF($J10="",$G10,$J10),$G10))))))</f>
        <v>5</v>
      </c>
      <c r="N10" s="25">
        <f>IF($H10="直近実績横ばい",$G10,IF($H10="直近2年平均",ROUND(AVERAGE($F10:$G10),0),IF($H10="直近3年平均",ROUND(AVERAGE($E10:$G10),0),IF($H10="線形トレンド",MAX(0,ROUND($G10+3*($G10-$D10)/3,0)),IF($H10="人口比率型",IFERROR(ROUND($G10/人口基礎データ!$F$7*人口基礎データ!$I$7,0),$G10),IF($H10="政策調整",IF($K10="",$G10,$K10),$G10))))))</f>
        <v>5</v>
      </c>
      <c r="O10" s="23" t="s">
        <v>109</v>
      </c>
      <c r="P10" s="23" t="s">
        <v>109</v>
      </c>
      <c r="Q10" s="23" t="s">
        <v>109</v>
      </c>
      <c r="R10" s="23" t="s">
        <v>109</v>
      </c>
      <c r="S10" s="24" t="s">
        <v>109</v>
      </c>
      <c r="T10" s="23"/>
      <c r="U10" s="23"/>
      <c r="V10" s="23"/>
      <c r="W10" s="25" t="str">
        <f>IF($S10="-","-",IF($S10="直近実績横ばい",$R10,IF($S10="直近2年平均",ROUND(AVERAGE($Q10:$R10),0),IF($S10="利用者数連動",IFERROR(ROUND($L10*(($Q10+$R10)/($F10+$G10)),0),0),IF($S10="政策調整",IF($T10="","",$T10),"")))))</f>
        <v>-</v>
      </c>
      <c r="X10" s="25" t="str">
        <f>IF($S10="-","-",IF($S10="直近実績横ばい",$R10,IF($S10="直近2年平均",ROUND(AVERAGE($Q10:$R10),0),IF($S10="利用者数連動",IFERROR(ROUND($M10*(($Q10+$R10)/($F10+$G10)),0),0),IF($S10="政策調整",IF($U10="","",$U10),"")))))</f>
        <v>-</v>
      </c>
      <c r="Y10" s="25" t="str">
        <f>IF($S10="-","-",IF($S10="直近実績横ばい",$R10,IF($S10="直近2年平均",ROUND(AVERAGE($Q10:$R10),0),IF($S10="利用者数連動",IFERROR(ROUND($N10*(($Q10+$R10)/($F10+$G10)),0),0),IF($S10="政策調整",IF($V10="","",$V10),"")))))</f>
        <v>-</v>
      </c>
      <c r="Z10" s="24" t="s">
        <v>154</v>
      </c>
    </row>
    <row r="11" spans="1:26" ht="16.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4">
    <mergeCell ref="A1:Z1"/>
    <mergeCell ref="A2:Z2"/>
    <mergeCell ref="D4:N4"/>
    <mergeCell ref="O4:Y4"/>
  </mergeCells>
  <phoneticPr fontId="8"/>
  <dataValidations count="2">
    <dataValidation type="list" sqref="H6:H10" xr:uid="{00000000-0002-0000-0300-000000000000}">
      <formula1>"直近実績横ばい,直近2年平均,直近3年平均,線形トレンド,人口比率型,政策調整"</formula1>
    </dataValidation>
    <dataValidation type="list" sqref="S6:S10" xr:uid="{00000000-0002-0000-0300-000001000000}">
      <formula1>"利用者数連動,直近実績横ばい,直近2年平均,政策調整,-"</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
  <sheetViews>
    <sheetView topLeftCell="A3" zoomScale="81" workbookViewId="0">
      <selection activeCell="H11" sqref="H11"/>
    </sheetView>
  </sheetViews>
  <sheetFormatPr defaultRowHeight="14.25"/>
  <cols>
    <col min="1" max="1" width="12" customWidth="1"/>
    <col min="2" max="2" width="38" customWidth="1"/>
    <col min="3" max="3" width="13" customWidth="1"/>
    <col min="4" max="7" width="10" customWidth="1"/>
    <col min="8" max="8" width="17" customWidth="1"/>
    <col min="9" max="14" width="10" customWidth="1"/>
    <col min="15" max="15" width="48" customWidth="1"/>
  </cols>
  <sheetData>
    <row r="1" spans="1:26" ht="30">
      <c r="A1" s="14" t="s">
        <v>155</v>
      </c>
      <c r="B1" s="14"/>
      <c r="C1" s="14"/>
      <c r="D1" s="14"/>
      <c r="E1" s="14"/>
      <c r="F1" s="14"/>
      <c r="G1" s="14"/>
      <c r="H1" s="14"/>
      <c r="I1" s="14"/>
      <c r="J1" s="14"/>
      <c r="K1" s="14"/>
      <c r="L1" s="14"/>
      <c r="M1" s="14"/>
      <c r="N1" s="14"/>
      <c r="O1" s="14"/>
      <c r="P1" s="2"/>
      <c r="Q1" s="2"/>
      <c r="R1" s="2"/>
      <c r="S1" s="2"/>
      <c r="T1" s="2"/>
      <c r="U1" s="2"/>
      <c r="V1" s="2"/>
      <c r="W1" s="2"/>
      <c r="X1" s="2"/>
      <c r="Y1" s="2"/>
      <c r="Z1" s="2"/>
    </row>
    <row r="2" spans="1:26" ht="16.5">
      <c r="A2" s="15" t="s">
        <v>156</v>
      </c>
      <c r="B2" s="15"/>
      <c r="C2" s="15"/>
      <c r="D2" s="15"/>
      <c r="E2" s="15"/>
      <c r="F2" s="15"/>
      <c r="G2" s="15"/>
      <c r="H2" s="15"/>
      <c r="I2" s="15"/>
      <c r="J2" s="15"/>
      <c r="K2" s="15"/>
      <c r="L2" s="15"/>
      <c r="M2" s="15"/>
      <c r="N2" s="15"/>
      <c r="O2" s="15"/>
      <c r="P2" s="2"/>
      <c r="Q2" s="2"/>
      <c r="R2" s="2"/>
      <c r="S2" s="2"/>
      <c r="T2" s="2"/>
      <c r="U2" s="2"/>
      <c r="V2" s="2"/>
      <c r="W2" s="2"/>
      <c r="X2" s="2"/>
      <c r="Y2" s="2"/>
      <c r="Z2" s="2"/>
    </row>
    <row r="3" spans="1:26" ht="16.5">
      <c r="A3" s="2"/>
      <c r="B3" s="2"/>
      <c r="C3" s="2"/>
      <c r="D3" s="2"/>
      <c r="E3" s="2"/>
      <c r="F3" s="2"/>
      <c r="G3" s="2"/>
      <c r="H3" s="2"/>
      <c r="I3" s="2"/>
      <c r="J3" s="2"/>
      <c r="K3" s="2"/>
      <c r="L3" s="2"/>
      <c r="M3" s="2"/>
      <c r="N3" s="2"/>
      <c r="O3" s="2"/>
      <c r="P3" s="2"/>
      <c r="Q3" s="2"/>
      <c r="R3" s="2"/>
      <c r="S3" s="2"/>
      <c r="T3" s="2"/>
      <c r="U3" s="2"/>
      <c r="V3" s="2"/>
      <c r="W3" s="2"/>
      <c r="X3" s="2"/>
      <c r="Y3" s="2"/>
      <c r="Z3" s="2"/>
    </row>
    <row r="4" spans="1:26" ht="16.5">
      <c r="A4" s="2"/>
      <c r="B4" s="2"/>
      <c r="C4" s="2"/>
      <c r="D4" s="2"/>
      <c r="E4" s="2"/>
      <c r="F4" s="2"/>
      <c r="G4" s="2"/>
      <c r="H4" s="2"/>
      <c r="I4" s="2"/>
      <c r="J4" s="2"/>
      <c r="K4" s="2"/>
      <c r="L4" s="2"/>
      <c r="M4" s="2"/>
      <c r="N4" s="2"/>
      <c r="O4" s="2"/>
      <c r="P4" s="2"/>
      <c r="Q4" s="2"/>
      <c r="R4" s="2"/>
      <c r="S4" s="2"/>
      <c r="T4" s="2"/>
      <c r="U4" s="2"/>
      <c r="V4" s="2"/>
      <c r="W4" s="2"/>
      <c r="X4" s="2"/>
      <c r="Y4" s="2"/>
      <c r="Z4" s="2"/>
    </row>
    <row r="5" spans="1:26" ht="16.5">
      <c r="A5" s="21" t="s">
        <v>30</v>
      </c>
      <c r="B5" s="21" t="s">
        <v>157</v>
      </c>
      <c r="C5" s="21" t="s">
        <v>31</v>
      </c>
      <c r="D5" s="21" t="s">
        <v>61</v>
      </c>
      <c r="E5" s="21" t="s">
        <v>62</v>
      </c>
      <c r="F5" s="21" t="s">
        <v>63</v>
      </c>
      <c r="G5" s="21" t="s">
        <v>64</v>
      </c>
      <c r="H5" s="21" t="s">
        <v>158</v>
      </c>
      <c r="I5" s="21" t="s">
        <v>66</v>
      </c>
      <c r="J5" s="21" t="s">
        <v>67</v>
      </c>
      <c r="K5" s="21" t="s">
        <v>68</v>
      </c>
      <c r="L5" s="21" t="s">
        <v>159</v>
      </c>
      <c r="M5" s="21" t="s">
        <v>160</v>
      </c>
      <c r="N5" s="21" t="s">
        <v>161</v>
      </c>
      <c r="O5" s="21" t="s">
        <v>162</v>
      </c>
      <c r="P5" s="2"/>
      <c r="Q5" s="2"/>
      <c r="R5" s="2"/>
      <c r="S5" s="2"/>
      <c r="T5" s="2"/>
      <c r="U5" s="2"/>
      <c r="V5" s="2"/>
      <c r="W5" s="2"/>
      <c r="X5" s="2"/>
      <c r="Y5" s="2"/>
      <c r="Z5" s="2"/>
    </row>
    <row r="6" spans="1:26" ht="16.5">
      <c r="A6" s="26" t="s">
        <v>163</v>
      </c>
      <c r="B6" s="26" t="s">
        <v>164</v>
      </c>
      <c r="C6" s="26" t="s">
        <v>165</v>
      </c>
      <c r="D6" s="27">
        <v>0</v>
      </c>
      <c r="E6" s="27">
        <v>2</v>
      </c>
      <c r="F6" s="27">
        <v>2</v>
      </c>
      <c r="G6" s="27">
        <v>2</v>
      </c>
      <c r="H6" s="26" t="s">
        <v>90</v>
      </c>
      <c r="I6" s="28"/>
      <c r="J6" s="28"/>
      <c r="K6" s="28"/>
      <c r="L6" s="26">
        <f t="shared" ref="L6:L26" si="0">IF($H6="政策調整",$I6,IF($H6="直近実績横ばい",$G6,IF($H6="直近2年平均",ROUND(AVERAGE($F6:$G6),0),"")))</f>
        <v>2</v>
      </c>
      <c r="M6" s="26">
        <f t="shared" ref="M6:M26" si="1">IF($H6="政策調整",$J6,IF($H6="直近実績横ばい",$G6,IF($H6="直近2年平均",ROUND(AVERAGE($F6:$G6),0),"")))</f>
        <v>2</v>
      </c>
      <c r="N6" s="26">
        <f t="shared" ref="N6:N26" si="2">IF($H6="政策調整",$K6,IF($H6="直近実績横ばい",$G6,IF($H6="直近2年平均",ROUND(AVERAGE($F6:$G6),0),"")))</f>
        <v>2</v>
      </c>
      <c r="O6" s="26" t="s">
        <v>166</v>
      </c>
      <c r="P6" s="2"/>
      <c r="Q6" s="2"/>
      <c r="R6" s="2"/>
      <c r="S6" s="2"/>
      <c r="T6" s="2"/>
      <c r="U6" s="2"/>
      <c r="V6" s="2"/>
      <c r="W6" s="2"/>
      <c r="X6" s="2"/>
      <c r="Y6" s="2"/>
      <c r="Z6" s="2"/>
    </row>
    <row r="7" spans="1:26" ht="16.5">
      <c r="A7" s="26" t="s">
        <v>163</v>
      </c>
      <c r="B7" s="26" t="s">
        <v>167</v>
      </c>
      <c r="C7" s="26" t="s">
        <v>100</v>
      </c>
      <c r="D7" s="27"/>
      <c r="E7" s="27">
        <v>16</v>
      </c>
      <c r="F7" s="27">
        <v>16</v>
      </c>
      <c r="G7" s="27">
        <v>16</v>
      </c>
      <c r="H7" s="26" t="s">
        <v>90</v>
      </c>
      <c r="I7" s="28"/>
      <c r="J7" s="28"/>
      <c r="K7" s="28"/>
      <c r="L7" s="26">
        <f t="shared" si="0"/>
        <v>16</v>
      </c>
      <c r="M7" s="26">
        <f t="shared" si="1"/>
        <v>16</v>
      </c>
      <c r="N7" s="26">
        <f t="shared" si="2"/>
        <v>16</v>
      </c>
      <c r="O7" s="26" t="s">
        <v>168</v>
      </c>
      <c r="P7" s="2"/>
      <c r="Q7" s="2"/>
      <c r="R7" s="2"/>
      <c r="S7" s="2"/>
      <c r="T7" s="2"/>
      <c r="U7" s="2"/>
      <c r="V7" s="2"/>
      <c r="W7" s="2"/>
      <c r="X7" s="2"/>
      <c r="Y7" s="2"/>
      <c r="Z7" s="2"/>
    </row>
    <row r="8" spans="1:26" ht="16.5">
      <c r="A8" s="26" t="s">
        <v>163</v>
      </c>
      <c r="B8" s="26" t="s">
        <v>169</v>
      </c>
      <c r="C8" s="26" t="s">
        <v>165</v>
      </c>
      <c r="D8" s="27">
        <v>0</v>
      </c>
      <c r="E8" s="27">
        <v>2</v>
      </c>
      <c r="F8" s="27">
        <v>2</v>
      </c>
      <c r="G8" s="27">
        <v>2</v>
      </c>
      <c r="H8" s="26" t="s">
        <v>90</v>
      </c>
      <c r="I8" s="28"/>
      <c r="J8" s="28"/>
      <c r="K8" s="28"/>
      <c r="L8" s="26">
        <f t="shared" si="0"/>
        <v>2</v>
      </c>
      <c r="M8" s="26">
        <f t="shared" si="1"/>
        <v>2</v>
      </c>
      <c r="N8" s="26">
        <f t="shared" si="2"/>
        <v>2</v>
      </c>
      <c r="O8" s="26" t="s">
        <v>166</v>
      </c>
      <c r="P8" s="2"/>
      <c r="Q8" s="2"/>
      <c r="R8" s="2"/>
      <c r="S8" s="2"/>
      <c r="T8" s="2"/>
      <c r="U8" s="2"/>
      <c r="V8" s="2"/>
      <c r="W8" s="2"/>
      <c r="X8" s="2"/>
      <c r="Y8" s="2"/>
      <c r="Z8" s="2"/>
    </row>
    <row r="9" spans="1:26" ht="16.5">
      <c r="A9" s="26" t="s">
        <v>163</v>
      </c>
      <c r="B9" s="26" t="s">
        <v>170</v>
      </c>
      <c r="C9" s="26" t="s">
        <v>100</v>
      </c>
      <c r="D9" s="27"/>
      <c r="E9" s="27">
        <v>16</v>
      </c>
      <c r="F9" s="27">
        <v>16</v>
      </c>
      <c r="G9" s="27">
        <v>16</v>
      </c>
      <c r="H9" s="26" t="s">
        <v>90</v>
      </c>
      <c r="I9" s="28"/>
      <c r="J9" s="28"/>
      <c r="K9" s="28"/>
      <c r="L9" s="26">
        <f t="shared" si="0"/>
        <v>16</v>
      </c>
      <c r="M9" s="26">
        <f t="shared" si="1"/>
        <v>16</v>
      </c>
      <c r="N9" s="26">
        <f t="shared" si="2"/>
        <v>16</v>
      </c>
      <c r="O9" s="26" t="s">
        <v>168</v>
      </c>
      <c r="P9" s="2"/>
      <c r="Q9" s="2"/>
      <c r="R9" s="2"/>
      <c r="S9" s="2"/>
      <c r="T9" s="2"/>
      <c r="U9" s="2"/>
      <c r="V9" s="2"/>
      <c r="W9" s="2"/>
      <c r="X9" s="2"/>
      <c r="Y9" s="2"/>
      <c r="Z9" s="2"/>
    </row>
    <row r="10" spans="1:26" ht="16.5">
      <c r="A10" s="26" t="s">
        <v>133</v>
      </c>
      <c r="B10" s="26" t="s">
        <v>171</v>
      </c>
      <c r="C10" s="26" t="s">
        <v>172</v>
      </c>
      <c r="D10" s="27"/>
      <c r="E10" s="27">
        <v>2</v>
      </c>
      <c r="F10" s="27">
        <v>2</v>
      </c>
      <c r="G10" s="27">
        <v>2</v>
      </c>
      <c r="H10" s="26" t="s">
        <v>90</v>
      </c>
      <c r="I10" s="28"/>
      <c r="J10" s="28"/>
      <c r="K10" s="28"/>
      <c r="L10" s="26">
        <f t="shared" si="0"/>
        <v>2</v>
      </c>
      <c r="M10" s="26">
        <f t="shared" si="1"/>
        <v>2</v>
      </c>
      <c r="N10" s="26">
        <f t="shared" si="2"/>
        <v>2</v>
      </c>
      <c r="O10" s="26" t="s">
        <v>173</v>
      </c>
      <c r="P10" s="2"/>
      <c r="Q10" s="2"/>
      <c r="R10" s="2"/>
      <c r="S10" s="2"/>
      <c r="T10" s="2"/>
      <c r="U10" s="2"/>
      <c r="V10" s="2"/>
      <c r="W10" s="2"/>
      <c r="X10" s="2"/>
      <c r="Y10" s="2"/>
      <c r="Z10" s="2"/>
    </row>
    <row r="11" spans="1:26" ht="33">
      <c r="A11" s="26" t="s">
        <v>133</v>
      </c>
      <c r="B11" s="26" t="s">
        <v>174</v>
      </c>
      <c r="C11" s="26" t="s">
        <v>175</v>
      </c>
      <c r="D11" s="27"/>
      <c r="E11" s="27" t="s">
        <v>176</v>
      </c>
      <c r="F11" s="27" t="s">
        <v>176</v>
      </c>
      <c r="G11" s="27" t="s">
        <v>176</v>
      </c>
      <c r="H11" s="26" t="s">
        <v>110</v>
      </c>
      <c r="I11" s="28" t="s">
        <v>176</v>
      </c>
      <c r="J11" s="28" t="s">
        <v>176</v>
      </c>
      <c r="K11" s="28" t="s">
        <v>176</v>
      </c>
      <c r="L11" s="26" t="str">
        <f t="shared" si="0"/>
        <v>〇</v>
      </c>
      <c r="M11" s="26" t="str">
        <f t="shared" si="1"/>
        <v>〇</v>
      </c>
      <c r="N11" s="26" t="str">
        <f t="shared" si="2"/>
        <v>〇</v>
      </c>
      <c r="O11" s="26" t="s">
        <v>177</v>
      </c>
      <c r="P11" s="2"/>
      <c r="Q11" s="2"/>
      <c r="R11" s="2"/>
      <c r="S11" s="2"/>
      <c r="T11" s="2"/>
      <c r="U11" s="2"/>
      <c r="V11" s="2"/>
      <c r="W11" s="2"/>
      <c r="X11" s="2"/>
      <c r="Y11" s="2"/>
      <c r="Z11" s="2"/>
    </row>
    <row r="12" spans="1:26" ht="16.5">
      <c r="A12" s="26" t="s">
        <v>178</v>
      </c>
      <c r="B12" s="26" t="s">
        <v>179</v>
      </c>
      <c r="C12" s="26" t="s">
        <v>180</v>
      </c>
      <c r="D12" s="27"/>
      <c r="E12" s="27" t="s">
        <v>176</v>
      </c>
      <c r="F12" s="27" t="s">
        <v>176</v>
      </c>
      <c r="G12" s="27" t="s">
        <v>176</v>
      </c>
      <c r="H12" s="26" t="s">
        <v>110</v>
      </c>
      <c r="I12" s="28" t="s">
        <v>176</v>
      </c>
      <c r="J12" s="28" t="s">
        <v>176</v>
      </c>
      <c r="K12" s="28" t="s">
        <v>176</v>
      </c>
      <c r="L12" s="26" t="str">
        <f t="shared" si="0"/>
        <v>〇</v>
      </c>
      <c r="M12" s="26" t="str">
        <f t="shared" si="1"/>
        <v>〇</v>
      </c>
      <c r="N12" s="26" t="str">
        <f t="shared" si="2"/>
        <v>〇</v>
      </c>
      <c r="O12" s="26" t="s">
        <v>181</v>
      </c>
      <c r="P12" s="2"/>
      <c r="Q12" s="2"/>
      <c r="R12" s="2"/>
      <c r="S12" s="2"/>
      <c r="T12" s="2"/>
      <c r="U12" s="2"/>
      <c r="V12" s="2"/>
      <c r="W12" s="2"/>
      <c r="X12" s="2"/>
      <c r="Y12" s="2"/>
      <c r="Z12" s="2"/>
    </row>
    <row r="13" spans="1:26" ht="16.5">
      <c r="A13" s="26" t="s">
        <v>182</v>
      </c>
      <c r="B13" s="26" t="s">
        <v>183</v>
      </c>
      <c r="C13" s="26" t="s">
        <v>180</v>
      </c>
      <c r="D13" s="27"/>
      <c r="E13" s="27" t="s">
        <v>176</v>
      </c>
      <c r="F13" s="27" t="s">
        <v>176</v>
      </c>
      <c r="G13" s="27" t="s">
        <v>176</v>
      </c>
      <c r="H13" s="26" t="s">
        <v>110</v>
      </c>
      <c r="I13" s="28" t="s">
        <v>176</v>
      </c>
      <c r="J13" s="28" t="s">
        <v>176</v>
      </c>
      <c r="K13" s="28" t="s">
        <v>176</v>
      </c>
      <c r="L13" s="26" t="str">
        <f t="shared" si="0"/>
        <v>〇</v>
      </c>
      <c r="M13" s="26" t="str">
        <f t="shared" si="1"/>
        <v>〇</v>
      </c>
      <c r="N13" s="26" t="str">
        <f t="shared" si="2"/>
        <v>〇</v>
      </c>
      <c r="O13" s="26" t="s">
        <v>181</v>
      </c>
      <c r="P13" s="2"/>
      <c r="Q13" s="2"/>
      <c r="R13" s="2"/>
      <c r="S13" s="2"/>
      <c r="T13" s="2"/>
      <c r="U13" s="2"/>
      <c r="V13" s="2"/>
      <c r="W13" s="2"/>
      <c r="X13" s="2"/>
      <c r="Y13" s="2"/>
      <c r="Z13" s="2"/>
    </row>
    <row r="14" spans="1:26" ht="16.5">
      <c r="A14" s="26" t="s">
        <v>178</v>
      </c>
      <c r="B14" s="26" t="s">
        <v>184</v>
      </c>
      <c r="C14" s="26" t="s">
        <v>185</v>
      </c>
      <c r="D14" s="27">
        <v>0</v>
      </c>
      <c r="E14" s="27"/>
      <c r="F14" s="27"/>
      <c r="G14" s="27"/>
      <c r="H14" s="30" t="s">
        <v>186</v>
      </c>
      <c r="I14" s="31"/>
      <c r="J14" s="31"/>
      <c r="K14" s="31"/>
      <c r="L14" s="30" t="str">
        <f t="shared" si="0"/>
        <v/>
      </c>
      <c r="M14" s="30" t="str">
        <f t="shared" si="1"/>
        <v/>
      </c>
      <c r="N14" s="30" t="str">
        <f t="shared" si="2"/>
        <v/>
      </c>
      <c r="O14" s="30" t="s">
        <v>187</v>
      </c>
      <c r="P14" s="2"/>
      <c r="Q14" s="2"/>
      <c r="R14" s="2"/>
      <c r="S14" s="2"/>
      <c r="T14" s="2"/>
      <c r="U14" s="2"/>
      <c r="V14" s="2"/>
      <c r="W14" s="2"/>
      <c r="X14" s="2"/>
      <c r="Y14" s="2"/>
      <c r="Z14" s="2"/>
    </row>
    <row r="15" spans="1:26" ht="16.5">
      <c r="A15" s="26" t="s">
        <v>188</v>
      </c>
      <c r="B15" s="26" t="s">
        <v>189</v>
      </c>
      <c r="C15" s="26" t="s">
        <v>190</v>
      </c>
      <c r="D15" s="27">
        <v>0</v>
      </c>
      <c r="E15" s="27"/>
      <c r="F15" s="27"/>
      <c r="G15" s="27"/>
      <c r="H15" s="30" t="s">
        <v>186</v>
      </c>
      <c r="I15" s="31"/>
      <c r="J15" s="31"/>
      <c r="K15" s="31"/>
      <c r="L15" s="30" t="str">
        <f t="shared" si="0"/>
        <v/>
      </c>
      <c r="M15" s="30" t="str">
        <f t="shared" si="1"/>
        <v/>
      </c>
      <c r="N15" s="30" t="str">
        <f t="shared" si="2"/>
        <v/>
      </c>
      <c r="O15" s="30" t="s">
        <v>191</v>
      </c>
      <c r="P15" s="2"/>
      <c r="Q15" s="2"/>
      <c r="R15" s="2"/>
      <c r="S15" s="2"/>
      <c r="T15" s="2"/>
      <c r="U15" s="2"/>
      <c r="V15" s="2"/>
      <c r="W15" s="2"/>
      <c r="X15" s="2"/>
      <c r="Y15" s="2"/>
      <c r="Z15" s="2"/>
    </row>
    <row r="16" spans="1:26" ht="16.5">
      <c r="A16" s="26" t="s">
        <v>188</v>
      </c>
      <c r="B16" s="26" t="s">
        <v>192</v>
      </c>
      <c r="C16" s="26" t="s">
        <v>190</v>
      </c>
      <c r="D16" s="27">
        <v>0</v>
      </c>
      <c r="E16" s="27"/>
      <c r="F16" s="27"/>
      <c r="G16" s="27"/>
      <c r="H16" s="30" t="s">
        <v>186</v>
      </c>
      <c r="I16" s="31"/>
      <c r="J16" s="31"/>
      <c r="K16" s="31"/>
      <c r="L16" s="30" t="str">
        <f t="shared" si="0"/>
        <v/>
      </c>
      <c r="M16" s="30" t="str">
        <f t="shared" si="1"/>
        <v/>
      </c>
      <c r="N16" s="30" t="str">
        <f t="shared" si="2"/>
        <v/>
      </c>
      <c r="O16" s="30" t="s">
        <v>191</v>
      </c>
      <c r="P16" s="2"/>
      <c r="Q16" s="2"/>
      <c r="R16" s="2"/>
      <c r="S16" s="2"/>
      <c r="T16" s="2"/>
      <c r="U16" s="2"/>
      <c r="V16" s="2"/>
      <c r="W16" s="2"/>
      <c r="X16" s="2"/>
      <c r="Y16" s="2"/>
      <c r="Z16" s="2"/>
    </row>
    <row r="17" spans="1:26" ht="16.5">
      <c r="A17" s="26" t="s">
        <v>188</v>
      </c>
      <c r="B17" s="26" t="s">
        <v>193</v>
      </c>
      <c r="C17" s="26" t="s">
        <v>190</v>
      </c>
      <c r="D17" s="27">
        <v>0</v>
      </c>
      <c r="E17" s="27"/>
      <c r="F17" s="27"/>
      <c r="G17" s="27"/>
      <c r="H17" s="30" t="s">
        <v>186</v>
      </c>
      <c r="I17" s="31"/>
      <c r="J17" s="31"/>
      <c r="K17" s="31"/>
      <c r="L17" s="30" t="str">
        <f t="shared" si="0"/>
        <v/>
      </c>
      <c r="M17" s="30" t="str">
        <f t="shared" si="1"/>
        <v/>
      </c>
      <c r="N17" s="30" t="str">
        <f t="shared" si="2"/>
        <v/>
      </c>
      <c r="O17" s="30" t="s">
        <v>191</v>
      </c>
      <c r="P17" s="2"/>
      <c r="Q17" s="2"/>
      <c r="R17" s="2"/>
      <c r="S17" s="2"/>
      <c r="T17" s="2"/>
      <c r="U17" s="2"/>
      <c r="V17" s="2"/>
      <c r="W17" s="2"/>
      <c r="X17" s="2"/>
      <c r="Y17" s="2"/>
      <c r="Z17" s="2"/>
    </row>
    <row r="18" spans="1:26" ht="16.5">
      <c r="A18" s="26" t="s">
        <v>194</v>
      </c>
      <c r="B18" s="26" t="s">
        <v>195</v>
      </c>
      <c r="C18" s="26" t="s">
        <v>190</v>
      </c>
      <c r="D18" s="27">
        <v>277</v>
      </c>
      <c r="E18" s="27"/>
      <c r="F18" s="27"/>
      <c r="G18" s="27"/>
      <c r="H18" s="30" t="s">
        <v>186</v>
      </c>
      <c r="I18" s="31"/>
      <c r="J18" s="31"/>
      <c r="K18" s="31"/>
      <c r="L18" s="30" t="str">
        <f t="shared" si="0"/>
        <v/>
      </c>
      <c r="M18" s="30" t="str">
        <f t="shared" si="1"/>
        <v/>
      </c>
      <c r="N18" s="30" t="str">
        <f t="shared" si="2"/>
        <v/>
      </c>
      <c r="O18" s="30" t="s">
        <v>196</v>
      </c>
      <c r="P18" s="2"/>
      <c r="Q18" s="2"/>
      <c r="R18" s="2"/>
      <c r="S18" s="2"/>
      <c r="T18" s="2"/>
      <c r="U18" s="2"/>
      <c r="V18" s="2"/>
      <c r="W18" s="2"/>
      <c r="X18" s="2"/>
      <c r="Y18" s="2"/>
      <c r="Z18" s="2"/>
    </row>
    <row r="19" spans="1:26" ht="16.5">
      <c r="A19" s="26" t="s">
        <v>197</v>
      </c>
      <c r="B19" s="26" t="s">
        <v>198</v>
      </c>
      <c r="C19" s="26" t="s">
        <v>185</v>
      </c>
      <c r="D19" s="27">
        <v>0</v>
      </c>
      <c r="E19" s="27">
        <v>20</v>
      </c>
      <c r="F19" s="27">
        <v>20</v>
      </c>
      <c r="G19" s="27">
        <v>20</v>
      </c>
      <c r="H19" s="26" t="s">
        <v>90</v>
      </c>
      <c r="I19" s="28"/>
      <c r="J19" s="28"/>
      <c r="K19" s="28"/>
      <c r="L19" s="26">
        <f t="shared" si="0"/>
        <v>20</v>
      </c>
      <c r="M19" s="26">
        <f t="shared" si="1"/>
        <v>20</v>
      </c>
      <c r="N19" s="26">
        <f t="shared" si="2"/>
        <v>20</v>
      </c>
      <c r="O19" s="26" t="s">
        <v>199</v>
      </c>
      <c r="P19" s="2"/>
      <c r="Q19" s="2"/>
      <c r="R19" s="2"/>
      <c r="S19" s="2"/>
      <c r="T19" s="2"/>
      <c r="U19" s="2"/>
      <c r="V19" s="2"/>
      <c r="W19" s="2"/>
      <c r="X19" s="2"/>
      <c r="Y19" s="2"/>
      <c r="Z19" s="2"/>
    </row>
    <row r="20" spans="1:26" ht="16.5">
      <c r="A20" s="26" t="s">
        <v>200</v>
      </c>
      <c r="B20" s="26" t="s">
        <v>201</v>
      </c>
      <c r="C20" s="26" t="s">
        <v>165</v>
      </c>
      <c r="D20" s="27">
        <v>0</v>
      </c>
      <c r="E20" s="27"/>
      <c r="F20" s="27"/>
      <c r="G20" s="27"/>
      <c r="H20" s="30" t="s">
        <v>186</v>
      </c>
      <c r="I20" s="31"/>
      <c r="J20" s="31"/>
      <c r="K20" s="31"/>
      <c r="L20" s="30" t="str">
        <f t="shared" si="0"/>
        <v/>
      </c>
      <c r="M20" s="30" t="str">
        <f t="shared" si="1"/>
        <v/>
      </c>
      <c r="N20" s="30" t="str">
        <f t="shared" si="2"/>
        <v/>
      </c>
      <c r="O20" s="30" t="s">
        <v>191</v>
      </c>
      <c r="P20" s="2"/>
      <c r="Q20" s="2"/>
      <c r="R20" s="2"/>
      <c r="S20" s="2"/>
      <c r="T20" s="2"/>
      <c r="U20" s="2"/>
      <c r="V20" s="2"/>
      <c r="W20" s="2"/>
      <c r="X20" s="2"/>
      <c r="Y20" s="2"/>
      <c r="Z20" s="2"/>
    </row>
    <row r="21" spans="1:26" ht="16.5">
      <c r="A21" s="26" t="s">
        <v>200</v>
      </c>
      <c r="B21" s="26" t="s">
        <v>202</v>
      </c>
      <c r="C21" s="26" t="s">
        <v>85</v>
      </c>
      <c r="D21" s="27">
        <v>0</v>
      </c>
      <c r="E21" s="27"/>
      <c r="F21" s="27"/>
      <c r="G21" s="27"/>
      <c r="H21" s="30" t="s">
        <v>186</v>
      </c>
      <c r="I21" s="31"/>
      <c r="J21" s="31"/>
      <c r="K21" s="31"/>
      <c r="L21" s="30" t="str">
        <f t="shared" si="0"/>
        <v/>
      </c>
      <c r="M21" s="30" t="str">
        <f t="shared" si="1"/>
        <v/>
      </c>
      <c r="N21" s="30" t="str">
        <f t="shared" si="2"/>
        <v/>
      </c>
      <c r="O21" s="30" t="s">
        <v>191</v>
      </c>
      <c r="P21" s="2"/>
      <c r="Q21" s="2"/>
      <c r="R21" s="2"/>
      <c r="S21" s="2"/>
      <c r="T21" s="2"/>
      <c r="U21" s="2"/>
      <c r="V21" s="2"/>
      <c r="W21" s="2"/>
      <c r="X21" s="2"/>
      <c r="Y21" s="2"/>
      <c r="Z21" s="2"/>
    </row>
    <row r="22" spans="1:26" ht="16.5">
      <c r="A22" s="26" t="s">
        <v>203</v>
      </c>
      <c r="B22" s="26" t="s">
        <v>204</v>
      </c>
      <c r="C22" s="26" t="s">
        <v>205</v>
      </c>
      <c r="D22" s="27"/>
      <c r="E22" s="27"/>
      <c r="F22" s="27"/>
      <c r="G22" s="27"/>
      <c r="H22" s="30" t="s">
        <v>186</v>
      </c>
      <c r="I22" s="31"/>
      <c r="J22" s="31"/>
      <c r="K22" s="31"/>
      <c r="L22" s="30" t="str">
        <f t="shared" si="0"/>
        <v/>
      </c>
      <c r="M22" s="30" t="str">
        <f t="shared" si="1"/>
        <v/>
      </c>
      <c r="N22" s="30" t="str">
        <f t="shared" si="2"/>
        <v/>
      </c>
      <c r="O22" s="30" t="s">
        <v>206</v>
      </c>
      <c r="P22" s="2"/>
      <c r="Q22" s="2"/>
      <c r="R22" s="2"/>
      <c r="S22" s="2"/>
      <c r="T22" s="2"/>
      <c r="U22" s="2"/>
      <c r="V22" s="2"/>
      <c r="W22" s="2"/>
      <c r="X22" s="2"/>
      <c r="Y22" s="2"/>
      <c r="Z22" s="2"/>
    </row>
    <row r="23" spans="1:26" ht="16.5">
      <c r="A23" s="26" t="s">
        <v>203</v>
      </c>
      <c r="B23" s="26" t="s">
        <v>207</v>
      </c>
      <c r="C23" s="26" t="s">
        <v>185</v>
      </c>
      <c r="D23" s="27">
        <v>0</v>
      </c>
      <c r="E23" s="27"/>
      <c r="F23" s="27"/>
      <c r="G23" s="27"/>
      <c r="H23" s="30" t="s">
        <v>186</v>
      </c>
      <c r="I23" s="31"/>
      <c r="J23" s="31"/>
      <c r="K23" s="31"/>
      <c r="L23" s="30" t="str">
        <f t="shared" si="0"/>
        <v/>
      </c>
      <c r="M23" s="30" t="str">
        <f t="shared" si="1"/>
        <v/>
      </c>
      <c r="N23" s="30" t="str">
        <f t="shared" si="2"/>
        <v/>
      </c>
      <c r="O23" s="30" t="s">
        <v>191</v>
      </c>
      <c r="P23" s="2"/>
      <c r="Q23" s="2"/>
      <c r="R23" s="2"/>
      <c r="S23" s="2"/>
      <c r="T23" s="2"/>
      <c r="U23" s="2"/>
      <c r="V23" s="2"/>
      <c r="W23" s="2"/>
      <c r="X23" s="2"/>
      <c r="Y23" s="2"/>
      <c r="Z23" s="2"/>
    </row>
    <row r="24" spans="1:26" ht="16.5">
      <c r="A24" s="26" t="s">
        <v>208</v>
      </c>
      <c r="B24" s="26" t="s">
        <v>209</v>
      </c>
      <c r="C24" s="26" t="s">
        <v>165</v>
      </c>
      <c r="D24" s="27">
        <v>1</v>
      </c>
      <c r="E24" s="27"/>
      <c r="F24" s="27"/>
      <c r="G24" s="27"/>
      <c r="H24" s="30" t="s">
        <v>186</v>
      </c>
      <c r="I24" s="31"/>
      <c r="J24" s="31"/>
      <c r="K24" s="31"/>
      <c r="L24" s="30" t="str">
        <f t="shared" si="0"/>
        <v/>
      </c>
      <c r="M24" s="30" t="str">
        <f t="shared" si="1"/>
        <v/>
      </c>
      <c r="N24" s="30" t="str">
        <f t="shared" si="2"/>
        <v/>
      </c>
      <c r="O24" s="30" t="s">
        <v>191</v>
      </c>
      <c r="P24" s="2"/>
      <c r="Q24" s="2"/>
      <c r="R24" s="2"/>
      <c r="S24" s="2"/>
      <c r="T24" s="2"/>
      <c r="U24" s="2"/>
      <c r="V24" s="2"/>
      <c r="W24" s="2"/>
      <c r="X24" s="2"/>
      <c r="Y24" s="2"/>
      <c r="Z24" s="2"/>
    </row>
    <row r="25" spans="1:26" ht="16.5">
      <c r="A25" s="26" t="s">
        <v>208</v>
      </c>
      <c r="B25" s="26" t="s">
        <v>210</v>
      </c>
      <c r="C25" s="26" t="s">
        <v>185</v>
      </c>
      <c r="D25" s="27">
        <v>24</v>
      </c>
      <c r="E25" s="27"/>
      <c r="F25" s="27"/>
      <c r="G25" s="27"/>
      <c r="H25" s="30" t="s">
        <v>186</v>
      </c>
      <c r="I25" s="31"/>
      <c r="J25" s="31"/>
      <c r="K25" s="31"/>
      <c r="L25" s="30" t="str">
        <f t="shared" si="0"/>
        <v/>
      </c>
      <c r="M25" s="30" t="str">
        <f t="shared" si="1"/>
        <v/>
      </c>
      <c r="N25" s="30" t="str">
        <f t="shared" si="2"/>
        <v/>
      </c>
      <c r="O25" s="30" t="s">
        <v>191</v>
      </c>
      <c r="P25" s="2"/>
      <c r="Q25" s="2"/>
      <c r="R25" s="2"/>
      <c r="S25" s="2"/>
      <c r="T25" s="2"/>
      <c r="U25" s="2"/>
      <c r="V25" s="2"/>
      <c r="W25" s="2"/>
      <c r="X25" s="2"/>
      <c r="Y25" s="2"/>
      <c r="Z25" s="2"/>
    </row>
    <row r="26" spans="1:26" ht="16.5">
      <c r="A26" s="26" t="s">
        <v>208</v>
      </c>
      <c r="B26" s="26" t="s">
        <v>211</v>
      </c>
      <c r="C26" s="26" t="s">
        <v>190</v>
      </c>
      <c r="D26" s="27">
        <v>0</v>
      </c>
      <c r="E26" s="27"/>
      <c r="F26" s="27"/>
      <c r="G26" s="27"/>
      <c r="H26" s="30" t="s">
        <v>186</v>
      </c>
      <c r="I26" s="31"/>
      <c r="J26" s="31"/>
      <c r="K26" s="31"/>
      <c r="L26" s="30" t="str">
        <f t="shared" si="0"/>
        <v/>
      </c>
      <c r="M26" s="30" t="str">
        <f t="shared" si="1"/>
        <v/>
      </c>
      <c r="N26" s="30" t="str">
        <f t="shared" si="2"/>
        <v/>
      </c>
      <c r="O26" s="30" t="s">
        <v>191</v>
      </c>
      <c r="P26" s="2"/>
      <c r="Q26" s="2"/>
      <c r="R26" s="2"/>
      <c r="S26" s="2"/>
      <c r="T26" s="2"/>
      <c r="U26" s="2"/>
      <c r="V26" s="2"/>
      <c r="W26" s="2"/>
      <c r="X26" s="2"/>
      <c r="Y26" s="2"/>
      <c r="Z26" s="2"/>
    </row>
    <row r="27" spans="1:26" ht="16.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2">
    <mergeCell ref="A1:O1"/>
    <mergeCell ref="A2:O2"/>
  </mergeCells>
  <phoneticPr fontId="8"/>
  <dataValidations count="1">
    <dataValidation type="list" sqref="H6:H26" xr:uid="{00000000-0002-0000-0400-000000000000}">
      <formula1>"直近実績横ばい,直近2年平均,政策調整,要確認"</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
  <sheetViews>
    <sheetView topLeftCell="A5" zoomScale="76" workbookViewId="0">
      <selection activeCell="E15" sqref="E15"/>
    </sheetView>
  </sheetViews>
  <sheetFormatPr defaultRowHeight="14.25"/>
  <cols>
    <col min="1" max="1" width="16" customWidth="1"/>
    <col min="2" max="2" width="43" customWidth="1"/>
    <col min="3" max="3" width="13" customWidth="1"/>
    <col min="4" max="4" width="12" customWidth="1"/>
    <col min="5" max="5" width="28" customWidth="1"/>
    <col min="6" max="6" width="11" customWidth="1"/>
    <col min="7" max="7" width="14" customWidth="1"/>
    <col min="8" max="8" width="12" customWidth="1"/>
    <col min="9" max="9" width="32" customWidth="1"/>
    <col min="10" max="10" width="18" customWidth="1"/>
    <col min="11" max="11" width="12" customWidth="1"/>
    <col min="12" max="12" width="34" customWidth="1"/>
  </cols>
  <sheetData>
    <row r="1" spans="1:26" ht="30">
      <c r="A1" s="14" t="s">
        <v>212</v>
      </c>
      <c r="B1" s="14"/>
      <c r="C1" s="14"/>
      <c r="D1" s="14"/>
      <c r="E1" s="14"/>
      <c r="F1" s="14"/>
      <c r="G1" s="14"/>
      <c r="H1" s="14"/>
      <c r="I1" s="14"/>
      <c r="J1" s="14"/>
      <c r="K1" s="14"/>
      <c r="L1" s="14"/>
      <c r="M1" s="2"/>
      <c r="N1" s="2"/>
      <c r="O1" s="2"/>
      <c r="P1" s="2"/>
      <c r="Q1" s="2"/>
      <c r="R1" s="2"/>
      <c r="S1" s="2"/>
      <c r="T1" s="2"/>
      <c r="U1" s="2"/>
      <c r="V1" s="2"/>
      <c r="W1" s="2"/>
      <c r="X1" s="2"/>
      <c r="Y1" s="2"/>
      <c r="Z1" s="2"/>
    </row>
    <row r="2" spans="1:26" ht="16.5">
      <c r="A2" s="16" t="s">
        <v>213</v>
      </c>
      <c r="B2" s="16"/>
      <c r="C2" s="16"/>
      <c r="D2" s="16"/>
      <c r="E2" s="16"/>
      <c r="F2" s="16"/>
      <c r="G2" s="16"/>
      <c r="H2" s="16"/>
      <c r="I2" s="16"/>
      <c r="J2" s="16"/>
      <c r="K2" s="16"/>
      <c r="L2" s="16"/>
      <c r="M2" s="2"/>
      <c r="N2" s="2"/>
      <c r="O2" s="2"/>
      <c r="P2" s="2"/>
      <c r="Q2" s="2"/>
      <c r="R2" s="2"/>
      <c r="S2" s="2"/>
      <c r="T2" s="2"/>
      <c r="U2" s="2"/>
      <c r="V2" s="2"/>
      <c r="W2" s="2"/>
      <c r="X2" s="2"/>
      <c r="Y2" s="2"/>
      <c r="Z2" s="2"/>
    </row>
    <row r="3" spans="1:26" ht="16.5">
      <c r="A3" s="2"/>
      <c r="B3" s="2"/>
      <c r="C3" s="2"/>
      <c r="D3" s="2"/>
      <c r="E3" s="2"/>
      <c r="F3" s="2"/>
      <c r="G3" s="2"/>
      <c r="H3" s="2"/>
      <c r="I3" s="2"/>
      <c r="J3" s="2"/>
      <c r="K3" s="2"/>
      <c r="L3" s="2"/>
      <c r="M3" s="2"/>
      <c r="N3" s="2"/>
      <c r="O3" s="2"/>
      <c r="P3" s="2"/>
      <c r="Q3" s="2"/>
      <c r="R3" s="2"/>
      <c r="S3" s="2"/>
      <c r="T3" s="2"/>
      <c r="U3" s="2"/>
      <c r="V3" s="2"/>
      <c r="W3" s="2"/>
      <c r="X3" s="2"/>
      <c r="Y3" s="2"/>
      <c r="Z3" s="2"/>
    </row>
    <row r="4" spans="1:26" ht="16.5">
      <c r="A4" s="2"/>
      <c r="B4" s="2"/>
      <c r="C4" s="2"/>
      <c r="D4" s="2"/>
      <c r="E4" s="2"/>
      <c r="F4" s="2"/>
      <c r="G4" s="2"/>
      <c r="H4" s="2"/>
      <c r="I4" s="2"/>
      <c r="J4" s="2"/>
      <c r="K4" s="2"/>
      <c r="L4" s="2"/>
      <c r="M4" s="2"/>
      <c r="N4" s="2"/>
      <c r="O4" s="2"/>
      <c r="P4" s="2"/>
      <c r="Q4" s="2"/>
      <c r="R4" s="2"/>
      <c r="S4" s="2"/>
      <c r="T4" s="2"/>
      <c r="U4" s="2"/>
      <c r="V4" s="2"/>
      <c r="W4" s="2"/>
      <c r="X4" s="2"/>
      <c r="Y4" s="2"/>
      <c r="Z4" s="2"/>
    </row>
    <row r="5" spans="1:26" ht="16.5">
      <c r="A5" s="21" t="s">
        <v>30</v>
      </c>
      <c r="B5" s="21" t="s">
        <v>214</v>
      </c>
      <c r="C5" s="21" t="s">
        <v>215</v>
      </c>
      <c r="D5" s="21" t="s">
        <v>216</v>
      </c>
      <c r="E5" s="21" t="s">
        <v>217</v>
      </c>
      <c r="F5" s="21" t="s">
        <v>218</v>
      </c>
      <c r="G5" s="21" t="s">
        <v>219</v>
      </c>
      <c r="H5" s="21" t="s">
        <v>31</v>
      </c>
      <c r="I5" s="21" t="s">
        <v>220</v>
      </c>
      <c r="J5" s="21" t="s">
        <v>221</v>
      </c>
      <c r="K5" s="21" t="s">
        <v>222</v>
      </c>
      <c r="L5" s="21" t="s">
        <v>223</v>
      </c>
      <c r="M5" s="2"/>
      <c r="N5" s="2"/>
      <c r="O5" s="2"/>
      <c r="P5" s="2"/>
      <c r="Q5" s="2"/>
      <c r="R5" s="2"/>
      <c r="S5" s="2"/>
      <c r="T5" s="2"/>
      <c r="U5" s="2"/>
      <c r="V5" s="2"/>
      <c r="W5" s="2"/>
      <c r="X5" s="2"/>
      <c r="Y5" s="2"/>
      <c r="Z5" s="2"/>
    </row>
    <row r="6" spans="1:26" ht="16.5">
      <c r="A6" s="26" t="s">
        <v>224</v>
      </c>
      <c r="B6" s="26" t="s">
        <v>225</v>
      </c>
      <c r="C6" s="26" t="s">
        <v>226</v>
      </c>
      <c r="D6" s="32">
        <f>'見込量算定(障害福祉)'!F24</f>
        <v>19</v>
      </c>
      <c r="E6" s="26" t="s">
        <v>227</v>
      </c>
      <c r="F6" s="33">
        <v>0.06</v>
      </c>
      <c r="G6" s="32">
        <f>ROUNDUP(D6*F6,0)</f>
        <v>2</v>
      </c>
      <c r="H6" s="26" t="s">
        <v>43</v>
      </c>
      <c r="I6" s="26" t="s">
        <v>228</v>
      </c>
      <c r="J6" s="26"/>
      <c r="K6" s="26" t="s">
        <v>229</v>
      </c>
      <c r="L6" s="26" t="s">
        <v>230</v>
      </c>
      <c r="M6" s="2"/>
      <c r="N6" s="2"/>
      <c r="O6" s="2"/>
      <c r="P6" s="2"/>
      <c r="Q6" s="2"/>
      <c r="R6" s="2"/>
      <c r="S6" s="2"/>
      <c r="T6" s="2"/>
      <c r="U6" s="2"/>
      <c r="V6" s="2"/>
      <c r="W6" s="2"/>
      <c r="X6" s="2"/>
      <c r="Y6" s="2"/>
      <c r="Z6" s="2"/>
    </row>
    <row r="7" spans="1:26" ht="16.5">
      <c r="A7" s="26" t="s">
        <v>224</v>
      </c>
      <c r="B7" s="26" t="s">
        <v>231</v>
      </c>
      <c r="C7" s="26" t="s">
        <v>226</v>
      </c>
      <c r="D7" s="32">
        <f>D6</f>
        <v>19</v>
      </c>
      <c r="E7" s="26" t="s">
        <v>232</v>
      </c>
      <c r="F7" s="33">
        <v>0.05</v>
      </c>
      <c r="G7" s="32">
        <f>ROUNDUP(D7*F7,0)</f>
        <v>1</v>
      </c>
      <c r="H7" s="26" t="s">
        <v>43</v>
      </c>
      <c r="I7" s="26" t="s">
        <v>233</v>
      </c>
      <c r="J7" s="26"/>
      <c r="K7" s="26" t="s">
        <v>229</v>
      </c>
      <c r="L7" s="26" t="s">
        <v>230</v>
      </c>
      <c r="M7" s="2"/>
      <c r="N7" s="2"/>
      <c r="O7" s="2"/>
      <c r="P7" s="2"/>
      <c r="Q7" s="2"/>
      <c r="R7" s="2"/>
      <c r="S7" s="2"/>
      <c r="T7" s="2"/>
      <c r="U7" s="2"/>
      <c r="V7" s="2"/>
      <c r="W7" s="2"/>
      <c r="X7" s="2"/>
      <c r="Y7" s="2"/>
      <c r="Z7" s="2"/>
    </row>
    <row r="8" spans="1:26" ht="16.5">
      <c r="A8" s="26" t="s">
        <v>224</v>
      </c>
      <c r="B8" s="26" t="s">
        <v>234</v>
      </c>
      <c r="C8" s="26" t="s">
        <v>226</v>
      </c>
      <c r="D8" s="32">
        <f>D6</f>
        <v>19</v>
      </c>
      <c r="E8" s="26" t="s">
        <v>235</v>
      </c>
      <c r="F8" s="33" t="s">
        <v>109</v>
      </c>
      <c r="G8" s="32">
        <f>D8-G7</f>
        <v>18</v>
      </c>
      <c r="H8" s="26" t="s">
        <v>43</v>
      </c>
      <c r="I8" s="26" t="s">
        <v>236</v>
      </c>
      <c r="J8" s="26"/>
      <c r="K8" s="26" t="s">
        <v>229</v>
      </c>
      <c r="L8" s="26" t="s">
        <v>237</v>
      </c>
      <c r="M8" s="2"/>
      <c r="N8" s="2"/>
      <c r="O8" s="2"/>
      <c r="P8" s="2"/>
      <c r="Q8" s="2"/>
      <c r="R8" s="2"/>
      <c r="S8" s="2"/>
      <c r="T8" s="2"/>
      <c r="U8" s="2"/>
      <c r="V8" s="2"/>
      <c r="W8" s="2"/>
      <c r="X8" s="2"/>
      <c r="Y8" s="2"/>
      <c r="Z8" s="2"/>
    </row>
    <row r="9" spans="1:26" ht="16.5">
      <c r="A9" s="26" t="s">
        <v>238</v>
      </c>
      <c r="B9" s="26" t="s">
        <v>239</v>
      </c>
      <c r="C9" s="26" t="s">
        <v>240</v>
      </c>
      <c r="D9" s="27"/>
      <c r="E9" s="26" t="s">
        <v>241</v>
      </c>
      <c r="F9" s="33">
        <v>1.31</v>
      </c>
      <c r="G9" s="32" t="str">
        <f>IF(D9="","",ROUNDUP(D9*F9,0))</f>
        <v/>
      </c>
      <c r="H9" s="26" t="s">
        <v>43</v>
      </c>
      <c r="I9" s="26"/>
      <c r="J9" s="30" t="s">
        <v>242</v>
      </c>
      <c r="K9" s="26" t="s">
        <v>229</v>
      </c>
      <c r="L9" s="26" t="s">
        <v>243</v>
      </c>
      <c r="M9" s="2"/>
      <c r="N9" s="2"/>
      <c r="O9" s="2"/>
      <c r="P9" s="2"/>
      <c r="Q9" s="2"/>
      <c r="R9" s="2"/>
      <c r="S9" s="2"/>
      <c r="T9" s="2"/>
      <c r="U9" s="2"/>
      <c r="V9" s="2"/>
      <c r="W9" s="2"/>
      <c r="X9" s="2"/>
      <c r="Y9" s="2"/>
      <c r="Z9" s="2"/>
    </row>
    <row r="10" spans="1:26" ht="16.5">
      <c r="A10" s="26" t="s">
        <v>238</v>
      </c>
      <c r="B10" s="26" t="s">
        <v>244</v>
      </c>
      <c r="C10" s="26" t="s">
        <v>240</v>
      </c>
      <c r="D10" s="27"/>
      <c r="E10" s="26" t="s">
        <v>245</v>
      </c>
      <c r="F10" s="33">
        <v>1.1399999999999999</v>
      </c>
      <c r="G10" s="32" t="str">
        <f>IF(D10="","",ROUNDUP(D10*F10,0))</f>
        <v/>
      </c>
      <c r="H10" s="26" t="s">
        <v>43</v>
      </c>
      <c r="I10" s="26"/>
      <c r="J10" s="30" t="s">
        <v>242</v>
      </c>
      <c r="K10" s="26" t="s">
        <v>229</v>
      </c>
      <c r="L10" s="26" t="s">
        <v>243</v>
      </c>
      <c r="M10" s="2"/>
      <c r="N10" s="2"/>
      <c r="O10" s="2"/>
      <c r="P10" s="2"/>
      <c r="Q10" s="2"/>
      <c r="R10" s="2"/>
      <c r="S10" s="2"/>
      <c r="T10" s="2"/>
      <c r="U10" s="2"/>
      <c r="V10" s="2"/>
      <c r="W10" s="2"/>
      <c r="X10" s="2"/>
      <c r="Y10" s="2"/>
      <c r="Z10" s="2"/>
    </row>
    <row r="11" spans="1:26" ht="16.5">
      <c r="A11" s="26" t="s">
        <v>238</v>
      </c>
      <c r="B11" s="26" t="s">
        <v>246</v>
      </c>
      <c r="C11" s="26" t="s">
        <v>240</v>
      </c>
      <c r="D11" s="27"/>
      <c r="E11" s="26" t="s">
        <v>247</v>
      </c>
      <c r="F11" s="33">
        <v>1.52</v>
      </c>
      <c r="G11" s="32" t="str">
        <f>IF(D11="","",ROUNDUP(D11*F11,0))</f>
        <v/>
      </c>
      <c r="H11" s="26" t="s">
        <v>43</v>
      </c>
      <c r="I11" s="26"/>
      <c r="J11" s="30" t="s">
        <v>242</v>
      </c>
      <c r="K11" s="26" t="s">
        <v>229</v>
      </c>
      <c r="L11" s="26" t="s">
        <v>243</v>
      </c>
      <c r="M11" s="2"/>
      <c r="N11" s="2"/>
      <c r="O11" s="2"/>
      <c r="P11" s="2"/>
      <c r="Q11" s="2"/>
      <c r="R11" s="2"/>
      <c r="S11" s="2"/>
      <c r="T11" s="2"/>
      <c r="U11" s="2"/>
      <c r="V11" s="2"/>
      <c r="W11" s="2"/>
      <c r="X11" s="2"/>
      <c r="Y11" s="2"/>
      <c r="Z11" s="2"/>
    </row>
    <row r="12" spans="1:26" ht="16.5">
      <c r="A12" s="26" t="s">
        <v>238</v>
      </c>
      <c r="B12" s="26" t="s">
        <v>248</v>
      </c>
      <c r="C12" s="26" t="s">
        <v>240</v>
      </c>
      <c r="D12" s="27"/>
      <c r="E12" s="26" t="s">
        <v>249</v>
      </c>
      <c r="F12" s="33">
        <v>1.67</v>
      </c>
      <c r="G12" s="32" t="str">
        <f>IF(D12="","",ROUNDUP(D12*F12,0))</f>
        <v/>
      </c>
      <c r="H12" s="26" t="s">
        <v>43</v>
      </c>
      <c r="I12" s="26"/>
      <c r="J12" s="30" t="s">
        <v>242</v>
      </c>
      <c r="K12" s="26" t="s">
        <v>229</v>
      </c>
      <c r="L12" s="26" t="s">
        <v>243</v>
      </c>
      <c r="M12" s="2"/>
      <c r="N12" s="2"/>
      <c r="O12" s="2"/>
      <c r="P12" s="2"/>
      <c r="Q12" s="2"/>
      <c r="R12" s="2"/>
      <c r="S12" s="2"/>
      <c r="T12" s="2"/>
      <c r="U12" s="2"/>
      <c r="V12" s="2"/>
      <c r="W12" s="2"/>
      <c r="X12" s="2"/>
      <c r="Y12" s="2"/>
      <c r="Z12" s="2"/>
    </row>
    <row r="13" spans="1:26" ht="16.5">
      <c r="A13" s="26" t="s">
        <v>238</v>
      </c>
      <c r="B13" s="26" t="s">
        <v>250</v>
      </c>
      <c r="C13" s="26" t="s">
        <v>240</v>
      </c>
      <c r="D13" s="32">
        <f>'見込量算定(障害福祉)'!E18</f>
        <v>1</v>
      </c>
      <c r="E13" s="26" t="s">
        <v>251</v>
      </c>
      <c r="F13" s="33">
        <v>1.47</v>
      </c>
      <c r="G13" s="32">
        <f>ROUNDUP(D13*F13,0)</f>
        <v>2</v>
      </c>
      <c r="H13" s="26" t="s">
        <v>43</v>
      </c>
      <c r="I13" s="26" t="s">
        <v>228</v>
      </c>
      <c r="J13" s="26"/>
      <c r="K13" s="26" t="s">
        <v>229</v>
      </c>
      <c r="L13" s="26" t="s">
        <v>243</v>
      </c>
      <c r="M13" s="2"/>
      <c r="N13" s="2"/>
      <c r="O13" s="2"/>
      <c r="P13" s="2"/>
      <c r="Q13" s="2"/>
      <c r="R13" s="2"/>
      <c r="S13" s="2"/>
      <c r="T13" s="2"/>
      <c r="U13" s="2"/>
      <c r="V13" s="2"/>
      <c r="W13" s="2"/>
      <c r="X13" s="2"/>
      <c r="Y13" s="2"/>
      <c r="Z13" s="2"/>
    </row>
    <row r="14" spans="1:26" ht="16.5">
      <c r="A14" s="26" t="s">
        <v>238</v>
      </c>
      <c r="B14" s="26" t="s">
        <v>252</v>
      </c>
      <c r="C14" s="26" t="s">
        <v>253</v>
      </c>
      <c r="D14" s="32" t="s">
        <v>109</v>
      </c>
      <c r="E14" s="26" t="s">
        <v>254</v>
      </c>
      <c r="F14" s="33">
        <v>0.5</v>
      </c>
      <c r="G14" s="32">
        <v>0.5</v>
      </c>
      <c r="H14" s="26" t="s">
        <v>255</v>
      </c>
      <c r="I14" s="26" t="s">
        <v>254</v>
      </c>
      <c r="J14" s="30" t="s">
        <v>256</v>
      </c>
      <c r="K14" s="26" t="s">
        <v>257</v>
      </c>
      <c r="L14" s="26" t="s">
        <v>243</v>
      </c>
      <c r="M14" s="2"/>
      <c r="N14" s="2"/>
      <c r="O14" s="2"/>
      <c r="P14" s="2"/>
      <c r="Q14" s="2"/>
      <c r="R14" s="2"/>
      <c r="S14" s="2"/>
      <c r="T14" s="2"/>
      <c r="U14" s="2"/>
      <c r="V14" s="2"/>
      <c r="W14" s="2"/>
      <c r="X14" s="2"/>
      <c r="Y14" s="2"/>
      <c r="Z14" s="2"/>
    </row>
    <row r="15" spans="1:26" ht="16.5">
      <c r="A15" s="26" t="s">
        <v>238</v>
      </c>
      <c r="B15" s="26" t="s">
        <v>258</v>
      </c>
      <c r="C15" s="26" t="s">
        <v>253</v>
      </c>
      <c r="D15" s="32" t="s">
        <v>109</v>
      </c>
      <c r="E15" s="26" t="s">
        <v>259</v>
      </c>
      <c r="F15" s="33">
        <v>0.25</v>
      </c>
      <c r="G15" s="32">
        <v>0.25</v>
      </c>
      <c r="H15" s="26" t="s">
        <v>255</v>
      </c>
      <c r="I15" s="26" t="s">
        <v>259</v>
      </c>
      <c r="J15" s="30" t="s">
        <v>256</v>
      </c>
      <c r="K15" s="26" t="s">
        <v>257</v>
      </c>
      <c r="L15" s="26" t="s">
        <v>243</v>
      </c>
      <c r="M15" s="2"/>
      <c r="N15" s="2"/>
      <c r="O15" s="2"/>
      <c r="P15" s="2"/>
      <c r="Q15" s="2"/>
      <c r="R15" s="2"/>
      <c r="S15" s="2"/>
      <c r="T15" s="2"/>
      <c r="U15" s="2"/>
      <c r="V15" s="2"/>
      <c r="W15" s="2"/>
      <c r="X15" s="2"/>
      <c r="Y15" s="2"/>
      <c r="Z15" s="2"/>
    </row>
    <row r="16" spans="1:26" ht="16.5">
      <c r="A16" s="26" t="s">
        <v>238</v>
      </c>
      <c r="B16" s="26" t="s">
        <v>260</v>
      </c>
      <c r="C16" s="26" t="s">
        <v>253</v>
      </c>
      <c r="D16" s="32" t="s">
        <v>109</v>
      </c>
      <c r="E16" s="26" t="s">
        <v>261</v>
      </c>
      <c r="F16" s="33" t="s">
        <v>109</v>
      </c>
      <c r="G16" s="32">
        <v>1</v>
      </c>
      <c r="H16" s="26" t="s">
        <v>262</v>
      </c>
      <c r="I16" s="26" t="s">
        <v>263</v>
      </c>
      <c r="J16" s="30" t="s">
        <v>264</v>
      </c>
      <c r="K16" s="26" t="s">
        <v>257</v>
      </c>
      <c r="L16" s="26" t="s">
        <v>243</v>
      </c>
      <c r="M16" s="2"/>
      <c r="N16" s="2"/>
      <c r="O16" s="2"/>
      <c r="P16" s="2"/>
      <c r="Q16" s="2"/>
      <c r="R16" s="2"/>
      <c r="S16" s="2"/>
      <c r="T16" s="2"/>
      <c r="U16" s="2"/>
      <c r="V16" s="2"/>
      <c r="W16" s="2"/>
      <c r="X16" s="2"/>
      <c r="Y16" s="2"/>
      <c r="Z16" s="2"/>
    </row>
    <row r="17" spans="1:26" ht="16.5">
      <c r="A17" s="26" t="s">
        <v>265</v>
      </c>
      <c r="B17" s="26" t="s">
        <v>266</v>
      </c>
      <c r="C17" s="26" t="s">
        <v>253</v>
      </c>
      <c r="D17" s="32" t="s">
        <v>109</v>
      </c>
      <c r="E17" s="26" t="s">
        <v>267</v>
      </c>
      <c r="F17" s="33" t="s">
        <v>109</v>
      </c>
      <c r="G17" s="32" t="s">
        <v>268</v>
      </c>
      <c r="H17" s="26" t="s">
        <v>109</v>
      </c>
      <c r="I17" s="26" t="s">
        <v>269</v>
      </c>
      <c r="J17" s="30" t="s">
        <v>186</v>
      </c>
      <c r="K17" s="26" t="s">
        <v>229</v>
      </c>
      <c r="L17" s="26" t="s">
        <v>270</v>
      </c>
      <c r="M17" s="2"/>
      <c r="N17" s="2"/>
      <c r="O17" s="2"/>
      <c r="P17" s="2"/>
      <c r="Q17" s="2"/>
      <c r="R17" s="2"/>
      <c r="S17" s="2"/>
      <c r="T17" s="2"/>
      <c r="U17" s="2"/>
      <c r="V17" s="2"/>
      <c r="W17" s="2"/>
      <c r="X17" s="2"/>
      <c r="Y17" s="2"/>
      <c r="Z17" s="2"/>
    </row>
    <row r="18" spans="1:26" ht="16.5">
      <c r="A18" s="26" t="s">
        <v>265</v>
      </c>
      <c r="B18" s="26" t="s">
        <v>271</v>
      </c>
      <c r="C18" s="26" t="s">
        <v>253</v>
      </c>
      <c r="D18" s="32" t="s">
        <v>109</v>
      </c>
      <c r="E18" s="26" t="s">
        <v>272</v>
      </c>
      <c r="F18" s="33" t="s">
        <v>109</v>
      </c>
      <c r="G18" s="32" t="s">
        <v>273</v>
      </c>
      <c r="H18" s="26" t="s">
        <v>109</v>
      </c>
      <c r="I18" s="26" t="s">
        <v>273</v>
      </c>
      <c r="J18" s="30" t="s">
        <v>186</v>
      </c>
      <c r="K18" s="26" t="s">
        <v>229</v>
      </c>
      <c r="L18" s="26" t="s">
        <v>270</v>
      </c>
      <c r="M18" s="2"/>
      <c r="N18" s="2"/>
      <c r="O18" s="2"/>
      <c r="P18" s="2"/>
      <c r="Q18" s="2"/>
      <c r="R18" s="2"/>
      <c r="S18" s="2"/>
      <c r="T18" s="2"/>
      <c r="U18" s="2"/>
      <c r="V18" s="2"/>
      <c r="W18" s="2"/>
      <c r="X18" s="2"/>
      <c r="Y18" s="2"/>
      <c r="Z18" s="2"/>
    </row>
    <row r="19" spans="1:26" ht="33">
      <c r="A19" s="26" t="s">
        <v>265</v>
      </c>
      <c r="B19" s="26" t="s">
        <v>274</v>
      </c>
      <c r="C19" s="26" t="s">
        <v>253</v>
      </c>
      <c r="D19" s="32" t="s">
        <v>109</v>
      </c>
      <c r="E19" s="26" t="s">
        <v>275</v>
      </c>
      <c r="F19" s="33" t="s">
        <v>109</v>
      </c>
      <c r="G19" s="32">
        <v>1</v>
      </c>
      <c r="H19" s="26" t="s">
        <v>276</v>
      </c>
      <c r="I19" s="26" t="s">
        <v>277</v>
      </c>
      <c r="J19" s="30" t="s">
        <v>186</v>
      </c>
      <c r="K19" s="26" t="s">
        <v>229</v>
      </c>
      <c r="L19" s="26" t="s">
        <v>270</v>
      </c>
      <c r="M19" s="2"/>
      <c r="N19" s="2"/>
      <c r="O19" s="2"/>
      <c r="P19" s="2"/>
      <c r="Q19" s="2"/>
      <c r="R19" s="2"/>
      <c r="S19" s="2"/>
      <c r="T19" s="2"/>
      <c r="U19" s="2"/>
      <c r="V19" s="2"/>
      <c r="W19" s="2"/>
      <c r="X19" s="2"/>
      <c r="Y19" s="2"/>
      <c r="Z19" s="2"/>
    </row>
    <row r="20" spans="1:26" ht="16.5">
      <c r="A20" s="26" t="s">
        <v>265</v>
      </c>
      <c r="B20" s="26" t="s">
        <v>278</v>
      </c>
      <c r="C20" s="26" t="s">
        <v>253</v>
      </c>
      <c r="D20" s="32" t="s">
        <v>109</v>
      </c>
      <c r="E20" s="26" t="s">
        <v>272</v>
      </c>
      <c r="F20" s="33" t="s">
        <v>109</v>
      </c>
      <c r="G20" s="32" t="s">
        <v>273</v>
      </c>
      <c r="H20" s="26" t="s">
        <v>109</v>
      </c>
      <c r="I20" s="26" t="s">
        <v>273</v>
      </c>
      <c r="J20" s="30" t="s">
        <v>186</v>
      </c>
      <c r="K20" s="26" t="s">
        <v>229</v>
      </c>
      <c r="L20" s="26" t="s">
        <v>270</v>
      </c>
      <c r="M20" s="2"/>
      <c r="N20" s="2"/>
      <c r="O20" s="2"/>
      <c r="P20" s="2"/>
      <c r="Q20" s="2"/>
      <c r="R20" s="2"/>
      <c r="S20" s="2"/>
      <c r="T20" s="2"/>
      <c r="U20" s="2"/>
      <c r="V20" s="2"/>
      <c r="W20" s="2"/>
      <c r="X20" s="2"/>
      <c r="Y20" s="2"/>
      <c r="Z20" s="2"/>
    </row>
    <row r="21" spans="1:26" ht="16.5">
      <c r="A21" s="26" t="s">
        <v>265</v>
      </c>
      <c r="B21" s="26" t="s">
        <v>279</v>
      </c>
      <c r="C21" s="26" t="s">
        <v>280</v>
      </c>
      <c r="D21" s="32">
        <v>0</v>
      </c>
      <c r="E21" s="26" t="s">
        <v>281</v>
      </c>
      <c r="F21" s="33" t="s">
        <v>109</v>
      </c>
      <c r="G21" s="32">
        <v>1</v>
      </c>
      <c r="H21" s="26" t="s">
        <v>282</v>
      </c>
      <c r="I21" s="26" t="s">
        <v>283</v>
      </c>
      <c r="J21" s="30" t="s">
        <v>186</v>
      </c>
      <c r="K21" s="26" t="s">
        <v>229</v>
      </c>
      <c r="L21" s="26" t="s">
        <v>270</v>
      </c>
      <c r="M21" s="2"/>
      <c r="N21" s="2"/>
      <c r="O21" s="2"/>
      <c r="P21" s="2"/>
      <c r="Q21" s="2"/>
      <c r="R21" s="2"/>
      <c r="S21" s="2"/>
      <c r="T21" s="2"/>
      <c r="U21" s="2"/>
      <c r="V21" s="2"/>
      <c r="W21" s="2"/>
      <c r="X21" s="2"/>
      <c r="Y21" s="2"/>
      <c r="Z21" s="2"/>
    </row>
    <row r="22" spans="1:26" ht="16.5">
      <c r="A22" s="26" t="s">
        <v>265</v>
      </c>
      <c r="B22" s="26" t="s">
        <v>284</v>
      </c>
      <c r="C22" s="26" t="s">
        <v>253</v>
      </c>
      <c r="D22" s="32" t="s">
        <v>109</v>
      </c>
      <c r="E22" s="26" t="s">
        <v>285</v>
      </c>
      <c r="F22" s="33" t="s">
        <v>109</v>
      </c>
      <c r="G22" s="32" t="s">
        <v>268</v>
      </c>
      <c r="H22" s="26" t="s">
        <v>109</v>
      </c>
      <c r="I22" s="26" t="s">
        <v>286</v>
      </c>
      <c r="J22" s="30" t="s">
        <v>186</v>
      </c>
      <c r="K22" s="26" t="s">
        <v>229</v>
      </c>
      <c r="L22" s="26" t="s">
        <v>270</v>
      </c>
      <c r="M22" s="2"/>
      <c r="N22" s="2"/>
      <c r="O22" s="2"/>
      <c r="P22" s="2"/>
      <c r="Q22" s="2"/>
      <c r="R22" s="2"/>
      <c r="S22" s="2"/>
      <c r="T22" s="2"/>
      <c r="U22" s="2"/>
      <c r="V22" s="2"/>
      <c r="W22" s="2"/>
      <c r="X22" s="2"/>
      <c r="Y22" s="2"/>
      <c r="Z22" s="2"/>
    </row>
    <row r="23" spans="1:26" ht="16.5">
      <c r="A23" s="26" t="s">
        <v>287</v>
      </c>
      <c r="B23" s="26" t="s">
        <v>288</v>
      </c>
      <c r="C23" s="26" t="s">
        <v>253</v>
      </c>
      <c r="D23" s="32" t="s">
        <v>109</v>
      </c>
      <c r="E23" s="26" t="s">
        <v>289</v>
      </c>
      <c r="F23" s="33" t="s">
        <v>109</v>
      </c>
      <c r="G23" s="32" t="s">
        <v>290</v>
      </c>
      <c r="H23" s="26" t="s">
        <v>109</v>
      </c>
      <c r="I23" s="26" t="s">
        <v>291</v>
      </c>
      <c r="J23" s="30" t="s">
        <v>186</v>
      </c>
      <c r="K23" s="26" t="s">
        <v>229</v>
      </c>
      <c r="L23" s="26" t="s">
        <v>292</v>
      </c>
      <c r="M23" s="2"/>
      <c r="N23" s="2"/>
      <c r="O23" s="2"/>
      <c r="P23" s="2"/>
      <c r="Q23" s="2"/>
      <c r="R23" s="2"/>
      <c r="S23" s="2"/>
      <c r="T23" s="2"/>
      <c r="U23" s="2"/>
      <c r="V23" s="2"/>
      <c r="W23" s="2"/>
      <c r="X23" s="2"/>
      <c r="Y23" s="2"/>
      <c r="Z23" s="2"/>
    </row>
    <row r="24" spans="1:26" ht="16.5">
      <c r="A24" s="26" t="s">
        <v>287</v>
      </c>
      <c r="B24" s="26" t="s">
        <v>293</v>
      </c>
      <c r="C24" s="26" t="s">
        <v>253</v>
      </c>
      <c r="D24" s="32" t="s">
        <v>109</v>
      </c>
      <c r="E24" s="26" t="s">
        <v>294</v>
      </c>
      <c r="F24" s="33" t="s">
        <v>109</v>
      </c>
      <c r="G24" s="32">
        <v>1</v>
      </c>
      <c r="H24" s="26" t="s">
        <v>282</v>
      </c>
      <c r="I24" s="26" t="s">
        <v>233</v>
      </c>
      <c r="J24" s="30" t="s">
        <v>186</v>
      </c>
      <c r="K24" s="26" t="s">
        <v>229</v>
      </c>
      <c r="L24" s="26" t="s">
        <v>292</v>
      </c>
      <c r="M24" s="2"/>
      <c r="N24" s="2"/>
      <c r="O24" s="2"/>
      <c r="P24" s="2"/>
      <c r="Q24" s="2"/>
      <c r="R24" s="2"/>
      <c r="S24" s="2"/>
      <c r="T24" s="2"/>
      <c r="U24" s="2"/>
      <c r="V24" s="2"/>
      <c r="W24" s="2"/>
      <c r="X24" s="2"/>
      <c r="Y24" s="2"/>
      <c r="Z24" s="2"/>
    </row>
    <row r="25" spans="1:26" ht="16.5">
      <c r="A25" s="26" t="s">
        <v>287</v>
      </c>
      <c r="B25" s="26" t="s">
        <v>295</v>
      </c>
      <c r="C25" s="26" t="s">
        <v>253</v>
      </c>
      <c r="D25" s="32" t="s">
        <v>109</v>
      </c>
      <c r="E25" s="26" t="s">
        <v>296</v>
      </c>
      <c r="F25" s="33" t="s">
        <v>109</v>
      </c>
      <c r="G25" s="32">
        <v>1</v>
      </c>
      <c r="H25" s="26" t="s">
        <v>297</v>
      </c>
      <c r="I25" s="26" t="s">
        <v>296</v>
      </c>
      <c r="J25" s="30" t="s">
        <v>186</v>
      </c>
      <c r="K25" s="26" t="s">
        <v>229</v>
      </c>
      <c r="L25" s="26" t="s">
        <v>292</v>
      </c>
      <c r="M25" s="2"/>
      <c r="N25" s="2"/>
      <c r="O25" s="2"/>
      <c r="P25" s="2"/>
      <c r="Q25" s="2"/>
      <c r="R25" s="2"/>
      <c r="S25" s="2"/>
      <c r="T25" s="2"/>
      <c r="U25" s="2"/>
      <c r="V25" s="2"/>
      <c r="W25" s="2"/>
      <c r="X25" s="2"/>
      <c r="Y25" s="2"/>
      <c r="Z25" s="2"/>
    </row>
    <row r="26" spans="1:26" ht="16.5">
      <c r="A26" s="26" t="s">
        <v>287</v>
      </c>
      <c r="B26" s="26" t="s">
        <v>298</v>
      </c>
      <c r="C26" s="26" t="s">
        <v>253</v>
      </c>
      <c r="D26" s="32" t="s">
        <v>109</v>
      </c>
      <c r="E26" s="26" t="s">
        <v>299</v>
      </c>
      <c r="F26" s="33" t="s">
        <v>109</v>
      </c>
      <c r="G26" s="32" t="s">
        <v>290</v>
      </c>
      <c r="H26" s="26" t="s">
        <v>109</v>
      </c>
      <c r="I26" s="26" t="s">
        <v>300</v>
      </c>
      <c r="J26" s="30" t="s">
        <v>186</v>
      </c>
      <c r="K26" s="26" t="s">
        <v>301</v>
      </c>
      <c r="L26" s="26" t="s">
        <v>292</v>
      </c>
      <c r="M26" s="2"/>
      <c r="N26" s="2"/>
      <c r="O26" s="2"/>
      <c r="P26" s="2"/>
      <c r="Q26" s="2"/>
      <c r="R26" s="2"/>
      <c r="S26" s="2"/>
      <c r="T26" s="2"/>
      <c r="U26" s="2"/>
      <c r="V26" s="2"/>
      <c r="W26" s="2"/>
      <c r="X26" s="2"/>
      <c r="Y26" s="2"/>
      <c r="Z26" s="2"/>
    </row>
    <row r="27" spans="1:26" ht="33">
      <c r="A27" s="26" t="s">
        <v>133</v>
      </c>
      <c r="B27" s="26" t="s">
        <v>302</v>
      </c>
      <c r="C27" s="26" t="s">
        <v>280</v>
      </c>
      <c r="D27" s="32" t="s">
        <v>176</v>
      </c>
      <c r="E27" s="26" t="s">
        <v>303</v>
      </c>
      <c r="F27" s="33" t="s">
        <v>109</v>
      </c>
      <c r="G27" s="32" t="s">
        <v>268</v>
      </c>
      <c r="H27" s="26" t="s">
        <v>109</v>
      </c>
      <c r="I27" s="26" t="s">
        <v>304</v>
      </c>
      <c r="J27" s="30" t="s">
        <v>305</v>
      </c>
      <c r="K27" s="26" t="s">
        <v>229</v>
      </c>
      <c r="L27" s="26" t="s">
        <v>306</v>
      </c>
      <c r="M27" s="2"/>
      <c r="N27" s="2"/>
      <c r="O27" s="2"/>
      <c r="P27" s="2"/>
      <c r="Q27" s="2"/>
      <c r="R27" s="2"/>
      <c r="S27" s="2"/>
      <c r="T27" s="2"/>
      <c r="U27" s="2"/>
      <c r="V27" s="2"/>
      <c r="W27" s="2"/>
      <c r="X27" s="2"/>
      <c r="Y27" s="2"/>
      <c r="Z27" s="2"/>
    </row>
    <row r="28" spans="1:26" ht="16.5">
      <c r="A28" s="26" t="s">
        <v>133</v>
      </c>
      <c r="B28" s="26" t="s">
        <v>307</v>
      </c>
      <c r="C28" s="26" t="s">
        <v>280</v>
      </c>
      <c r="D28" s="27"/>
      <c r="E28" s="26" t="s">
        <v>308</v>
      </c>
      <c r="F28" s="33">
        <v>0</v>
      </c>
      <c r="G28" s="32">
        <v>0</v>
      </c>
      <c r="H28" s="26" t="s">
        <v>309</v>
      </c>
      <c r="I28" s="26" t="s">
        <v>310</v>
      </c>
      <c r="J28" s="30" t="s">
        <v>242</v>
      </c>
      <c r="K28" s="26" t="s">
        <v>229</v>
      </c>
      <c r="L28" s="26" t="s">
        <v>306</v>
      </c>
      <c r="M28" s="2"/>
      <c r="N28" s="2"/>
      <c r="O28" s="2"/>
      <c r="P28" s="2"/>
      <c r="Q28" s="2"/>
      <c r="R28" s="2"/>
      <c r="S28" s="2"/>
      <c r="T28" s="2"/>
      <c r="U28" s="2"/>
      <c r="V28" s="2"/>
      <c r="W28" s="2"/>
      <c r="X28" s="2"/>
      <c r="Y28" s="2"/>
      <c r="Z28" s="2"/>
    </row>
    <row r="29" spans="1:26" ht="16.5">
      <c r="A29" s="26" t="s">
        <v>311</v>
      </c>
      <c r="B29" s="26" t="s">
        <v>312</v>
      </c>
      <c r="C29" s="26" t="s">
        <v>253</v>
      </c>
      <c r="D29" s="32" t="s">
        <v>109</v>
      </c>
      <c r="E29" s="26" t="s">
        <v>313</v>
      </c>
      <c r="F29" s="33" t="s">
        <v>109</v>
      </c>
      <c r="G29" s="32" t="s">
        <v>314</v>
      </c>
      <c r="H29" s="26" t="s">
        <v>109</v>
      </c>
      <c r="I29" s="26" t="s">
        <v>313</v>
      </c>
      <c r="J29" s="30" t="s">
        <v>186</v>
      </c>
      <c r="K29" s="26" t="s">
        <v>229</v>
      </c>
      <c r="L29" s="26" t="s">
        <v>315</v>
      </c>
      <c r="M29" s="2"/>
      <c r="N29" s="2"/>
      <c r="O29" s="2"/>
      <c r="P29" s="2"/>
      <c r="Q29" s="2"/>
      <c r="R29" s="2"/>
      <c r="S29" s="2"/>
      <c r="T29" s="2"/>
      <c r="U29" s="2"/>
      <c r="V29" s="2"/>
      <c r="W29" s="2"/>
      <c r="X29" s="2"/>
      <c r="Y29" s="2"/>
      <c r="Z29" s="2"/>
    </row>
    <row r="30" spans="1:26" ht="16.5">
      <c r="A30" s="2"/>
      <c r="B30" s="2"/>
      <c r="C30" s="2"/>
      <c r="D30" s="9"/>
      <c r="E30" s="2"/>
      <c r="F30" s="10"/>
      <c r="G30" s="9"/>
      <c r="H30" s="2"/>
      <c r="I30" s="2"/>
      <c r="J30" s="2"/>
      <c r="K30" s="2"/>
      <c r="L30" s="2"/>
      <c r="M30" s="2"/>
      <c r="N30" s="2"/>
      <c r="O30" s="2"/>
      <c r="P30" s="2"/>
      <c r="Q30" s="2"/>
      <c r="R30" s="2"/>
      <c r="S30" s="2"/>
      <c r="T30" s="2"/>
      <c r="U30" s="2"/>
      <c r="V30" s="2"/>
      <c r="W30" s="2"/>
      <c r="X30" s="2"/>
      <c r="Y30" s="2"/>
      <c r="Z30" s="2"/>
    </row>
    <row r="31" spans="1:26" ht="16.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2">
    <mergeCell ref="A1:L1"/>
    <mergeCell ref="A2:L2"/>
  </mergeCells>
  <phoneticPr fontId="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
  <sheetViews>
    <sheetView zoomScale="80" workbookViewId="0">
      <selection activeCell="B39" sqref="B39"/>
    </sheetView>
  </sheetViews>
  <sheetFormatPr defaultRowHeight="14.25"/>
  <cols>
    <col min="1" max="1" width="18" customWidth="1"/>
    <col min="2" max="2" width="31" customWidth="1"/>
    <col min="3" max="3" width="11" customWidth="1"/>
    <col min="4" max="4" width="26" customWidth="1"/>
    <col min="5" max="5" width="33" customWidth="1"/>
    <col min="6" max="6" width="11" customWidth="1"/>
    <col min="7" max="7" width="13" customWidth="1"/>
    <col min="8" max="8" width="3" customWidth="1"/>
    <col min="9" max="9" width="34" customWidth="1"/>
    <col min="10" max="11" width="12" customWidth="1"/>
  </cols>
  <sheetData>
    <row r="1" spans="1:26" ht="30">
      <c r="A1" s="14" t="s">
        <v>316</v>
      </c>
      <c r="B1" s="14"/>
      <c r="C1" s="14"/>
      <c r="D1" s="14"/>
      <c r="E1" s="14"/>
      <c r="F1" s="14"/>
      <c r="G1" s="14"/>
      <c r="H1" s="14"/>
      <c r="I1" s="14"/>
      <c r="J1" s="14"/>
      <c r="K1" s="2"/>
      <c r="L1" s="2"/>
      <c r="M1" s="2"/>
      <c r="N1" s="2"/>
      <c r="O1" s="2"/>
      <c r="P1" s="2"/>
      <c r="Q1" s="2"/>
      <c r="R1" s="2"/>
      <c r="S1" s="2"/>
      <c r="T1" s="2"/>
      <c r="U1" s="2"/>
      <c r="V1" s="2"/>
      <c r="W1" s="2"/>
      <c r="X1" s="2"/>
      <c r="Y1" s="2"/>
      <c r="Z1" s="2"/>
    </row>
    <row r="2" spans="1:26" ht="16.5">
      <c r="A2" s="15" t="s">
        <v>317</v>
      </c>
      <c r="B2" s="15"/>
      <c r="C2" s="15"/>
      <c r="D2" s="15"/>
      <c r="E2" s="15"/>
      <c r="F2" s="15"/>
      <c r="G2" s="15"/>
      <c r="H2" s="15"/>
      <c r="I2" s="15"/>
      <c r="J2" s="15"/>
      <c r="K2" s="2"/>
      <c r="L2" s="2"/>
      <c r="M2" s="2"/>
      <c r="N2" s="2"/>
      <c r="O2" s="2"/>
      <c r="P2" s="2"/>
      <c r="Q2" s="2"/>
      <c r="R2" s="2"/>
      <c r="S2" s="2"/>
      <c r="T2" s="2"/>
      <c r="U2" s="2"/>
      <c r="V2" s="2"/>
      <c r="W2" s="2"/>
      <c r="X2" s="2"/>
      <c r="Y2" s="2"/>
      <c r="Z2" s="2"/>
    </row>
    <row r="3" spans="1:26" ht="16.5">
      <c r="A3" s="2"/>
      <c r="B3" s="2"/>
      <c r="C3" s="2"/>
      <c r="D3" s="2"/>
      <c r="E3" s="2"/>
      <c r="F3" s="2"/>
      <c r="G3" s="2"/>
      <c r="H3" s="2"/>
      <c r="I3" s="2"/>
      <c r="J3" s="2"/>
      <c r="K3" s="2"/>
      <c r="L3" s="2"/>
      <c r="M3" s="2"/>
      <c r="N3" s="2"/>
      <c r="O3" s="2"/>
      <c r="P3" s="2"/>
      <c r="Q3" s="2"/>
      <c r="R3" s="2"/>
      <c r="S3" s="2"/>
      <c r="T3" s="2"/>
      <c r="U3" s="2"/>
      <c r="V3" s="2"/>
      <c r="W3" s="2"/>
      <c r="X3" s="2"/>
      <c r="Y3" s="2"/>
      <c r="Z3" s="2"/>
    </row>
    <row r="4" spans="1:26" ht="16.5">
      <c r="A4" s="21" t="s">
        <v>318</v>
      </c>
      <c r="B4" s="21" t="s">
        <v>319</v>
      </c>
      <c r="C4" s="3"/>
      <c r="D4" s="21" t="s">
        <v>320</v>
      </c>
      <c r="E4" s="21" t="s">
        <v>321</v>
      </c>
      <c r="F4" s="2"/>
      <c r="G4" s="2"/>
      <c r="H4" s="2"/>
      <c r="I4" s="2"/>
      <c r="J4" s="2"/>
      <c r="K4" s="2"/>
      <c r="L4" s="2"/>
      <c r="M4" s="2"/>
      <c r="N4" s="2"/>
      <c r="O4" s="2"/>
      <c r="P4" s="2"/>
      <c r="Q4" s="2"/>
      <c r="R4" s="2"/>
      <c r="S4" s="2"/>
      <c r="T4" s="2"/>
      <c r="U4" s="2"/>
      <c r="V4" s="2"/>
      <c r="W4" s="2"/>
      <c r="X4" s="2"/>
      <c r="Y4" s="2"/>
      <c r="Z4" s="2"/>
    </row>
    <row r="5" spans="1:26" ht="30" customHeight="1">
      <c r="A5" s="26" t="s">
        <v>322</v>
      </c>
      <c r="B5" s="26">
        <v>8740</v>
      </c>
      <c r="C5" s="3"/>
      <c r="D5" s="26" t="s">
        <v>323</v>
      </c>
      <c r="E5" s="30" t="s">
        <v>324</v>
      </c>
      <c r="F5" s="2"/>
      <c r="G5" s="2"/>
      <c r="H5" s="2"/>
      <c r="I5" s="2"/>
      <c r="J5" s="2"/>
      <c r="K5" s="2"/>
      <c r="L5" s="2"/>
      <c r="M5" s="2"/>
      <c r="N5" s="2"/>
      <c r="O5" s="2"/>
      <c r="P5" s="2"/>
      <c r="Q5" s="2"/>
      <c r="R5" s="2"/>
      <c r="S5" s="2"/>
      <c r="T5" s="2"/>
      <c r="U5" s="2"/>
      <c r="V5" s="2"/>
      <c r="W5" s="2"/>
      <c r="X5" s="2"/>
      <c r="Y5" s="2"/>
      <c r="Z5" s="2"/>
    </row>
    <row r="6" spans="1:26" ht="30" customHeight="1">
      <c r="A6" s="26" t="s">
        <v>325</v>
      </c>
      <c r="B6" s="26">
        <v>7830</v>
      </c>
      <c r="C6" s="3"/>
      <c r="D6" s="26" t="s">
        <v>326</v>
      </c>
      <c r="E6" s="30" t="s">
        <v>327</v>
      </c>
      <c r="F6" s="2"/>
      <c r="G6" s="2"/>
      <c r="H6" s="2"/>
      <c r="I6" s="2"/>
      <c r="J6" s="2"/>
      <c r="K6" s="2"/>
      <c r="L6" s="2"/>
      <c r="M6" s="2"/>
      <c r="N6" s="2"/>
      <c r="O6" s="2"/>
      <c r="P6" s="2"/>
      <c r="Q6" s="2"/>
      <c r="R6" s="2"/>
      <c r="S6" s="2"/>
      <c r="T6" s="2"/>
      <c r="U6" s="2"/>
      <c r="V6" s="2"/>
      <c r="W6" s="2"/>
      <c r="X6" s="2"/>
      <c r="Y6" s="2"/>
      <c r="Z6" s="2"/>
    </row>
    <row r="7" spans="1:26" ht="30" customHeight="1">
      <c r="A7" s="26" t="s">
        <v>328</v>
      </c>
      <c r="B7" s="34">
        <f>B6/B5-1</f>
        <v>-0.10411899313501149</v>
      </c>
      <c r="C7" s="3"/>
      <c r="D7" s="26" t="s">
        <v>329</v>
      </c>
      <c r="E7" s="30" t="s">
        <v>330</v>
      </c>
      <c r="F7" s="2"/>
      <c r="G7" s="2"/>
      <c r="H7" s="2"/>
      <c r="I7" s="2"/>
      <c r="J7" s="2"/>
      <c r="K7" s="2"/>
      <c r="L7" s="2"/>
      <c r="M7" s="2"/>
      <c r="N7" s="2"/>
      <c r="O7" s="2"/>
      <c r="P7" s="2"/>
      <c r="Q7" s="2"/>
      <c r="R7" s="2"/>
      <c r="S7" s="2"/>
      <c r="T7" s="2"/>
      <c r="U7" s="2"/>
      <c r="V7" s="2"/>
      <c r="W7" s="2"/>
      <c r="X7" s="2"/>
      <c r="Y7" s="2"/>
      <c r="Z7" s="2"/>
    </row>
    <row r="8" spans="1:26" ht="30" customHeight="1">
      <c r="A8" s="26" t="s">
        <v>331</v>
      </c>
      <c r="B8" s="26">
        <v>19</v>
      </c>
      <c r="C8" s="3"/>
      <c r="D8" s="26" t="s">
        <v>332</v>
      </c>
      <c r="E8" s="30" t="s">
        <v>333</v>
      </c>
      <c r="F8" s="2"/>
      <c r="G8" s="2"/>
      <c r="H8" s="2"/>
      <c r="I8" s="2"/>
      <c r="J8" s="2"/>
      <c r="K8" s="2"/>
      <c r="L8" s="2"/>
      <c r="M8" s="2"/>
      <c r="N8" s="2"/>
      <c r="O8" s="2"/>
      <c r="P8" s="2"/>
      <c r="Q8" s="2"/>
      <c r="R8" s="2"/>
      <c r="S8" s="2"/>
      <c r="T8" s="2"/>
      <c r="U8" s="2"/>
      <c r="V8" s="2"/>
      <c r="W8" s="2"/>
      <c r="X8" s="2"/>
      <c r="Y8" s="2"/>
      <c r="Z8" s="2"/>
    </row>
    <row r="9" spans="1:26" ht="30" customHeight="1">
      <c r="A9" s="26" t="s">
        <v>334</v>
      </c>
      <c r="B9" s="26">
        <v>18</v>
      </c>
      <c r="C9" s="3"/>
      <c r="D9" s="26" t="s">
        <v>335</v>
      </c>
      <c r="E9" s="30" t="s">
        <v>336</v>
      </c>
      <c r="F9" s="2"/>
      <c r="G9" s="2"/>
      <c r="H9" s="2"/>
      <c r="I9" s="2"/>
      <c r="J9" s="2"/>
      <c r="K9" s="2"/>
      <c r="L9" s="2"/>
      <c r="M9" s="2"/>
      <c r="N9" s="2"/>
      <c r="O9" s="2"/>
      <c r="P9" s="2"/>
      <c r="Q9" s="2"/>
      <c r="R9" s="2"/>
      <c r="S9" s="2"/>
      <c r="T9" s="2"/>
      <c r="U9" s="2"/>
      <c r="V9" s="2"/>
      <c r="W9" s="2"/>
      <c r="X9" s="2"/>
      <c r="Y9" s="2"/>
      <c r="Z9" s="2"/>
    </row>
    <row r="10" spans="1:26" ht="16.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5">
      <c r="A12" s="21" t="s">
        <v>58</v>
      </c>
      <c r="B12" s="21" t="s">
        <v>337</v>
      </c>
      <c r="C12" s="21" t="s">
        <v>64</v>
      </c>
      <c r="D12" s="21" t="s">
        <v>69</v>
      </c>
      <c r="E12" s="21" t="s">
        <v>70</v>
      </c>
      <c r="F12" s="21" t="s">
        <v>71</v>
      </c>
      <c r="G12" s="21" t="s">
        <v>338</v>
      </c>
      <c r="H12" s="2"/>
      <c r="I12" s="21" t="s">
        <v>337</v>
      </c>
      <c r="J12" s="21" t="s">
        <v>35</v>
      </c>
      <c r="K12" s="21" t="s">
        <v>38</v>
      </c>
      <c r="L12" s="2"/>
      <c r="M12" s="2"/>
      <c r="N12" s="2"/>
      <c r="O12" s="2"/>
      <c r="P12" s="2"/>
      <c r="Q12" s="2"/>
      <c r="R12" s="2"/>
      <c r="S12" s="2"/>
      <c r="T12" s="2"/>
      <c r="U12" s="2"/>
      <c r="V12" s="2"/>
      <c r="W12" s="2"/>
      <c r="X12" s="2"/>
      <c r="Y12" s="2"/>
      <c r="Z12" s="2"/>
    </row>
    <row r="13" spans="1:26" ht="16.5">
      <c r="A13" s="26" t="s">
        <v>83</v>
      </c>
      <c r="B13" s="26" t="s">
        <v>84</v>
      </c>
      <c r="C13" s="26">
        <f>'見込量算定(障害福祉)'!G6</f>
        <v>6</v>
      </c>
      <c r="D13" s="26">
        <f>'見込量算定(障害福祉)'!L6</f>
        <v>7</v>
      </c>
      <c r="E13" s="26">
        <f>'見込量算定(障害福祉)'!M6</f>
        <v>7</v>
      </c>
      <c r="F13" s="26">
        <f>'見込量算定(障害福祉)'!N6</f>
        <v>8</v>
      </c>
      <c r="G13" s="26">
        <f t="shared" ref="G13:G34" si="0">F13-C13</f>
        <v>2</v>
      </c>
      <c r="H13" s="2"/>
      <c r="I13" s="19" t="s">
        <v>99</v>
      </c>
      <c r="J13" s="19">
        <f>C18</f>
        <v>30</v>
      </c>
      <c r="K13" s="19">
        <f>F18</f>
        <v>31</v>
      </c>
      <c r="L13" s="2"/>
      <c r="M13" s="2"/>
      <c r="N13" s="2"/>
      <c r="O13" s="2"/>
      <c r="P13" s="2"/>
      <c r="Q13" s="2"/>
      <c r="R13" s="2"/>
      <c r="S13" s="2"/>
      <c r="T13" s="2"/>
      <c r="U13" s="2"/>
      <c r="V13" s="2"/>
      <c r="W13" s="2"/>
      <c r="X13" s="2"/>
      <c r="Y13" s="2"/>
      <c r="Z13" s="2"/>
    </row>
    <row r="14" spans="1:26" ht="16.5">
      <c r="A14" s="26" t="s">
        <v>83</v>
      </c>
      <c r="B14" s="26" t="s">
        <v>89</v>
      </c>
      <c r="C14" s="26">
        <f>'見込量算定(障害福祉)'!G7</f>
        <v>1</v>
      </c>
      <c r="D14" s="26">
        <f>'見込量算定(障害福祉)'!L7</f>
        <v>1</v>
      </c>
      <c r="E14" s="26">
        <f>'見込量算定(障害福祉)'!M7</f>
        <v>1</v>
      </c>
      <c r="F14" s="26">
        <f>'見込量算定(障害福祉)'!N7</f>
        <v>1</v>
      </c>
      <c r="G14" s="26">
        <f t="shared" si="0"/>
        <v>0</v>
      </c>
      <c r="H14" s="2"/>
      <c r="I14" s="19" t="s">
        <v>114</v>
      </c>
      <c r="J14" s="19">
        <f>C23</f>
        <v>11</v>
      </c>
      <c r="K14" s="19">
        <f>F23</f>
        <v>17</v>
      </c>
      <c r="L14" s="2"/>
      <c r="M14" s="2"/>
      <c r="N14" s="2"/>
      <c r="O14" s="2"/>
      <c r="P14" s="2"/>
      <c r="Q14" s="2"/>
      <c r="R14" s="2"/>
      <c r="S14" s="2"/>
      <c r="T14" s="2"/>
      <c r="U14" s="2"/>
      <c r="V14" s="2"/>
      <c r="W14" s="2"/>
      <c r="X14" s="2"/>
      <c r="Y14" s="2"/>
      <c r="Z14" s="2"/>
    </row>
    <row r="15" spans="1:26" ht="16.5">
      <c r="A15" s="26" t="s">
        <v>83</v>
      </c>
      <c r="B15" s="26" t="s">
        <v>92</v>
      </c>
      <c r="C15" s="26">
        <f>'見込量算定(障害福祉)'!G8</f>
        <v>0</v>
      </c>
      <c r="D15" s="26">
        <f>'見込量算定(障害福祉)'!L8</f>
        <v>0</v>
      </c>
      <c r="E15" s="26">
        <f>'見込量算定(障害福祉)'!M8</f>
        <v>0</v>
      </c>
      <c r="F15" s="26">
        <f>'見込量算定(障害福祉)'!N8</f>
        <v>0</v>
      </c>
      <c r="G15" s="26">
        <f t="shared" si="0"/>
        <v>0</v>
      </c>
      <c r="H15" s="2"/>
      <c r="I15" s="19" t="s">
        <v>116</v>
      </c>
      <c r="J15" s="19">
        <f>C24</f>
        <v>36</v>
      </c>
      <c r="K15" s="19">
        <f>F24</f>
        <v>36</v>
      </c>
      <c r="L15" s="2"/>
      <c r="M15" s="2"/>
      <c r="N15" s="2"/>
      <c r="O15" s="2"/>
      <c r="P15" s="2"/>
      <c r="Q15" s="2"/>
      <c r="R15" s="2"/>
      <c r="S15" s="2"/>
      <c r="T15" s="2"/>
      <c r="U15" s="2"/>
      <c r="V15" s="2"/>
      <c r="W15" s="2"/>
      <c r="X15" s="2"/>
      <c r="Y15" s="2"/>
      <c r="Z15" s="2"/>
    </row>
    <row r="16" spans="1:26" ht="16.5">
      <c r="A16" s="26" t="s">
        <v>83</v>
      </c>
      <c r="B16" s="26" t="s">
        <v>94</v>
      </c>
      <c r="C16" s="26">
        <f>'見込量算定(障害福祉)'!G9</f>
        <v>0</v>
      </c>
      <c r="D16" s="26">
        <f>'見込量算定(障害福祉)'!L9</f>
        <v>0</v>
      </c>
      <c r="E16" s="26">
        <f>'見込量算定(障害福祉)'!M9</f>
        <v>0</v>
      </c>
      <c r="F16" s="26">
        <f>'見込量算定(障害福祉)'!N9</f>
        <v>0</v>
      </c>
      <c r="G16" s="26">
        <f t="shared" si="0"/>
        <v>0</v>
      </c>
      <c r="H16" s="2"/>
      <c r="I16" s="19" t="s">
        <v>129</v>
      </c>
      <c r="J16" s="19">
        <f>C30</f>
        <v>18</v>
      </c>
      <c r="K16" s="19">
        <f>F30</f>
        <v>22</v>
      </c>
      <c r="L16" s="2"/>
      <c r="M16" s="2"/>
      <c r="N16" s="2"/>
      <c r="O16" s="2"/>
      <c r="P16" s="2"/>
      <c r="Q16" s="2"/>
      <c r="R16" s="2"/>
      <c r="S16" s="2"/>
      <c r="T16" s="2"/>
      <c r="U16" s="2"/>
      <c r="V16" s="2"/>
      <c r="W16" s="2"/>
      <c r="X16" s="2"/>
      <c r="Y16" s="2"/>
      <c r="Z16" s="2"/>
    </row>
    <row r="17" spans="1:26" ht="16.5">
      <c r="A17" s="26" t="s">
        <v>83</v>
      </c>
      <c r="B17" s="26" t="s">
        <v>96</v>
      </c>
      <c r="C17" s="26">
        <f>'見込量算定(障害福祉)'!G10</f>
        <v>0</v>
      </c>
      <c r="D17" s="26">
        <f>'見込量算定(障害福祉)'!L10</f>
        <v>0</v>
      </c>
      <c r="E17" s="26">
        <f>'見込量算定(障害福祉)'!M10</f>
        <v>0</v>
      </c>
      <c r="F17" s="26">
        <f>'見込量算定(障害福祉)'!N10</f>
        <v>0</v>
      </c>
      <c r="G17" s="26">
        <f t="shared" si="0"/>
        <v>0</v>
      </c>
      <c r="H17" s="2"/>
      <c r="I17" s="19" t="s">
        <v>131</v>
      </c>
      <c r="J17" s="19">
        <f>C31</f>
        <v>18</v>
      </c>
      <c r="K17" s="19">
        <f>F31</f>
        <v>18</v>
      </c>
      <c r="L17" s="2"/>
      <c r="M17" s="2"/>
      <c r="N17" s="2"/>
      <c r="O17" s="2"/>
      <c r="P17" s="2"/>
      <c r="Q17" s="2"/>
      <c r="R17" s="2"/>
      <c r="S17" s="2"/>
      <c r="T17" s="2"/>
      <c r="U17" s="2"/>
      <c r="V17" s="2"/>
      <c r="W17" s="2"/>
      <c r="X17" s="2"/>
      <c r="Y17" s="2"/>
      <c r="Z17" s="2"/>
    </row>
    <row r="18" spans="1:26" ht="16.5">
      <c r="A18" s="26" t="s">
        <v>98</v>
      </c>
      <c r="B18" s="26" t="s">
        <v>99</v>
      </c>
      <c r="C18" s="26">
        <f>'見込量算定(障害福祉)'!G11</f>
        <v>30</v>
      </c>
      <c r="D18" s="26">
        <f>'見込量算定(障害福祉)'!L11</f>
        <v>31</v>
      </c>
      <c r="E18" s="26">
        <f>'見込量算定(障害福祉)'!M11</f>
        <v>31</v>
      </c>
      <c r="F18" s="26">
        <f>'見込量算定(障害福祉)'!N11</f>
        <v>31</v>
      </c>
      <c r="G18" s="26">
        <f t="shared" si="0"/>
        <v>1</v>
      </c>
      <c r="H18" s="2"/>
      <c r="I18" s="19" t="s">
        <v>134</v>
      </c>
      <c r="J18" s="19">
        <f>C32</f>
        <v>15</v>
      </c>
      <c r="K18" s="19">
        <f>F32</f>
        <v>18</v>
      </c>
      <c r="L18" s="2"/>
      <c r="M18" s="2"/>
      <c r="N18" s="2"/>
      <c r="O18" s="2"/>
      <c r="P18" s="2"/>
      <c r="Q18" s="2"/>
      <c r="R18" s="2"/>
      <c r="S18" s="2"/>
      <c r="T18" s="2"/>
      <c r="U18" s="2"/>
      <c r="V18" s="2"/>
      <c r="W18" s="2"/>
      <c r="X18" s="2"/>
      <c r="Y18" s="2"/>
      <c r="Z18" s="2"/>
    </row>
    <row r="19" spans="1:26" ht="16.5">
      <c r="A19" s="26" t="s">
        <v>98</v>
      </c>
      <c r="B19" s="26" t="s">
        <v>103</v>
      </c>
      <c r="C19" s="26">
        <f>'見込量算定(障害福祉)'!G12</f>
        <v>0</v>
      </c>
      <c r="D19" s="26">
        <f>'見込量算定(障害福祉)'!L12</f>
        <v>0</v>
      </c>
      <c r="E19" s="26">
        <f>'見込量算定(障害福祉)'!M12</f>
        <v>0</v>
      </c>
      <c r="F19" s="26">
        <f>'見込量算定(障害福祉)'!N12</f>
        <v>0</v>
      </c>
      <c r="G19" s="26">
        <f t="shared" si="0"/>
        <v>0</v>
      </c>
      <c r="H19" s="2"/>
      <c r="I19" s="2"/>
      <c r="J19" s="2"/>
      <c r="K19" s="2"/>
      <c r="L19" s="2"/>
      <c r="M19" s="2"/>
      <c r="N19" s="2"/>
      <c r="O19" s="2"/>
      <c r="P19" s="2"/>
      <c r="Q19" s="2"/>
      <c r="R19" s="2"/>
      <c r="S19" s="2"/>
      <c r="T19" s="2"/>
      <c r="U19" s="2"/>
      <c r="V19" s="2"/>
      <c r="W19" s="2"/>
      <c r="X19" s="2"/>
      <c r="Y19" s="2"/>
      <c r="Z19" s="2"/>
    </row>
    <row r="20" spans="1:26" ht="16.5">
      <c r="A20" s="26" t="s">
        <v>98</v>
      </c>
      <c r="B20" s="26" t="s">
        <v>105</v>
      </c>
      <c r="C20" s="26">
        <f>'見込量算定(障害福祉)'!G13</f>
        <v>2</v>
      </c>
      <c r="D20" s="26">
        <f>'見込量算定(障害福祉)'!L13</f>
        <v>3</v>
      </c>
      <c r="E20" s="26">
        <f>'見込量算定(障害福祉)'!M13</f>
        <v>3</v>
      </c>
      <c r="F20" s="26">
        <f>'見込量算定(障害福祉)'!N13</f>
        <v>3</v>
      </c>
      <c r="G20" s="26">
        <f t="shared" si="0"/>
        <v>1</v>
      </c>
      <c r="H20" s="2"/>
      <c r="I20" s="2"/>
      <c r="J20" s="2"/>
      <c r="K20" s="2"/>
      <c r="L20" s="2"/>
      <c r="M20" s="2"/>
      <c r="N20" s="2"/>
      <c r="O20" s="2"/>
      <c r="P20" s="2"/>
      <c r="Q20" s="2"/>
      <c r="R20" s="2"/>
      <c r="S20" s="2"/>
      <c r="T20" s="2"/>
      <c r="U20" s="2"/>
      <c r="V20" s="2"/>
      <c r="W20" s="2"/>
      <c r="X20" s="2"/>
      <c r="Y20" s="2"/>
      <c r="Z20" s="2"/>
    </row>
    <row r="21" spans="1:26" ht="16.5">
      <c r="A21" s="26" t="s">
        <v>98</v>
      </c>
      <c r="B21" s="26" t="s">
        <v>108</v>
      </c>
      <c r="C21" s="26">
        <f>'見込量算定(障害福祉)'!G14</f>
        <v>0</v>
      </c>
      <c r="D21" s="26">
        <f>'見込量算定(障害福祉)'!L14</f>
        <v>1</v>
      </c>
      <c r="E21" s="26">
        <f>'見込量算定(障害福祉)'!M14</f>
        <v>1</v>
      </c>
      <c r="F21" s="26">
        <f>'見込量算定(障害福祉)'!N14</f>
        <v>1</v>
      </c>
      <c r="G21" s="26">
        <f t="shared" si="0"/>
        <v>1</v>
      </c>
      <c r="H21" s="2"/>
      <c r="I21" s="2"/>
      <c r="J21" s="2"/>
      <c r="K21" s="2"/>
      <c r="L21" s="2"/>
      <c r="M21" s="2"/>
      <c r="N21" s="2"/>
      <c r="O21" s="2"/>
      <c r="P21" s="2"/>
      <c r="Q21" s="2"/>
      <c r="R21" s="2"/>
      <c r="S21" s="2"/>
      <c r="T21" s="2"/>
      <c r="U21" s="2"/>
      <c r="V21" s="2"/>
      <c r="W21" s="2"/>
      <c r="X21" s="2"/>
      <c r="Y21" s="2"/>
      <c r="Z21" s="2"/>
    </row>
    <row r="22" spans="1:26" ht="16.5">
      <c r="A22" s="26" t="s">
        <v>98</v>
      </c>
      <c r="B22" s="26" t="s">
        <v>112</v>
      </c>
      <c r="C22" s="26">
        <f>'見込量算定(障害福祉)'!G15</f>
        <v>0</v>
      </c>
      <c r="D22" s="26">
        <f>'見込量算定(障害福祉)'!L15</f>
        <v>1</v>
      </c>
      <c r="E22" s="26">
        <f>'見込量算定(障害福祉)'!M15</f>
        <v>1</v>
      </c>
      <c r="F22" s="26">
        <f>'見込量算定(障害福祉)'!N15</f>
        <v>1</v>
      </c>
      <c r="G22" s="26">
        <f t="shared" si="0"/>
        <v>1</v>
      </c>
      <c r="H22" s="2"/>
      <c r="I22" s="2"/>
      <c r="J22" s="2"/>
      <c r="K22" s="2"/>
      <c r="L22" s="2"/>
      <c r="M22" s="2"/>
      <c r="N22" s="2"/>
      <c r="O22" s="2"/>
      <c r="P22" s="2"/>
      <c r="Q22" s="2"/>
      <c r="R22" s="2"/>
      <c r="S22" s="2"/>
      <c r="T22" s="2"/>
      <c r="U22" s="2"/>
      <c r="V22" s="2"/>
      <c r="W22" s="2"/>
      <c r="X22" s="2"/>
      <c r="Y22" s="2"/>
      <c r="Z22" s="2"/>
    </row>
    <row r="23" spans="1:26" ht="16.5">
      <c r="A23" s="26" t="s">
        <v>98</v>
      </c>
      <c r="B23" s="26" t="s">
        <v>114</v>
      </c>
      <c r="C23" s="26">
        <f>'見込量算定(障害福祉)'!G16</f>
        <v>11</v>
      </c>
      <c r="D23" s="26">
        <f>'見込量算定(障害福祉)'!L16</f>
        <v>13</v>
      </c>
      <c r="E23" s="26">
        <f>'見込量算定(障害福祉)'!M16</f>
        <v>15</v>
      </c>
      <c r="F23" s="26">
        <f>'見込量算定(障害福祉)'!N16</f>
        <v>17</v>
      </c>
      <c r="G23" s="26">
        <f t="shared" si="0"/>
        <v>6</v>
      </c>
      <c r="H23" s="2"/>
      <c r="I23" s="2"/>
      <c r="J23" s="2"/>
      <c r="K23" s="2"/>
      <c r="L23" s="2"/>
      <c r="M23" s="2"/>
      <c r="N23" s="2"/>
      <c r="O23" s="2"/>
      <c r="P23" s="2"/>
      <c r="Q23" s="2"/>
      <c r="R23" s="2"/>
      <c r="S23" s="2"/>
      <c r="T23" s="2"/>
      <c r="U23" s="2"/>
      <c r="V23" s="2"/>
      <c r="W23" s="2"/>
      <c r="X23" s="2"/>
      <c r="Y23" s="2"/>
      <c r="Z23" s="2"/>
    </row>
    <row r="24" spans="1:26" ht="16.5">
      <c r="A24" s="26" t="s">
        <v>98</v>
      </c>
      <c r="B24" s="26" t="s">
        <v>116</v>
      </c>
      <c r="C24" s="26">
        <f>'見込量算定(障害福祉)'!G17</f>
        <v>36</v>
      </c>
      <c r="D24" s="26">
        <f>'見込量算定(障害福祉)'!L17</f>
        <v>36</v>
      </c>
      <c r="E24" s="26">
        <f>'見込量算定(障害福祉)'!M17</f>
        <v>36</v>
      </c>
      <c r="F24" s="26">
        <f>'見込量算定(障害福祉)'!N17</f>
        <v>36</v>
      </c>
      <c r="G24" s="26">
        <f t="shared" si="0"/>
        <v>0</v>
      </c>
      <c r="H24" s="2"/>
      <c r="I24" s="2"/>
      <c r="J24" s="2"/>
      <c r="K24" s="2"/>
      <c r="L24" s="2"/>
      <c r="M24" s="2"/>
      <c r="N24" s="2"/>
      <c r="O24" s="2"/>
      <c r="P24" s="2"/>
      <c r="Q24" s="2"/>
      <c r="R24" s="2"/>
      <c r="S24" s="2"/>
      <c r="T24" s="2"/>
      <c r="U24" s="2"/>
      <c r="V24" s="2"/>
      <c r="W24" s="2"/>
      <c r="X24" s="2"/>
      <c r="Y24" s="2"/>
      <c r="Z24" s="2"/>
    </row>
    <row r="25" spans="1:26" ht="16.5">
      <c r="A25" s="26" t="s">
        <v>98</v>
      </c>
      <c r="B25" s="26" t="s">
        <v>118</v>
      </c>
      <c r="C25" s="26">
        <f>'見込量算定(障害福祉)'!G18</f>
        <v>0</v>
      </c>
      <c r="D25" s="26">
        <f>'見込量算定(障害福祉)'!L18</f>
        <v>1</v>
      </c>
      <c r="E25" s="26">
        <f>'見込量算定(障害福祉)'!M18</f>
        <v>1</v>
      </c>
      <c r="F25" s="26">
        <f>'見込量算定(障害福祉)'!N18</f>
        <v>2</v>
      </c>
      <c r="G25" s="26">
        <f t="shared" si="0"/>
        <v>2</v>
      </c>
      <c r="H25" s="2"/>
      <c r="I25" s="2"/>
      <c r="J25" s="2"/>
      <c r="K25" s="2"/>
      <c r="L25" s="2"/>
      <c r="M25" s="2"/>
      <c r="N25" s="2"/>
      <c r="O25" s="2"/>
      <c r="P25" s="2"/>
      <c r="Q25" s="2"/>
      <c r="R25" s="2"/>
      <c r="S25" s="2"/>
      <c r="T25" s="2"/>
      <c r="U25" s="2"/>
      <c r="V25" s="2"/>
      <c r="W25" s="2"/>
      <c r="X25" s="2"/>
      <c r="Y25" s="2"/>
      <c r="Z25" s="2"/>
    </row>
    <row r="26" spans="1:26" ht="16.5">
      <c r="A26" s="26" t="s">
        <v>98</v>
      </c>
      <c r="B26" s="26" t="s">
        <v>120</v>
      </c>
      <c r="C26" s="26">
        <f>'見込量算定(障害福祉)'!G19</f>
        <v>3</v>
      </c>
      <c r="D26" s="26">
        <f>'見込量算定(障害福祉)'!L19</f>
        <v>3</v>
      </c>
      <c r="E26" s="26">
        <f>'見込量算定(障害福祉)'!M19</f>
        <v>3</v>
      </c>
      <c r="F26" s="26">
        <f>'見込量算定(障害福祉)'!N19</f>
        <v>3</v>
      </c>
      <c r="G26" s="26">
        <f t="shared" si="0"/>
        <v>0</v>
      </c>
      <c r="H26" s="2"/>
      <c r="I26" s="2"/>
      <c r="J26" s="2"/>
      <c r="K26" s="2"/>
      <c r="L26" s="2"/>
      <c r="M26" s="2"/>
      <c r="N26" s="2"/>
      <c r="O26" s="2"/>
      <c r="P26" s="2"/>
      <c r="Q26" s="2"/>
      <c r="R26" s="2"/>
      <c r="S26" s="2"/>
      <c r="T26" s="2"/>
      <c r="U26" s="2"/>
      <c r="V26" s="2"/>
      <c r="W26" s="2"/>
      <c r="X26" s="2"/>
      <c r="Y26" s="2"/>
      <c r="Z26" s="2"/>
    </row>
    <row r="27" spans="1:26" ht="16.5">
      <c r="A27" s="26" t="s">
        <v>98</v>
      </c>
      <c r="B27" s="26" t="s">
        <v>122</v>
      </c>
      <c r="C27" s="26">
        <f>'見込量算定(障害福祉)'!G20</f>
        <v>0</v>
      </c>
      <c r="D27" s="26">
        <f>'見込量算定(障害福祉)'!L20</f>
        <v>0</v>
      </c>
      <c r="E27" s="26">
        <f>'見込量算定(障害福祉)'!M20</f>
        <v>0</v>
      </c>
      <c r="F27" s="26">
        <f>'見込量算定(障害福祉)'!N20</f>
        <v>0</v>
      </c>
      <c r="G27" s="26">
        <f t="shared" si="0"/>
        <v>0</v>
      </c>
      <c r="H27" s="2"/>
      <c r="I27" s="2"/>
      <c r="J27" s="2"/>
      <c r="K27" s="2"/>
      <c r="L27" s="2"/>
      <c r="M27" s="2"/>
      <c r="N27" s="2"/>
      <c r="O27" s="2"/>
      <c r="P27" s="2"/>
      <c r="Q27" s="2"/>
      <c r="R27" s="2"/>
      <c r="S27" s="2"/>
      <c r="T27" s="2"/>
      <c r="U27" s="2"/>
      <c r="V27" s="2"/>
      <c r="W27" s="2"/>
      <c r="X27" s="2"/>
      <c r="Y27" s="2"/>
      <c r="Z27" s="2"/>
    </row>
    <row r="28" spans="1:26" ht="16.5">
      <c r="A28" s="26" t="s">
        <v>98</v>
      </c>
      <c r="B28" s="26" t="s">
        <v>124</v>
      </c>
      <c r="C28" s="26">
        <f>'見込量算定(障害福祉)'!G21</f>
        <v>0</v>
      </c>
      <c r="D28" s="26">
        <f>'見込量算定(障害福祉)'!L21</f>
        <v>0</v>
      </c>
      <c r="E28" s="26">
        <f>'見込量算定(障害福祉)'!M21</f>
        <v>0</v>
      </c>
      <c r="F28" s="26">
        <f>'見込量算定(障害福祉)'!N21</f>
        <v>0</v>
      </c>
      <c r="G28" s="26">
        <f t="shared" si="0"/>
        <v>0</v>
      </c>
      <c r="H28" s="2"/>
      <c r="I28" s="2"/>
      <c r="J28" s="2"/>
      <c r="K28" s="2"/>
      <c r="L28" s="2"/>
      <c r="M28" s="2"/>
      <c r="N28" s="2"/>
      <c r="O28" s="2"/>
      <c r="P28" s="2"/>
      <c r="Q28" s="2"/>
      <c r="R28" s="2"/>
      <c r="S28" s="2"/>
      <c r="T28" s="2"/>
      <c r="U28" s="2"/>
      <c r="V28" s="2"/>
      <c r="W28" s="2"/>
      <c r="X28" s="2"/>
      <c r="Y28" s="2"/>
      <c r="Z28" s="2"/>
    </row>
    <row r="29" spans="1:26" ht="16.5">
      <c r="A29" s="26" t="s">
        <v>126</v>
      </c>
      <c r="B29" s="26" t="s">
        <v>127</v>
      </c>
      <c r="C29" s="26">
        <f>'見込量算定(障害福祉)'!G22</f>
        <v>0</v>
      </c>
      <c r="D29" s="26">
        <f>'見込量算定(障害福祉)'!L22</f>
        <v>0</v>
      </c>
      <c r="E29" s="26">
        <f>'見込量算定(障害福祉)'!M22</f>
        <v>0</v>
      </c>
      <c r="F29" s="26">
        <f>'見込量算定(障害福祉)'!N22</f>
        <v>0</v>
      </c>
      <c r="G29" s="26">
        <f t="shared" si="0"/>
        <v>0</v>
      </c>
      <c r="H29" s="2"/>
      <c r="I29" s="2"/>
      <c r="J29" s="2"/>
      <c r="K29" s="2"/>
      <c r="L29" s="2"/>
      <c r="M29" s="2"/>
      <c r="N29" s="2"/>
      <c r="O29" s="2"/>
      <c r="P29" s="2"/>
      <c r="Q29" s="2"/>
      <c r="R29" s="2"/>
      <c r="S29" s="2"/>
      <c r="T29" s="2"/>
      <c r="U29" s="2"/>
      <c r="V29" s="2"/>
      <c r="W29" s="2"/>
      <c r="X29" s="2"/>
      <c r="Y29" s="2"/>
      <c r="Z29" s="2"/>
    </row>
    <row r="30" spans="1:26" ht="16.5">
      <c r="A30" s="26" t="s">
        <v>126</v>
      </c>
      <c r="B30" s="26" t="s">
        <v>129</v>
      </c>
      <c r="C30" s="26">
        <f>'見込量算定(障害福祉)'!G23</f>
        <v>18</v>
      </c>
      <c r="D30" s="26">
        <f>'見込量算定(障害福祉)'!L23</f>
        <v>19</v>
      </c>
      <c r="E30" s="26">
        <f>'見込量算定(障害福祉)'!M23</f>
        <v>21</v>
      </c>
      <c r="F30" s="26">
        <f>'見込量算定(障害福祉)'!N23</f>
        <v>22</v>
      </c>
      <c r="G30" s="26">
        <f t="shared" si="0"/>
        <v>4</v>
      </c>
      <c r="H30" s="2"/>
      <c r="I30" s="2"/>
      <c r="J30" s="2"/>
      <c r="K30" s="2"/>
      <c r="L30" s="2"/>
      <c r="M30" s="2"/>
      <c r="N30" s="2"/>
      <c r="O30" s="2"/>
      <c r="P30" s="2"/>
      <c r="Q30" s="2"/>
      <c r="R30" s="2"/>
      <c r="S30" s="2"/>
      <c r="T30" s="2"/>
      <c r="U30" s="2"/>
      <c r="V30" s="2"/>
      <c r="W30" s="2"/>
      <c r="X30" s="2"/>
      <c r="Y30" s="2"/>
      <c r="Z30" s="2"/>
    </row>
    <row r="31" spans="1:26" ht="16.5">
      <c r="A31" s="26" t="s">
        <v>126</v>
      </c>
      <c r="B31" s="26" t="s">
        <v>131</v>
      </c>
      <c r="C31" s="26">
        <f>'見込量算定(障害福祉)'!G24</f>
        <v>18</v>
      </c>
      <c r="D31" s="26">
        <f>'見込量算定(障害福祉)'!L24</f>
        <v>18</v>
      </c>
      <c r="E31" s="26">
        <f>'見込量算定(障害福祉)'!M24</f>
        <v>18</v>
      </c>
      <c r="F31" s="26">
        <f>'見込量算定(障害福祉)'!N24</f>
        <v>18</v>
      </c>
      <c r="G31" s="26">
        <f t="shared" si="0"/>
        <v>0</v>
      </c>
      <c r="H31" s="2"/>
      <c r="I31" s="2"/>
      <c r="J31" s="2"/>
      <c r="K31" s="2"/>
      <c r="L31" s="2"/>
      <c r="M31" s="2"/>
      <c r="N31" s="2"/>
      <c r="O31" s="2"/>
      <c r="P31" s="2"/>
      <c r="Q31" s="2"/>
      <c r="R31" s="2"/>
      <c r="S31" s="2"/>
      <c r="T31" s="2"/>
      <c r="U31" s="2"/>
      <c r="V31" s="2"/>
      <c r="W31" s="2"/>
      <c r="X31" s="2"/>
      <c r="Y31" s="2"/>
      <c r="Z31" s="2"/>
    </row>
    <row r="32" spans="1:26" ht="16.5">
      <c r="A32" s="26" t="s">
        <v>133</v>
      </c>
      <c r="B32" s="26" t="s">
        <v>134</v>
      </c>
      <c r="C32" s="26">
        <f>'見込量算定(障害福祉)'!G25</f>
        <v>15</v>
      </c>
      <c r="D32" s="26">
        <f>'見込量算定(障害福祉)'!L25</f>
        <v>16</v>
      </c>
      <c r="E32" s="26">
        <f>'見込量算定(障害福祉)'!M25</f>
        <v>17</v>
      </c>
      <c r="F32" s="26">
        <f>'見込量算定(障害福祉)'!N25</f>
        <v>18</v>
      </c>
      <c r="G32" s="26">
        <f t="shared" si="0"/>
        <v>3</v>
      </c>
      <c r="H32" s="2"/>
      <c r="I32" s="2"/>
      <c r="J32" s="2"/>
      <c r="K32" s="2"/>
      <c r="L32" s="2"/>
      <c r="M32" s="2"/>
      <c r="N32" s="2"/>
      <c r="O32" s="2"/>
      <c r="P32" s="2"/>
      <c r="Q32" s="2"/>
      <c r="R32" s="2"/>
      <c r="S32" s="2"/>
      <c r="T32" s="2"/>
      <c r="U32" s="2"/>
      <c r="V32" s="2"/>
      <c r="W32" s="2"/>
      <c r="X32" s="2"/>
      <c r="Y32" s="2"/>
      <c r="Z32" s="2"/>
    </row>
    <row r="33" spans="1:26" ht="16.5">
      <c r="A33" s="26" t="s">
        <v>133</v>
      </c>
      <c r="B33" s="26" t="s">
        <v>136</v>
      </c>
      <c r="C33" s="26">
        <f>'見込量算定(障害福祉)'!G26</f>
        <v>0</v>
      </c>
      <c r="D33" s="26">
        <f>'見込量算定(障害福祉)'!L26</f>
        <v>1</v>
      </c>
      <c r="E33" s="26">
        <f>'見込量算定(障害福祉)'!M26</f>
        <v>1</v>
      </c>
      <c r="F33" s="26">
        <f>'見込量算定(障害福祉)'!N26</f>
        <v>1</v>
      </c>
      <c r="G33" s="26">
        <f t="shared" si="0"/>
        <v>1</v>
      </c>
      <c r="H33" s="2"/>
      <c r="I33" s="2"/>
      <c r="J33" s="2"/>
      <c r="K33" s="2"/>
      <c r="L33" s="2"/>
      <c r="M33" s="2"/>
      <c r="N33" s="2"/>
      <c r="O33" s="2"/>
      <c r="P33" s="2"/>
      <c r="Q33" s="2"/>
      <c r="R33" s="2"/>
      <c r="S33" s="2"/>
      <c r="T33" s="2"/>
      <c r="U33" s="2"/>
      <c r="V33" s="2"/>
      <c r="W33" s="2"/>
      <c r="X33" s="2"/>
      <c r="Y33" s="2"/>
      <c r="Z33" s="2"/>
    </row>
    <row r="34" spans="1:26" ht="16.5">
      <c r="A34" s="26" t="s">
        <v>133</v>
      </c>
      <c r="B34" s="26" t="s">
        <v>138</v>
      </c>
      <c r="C34" s="26">
        <f>'見込量算定(障害福祉)'!G27</f>
        <v>0</v>
      </c>
      <c r="D34" s="26">
        <f>'見込量算定(障害福祉)'!L27</f>
        <v>1</v>
      </c>
      <c r="E34" s="26">
        <f>'見込量算定(障害福祉)'!M27</f>
        <v>1</v>
      </c>
      <c r="F34" s="26">
        <f>'見込量算定(障害福祉)'!N27</f>
        <v>2</v>
      </c>
      <c r="G34" s="26">
        <f t="shared" si="0"/>
        <v>2</v>
      </c>
      <c r="H34" s="2"/>
      <c r="I34" s="2"/>
      <c r="J34" s="2"/>
      <c r="K34" s="2"/>
      <c r="L34" s="2"/>
      <c r="M34" s="2"/>
      <c r="N34" s="2"/>
      <c r="O34" s="2"/>
      <c r="P34" s="2"/>
      <c r="Q34" s="2"/>
      <c r="R34" s="2"/>
      <c r="S34" s="2"/>
      <c r="T34" s="2"/>
      <c r="U34" s="2"/>
      <c r="V34" s="2"/>
      <c r="W34" s="2"/>
      <c r="X34" s="2"/>
      <c r="Y34" s="2"/>
      <c r="Z34" s="2"/>
    </row>
    <row r="35" spans="1:26" ht="16.5">
      <c r="A35" s="3"/>
      <c r="B35" s="3"/>
      <c r="C35" s="3"/>
      <c r="D35" s="3"/>
      <c r="E35" s="3"/>
      <c r="F35" s="3"/>
      <c r="G35" s="3"/>
      <c r="H35" s="2"/>
      <c r="I35" s="2"/>
      <c r="J35" s="2"/>
      <c r="K35" s="2"/>
      <c r="L35" s="2"/>
      <c r="M35" s="2"/>
      <c r="N35" s="2"/>
      <c r="O35" s="2"/>
      <c r="P35" s="2"/>
      <c r="Q35" s="2"/>
      <c r="R35" s="2"/>
      <c r="S35" s="2"/>
      <c r="T35" s="2"/>
      <c r="U35" s="2"/>
      <c r="V35" s="2"/>
      <c r="W35" s="2"/>
      <c r="X35" s="2"/>
      <c r="Y35" s="2"/>
      <c r="Z35" s="2"/>
    </row>
    <row r="36" spans="1:26" ht="16.5">
      <c r="A36" s="3"/>
      <c r="B36" s="3"/>
      <c r="C36" s="3"/>
      <c r="D36" s="3"/>
      <c r="E36" s="3"/>
      <c r="F36" s="3"/>
      <c r="G36" s="3"/>
      <c r="H36" s="2"/>
      <c r="I36" s="2"/>
      <c r="J36" s="2"/>
      <c r="K36" s="2"/>
      <c r="L36" s="2"/>
      <c r="M36" s="2"/>
      <c r="N36" s="2"/>
      <c r="O36" s="2"/>
      <c r="P36" s="2"/>
      <c r="Q36" s="2"/>
      <c r="R36" s="2"/>
      <c r="S36" s="2"/>
      <c r="T36" s="2"/>
      <c r="U36" s="2"/>
      <c r="V36" s="2"/>
      <c r="W36" s="2"/>
      <c r="X36" s="2"/>
      <c r="Y36" s="2"/>
      <c r="Z36" s="2"/>
    </row>
    <row r="37" spans="1:26" ht="16.5">
      <c r="A37" s="35" t="s">
        <v>58</v>
      </c>
      <c r="B37" s="35" t="s">
        <v>339</v>
      </c>
      <c r="C37" s="35" t="s">
        <v>64</v>
      </c>
      <c r="D37" s="35" t="s">
        <v>69</v>
      </c>
      <c r="E37" s="35" t="s">
        <v>70</v>
      </c>
      <c r="F37" s="35" t="s">
        <v>71</v>
      </c>
      <c r="G37" s="35" t="s">
        <v>338</v>
      </c>
      <c r="H37" s="2"/>
      <c r="I37" s="2"/>
      <c r="J37" s="2"/>
      <c r="K37" s="2"/>
      <c r="L37" s="2"/>
      <c r="M37" s="2"/>
      <c r="N37" s="2"/>
      <c r="O37" s="2"/>
      <c r="P37" s="2"/>
      <c r="Q37" s="2"/>
      <c r="R37" s="2"/>
      <c r="S37" s="2"/>
      <c r="T37" s="2"/>
      <c r="U37" s="2"/>
      <c r="V37" s="2"/>
      <c r="W37" s="2"/>
      <c r="X37" s="2"/>
      <c r="Y37" s="2"/>
      <c r="Z37" s="2"/>
    </row>
    <row r="38" spans="1:26" ht="16.5">
      <c r="A38" s="26" t="s">
        <v>142</v>
      </c>
      <c r="B38" s="26" t="s">
        <v>143</v>
      </c>
      <c r="C38" s="26">
        <f>'見込量算定(障害児)'!G6</f>
        <v>6</v>
      </c>
      <c r="D38" s="26">
        <f>'見込量算定(障害児)'!L6</f>
        <v>6</v>
      </c>
      <c r="E38" s="26">
        <f>'見込量算定(障害児)'!M6</f>
        <v>5</v>
      </c>
      <c r="F38" s="26">
        <f>'見込量算定(障害児)'!N6</f>
        <v>5</v>
      </c>
      <c r="G38" s="26">
        <f>F38-C38</f>
        <v>-1</v>
      </c>
      <c r="H38" s="2"/>
      <c r="I38" s="2"/>
      <c r="J38" s="2"/>
      <c r="K38" s="2"/>
      <c r="L38" s="2"/>
      <c r="M38" s="2"/>
      <c r="N38" s="2"/>
      <c r="O38" s="2"/>
      <c r="P38" s="2"/>
      <c r="Q38" s="2"/>
      <c r="R38" s="2"/>
      <c r="S38" s="2"/>
      <c r="T38" s="2"/>
      <c r="U38" s="2"/>
      <c r="V38" s="2"/>
      <c r="W38" s="2"/>
      <c r="X38" s="2"/>
      <c r="Y38" s="2"/>
      <c r="Z38" s="2"/>
    </row>
    <row r="39" spans="1:26" ht="16.5">
      <c r="A39" s="26" t="s">
        <v>142</v>
      </c>
      <c r="B39" s="26" t="s">
        <v>146</v>
      </c>
      <c r="C39" s="26">
        <f>'見込量算定(障害児)'!G7</f>
        <v>19</v>
      </c>
      <c r="D39" s="26">
        <f>'見込量算定(障害児)'!L7</f>
        <v>17</v>
      </c>
      <c r="E39" s="26">
        <f>'見込量算定(障害児)'!M7</f>
        <v>16</v>
      </c>
      <c r="F39" s="26">
        <f>'見込量算定(障害児)'!N7</f>
        <v>14</v>
      </c>
      <c r="G39" s="26">
        <f>F39-C39</f>
        <v>-5</v>
      </c>
      <c r="H39" s="2"/>
      <c r="I39" s="2"/>
      <c r="J39" s="2"/>
      <c r="K39" s="2"/>
      <c r="L39" s="2"/>
      <c r="M39" s="2"/>
      <c r="N39" s="2"/>
      <c r="O39" s="2"/>
      <c r="P39" s="2"/>
      <c r="Q39" s="2"/>
      <c r="R39" s="2"/>
      <c r="S39" s="2"/>
      <c r="T39" s="2"/>
      <c r="U39" s="2"/>
      <c r="V39" s="2"/>
      <c r="W39" s="2"/>
      <c r="X39" s="2"/>
      <c r="Y39" s="2"/>
      <c r="Z39" s="2"/>
    </row>
    <row r="40" spans="1:26" ht="16.5">
      <c r="A40" s="26" t="s">
        <v>142</v>
      </c>
      <c r="B40" s="26" t="s">
        <v>148</v>
      </c>
      <c r="C40" s="26">
        <f>'見込量算定(障害児)'!G8</f>
        <v>0</v>
      </c>
      <c r="D40" s="26">
        <f>'見込量算定(障害児)'!L8</f>
        <v>1</v>
      </c>
      <c r="E40" s="26">
        <f>'見込量算定(障害児)'!M8</f>
        <v>1</v>
      </c>
      <c r="F40" s="26">
        <f>'見込量算定(障害児)'!N8</f>
        <v>1</v>
      </c>
      <c r="G40" s="26">
        <f>F40-C40</f>
        <v>1</v>
      </c>
      <c r="H40" s="2"/>
      <c r="I40" s="2"/>
      <c r="J40" s="2"/>
      <c r="K40" s="2"/>
      <c r="L40" s="2"/>
      <c r="M40" s="2"/>
      <c r="N40" s="2"/>
      <c r="O40" s="2"/>
      <c r="P40" s="2"/>
      <c r="Q40" s="2"/>
      <c r="R40" s="2"/>
      <c r="S40" s="2"/>
      <c r="T40" s="2"/>
      <c r="U40" s="2"/>
      <c r="V40" s="2"/>
      <c r="W40" s="2"/>
      <c r="X40" s="2"/>
      <c r="Y40" s="2"/>
      <c r="Z40" s="2"/>
    </row>
    <row r="41" spans="1:26" ht="16.5">
      <c r="A41" s="26" t="s">
        <v>142</v>
      </c>
      <c r="B41" s="26" t="s">
        <v>150</v>
      </c>
      <c r="C41" s="26">
        <f>'見込量算定(障害児)'!G9</f>
        <v>0</v>
      </c>
      <c r="D41" s="26">
        <f>'見込量算定(障害児)'!L9</f>
        <v>0</v>
      </c>
      <c r="E41" s="26">
        <f>'見込量算定(障害児)'!M9</f>
        <v>0</v>
      </c>
      <c r="F41" s="26">
        <f>'見込量算定(障害児)'!N9</f>
        <v>0</v>
      </c>
      <c r="G41" s="26">
        <f>F41-C41</f>
        <v>0</v>
      </c>
      <c r="H41" s="2"/>
      <c r="I41" s="2"/>
      <c r="J41" s="2"/>
      <c r="K41" s="2"/>
      <c r="L41" s="2"/>
      <c r="M41" s="2"/>
      <c r="N41" s="2"/>
      <c r="O41" s="2"/>
      <c r="P41" s="2"/>
      <c r="Q41" s="2"/>
      <c r="R41" s="2"/>
      <c r="S41" s="2"/>
      <c r="T41" s="2"/>
      <c r="U41" s="2"/>
      <c r="V41" s="2"/>
      <c r="W41" s="2"/>
      <c r="X41" s="2"/>
      <c r="Y41" s="2"/>
      <c r="Z41" s="2"/>
    </row>
    <row r="42" spans="1:26" ht="16.5">
      <c r="A42" s="26" t="s">
        <v>152</v>
      </c>
      <c r="B42" s="26" t="s">
        <v>153</v>
      </c>
      <c r="C42" s="26">
        <f>'見込量算定(障害児)'!G10</f>
        <v>0</v>
      </c>
      <c r="D42" s="26">
        <f>'見込量算定(障害児)'!L10</f>
        <v>4</v>
      </c>
      <c r="E42" s="26">
        <f>'見込量算定(障害児)'!M10</f>
        <v>5</v>
      </c>
      <c r="F42" s="26">
        <f>'見込量算定(障害児)'!N10</f>
        <v>5</v>
      </c>
      <c r="G42" s="26">
        <f>F42-C42</f>
        <v>5</v>
      </c>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2">
    <mergeCell ref="A1:J1"/>
    <mergeCell ref="A2:J2"/>
  </mergeCells>
  <phoneticPr fontId="8"/>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
  <sheetViews>
    <sheetView topLeftCell="A3" workbookViewId="0">
      <selection activeCell="B11" sqref="B11"/>
    </sheetView>
  </sheetViews>
  <sheetFormatPr defaultRowHeight="14.25"/>
  <cols>
    <col min="1" max="1" width="10" customWidth="1"/>
    <col min="2" max="2" width="40" customWidth="1"/>
    <col min="3" max="3" width="45" customWidth="1"/>
    <col min="4" max="4" width="36" customWidth="1"/>
    <col min="5" max="5" width="45" customWidth="1"/>
    <col min="6" max="6" width="24" customWidth="1"/>
  </cols>
  <sheetData>
    <row r="1" spans="1:26" ht="30">
      <c r="A1" s="14" t="s">
        <v>340</v>
      </c>
      <c r="B1" s="14"/>
      <c r="C1" s="14"/>
      <c r="D1" s="14"/>
      <c r="E1" s="14"/>
      <c r="F1" s="14"/>
      <c r="G1" s="2"/>
      <c r="H1" s="2"/>
      <c r="I1" s="2"/>
      <c r="J1" s="2"/>
      <c r="K1" s="2"/>
      <c r="L1" s="2"/>
      <c r="M1" s="2"/>
      <c r="N1" s="2"/>
      <c r="O1" s="2"/>
      <c r="P1" s="2"/>
      <c r="Q1" s="2"/>
      <c r="R1" s="2"/>
      <c r="S1" s="2"/>
      <c r="T1" s="2"/>
      <c r="U1" s="2"/>
      <c r="V1" s="2"/>
      <c r="W1" s="2"/>
      <c r="X1" s="2"/>
      <c r="Y1" s="2"/>
      <c r="Z1" s="2"/>
    </row>
    <row r="2" spans="1:26" ht="16.5">
      <c r="A2" s="15" t="s">
        <v>341</v>
      </c>
      <c r="B2" s="15"/>
      <c r="C2" s="15"/>
      <c r="D2" s="15"/>
      <c r="E2" s="15"/>
      <c r="F2" s="15"/>
      <c r="G2" s="2"/>
      <c r="H2" s="2"/>
      <c r="I2" s="2"/>
      <c r="J2" s="2"/>
      <c r="K2" s="2"/>
      <c r="L2" s="2"/>
      <c r="M2" s="2"/>
      <c r="N2" s="2"/>
      <c r="O2" s="2"/>
      <c r="P2" s="2"/>
      <c r="Q2" s="2"/>
      <c r="R2" s="2"/>
      <c r="S2" s="2"/>
      <c r="T2" s="2"/>
      <c r="U2" s="2"/>
      <c r="V2" s="2"/>
      <c r="W2" s="2"/>
      <c r="X2" s="2"/>
      <c r="Y2" s="2"/>
      <c r="Z2" s="2"/>
    </row>
    <row r="3" spans="1:26" ht="16.5">
      <c r="A3" s="2"/>
      <c r="B3" s="2"/>
      <c r="C3" s="2"/>
      <c r="D3" s="2"/>
      <c r="E3" s="2"/>
      <c r="F3" s="2"/>
      <c r="G3" s="2"/>
      <c r="H3" s="2"/>
      <c r="I3" s="2"/>
      <c r="J3" s="2"/>
      <c r="K3" s="2"/>
      <c r="L3" s="2"/>
      <c r="M3" s="2"/>
      <c r="N3" s="2"/>
      <c r="O3" s="2"/>
      <c r="P3" s="2"/>
      <c r="Q3" s="2"/>
      <c r="R3" s="2"/>
      <c r="S3" s="2"/>
      <c r="T3" s="2"/>
      <c r="U3" s="2"/>
      <c r="V3" s="2"/>
      <c r="W3" s="2"/>
      <c r="X3" s="2"/>
      <c r="Y3" s="2"/>
      <c r="Z3" s="2"/>
    </row>
    <row r="4" spans="1:26" ht="16.5">
      <c r="A4" s="2"/>
      <c r="B4" s="2"/>
      <c r="C4" s="2"/>
      <c r="D4" s="2"/>
      <c r="E4" s="2"/>
      <c r="F4" s="2"/>
      <c r="G4" s="2"/>
      <c r="H4" s="2"/>
      <c r="I4" s="2"/>
      <c r="J4" s="2"/>
      <c r="K4" s="2"/>
      <c r="L4" s="2"/>
      <c r="M4" s="2"/>
      <c r="N4" s="2"/>
      <c r="O4" s="2"/>
      <c r="P4" s="2"/>
      <c r="Q4" s="2"/>
      <c r="R4" s="2"/>
      <c r="S4" s="2"/>
      <c r="T4" s="2"/>
      <c r="U4" s="2"/>
      <c r="V4" s="2"/>
      <c r="W4" s="2"/>
      <c r="X4" s="2"/>
      <c r="Y4" s="2"/>
      <c r="Z4" s="2"/>
    </row>
    <row r="5" spans="1:26" ht="16.5">
      <c r="A5" s="21" t="s">
        <v>342</v>
      </c>
      <c r="B5" s="21" t="s">
        <v>343</v>
      </c>
      <c r="C5" s="21" t="s">
        <v>344</v>
      </c>
      <c r="D5" s="21" t="s">
        <v>345</v>
      </c>
      <c r="E5" s="21" t="s">
        <v>346</v>
      </c>
      <c r="F5" s="21" t="s">
        <v>347</v>
      </c>
      <c r="G5" s="2"/>
      <c r="H5" s="2"/>
      <c r="I5" s="2"/>
      <c r="J5" s="2"/>
      <c r="K5" s="2"/>
      <c r="L5" s="2"/>
      <c r="M5" s="2"/>
      <c r="N5" s="2"/>
      <c r="O5" s="2"/>
      <c r="P5" s="2"/>
      <c r="Q5" s="2"/>
      <c r="R5" s="2"/>
      <c r="S5" s="2"/>
      <c r="T5" s="2"/>
      <c r="U5" s="2"/>
      <c r="V5" s="2"/>
      <c r="W5" s="2"/>
      <c r="X5" s="2"/>
      <c r="Y5" s="2"/>
      <c r="Z5" s="2"/>
    </row>
    <row r="6" spans="1:26" ht="33">
      <c r="A6" s="30" t="s">
        <v>348</v>
      </c>
      <c r="B6" s="30" t="s">
        <v>349</v>
      </c>
      <c r="C6" s="30" t="s">
        <v>350</v>
      </c>
      <c r="D6" s="30" t="s">
        <v>324</v>
      </c>
      <c r="E6" s="30" t="s">
        <v>351</v>
      </c>
      <c r="F6" s="30" t="s">
        <v>352</v>
      </c>
      <c r="G6" s="2"/>
      <c r="H6" s="2"/>
      <c r="I6" s="2"/>
      <c r="J6" s="2"/>
      <c r="K6" s="2"/>
      <c r="L6" s="2"/>
      <c r="M6" s="2"/>
      <c r="N6" s="2"/>
      <c r="O6" s="2"/>
      <c r="P6" s="2"/>
      <c r="Q6" s="2"/>
      <c r="R6" s="2"/>
      <c r="S6" s="2"/>
      <c r="T6" s="2"/>
      <c r="U6" s="2"/>
      <c r="V6" s="2"/>
      <c r="W6" s="2"/>
      <c r="X6" s="2"/>
      <c r="Y6" s="2"/>
      <c r="Z6" s="2"/>
    </row>
    <row r="7" spans="1:26" ht="16.5">
      <c r="A7" s="30" t="s">
        <v>348</v>
      </c>
      <c r="B7" s="30" t="s">
        <v>353</v>
      </c>
      <c r="C7" s="30" t="s">
        <v>354</v>
      </c>
      <c r="D7" s="30" t="s">
        <v>324</v>
      </c>
      <c r="E7" s="30" t="s">
        <v>355</v>
      </c>
      <c r="F7" s="30" t="s">
        <v>352</v>
      </c>
      <c r="G7" s="2"/>
      <c r="H7" s="2"/>
      <c r="I7" s="2"/>
      <c r="J7" s="2"/>
      <c r="K7" s="2"/>
      <c r="L7" s="2"/>
      <c r="M7" s="2"/>
      <c r="N7" s="2"/>
      <c r="O7" s="2"/>
      <c r="P7" s="2"/>
      <c r="Q7" s="2"/>
      <c r="R7" s="2"/>
      <c r="S7" s="2"/>
      <c r="T7" s="2"/>
      <c r="U7" s="2"/>
      <c r="V7" s="2"/>
      <c r="W7" s="2"/>
      <c r="X7" s="2"/>
      <c r="Y7" s="2"/>
      <c r="Z7" s="2"/>
    </row>
    <row r="8" spans="1:26" ht="33">
      <c r="A8" s="30" t="s">
        <v>356</v>
      </c>
      <c r="B8" s="26" t="s">
        <v>357</v>
      </c>
      <c r="C8" s="26" t="s">
        <v>358</v>
      </c>
      <c r="D8" s="26" t="s">
        <v>359</v>
      </c>
      <c r="E8" s="26" t="s">
        <v>360</v>
      </c>
      <c r="F8" s="26" t="s">
        <v>361</v>
      </c>
      <c r="G8" s="2"/>
      <c r="H8" s="2"/>
      <c r="I8" s="2"/>
      <c r="J8" s="2"/>
      <c r="K8" s="2"/>
      <c r="L8" s="2"/>
      <c r="M8" s="2"/>
      <c r="N8" s="2"/>
      <c r="O8" s="2"/>
      <c r="P8" s="2"/>
      <c r="Q8" s="2"/>
      <c r="R8" s="2"/>
      <c r="S8" s="2"/>
      <c r="T8" s="2"/>
      <c r="U8" s="2"/>
      <c r="V8" s="2"/>
      <c r="W8" s="2"/>
      <c r="X8" s="2"/>
      <c r="Y8" s="2"/>
      <c r="Z8" s="2"/>
    </row>
    <row r="9" spans="1:26" ht="33">
      <c r="A9" s="30" t="s">
        <v>356</v>
      </c>
      <c r="B9" s="26" t="s">
        <v>362</v>
      </c>
      <c r="C9" s="26" t="s">
        <v>363</v>
      </c>
      <c r="D9" s="26" t="s">
        <v>364</v>
      </c>
      <c r="E9" s="26" t="s">
        <v>365</v>
      </c>
      <c r="F9" s="26" t="s">
        <v>352</v>
      </c>
      <c r="G9" s="2"/>
      <c r="H9" s="2"/>
      <c r="I9" s="2"/>
      <c r="J9" s="2"/>
      <c r="K9" s="2"/>
      <c r="L9" s="2"/>
      <c r="M9" s="2"/>
      <c r="N9" s="2"/>
      <c r="O9" s="2"/>
      <c r="P9" s="2"/>
      <c r="Q9" s="2"/>
      <c r="R9" s="2"/>
      <c r="S9" s="2"/>
      <c r="T9" s="2"/>
      <c r="U9" s="2"/>
      <c r="V9" s="2"/>
      <c r="W9" s="2"/>
      <c r="X9" s="2"/>
      <c r="Y9" s="2"/>
      <c r="Z9" s="2"/>
    </row>
    <row r="10" spans="1:26" ht="33">
      <c r="A10" s="30" t="s">
        <v>356</v>
      </c>
      <c r="B10" s="26" t="s">
        <v>366</v>
      </c>
      <c r="C10" s="26" t="s">
        <v>367</v>
      </c>
      <c r="D10" s="26" t="s">
        <v>368</v>
      </c>
      <c r="E10" s="26" t="s">
        <v>369</v>
      </c>
      <c r="F10" s="26" t="s">
        <v>352</v>
      </c>
      <c r="G10" s="2"/>
      <c r="H10" s="2"/>
      <c r="I10" s="2"/>
      <c r="J10" s="2"/>
      <c r="K10" s="2"/>
      <c r="L10" s="2"/>
      <c r="M10" s="2"/>
      <c r="N10" s="2"/>
      <c r="O10" s="2"/>
      <c r="P10" s="2"/>
      <c r="Q10" s="2"/>
      <c r="R10" s="2"/>
      <c r="S10" s="2"/>
      <c r="T10" s="2"/>
      <c r="U10" s="2"/>
      <c r="V10" s="2"/>
      <c r="W10" s="2"/>
      <c r="X10" s="2"/>
      <c r="Y10" s="2"/>
      <c r="Z10" s="2"/>
    </row>
    <row r="11" spans="1:26" ht="16.5">
      <c r="A11" s="30" t="s">
        <v>356</v>
      </c>
      <c r="B11" s="26" t="s">
        <v>370</v>
      </c>
      <c r="C11" s="26" t="s">
        <v>371</v>
      </c>
      <c r="D11" s="26" t="s">
        <v>372</v>
      </c>
      <c r="E11" s="26" t="s">
        <v>373</v>
      </c>
      <c r="F11" s="26" t="s">
        <v>352</v>
      </c>
      <c r="G11" s="2"/>
      <c r="H11" s="2"/>
      <c r="I11" s="2"/>
      <c r="J11" s="2"/>
      <c r="K11" s="2"/>
      <c r="L11" s="2"/>
      <c r="M11" s="2"/>
      <c r="N11" s="2"/>
      <c r="O11" s="2"/>
      <c r="P11" s="2"/>
      <c r="Q11" s="2"/>
      <c r="R11" s="2"/>
      <c r="S11" s="2"/>
      <c r="T11" s="2"/>
      <c r="U11" s="2"/>
      <c r="V11" s="2"/>
      <c r="W11" s="2"/>
      <c r="X11" s="2"/>
      <c r="Y11" s="2"/>
      <c r="Z11" s="2"/>
    </row>
    <row r="12" spans="1:26" ht="33">
      <c r="A12" s="26" t="s">
        <v>374</v>
      </c>
      <c r="B12" s="26" t="s">
        <v>375</v>
      </c>
      <c r="C12" s="26" t="s">
        <v>376</v>
      </c>
      <c r="D12" s="26" t="s">
        <v>377</v>
      </c>
      <c r="E12" s="26" t="s">
        <v>378</v>
      </c>
      <c r="F12" s="26" t="s">
        <v>379</v>
      </c>
      <c r="G12" s="2"/>
      <c r="H12" s="2"/>
      <c r="I12" s="2"/>
      <c r="J12" s="2"/>
      <c r="K12" s="2"/>
      <c r="L12" s="2"/>
      <c r="M12" s="2"/>
      <c r="N12" s="2"/>
      <c r="O12" s="2"/>
      <c r="P12" s="2"/>
      <c r="Q12" s="2"/>
      <c r="R12" s="2"/>
      <c r="S12" s="2"/>
      <c r="T12" s="2"/>
      <c r="U12" s="2"/>
      <c r="V12" s="2"/>
      <c r="W12" s="2"/>
      <c r="X12" s="2"/>
      <c r="Y12" s="2"/>
      <c r="Z12" s="2"/>
    </row>
    <row r="13" spans="1:26" ht="33">
      <c r="A13" s="26" t="s">
        <v>374</v>
      </c>
      <c r="B13" s="26" t="s">
        <v>380</v>
      </c>
      <c r="C13" s="26" t="s">
        <v>381</v>
      </c>
      <c r="D13" s="26" t="s">
        <v>382</v>
      </c>
      <c r="E13" s="26" t="s">
        <v>383</v>
      </c>
      <c r="F13" s="26" t="s">
        <v>384</v>
      </c>
      <c r="G13" s="2"/>
      <c r="H13" s="2"/>
      <c r="I13" s="2"/>
      <c r="J13" s="2"/>
      <c r="K13" s="2"/>
      <c r="L13" s="2"/>
      <c r="M13" s="2"/>
      <c r="N13" s="2"/>
      <c r="O13" s="2"/>
      <c r="P13" s="2"/>
      <c r="Q13" s="2"/>
      <c r="R13" s="2"/>
      <c r="S13" s="2"/>
      <c r="T13" s="2"/>
      <c r="U13" s="2"/>
      <c r="V13" s="2"/>
      <c r="W13" s="2"/>
      <c r="X13" s="2"/>
      <c r="Y13" s="2"/>
      <c r="Z13" s="2"/>
    </row>
    <row r="14" spans="1:26" ht="16.5">
      <c r="A14" s="26" t="s">
        <v>374</v>
      </c>
      <c r="B14" s="26" t="s">
        <v>385</v>
      </c>
      <c r="C14" s="26" t="s">
        <v>386</v>
      </c>
      <c r="D14" s="26" t="s">
        <v>387</v>
      </c>
      <c r="E14" s="26" t="s">
        <v>388</v>
      </c>
      <c r="F14" s="26" t="s">
        <v>389</v>
      </c>
      <c r="G14" s="2"/>
      <c r="H14" s="2"/>
      <c r="I14" s="2"/>
      <c r="J14" s="2"/>
      <c r="K14" s="2"/>
      <c r="L14" s="2"/>
      <c r="M14" s="2"/>
      <c r="N14" s="2"/>
      <c r="O14" s="2"/>
      <c r="P14" s="2"/>
      <c r="Q14" s="2"/>
      <c r="R14" s="2"/>
      <c r="S14" s="2"/>
      <c r="T14" s="2"/>
      <c r="U14" s="2"/>
      <c r="V14" s="2"/>
      <c r="W14" s="2"/>
      <c r="X14" s="2"/>
      <c r="Y14" s="2"/>
      <c r="Z14" s="2"/>
    </row>
    <row r="15" spans="1:26" ht="16.5">
      <c r="A15" s="26" t="s">
        <v>374</v>
      </c>
      <c r="B15" s="26" t="s">
        <v>390</v>
      </c>
      <c r="C15" s="26" t="s">
        <v>391</v>
      </c>
      <c r="D15" s="26" t="s">
        <v>392</v>
      </c>
      <c r="E15" s="26" t="s">
        <v>393</v>
      </c>
      <c r="F15" s="26" t="s">
        <v>352</v>
      </c>
      <c r="G15" s="2"/>
      <c r="H15" s="2"/>
      <c r="I15" s="2"/>
      <c r="J15" s="2"/>
      <c r="K15" s="2"/>
      <c r="L15" s="2"/>
      <c r="M15" s="2"/>
      <c r="N15" s="2"/>
      <c r="O15" s="2"/>
      <c r="P15" s="2"/>
      <c r="Q15" s="2"/>
      <c r="R15" s="2"/>
      <c r="S15" s="2"/>
      <c r="T15" s="2"/>
      <c r="U15" s="2"/>
      <c r="V15" s="2"/>
      <c r="W15" s="2"/>
      <c r="X15" s="2"/>
      <c r="Y15" s="2"/>
      <c r="Z15" s="2"/>
    </row>
    <row r="16" spans="1:26" ht="16.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2">
    <mergeCell ref="A1:F1"/>
    <mergeCell ref="A2:F2"/>
  </mergeCells>
  <phoneticPr fontId="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
  <sheetViews>
    <sheetView workbookViewId="0">
      <selection activeCell="B11" sqref="B11"/>
    </sheetView>
  </sheetViews>
  <sheetFormatPr defaultRowHeight="14.25"/>
  <cols>
    <col min="1" max="1" width="38" customWidth="1"/>
    <col min="2" max="2" width="62" customWidth="1"/>
    <col min="3" max="3" width="52" customWidth="1"/>
    <col min="4" max="4" width="14" customWidth="1"/>
  </cols>
  <sheetData>
    <row r="1" spans="1:4" ht="25.5">
      <c r="A1" s="17" t="s">
        <v>394</v>
      </c>
      <c r="B1" s="17"/>
      <c r="C1" s="17"/>
      <c r="D1" s="17"/>
    </row>
    <row r="2" spans="1:4" ht="16.5">
      <c r="A2" s="18" t="s">
        <v>395</v>
      </c>
      <c r="B2" s="18"/>
      <c r="C2" s="18"/>
      <c r="D2" s="18"/>
    </row>
    <row r="4" spans="1:4" ht="16.5">
      <c r="A4" s="36" t="s">
        <v>396</v>
      </c>
      <c r="B4" s="36" t="s">
        <v>397</v>
      </c>
      <c r="C4" s="36" t="s">
        <v>398</v>
      </c>
      <c r="D4" s="36" t="s">
        <v>399</v>
      </c>
    </row>
    <row r="5" spans="1:4" ht="42" customHeight="1">
      <c r="A5" s="37" t="s">
        <v>25</v>
      </c>
      <c r="B5" s="37" t="s">
        <v>24</v>
      </c>
      <c r="C5" s="37" t="s">
        <v>400</v>
      </c>
      <c r="D5" s="37" t="s">
        <v>401</v>
      </c>
    </row>
    <row r="6" spans="1:4" ht="42" customHeight="1">
      <c r="A6" s="37" t="s">
        <v>402</v>
      </c>
      <c r="B6" s="37" t="s">
        <v>26</v>
      </c>
      <c r="C6" s="37" t="s">
        <v>403</v>
      </c>
      <c r="D6" s="37" t="s">
        <v>401</v>
      </c>
    </row>
    <row r="7" spans="1:4" ht="42" customHeight="1">
      <c r="A7" s="37" t="s">
        <v>404</v>
      </c>
      <c r="B7" s="37" t="s">
        <v>109</v>
      </c>
      <c r="C7" s="37" t="s">
        <v>405</v>
      </c>
      <c r="D7" s="37" t="s">
        <v>401</v>
      </c>
    </row>
  </sheetData>
  <mergeCells count="2">
    <mergeCell ref="A1:D1"/>
    <mergeCell ref="A2:D2"/>
  </mergeCells>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表紙・使い方</vt:lpstr>
      <vt:lpstr>人口基礎データ</vt:lpstr>
      <vt:lpstr>見込量算定(障害福祉)</vt:lpstr>
      <vt:lpstr>見込量算定(障害児)</vt:lpstr>
      <vt:lpstr>地域生活支援事業</vt:lpstr>
      <vt:lpstr>成果目標算定</vt:lpstr>
      <vt:lpstr>サマリー</vt:lpstr>
      <vt:lpstr>確認事項</vt:lpstr>
      <vt:lpstr>参考資料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直也 髙橋</cp:lastModifiedBy>
  <dcterms:modified xsi:type="dcterms:W3CDTF">2026-09-07T10:15:10Z</dcterms:modified>
</cp:coreProperties>
</file>