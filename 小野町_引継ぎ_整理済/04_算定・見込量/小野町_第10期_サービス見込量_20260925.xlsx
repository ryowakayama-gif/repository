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10_必要利用定員総数" sheetId="11" state="visible" r:id="rId11"/>
    <sheet xmlns:r="http://schemas.openxmlformats.org/officeDocument/2006/relationships" name="11_地域支援事業の量" sheetId="12" state="visible" r:id="rId12"/>
    <sheet xmlns:r="http://schemas.openxmlformats.org/officeDocument/2006/relationships" name="12_令和8年度の置き方" sheetId="13" state="visible" r:id="rId13"/>
    <sheet xmlns:r="http://schemas.openxmlformats.org/officeDocument/2006/relationships" name="06_突合結果" sheetId="14" state="visible" r:id="rId14"/>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xf numFmtId="164" fontId="4" fillId="0" borderId="1" applyAlignment="1" pivotButton="0" quotePrefix="0" xfId="0">
      <alignment vertical="top"/>
    </xf>
    <xf numFmtId="0" fontId="4" fillId="5" borderId="0" applyAlignment="1" pivotButton="0" quotePrefix="0" xfId="0">
      <alignment vertical="top"/>
    </xf>
    <xf numFmtId="168" fontId="4" fillId="0" borderId="1" applyAlignment="1" pivotButton="0" quotePrefix="0" xfId="0">
      <alignment vertical="top"/>
    </xf>
    <xf numFmtId="168" fontId="4" fillId="5" borderId="1" applyAlignment="1" pivotButton="0" quotePrefix="0" xfId="0">
      <alignment vertical="top"/>
    </xf>
    <xf numFmtId="3" fontId="4" fillId="5" borderId="1" applyAlignment="1" pivotButton="0" quotePrefix="0" xfId="0">
      <alignment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令和8年9月25日／出典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758</v>
      </c>
      <c r="F3" s="7" t="n">
        <v>756</v>
      </c>
      <c r="G3" s="7" t="n">
        <v>753</v>
      </c>
      <c r="H3" s="6" t="inlineStr">
        <is>
          <t>5年度／6年度／7年度</t>
        </is>
      </c>
      <c r="I3" s="9" t="inlineStr"/>
    </row>
    <row r="4">
      <c r="A4" s="6" t="inlineStr"/>
      <c r="B4" s="6" t="inlineStr"/>
      <c r="C4" s="6" t="inlineStr">
        <is>
          <t>人/月</t>
        </is>
      </c>
      <c r="D4" s="13" t="n">
        <v>51.2</v>
      </c>
      <c r="E4" s="13" t="n">
        <v>49</v>
      </c>
      <c r="F4" s="13" t="n">
        <v>48.8</v>
      </c>
      <c r="G4" s="13" t="n">
        <v>48.7</v>
      </c>
      <c r="H4" s="6" t="inlineStr"/>
      <c r="I4" s="9" t="inlineStr"/>
    </row>
    <row r="5">
      <c r="A5" s="6" t="inlineStr"/>
      <c r="B5" s="6" t="inlineStr"/>
      <c r="C5" s="6" t="inlineStr">
        <is>
          <t>給付費(千円)</t>
        </is>
      </c>
      <c r="D5" s="18" t="n"/>
      <c r="E5" s="7" t="n">
        <v>28461</v>
      </c>
      <c r="F5" s="7" t="n">
        <v>28378</v>
      </c>
      <c r="G5" s="7" t="n">
        <v>28295</v>
      </c>
      <c r="H5" s="6" t="inlineStr"/>
      <c r="I5" s="9" t="inlineStr"/>
    </row>
    <row r="6">
      <c r="A6" s="6" t="inlineStr">
        <is>
          <t>居宅</t>
        </is>
      </c>
      <c r="B6" s="6" t="inlineStr">
        <is>
          <t>訪問入浴介護</t>
        </is>
      </c>
      <c r="C6" s="6" t="inlineStr">
        <is>
          <t>回/月</t>
        </is>
      </c>
      <c r="D6" s="7" t="n">
        <v>17</v>
      </c>
      <c r="E6" s="7" t="n">
        <v>16</v>
      </c>
      <c r="F6" s="7" t="n">
        <v>16</v>
      </c>
      <c r="G6" s="7" t="n">
        <v>16</v>
      </c>
      <c r="H6" s="6" t="inlineStr">
        <is>
          <t>5年度／6年度／7年度</t>
        </is>
      </c>
      <c r="I6" s="9" t="inlineStr"/>
    </row>
    <row r="7">
      <c r="A7" s="6" t="inlineStr"/>
      <c r="B7" s="6" t="inlineStr"/>
      <c r="C7" s="6" t="inlineStr">
        <is>
          <t>人/月</t>
        </is>
      </c>
      <c r="D7" s="13" t="n">
        <v>4.8</v>
      </c>
      <c r="E7" s="13" t="n">
        <v>4.6</v>
      </c>
      <c r="F7" s="13" t="n">
        <v>4.6</v>
      </c>
      <c r="G7" s="13" t="n">
        <v>4.6</v>
      </c>
      <c r="H7" s="6" t="inlineStr"/>
      <c r="I7" s="9" t="inlineStr"/>
    </row>
    <row r="8">
      <c r="A8" s="6" t="inlineStr"/>
      <c r="B8" s="6" t="inlineStr"/>
      <c r="C8" s="6" t="inlineStr">
        <is>
          <t>給付費(千円)</t>
        </is>
      </c>
      <c r="D8" s="18" t="n"/>
      <c r="E8" s="7" t="n">
        <v>3033</v>
      </c>
      <c r="F8" s="7" t="n">
        <v>3024</v>
      </c>
      <c r="G8" s="7" t="n">
        <v>3016</v>
      </c>
      <c r="H8" s="6" t="inlineStr"/>
      <c r="I8" s="9" t="inlineStr"/>
    </row>
    <row r="9">
      <c r="A9" s="6" t="inlineStr">
        <is>
          <t>居宅</t>
        </is>
      </c>
      <c r="B9" s="6" t="inlineStr">
        <is>
          <t>訪問看護</t>
        </is>
      </c>
      <c r="C9" s="6" t="inlineStr">
        <is>
          <t>回/月</t>
        </is>
      </c>
      <c r="D9" s="7" t="n">
        <v>273</v>
      </c>
      <c r="E9" s="7" t="n">
        <v>261</v>
      </c>
      <c r="F9" s="7" t="n">
        <v>260</v>
      </c>
      <c r="G9" s="7" t="n">
        <v>260</v>
      </c>
      <c r="H9" s="6" t="inlineStr">
        <is>
          <t>7年度</t>
        </is>
      </c>
      <c r="I9" s="9" t="inlineStr"/>
    </row>
    <row r="10">
      <c r="A10" s="6" t="inlineStr"/>
      <c r="B10" s="6" t="inlineStr"/>
      <c r="C10" s="6" t="inlineStr">
        <is>
          <t>人/月</t>
        </is>
      </c>
      <c r="D10" s="13" t="n">
        <v>41.8</v>
      </c>
      <c r="E10" s="13" t="n">
        <v>40</v>
      </c>
      <c r="F10" s="13" t="n">
        <v>39.9</v>
      </c>
      <c r="G10" s="13" t="n">
        <v>39.8</v>
      </c>
      <c r="H10" s="6" t="inlineStr"/>
      <c r="I10" s="9" t="inlineStr"/>
    </row>
    <row r="11">
      <c r="A11" s="6" t="inlineStr"/>
      <c r="B11" s="6" t="inlineStr"/>
      <c r="C11" s="6" t="inlineStr">
        <is>
          <t>給付費(千円)</t>
        </is>
      </c>
      <c r="D11" s="18" t="n"/>
      <c r="E11" s="7" t="n">
        <v>19314</v>
      </c>
      <c r="F11" s="7" t="n">
        <v>19258</v>
      </c>
      <c r="G11" s="7" t="n">
        <v>19201</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8.699999999999999</v>
      </c>
      <c r="F15" s="13" t="n">
        <v>8.699999999999999</v>
      </c>
      <c r="G15" s="13" t="n">
        <v>8.6</v>
      </c>
      <c r="H15" s="6" t="inlineStr">
        <is>
          <t>5年度／6年度／7年度</t>
        </is>
      </c>
      <c r="I15" s="9" t="inlineStr"/>
    </row>
    <row r="16">
      <c r="A16" s="6" t="inlineStr"/>
      <c r="B16" s="6" t="inlineStr"/>
      <c r="C16" s="6" t="inlineStr">
        <is>
          <t>給付費(千円)</t>
        </is>
      </c>
      <c r="D16" s="18" t="n"/>
      <c r="E16" s="7" t="n">
        <v>829</v>
      </c>
      <c r="F16" s="7" t="n">
        <v>827</v>
      </c>
      <c r="G16" s="7" t="n">
        <v>824</v>
      </c>
      <c r="H16" s="6" t="inlineStr"/>
      <c r="I16" s="9" t="inlineStr"/>
    </row>
    <row r="17">
      <c r="A17" s="6" t="inlineStr">
        <is>
          <t>居宅</t>
        </is>
      </c>
      <c r="B17" s="6" t="inlineStr">
        <is>
          <t>通所介護</t>
        </is>
      </c>
      <c r="C17" s="6" t="inlineStr">
        <is>
          <t>回/月</t>
        </is>
      </c>
      <c r="D17" s="7" t="n">
        <v>1531</v>
      </c>
      <c r="E17" s="7" t="n">
        <v>1465</v>
      </c>
      <c r="F17" s="7" t="n">
        <v>1461</v>
      </c>
      <c r="G17" s="7" t="n">
        <v>1456</v>
      </c>
      <c r="H17" s="6" t="inlineStr">
        <is>
          <t>5年度／6年度／7年度</t>
        </is>
      </c>
      <c r="I17" s="9" t="inlineStr"/>
    </row>
    <row r="18">
      <c r="A18" s="6" t="inlineStr"/>
      <c r="B18" s="6" t="inlineStr"/>
      <c r="C18" s="6" t="inlineStr">
        <is>
          <t>人/月</t>
        </is>
      </c>
      <c r="D18" s="13" t="n">
        <v>167.5</v>
      </c>
      <c r="E18" s="13" t="n">
        <v>160.3</v>
      </c>
      <c r="F18" s="13" t="n">
        <v>159.8</v>
      </c>
      <c r="G18" s="13" t="n">
        <v>159.3</v>
      </c>
      <c r="H18" s="6" t="inlineStr"/>
      <c r="I18" s="9" t="inlineStr"/>
    </row>
    <row r="19">
      <c r="A19" s="6" t="inlineStr"/>
      <c r="B19" s="6" t="inlineStr"/>
      <c r="C19" s="6" t="inlineStr">
        <is>
          <t>給付費(千円)</t>
        </is>
      </c>
      <c r="D19" s="18" t="n"/>
      <c r="E19" s="7" t="n">
        <v>145895</v>
      </c>
      <c r="F19" s="7" t="n">
        <v>145471</v>
      </c>
      <c r="G19" s="7" t="n">
        <v>145046</v>
      </c>
      <c r="H19" s="6" t="inlineStr"/>
      <c r="I19" s="9" t="inlineStr"/>
    </row>
    <row r="20">
      <c r="A20" s="6" t="inlineStr">
        <is>
          <t>居宅</t>
        </is>
      </c>
      <c r="B20" s="6" t="inlineStr">
        <is>
          <t>通所リハビリテーション</t>
        </is>
      </c>
      <c r="C20" s="6" t="inlineStr">
        <is>
          <t>回/月</t>
        </is>
      </c>
      <c r="D20" s="7" t="n">
        <v>186</v>
      </c>
      <c r="E20" s="7" t="n">
        <v>178</v>
      </c>
      <c r="F20" s="7" t="n">
        <v>177</v>
      </c>
      <c r="G20" s="7" t="n">
        <v>177</v>
      </c>
      <c r="H20" s="6" t="inlineStr">
        <is>
          <t>5年度／6年度／7年度</t>
        </is>
      </c>
      <c r="I20" s="9" t="inlineStr"/>
    </row>
    <row r="21">
      <c r="A21" s="6" t="inlineStr"/>
      <c r="B21" s="6" t="inlineStr"/>
      <c r="C21" s="6" t="inlineStr">
        <is>
          <t>人/月</t>
        </is>
      </c>
      <c r="D21" s="13" t="n">
        <v>26.5</v>
      </c>
      <c r="E21" s="13" t="n">
        <v>25.4</v>
      </c>
      <c r="F21" s="13" t="n">
        <v>25.3</v>
      </c>
      <c r="G21" s="13" t="n">
        <v>25.2</v>
      </c>
      <c r="H21" s="6" t="inlineStr"/>
      <c r="I21" s="9" t="inlineStr"/>
    </row>
    <row r="22">
      <c r="A22" s="6" t="inlineStr"/>
      <c r="B22" s="6" t="inlineStr"/>
      <c r="C22" s="6" t="inlineStr">
        <is>
          <t>給付費(千円)</t>
        </is>
      </c>
      <c r="D22" s="18" t="n"/>
      <c r="E22" s="7" t="n">
        <v>14902</v>
      </c>
      <c r="F22" s="7" t="n">
        <v>14858</v>
      </c>
      <c r="G22" s="7" t="n">
        <v>14815</v>
      </c>
      <c r="H22" s="6" t="inlineStr"/>
      <c r="I22" s="9" t="inlineStr"/>
    </row>
    <row r="23">
      <c r="A23" s="6" t="inlineStr">
        <is>
          <t>居宅</t>
        </is>
      </c>
      <c r="B23" s="6" t="inlineStr">
        <is>
          <t>短期入所生活介護</t>
        </is>
      </c>
      <c r="C23" s="6" t="inlineStr">
        <is>
          <t>日/月</t>
        </is>
      </c>
      <c r="D23" s="7" t="n">
        <v>237</v>
      </c>
      <c r="E23" s="7" t="n">
        <v>226</v>
      </c>
      <c r="F23" s="7" t="n">
        <v>226</v>
      </c>
      <c r="G23" s="7" t="n">
        <v>225</v>
      </c>
      <c r="H23" s="6" t="inlineStr">
        <is>
          <t>5年度／6年度／7年度</t>
        </is>
      </c>
      <c r="I23" s="9" t="inlineStr"/>
    </row>
    <row r="24">
      <c r="A24" s="6" t="inlineStr"/>
      <c r="B24" s="6" t="inlineStr"/>
      <c r="C24" s="6" t="inlineStr">
        <is>
          <t>人/月</t>
        </is>
      </c>
      <c r="D24" s="13" t="n">
        <v>25.6</v>
      </c>
      <c r="E24" s="13" t="n">
        <v>24.5</v>
      </c>
      <c r="F24" s="13" t="n">
        <v>24.4</v>
      </c>
      <c r="G24" s="13" t="n">
        <v>24.3</v>
      </c>
      <c r="H24" s="6" t="inlineStr"/>
      <c r="I24" s="9" t="inlineStr"/>
    </row>
    <row r="25">
      <c r="A25" s="6" t="inlineStr"/>
      <c r="B25" s="6" t="inlineStr"/>
      <c r="C25" s="6" t="inlineStr">
        <is>
          <t>給付費(千円)</t>
        </is>
      </c>
      <c r="D25" s="18" t="n"/>
      <c r="E25" s="7" t="n">
        <v>26209</v>
      </c>
      <c r="F25" s="7" t="n">
        <v>26133</v>
      </c>
      <c r="G25" s="7" t="n">
        <v>26056</v>
      </c>
      <c r="H25" s="6" t="inlineStr"/>
      <c r="I25" s="9" t="inlineStr"/>
    </row>
    <row r="26">
      <c r="A26" s="6" t="inlineStr">
        <is>
          <t>居宅</t>
        </is>
      </c>
      <c r="B26" s="6" t="inlineStr">
        <is>
          <t>短期入所療養介護（介護老人保健施設）</t>
        </is>
      </c>
      <c r="C26" s="6" t="inlineStr">
        <is>
          <t>日/月</t>
        </is>
      </c>
      <c r="D26" s="7" t="n">
        <v>21</v>
      </c>
      <c r="E26" s="7" t="n">
        <v>20</v>
      </c>
      <c r="F26" s="7" t="n">
        <v>20</v>
      </c>
      <c r="G26" s="7" t="n">
        <v>20</v>
      </c>
      <c r="H26" s="6" t="inlineStr">
        <is>
          <t>5年度／6年度／7年度</t>
        </is>
      </c>
      <c r="I26" s="9" t="inlineStr"/>
    </row>
    <row r="27">
      <c r="A27" s="6" t="inlineStr"/>
      <c r="B27" s="6" t="inlineStr"/>
      <c r="C27" s="6" t="inlineStr">
        <is>
          <t>人/月</t>
        </is>
      </c>
      <c r="D27" s="13" t="n">
        <v>3.2</v>
      </c>
      <c r="E27" s="13" t="n">
        <v>3.1</v>
      </c>
      <c r="F27" s="13" t="n">
        <v>3.1</v>
      </c>
      <c r="G27" s="13" t="n">
        <v>3.1</v>
      </c>
      <c r="H27" s="6" t="inlineStr"/>
      <c r="I27" s="9" t="inlineStr"/>
    </row>
    <row r="28">
      <c r="A28" s="6" t="inlineStr"/>
      <c r="B28" s="6" t="inlineStr"/>
      <c r="C28" s="6" t="inlineStr">
        <is>
          <t>給付費(千円)</t>
        </is>
      </c>
      <c r="D28" s="18" t="n"/>
      <c r="E28" s="7" t="n">
        <v>2227</v>
      </c>
      <c r="F28" s="7" t="n">
        <v>2220</v>
      </c>
      <c r="G28" s="7" t="n">
        <v>2214</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184.5</v>
      </c>
      <c r="F35" s="13" t="n">
        <v>184</v>
      </c>
      <c r="G35" s="13" t="n">
        <v>183.4</v>
      </c>
      <c r="H35" s="6" t="inlineStr">
        <is>
          <t>5年度／6年度／7年度</t>
        </is>
      </c>
      <c r="I35" s="9" t="inlineStr"/>
    </row>
    <row r="36">
      <c r="A36" s="6" t="inlineStr"/>
      <c r="B36" s="6" t="inlineStr"/>
      <c r="C36" s="6" t="inlineStr">
        <is>
          <t>給付費(千円)</t>
        </is>
      </c>
      <c r="D36" s="18" t="n"/>
      <c r="E36" s="7" t="n">
        <v>29951</v>
      </c>
      <c r="F36" s="7" t="n">
        <v>29864</v>
      </c>
      <c r="G36" s="7" t="n">
        <v>29777</v>
      </c>
      <c r="H36" s="6" t="inlineStr"/>
      <c r="I36" s="9" t="inlineStr"/>
    </row>
    <row r="37">
      <c r="A37" s="6" t="inlineStr">
        <is>
          <t>居宅</t>
        </is>
      </c>
      <c r="B37" s="6" t="inlineStr">
        <is>
          <t>特定福祉用具販売</t>
        </is>
      </c>
      <c r="C37" s="6" t="inlineStr">
        <is>
          <t>人/月</t>
        </is>
      </c>
      <c r="D37" s="13" t="n">
        <v>4</v>
      </c>
      <c r="E37" s="13" t="n">
        <v>3.8</v>
      </c>
      <c r="F37" s="13" t="n">
        <v>3.8</v>
      </c>
      <c r="G37" s="13" t="n">
        <v>3.8</v>
      </c>
      <c r="H37" s="6" t="inlineStr">
        <is>
          <t>6年度／7年度</t>
        </is>
      </c>
      <c r="I37" s="9" t="inlineStr"/>
    </row>
    <row r="38">
      <c r="A38" s="6" t="inlineStr"/>
      <c r="B38" s="6" t="inlineStr"/>
      <c r="C38" s="6" t="inlineStr">
        <is>
          <t>給付費(千円)</t>
        </is>
      </c>
      <c r="D38" s="18" t="n"/>
      <c r="E38" s="7" t="n">
        <v>1648</v>
      </c>
      <c r="F38" s="7" t="n">
        <v>1643</v>
      </c>
      <c r="G38" s="7" t="n">
        <v>1638</v>
      </c>
      <c r="H38" s="6" t="inlineStr"/>
      <c r="I38" s="9" t="inlineStr"/>
    </row>
    <row r="39">
      <c r="A39" s="6" t="inlineStr">
        <is>
          <t>居宅</t>
        </is>
      </c>
      <c r="B39" s="6" t="inlineStr">
        <is>
          <t>住宅改修</t>
        </is>
      </c>
      <c r="C39" s="6" t="inlineStr">
        <is>
          <t>人/月</t>
        </is>
      </c>
      <c r="D39" s="13" t="n">
        <v>3.2</v>
      </c>
      <c r="E39" s="13" t="n">
        <v>3</v>
      </c>
      <c r="F39" s="13" t="n">
        <v>3</v>
      </c>
      <c r="G39" s="13" t="n">
        <v>3</v>
      </c>
      <c r="H39" s="6" t="inlineStr">
        <is>
          <t>6年度／7年度</t>
        </is>
      </c>
      <c r="I39" s="9" t="inlineStr"/>
    </row>
    <row r="40">
      <c r="A40" s="6" t="inlineStr"/>
      <c r="B40" s="6" t="inlineStr"/>
      <c r="C40" s="6" t="inlineStr">
        <is>
          <t>給付費(千円)</t>
        </is>
      </c>
      <c r="D40" s="18" t="n"/>
      <c r="E40" s="7" t="n">
        <v>1735</v>
      </c>
      <c r="F40" s="7" t="n">
        <v>1730</v>
      </c>
      <c r="G40" s="7" t="n">
        <v>1724</v>
      </c>
      <c r="H40" s="6" t="inlineStr"/>
      <c r="I40" s="9" t="inlineStr"/>
    </row>
    <row r="41">
      <c r="A41" s="6" t="inlineStr">
        <is>
          <t>居宅</t>
        </is>
      </c>
      <c r="B41" s="6" t="inlineStr">
        <is>
          <t>特定施設入居者生活介護</t>
        </is>
      </c>
      <c r="C41" s="6" t="inlineStr">
        <is>
          <t>人/月</t>
        </is>
      </c>
      <c r="D41" s="13" t="n">
        <v>4</v>
      </c>
      <c r="E41" s="13" t="n">
        <v>3.8</v>
      </c>
      <c r="F41" s="13" t="n">
        <v>3.8</v>
      </c>
      <c r="G41" s="13" t="n">
        <v>3.8</v>
      </c>
      <c r="H41" s="6" t="inlineStr">
        <is>
          <t>5年度／6年度／7年度</t>
        </is>
      </c>
      <c r="I41" s="9" t="inlineStr"/>
    </row>
    <row r="42">
      <c r="A42" s="6" t="inlineStr"/>
      <c r="B42" s="6" t="inlineStr"/>
      <c r="C42" s="6" t="inlineStr">
        <is>
          <t>給付費(千円)</t>
        </is>
      </c>
      <c r="D42" s="18" t="n"/>
      <c r="E42" s="7" t="n">
        <v>9299</v>
      </c>
      <c r="F42" s="7" t="n">
        <v>9272</v>
      </c>
      <c r="G42" s="7" t="n">
        <v>9244</v>
      </c>
      <c r="H42" s="6" t="inlineStr"/>
      <c r="I42" s="9" t="inlineStr"/>
    </row>
    <row r="43">
      <c r="A43" s="6" t="inlineStr">
        <is>
          <t>居宅</t>
        </is>
      </c>
      <c r="B43" s="6" t="inlineStr">
        <is>
          <t>居宅介護支援</t>
        </is>
      </c>
      <c r="C43" s="6" t="inlineStr">
        <is>
          <t>人/月</t>
        </is>
      </c>
      <c r="D43" s="13" t="n">
        <v>255</v>
      </c>
      <c r="E43" s="13" t="n">
        <v>244</v>
      </c>
      <c r="F43" s="13" t="n">
        <v>243.3</v>
      </c>
      <c r="G43" s="13" t="n">
        <v>242.6</v>
      </c>
      <c r="H43" s="6" t="inlineStr">
        <is>
          <t>5年度／6年度／7年度</t>
        </is>
      </c>
      <c r="I43" s="9" t="inlineStr"/>
    </row>
    <row r="44">
      <c r="A44" s="6" t="inlineStr"/>
      <c r="B44" s="6" t="inlineStr"/>
      <c r="C44" s="6" t="inlineStr">
        <is>
          <t>給付費(千円)</t>
        </is>
      </c>
      <c r="D44" s="18" t="n"/>
      <c r="E44" s="7" t="n">
        <v>46001</v>
      </c>
      <c r="F44" s="7" t="n">
        <v>45867</v>
      </c>
      <c r="G44" s="7" t="n">
        <v>45733</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91</v>
      </c>
      <c r="F52" s="7" t="n">
        <v>91</v>
      </c>
      <c r="G52" s="7" t="n">
        <v>91</v>
      </c>
      <c r="H52" s="6" t="inlineStr">
        <is>
          <t>5年度／6年度／7年度</t>
        </is>
      </c>
      <c r="I52" s="9" t="inlineStr"/>
    </row>
    <row r="53">
      <c r="A53" s="6" t="inlineStr"/>
      <c r="B53" s="6" t="inlineStr"/>
      <c r="C53" s="6" t="inlineStr">
        <is>
          <t>人/月</t>
        </is>
      </c>
      <c r="D53" s="13" t="n">
        <v>9</v>
      </c>
      <c r="E53" s="13" t="n">
        <v>8.6</v>
      </c>
      <c r="F53" s="13" t="n">
        <v>8.6</v>
      </c>
      <c r="G53" s="13" t="n">
        <v>8.6</v>
      </c>
      <c r="H53" s="6" t="inlineStr"/>
      <c r="I53" s="9" t="inlineStr"/>
    </row>
    <row r="54">
      <c r="A54" s="6" t="inlineStr"/>
      <c r="B54" s="6" t="inlineStr"/>
      <c r="C54" s="6" t="inlineStr">
        <is>
          <t>給付費(千円)</t>
        </is>
      </c>
      <c r="D54" s="18" t="n"/>
      <c r="E54" s="7" t="n">
        <v>11708</v>
      </c>
      <c r="F54" s="7" t="n">
        <v>11674</v>
      </c>
      <c r="G54" s="7" t="n">
        <v>11640</v>
      </c>
      <c r="H54" s="6" t="inlineStr"/>
      <c r="I54" s="9" t="inlineStr"/>
    </row>
    <row r="55">
      <c r="A55" s="6" t="inlineStr">
        <is>
          <t>地域密着型</t>
        </is>
      </c>
      <c r="B55" s="6" t="inlineStr">
        <is>
          <t>小規模多機能型居宅介護</t>
        </is>
      </c>
      <c r="C55" s="6" t="inlineStr">
        <is>
          <t>人/月</t>
        </is>
      </c>
      <c r="D55" s="13" t="n">
        <v>22.2</v>
      </c>
      <c r="E55" s="13" t="n">
        <v>21.3</v>
      </c>
      <c r="F55" s="13" t="n">
        <v>21.2</v>
      </c>
      <c r="G55" s="13" t="n">
        <v>21.2</v>
      </c>
      <c r="H55" s="6" t="inlineStr">
        <is>
          <t>5年度／6年度／7年度</t>
        </is>
      </c>
      <c r="I55" s="9" t="inlineStr"/>
    </row>
    <row r="56">
      <c r="A56" s="6" t="inlineStr"/>
      <c r="B56" s="6" t="inlineStr"/>
      <c r="C56" s="6" t="inlineStr">
        <is>
          <t>給付費(千円)</t>
        </is>
      </c>
      <c r="D56" s="18" t="n"/>
      <c r="E56" s="7" t="n">
        <v>47434</v>
      </c>
      <c r="F56" s="7" t="n">
        <v>47296</v>
      </c>
      <c r="G56" s="7" t="n">
        <v>47158</v>
      </c>
      <c r="H56" s="6" t="inlineStr"/>
      <c r="I56" s="9" t="inlineStr"/>
    </row>
    <row r="57">
      <c r="A57" s="6" t="inlineStr">
        <is>
          <t>地域密着型</t>
        </is>
      </c>
      <c r="B57" s="6" t="inlineStr">
        <is>
          <t>認知症対応型共同生活介護</t>
        </is>
      </c>
      <c r="C57" s="6" t="inlineStr">
        <is>
          <t>人/月</t>
        </is>
      </c>
      <c r="D57" s="13" t="n">
        <v>44.6</v>
      </c>
      <c r="E57" s="13" t="n">
        <v>42.7</v>
      </c>
      <c r="F57" s="13" t="n">
        <v>42.5</v>
      </c>
      <c r="G57" s="13" t="n">
        <v>42.4</v>
      </c>
      <c r="H57" s="6" t="inlineStr">
        <is>
          <t>7年度</t>
        </is>
      </c>
      <c r="I57" s="9" t="inlineStr"/>
    </row>
    <row r="58">
      <c r="A58" s="6" t="inlineStr"/>
      <c r="B58" s="6" t="inlineStr"/>
      <c r="C58" s="6" t="inlineStr">
        <is>
          <t>給付費(千円)</t>
        </is>
      </c>
      <c r="D58" s="18" t="n"/>
      <c r="E58" s="7" t="n">
        <v>128568</v>
      </c>
      <c r="F58" s="7" t="n">
        <v>128194</v>
      </c>
      <c r="G58" s="7" t="n">
        <v>127820</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39.1</v>
      </c>
      <c r="F61" s="13" t="n">
        <v>39</v>
      </c>
      <c r="G61" s="13" t="n">
        <v>38.8</v>
      </c>
      <c r="H61" s="6" t="inlineStr">
        <is>
          <t>5年度／6年度／7年度</t>
        </is>
      </c>
      <c r="I61" s="9" t="inlineStr"/>
    </row>
    <row r="62">
      <c r="A62" s="6" t="inlineStr"/>
      <c r="B62" s="6" t="inlineStr"/>
      <c r="C62" s="6" t="inlineStr">
        <is>
          <t>給付費(千円)</t>
        </is>
      </c>
      <c r="D62" s="18" t="n"/>
      <c r="E62" s="7" t="n">
        <v>120885</v>
      </c>
      <c r="F62" s="7" t="n">
        <v>120533</v>
      </c>
      <c r="G62" s="7" t="n">
        <v>120181</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68</v>
      </c>
      <c r="F65" s="13" t="n">
        <v>67.8</v>
      </c>
      <c r="G65" s="13" t="n">
        <v>67.59999999999999</v>
      </c>
      <c r="H65" s="6" t="inlineStr">
        <is>
          <t>5年度／6年度／7年度</t>
        </is>
      </c>
      <c r="I65" s="9" t="inlineStr"/>
    </row>
    <row r="66">
      <c r="A66" s="6" t="inlineStr"/>
      <c r="B66" s="6" t="inlineStr"/>
      <c r="C66" s="6" t="inlineStr">
        <is>
          <t>給付費(千円)</t>
        </is>
      </c>
      <c r="D66" s="18" t="n"/>
      <c r="E66" s="7" t="n">
        <v>195989</v>
      </c>
      <c r="F66" s="7" t="n">
        <v>195419</v>
      </c>
      <c r="G66" s="7" t="n">
        <v>194849</v>
      </c>
      <c r="H66" s="6" t="inlineStr"/>
      <c r="I66" s="9" t="inlineStr"/>
    </row>
    <row r="67">
      <c r="A67" s="6" t="inlineStr">
        <is>
          <t>施設</t>
        </is>
      </c>
      <c r="B67" s="6" t="inlineStr">
        <is>
          <t>介護老人保健施設</t>
        </is>
      </c>
      <c r="C67" s="6" t="inlineStr">
        <is>
          <t>人/月</t>
        </is>
      </c>
      <c r="D67" s="13" t="n">
        <v>27.8</v>
      </c>
      <c r="E67" s="13" t="n">
        <v>26.6</v>
      </c>
      <c r="F67" s="13" t="n">
        <v>26.6</v>
      </c>
      <c r="G67" s="13" t="n">
        <v>26.5</v>
      </c>
      <c r="H67" s="6" t="inlineStr">
        <is>
          <t>5年度／6年度／7年度</t>
        </is>
      </c>
      <c r="I67" s="9" t="inlineStr"/>
    </row>
    <row r="68">
      <c r="A68" s="6" t="inlineStr"/>
      <c r="B68" s="6" t="inlineStr"/>
      <c r="C68" s="6" t="inlineStr">
        <is>
          <t>給付費(千円)</t>
        </is>
      </c>
      <c r="D68" s="18" t="n"/>
      <c r="E68" s="7" t="n">
        <v>88521</v>
      </c>
      <c r="F68" s="7" t="n">
        <v>88264</v>
      </c>
      <c r="G68" s="7" t="n">
        <v>88006</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4123</v>
      </c>
      <c r="F72" s="7" t="n">
        <v>4111</v>
      </c>
      <c r="G72" s="7" t="n">
        <v>4099</v>
      </c>
      <c r="H72" s="6" t="inlineStr"/>
      <c r="I72" s="9" t="inlineStr"/>
    </row>
    <row r="73">
      <c r="A73" s="20" t="inlineStr">
        <is>
          <t>介護給付　利用者数の合計</t>
        </is>
      </c>
      <c r="B73" s="20" t="inlineStr"/>
      <c r="C73" s="20" t="inlineStr">
        <is>
          <t>人/月</t>
        </is>
      </c>
      <c r="D73" s="21" t="n">
        <v>1005.3</v>
      </c>
      <c r="E73" s="21" t="n">
        <v>961.8</v>
      </c>
      <c r="F73" s="21" t="n">
        <v>959.1</v>
      </c>
      <c r="G73" s="21" t="n">
        <v>956.3</v>
      </c>
      <c r="H73" s="20" t="inlineStr"/>
      <c r="I73" s="22" t="inlineStr">
        <is>
          <t>延べ利用者数。重複を含む</t>
        </is>
      </c>
    </row>
    <row r="74">
      <c r="A74" s="20" t="inlineStr">
        <is>
          <t>介護給付　給付費の合計</t>
        </is>
      </c>
      <c r="B74" s="20" t="inlineStr"/>
      <c r="C74" s="20" t="inlineStr">
        <is>
          <t>千円</t>
        </is>
      </c>
      <c r="D74" s="23" t="n"/>
      <c r="E74" s="24" t="n">
        <v>926731</v>
      </c>
      <c r="F74" s="24" t="n">
        <v>924035</v>
      </c>
      <c r="G74" s="24" t="n">
        <v>921340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31</v>
      </c>
      <c r="F79" s="7" t="n">
        <v>31</v>
      </c>
      <c r="G79" s="7" t="n">
        <v>31</v>
      </c>
      <c r="H79" s="6" t="inlineStr">
        <is>
          <t>5年度／6年度／7年度</t>
        </is>
      </c>
      <c r="I79" s="9" t="inlineStr"/>
    </row>
    <row r="80">
      <c r="A80" s="6" t="inlineStr"/>
      <c r="B80" s="6" t="inlineStr"/>
      <c r="C80" s="6" t="inlineStr">
        <is>
          <t>人/月</t>
        </is>
      </c>
      <c r="D80" s="13" t="n">
        <v>7.6</v>
      </c>
      <c r="E80" s="13" t="n">
        <v>7.3</v>
      </c>
      <c r="F80" s="13" t="n">
        <v>7.2</v>
      </c>
      <c r="G80" s="13" t="n">
        <v>7.2</v>
      </c>
      <c r="H80" s="6" t="inlineStr"/>
      <c r="I80" s="9" t="inlineStr"/>
    </row>
    <row r="81">
      <c r="A81" s="6" t="inlineStr"/>
      <c r="B81" s="6" t="inlineStr"/>
      <c r="C81" s="6" t="inlineStr">
        <is>
          <t>給付費(千円)</t>
        </is>
      </c>
      <c r="D81" s="18" t="n"/>
      <c r="E81" s="7" t="n">
        <v>2118</v>
      </c>
      <c r="F81" s="7" t="n">
        <v>2112</v>
      </c>
      <c r="G81" s="7" t="n">
        <v>2106</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127</v>
      </c>
      <c r="F86" s="7" t="n">
        <v>126</v>
      </c>
      <c r="G86" s="7" t="n">
        <v>126</v>
      </c>
      <c r="H86" s="6" t="inlineStr"/>
      <c r="I86" s="9" t="inlineStr"/>
    </row>
    <row r="87">
      <c r="A87" s="6" t="inlineStr">
        <is>
          <t>居宅</t>
        </is>
      </c>
      <c r="B87" s="6" t="inlineStr">
        <is>
          <t>介護予防通所リハビリテーション</t>
        </is>
      </c>
      <c r="C87" s="6" t="inlineStr">
        <is>
          <t>人/月</t>
        </is>
      </c>
      <c r="D87" s="13" t="n">
        <v>27</v>
      </c>
      <c r="E87" s="13" t="n">
        <v>25.8</v>
      </c>
      <c r="F87" s="13" t="n">
        <v>25.8</v>
      </c>
      <c r="G87" s="13" t="n">
        <v>25.7</v>
      </c>
      <c r="H87" s="6" t="inlineStr">
        <is>
          <t>7年度</t>
        </is>
      </c>
      <c r="I87" s="9" t="inlineStr"/>
    </row>
    <row r="88">
      <c r="A88" s="6" t="inlineStr"/>
      <c r="B88" s="6" t="inlineStr"/>
      <c r="C88" s="6" t="inlineStr">
        <is>
          <t>給付費(千円)</t>
        </is>
      </c>
      <c r="D88" s="18" t="n"/>
      <c r="E88" s="7" t="n">
        <v>11184</v>
      </c>
      <c r="F88" s="7" t="n">
        <v>11151</v>
      </c>
      <c r="G88" s="7" t="n">
        <v>11119</v>
      </c>
      <c r="H88" s="6" t="inlineStr"/>
      <c r="I88" s="9" t="inlineStr"/>
    </row>
    <row r="89">
      <c r="A89" s="6" t="inlineStr">
        <is>
          <t>居宅</t>
        </is>
      </c>
      <c r="B89" s="6" t="inlineStr">
        <is>
          <t>介護予防短期入所生活介護</t>
        </is>
      </c>
      <c r="C89" s="6" t="inlineStr">
        <is>
          <t>日/月</t>
        </is>
      </c>
      <c r="D89" s="7" t="n">
        <v>3</v>
      </c>
      <c r="E89" s="7" t="n">
        <v>3</v>
      </c>
      <c r="F89" s="7" t="n">
        <v>3</v>
      </c>
      <c r="G89" s="7" t="n">
        <v>3</v>
      </c>
      <c r="H89" s="6" t="inlineStr">
        <is>
          <t>5年度／6年度／7年度</t>
        </is>
      </c>
      <c r="I89" s="9" t="inlineStr"/>
    </row>
    <row r="90">
      <c r="A90" s="6" t="inlineStr"/>
      <c r="B90" s="6" t="inlineStr"/>
      <c r="C90" s="6" t="inlineStr">
        <is>
          <t>人/月</t>
        </is>
      </c>
      <c r="D90" s="13" t="n">
        <v>0.8</v>
      </c>
      <c r="E90" s="13" t="n">
        <v>0.7</v>
      </c>
      <c r="F90" s="13" t="n">
        <v>0.7</v>
      </c>
      <c r="G90" s="13" t="n">
        <v>0.7</v>
      </c>
      <c r="H90" s="6" t="inlineStr"/>
      <c r="I90" s="9" t="inlineStr"/>
    </row>
    <row r="91">
      <c r="A91" s="6" t="inlineStr"/>
      <c r="B91" s="6" t="inlineStr"/>
      <c r="C91" s="6" t="inlineStr">
        <is>
          <t>給付費(千円)</t>
        </is>
      </c>
      <c r="D91" s="18" t="n"/>
      <c r="E91" s="7" t="n">
        <v>280</v>
      </c>
      <c r="F91" s="7" t="n">
        <v>279</v>
      </c>
      <c r="G91" s="7" t="n">
        <v>279</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48</v>
      </c>
      <c r="F94" s="7" t="n">
        <v>48</v>
      </c>
      <c r="G94" s="7" t="n">
        <v>48</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51.9</v>
      </c>
      <c r="F101" s="13" t="n">
        <v>51.8</v>
      </c>
      <c r="G101" s="13" t="n">
        <v>51.6</v>
      </c>
      <c r="H101" s="6" t="inlineStr">
        <is>
          <t>7年度</t>
        </is>
      </c>
      <c r="I101" s="9" t="inlineStr"/>
    </row>
    <row r="102">
      <c r="A102" s="6" t="inlineStr"/>
      <c r="B102" s="6" t="inlineStr"/>
      <c r="C102" s="6" t="inlineStr">
        <is>
          <t>給付費(千円)</t>
        </is>
      </c>
      <c r="D102" s="18" t="n"/>
      <c r="E102" s="7" t="n">
        <v>5741</v>
      </c>
      <c r="F102" s="7" t="n">
        <v>5724</v>
      </c>
      <c r="G102" s="7" t="n">
        <v>5707</v>
      </c>
      <c r="H102" s="6" t="inlineStr"/>
      <c r="I102" s="9" t="inlineStr"/>
    </row>
    <row r="103">
      <c r="A103" s="6" t="inlineStr">
        <is>
          <t>居宅</t>
        </is>
      </c>
      <c r="B103" s="6" t="inlineStr">
        <is>
          <t>特定介護予防福祉用具販売</t>
        </is>
      </c>
      <c r="C103" s="6" t="inlineStr">
        <is>
          <t>人/月</t>
        </is>
      </c>
      <c r="D103" s="13" t="n">
        <v>2.5</v>
      </c>
      <c r="E103" s="13" t="n">
        <v>2.4</v>
      </c>
      <c r="F103" s="13" t="n">
        <v>2.4</v>
      </c>
      <c r="G103" s="13" t="n">
        <v>2.4</v>
      </c>
      <c r="H103" s="6" t="inlineStr">
        <is>
          <t>6年度／7年度</t>
        </is>
      </c>
      <c r="I103" s="9" t="inlineStr"/>
    </row>
    <row r="104">
      <c r="A104" s="6" t="inlineStr"/>
      <c r="B104" s="6" t="inlineStr"/>
      <c r="C104" s="6" t="inlineStr">
        <is>
          <t>給付費(千円)</t>
        </is>
      </c>
      <c r="D104" s="18" t="n"/>
      <c r="E104" s="7" t="n">
        <v>463</v>
      </c>
      <c r="F104" s="7" t="n">
        <v>462</v>
      </c>
      <c r="G104" s="7" t="n">
        <v>460</v>
      </c>
      <c r="H104" s="6" t="inlineStr"/>
      <c r="I104" s="9" t="inlineStr"/>
    </row>
    <row r="105">
      <c r="A105" s="6" t="inlineStr">
        <is>
          <t>居宅</t>
        </is>
      </c>
      <c r="B105" s="6" t="inlineStr">
        <is>
          <t>介護予防住宅改修</t>
        </is>
      </c>
      <c r="C105" s="6" t="inlineStr">
        <is>
          <t>人/月</t>
        </is>
      </c>
      <c r="D105" s="13" t="n">
        <v>1.8</v>
      </c>
      <c r="E105" s="13" t="n">
        <v>1.8</v>
      </c>
      <c r="F105" s="13" t="n">
        <v>1.7</v>
      </c>
      <c r="G105" s="13" t="n">
        <v>1.7</v>
      </c>
      <c r="H105" s="6" t="inlineStr">
        <is>
          <t>6年度／7年度</t>
        </is>
      </c>
      <c r="I105" s="9" t="inlineStr"/>
    </row>
    <row r="106">
      <c r="A106" s="6" t="inlineStr"/>
      <c r="B106" s="6" t="inlineStr"/>
      <c r="C106" s="6" t="inlineStr">
        <is>
          <t>給付費(千円)</t>
        </is>
      </c>
      <c r="D106" s="18" t="n"/>
      <c r="E106" s="7" t="n">
        <v>839</v>
      </c>
      <c r="F106" s="7" t="n">
        <v>836</v>
      </c>
      <c r="G106" s="7" t="n">
        <v>834</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71.5</v>
      </c>
      <c r="F109" s="13" t="n">
        <v>71.3</v>
      </c>
      <c r="G109" s="13" t="n">
        <v>71.09999999999999</v>
      </c>
      <c r="H109" s="6" t="inlineStr">
        <is>
          <t>7年度</t>
        </is>
      </c>
      <c r="I109" s="9" t="inlineStr"/>
    </row>
    <row r="110">
      <c r="A110" s="6" t="inlineStr"/>
      <c r="B110" s="6" t="inlineStr"/>
      <c r="C110" s="6" t="inlineStr">
        <is>
          <t>給付費(千円)</t>
        </is>
      </c>
      <c r="D110" s="18" t="n"/>
      <c r="E110" s="7" t="n">
        <v>3967</v>
      </c>
      <c r="F110" s="7" t="n">
        <v>3955</v>
      </c>
      <c r="G110" s="7" t="n">
        <v>3944</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6.8</v>
      </c>
      <c r="F114" s="13" t="n">
        <v>6.8</v>
      </c>
      <c r="G114" s="13" t="n">
        <v>6.7</v>
      </c>
      <c r="H114" s="6" t="inlineStr">
        <is>
          <t>5年度／6年度／7年度</t>
        </is>
      </c>
      <c r="I114" s="9" t="inlineStr"/>
    </row>
    <row r="115">
      <c r="A115" s="6" t="inlineStr"/>
      <c r="B115" s="6" t="inlineStr"/>
      <c r="C115" s="6" t="inlineStr">
        <is>
          <t>給付費(千円)</t>
        </is>
      </c>
      <c r="D115" s="18" t="n"/>
      <c r="E115" s="7" t="n">
        <v>6973</v>
      </c>
      <c r="F115" s="7" t="n">
        <v>6953</v>
      </c>
      <c r="G115" s="7" t="n">
        <v>6932</v>
      </c>
      <c r="H115" s="6" t="inlineStr"/>
      <c r="I115" s="9" t="inlineStr"/>
    </row>
    <row r="116">
      <c r="A116" s="6" t="inlineStr">
        <is>
          <t>地域密着型</t>
        </is>
      </c>
      <c r="B116" s="6" t="inlineStr">
        <is>
          <t>介護予防認知症対応型共同生活介護</t>
        </is>
      </c>
      <c r="C116" s="6" t="inlineStr">
        <is>
          <t>人/月</t>
        </is>
      </c>
      <c r="D116" s="13" t="n">
        <v>1.2</v>
      </c>
      <c r="E116" s="13" t="n">
        <v>1.1</v>
      </c>
      <c r="F116" s="13" t="n">
        <v>1.1</v>
      </c>
      <c r="G116" s="13" t="n">
        <v>1.1</v>
      </c>
      <c r="H116" s="6" t="inlineStr">
        <is>
          <t>7年度</t>
        </is>
      </c>
      <c r="I116" s="9" t="inlineStr"/>
    </row>
    <row r="117">
      <c r="A117" s="6" t="inlineStr"/>
      <c r="B117" s="6" t="inlineStr"/>
      <c r="C117" s="6" t="inlineStr">
        <is>
          <t>給付費(千円)</t>
        </is>
      </c>
      <c r="D117" s="18" t="n"/>
      <c r="E117" s="7" t="n">
        <v>3199</v>
      </c>
      <c r="F117" s="7" t="n">
        <v>3189</v>
      </c>
      <c r="G117" s="7" t="n">
        <v>3180</v>
      </c>
      <c r="H117" s="6" t="inlineStr"/>
      <c r="I117" s="9" t="inlineStr"/>
    </row>
    <row r="118">
      <c r="A118" s="20" t="inlineStr">
        <is>
          <t>予防給付　利用者数の合計</t>
        </is>
      </c>
      <c r="B118" s="20" t="inlineStr"/>
      <c r="C118" s="20" t="inlineStr">
        <is>
          <t>人/月</t>
        </is>
      </c>
      <c r="D118" s="21" t="n">
        <v>179.1</v>
      </c>
      <c r="E118" s="21" t="n">
        <v>171.3</v>
      </c>
      <c r="F118" s="21" t="n">
        <v>170.8</v>
      </c>
      <c r="G118" s="21" t="n">
        <v>170.3</v>
      </c>
      <c r="H118" s="20" t="inlineStr"/>
      <c r="I118" s="22" t="inlineStr">
        <is>
          <t>延べ利用者数。重複を含む</t>
        </is>
      </c>
    </row>
    <row r="119">
      <c r="A119" s="20" t="inlineStr">
        <is>
          <t>予防給付　給付費の合計</t>
        </is>
      </c>
      <c r="B119" s="20" t="inlineStr"/>
      <c r="C119" s="20" t="inlineStr">
        <is>
          <t>千円</t>
        </is>
      </c>
      <c r="D119" s="23" t="n"/>
      <c r="E119" s="24" t="n">
        <v>34938</v>
      </c>
      <c r="F119" s="24" t="n">
        <v>34836</v>
      </c>
      <c r="G119" s="24" t="n">
        <v>34734</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67.61313368071588</v>
      </c>
      <c r="F2" s="14" t="n"/>
      <c r="G2" s="26" t="n">
        <v>125.2095068161405</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26.47454472375041</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0.9511812475598951</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38.83990094202905</v>
      </c>
      <c r="F5" s="14" t="n"/>
      <c r="G5" s="30" t="n">
        <v>66.96534645177424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43.5165420758652</v>
      </c>
      <c r="F6" s="14" t="n"/>
      <c r="G6" s="30" t="n">
        <v>44.40463477129102</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3.80472499023958</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159.3228589662824</v>
      </c>
      <c r="F8" s="13" t="n">
        <v>56.01908789715729</v>
      </c>
      <c r="G8" s="30" t="n">
        <v>40.30150208428582</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50.88819674445439</v>
      </c>
      <c r="F9" s="13" t="n">
        <v>6.792409678087968</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8.560631228039055</v>
      </c>
      <c r="F10" s="13" t="n">
        <v>3.484615916541538</v>
      </c>
      <c r="G10" s="30" t="n">
        <v>29.03846597117949</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27.90131659509026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介護老人福祉施設は町内定員54人に対し見込み67.6人/月で、13.6人が町外の施設の利用にあたる。**第9期の自給率の分析と整合させる。</t>
        </is>
      </c>
    </row>
    <row r="16">
      <c r="A16" s="12" t="inlineStr">
        <is>
          <t>**※ 小規模多機能型居宅介護は登録定員が29人以下と定められている。**見込み27.9人/月は登録者数にあたるため、1事業所であれば上限を超える。事業所数と登録定員を町に確認する。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±1.5％で月額±87円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24％なら月額+282円</t>
        </is>
      </c>
      <c r="F3" s="9" t="inlineStr">
        <is>
          <t>政令の公布（国）</t>
        </is>
      </c>
    </row>
    <row r="4">
      <c r="A4" s="6" t="n">
        <v>3</v>
      </c>
      <c r="B4" s="9" t="inlineStr">
        <is>
          <t>調整交付金の見込交付割合</t>
        </is>
      </c>
      <c r="C4" s="16" t="inlineStr">
        <is>
          <t>6.148％</t>
        </is>
      </c>
      <c r="D4" s="9" t="inlineStr">
        <is>
          <t>第9期計画の公表値からの逆算。第10期の全国値は国の基本指針で示される。基数は標準給付費見込額のみ（見える化システムの算式）</t>
        </is>
      </c>
      <c r="E4" s="9" t="inlineStr">
        <is>
          <t>1ポイント下がると月額+265円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1％で月額+4.2円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見える化の3段連鎖（第1号×認定率×利用率）に組み替えると3年計で1.0％低く出る（月額59円）。基準期間が断層をまたぐ場合は10.5％低く出る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幅は、標準給付費3年計3,101,160千円・地域支援事業費191,749千円・補正後被保険者数9,798人・予定収納率99.35％のもとでの保険料基準額（月額6,224円）からの変化。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40" customWidth="1" min="1" max="1"/>
    <col width="15" customWidth="1" min="2" max="2"/>
    <col width="15" customWidth="1" min="3" max="3"/>
    <col width="14" customWidth="1" min="4" max="4"/>
    <col width="14" customWidth="1" min="5" max="5"/>
    <col width="14" customWidth="1" min="6" max="6"/>
    <col width="18" customWidth="1" min="7" max="7"/>
    <col width="52" customWidth="1" min="8" max="8"/>
  </cols>
  <sheetData>
    <row r="1">
      <c r="A1" s="5" t="inlineStr">
        <is>
          <t>サービス</t>
        </is>
      </c>
      <c r="B1" s="5" t="inlineStr">
        <is>
          <t>町内定員（令和7年度）</t>
        </is>
      </c>
      <c r="C1" s="5" t="inlineStr">
        <is>
          <t>令和7年度の利用（人/月）</t>
        </is>
      </c>
      <c r="D1" s="5" t="inlineStr">
        <is>
          <t>令和9年度の見込</t>
        </is>
      </c>
      <c r="E1" s="5" t="inlineStr">
        <is>
          <t>令和10年度の見込</t>
        </is>
      </c>
      <c r="F1" s="5" t="inlineStr">
        <is>
          <t>令和11年度の見込</t>
        </is>
      </c>
      <c r="G1" s="5" t="inlineStr">
        <is>
          <t>必要利用定員総数（案）</t>
        </is>
      </c>
      <c r="H1" s="5" t="inlineStr">
        <is>
          <t>考え方</t>
        </is>
      </c>
    </row>
    <row r="2">
      <c r="A2" s="9" t="inlineStr">
        <is>
          <t>認知症対応型共同生活介護</t>
        </is>
      </c>
      <c r="B2" s="6" t="n">
        <v>98</v>
      </c>
      <c r="C2" s="6" t="n">
        <v>45.8</v>
      </c>
      <c r="D2" s="6" t="n">
        <v>43.8</v>
      </c>
      <c r="E2" s="6" t="n">
        <v>43.6</v>
      </c>
      <c r="F2" s="6" t="n">
        <v>43.5</v>
      </c>
      <c r="G2" s="6" t="n">
        <v>98</v>
      </c>
      <c r="H2" s="9" t="inlineStr">
        <is>
          <t>現行定員を維持する。見込量に対し余力があり、定員は制約として働いていない</t>
        </is>
      </c>
    </row>
    <row r="3">
      <c r="A3" s="9" t="inlineStr">
        <is>
          <t>地域密着型特定施設入居者生活介護</t>
        </is>
      </c>
      <c r="B3" s="6" t="n">
        <v>0</v>
      </c>
      <c r="C3" s="6" t="n">
        <v>0</v>
      </c>
      <c r="D3" s="6" t="n">
        <v>0</v>
      </c>
      <c r="E3" s="6" t="n">
        <v>0</v>
      </c>
      <c r="F3" s="6" t="n">
        <v>0</v>
      </c>
      <c r="G3" s="6" t="n">
        <v>0</v>
      </c>
      <c r="H3" s="9" t="inlineStr">
        <is>
          <t>町内に事業所がなく、整備の予定もない。0人とする</t>
        </is>
      </c>
    </row>
    <row r="4">
      <c r="A4" s="9" t="inlineStr">
        <is>
          <t>地域密着型介護老人福祉施設入所者生活介護</t>
        </is>
      </c>
      <c r="B4" s="6" t="n">
        <v>58</v>
      </c>
      <c r="C4" s="6" t="n">
        <v>40.8</v>
      </c>
      <c r="D4" s="6" t="n">
        <v>39.1</v>
      </c>
      <c r="E4" s="6" t="n">
        <v>39</v>
      </c>
      <c r="F4" s="6" t="n">
        <v>38.8</v>
      </c>
      <c r="G4" s="6" t="n">
        <v>58</v>
      </c>
      <c r="H4" s="9" t="inlineStr">
        <is>
          <t>現行定員を維持する。見込量に対し余力があり、定員は制約として働いていない</t>
        </is>
      </c>
    </row>
    <row r="6">
      <c r="A6" s="12" t="inlineStr">
        <is>
          <t>※ 介護保険法第117条第2項第1号は、認知症対応型共同生活介護・地域密着型特定施設入居者生活介護・地域密着型介護老人福祉施設入所者生活介護の3サービスについて、市町村が定める区域ごとの各年度の必要利用定員総数を定めることを求めている。**努力義務ではなく必須記載事項である。**</t>
        </is>
      </c>
    </row>
    <row r="7">
      <c r="A7" s="12" t="inlineStr">
        <is>
          <t>※ 本町は町全域を1つの日常生活圏域とするため、圏域別の区分は生じない。</t>
        </is>
      </c>
    </row>
    <row r="8">
      <c r="A8" s="12" t="inlineStr">
        <is>
          <t>※ 利用者数は本町の被保険者が1月あたりに利用した人数で、町外の事業所の利用を含む。認知症対応型共同生活介護は介護給付と予防給付の合計。</t>
        </is>
      </c>
    </row>
    <row r="9">
      <c r="A9" s="12" t="inlineStr">
        <is>
          <t>※ 町内定員は見える化システムのＤ25〜Ｄ27（令和7年度）。</t>
        </is>
      </c>
    </row>
    <row r="10">
      <c r="A10" s="12" t="inlineStr">
        <is>
          <t>**※ 認知症対応型共同生活介護は、認知症基本法第18条（保健医療サービス及び福祉サービスの提供体制の整備等）とも直結する。**町内定員98人に対し本町の被保険者の利用は月45人台であり、施設・居住系サービスの自給率59.74％を踏まえると、町内の定員の相当部分が町外の方に利用されていることになる。</t>
        </is>
      </c>
    </row>
    <row r="11">
      <c r="A11" s="12" t="inlineStr">
        <is>
          <t>**※ 第9期計画は「新規施設整備は原則行わず」としていたにもかかわらず、認知症対応型共同生活介護の定員は令和4年度71人から令和6年度98人へ27人増えている。増床の経緯と町外利用の割合を町に確認したうえで確定する。**</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6" customWidth="1" min="1" max="1"/>
    <col width="34" customWidth="1" min="2" max="2"/>
    <col width="26" customWidth="1" min="3" max="3"/>
    <col width="11" customWidth="1" min="4" max="4"/>
    <col width="11" customWidth="1" min="5" max="5"/>
    <col width="11" customWidth="1" min="6" max="6"/>
    <col width="11" customWidth="1" min="7" max="7"/>
    <col width="11" customWidth="1" min="8" max="8"/>
    <col width="60" customWidth="1" min="9" max="9"/>
  </cols>
  <sheetData>
    <row r="1">
      <c r="A1" s="5" t="inlineStr">
        <is>
          <t>区分</t>
        </is>
      </c>
      <c r="B1" s="5" t="inlineStr">
        <is>
          <t>事業</t>
        </is>
      </c>
      <c r="C1" s="5" t="inlineStr">
        <is>
          <t>単位</t>
        </is>
      </c>
      <c r="D1" s="5" t="inlineStr">
        <is>
          <t>令和6年度</t>
        </is>
      </c>
      <c r="E1" s="5" t="inlineStr">
        <is>
          <t>令和7年度</t>
        </is>
      </c>
      <c r="F1" s="5" t="inlineStr">
        <is>
          <t>令和9年度</t>
        </is>
      </c>
      <c r="G1" s="5" t="inlineStr">
        <is>
          <t>令和10年度</t>
        </is>
      </c>
      <c r="H1" s="5" t="inlineStr">
        <is>
          <t>令和11年度</t>
        </is>
      </c>
      <c r="I1" s="5" t="inlineStr">
        <is>
          <t>出所・備考</t>
        </is>
      </c>
    </row>
    <row r="2">
      <c r="A2" s="6" t="inlineStr">
        <is>
          <t>総合事業</t>
        </is>
      </c>
      <c r="B2" s="9" t="inlineStr">
        <is>
          <t>訪問介護相当サービス</t>
        </is>
      </c>
      <c r="C2" s="9" t="inlineStr">
        <is>
          <t>1月あたり利用者数（人）</t>
        </is>
      </c>
      <c r="D2" s="43" t="n">
        <v>22.2</v>
      </c>
      <c r="E2" s="43" t="n">
        <v>24.5</v>
      </c>
      <c r="F2" s="43" t="n">
        <v>23.1</v>
      </c>
      <c r="G2" s="43" t="n">
        <v>23.1</v>
      </c>
      <c r="H2" s="43" t="n">
        <v>23</v>
      </c>
      <c r="I2" s="9" t="inlineStr">
        <is>
          <t>国保連月報の総合事業コード。令和6・7年度の第1号被保険者1人当たりの件数率の平均を第10期将来推計用推計人口に乗じた</t>
        </is>
      </c>
    </row>
    <row r="3">
      <c r="A3" s="6" t="inlineStr">
        <is>
          <t>総合事業</t>
        </is>
      </c>
      <c r="B3" s="9" t="inlineStr">
        <is>
          <t>通所介護相当サービス</t>
        </is>
      </c>
      <c r="C3" s="9" t="inlineStr">
        <is>
          <t>1月あたり利用者数（人）</t>
        </is>
      </c>
      <c r="D3" s="43" t="n">
        <v>51.6</v>
      </c>
      <c r="E3" s="43" t="n">
        <v>50.7</v>
      </c>
      <c r="F3" s="43" t="n">
        <v>50.7</v>
      </c>
      <c r="G3" s="43" t="n">
        <v>50.5</v>
      </c>
      <c r="H3" s="43" t="n">
        <v>50.4</v>
      </c>
      <c r="I3" s="9" t="inlineStr">
        <is>
          <t>国保連月報の総合事業コード。令和6・7年度の第1号被保険者1人当たりの件数率の平均を第10期将来推計用推計人口に乗じた</t>
        </is>
      </c>
    </row>
    <row r="4">
      <c r="A4" s="6" t="inlineStr">
        <is>
          <t>総合事業</t>
        </is>
      </c>
      <c r="B4" s="9" t="inlineStr">
        <is>
          <t>介護予防ケアマネジメント</t>
        </is>
      </c>
      <c r="C4" s="9" t="inlineStr">
        <is>
          <t>年間件数</t>
        </is>
      </c>
      <c r="D4" s="43" t="n">
        <v>570</v>
      </c>
      <c r="E4" s="43" t="n">
        <v>545</v>
      </c>
      <c r="F4" s="43" t="n">
        <v>552.6</v>
      </c>
      <c r="G4" s="43" t="n">
        <v>551</v>
      </c>
      <c r="H4" s="43" t="n">
        <v>549.4</v>
      </c>
      <c r="I4" s="9" t="inlineStr">
        <is>
          <t>国保連月報の総合事業コード。令和6・7年度の第1号被保険者1人当たりの件数率の平均を第10期将来推計用推計人口に乗じた</t>
        </is>
      </c>
    </row>
    <row r="5">
      <c r="A5" s="6" t="inlineStr">
        <is>
          <t>総合事業</t>
        </is>
      </c>
      <c r="B5" s="9" t="inlineStr">
        <is>
          <t>訪問型サービスA（緩和した基準）</t>
        </is>
      </c>
      <c r="C5" s="9" t="inlineStr">
        <is>
          <t>1月あたり利用者数（人）</t>
        </is>
      </c>
      <c r="D5" s="44" t="inlineStr">
        <is>
          <t>【町データ待ち】</t>
        </is>
      </c>
      <c r="E5" s="44" t="n"/>
      <c r="F5" s="44" t="n"/>
      <c r="G5" s="44" t="n"/>
      <c r="H5" s="44" t="n"/>
      <c r="I5" s="9" t="inlineStr">
        <is>
          <t>国保連月報では令和6年度以降0件。実施の有無を町に確認する</t>
        </is>
      </c>
    </row>
    <row r="6">
      <c r="A6" s="6" t="inlineStr">
        <is>
          <t>総合事業</t>
        </is>
      </c>
      <c r="B6" s="9" t="inlineStr">
        <is>
          <t>通所型サービスA（緩和した基準）</t>
        </is>
      </c>
      <c r="C6" s="9" t="inlineStr">
        <is>
          <t>1月あたり利用者数（人）</t>
        </is>
      </c>
      <c r="D6" s="44" t="inlineStr">
        <is>
          <t>【町データ待ち】</t>
        </is>
      </c>
      <c r="E6" s="44" t="n"/>
      <c r="F6" s="44" t="n"/>
      <c r="G6" s="44" t="n"/>
      <c r="H6" s="44" t="n"/>
      <c r="I6" s="9" t="inlineStr">
        <is>
          <t>同上</t>
        </is>
      </c>
    </row>
    <row r="7">
      <c r="A7" s="6" t="inlineStr">
        <is>
          <t>総合事業</t>
        </is>
      </c>
      <c r="B7" s="9" t="inlineStr">
        <is>
          <t>その他の生活支援サービス</t>
        </is>
      </c>
      <c r="C7" s="9" t="inlineStr">
        <is>
          <t>年間延べ利用者数（人）</t>
        </is>
      </c>
      <c r="D7" s="44" t="inlineStr">
        <is>
          <t>【町データ待ち】</t>
        </is>
      </c>
      <c r="E7" s="44" t="n"/>
      <c r="F7" s="44" t="n"/>
      <c r="G7" s="44" t="n"/>
      <c r="H7" s="44" t="n"/>
      <c r="I7" s="9" t="inlineStr">
        <is>
          <t>国保連月報では0件。配食・見守り等を総合事業で実施しているかを町に確認する</t>
        </is>
      </c>
    </row>
    <row r="8">
      <c r="A8" s="6" t="inlineStr">
        <is>
          <t>一般介護予防事業</t>
        </is>
      </c>
      <c r="B8" s="9" t="inlineStr">
        <is>
          <t>介護予防普及啓発事業</t>
        </is>
      </c>
      <c r="C8" s="9" t="inlineStr">
        <is>
          <t>年間開催回数・延べ参加者数</t>
        </is>
      </c>
      <c r="D8" s="44" t="inlineStr">
        <is>
          <t>【町データ待ち】</t>
        </is>
      </c>
      <c r="E8" s="44" t="n"/>
      <c r="F8" s="44" t="n"/>
      <c r="G8" s="44" t="n"/>
      <c r="H8" s="44" t="n"/>
      <c r="I8" s="9" t="inlineStr">
        <is>
          <t>**町の事業実績が要る（依頼票H3）。**令和6年度の一般介護予防事業費が5,305千円と前年の5.3倍に増えており、何の事業かとあわせて確認する</t>
        </is>
      </c>
    </row>
    <row r="9">
      <c r="A9" s="6" t="inlineStr">
        <is>
          <t>一般介護予防事業</t>
        </is>
      </c>
      <c r="B9" s="9" t="inlineStr">
        <is>
          <t>地域介護予防活動支援事業（通いの場）</t>
        </is>
      </c>
      <c r="C9" s="9" t="inlineStr">
        <is>
          <t>箇所数・年間延べ参加者数</t>
        </is>
      </c>
      <c r="D9" s="44" t="inlineStr">
        <is>
          <t>【町データ待ち】</t>
        </is>
      </c>
      <c r="E9" s="44" t="n"/>
      <c r="F9" s="44" t="n"/>
      <c r="G9" s="44" t="n"/>
      <c r="H9" s="44" t="n"/>
      <c r="I9" s="9" t="inlineStr">
        <is>
          <t>**見える化では週1回以上が平成28年度以降0か所である一方、令和7年度調査では週1回以上の参加が5.5％（高齢者人口換算で約190人）。実態の確認が要る**</t>
        </is>
      </c>
    </row>
    <row r="10">
      <c r="A10" s="6" t="inlineStr">
        <is>
          <t>一般介護予防事業</t>
        </is>
      </c>
      <c r="B10" s="9" t="inlineStr">
        <is>
          <t>地域リハビリテーション活動支援事業</t>
        </is>
      </c>
      <c r="C10" s="9" t="inlineStr">
        <is>
          <t>年間派遣回数</t>
        </is>
      </c>
      <c r="D10" s="44" t="inlineStr">
        <is>
          <t>【町データ待ち】</t>
        </is>
      </c>
      <c r="E10" s="44" t="n"/>
      <c r="F10" s="44" t="n"/>
      <c r="G10" s="44" t="n"/>
      <c r="H10" s="44" t="n"/>
      <c r="I10" s="9" t="inlineStr">
        <is>
          <t>町の事業実績が要る</t>
        </is>
      </c>
    </row>
    <row r="11">
      <c r="A11" s="6" t="inlineStr">
        <is>
          <t>包括的支援事業</t>
        </is>
      </c>
      <c r="B11" s="9" t="inlineStr">
        <is>
          <t>総合相談支援業務</t>
        </is>
      </c>
      <c r="C11" s="9" t="inlineStr">
        <is>
          <t>年間相談件数</t>
        </is>
      </c>
      <c r="D11" s="44" t="inlineStr">
        <is>
          <t>【町データ待ち】</t>
        </is>
      </c>
      <c r="E11" s="44" t="n"/>
      <c r="F11" s="44" t="n"/>
      <c r="G11" s="44" t="n"/>
      <c r="H11" s="44" t="n"/>
      <c r="I11" s="9" t="inlineStr">
        <is>
          <t>町の事業実績が要る</t>
        </is>
      </c>
    </row>
    <row r="12">
      <c r="A12" s="6" t="inlineStr">
        <is>
          <t>包括的支援事業</t>
        </is>
      </c>
      <c r="B12" s="9" t="inlineStr">
        <is>
          <t>権利擁護業務</t>
        </is>
      </c>
      <c r="C12" s="9" t="inlineStr">
        <is>
          <t>年間対応件数</t>
        </is>
      </c>
      <c r="D12" s="44" t="inlineStr">
        <is>
          <t>【町データ待ち】</t>
        </is>
      </c>
      <c r="E12" s="44" t="n"/>
      <c r="F12" s="44" t="n"/>
      <c r="G12" s="44" t="n"/>
      <c r="H12" s="44" t="n"/>
      <c r="I12" s="9" t="inlineStr">
        <is>
          <t>町の事業実績が要る</t>
        </is>
      </c>
    </row>
    <row r="13">
      <c r="A13" s="6" t="inlineStr">
        <is>
          <t>包括的支援事業</t>
        </is>
      </c>
      <c r="B13" s="9" t="inlineStr">
        <is>
          <t>包括的・継続的ケアマネジメント支援業務</t>
        </is>
      </c>
      <c r="C13" s="9" t="inlineStr">
        <is>
          <t>地域ケア会議の年間開催回数</t>
        </is>
      </c>
      <c r="D13" s="44" t="inlineStr">
        <is>
          <t>【町データ待ち】</t>
        </is>
      </c>
      <c r="E13" s="44" t="n"/>
      <c r="F13" s="44" t="n"/>
      <c r="G13" s="44" t="n"/>
      <c r="H13" s="44" t="n"/>
      <c r="I13" s="9" t="inlineStr">
        <is>
          <t>町の事業実績が要る</t>
        </is>
      </c>
    </row>
    <row r="14">
      <c r="A14" s="6" t="inlineStr">
        <is>
          <t>包括的支援事業</t>
        </is>
      </c>
      <c r="B14" s="9" t="inlineStr">
        <is>
          <t>在宅医療・介護連携推進事業</t>
        </is>
      </c>
      <c r="C14" s="9" t="inlineStr">
        <is>
          <t>年間相談件数・研修回数</t>
        </is>
      </c>
      <c r="D14" s="44" t="inlineStr">
        <is>
          <t>【町データ待ち】</t>
        </is>
      </c>
      <c r="E14" s="44" t="n"/>
      <c r="F14" s="44" t="n"/>
      <c r="G14" s="44" t="n"/>
      <c r="H14" s="44" t="n"/>
      <c r="I14" s="9" t="inlineStr">
        <is>
          <t>町の事業実績が要る</t>
        </is>
      </c>
    </row>
    <row r="15">
      <c r="A15" s="6" t="inlineStr">
        <is>
          <t>包括的支援事業</t>
        </is>
      </c>
      <c r="B15" s="9" t="inlineStr">
        <is>
          <t>生活支援体制整備事業</t>
        </is>
      </c>
      <c r="C15" s="9" t="inlineStr">
        <is>
          <t>生活支援コーディネーター配置数・協議体の開催回数</t>
        </is>
      </c>
      <c r="D15" s="44" t="inlineStr">
        <is>
          <t>【町データ待ち】</t>
        </is>
      </c>
      <c r="E15" s="44" t="n"/>
      <c r="F15" s="44" t="n"/>
      <c r="G15" s="44" t="n"/>
      <c r="H15" s="44" t="n"/>
      <c r="I15" s="9" t="inlineStr">
        <is>
          <t>町の事業実績が要る</t>
        </is>
      </c>
    </row>
    <row r="16">
      <c r="A16" s="6" t="inlineStr">
        <is>
          <t>包括的支援事業</t>
        </is>
      </c>
      <c r="B16" s="9" t="inlineStr">
        <is>
          <t>認知症総合支援事業</t>
        </is>
      </c>
      <c r="C16" s="9" t="inlineStr">
        <is>
          <t>初期集中支援チームの対象者把握件数・地域支援推進員の配置数・認知症カフェの箇所数</t>
        </is>
      </c>
      <c r="D16" s="44" t="inlineStr">
        <is>
          <t>【町データ待ち】</t>
        </is>
      </c>
      <c r="E16" s="44" t="n"/>
      <c r="F16" s="44" t="n"/>
      <c r="G16" s="44" t="n"/>
      <c r="H16" s="44" t="n"/>
      <c r="I16" s="9" t="inlineStr">
        <is>
          <t>**見える化の直近値は令和5年度（訪問実績0件）・令和6年3月（推進員4人）・令和6年4月（カフェ1か所）。令和6・7年度の実績が要る（依頼票H9）**</t>
        </is>
      </c>
    </row>
    <row r="17">
      <c r="A17" s="6" t="inlineStr">
        <is>
          <t>任意事業</t>
        </is>
      </c>
      <c r="B17" s="9" t="inlineStr">
        <is>
          <t>家族介護支援事業ほか</t>
        </is>
      </c>
      <c r="C17" s="9" t="inlineStr">
        <is>
          <t>年間実施回数・利用者数</t>
        </is>
      </c>
      <c r="D17" s="44" t="inlineStr">
        <is>
          <t>【町データ待ち】</t>
        </is>
      </c>
      <c r="E17" s="44" t="n"/>
      <c r="F17" s="44" t="n"/>
      <c r="G17" s="44" t="n"/>
      <c r="H17" s="44" t="n"/>
      <c r="I17" s="9" t="inlineStr">
        <is>
          <t>町の事業実績が要る</t>
        </is>
      </c>
    </row>
    <row r="19">
      <c r="A19" s="12" t="inlineStr">
        <is>
          <t>**※ 介護保険法第117条第2項第2号は「各年度の地域支援事業の量の見込み」を計画に定めることを求めている。**同項が別に求める費用の見込み（08_地域支援事業費）とは別の記載事項であり、努力義務ではない。</t>
        </is>
      </c>
    </row>
    <row r="20">
      <c r="A20" s="12" t="inlineStr">
        <is>
          <t>※ 国保連月報から量を出せるのは介護予防・生活支援サービス事業の3事業だけで、一般介護予防事業・包括的支援事業・任意事業は町の事業実績を要する。</t>
        </is>
      </c>
    </row>
    <row r="21">
      <c r="A21" s="12" t="inlineStr">
        <is>
          <t>※ 出せる3事業は、給付の見込量と同じ方法で延ばした。令和6・7年度の第1号被保険者1人当たりの件数率の平均を第10期将来推計用推計人口に乗じている。総合事業は月報が令和6年度からしか取れないため、基準期間は2年である。</t>
        </is>
      </c>
    </row>
    <row r="22">
      <c r="A22" s="12" t="inlineStr">
        <is>
          <t>**※ 通いの場は、見える化では週1回以上が平成28年度以降0か所である一方、令和7年度調査では週1回以上の参加が5.5％（高齢者人口換算で約190人）ある。**量の見込みを置く前に実態の確認が要る（依頼票H3）。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24" customWidth="1" min="1" max="1"/>
    <col width="14" customWidth="1" min="2" max="2"/>
    <col width="18" customWidth="1" min="3" max="3"/>
    <col width="96" customWidth="1" min="4" max="4"/>
  </cols>
  <sheetData>
    <row r="1">
      <c r="A1" s="5" t="inlineStr">
        <is>
          <t>令和8年度の置き方</t>
        </is>
      </c>
      <c r="B1" s="5" t="inlineStr">
        <is>
          <t>対令和7年度</t>
        </is>
      </c>
      <c r="C1" s="5" t="inlineStr">
        <is>
          <t>令和8年度（千円）</t>
        </is>
      </c>
      <c r="D1" s="5" t="inlineStr">
        <is>
          <t>考え方</t>
        </is>
      </c>
    </row>
    <row r="2">
      <c r="A2" s="9" t="inlineStr">
        <is>
          <t>据え置き</t>
        </is>
      </c>
      <c r="B2" s="45" t="n">
        <v>1</v>
      </c>
      <c r="C2" s="25" t="n">
        <v>1005144</v>
      </c>
      <c r="D2" s="9" t="inlineStr">
        <is>
          <t>令和7年度の実績をそのまま置く（変化0）</t>
        </is>
      </c>
    </row>
    <row r="3">
      <c r="A3" s="9" t="inlineStr">
        <is>
          <t>令和6→令和7を延長</t>
        </is>
      </c>
      <c r="B3" s="45" t="n">
        <v>0.9255</v>
      </c>
      <c r="C3" s="25" t="n">
        <v>930309</v>
      </c>
      <c r="D3" s="9" t="inlineStr">
        <is>
          <t>令和6年度1,085,998千円→令和7年度1,005,144千円の比をもう1年延ばす。**断層を含んだ落ちであり過小になる**</t>
        </is>
      </c>
    </row>
    <row r="4">
      <c r="A4" s="9" t="inlineStr">
        <is>
          <t>現行方式</t>
        </is>
      </c>
      <c r="B4" s="45" t="n">
        <v>1.0171</v>
      </c>
      <c r="C4" s="25" t="n">
        <v>1022364</v>
      </c>
      <c r="D4" s="9" t="inlineStr">
        <is>
          <t>令和5〜7年度の利用率の平均×令和8年度の推計人口。**3年平均が下がり続けている系列を上に引いている**</t>
        </is>
      </c>
    </row>
    <row r="5">
      <c r="A5" s="16" t="inlineStr">
        <is>
          <t>月報の実績</t>
        </is>
      </c>
      <c r="B5" s="46" t="n">
        <v>0.9598</v>
      </c>
      <c r="C5" s="47" t="n">
        <v>964745</v>
      </c>
      <c r="D5" s="16" t="inlineStr">
        <is>
          <t>国保連月報の令和8年度4〜6月提供分256,885,163円と前年の同じ月267,642,209円の比。**3か月分の実績による**</t>
        </is>
      </c>
    </row>
    <row r="6">
      <c r="A6" s="9" t="inlineStr">
        <is>
          <t>認定者数＋趨勢半分</t>
        </is>
      </c>
      <c r="B6" s="45" t="n">
        <v>0.9694</v>
      </c>
      <c r="C6" s="25" t="n">
        <v>974344</v>
      </c>
      <c r="D6" s="9" t="inlineStr">
        <is>
          <t>第1号認定者数の伸び+0.51％に、サービス別の趨勢を50％だけ織り込む（乖離の上限20ポイント）。**他町村の案件で用いている置き方。月報を使わずに置ける**</t>
        </is>
      </c>
    </row>
    <row r="8">
      <c r="A8" s="34" t="inlineStr">
        <is>
          <t>■ 令和8年度を基点とした第10期（自然体推計）</t>
        </is>
      </c>
    </row>
    <row r="9">
      <c r="A9" s="5" t="inlineStr">
        <is>
          <t>区分</t>
        </is>
      </c>
      <c r="B9" s="5" t="inlineStr">
        <is>
          <t>現行（令和5〜7年度の利用率平均）</t>
        </is>
      </c>
      <c r="C9" s="5" t="inlineStr">
        <is>
          <t>自然体推計（令和8年度基点）</t>
        </is>
      </c>
      <c r="D9" s="5" t="inlineStr">
        <is>
          <t>差</t>
        </is>
      </c>
    </row>
    <row r="10">
      <c r="A10" t="inlineStr">
        <is>
          <t>令和8年度の総給付費（千円）</t>
        </is>
      </c>
      <c r="B10" s="48" t="n"/>
      <c r="C10" s="48" t="n">
        <v>964745</v>
      </c>
      <c r="D10" s="48" t="n"/>
    </row>
    <row r="11">
      <c r="A11" t="inlineStr">
        <is>
          <t>令和9年度の総給付費（千円）</t>
        </is>
      </c>
      <c r="B11" s="48" t="n">
        <v>1019104</v>
      </c>
      <c r="C11" s="48" t="n">
        <v>961669</v>
      </c>
      <c r="D11" s="48" t="n">
        <v>-57435</v>
      </c>
    </row>
    <row r="12">
      <c r="A12" t="inlineStr">
        <is>
          <t>令和10年度の総給付費（千円）</t>
        </is>
      </c>
      <c r="B12" s="48" t="n">
        <v>1016139</v>
      </c>
      <c r="C12" s="48" t="n">
        <v>958871</v>
      </c>
      <c r="D12" s="48" t="n">
        <v>-57268</v>
      </c>
    </row>
    <row r="13">
      <c r="A13" t="inlineStr">
        <is>
          <t>令和11年度の総給付費（千円）</t>
        </is>
      </c>
      <c r="B13" s="48" t="n">
        <v>1013175</v>
      </c>
      <c r="C13" s="48" t="n">
        <v>956074</v>
      </c>
      <c r="D13" s="48" t="n">
        <v>-57101</v>
      </c>
    </row>
    <row r="14">
      <c r="A14" t="inlineStr">
        <is>
          <t>総給付費 3年計（千円）</t>
        </is>
      </c>
      <c r="B14" s="48" t="n">
        <v>3048418</v>
      </c>
      <c r="C14" s="48" t="n">
        <v>2876614</v>
      </c>
      <c r="D14" s="48" t="n">
        <v>-171804</v>
      </c>
    </row>
    <row r="15">
      <c r="A15" t="inlineStr">
        <is>
          <t>標準給付費 3年計（千円）</t>
        </is>
      </c>
      <c r="B15" s="48" t="n">
        <v>3286398</v>
      </c>
      <c r="C15" s="48" t="n">
        <v>3101160</v>
      </c>
      <c r="D15" s="48" t="n">
        <v>-185237</v>
      </c>
    </row>
    <row r="16">
      <c r="A16" t="inlineStr">
        <is>
          <t>保険料基準額（月額・円）</t>
        </is>
      </c>
      <c r="B16" s="48" t="n">
        <v>6570</v>
      </c>
      <c r="C16" s="48" t="n">
        <v>6224</v>
      </c>
      <c r="D16" s="48" t="n">
        <v>-347</v>
      </c>
    </row>
    <row r="17">
      <c r="A17" t="inlineStr">
        <is>
          <t xml:space="preserve">　100円未満切上げ</t>
        </is>
      </c>
      <c r="B17" s="48" t="n">
        <v>6600</v>
      </c>
      <c r="C17" s="48" t="n">
        <v>6300</v>
      </c>
      <c r="D17" s="48" t="n"/>
    </row>
    <row r="19">
      <c r="A19" s="12" t="inlineStr">
        <is>
          <t>**※ 見える化システムのワークシートは、1人1月あたり給付費の実績値を令和8年度に置いている。令和8年度の列は1か月分であり、その1か月の水準が第10期の3年間に効く。**</t>
        </is>
      </c>
    </row>
    <row r="20">
      <c r="A20" s="12" t="inlineStr">
        <is>
          <t>**※ 国保連月報で確かめられる。**令和8年度の提供分は審査202605〜202607の3か月あり、前年の同じ提供月と比べると96.0％である。当方の現行方式は実績より6.0％高い。令和5〜7年度の3年平均が、下がり続けている系列を上に引いているため。</t>
        </is>
      </c>
    </row>
    <row r="21">
      <c r="A21" s="12" t="inlineStr">
        <is>
          <t>**※ 月報を使わない置き方でも同じところに来る。**他町村の案件で用いている「認定者数の伸びにサービス別の趨勢を半分だけ織り込む」置き方（乖離の上限20ポイント）で計算すると0.9694となり、月報の実績0.9598との差は1.0％である。**出所の異なる2つの置き方が近い値を示す一方、現行方式1.0171はどちらからも離れている。**</t>
        </is>
      </c>
    </row>
    <row r="22">
      <c r="A22" s="12" t="inlineStr">
        <is>
          <t>※ 自然体推計は、令和8年度を基点とし第1号被保険者1人当たりの給付費を据え置いて人口で延ばしたもの。**見える化システムの自然体推計（利用率・1人1月あたり給付費の変化を0とする）と同じ構造である。**</t>
        </is>
      </c>
    </row>
    <row r="23">
      <c r="A23" s="12" t="inlineStr">
        <is>
          <t>**※ どちらを採るかは協議会にお諮りする。**現行は完結年度（令和7年度）を基準年度とする原則に沿う。自然体推計は令和8年度3か月の実績に裏づけられ、見える化の構造とも合うが、令和8年度は完結年度ではない。</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2026-09-25T02:23:30Z</dcterms:created>
  <dcterms:modified xmlns:dcterms="http://purl.org/dc/terms/" xmlns:xsi="http://www.w3.org/2001/XMLSchema-instance" xsi:type="dcterms:W3CDTF">2026-09-25T02:26:08Z</dcterms:modified>
</cp:coreProperties>
</file>