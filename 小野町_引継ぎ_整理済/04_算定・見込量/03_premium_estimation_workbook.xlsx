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tables/table5.xml" ContentType="application/vnd.openxmlformats-officedocument.spreadsheetml.table+xml"/>
  <Override PartName="/xl/worksheets/sheet9.xml" ContentType="application/vnd.openxmlformats-officedocument.spreadsheetml.worksheet+xml"/>
  <Override PartName="/xl/tables/table6.xml" ContentType="application/vnd.openxmlformats-officedocument.spreadsheetml.table+xml"/>
  <Override PartName="/xl/worksheets/sheet10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7b7b6036cbc4d1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88e2d6bd4f2847b4"/>
    <x:sheet xmlns:r="http://schemas.openxmlformats.org/officeDocument/2006/relationships" name="高齢_保険料算定フロー" sheetId="2" r:id="R5a23506b6f4f4b06"/>
    <x:sheet xmlns:r="http://schemas.openxmlformats.org/officeDocument/2006/relationships" name="高齢_試算テンプレート" sheetId="3" r:id="R58d46b23950a4229"/>
    <x:sheet xmlns:r="http://schemas.openxmlformats.org/officeDocument/2006/relationships" name="高齢_必要資料" sheetId="4" r:id="R222ed7abdc2d4fd7"/>
    <x:sheet xmlns:r="http://schemas.openxmlformats.org/officeDocument/2006/relationships" name="障がい_見込量算定方針" sheetId="5" r:id="R092ad1c734f94119"/>
    <x:sheet xmlns:r="http://schemas.openxmlformats.org/officeDocument/2006/relationships" name="障がい_算定テンプレート" sheetId="6" r:id="R75bc1a51f50242d1"/>
    <x:sheet xmlns:r="http://schemas.openxmlformats.org/officeDocument/2006/relationships" name="障がい_必要資料" sheetId="7" r:id="R523b0e3cdf9d4d25"/>
    <x:sheet xmlns:r="http://schemas.openxmlformats.org/officeDocument/2006/relationships" name="アンケート接続表" sheetId="8" r:id="Rc0434e1c53044cdd"/>
    <x:sheet xmlns:r="http://schemas.openxmlformats.org/officeDocument/2006/relationships" name="RedTeam_MECE" sheetId="9" r:id="R887b60f484ca4310"/>
    <x:sheet xmlns:r="http://schemas.openxmlformats.org/officeDocument/2006/relationships" name="出典" sheetId="10" r:id="Rc494f06df80c41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#,##0"/>
    <x:numFmt numFmtId="202" formatCode="0.00"/>
  </x:numFmts>
  <x:fonts count="6">
    <x:font>
      <x:sz val="11"/>
      <x:name val="Carlito"/>
    </x:font>
    <x:font>
      <x:b/>
      <x:sz val="14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0"/>
      <x:color rgb="FFFFFFFF"/>
      <x:name val="Yu Gothic"/>
    </x:font>
    <x:font>
      <x:sz val="10"/>
      <x:name val="Yu Gothic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9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6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0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200" fontId="0" fillId="4" borderId="0" xfId="0" applyNumberFormat="1" applyFont="1" applyFill="1" applyBorder="1"/>
    <x:xf numFmtId="200" fontId="0" fillId="4" borderId="1" xfId="0" applyNumberFormat="1" applyFont="1" applyFill="1" applyBorder="1"/>
    <x:xf numFmtId="201" fontId="0" fillId="4" borderId="0" xfId="0" applyNumberFormat="1" applyFont="1" applyFill="1" applyBorder="1"/>
    <x:xf numFmtId="201" fontId="0" fillId="4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1" fontId="0" fillId="0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4" borderId="0" xfId="0" applyNumberFormat="1" applyFont="1" applyFill="1" applyBorder="1"/>
    <x:xf numFmtId="202" fontId="0" fillId="4" borderId="1" xfId="0" applyNumberFormat="1" applyFont="1" applyFill="1" applyBorder="1"/>
    <x:xf numFmtId="202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200" fontId="0" fillId="4" borderId="0" xfId="0" applyNumberFormat="1" applyFont="1" applyFill="1" applyBorder="1" applyAlignment="1">
      <x:alignment wrapText="1"/>
    </x:xf>
    <x:xf numFmtId="202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200" fontId="0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4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1" fontId="0" fillId="4" borderId="1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left" vertical="center"/>
    </x:xf>
    <x:xf numFmtId="0" fontId="5" fillId="0" borderId="0" xfId="0" applyNumberFormat="1" applyFont="1" applyFill="1" applyBorder="1"/>
    <x:xf numFmtId="0" fontId="4" fillId="2" borderId="1" xfId="0" applyNumberFormat="1" applyFont="1" applyFill="1" applyBorder="1" applyAlignment="1">
      <x:alignment horizontal="left" vertical="center"/>
    </x:xf>
    <x:xf numFmtId="0" fontId="5" fillId="0" borderId="1" xfId="0" applyNumberFormat="1" applyFont="1" applyFill="1" applyBorder="1"/>
    <x:xf numFmtId="0" fontId="4" fillId="2" borderId="0" xfId="0" applyNumberFormat="1" applyFont="1" applyFill="1" applyBorder="1" applyAlignment="1">
      <x:alignment horizontal="left" vertical="top"/>
    </x:xf>
    <x:xf numFmtId="0" fontId="5" fillId="0" borderId="0" xfId="0" applyNumberFormat="1" applyFont="1" applyFill="1" applyBorder="1" applyAlignment="1">
      <x:alignment vertical="top"/>
    </x:xf>
    <x:xf numFmtId="0" fontId="4" fillId="2" borderId="1" xfId="0" applyNumberFormat="1" applyFont="1" applyFill="1" applyBorder="1" applyAlignment="1">
      <x:alignment horizontal="left" vertical="top"/>
    </x:xf>
    <x:xf numFmtId="0" fontId="5" fillId="0" borderId="1" xfId="0" applyNumberFormat="1" applyFont="1" applyFill="1" applyBorder="1" applyAlignment="1">
      <x:alignment vertical="top"/>
    </x:xf>
  </x:cellXfs>
  <x:cellStyles count="1">
    <x:cellStyle name="Normal" xfId="0"/>
  </x:cellStyles>
  <x:dxfs count="4">
    <x:dxf>
      <x:fill>
        <x:patternFill patternType="solid">
          <x:bgColor rgb="FFFCE4D6"/>
        </x:patternFill>
      </x:fill>
    </x:dxf>
    <x:dxf>
      <x:fill>
        <x:patternFill patternType="solid">
          <x:bgColor rgb="FFD9EAD3"/>
        </x:patternFill>
      </x:fill>
    </x:dxf>
    <x:dxf>
      <x:fill>
        <x:patternFill patternType="solid">
          <x:bgColor rgb="FFFCE4D6"/>
        </x:patternFill>
      </x:fill>
    </x:dxf>
    <x:dxf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d682f428904d47" /><Relationship Type="http://schemas.openxmlformats.org/officeDocument/2006/relationships/theme" Target="/xl/theme/theme1.xml" Id="Rfdaa9ff35d704883" /><Relationship Type="http://schemas.openxmlformats.org/officeDocument/2006/relationships/sharedStrings" Target="/xl/sharedStrings.xml" Id="Rf02321f6477245c1" /><Relationship Type="http://schemas.openxmlformats.org/officeDocument/2006/relationships/worksheet" Target="/xl/worksheets/sheet1.xml" Id="R88e2d6bd4f2847b4" /><Relationship Type="http://schemas.openxmlformats.org/officeDocument/2006/relationships/worksheet" Target="/xl/worksheets/sheet2.xml" Id="R5a23506b6f4f4b06" /><Relationship Type="http://schemas.openxmlformats.org/officeDocument/2006/relationships/worksheet" Target="/xl/worksheets/sheet3.xml" Id="R58d46b23950a4229" /><Relationship Type="http://schemas.openxmlformats.org/officeDocument/2006/relationships/worksheet" Target="/xl/worksheets/sheet4.xml" Id="R222ed7abdc2d4fd7" /><Relationship Type="http://schemas.openxmlformats.org/officeDocument/2006/relationships/worksheet" Target="/xl/worksheets/sheet5.xml" Id="R092ad1c734f94119" /><Relationship Type="http://schemas.openxmlformats.org/officeDocument/2006/relationships/worksheet" Target="/xl/worksheets/sheet6.xml" Id="R75bc1a51f50242d1" /><Relationship Type="http://schemas.openxmlformats.org/officeDocument/2006/relationships/worksheet" Target="/xl/worksheets/sheet7.xml" Id="R523b0e3cdf9d4d25" /><Relationship Type="http://schemas.openxmlformats.org/officeDocument/2006/relationships/worksheet" Target="/xl/worksheets/sheet8.xml" Id="Rc0434e1c53044cdd" /><Relationship Type="http://schemas.openxmlformats.org/officeDocument/2006/relationships/worksheet" Target="/xl/worksheets/sheet9.xml" Id="R887b60f484ca4310" /><Relationship Type="http://schemas.openxmlformats.org/officeDocument/2006/relationships/worksheet" Target="/xl/worksheets/sheet10.xml" Id="Rc494f06df80c41b5" /></Relationships>
</file>

<file path=xl/tables/table1.xml><?xml version="1.0" encoding="utf-8"?>
<x:table xmlns:x="http://schemas.openxmlformats.org/spreadsheetml/2006/main" id="1" name="ElderFlowTable" displayName="ElderFlowTable" ref="A3:G10" headerRowCount="1">
  <x:tableColumns count="7">
    <x:tableColumn id="1" name="工程"/>
    <x:tableColumn id="2" name="内容"/>
    <x:tableColumn id="3" name="主な入力データ"/>
    <x:tableColumn id="4" name="算定・確認方法"/>
    <x:tableColumn id="5" name="アウトプット"/>
    <x:tableColumn id="6" name="Red Team確認"/>
    <x:tableColumn id="7" name="MECE区分"/>
  </x:tableColumns>
  <x:tableStyleInfo name="TableStyleMedium2" showRowStripes="1"/>
</x:table>
</file>

<file path=xl/tables/table2.xml><?xml version="1.0" encoding="utf-8"?>
<x:table xmlns:x="http://schemas.openxmlformats.org/spreadsheetml/2006/main" id="2" name="ElderDocsTable" displayName="ElderDocsTable" ref="A3:H12" headerRowCount="1">
  <x:tableColumns count="8">
    <x:tableColumn id="1" name="優先"/>
    <x:tableColumn id="2" name="資料名"/>
    <x:tableColumn id="3" name="確認内容"/>
    <x:tableColumn id="4" name="算定接続"/>
    <x:tableColumn id="5" name="担当"/>
    <x:tableColumn id="6" name="希望時期"/>
    <x:tableColumn id="7" name="ステータス"/>
    <x:tableColumn id="8" name="Red Team注意"/>
  </x:tableColumns>
  <x:tableStyleInfo name="TableStyleMedium2" showRowStripes="1"/>
</x:table>
</file>

<file path=xl/tables/table3.xml><?xml version="1.0" encoding="utf-8"?>
<x:table xmlns:x="http://schemas.openxmlformats.org/spreadsheetml/2006/main" id="3" name="DisabilityMethodTable" displayName="DisabilityMethodTable" ref="A3:H16" headerRowCount="1">
  <x:tableColumns count="8">
    <x:tableColumn id="1" name="サービス・論点"/>
    <x:tableColumn id="2" name="算定方式"/>
    <x:tableColumn id="3" name="基本式・考え方"/>
    <x:tableColumn id="4" name="主な入力データ"/>
    <x:tableColumn id="5" name="アンケート接続"/>
    <x:tableColumn id="6" name="供給制約確認"/>
    <x:tableColumn id="7" name="Red Team確認"/>
    <x:tableColumn id="8" name="MECE区分"/>
  </x:tableColumns>
  <x:tableStyleInfo name="TableStyleMedium2" showRowStripes="1"/>
</x:table>
</file>

<file path=xl/tables/table4.xml><?xml version="1.0" encoding="utf-8"?>
<x:table xmlns:x="http://schemas.openxmlformats.org/spreadsheetml/2006/main" id="4" name="DisabilityDocsTable" displayName="DisabilityDocsTable" ref="A3:H14" headerRowCount="1">
  <x:tableColumns count="8">
    <x:tableColumn id="1" name="優先"/>
    <x:tableColumn id="2" name="資料名"/>
    <x:tableColumn id="3" name="確認内容"/>
    <x:tableColumn id="4" name="算定接続"/>
    <x:tableColumn id="5" name="担当"/>
    <x:tableColumn id="6" name="希望時期"/>
    <x:tableColumn id="7" name="ステータス"/>
    <x:tableColumn id="8" name="Red Team注意"/>
  </x:tableColumns>
  <x:tableStyleInfo name="TableStyleMedium2" showRowStripes="1"/>
</x:table>
</file>

<file path=xl/tables/table5.xml><?xml version="1.0" encoding="utf-8"?>
<x:table xmlns:x="http://schemas.openxmlformats.org/spreadsheetml/2006/main" id="5" name="QuestionnaireLinkTable" displayName="QuestionnaireLinkTable" ref="A3:G14" headerRowCount="1">
  <x:tableColumns count="7">
    <x:tableColumn id="1" name="票"/>
    <x:tableColumn id="2" name="設問分野"/>
    <x:tableColumn id="3" name="取得する値"/>
    <x:tableColumn id="4" name="主なクロス軸"/>
    <x:tableColumn id="5" name="接続するサービス・施策"/>
    <x:tableColumn id="6" name="算定への使い方"/>
    <x:tableColumn id="7" name="修正可否"/>
  </x:tableColumns>
  <x:tableStyleInfo name="TableStyleMedium2" showRowStripes="1"/>
</x:table>
</file>

<file path=xl/tables/table6.xml><?xml version="1.0" encoding="utf-8"?>
<x:table xmlns:x="http://schemas.openxmlformats.org/spreadsheetml/2006/main" id="6" name="RedTeamTable" displayName="RedTeamTable" ref="A3:F14" headerRowCount="1">
  <x:tableColumns count="6">
    <x:tableColumn id="1" name="区分"/>
    <x:tableColumn id="2" name="点検項目"/>
    <x:tableColumn id="3" name="リスク"/>
    <x:tableColumn id="4" name="対応方針"/>
    <x:tableColumn id="5" name="確認資料"/>
    <x:tableColumn id="6" name="判定"/>
  </x:tableColumns>
  <x:tableStyleInfo name="TableStyleMedium2" showRowStripes="1"/>
</x:table>
</file>

<file path=xl/tables/table7.xml><?xml version="1.0" encoding="utf-8"?>
<x:table xmlns:x="http://schemas.openxmlformats.org/spreadsheetml/2006/main" id="7" name="SourceTable" displayName="SourceTable" ref="A3:D8" headerRowCount="1">
  <x:tableColumns count="4">
    <x:tableColumn id="1" name="区分"/>
    <x:tableColumn id="2" name="資料名"/>
    <x:tableColumn id="3" name="URL"/>
    <x:tableColumn id="4" name="主な参照内容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65fbc0a33544c4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86ca3dacae16430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4abe445849844b8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4.xml" Id="R369946858049490d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5.xml" Id="R49b9a3670c80418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6.xml" Id="R05d5227718aa4795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6daf6c5487984f9d" /></Relationships>
</file>

<file path=xl/worksheets/sheet1.xml><?xml version="1.0" encoding="utf-8"?>
<x:worksheet xmlns:x="http://schemas.openxmlformats.org/spreadsheetml/2006/main">
  <x:sheetFormatPr defaultRowHeight="15"/>
  <x:cols>
    <x:col min="1" max="1" width="58.880001068115234" hidden="0" customWidth="1"/>
    <x:col min="2" max="2" width="80" hidden="0" customWidth="1"/>
  </x:cols>
  <x:sheetData>
    <x:row r="1" ht="28" customHeight="1">
      <x:c r="A1" s="56" t="str">
        <x:v>小野町　高齢者計画・障がい計画　算定検討整理ブック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3">
      <x:c r="A3" s="12" t="str">
        <x:v>目的</x:v>
      </x:c>
      <x:c r="B3" s="16" t="str">
        <x:v>高齢者計画の保険料算定ロジック、障がい計画の見込量算定方針を、Excelで確認・更新できるよう整理したもの。</x:v>
      </x:c>
    </x:row>
    <x:row r="4">
      <x:c r="A4" s="12" t="str">
        <x:v>使い方</x:v>
      </x:c>
      <x:c r="B4" s="16" t="str">
        <x:v>薄緑色の入力欄に町実績・見える化システム値・アンケート結果を入力し、算定結果・リスク評価を確認する。</x:v>
      </x:c>
    </x:row>
    <x:row r="5">
      <x:c r="A5" s="12" t="str">
        <x:v>前提</x:v>
      </x:c>
      <x:c r="B5" s="16" t="str">
        <x:v>現時点ではR6〜R8実績、アンケート結果、見える化システム確定値、基金残高等が未提供のため、数値は仮置き・入力待ち。</x:v>
      </x:c>
    </x:row>
    <x:row r="6">
      <x:c r="A6" s="12" t="str">
        <x:v>凡例</x:v>
      </x:c>
      <x:c r="B6" s="16" t="str">
        <x:v>◎＝制度内対応可、○＝条件付き対応可、△＝町単独・要協議、×＝計画反映困難または根拠不足。</x:v>
      </x:c>
    </x:row>
    <x:row r="7">
      <x:c r="A7" s="12" t="str">
        <x:v>作成日</x:v>
      </x:c>
      <x:c r="B7" s="16" t="str">
        <x:v>2026-06-24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36" hidden="0" customWidth="1"/>
    <x:col min="4" max="4" width="34" hidden="0" customWidth="1"/>
    <x:col min="5" max="5" width="24" hidden="0" customWidth="1"/>
    <x:col min="6" max="6" width="38" hidden="0" customWidth="1"/>
    <x:col min="7" max="7" width="18" hidden="0" customWidth="1"/>
  </x:cols>
  <x:sheetData>
    <x:row r="1" ht="28" customHeight="1">
      <x:c r="A1" s="56" t="str">
        <x:v>高齢者計画　保険料算定ロジック整理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3" ht="24" customHeight="1">
      <x:c r="A3" s="21" t="str">
        <x:v>工程</x:v>
      </x:c>
      <x:c r="B3" s="21" t="str">
        <x:v>内容</x:v>
      </x:c>
      <x:c r="C3" s="21" t="str">
        <x:v>主な入力データ</x:v>
      </x:c>
      <x:c r="D3" s="21" t="str">
        <x:v>算定・確認方法</x:v>
      </x:c>
      <x:c r="E3" s="21" t="str">
        <x:v>アウトプット</x:v>
      </x:c>
      <x:c r="F3" s="21" t="str">
        <x:v>Red Team確認</x:v>
      </x:c>
      <x:c r="G3" s="21" t="str">
        <x:v>MECE区分</x:v>
      </x:c>
    </x:row>
    <x:row r="4">
      <x:c r="A4" s="16" t="str">
        <x:v>1 人口推計</x:v>
      </x:c>
      <x:c r="B4" s="16" t="str">
        <x:v>総人口・65歳以上・前期/後期高齢者を推計</x:v>
      </x:c>
      <x:c r="C4" s="16" t="str">
        <x:v>住民基本台帳、国勢調査、社人研、町人口ビジョン</x:v>
      </x:c>
      <x:c r="D4" s="16" t="str">
        <x:v>第10期R9〜R11、必要に応じ2040/2050まで推計</x:v>
      </x:c>
      <x:c r="E4" s="16" t="str">
        <x:v>第1号被保険者数、後期高齢者増減</x:v>
      </x:c>
      <x:c r="F4" s="16" t="str">
        <x:v>人口減少下で高齢化率だけを見ない。実人数と認定率を分ける。</x:v>
      </x:c>
      <x:c r="G4" s="16" t="str">
        <x:v>人口・被保険者</x:v>
      </x:c>
    </x:row>
    <x:row r="5">
      <x:c r="A5" s="16" t="str">
        <x:v>2 認定者推計</x:v>
      </x:c>
      <x:c r="B5" s="16" t="str">
        <x:v>要支援・要介護度別認定者を推計</x:v>
      </x:c>
      <x:c r="C5" s="16" t="str">
        <x:v>R3〜R8認定者数、性年齢別人口、認知症高齢者数</x:v>
      </x:c>
      <x:c r="D5" s="16" t="str">
        <x:v>年齢階層別認定率×人口、直近伸び率、政策補正</x:v>
      </x:c>
      <x:c r="E5" s="16" t="str">
        <x:v>要介護度別認定者数</x:v>
      </x:c>
      <x:c r="F5" s="16" t="str">
        <x:v>後期高齢者比率上昇を過小評価しない。</x:v>
      </x:c>
      <x:c r="G5" s="16" t="str">
        <x:v>認定者</x:v>
      </x:c>
    </x:row>
    <x:row r="6">
      <x:c r="A6" s="16" t="str">
        <x:v>3 給付費分析</x:v>
      </x:c>
      <x:c r="B6" s="16" t="str">
        <x:v>居宅・施設・地域密着型別に給付費を分析</x:v>
      </x:c>
      <x:c r="C6" s="16" t="str">
        <x:v>R3〜R8給付費、サービス別利用者数・利用量</x:v>
      </x:c>
      <x:c r="D6" s="16" t="str">
        <x:v>見える化システム値＋町実績で乖離確認</x:v>
      </x:c>
      <x:c r="E6" s="16" t="str">
        <x:v>標準給付費見込額</x:v>
      </x:c>
      <x:c r="F6" s="16" t="str">
        <x:v>施設入所、短期入所、訪問系の供給制約を確認。</x:v>
      </x:c>
      <x:c r="G6" s="16" t="str">
        <x:v>給付費</x:v>
      </x:c>
    </x:row>
    <x:row r="7">
      <x:c r="A7" s="16" t="str">
        <x:v>4 地域支援事業費</x:v>
      </x:c>
      <x:c r="B7" s="16" t="str">
        <x:v>総合事業、包括的支援、任意事業を整理</x:v>
      </x:c>
      <x:c r="C7" s="16" t="str">
        <x:v>地域支援事業費内訳、介護予防事業実績</x:v>
      </x:c>
      <x:c r="D7" s="16" t="str">
        <x:v>事業別にR9〜R11見込を設定</x:v>
      </x:c>
      <x:c r="E7" s="16" t="str">
        <x:v>地域支援事業費見込額</x:v>
      </x:c>
      <x:c r="F7" s="16" t="str">
        <x:v>介護用品給付等の財源区分変更に注意。</x:v>
      </x:c>
      <x:c r="G7" s="16" t="str">
        <x:v>地域支援事業</x:v>
      </x:c>
    </x:row>
    <x:row r="8">
      <x:c r="A8" s="16" t="str">
        <x:v>5 財政調整</x:v>
      </x:c>
      <x:c r="B8" s="16" t="str">
        <x:v>第1号負担分、調整交付金、基金等を反映</x:v>
      </x:c>
      <x:c r="C8" s="16" t="str">
        <x:v>負担割合、調整交付金見込、基金残高、予定収納率</x:v>
      </x:c>
      <x:c r="D8" s="16" t="str">
        <x:v>国通知・見える化値に基づき計算</x:v>
      </x:c>
      <x:c r="E8" s="16" t="str">
        <x:v>保険料収納必要額</x:v>
      </x:c>
      <x:c r="F8" s="16" t="str">
        <x:v>基金取崩の過大設定は第11期の急騰リスク。</x:v>
      </x:c>
      <x:c r="G8" s="16" t="str">
        <x:v>財政</x:v>
      </x:c>
    </x:row>
    <x:row r="9">
      <x:c r="A9" s="16" t="str">
        <x:v>6 基準額算定</x:v>
      </x:c>
      <x:c r="B9" s="16" t="str">
        <x:v>所得段階別補正被保険者数で割り戻す</x:v>
      </x:c>
      <x:c r="C9" s="16" t="str">
        <x:v>所得段階別被保険者数、負担割合、収納率</x:v>
      </x:c>
      <x:c r="D9" s="16" t="str">
        <x:v>収納必要額÷予定収納率÷補正第1号被保険者数÷12</x:v>
      </x:c>
      <x:c r="E9" s="16" t="str">
        <x:v>保険料基準月額</x:v>
      </x:c>
      <x:c r="F9" s="16" t="str">
        <x:v>所得段階改正があれば再計算。</x:v>
      </x:c>
      <x:c r="G9" s="16" t="str">
        <x:v>保険料</x:v>
      </x:c>
    </x:row>
    <x:row r="10">
      <x:c r="A10" s="16" t="str">
        <x:v>7 ケース試算</x:v>
      </x:c>
      <x:c r="B10" s="16" t="str">
        <x:v>標準・基金活用・施設整備・高位認定率等を比較</x:v>
      </x:c>
      <x:c r="C10" s="16" t="str">
        <x:v>各ケース前提</x:v>
      </x:c>
      <x:c r="D10" s="16" t="str">
        <x:v>複数ケースで月額差を比較</x:v>
      </x:c>
      <x:c r="E10" s="16" t="str">
        <x:v>政策判断資料</x:v>
      </x:c>
      <x:c r="F10" s="16" t="str">
        <x:v>単一ケースのみでは説明困難。</x:v>
      </x:c>
      <x:c r="G10" s="16" t="str">
        <x:v>シナリオ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65fbc0a33544c4a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3" max="3" width="24" hidden="0" customWidth="1"/>
    <x:col min="4" max="4" width="24" hidden="0" customWidth="1"/>
    <x:col min="6" max="6" width="24" hidden="0" customWidth="1"/>
    <x:col min="14" max="14" width="24" hidden="0" customWidth="1"/>
    <x:col min="2" max="2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</x:cols>
  <x:sheetData>
    <x:row r="1" ht="28" customHeight="1">
      <x:c r="A1" s="56" t="str">
        <x:v>高齢者計画　保険料試算テンプレート（入力待ち）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3">
      <x:c r="A3" s="26" t="str">
        <x:v>入力項目</x:v>
      </x:c>
      <x:c r="B3" s="26" t="str">
        <x:v>値</x:v>
      </x:c>
      <x:c r="C3" s="26" t="str">
        <x:v>単位</x:v>
      </x:c>
      <x:c r="D3" s="26" t="str">
        <x:v>備考</x:v>
      </x:c>
      <x:c r="F3" s="20" t="str">
        <x:v>ケース</x:v>
      </x:c>
      <x:c r="G3" s="20" t="str">
        <x:v>標準給付費倍率</x:v>
      </x:c>
      <x:c r="H3" s="20" t="str">
        <x:v>地域支援事業倍率</x:v>
      </x:c>
      <x:c r="I3" s="20" t="str">
        <x:v>基金取崩額</x:v>
      </x:c>
      <x:c r="J3" s="20" t="str">
        <x:v>認定率補正</x:v>
      </x:c>
      <x:c r="K3" s="20" t="str">
        <x:v>施設整備影響額</x:v>
      </x:c>
      <x:c r="L3" s="20" t="str">
        <x:v>収納必要額</x:v>
      </x:c>
      <x:c r="M3" s="20" t="str">
        <x:v>月額基準額</x:v>
      </x:c>
      <x:c r="N3" s="20" t="str">
        <x:v>評価</x:v>
      </x:c>
    </x:row>
    <x:row r="4">
      <x:c r="A4" t="str">
        <x:v>標準給付費見込額</x:v>
      </x:c>
      <x:c r="B4" s="28" t="n">
        <x:v>0</x:v>
      </x:c>
      <x:c r="C4" t="str">
        <x:v>円/3年</x:v>
      </x:c>
      <x:c r="D4" t="str">
        <x:v>見える化システム・町実績から入力</x:v>
      </x:c>
      <x:c r="F4" s="16" t="str">
        <x:v>標準ケース</x:v>
      </x:c>
      <x:c r="G4" s="40" t="n">
        <x:v>1</x:v>
      </x:c>
      <x:c r="H4" s="40" t="n">
        <x:v>1</x:v>
      </x:c>
      <x:c r="I4" s="41" t="n">
        <x:v>0</x:v>
      </x:c>
      <x:c r="J4" s="42" t="n">
        <x:v>0</x:v>
      </x:c>
      <x:c r="K4" s="41" t="n">
        <x:v>0</x:v>
      </x:c>
      <x:c r="L4" s="36" t="n">
        <x:f>(($B$4*G4)+($B$5*H4))*$B$6+($B$7-$B$8)-I4-$B$10+K4</x:f>
        <x:v>0</x:v>
      </x:c>
      <x:c r="M4" s="36" t="n">
        <x:f>IFERROR(L4/$B$11/$B$12/12,0)</x:f>
        <x:v>0</x:v>
      </x:c>
      <x:c r="N4" s="16" t="str">
        <x:v>町実績・見える化標準値を採用</x:v>
      </x:c>
    </x:row>
    <x:row r="5">
      <x:c r="A5" t="str">
        <x:v>地域支援事業費見込額</x:v>
      </x:c>
      <x:c r="B5" s="28" t="n">
        <x:v>0</x:v>
      </x:c>
      <x:c r="C5" t="str">
        <x:v>円/3年</x:v>
      </x:c>
      <x:c r="D5" t="str">
        <x:v>総合事業・包括的支援・任意事業</x:v>
      </x:c>
      <x:c r="F5" s="16" t="str">
        <x:v>基金抑制ケース</x:v>
      </x:c>
      <x:c r="G5" s="40" t="n">
        <x:v>1</x:v>
      </x:c>
      <x:c r="H5" s="40" t="n">
        <x:v>1</x:v>
      </x:c>
      <x:c r="I5" s="41" t="n">
        <x:v>0</x:v>
      </x:c>
      <x:c r="J5" s="42" t="n">
        <x:v>0</x:v>
      </x:c>
      <x:c r="K5" s="41" t="n">
        <x:v>0</x:v>
      </x:c>
      <x:c r="L5" s="36" t="n">
        <x:f>(($B$4*G5)+($B$5*H5))*$B$6+($B$7-$B$8)-I5-$B$10+K5</x:f>
        <x:v>0</x:v>
      </x:c>
      <x:c r="M5" s="36" t="n">
        <x:f>IFERROR(L5/$B$11/$B$12/12,0)</x:f>
        <x:v>0</x:v>
      </x:c>
      <x:c r="N5" s="16" t="str">
        <x:v>第11期急騰リスクを抑える</x:v>
      </x:c>
    </x:row>
    <x:row r="6">
      <x:c r="A6" t="str">
        <x:v>第1号被保険者負担割合</x:v>
      </x:c>
      <x:c r="B6" s="30" t="n">
        <x:v>0.23</x:v>
      </x:c>
      <x:c r="C6" t="str">
        <x:v>率</x:v>
      </x:c>
      <x:c r="D6" t="str">
        <x:v>第10期国通知確定後に更新</x:v>
      </x:c>
      <x:c r="F6" s="16" t="str">
        <x:v>基金活用ケース</x:v>
      </x:c>
      <x:c r="G6" s="40" t="n">
        <x:v>1</x:v>
      </x:c>
      <x:c r="H6" s="40" t="n">
        <x:v>1</x:v>
      </x:c>
      <x:c r="I6" s="41" t="n">
        <x:v>0</x:v>
      </x:c>
      <x:c r="J6" s="42" t="n">
        <x:v>0</x:v>
      </x:c>
      <x:c r="K6" s="41" t="n">
        <x:v>0</x:v>
      </x:c>
      <x:c r="L6" s="36" t="n">
        <x:f>(($B$4*G6)+($B$5*H6))*$B$6+($B$7-$B$8)-I6-$B$10+K6</x:f>
        <x:v>0</x:v>
      </x:c>
      <x:c r="M6" s="36" t="n">
        <x:f>IFERROR(L6/$B$11/$B$12/12,0)</x:f>
        <x:v>0</x:v>
      </x:c>
      <x:c r="N6" s="16" t="str">
        <x:v>基金残高と適正水準を要確認</x:v>
      </x:c>
    </x:row>
    <x:row r="7">
      <x:c r="A7" t="str">
        <x:v>調整交付金相当額</x:v>
      </x:c>
      <x:c r="B7" s="28" t="n">
        <x:v>0</x:v>
      </x:c>
      <x:c r="C7" t="str">
        <x:v>円/3年</x:v>
      </x:c>
      <x:c r="D7" t="str">
        <x:v>標準5%相当等</x:v>
      </x:c>
      <x:c r="F7" s="16" t="str">
        <x:v>高位認定率ケース</x:v>
      </x:c>
      <x:c r="G7" s="40" t="n">
        <x:v>1.05</x:v>
      </x:c>
      <x:c r="H7" s="40" t="n">
        <x:v>1</x:v>
      </x:c>
      <x:c r="I7" s="41" t="n">
        <x:v>0</x:v>
      </x:c>
      <x:c r="J7" s="42" t="n">
        <x:v>0.05</x:v>
      </x:c>
      <x:c r="K7" s="41" t="n">
        <x:v>0</x:v>
      </x:c>
      <x:c r="L7" s="36" t="n">
        <x:f>(($B$4*G7)+($B$5*H7))*$B$6+($B$7-$B$8)-I7-$B$10+K7</x:f>
        <x:v>0</x:v>
      </x:c>
      <x:c r="M7" s="36" t="n">
        <x:f>IFERROR(L7/$B$11/$B$12/12,0)</x:f>
        <x:v>0</x:v>
      </x:c>
      <x:c r="N7" s="16" t="str">
        <x:v>後期高齢者・認知症増加リスク</x:v>
      </x:c>
    </x:row>
    <x:row r="8">
      <x:c r="A8" t="str">
        <x:v>調整交付金見込額</x:v>
      </x:c>
      <x:c r="B8" s="28" t="n">
        <x:v>0</x:v>
      </x:c>
      <x:c r="C8" t="str">
        <x:v>円/3年</x:v>
      </x:c>
      <x:c r="D8" t="str">
        <x:v>年齢構成・所得水準で変動</x:v>
      </x:c>
      <x:c r="F8" s="16" t="str">
        <x:v>在宅強化ケース</x:v>
      </x:c>
      <x:c r="G8" s="40" t="n">
        <x:v>1.02</x:v>
      </x:c>
      <x:c r="H8" s="40" t="n">
        <x:v>1.05</x:v>
      </x:c>
      <x:c r="I8" s="41" t="n">
        <x:v>0</x:v>
      </x:c>
      <x:c r="J8" s="42" t="n">
        <x:v>0.02</x:v>
      </x:c>
      <x:c r="K8" s="41" t="n">
        <x:v>0</x:v>
      </x:c>
      <x:c r="L8" s="36" t="n">
        <x:f>(($B$4*G8)+($B$5*H8))*$B$6+($B$7-$B$8)-I8-$B$10+K8</x:f>
        <x:v>0</x:v>
      </x:c>
      <x:c r="M8" s="36" t="n">
        <x:f>IFERROR(L8/$B$11/$B$12/12,0)</x:f>
        <x:v>0</x:v>
      </x:c>
      <x:c r="N8" s="16" t="str">
        <x:v>地域支援事業・訪問系増加</x:v>
      </x:c>
    </x:row>
    <x:row r="9">
      <x:c r="A9" t="str">
        <x:v>基金取崩額</x:v>
      </x:c>
      <x:c r="B9" s="28" t="n">
        <x:v>0</x:v>
      </x:c>
      <x:c r="C9" t="str">
        <x:v>円/3年</x:v>
      </x:c>
      <x:c r="D9" t="str">
        <x:v>政策判断。過大取崩に注意</x:v>
      </x:c>
      <x:c r="F9" s="16" t="str">
        <x:v>施設整備ケース</x:v>
      </x:c>
      <x:c r="G9" s="40" t="n">
        <x:v>1</x:v>
      </x:c>
      <x:c r="H9" s="40" t="n">
        <x:v>1</x:v>
      </x:c>
      <x:c r="I9" s="41" t="n">
        <x:v>0</x:v>
      </x:c>
      <x:c r="J9" s="42" t="n">
        <x:v>0</x:v>
      </x:c>
      <x:c r="K9" s="41" t="n">
        <x:v>0</x:v>
      </x:c>
      <x:c r="L9" s="36" t="n">
        <x:f>(($B$4*G9)+($B$5*H9))*$B$6+($B$7-$B$8)-I9-$B$10+K9</x:f>
        <x:v>0</x:v>
      </x:c>
      <x:c r="M9" s="36" t="n">
        <x:f>IFERROR(L9/$B$11/$B$12/12,0)</x:f>
        <x:v>0</x:v>
      </x:c>
      <x:c r="N9" s="16" t="str">
        <x:v>新規施設整備・定員変更時に入力</x:v>
      </x:c>
    </x:row>
    <x:row r="10">
      <x:c r="A10" t="str">
        <x:v>その他収入・控除</x:v>
      </x:c>
      <x:c r="B10" s="28" t="n">
        <x:v>0</x:v>
      </x:c>
      <x:c r="C10" t="str">
        <x:v>円/3年</x:v>
      </x:c>
      <x:c r="D10" t="str">
        <x:v>保険料軽減等を別途管理</x:v>
      </x:c>
    </x:row>
    <x:row r="11">
      <x:c r="A11" t="str">
        <x:v>予定収納率</x:v>
      </x:c>
      <x:c r="B11" s="28" t="n">
        <x:v>0.99</x:v>
      </x:c>
      <x:c r="C11" t="str">
        <x:v>率</x:v>
      </x:c>
      <x:c r="D11" t="str">
        <x:v>直近実績で設定</x:v>
      </x:c>
    </x:row>
    <x:row r="12">
      <x:c r="A12" t="str">
        <x:v>所得段階別補正後第1号被保険者数</x:v>
      </x:c>
      <x:c r="B12" s="32" t="n">
        <x:v>1</x:v>
      </x:c>
      <x:c r="C12" t="str">
        <x:v>人/3年</x:v>
      </x:c>
      <x:c r="D12" t="str">
        <x:v>各年度補正人数の3年合計</x:v>
      </x:c>
    </x:row>
    <x:row r="14">
      <x:c r="A14" s="20" t="str">
        <x:v>算定項目</x:v>
      </x:c>
      <x:c r="B14" s="20" t="str">
        <x:v>算定結果</x:v>
      </x:c>
    </x:row>
    <x:row r="15">
      <x:c r="A15" s="16" t="str">
        <x:v>計算対象費用</x:v>
      </x:c>
      <x:c r="B15" s="36" t="n">
        <x:f>B4+B5</x:f>
        <x:v>0</x:v>
      </x:c>
    </x:row>
    <x:row r="16">
      <x:c r="A16" s="16" t="str">
        <x:v>第1号被保険者負担分</x:v>
      </x:c>
      <x:c r="B16" s="36" t="n">
        <x:f>B15*B6</x:f>
        <x:v>0</x:v>
      </x:c>
    </x:row>
    <x:row r="17">
      <x:c r="A17" s="16" t="str">
        <x:v>調整後保険料収納必要額</x:v>
      </x:c>
      <x:c r="B17" s="36" t="n">
        <x:f>B16+(B7-B8)-B9-B10</x:f>
        <x:v>0</x:v>
      </x:c>
    </x:row>
    <x:row r="18">
      <x:c r="A18" s="16" t="str">
        <x:v>収納率反映後必要額</x:v>
      </x:c>
      <x:c r="B18" s="36" t="n">
        <x:f>IFERROR(B17/B11,0)</x:f>
        <x:v>0</x:v>
      </x:c>
    </x:row>
    <x:row r="19">
      <x:c r="A19" s="16" t="str">
        <x:v>年間基準額</x:v>
      </x:c>
      <x:c r="B19" s="36" t="n">
        <x:f>IFERROR(B18/B12,0)</x:f>
        <x:v>0</x:v>
      </x:c>
    </x:row>
    <x:row r="20">
      <x:c r="A20" s="16" t="str">
        <x:v>月額基準額</x:v>
      </x:c>
      <x:c r="B20" s="36" t="n">
        <x:f>B19/12</x:f>
        <x:v>0</x:v>
      </x:c>
    </x:row>
    <x:row r="21">
      <x:c r="A21" s="16" t="str">
        <x:v>月額基準額（10円丸め）</x:v>
      </x:c>
      <x:c r="B21" s="36" t="n">
        <x:f>ROUND(B20,-1)</x:f>
        <x:v>0</x:v>
      </x:c>
    </x:row>
    <x:row r="22">
      <x:c r="A22" s="16" t="str">
        <x:v>月額基準額（100円丸め）</x:v>
      </x:c>
      <x:c r="B22" s="36" t="n">
        <x:f>ROUND(B20,-2)</x:f>
        <x:v>0</x:v>
      </x:c>
    </x:row>
    <x:row r="23">
      <x:c r="A23" s="16" t="str">
        <x:v>確認コメント</x:v>
      </x:c>
      <x:c r="B23" s="16" t="str">
        <x:v>入力後に基金活用・所得段階・収納率を確認</x:v>
      </x:c>
    </x:row>
    <x:row r="24">
      <x:c r="A24" s="16" t="str">
        <x:v>Red Team</x:v>
      </x:c>
      <x:c r="B24" s="16" t="str">
        <x:v>基金で抑えた場合、第11期の反動上昇を必ず比較</x:v>
      </x:c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2" hidden="0" customWidth="1"/>
    <x:col min="3" max="3" width="36" hidden="0" customWidth="1"/>
    <x:col min="4" max="4" width="24" hidden="0" customWidth="1"/>
    <x:col min="5" max="5" width="12" hidden="0" customWidth="1"/>
    <x:col min="6" max="6" width="14" hidden="0" customWidth="1"/>
    <x:col min="7" max="7" width="14" hidden="0" customWidth="1"/>
    <x:col min="8" max="8" width="38" hidden="0" customWidth="1"/>
  </x:cols>
  <x:sheetData>
    <x:row r="1" ht="28" customHeight="1">
      <x:c r="A1" s="56" t="str">
        <x:v>高齢者計画　保険料算定に必要な資料一覧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3" ht="24" customHeight="1">
      <x:c r="A3" s="21" t="str">
        <x:v>優先</x:v>
      </x:c>
      <x:c r="B3" s="21" t="str">
        <x:v>資料名</x:v>
      </x:c>
      <x:c r="C3" s="21" t="str">
        <x:v>確認内容</x:v>
      </x:c>
      <x:c r="D3" s="21" t="str">
        <x:v>算定接続</x:v>
      </x:c>
      <x:c r="E3" s="21" t="str">
        <x:v>担当</x:v>
      </x:c>
      <x:c r="F3" s="21" t="str">
        <x:v>希望時期</x:v>
      </x:c>
      <x:c r="G3" s="21" t="str">
        <x:v>ステータス</x:v>
      </x:c>
      <x:c r="H3" s="21" t="str">
        <x:v>Red Team注意</x:v>
      </x:c>
    </x:row>
    <x:row r="4">
      <x:c r="A4" s="16" t="str">
        <x:v>高</x:v>
      </x:c>
      <x:c r="B4" s="16" t="str">
        <x:v>R3〜R8人口・被保険者数</x:v>
      </x:c>
      <x:c r="C4" s="16" t="str">
        <x:v>総人口、65歳以上、前期・後期高齢者</x:v>
      </x:c>
      <x:c r="D4" s="16" t="str">
        <x:v>人口推計、認定者推計</x:v>
      </x:c>
      <x:c r="E4" s="16" t="str">
        <x:v>町</x:v>
      </x:c>
      <x:c r="F4" s="16" t="str">
        <x:v>初回</x:v>
      </x:c>
      <x:c r="G4" s="16" t="str">
        <x:v>未受領</x:v>
      </x:c>
      <x:c r="H4" s="16" t="str">
        <x:v>住基と計画値の基準日を統一</x:v>
      </x:c>
    </x:row>
    <x:row r="5">
      <x:c r="A5" s="16" t="str">
        <x:v>高</x:v>
      </x:c>
      <x:c r="B5" s="16" t="str">
        <x:v>R3〜R8要支援・要介護認定者数</x:v>
      </x:c>
      <x:c r="C5" s="16" t="str">
        <x:v>要介護度別、年齢階層別</x:v>
      </x:c>
      <x:c r="D5" s="16" t="str">
        <x:v>認定者推計</x:v>
      </x:c>
      <x:c r="E5" s="16" t="str">
        <x:v>町</x:v>
      </x:c>
      <x:c r="F5" s="16" t="str">
        <x:v>初回</x:v>
      </x:c>
      <x:c r="G5" s="16" t="str">
        <x:v>未受領</x:v>
      </x:c>
      <x:c r="H5" s="16" t="str">
        <x:v>認定率の低下/上昇理由を確認</x:v>
      </x:c>
    </x:row>
    <x:row r="6">
      <x:c r="A6" s="16" t="str">
        <x:v>高</x:v>
      </x:c>
      <x:c r="B6" s="16" t="str">
        <x:v>R3〜R8サービス別給付費・利用者数</x:v>
      </x:c>
      <x:c r="C6" s="16" t="str">
        <x:v>居宅・施設・地域密着型</x:v>
      </x:c>
      <x:c r="D6" s="16" t="str">
        <x:v>標準給付費</x:v>
      </x:c>
      <x:c r="E6" s="16" t="str">
        <x:v>町</x:v>
      </x:c>
      <x:c r="F6" s="16" t="str">
        <x:v>初回</x:v>
      </x:c>
      <x:c r="G6" s="16" t="str">
        <x:v>未受領</x:v>
      </x:c>
      <x:c r="H6" s="16" t="str">
        <x:v>給付費増減を単価・利用量に分解</x:v>
      </x:c>
    </x:row>
    <x:row r="7">
      <x:c r="A7" s="16" t="str">
        <x:v>高</x:v>
      </x:c>
      <x:c r="B7" s="16" t="str">
        <x:v>地域支援事業費内訳</x:v>
      </x:c>
      <x:c r="C7" s="16" t="str">
        <x:v>総合事業、包括的支援、任意事業</x:v>
      </x:c>
      <x:c r="D7" s="16" t="str">
        <x:v>地域支援事業費</x:v>
      </x:c>
      <x:c r="E7" s="16" t="str">
        <x:v>町</x:v>
      </x:c>
      <x:c r="F7" s="16" t="str">
        <x:v>初回</x:v>
      </x:c>
      <x:c r="G7" s="16" t="str">
        <x:v>未受領</x:v>
      </x:c>
      <x:c r="H7" s="16" t="str">
        <x:v>介護用品給付の財源区分に注意</x:v>
      </x:c>
    </x:row>
    <x:row r="8">
      <x:c r="A8" s="16" t="str">
        <x:v>高</x:v>
      </x:c>
      <x:c r="B8" s="16" t="str">
        <x:v>介護保険基金残高・取崩方針</x:v>
      </x:c>
      <x:c r="C8" s="16" t="str">
        <x:v>R6〜R8残高、取崩予定</x:v>
      </x:c>
      <x:c r="D8" s="16" t="str">
        <x:v>保険料抑制ケース</x:v>
      </x:c>
      <x:c r="E8" s="16" t="str">
        <x:v>町</x:v>
      </x:c>
      <x:c r="F8" s="16" t="str">
        <x:v>初回</x:v>
      </x:c>
      <x:c r="G8" s="16" t="str">
        <x:v>未受領</x:v>
      </x:c>
      <x:c r="H8" s="16" t="str">
        <x:v>第11期反動リスクを比較</x:v>
      </x:c>
    </x:row>
    <x:row r="9">
      <x:c r="A9" s="16" t="str">
        <x:v>高</x:v>
      </x:c>
      <x:c r="B9" s="16" t="str">
        <x:v>所得段階別被保険者数</x:v>
      </x:c>
      <x:c r="C9" s="16" t="str">
        <x:v>段階別人数、補正係数</x:v>
      </x:c>
      <x:c r="D9" s="16" t="str">
        <x:v>基準額算定</x:v>
      </x:c>
      <x:c r="E9" s="16" t="str">
        <x:v>町</x:v>
      </x:c>
      <x:c r="F9" s="16" t="str">
        <x:v>試算前</x:v>
      </x:c>
      <x:c r="G9" s="16" t="str">
        <x:v>未受領</x:v>
      </x:c>
      <x:c r="H9" s="16" t="str">
        <x:v>第10期制度改正反映後に更新</x:v>
      </x:c>
    </x:row>
    <x:row r="10">
      <x:c r="A10" s="16" t="str">
        <x:v>中</x:v>
      </x:c>
      <x:c r="B10" s="16" t="str">
        <x:v>介護予防・日常生活圏域ニーズ調査結果</x:v>
      </x:c>
      <x:c r="C10" s="16" t="str">
        <x:v>設問別、ローデータ、クロス集計</x:v>
      </x:c>
      <x:c r="D10" s="16" t="str">
        <x:v>地域支援事業・重点施策</x:v>
      </x:c>
      <x:c r="E10" s="16" t="str">
        <x:v>町</x:v>
      </x:c>
      <x:c r="F10" s="16" t="str">
        <x:v>初回</x:v>
      </x:c>
      <x:c r="G10" s="16" t="str">
        <x:v>未受領</x:v>
      </x:c>
      <x:c r="H10" s="16" t="str">
        <x:v>既存調査の再分析可否</x:v>
      </x:c>
    </x:row>
    <x:row r="11">
      <x:c r="A11" s="16" t="str">
        <x:v>中</x:v>
      </x:c>
      <x:c r="B11" s="16" t="str">
        <x:v>在宅介護実態調査結果</x:v>
      </x:c>
      <x:c r="C11" s="16" t="str">
        <x:v>主介護者、在宅継続、サービス意向</x:v>
      </x:c>
      <x:c r="D11" s="16" t="str">
        <x:v>在宅施策、給付補正</x:v>
      </x:c>
      <x:c r="E11" s="16" t="str">
        <x:v>町</x:v>
      </x:c>
      <x:c r="F11" s="16" t="str">
        <x:v>初回</x:v>
      </x:c>
      <x:c r="G11" s="16" t="str">
        <x:v>未受領</x:v>
      </x:c>
      <x:c r="H11" s="16" t="str">
        <x:v>家族介護力の低下を反映</x:v>
      </x:c>
    </x:row>
    <x:row r="12">
      <x:c r="A12" s="16" t="str">
        <x:v>中</x:v>
      </x:c>
      <x:c r="B12" s="16" t="str">
        <x:v>施設整備・事業所動向</x:v>
      </x:c>
      <x:c r="C12" s="16" t="str">
        <x:v>新設、廃止、定員変更、人材不足</x:v>
      </x:c>
      <x:c r="D12" s="16" t="str">
        <x:v>ケース試算</x:v>
      </x:c>
      <x:c r="E12" s="16" t="str">
        <x:v>町</x:v>
      </x:c>
      <x:c r="F12" s="16" t="str">
        <x:v>骨子前</x:v>
      </x:c>
      <x:c r="G12" s="16" t="str">
        <x:v>未受領</x:v>
      </x:c>
      <x:c r="H12" s="16" t="str">
        <x:v>供給制約を推計に反映</x:v>
      </x:c>
    </x:row>
  </x:sheetData>
  <x:mergeCells>
    <x:mergeCell ref="A1:H1"/>
  </x:mergeCells>
  <x:conditionalFormatting sqref="G4:G50">
    <x:cfRule type="expression" dxfId="0" priority="1">
      <x:formula>G4="未受領"</x:formula>
    </x:cfRule>
    <x:cfRule type="expression" dxfId="1" priority="2">
      <x:formula>G4="受領済"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6ca3dacae16430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2" hidden="0" customWidth="1"/>
    <x:col min="3" max="3" width="42" hidden="0" customWidth="1"/>
    <x:col min="4" max="4" width="32" hidden="0" customWidth="1"/>
    <x:col min="5" max="5" width="32" hidden="0" customWidth="1"/>
    <x:col min="6" max="6" width="28" hidden="0" customWidth="1"/>
    <x:col min="7" max="7" width="38" hidden="0" customWidth="1"/>
    <x:col min="8" max="8" width="16" hidden="0" customWidth="1"/>
  </x:cols>
  <x:sheetData>
    <x:row r="1" ht="28" customHeight="1">
      <x:c r="A1" s="56" t="str">
        <x:v>障がい計画　サービス見込量算定方針整理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3" ht="24" customHeight="1">
      <x:c r="A3" s="21" t="str">
        <x:v>サービス・論点</x:v>
      </x:c>
      <x:c r="B3" s="21" t="str">
        <x:v>算定方式</x:v>
      </x:c>
      <x:c r="C3" s="21" t="str">
        <x:v>基本式・考え方</x:v>
      </x:c>
      <x:c r="D3" s="21" t="str">
        <x:v>主な入力データ</x:v>
      </x:c>
      <x:c r="E3" s="21" t="str">
        <x:v>アンケート接続</x:v>
      </x:c>
      <x:c r="F3" s="21" t="str">
        <x:v>供給制約確認</x:v>
      </x:c>
      <x:c r="G3" s="21" t="str">
        <x:v>Red Team確認</x:v>
      </x:c>
      <x:c r="H3" s="21" t="str">
        <x:v>MECE区分</x:v>
      </x:c>
    </x:row>
    <x:row r="4">
      <x:c r="A4" s="16" t="str">
        <x:v>居宅介護</x:v>
      </x:c>
      <x:c r="B4" s="16" t="str">
        <x:v>実績推移型＋アンケート補正</x:v>
      </x:c>
      <x:c r="C4" s="16" t="str">
        <x:v>R6〜R8平均伸び率×今後利用意向×供給補正</x:v>
      </x:c>
      <x:c r="D4" s="16" t="str">
        <x:v>利用者数、利用時間、支給決定量</x:v>
      </x:c>
      <x:c r="E4" s="16" t="str">
        <x:v>日常生活支援、通院介助、未利用理由</x:v>
      </x:c>
      <x:c r="F4" s="16" t="str">
        <x:v>町内・町外ヘルパー、時間帯</x:v>
      </x:c>
      <x:c r="G4" s="16" t="str">
        <x:v>高齢障がい者・介護保険移行を二重計上しない</x:v>
      </x:c>
      <x:c r="H4" s="16" t="str">
        <x:v>訪問系</x:v>
      </x:c>
    </x:row>
    <x:row r="5">
      <x:c r="A5" s="16" t="str">
        <x:v>重度訪問介護</x:v>
      </x:c>
      <x:c r="B5" s="16" t="str">
        <x:v>個別積上げ型</x:v>
      </x:c>
      <x:c r="C5" s="16" t="str">
        <x:v>候補者1人単位で時間数を積上げ</x:v>
      </x:c>
      <x:c r="D5" s="16" t="str">
        <x:v>区分、医療的ケア、家族介助限界</x:v>
      </x:c>
      <x:c r="E5" s="16" t="str">
        <x:v>常時介護、夜間支援、医療的ケア</x:v>
      </x:c>
      <x:c r="F5" s="16" t="str">
        <x:v>対応可能事業所の有無</x:v>
      </x:c>
      <x:c r="G5" s="16" t="str">
        <x:v>0人実績でも候補者確認なしで0にしない</x:v>
      </x:c>
      <x:c r="H5" s="16" t="str">
        <x:v>訪問系</x:v>
      </x:c>
    </x:row>
    <x:row r="6">
      <x:c r="A6" s="16" t="str">
        <x:v>療養介護</x:v>
      </x:c>
      <x:c r="B6" s="16" t="str">
        <x:v>個別積上げ型</x:v>
      </x:c>
      <x:c r="C6" s="16" t="str">
        <x:v>現利用者＋入退所見込で設定</x:v>
      </x:c>
      <x:c r="D6" s="16" t="str">
        <x:v>現利用者、医療依存度、町外施設</x:v>
      </x:c>
      <x:c r="E6" s="16" t="str">
        <x:v>長期入院・入所、医療的ケア</x:v>
      </x:c>
      <x:c r="F6" s="16" t="str">
        <x:v>町外施設受入</x:v>
      </x:c>
      <x:c r="G6" s="16" t="str">
        <x:v>3人固定など機械的据置を避ける</x:v>
      </x:c>
      <x:c r="H6" s="16" t="str">
        <x:v>日中/施設</x:v>
      </x:c>
    </x:row>
    <x:row r="7">
      <x:c r="A7" s="16" t="str">
        <x:v>生活介護</x:v>
      </x:c>
      <x:c r="B7" s="16" t="str">
        <x:v>実績推移型＋18歳移行補正</x:v>
      </x:c>
      <x:c r="C7" s="16" t="str">
        <x:v>実績推移＋卒業予定者＋施設/GH移行者</x:v>
      </x:c>
      <x:c r="D7" s="16" t="str">
        <x:v>R6〜R8利用者数、日数</x:v>
      </x:c>
      <x:c r="E7" s="16" t="str">
        <x:v>日中活動希望、卒業後希望</x:v>
      </x:c>
      <x:c r="F7" s="16" t="str">
        <x:v>定員、送迎、町外利用</x:v>
      </x:c>
      <x:c r="G7" s="16" t="str">
        <x:v>18歳移行者の流入を見落とさない</x:v>
      </x:c>
      <x:c r="H7" s="16" t="str">
        <x:v>日中活動</x:v>
      </x:c>
    </x:row>
    <x:row r="8">
      <x:c r="A8" s="16" t="str">
        <x:v>就労選択支援</x:v>
      </x:c>
      <x:c r="B8" s="16" t="str">
        <x:v>個別積上げ型</x:v>
      </x:c>
      <x:c r="C8" s="16" t="str">
        <x:v>B型新規予定者＋特別支援学校卒業予定者＋就労希望者</x:v>
      </x:c>
      <x:c r="D8" s="16" t="str">
        <x:v>卒業予定者、B型新規予定、就労相談</x:v>
      </x:c>
      <x:c r="E8" s="16" t="str">
        <x:v>B型/A型/就労移行希望、制度認知</x:v>
      </x:c>
      <x:c r="F8" s="16" t="str">
        <x:v>実施事業所、町外利用</x:v>
      </x:c>
      <x:c r="G8" s="16" t="str">
        <x:v>制度開始後の必須化に対応</x:v>
      </x:c>
      <x:c r="H8" s="16" t="str">
        <x:v>就労</x:v>
      </x:c>
    </x:row>
    <x:row r="9">
      <x:c r="A9" s="16" t="str">
        <x:v>就労継続支援B型</x:v>
      </x:c>
      <x:c r="B9" s="16" t="str">
        <x:v>実績推移型＋就労選択補正</x:v>
      </x:c>
      <x:c r="C9" s="16" t="str">
        <x:v>実績推移＋新規利用予定−一般就労移行</x:v>
      </x:c>
      <x:c r="D9" s="16" t="str">
        <x:v>利用者数、事業所別利用</x:v>
      </x:c>
      <x:c r="E9" s="16" t="str">
        <x:v>就労希望、通勤、工賃</x:v>
      </x:c>
      <x:c r="F9" s="16" t="str">
        <x:v>町内B型受入余力</x:v>
      </x:c>
      <x:c r="G9" s="16" t="str">
        <x:v>就労選択支援との整合</x:v>
      </x:c>
      <x:c r="H9" s="16" t="str">
        <x:v>就労</x:v>
      </x:c>
    </x:row>
    <x:row r="10">
      <x:c r="A10" s="16" t="str">
        <x:v>放課後等デイサービス</x:v>
      </x:c>
      <x:c r="B10" s="16" t="str">
        <x:v>実績推移型＋学年補正</x:v>
      </x:c>
      <x:c r="C10" s="16" t="str">
        <x:v>現利用＋希望日数＋新規−卒業者</x:v>
      </x:c>
      <x:c r="D10" s="16" t="str">
        <x:v>年齢・学年別利用者、利用日数</x:v>
      </x:c>
      <x:c r="E10" s="16" t="str">
        <x:v>送迎、長期休暇、希望日数</x:v>
      </x:c>
      <x:c r="F10" s="16" t="str">
        <x:v>送迎、空き、長期休暇</x:v>
      </x:c>
      <x:c r="G10" s="16" t="str">
        <x:v>利用意向だけでなく卒業控除が必要</x:v>
      </x:c>
      <x:c r="H10" s="16" t="str">
        <x:v>障がい児</x:v>
      </x:c>
    </x:row>
    <x:row r="11">
      <x:c r="A11" s="16" t="str">
        <x:v>児童発達支援</x:v>
      </x:c>
      <x:c r="B11" s="16" t="str">
        <x:v>実績推移型＋未就学児補正</x:v>
      </x:c>
      <x:c r="C11" s="16" t="str">
        <x:v>未就学児利用実績＋相談・健診情報</x:v>
      </x:c>
      <x:c r="D11" s="16" t="str">
        <x:v>年齢別利用者、支給決定</x:v>
      </x:c>
      <x:c r="E11" s="16" t="str">
        <x:v>発達相談、利用希望</x:v>
      </x:c>
      <x:c r="F11" s="16" t="str">
        <x:v>町外利用、送迎</x:v>
      </x:c>
      <x:c r="G11" s="16" t="str">
        <x:v>少人数で増減が大きい</x:v>
      </x:c>
      <x:c r="H11" s="16" t="str">
        <x:v>障がい児</x:v>
      </x:c>
    </x:row>
    <x:row r="12">
      <x:c r="A12" s="16" t="str">
        <x:v>居宅訪問型児童発達支援</x:v>
      </x:c>
      <x:c r="B12" s="16" t="str">
        <x:v>個別積上げ型</x:v>
      </x:c>
      <x:c r="C12" s="16" t="str">
        <x:v>通所困難児・医療的ケア児を1人単位で確認</x:v>
      </x:c>
      <x:c r="D12" s="16" t="str">
        <x:v>医療的ケア児、重症心身障がい児</x:v>
      </x:c>
      <x:c r="E12" s="16" t="str">
        <x:v>通所困難、在宅療育希望</x:v>
      </x:c>
      <x:c r="F12" s="16" t="str">
        <x:v>訪問対応事業所</x:v>
      </x:c>
      <x:c r="G12" s="16" t="str">
        <x:v>実績0でも確認プロセスを残す</x:v>
      </x:c>
      <x:c r="H12" s="16" t="str">
        <x:v>障がい児</x:v>
      </x:c>
    </x:row>
    <x:row r="13">
      <x:c r="A13" s="16" t="str">
        <x:v>医療的ケア児支援</x:v>
      </x:c>
      <x:c r="B13" s="16" t="str">
        <x:v>体制整備＋個別積上げ型</x:v>
      </x:c>
      <x:c r="C13" s="16" t="str">
        <x:v>対象児数、協議の場、コーディネーター配置を設定</x:v>
      </x:c>
      <x:c r="D13" s="16" t="str">
        <x:v>医療的ケア児数、訪看、学校情報</x:v>
      </x:c>
      <x:c r="E13" s="16" t="str">
        <x:v>医療的ケア、災害時電源</x:v>
      </x:c>
      <x:c r="F13" s="16" t="str">
        <x:v>医療・教育・訪看連携</x:v>
      </x:c>
      <x:c r="G13" s="16" t="str">
        <x:v>町単独配置か圏域配置か明確化</x:v>
      </x:c>
      <x:c r="H13" s="16" t="str">
        <x:v>医療的ケア</x:v>
      </x:c>
    </x:row>
    <x:row r="14">
      <x:c r="A14" s="16" t="str">
        <x:v>地域移行支援</x:v>
      </x:c>
      <x:c r="B14" s="16" t="str">
        <x:v>個別積上げ型</x:v>
      </x:c>
      <x:c r="C14" s="16" t="str">
        <x:v>施設入所者・長期入院者から候補者を確認</x:v>
      </x:c>
      <x:c r="D14" s="16" t="str">
        <x:v>施設入所者、長期入院者、GH空き</x:v>
      </x:c>
      <x:c r="E14" s="16" t="str">
        <x:v>地域生活希望、住まい希望</x:v>
      </x:c>
      <x:c r="F14" s="16" t="str">
        <x:v>GH、日中活動、相談支援</x:v>
      </x:c>
      <x:c r="G14" s="16" t="str">
        <x:v>施設入所者がいるのに0見込の根拠確認</x:v>
      </x:c>
      <x:c r="H14" s="16" t="str">
        <x:v>地域生活</x:v>
      </x:c>
    </x:row>
    <x:row r="15">
      <x:c r="A15" s="16" t="str">
        <x:v>地域定着支援</x:v>
      </x:c>
      <x:c r="B15" s="16" t="str">
        <x:v>個別積上げ型</x:v>
      </x:c>
      <x:c r="C15" s="16" t="str">
        <x:v>単身・親亡き後・緊急時不安層を確認</x:v>
      </x:c>
      <x:c r="D15" s="16" t="str">
        <x:v>単身者、GH退居者、地域移行者</x:v>
      </x:c>
      <x:c r="E15" s="16" t="str">
        <x:v>親亡き後、緊急時不安</x:v>
      </x:c>
      <x:c r="F15" s="16" t="str">
        <x:v>24時間相談、短期入所</x:v>
      </x:c>
      <x:c r="G15" s="16" t="str">
        <x:v>地域生活支援拠点と接続</x:v>
      </x:c>
      <x:c r="H15" s="16" t="str">
        <x:v>地域生活</x:v>
      </x:c>
    </x:row>
    <x:row r="16">
      <x:c r="A16" s="16" t="str">
        <x:v>防災・個別避難計画</x:v>
      </x:c>
      <x:c r="B16" s="16" t="str">
        <x:v>施策指標型</x:v>
      </x:c>
      <x:c r="C16" s="16" t="str">
        <x:v>対象者数、計画作成件数、福祉避難所体制を指標化</x:v>
      </x:c>
      <x:c r="D16" s="16" t="str">
        <x:v>要支援者名簿、個別避難計画</x:v>
      </x:c>
      <x:c r="E16" s="16" t="str">
        <x:v>避難支援者、医療機器、情報取得</x:v>
      </x:c>
      <x:c r="F16" s="16" t="str">
        <x:v>防災担当、福祉避難所</x:v>
      </x:c>
      <x:c r="G16" s="16" t="str">
        <x:v>福祉計画だけで完結させない</x:v>
      </x:c>
      <x:c r="H16" s="16" t="str">
        <x:v>防災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4abe445849844b8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12" hidden="0" customWidth="1"/>
    <x:col min="3" max="3" width="18" hidden="0" customWidth="1"/>
    <x:col min="4" max="4" width="12" hidden="0" customWidth="1"/>
    <x:col min="5" max="5" width="14" hidden="0" customWidth="1"/>
    <x:col min="6" max="6" width="14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34" hidden="0" customWidth="1"/>
  </x:cols>
  <x:sheetData>
    <x:row r="1" ht="28" customHeight="1">
      <x:c r="A1" s="56" t="str">
        <x:v>障がい計画　見込量算定テンプレート（入力待ち）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3">
      <x:c r="A3" s="20" t="str">
        <x:v>サービス</x:v>
      </x:c>
      <x:c r="B3" s="20" t="str">
        <x:v>単位</x:v>
      </x:c>
      <x:c r="C3" s="20" t="str">
        <x:v>算定方式</x:v>
      </x:c>
      <x:c r="D3" s="20" t="str">
        <x:v>R6実績</x:v>
      </x:c>
      <x:c r="E3" s="20" t="str">
        <x:v>R7実績/見込</x:v>
      </x:c>
      <x:c r="F3" s="20" t="str">
        <x:v>R8実績/見込</x:v>
      </x:c>
      <x:c r="G3" s="20" t="str">
        <x:v>平均伸び率</x:v>
      </x:c>
      <x:c r="H3" s="20" t="str">
        <x:v>アンケ補正率</x:v>
      </x:c>
      <x:c r="I3" s="20" t="str">
        <x:v>供給補正率</x:v>
      </x:c>
      <x:c r="J3" s="20" t="str">
        <x:v>個別加算</x:v>
      </x:c>
      <x:c r="K3" s="20" t="str">
        <x:v>R9見込</x:v>
      </x:c>
      <x:c r="L3" s="20" t="str">
        <x:v>R10見込</x:v>
      </x:c>
      <x:c r="M3" s="20" t="str">
        <x:v>R11見込</x:v>
      </x:c>
      <x:c r="N3" s="20" t="str">
        <x:v>確認事項</x:v>
      </x:c>
    </x:row>
    <x:row r="4">
      <x:c r="A4" s="16" t="str">
        <x:v>居宅介護</x:v>
      </x:c>
      <x:c r="B4" s="16" t="str">
        <x:v>時間/月</x:v>
      </x:c>
      <x:c r="C4" s="16" t="str">
        <x:v>実績推移型</x:v>
      </x:c>
      <x:c r="D4" s="48" t="n">
        <x:v>0</x:v>
      </x:c>
      <x:c r="E4" s="48" t="n">
        <x:v>0</x:v>
      </x:c>
      <x:c r="F4" s="48" t="n">
        <x:v>0</x:v>
      </x:c>
      <x:c r="G4" s="49" t="n">
        <x:f>IFERROR((F4/D4)^(1/2)-1,0)</x:f>
        <x:v>0</x:v>
      </x:c>
      <x:c r="H4" s="42" t="n">
        <x:v>0</x:v>
      </x:c>
      <x:c r="I4" s="42" t="n">
        <x:v>0</x:v>
      </x:c>
      <x:c r="J4" s="48" t="n">
        <x:v>0</x:v>
      </x:c>
      <x:c r="K4" s="36" t="n">
        <x:f>ROUND(F4*(1+G4+H4+I4)+J4,0)</x:f>
        <x:v>0</x:v>
      </x:c>
      <x:c r="L4" s="36" t="n">
        <x:f>ROUND(K4*(1+G4+H4+I4)+J4,0)</x:f>
        <x:v>0</x:v>
      </x:c>
      <x:c r="M4" s="36" t="n">
        <x:f>ROUND(L4*(1+G4+H4+I4)+J4,0)</x:f>
        <x:v>0</x:v>
      </x:c>
      <x:c r="N4" s="16" t="str">
        <x:v>支給決定量と実利用量の乖離</x:v>
      </x:c>
    </x:row>
    <x:row r="5">
      <x:c r="A5" s="16" t="str">
        <x:v>重度訪問介護</x:v>
      </x:c>
      <x:c r="B5" s="16" t="str">
        <x:v>時間/月</x:v>
      </x:c>
      <x:c r="C5" s="16" t="str">
        <x:v>個別積上げ型</x:v>
      </x:c>
      <x:c r="D5" s="48" t="n">
        <x:v>0</x:v>
      </x:c>
      <x:c r="E5" s="48" t="n">
        <x:v>0</x:v>
      </x:c>
      <x:c r="F5" s="48" t="n">
        <x:v>0</x:v>
      </x:c>
      <x:c r="G5" s="49" t="n">
        <x:f>IFERROR((F5/D5)^(1/2)-1,0)</x:f>
        <x:v>0</x:v>
      </x:c>
      <x:c r="H5" s="42" t="n">
        <x:v>0</x:v>
      </x:c>
      <x:c r="I5" s="42" t="n">
        <x:v>0</x:v>
      </x:c>
      <x:c r="J5" s="48" t="n">
        <x:v>0</x:v>
      </x:c>
      <x:c r="K5" s="36" t="n">
        <x:f>ROUND(F5*(1+G5+H5+I5)+J5,0)</x:f>
        <x:v>0</x:v>
      </x:c>
      <x:c r="L5" s="36" t="n">
        <x:f>ROUND(K5*(1+G5+H5+I5)+J5,0)</x:f>
        <x:v>0</x:v>
      </x:c>
      <x:c r="M5" s="36" t="n">
        <x:f>ROUND(L5*(1+G5+H5+I5)+J5,0)</x:f>
        <x:v>0</x:v>
      </x:c>
      <x:c r="N5" s="16" t="str">
        <x:v>常時介護・医療的ケア・夜間支援候補</x:v>
      </x:c>
    </x:row>
    <x:row r="6">
      <x:c r="A6" s="16" t="str">
        <x:v>生活介護</x:v>
      </x:c>
      <x:c r="B6" s="16" t="str">
        <x:v>人日/月</x:v>
      </x:c>
      <x:c r="C6" s="16" t="str">
        <x:v>実績推移型</x:v>
      </x:c>
      <x:c r="D6" s="48" t="n">
        <x:v>0</x:v>
      </x:c>
      <x:c r="E6" s="48" t="n">
        <x:v>0</x:v>
      </x:c>
      <x:c r="F6" s="48" t="n">
        <x:v>0</x:v>
      </x:c>
      <x:c r="G6" s="49" t="n">
        <x:f>IFERROR((F6/D6)^(1/2)-1,0)</x:f>
        <x:v>0</x:v>
      </x:c>
      <x:c r="H6" s="42" t="n">
        <x:v>0</x:v>
      </x:c>
      <x:c r="I6" s="42" t="n">
        <x:v>0</x:v>
      </x:c>
      <x:c r="J6" s="48" t="n">
        <x:v>0</x:v>
      </x:c>
      <x:c r="K6" s="36" t="n">
        <x:f>ROUND(F6*(1+G6+H6+I6)+J6,0)</x:f>
        <x:v>0</x:v>
      </x:c>
      <x:c r="L6" s="36" t="n">
        <x:f>ROUND(K6*(1+G6+H6+I6)+J6,0)</x:f>
        <x:v>0</x:v>
      </x:c>
      <x:c r="M6" s="36" t="n">
        <x:f>ROUND(L6*(1+G6+H6+I6)+J6,0)</x:f>
        <x:v>0</x:v>
      </x:c>
      <x:c r="N6" s="16" t="str">
        <x:v>18歳移行・施設/GH移行</x:v>
      </x:c>
    </x:row>
    <x:row r="7">
      <x:c r="A7" s="16" t="str">
        <x:v>療養介護</x:v>
      </x:c>
      <x:c r="B7" s="16" t="str">
        <x:v>人/月</x:v>
      </x:c>
      <x:c r="C7" s="16" t="str">
        <x:v>個別積上げ型</x:v>
      </x:c>
      <x:c r="D7" s="48" t="n">
        <x:v>0</x:v>
      </x:c>
      <x:c r="E7" s="48" t="n">
        <x:v>0</x:v>
      </x:c>
      <x:c r="F7" s="48" t="n">
        <x:v>0</x:v>
      </x:c>
      <x:c r="G7" s="49" t="n">
        <x:f>IFERROR((F7/D7)^(1/2)-1,0)</x:f>
        <x:v>0</x:v>
      </x:c>
      <x:c r="H7" s="42" t="n">
        <x:v>0</x:v>
      </x:c>
      <x:c r="I7" s="42" t="n">
        <x:v>0</x:v>
      </x:c>
      <x:c r="J7" s="48" t="n">
        <x:v>0</x:v>
      </x:c>
      <x:c r="K7" s="36" t="n">
        <x:f>ROUND(F7*(1+G7+H7+I7)+J7,0)</x:f>
        <x:v>0</x:v>
      </x:c>
      <x:c r="L7" s="36" t="n">
        <x:f>ROUND(K7*(1+G7+H7+I7)+J7,0)</x:f>
        <x:v>0</x:v>
      </x:c>
      <x:c r="M7" s="36" t="n">
        <x:f>ROUND(L7*(1+G7+H7+I7)+J7,0)</x:f>
        <x:v>0</x:v>
      </x:c>
      <x:c r="N7" s="16" t="str">
        <x:v>現利用者・入退所・医療依存度</x:v>
      </x:c>
    </x:row>
    <x:row r="8">
      <x:c r="A8" s="16" t="str">
        <x:v>短期入所</x:v>
      </x:c>
      <x:c r="B8" s="16" t="str">
        <x:v>人日/月</x:v>
      </x:c>
      <x:c r="C8" s="16" t="str">
        <x:v>アンケート補正型</x:v>
      </x:c>
      <x:c r="D8" s="48" t="n">
        <x:v>0</x:v>
      </x:c>
      <x:c r="E8" s="48" t="n">
        <x:v>0</x:v>
      </x:c>
      <x:c r="F8" s="48" t="n">
        <x:v>0</x:v>
      </x:c>
      <x:c r="G8" s="49" t="n">
        <x:f>IFERROR((F8/D8)^(1/2)-1,0)</x:f>
        <x:v>0</x:v>
      </x:c>
      <x:c r="H8" s="42" t="n">
        <x:v>0</x:v>
      </x:c>
      <x:c r="I8" s="42" t="n">
        <x:v>0</x:v>
      </x:c>
      <x:c r="J8" s="48" t="n">
        <x:v>0</x:v>
      </x:c>
      <x:c r="K8" s="36" t="n">
        <x:f>ROUND(F8*(1+G8+H8+I8)+J8,0)</x:f>
        <x:v>0</x:v>
      </x:c>
      <x:c r="L8" s="36" t="n">
        <x:f>ROUND(K8*(1+G8+H8+I8)+J8,0)</x:f>
        <x:v>0</x:v>
      </x:c>
      <x:c r="M8" s="36" t="n">
        <x:f>ROUND(L8*(1+G8+H8+I8)+J8,0)</x:f>
        <x:v>0</x:v>
      </x:c>
      <x:c r="N8" s="16" t="str">
        <x:v>レスパイト・緊急・災害時</x:v>
      </x:c>
    </x:row>
    <x:row r="9">
      <x:c r="A9" s="16" t="str">
        <x:v>就労選択支援</x:v>
      </x:c>
      <x:c r="B9" s="16" t="str">
        <x:v>人/月</x:v>
      </x:c>
      <x:c r="C9" s="16" t="str">
        <x:v>個別積上げ型</x:v>
      </x:c>
      <x:c r="D9" s="48" t="n">
        <x:v>0</x:v>
      </x:c>
      <x:c r="E9" s="48" t="n">
        <x:v>0</x:v>
      </x:c>
      <x:c r="F9" s="48" t="n">
        <x:v>0</x:v>
      </x:c>
      <x:c r="G9" s="49" t="n">
        <x:f>IFERROR((F9/D9)^(1/2)-1,0)</x:f>
        <x:v>0</x:v>
      </x:c>
      <x:c r="H9" s="42" t="n">
        <x:v>0</x:v>
      </x:c>
      <x:c r="I9" s="42" t="n">
        <x:v>0</x:v>
      </x:c>
      <x:c r="J9" s="48" t="n">
        <x:v>0</x:v>
      </x:c>
      <x:c r="K9" s="36" t="n">
        <x:f>ROUND(F9*(1+G9+H9+I9)+J9,0)</x:f>
        <x:v>0</x:v>
      </x:c>
      <x:c r="L9" s="36" t="n">
        <x:f>ROUND(K9*(1+G9+H9+I9)+J9,0)</x:f>
        <x:v>0</x:v>
      </x:c>
      <x:c r="M9" s="36" t="n">
        <x:f>ROUND(L9*(1+G9+H9+I9)+J9,0)</x:f>
        <x:v>0</x:v>
      </x:c>
      <x:c r="N9" s="16" t="str">
        <x:v>B型新規・卒業予定者</x:v>
      </x:c>
    </x:row>
    <x:row r="10">
      <x:c r="A10" s="16" t="str">
        <x:v>就労継続支援B型</x:v>
      </x:c>
      <x:c r="B10" s="16" t="str">
        <x:v>人/月</x:v>
      </x:c>
      <x:c r="C10" s="16" t="str">
        <x:v>実績推移型</x:v>
      </x:c>
      <x:c r="D10" s="48" t="n">
        <x:v>0</x:v>
      </x:c>
      <x:c r="E10" s="48" t="n">
        <x:v>0</x:v>
      </x:c>
      <x:c r="F10" s="48" t="n">
        <x:v>0</x:v>
      </x:c>
      <x:c r="G10" s="49" t="n">
        <x:f>IFERROR((F10/D10)^(1/2)-1,0)</x:f>
        <x:v>0</x:v>
      </x:c>
      <x:c r="H10" s="42" t="n">
        <x:v>0</x:v>
      </x:c>
      <x:c r="I10" s="42" t="n">
        <x:v>0</x:v>
      </x:c>
      <x:c r="J10" s="48" t="n">
        <x:v>0</x:v>
      </x:c>
      <x:c r="K10" s="36" t="n">
        <x:f>ROUND(F10*(1+G10+H10+I10)+J10,0)</x:f>
        <x:v>0</x:v>
      </x:c>
      <x:c r="L10" s="36" t="n">
        <x:f>ROUND(K10*(1+G10+H10+I10)+J10,0)</x:f>
        <x:v>0</x:v>
      </x:c>
      <x:c r="M10" s="36" t="n">
        <x:f>ROUND(L10*(1+G10+H10+I10)+J10,0)</x:f>
        <x:v>0</x:v>
      </x:c>
      <x:c r="N10" s="16" t="str">
        <x:v>町内B型受入余力</x:v>
      </x:c>
    </x:row>
    <x:row r="11">
      <x:c r="A11" s="16" t="str">
        <x:v>就労移行支援</x:v>
      </x:c>
      <x:c r="B11" s="16" t="str">
        <x:v>人/月</x:v>
      </x:c>
      <x:c r="C11" s="16" t="str">
        <x:v>アンケート補正型</x:v>
      </x:c>
      <x:c r="D11" s="48" t="n">
        <x:v>0</x:v>
      </x:c>
      <x:c r="E11" s="48" t="n">
        <x:v>0</x:v>
      </x:c>
      <x:c r="F11" s="48" t="n">
        <x:v>0</x:v>
      </x:c>
      <x:c r="G11" s="49" t="n">
        <x:f>IFERROR((F11/D11)^(1/2)-1,0)</x:f>
        <x:v>0</x:v>
      </x:c>
      <x:c r="H11" s="42" t="n">
        <x:v>0</x:v>
      </x:c>
      <x:c r="I11" s="42" t="n">
        <x:v>0</x:v>
      </x:c>
      <x:c r="J11" s="48" t="n">
        <x:v>0</x:v>
      </x:c>
      <x:c r="K11" s="36" t="n">
        <x:f>ROUND(F11*(1+G11+H11+I11)+J11,0)</x:f>
        <x:v>0</x:v>
      </x:c>
      <x:c r="L11" s="36" t="n">
        <x:f>ROUND(K11*(1+G11+H11+I11)+J11,0)</x:f>
        <x:v>0</x:v>
      </x:c>
      <x:c r="M11" s="36" t="n">
        <x:f>ROUND(L11*(1+G11+H11+I11)+J11,0)</x:f>
        <x:v>0</x:v>
      </x:c>
      <x:c r="N11" s="16" t="str">
        <x:v>一般就労希望者</x:v>
      </x:c>
    </x:row>
    <x:row r="12">
      <x:c r="A12" s="16" t="str">
        <x:v>就労定着支援</x:v>
      </x:c>
      <x:c r="B12" s="16" t="str">
        <x:v>人/月</x:v>
      </x:c>
      <x:c r="C12" s="16" t="str">
        <x:v>実績推移型</x:v>
      </x:c>
      <x:c r="D12" s="48" t="n">
        <x:v>0</x:v>
      </x:c>
      <x:c r="E12" s="48" t="n">
        <x:v>0</x:v>
      </x:c>
      <x:c r="F12" s="48" t="n">
        <x:v>0</x:v>
      </x:c>
      <x:c r="G12" s="49" t="n">
        <x:f>IFERROR((F12/D12)^(1/2)-1,0)</x:f>
        <x:v>0</x:v>
      </x:c>
      <x:c r="H12" s="42" t="n">
        <x:v>0</x:v>
      </x:c>
      <x:c r="I12" s="42" t="n">
        <x:v>0</x:v>
      </x:c>
      <x:c r="J12" s="48" t="n">
        <x:v>0</x:v>
      </x:c>
      <x:c r="K12" s="36" t="n">
        <x:f>ROUND(F12*(1+G12+H12+I12)+J12,0)</x:f>
        <x:v>0</x:v>
      </x:c>
      <x:c r="L12" s="36" t="n">
        <x:f>ROUND(K12*(1+G12+H12+I12)+J12,0)</x:f>
        <x:v>0</x:v>
      </x:c>
      <x:c r="M12" s="36" t="n">
        <x:f>ROUND(L12*(1+G12+H12+I12)+J12,0)</x:f>
        <x:v>0</x:v>
      </x:c>
      <x:c r="N12" s="16" t="str">
        <x:v>一般就労移行後の定着</x:v>
      </x:c>
    </x:row>
    <x:row r="13">
      <x:c r="A13" s="16" t="str">
        <x:v>計画相談支援</x:v>
      </x:c>
      <x:c r="B13" s="16" t="str">
        <x:v>人/月</x:v>
      </x:c>
      <x:c r="C13" s="16" t="str">
        <x:v>実績推移型</x:v>
      </x:c>
      <x:c r="D13" s="48" t="n">
        <x:v>0</x:v>
      </x:c>
      <x:c r="E13" s="48" t="n">
        <x:v>0</x:v>
      </x:c>
      <x:c r="F13" s="48" t="n">
        <x:v>0</x:v>
      </x:c>
      <x:c r="G13" s="49" t="n">
        <x:f>IFERROR((F13/D13)^(1/2)-1,0)</x:f>
        <x:v>0</x:v>
      </x:c>
      <x:c r="H13" s="42" t="n">
        <x:v>0</x:v>
      </x:c>
      <x:c r="I13" s="42" t="n">
        <x:v>0</x:v>
      </x:c>
      <x:c r="J13" s="48" t="n">
        <x:v>0</x:v>
      </x:c>
      <x:c r="K13" s="36" t="n">
        <x:f>ROUND(F13*(1+G13+H13+I13)+J13,0)</x:f>
        <x:v>0</x:v>
      </x:c>
      <x:c r="L13" s="36" t="n">
        <x:f>ROUND(K13*(1+G13+H13+I13)+J13,0)</x:f>
        <x:v>0</x:v>
      </x:c>
      <x:c r="M13" s="36" t="n">
        <x:f>ROUND(L13*(1+G13+H13+I13)+J13,0)</x:f>
        <x:v>0</x:v>
      </x:c>
      <x:c r="N13" s="16" t="str">
        <x:v>セルフプラン解消</x:v>
      </x:c>
    </x:row>
    <x:row r="14">
      <x:c r="A14" s="16" t="str">
        <x:v>地域移行支援</x:v>
      </x:c>
      <x:c r="B14" s="16" t="str">
        <x:v>人/月</x:v>
      </x:c>
      <x:c r="C14" s="16" t="str">
        <x:v>個別積上げ型</x:v>
      </x:c>
      <x:c r="D14" s="48" t="n">
        <x:v>0</x:v>
      </x:c>
      <x:c r="E14" s="48" t="n">
        <x:v>0</x:v>
      </x:c>
      <x:c r="F14" s="48" t="n">
        <x:v>0</x:v>
      </x:c>
      <x:c r="G14" s="49" t="n">
        <x:f>IFERROR((F14/D14)^(1/2)-1,0)</x:f>
        <x:v>0</x:v>
      </x:c>
      <x:c r="H14" s="42" t="n">
        <x:v>0</x:v>
      </x:c>
      <x:c r="I14" s="42" t="n">
        <x:v>0</x:v>
      </x:c>
      <x:c r="J14" s="48" t="n">
        <x:v>0</x:v>
      </x:c>
      <x:c r="K14" s="36" t="n">
        <x:f>ROUND(F14*(1+G14+H14+I14)+J14,0)</x:f>
        <x:v>0</x:v>
      </x:c>
      <x:c r="L14" s="36" t="n">
        <x:f>ROUND(K14*(1+G14+H14+I14)+J14,0)</x:f>
        <x:v>0</x:v>
      </x:c>
      <x:c r="M14" s="36" t="n">
        <x:f>ROUND(L14*(1+G14+H14+I14)+J14,0)</x:f>
        <x:v>0</x:v>
      </x:c>
      <x:c r="N14" s="16" t="str">
        <x:v>施設入所・長期入院候補</x:v>
      </x:c>
    </x:row>
    <x:row r="15">
      <x:c r="A15" s="16" t="str">
        <x:v>地域定着支援</x:v>
      </x:c>
      <x:c r="B15" s="16" t="str">
        <x:v>人/月</x:v>
      </x:c>
      <x:c r="C15" s="16" t="str">
        <x:v>個別積上げ型</x:v>
      </x:c>
      <x:c r="D15" s="48" t="n">
        <x:v>0</x:v>
      </x:c>
      <x:c r="E15" s="48" t="n">
        <x:v>0</x:v>
      </x:c>
      <x:c r="F15" s="48" t="n">
        <x:v>0</x:v>
      </x:c>
      <x:c r="G15" s="49" t="n">
        <x:f>IFERROR((F15/D15)^(1/2)-1,0)</x:f>
        <x:v>0</x:v>
      </x:c>
      <x:c r="H15" s="42" t="n">
        <x:v>0</x:v>
      </x:c>
      <x:c r="I15" s="42" t="n">
        <x:v>0</x:v>
      </x:c>
      <x:c r="J15" s="48" t="n">
        <x:v>0</x:v>
      </x:c>
      <x:c r="K15" s="36" t="n">
        <x:f>ROUND(F15*(1+G15+H15+I15)+J15,0)</x:f>
        <x:v>0</x:v>
      </x:c>
      <x:c r="L15" s="36" t="n">
        <x:f>ROUND(K15*(1+G15+H15+I15)+J15,0)</x:f>
        <x:v>0</x:v>
      </x:c>
      <x:c r="M15" s="36" t="n">
        <x:f>ROUND(L15*(1+G15+H15+I15)+J15,0)</x:f>
        <x:v>0</x:v>
      </x:c>
      <x:c r="N15" s="16" t="str">
        <x:v>単身・親亡き後・緊急時</x:v>
      </x:c>
    </x:row>
    <x:row r="16">
      <x:c r="A16" s="16" t="str">
        <x:v>児童発達支援</x:v>
      </x:c>
      <x:c r="B16" s="16" t="str">
        <x:v>人日/月</x:v>
      </x:c>
      <x:c r="C16" s="16" t="str">
        <x:v>実績推移型</x:v>
      </x:c>
      <x:c r="D16" s="48" t="n">
        <x:v>0</x:v>
      </x:c>
      <x:c r="E16" s="48" t="n">
        <x:v>0</x:v>
      </x:c>
      <x:c r="F16" s="48" t="n">
        <x:v>0</x:v>
      </x:c>
      <x:c r="G16" s="49" t="n">
        <x:f>IFERROR((F16/D16)^(1/2)-1,0)</x:f>
        <x:v>0</x:v>
      </x:c>
      <x:c r="H16" s="42" t="n">
        <x:v>0</x:v>
      </x:c>
      <x:c r="I16" s="42" t="n">
        <x:v>0</x:v>
      </x:c>
      <x:c r="J16" s="48" t="n">
        <x:v>0</x:v>
      </x:c>
      <x:c r="K16" s="36" t="n">
        <x:f>ROUND(F16*(1+G16+H16+I16)+J16,0)</x:f>
        <x:v>0</x:v>
      </x:c>
      <x:c r="L16" s="36" t="n">
        <x:f>ROUND(K16*(1+G16+H16+I16)+J16,0)</x:f>
        <x:v>0</x:v>
      </x:c>
      <x:c r="M16" s="36" t="n">
        <x:f>ROUND(L16*(1+G16+H16+I16)+J16,0)</x:f>
        <x:v>0</x:v>
      </x:c>
      <x:c r="N16" s="16" t="str">
        <x:v>未就学児・発達相談</x:v>
      </x:c>
    </x:row>
    <x:row r="17">
      <x:c r="A17" s="16" t="str">
        <x:v>放課後等デイサービス</x:v>
      </x:c>
      <x:c r="B17" s="16" t="str">
        <x:v>人日/月</x:v>
      </x:c>
      <x:c r="C17" s="16" t="str">
        <x:v>実績推移型</x:v>
      </x:c>
      <x:c r="D17" s="48" t="n">
        <x:v>0</x:v>
      </x:c>
      <x:c r="E17" s="48" t="n">
        <x:v>0</x:v>
      </x:c>
      <x:c r="F17" s="48" t="n">
        <x:v>0</x:v>
      </x:c>
      <x:c r="G17" s="49" t="n">
        <x:f>IFERROR((F17/D17)^(1/2)-1,0)</x:f>
        <x:v>0</x:v>
      </x:c>
      <x:c r="H17" s="42" t="n">
        <x:v>0</x:v>
      </x:c>
      <x:c r="I17" s="42" t="n">
        <x:v>0</x:v>
      </x:c>
      <x:c r="J17" s="48" t="n">
        <x:v>0</x:v>
      </x:c>
      <x:c r="K17" s="36" t="n">
        <x:f>ROUND(F17*(1+G17+H17+I17)+J17,0)</x:f>
        <x:v>0</x:v>
      </x:c>
      <x:c r="L17" s="36" t="n">
        <x:f>ROUND(K17*(1+G17+H17+I17)+J17,0)</x:f>
        <x:v>0</x:v>
      </x:c>
      <x:c r="M17" s="36" t="n">
        <x:f>ROUND(L17*(1+G17+H17+I17)+J17,0)</x:f>
        <x:v>0</x:v>
      </x:c>
      <x:c r="N17" s="16" t="str">
        <x:v>送迎・長期休暇・卒業控除</x:v>
      </x:c>
    </x:row>
    <x:row r="18">
      <x:c r="A18" s="16" t="str">
        <x:v>保育所等訪問支援</x:v>
      </x:c>
      <x:c r="B18" s="16" t="str">
        <x:v>人日/月</x:v>
      </x:c>
      <x:c r="C18" s="16" t="str">
        <x:v>アンケート補正型</x:v>
      </x:c>
      <x:c r="D18" s="48" t="n">
        <x:v>0</x:v>
      </x:c>
      <x:c r="E18" s="48" t="n">
        <x:v>0</x:v>
      </x:c>
      <x:c r="F18" s="48" t="n">
        <x:v>0</x:v>
      </x:c>
      <x:c r="G18" s="49" t="n">
        <x:f>IFERROR((F18/D18)^(1/2)-1,0)</x:f>
        <x:v>0</x:v>
      </x:c>
      <x:c r="H18" s="42" t="n">
        <x:v>0</x:v>
      </x:c>
      <x:c r="I18" s="42" t="n">
        <x:v>0</x:v>
      </x:c>
      <x:c r="J18" s="48" t="n">
        <x:v>0</x:v>
      </x:c>
      <x:c r="K18" s="36" t="n">
        <x:f>ROUND(F18*(1+G18+H18+I18)+J18,0)</x:f>
        <x:v>0</x:v>
      </x:c>
      <x:c r="L18" s="36" t="n">
        <x:f>ROUND(K18*(1+G18+H18+I18)+J18,0)</x:f>
        <x:v>0</x:v>
      </x:c>
      <x:c r="M18" s="36" t="n">
        <x:f>ROUND(L18*(1+G18+H18+I18)+J18,0)</x:f>
        <x:v>0</x:v>
      </x:c>
      <x:c r="N18" s="16" t="str">
        <x:v>園・学校での合理的配慮</x:v>
      </x:c>
    </x:row>
    <x:row r="19">
      <x:c r="A19" s="16" t="str">
        <x:v>居宅訪問型児童発達支援</x:v>
      </x:c>
      <x:c r="B19" s="16" t="str">
        <x:v>人/月</x:v>
      </x:c>
      <x:c r="C19" s="16" t="str">
        <x:v>個別積上げ型</x:v>
      </x:c>
      <x:c r="D19" s="48" t="n">
        <x:v>0</x:v>
      </x:c>
      <x:c r="E19" s="48" t="n">
        <x:v>0</x:v>
      </x:c>
      <x:c r="F19" s="48" t="n">
        <x:v>0</x:v>
      </x:c>
      <x:c r="G19" s="49" t="n">
        <x:f>IFERROR((F19/D19)^(1/2)-1,0)</x:f>
        <x:v>0</x:v>
      </x:c>
      <x:c r="H19" s="42" t="n">
        <x:v>0</x:v>
      </x:c>
      <x:c r="I19" s="42" t="n">
        <x:v>0</x:v>
      </x:c>
      <x:c r="J19" s="48" t="n">
        <x:v>0</x:v>
      </x:c>
      <x:c r="K19" s="36" t="n">
        <x:f>ROUND(F19*(1+G19+H19+I19)+J19,0)</x:f>
        <x:v>0</x:v>
      </x:c>
      <x:c r="L19" s="36" t="n">
        <x:f>ROUND(K19*(1+G19+H19+I19)+J19,0)</x:f>
        <x:v>0</x:v>
      </x:c>
      <x:c r="M19" s="36" t="n">
        <x:f>ROUND(L19*(1+G19+H19+I19)+J19,0)</x:f>
        <x:v>0</x:v>
      </x:c>
      <x:c r="N19" s="16" t="str">
        <x:v>通所困難・医療的ケア児</x:v>
      </x:c>
    </x:row>
    <x:row r="20">
      <x:c r="A20" s="16" t="str">
        <x:v>障がい児相談支援</x:v>
      </x:c>
      <x:c r="B20" s="16" t="str">
        <x:v>人/月</x:v>
      </x:c>
      <x:c r="C20" s="16" t="str">
        <x:v>実績推移型</x:v>
      </x:c>
      <x:c r="D20" s="48" t="n">
        <x:v>0</x:v>
      </x:c>
      <x:c r="E20" s="48" t="n">
        <x:v>0</x:v>
      </x:c>
      <x:c r="F20" s="48" t="n">
        <x:v>0</x:v>
      </x:c>
      <x:c r="G20" s="49" t="n">
        <x:f>IFERROR((F20/D20)^(1/2)-1,0)</x:f>
        <x:v>0</x:v>
      </x:c>
      <x:c r="H20" s="42" t="n">
        <x:v>0</x:v>
      </x:c>
      <x:c r="I20" s="42" t="n">
        <x:v>0</x:v>
      </x:c>
      <x:c r="J20" s="48" t="n">
        <x:v>0</x:v>
      </x:c>
      <x:c r="K20" s="36" t="n">
        <x:f>ROUND(F20*(1+G20+H20+I20)+J20,0)</x:f>
        <x:v>0</x:v>
      </x:c>
      <x:c r="L20" s="36" t="n">
        <x:f>ROUND(K20*(1+G20+H20+I20)+J20,0)</x:f>
        <x:v>0</x:v>
      </x:c>
      <x:c r="M20" s="36" t="n">
        <x:f>ROUND(L20*(1+G20+H20+I20)+J20,0)</x:f>
        <x:v>0</x:v>
      </x:c>
      <x:c r="N20" s="16" t="str">
        <x:v>セルフプラン・放デイ利用者</x:v>
      </x:c>
    </x:row>
  </x:sheetData>
  <x:mergeCells>
    <x:mergeCell ref="A1:H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4" hidden="0" customWidth="1"/>
    <x:col min="3" max="3" width="36" hidden="0" customWidth="1"/>
    <x:col min="4" max="4" width="28" hidden="0" customWidth="1"/>
    <x:col min="5" max="5" width="14" hidden="0" customWidth="1"/>
    <x:col min="6" max="6" width="14" hidden="0" customWidth="1"/>
    <x:col min="7" max="7" width="14" hidden="0" customWidth="1"/>
    <x:col min="8" max="8" width="38" hidden="0" customWidth="1"/>
  </x:cols>
  <x:sheetData>
    <x:row r="1" ht="28" customHeight="1">
      <x:c r="A1" s="56" t="str">
        <x:v>障がい計画　見込量算定に必要な資料一覧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3" ht="24" customHeight="1">
      <x:c r="A3" s="21" t="str">
        <x:v>優先</x:v>
      </x:c>
      <x:c r="B3" s="21" t="str">
        <x:v>資料名</x:v>
      </x:c>
      <x:c r="C3" s="21" t="str">
        <x:v>確認内容</x:v>
      </x:c>
      <x:c r="D3" s="21" t="str">
        <x:v>算定接続</x:v>
      </x:c>
      <x:c r="E3" s="21" t="str">
        <x:v>担当</x:v>
      </x:c>
      <x:c r="F3" s="21" t="str">
        <x:v>希望時期</x:v>
      </x:c>
      <x:c r="G3" s="21" t="str">
        <x:v>ステータス</x:v>
      </x:c>
      <x:c r="H3" s="21" t="str">
        <x:v>Red Team注意</x:v>
      </x:c>
    </x:row>
    <x:row r="4">
      <x:c r="A4" s="16" t="str">
        <x:v>高</x:v>
      </x:c>
      <x:c r="B4" s="16" t="str">
        <x:v>R6〜R8サービス別実績</x:v>
      </x:c>
      <x:c r="C4" s="16" t="str">
        <x:v>月別利用者数・利用量・給付費</x:v>
      </x:c>
      <x:c r="D4" s="16" t="str">
        <x:v>全サービス見込量</x:v>
      </x:c>
      <x:c r="E4" s="16" t="str">
        <x:v>町</x:v>
      </x:c>
      <x:c r="F4" s="16" t="str">
        <x:v>初回</x:v>
      </x:c>
      <x:c r="G4" s="16" t="str">
        <x:v>未受領</x:v>
      </x:c>
      <x:c r="H4" s="16" t="str">
        <x:v>支給決定量と実利用量を分ける</x:v>
      </x:c>
    </x:row>
    <x:row r="5">
      <x:c r="A5" s="16" t="str">
        <x:v>高</x:v>
      </x:c>
      <x:c r="B5" s="16" t="str">
        <x:v>支給決定量と実利用量</x:v>
      </x:c>
      <x:c r="C5" s="16" t="str">
        <x:v>未利用・利用控え・供給不足</x:v>
      </x:c>
      <x:c r="D5" s="16" t="str">
        <x:v>供給制約補正</x:v>
      </x:c>
      <x:c r="E5" s="16" t="str">
        <x:v>町</x:v>
      </x:c>
      <x:c r="F5" s="16" t="str">
        <x:v>初回</x:v>
      </x:c>
      <x:c r="G5" s="16" t="str">
        <x:v>未受領</x:v>
      </x:c>
      <x:c r="H5" s="16" t="str">
        <x:v>実績だけでは潜在需要が見えない</x:v>
      </x:c>
    </x:row>
    <x:row r="6">
      <x:c r="A6" s="16" t="str">
        <x:v>高</x:v>
      </x:c>
      <x:c r="B6" s="16" t="str">
        <x:v>町内・町外事業所別利用者数</x:v>
      </x:c>
      <x:c r="C6" s="16" t="str">
        <x:v>圏域依存、送迎、受入可否</x:v>
      </x:c>
      <x:c r="D6" s="16" t="str">
        <x:v>実現可能性補正</x:v>
      </x:c>
      <x:c r="E6" s="16" t="str">
        <x:v>町</x:v>
      </x:c>
      <x:c r="F6" s="16" t="str">
        <x:v>初回</x:v>
      </x:c>
      <x:c r="G6" s="16" t="str">
        <x:v>未受領</x:v>
      </x:c>
      <x:c r="H6" s="16" t="str">
        <x:v>町外利用前提を明記</x:v>
      </x:c>
    </x:row>
    <x:row r="7">
      <x:c r="A7" s="16" t="str">
        <x:v>高</x:v>
      </x:c>
      <x:c r="B7" s="16" t="str">
        <x:v>計画相談・セルフプラン件数</x:v>
      </x:c>
      <x:c r="C7" s="16" t="str">
        <x:v>相談支援専門員の不足状況</x:v>
      </x:c>
      <x:c r="D7" s="16" t="str">
        <x:v>相談支援見込</x:v>
      </x:c>
      <x:c r="E7" s="16" t="str">
        <x:v>町</x:v>
      </x:c>
      <x:c r="F7" s="16" t="str">
        <x:v>初回</x:v>
      </x:c>
      <x:c r="G7" s="16" t="str">
        <x:v>未受領</x:v>
      </x:c>
      <x:c r="H7" s="16" t="str">
        <x:v>セルフプランが見込量過小の要因になる</x:v>
      </x:c>
    </x:row>
    <x:row r="8">
      <x:c r="A8" s="16" t="str">
        <x:v>高</x:v>
      </x:c>
      <x:c r="B8" s="16" t="str">
        <x:v>施設入所支援利用者一覧</x:v>
      </x:c>
      <x:c r="C8" s="16" t="str">
        <x:v>年齢、区分、地域移行意向</x:v>
      </x:c>
      <x:c r="D8" s="16" t="str">
        <x:v>地域移行・地域定着</x:v>
      </x:c>
      <x:c r="E8" s="16" t="str">
        <x:v>町</x:v>
      </x:c>
      <x:c r="F8" s="16" t="str">
        <x:v>初回</x:v>
      </x:c>
      <x:c r="G8" s="16" t="str">
        <x:v>未受領</x:v>
      </x:c>
      <x:c r="H8" s="16" t="str">
        <x:v>0見込の根拠確認</x:v>
      </x:c>
    </x:row>
    <x:row r="9">
      <x:c r="A9" s="16" t="str">
        <x:v>高</x:v>
      </x:c>
      <x:c r="B9" s="16" t="str">
        <x:v>障がい児通所支援の年齢・学年別実績</x:v>
      </x:c>
      <x:c r="C9" s="16" t="str">
        <x:v>児発、放デイ、卒業予定者</x:v>
      </x:c>
      <x:c r="D9" s="16" t="str">
        <x:v>放デイ・18歳移行</x:v>
      </x:c>
      <x:c r="E9" s="16" t="str">
        <x:v>町</x:v>
      </x:c>
      <x:c r="F9" s="16" t="str">
        <x:v>初回</x:v>
      </x:c>
      <x:c r="G9" s="16" t="str">
        <x:v>未受領</x:v>
      </x:c>
      <x:c r="H9" s="16" t="str">
        <x:v>卒業控除と新規流入を両方反映</x:v>
      </x:c>
    </x:row>
    <x:row r="10">
      <x:c r="A10" s="16" t="str">
        <x:v>高</x:v>
      </x:c>
      <x:c r="B10" s="16" t="str">
        <x:v>特別支援学校・支援学級の卒業予定者</x:v>
      </x:c>
      <x:c r="C10" s="16" t="str">
        <x:v>R9〜R11進路見込</x:v>
      </x:c>
      <x:c r="D10" s="16" t="str">
        <x:v>就労選択支援、B型、生活介護</x:v>
      </x:c>
      <x:c r="E10" s="16" t="str">
        <x:v>町/教育</x:v>
      </x:c>
      <x:c r="F10" s="16" t="str">
        <x:v>初回</x:v>
      </x:c>
      <x:c r="G10" s="16" t="str">
        <x:v>未受領</x:v>
      </x:c>
      <x:c r="H10" s="16" t="str">
        <x:v>18歳移行を見込量に接続</x:v>
      </x:c>
    </x:row>
    <x:row r="11">
      <x:c r="A11" s="16" t="str">
        <x:v>高</x:v>
      </x:c>
      <x:c r="B11" s="16" t="str">
        <x:v>医療的ケア児・重症心身障がい児の有無</x:v>
      </x:c>
      <x:c r="C11" s="16" t="str">
        <x:v>医療的ケア内容、訪問看護、通所困難</x:v>
      </x:c>
      <x:c r="D11" s="16" t="str">
        <x:v>居宅訪問型児発、医ケア児支援</x:v>
      </x:c>
      <x:c r="E11" s="16" t="str">
        <x:v>町/保健/教育</x:v>
      </x:c>
      <x:c r="F11" s="16" t="str">
        <x:v>初回</x:v>
      </x:c>
      <x:c r="G11" s="16" t="str">
        <x:v>未受領</x:v>
      </x:c>
      <x:c r="H11" s="16" t="str">
        <x:v>個人情報配慮のうえ件数確認</x:v>
      </x:c>
    </x:row>
    <x:row r="12">
      <x:c r="A12" s="16" t="str">
        <x:v>中</x:v>
      </x:c>
      <x:c r="B12" s="16" t="str">
        <x:v>短期入所の利用希望・断り件数</x:v>
      </x:c>
      <x:c r="C12" s="16" t="str">
        <x:v>レスパイト、緊急時、防災</x:v>
      </x:c>
      <x:c r="D12" s="16" t="str">
        <x:v>短期入所</x:v>
      </x:c>
      <x:c r="E12" s="16" t="str">
        <x:v>町/事業所</x:v>
      </x:c>
      <x:c r="F12" s="16" t="str">
        <x:v>骨子前</x:v>
      </x:c>
      <x:c r="G12" s="16" t="str">
        <x:v>未受領</x:v>
      </x:c>
      <x:c r="H12" s="16" t="str">
        <x:v>需要は実績に出にくい</x:v>
      </x:c>
    </x:row>
    <x:row r="13">
      <x:c r="A13" s="16" t="str">
        <x:v>中</x:v>
      </x:c>
      <x:c r="B13" s="16" t="str">
        <x:v>就労系サービス利用者・相談者</x:v>
      </x:c>
      <x:c r="C13" s="16" t="str">
        <x:v>B型新規、就労希望、一般就労移行</x:v>
      </x:c>
      <x:c r="D13" s="16" t="str">
        <x:v>就労選択支援</x:v>
      </x:c>
      <x:c r="E13" s="16" t="str">
        <x:v>町</x:v>
      </x:c>
      <x:c r="F13" s="16" t="str">
        <x:v>骨子前</x:v>
      </x:c>
      <x:c r="G13" s="16" t="str">
        <x:v>未受領</x:v>
      </x:c>
      <x:c r="H13" s="16" t="str">
        <x:v>令和7年10月以降の制度接続</x:v>
      </x:c>
    </x:row>
    <x:row r="14">
      <x:c r="A14" s="16" t="str">
        <x:v>中</x:v>
      </x:c>
      <x:c r="B14" s="16" t="str">
        <x:v>避難行動要支援者名簿・個別避難計画</x:v>
      </x:c>
      <x:c r="C14" s="16" t="str">
        <x:v>対象者、作成件数、福祉避難所</x:v>
      </x:c>
      <x:c r="D14" s="16" t="str">
        <x:v>防災指標</x:v>
      </x:c>
      <x:c r="E14" s="16" t="str">
        <x:v>町/防災</x:v>
      </x:c>
      <x:c r="F14" s="16" t="str">
        <x:v>骨子前</x:v>
      </x:c>
      <x:c r="G14" s="16" t="str">
        <x:v>未受領</x:v>
      </x:c>
      <x:c r="H14" s="16" t="str">
        <x:v>福祉計画単独で完結不可</x:v>
      </x:c>
    </x:row>
  </x:sheetData>
  <x:mergeCells>
    <x:mergeCell ref="A1:H1"/>
  </x:mergeCells>
  <x:conditionalFormatting sqref="G4:G50">
    <x:cfRule type="expression" dxfId="2" priority="1">
      <x:formula>G4="未受領"</x:formula>
    </x:cfRule>
    <x:cfRule type="expression" dxfId="3" priority="2">
      <x:formula>G4="受領済"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369946858049490d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38" hidden="0" customWidth="1"/>
    <x:col min="4" max="4" width="30" hidden="0" customWidth="1"/>
    <x:col min="5" max="5" width="34" hidden="0" customWidth="1"/>
    <x:col min="6" max="6" width="36" hidden="0" customWidth="1"/>
    <x:col min="7" max="7" width="12" hidden="0" customWidth="1"/>
  </x:cols>
  <x:sheetData>
    <x:row r="1" ht="28" customHeight="1">
      <x:c r="A1" s="56" t="str">
        <x:v>障がいアンケート設問と見込量算定の接続表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3" ht="24" customHeight="1">
      <x:c r="A3" s="21" t="str">
        <x:v>票</x:v>
      </x:c>
      <x:c r="B3" s="21" t="str">
        <x:v>設問分野</x:v>
      </x:c>
      <x:c r="C3" s="21" t="str">
        <x:v>取得する値</x:v>
      </x:c>
      <x:c r="D3" s="21" t="str">
        <x:v>主なクロス軸</x:v>
      </x:c>
      <x:c r="E3" s="21" t="str">
        <x:v>接続するサービス・施策</x:v>
      </x:c>
      <x:c r="F3" s="21" t="str">
        <x:v>算定への使い方</x:v>
      </x:c>
      <x:c r="G3" s="21" t="str">
        <x:v>修正可否</x:v>
      </x:c>
    </x:row>
    <x:row r="4">
      <x:c r="A4" s="16" t="str">
        <x:v>A票</x:v>
      </x:c>
      <x:c r="B4" s="16" t="str">
        <x:v>基本属性</x:v>
      </x:c>
      <x:c r="C4" s="16" t="str">
        <x:v>年齢、地区、障がい種別、支援区分</x:v>
      </x:c>
      <x:c r="D4" s="16" t="str">
        <x:v>年齢×サービス意向、障がい種別×困りごと</x:v>
      </x:c>
      <x:c r="E4" s="16" t="str">
        <x:v>全サービス</x:v>
      </x:c>
      <x:c r="F4" s="16" t="str">
        <x:v>推計補正の基礎軸</x:v>
      </x:c>
      <x:c r="G4" s="16" t="str">
        <x:v>必須</x:v>
      </x:c>
    </x:row>
    <x:row r="5">
      <x:c r="A5" s="16" t="str">
        <x:v>A票</x:v>
      </x:c>
      <x:c r="B5" s="16" t="str">
        <x:v>日常生活・介助</x:v>
      </x:c>
      <x:c r="C5" s="16" t="str">
        <x:v>支援が必要なADL/IADL、主介助者、介助負担</x:v>
      </x:c>
      <x:c r="D5" s="16" t="str">
        <x:v>同居状況×親亡き後不安</x:v>
      </x:c>
      <x:c r="E5" s="16" t="str">
        <x:v>居宅介護、重度訪問、短期入所</x:v>
      </x:c>
      <x:c r="F5" s="16" t="str">
        <x:v>訪問系・レスパイト需要補正</x:v>
      </x:c>
      <x:c r="G5" s="16" t="str">
        <x:v>必須</x:v>
      </x:c>
    </x:row>
    <x:row r="6">
      <x:c r="A6" s="16" t="str">
        <x:v>A票</x:v>
      </x:c>
      <x:c r="B6" s="16" t="str">
        <x:v>医療・通院</x:v>
      </x:c>
      <x:c r="C6" s="16" t="str">
        <x:v>通院先、頻度、訪問看護、医療機器</x:v>
      </x:c>
      <x:c r="D6" s="16" t="str">
        <x:v>医療的ケア×通所困難</x:v>
      </x:c>
      <x:c r="E6" s="16" t="str">
        <x:v>療養介護、重度訪問、防災</x:v>
      </x:c>
      <x:c r="F6" s="16" t="str">
        <x:v>少人数高支援度サービスの候補抽出</x:v>
      </x:c>
      <x:c r="G6" s="16" t="str">
        <x:v>必須</x:v>
      </x:c>
    </x:row>
    <x:row r="7">
      <x:c r="A7" s="16" t="str">
        <x:v>A票</x:v>
      </x:c>
      <x:c r="B7" s="16" t="str">
        <x:v>相談支援</x:v>
      </x:c>
      <x:c r="C7" s="16" t="str">
        <x:v>相談先、セルフプラン、相談できない理由</x:v>
      </x:c>
      <x:c r="D7" s="16" t="str">
        <x:v>相談先有無×未利用理由</x:v>
      </x:c>
      <x:c r="E7" s="16" t="str">
        <x:v>計画相談、地域移行、地域定着</x:v>
      </x:c>
      <x:c r="F7" s="16" t="str">
        <x:v>相談支援体制の見込補正</x:v>
      </x:c>
      <x:c r="G7" s="16" t="str">
        <x:v>必須</x:v>
      </x:c>
    </x:row>
    <x:row r="8">
      <x:c r="A8" s="16" t="str">
        <x:v>A票</x:v>
      </x:c>
      <x:c r="B8" s="16" t="str">
        <x:v>就労</x:v>
      </x:c>
      <x:c r="C8" s="16" t="str">
        <x:v>現在の就労、就労希望、B型/A型/移行/選択支援希望</x:v>
      </x:c>
      <x:c r="D8" s="16" t="str">
        <x:v>就労希望×年齢</x:v>
      </x:c>
      <x:c r="E8" s="16" t="str">
        <x:v>就労選択、B型、就労移行</x:v>
      </x:c>
      <x:c r="F8" s="16" t="str">
        <x:v>就労選択支援の個別積上げ</x:v>
      </x:c>
      <x:c r="G8" s="16" t="str">
        <x:v>必須</x:v>
      </x:c>
    </x:row>
    <x:row r="9">
      <x:c r="A9" s="16" t="str">
        <x:v>A票</x:v>
      </x:c>
      <x:c r="B9" s="16" t="str">
        <x:v>地域生活</x:v>
      </x:c>
      <x:c r="C9" s="16" t="str">
        <x:v>GH希望、単身不安、緊急時不安</x:v>
      </x:c>
      <x:c r="D9" s="16" t="str">
        <x:v>同居状況×親亡き後</x:v>
      </x:c>
      <x:c r="E9" s="16" t="str">
        <x:v>地域移行、地域定着、GH</x:v>
      </x:c>
      <x:c r="F9" s="16" t="str">
        <x:v>0人見込の根拠確認</x:v>
      </x:c>
      <x:c r="G9" s="16" t="str">
        <x:v>必須</x:v>
      </x:c>
    </x:row>
    <x:row r="10">
      <x:c r="A10" s="16" t="str">
        <x:v>A票</x:v>
      </x:c>
      <x:c r="B10" s="16" t="str">
        <x:v>防災</x:v>
      </x:c>
      <x:c r="C10" s="16" t="str">
        <x:v>避難支援者、医療機器、服薬、避難所配慮</x:v>
      </x:c>
      <x:c r="D10" s="16" t="str">
        <x:v>支援者有無×医療・移動困難</x:v>
      </x:c>
      <x:c r="E10" s="16" t="str">
        <x:v>個別避難計画、福祉避難所</x:v>
      </x:c>
      <x:c r="F10" s="16" t="str">
        <x:v>防災指標に接続</x:v>
      </x:c>
      <x:c r="G10" s="16" t="str">
        <x:v>必須</x:v>
      </x:c>
    </x:row>
    <x:row r="11">
      <x:c r="A11" s="16" t="str">
        <x:v>B票</x:v>
      </x:c>
      <x:c r="B11" s="16" t="str">
        <x:v>児童属性</x:v>
      </x:c>
      <x:c r="C11" s="16" t="str">
        <x:v>年齢、学年、通園・通学先</x:v>
      </x:c>
      <x:c r="D11" s="16" t="str">
        <x:v>学年×サービス利用</x:v>
      </x:c>
      <x:c r="E11" s="16" t="str">
        <x:v>児発、放デイ、18歳移行</x:v>
      </x:c>
      <x:c r="F11" s="16" t="str">
        <x:v>卒業控除・新規流入を設定</x:v>
      </x:c>
      <x:c r="G11" s="16" t="str">
        <x:v>必須</x:v>
      </x:c>
    </x:row>
    <x:row r="12">
      <x:c r="A12" s="16" t="str">
        <x:v>B票</x:v>
      </x:c>
      <x:c r="B12" s="16" t="str">
        <x:v>放課後等デイ</x:v>
      </x:c>
      <x:c r="C12" s="16" t="str">
        <x:v>現利用日数、希望日数、送迎、長期休暇</x:v>
      </x:c>
      <x:c r="D12" s="16" t="str">
        <x:v>放デイ利用×送迎課題</x:v>
      </x:c>
      <x:c r="E12" s="16" t="str">
        <x:v>放デイ</x:v>
      </x:c>
      <x:c r="F12" s="16" t="str">
        <x:v>希望日数と供給制約を補正</x:v>
      </x:c>
      <x:c r="G12" s="16" t="str">
        <x:v>必須</x:v>
      </x:c>
    </x:row>
    <x:row r="13">
      <x:c r="A13" s="16" t="str">
        <x:v>B票</x:v>
      </x:c>
      <x:c r="B13" s="16" t="str">
        <x:v>医療的ケア</x:v>
      </x:c>
      <x:c r="C13" s="16" t="str">
        <x:v>ケア内容、訪問看護、災害時電源</x:v>
      </x:c>
      <x:c r="D13" s="16" t="str">
        <x:v>医療的ケア×通所困難</x:v>
      </x:c>
      <x:c r="E13" s="16" t="str">
        <x:v>居宅訪問型児発、医ケア児支援</x:v>
      </x:c>
      <x:c r="F13" s="16" t="str">
        <x:v>個別積上げ</x:v>
      </x:c>
      <x:c r="G13" s="16" t="str">
        <x:v>必須</x:v>
      </x:c>
    </x:row>
    <x:row r="14">
      <x:c r="A14" s="16" t="str">
        <x:v>B票</x:v>
      </x:c>
      <x:c r="B14" s="16" t="str">
        <x:v>18歳移行</x:v>
      </x:c>
      <x:c r="C14" s="16" t="str">
        <x:v>卒業後進路、B型、生活介護、就労選択希望</x:v>
      </x:c>
      <x:c r="D14" s="16" t="str">
        <x:v>学年×進路希望</x:v>
      </x:c>
      <x:c r="E14" s="16" t="str">
        <x:v>就労選択、B型、生活介護</x:v>
      </x:c>
      <x:c r="F14" s="16" t="str">
        <x:v>R9〜R11見込へ直接接続</x:v>
      </x:c>
      <x:c r="G14" s="16" t="str">
        <x:v>必須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49b9a3670c804186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42" hidden="0" customWidth="1"/>
    <x:col min="4" max="4" width="42" hidden="0" customWidth="1"/>
    <x:col min="5" max="5" width="32" hidden="0" customWidth="1"/>
    <x:col min="6" max="6" width="12" hidden="0" customWidth="1"/>
  </x:cols>
  <x:sheetData>
    <x:row r="1" ht="28" customHeight="1">
      <x:c r="A1" s="56" t="str">
        <x:v>Red Team・MECE点検表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3" ht="24" customHeight="1">
      <x:c r="A3" s="21" t="str">
        <x:v>区分</x:v>
      </x:c>
      <x:c r="B3" s="21" t="str">
        <x:v>点検項目</x:v>
      </x:c>
      <x:c r="C3" s="21" t="str">
        <x:v>リスク</x:v>
      </x:c>
      <x:c r="D3" s="21" t="str">
        <x:v>対応方針</x:v>
      </x:c>
      <x:c r="E3" s="21" t="str">
        <x:v>確認資料</x:v>
      </x:c>
      <x:c r="F3" s="21" t="str">
        <x:v>判定</x:v>
      </x:c>
    </x:row>
    <x:row r="4">
      <x:c r="A4" s="16" t="str">
        <x:v>高齢者</x:v>
      </x:c>
      <x:c r="B4" s="16" t="str">
        <x:v>保険料算定</x:v>
      </x:c>
      <x:c r="C4" s="16" t="str">
        <x:v>基金取崩により第10期は抑制できても第11期で急騰</x:v>
      </x:c>
      <x:c r="D4" s="16" t="str">
        <x:v>基金抑制・基金活用・標準の3ケース比較</x:v>
      </x:c>
      <x:c r="E4" s="16" t="str">
        <x:v>基金残高、給付費見込</x:v>
      </x:c>
      <x:c r="F4" s="16" t="str">
        <x:v>要確認</x:v>
      </x:c>
    </x:row>
    <x:row r="5">
      <x:c r="A5" s="16" t="str">
        <x:v>高齢者</x:v>
      </x:c>
      <x:c r="B5" s="16" t="str">
        <x:v>認定者推計</x:v>
      </x:c>
      <x:c r="C5" s="16" t="str">
        <x:v>人口減少だけを見て給付費を過小推計</x:v>
      </x:c>
      <x:c r="D5" s="16" t="str">
        <x:v>後期高齢者・認知症・要介護度別認定率で補正</x:v>
      </x:c>
      <x:c r="E5" s="16" t="str">
        <x:v>認定者数、人口推計</x:v>
      </x:c>
      <x:c r="F5" s="16" t="str">
        <x:v>要確認</x:v>
      </x:c>
    </x:row>
    <x:row r="6">
      <x:c r="A6" s="16" t="str">
        <x:v>高齢者</x:v>
      </x:c>
      <x:c r="B6" s="16" t="str">
        <x:v>地域支援事業</x:v>
      </x:c>
      <x:c r="C6" s="16" t="str">
        <x:v>任意事業の補助対象外化・一般財源化</x:v>
      </x:c>
      <x:c r="D6" s="16" t="str">
        <x:v>事業別に財源区分を確認</x:v>
      </x:c>
      <x:c r="E6" s="16" t="str">
        <x:v>地域支援事業内訳</x:v>
      </x:c>
      <x:c r="F6" s="16" t="str">
        <x:v>要確認</x:v>
      </x:c>
    </x:row>
    <x:row r="7">
      <x:c r="A7" s="16" t="str">
        <x:v>高齢者</x:v>
      </x:c>
      <x:c r="B7" s="16" t="str">
        <x:v>施設整備</x:v>
      </x:c>
      <x:c r="C7" s="16" t="str">
        <x:v>新規整備・定員変更が保険料に反映されない</x:v>
      </x:c>
      <x:c r="D7" s="16" t="str">
        <x:v>施設整備ケースを別途試算</x:v>
      </x:c>
      <x:c r="E7" s="16" t="str">
        <x:v>施設整備予定</x:v>
      </x:c>
      <x:c r="F7" s="16" t="str">
        <x:v>要確認</x:v>
      </x:c>
    </x:row>
    <x:row r="8">
      <x:c r="A8" s="16" t="str">
        <x:v>障がい</x:v>
      </x:c>
      <x:c r="B8" s="16" t="str">
        <x:v>実績0サービス</x:v>
      </x:c>
      <x:c r="C8" s="16" t="str">
        <x:v>0人実績をそのまま0見込にしてしまう</x:v>
      </x:c>
      <x:c r="D8" s="16" t="str">
        <x:v>個別積上げ・確認プロセスを記録</x:v>
      </x:c>
      <x:c r="E8" s="16" t="str">
        <x:v>施設入所者、医療的ケア児</x:v>
      </x:c>
      <x:c r="F8" s="16" t="str">
        <x:v>要確認</x:v>
      </x:c>
    </x:row>
    <x:row r="9">
      <x:c r="A9" s="16" t="str">
        <x:v>障がい</x:v>
      </x:c>
      <x:c r="B9" s="16" t="str">
        <x:v>就労選択支援</x:v>
      </x:c>
      <x:c r="C9" s="16" t="str">
        <x:v>B型新規利用との制度接続を見落とす</x:v>
      </x:c>
      <x:c r="D9" s="16" t="str">
        <x:v>卒業予定者・B型新規予定者から算定</x:v>
      </x:c>
      <x:c r="E9" s="16" t="str">
        <x:v>卒業予定、B型相談</x:v>
      </x:c>
      <x:c r="F9" s="16" t="str">
        <x:v>要確認</x:v>
      </x:c>
    </x:row>
    <x:row r="10">
      <x:c r="A10" s="16" t="str">
        <x:v>障がい</x:v>
      </x:c>
      <x:c r="B10" s="16" t="str">
        <x:v>放デイ</x:v>
      </x:c>
      <x:c r="C10" s="16" t="str">
        <x:v>利用希望だけで積むと卒業者控除を忘れる</x:v>
      </x:c>
      <x:c r="D10" s="16" t="str">
        <x:v>学年別利用者で新規・卒業を調整</x:v>
      </x:c>
      <x:c r="E10" s="16" t="str">
        <x:v>学年別実績</x:v>
      </x:c>
      <x:c r="F10" s="16" t="str">
        <x:v>要確認</x:v>
      </x:c>
    </x:row>
    <x:row r="11">
      <x:c r="A11" s="16" t="str">
        <x:v>障がい</x:v>
      </x:c>
      <x:c r="B11" s="16" t="str">
        <x:v>医療的ケア児</x:v>
      </x:c>
      <x:c r="C11" s="16" t="str">
        <x:v>町単独では支援体制が作れない可能性</x:v>
      </x:c>
      <x:c r="D11" s="16" t="str">
        <x:v>圏域・医療・訪問看護・教育連携を明記</x:v>
      </x:c>
      <x:c r="E11" s="16" t="str">
        <x:v>医ケア児数、訪看</x:v>
      </x:c>
      <x:c r="F11" s="16" t="str">
        <x:v>要確認</x:v>
      </x:c>
    </x:row>
    <x:row r="12">
      <x:c r="A12" s="16" t="str">
        <x:v>障がい</x:v>
      </x:c>
      <x:c r="B12" s="16" t="str">
        <x:v>地域移行</x:v>
      </x:c>
      <x:c r="C12" s="16" t="str">
        <x:v>施設入所者がいるのに0見込の根拠不足</x:v>
      </x:c>
      <x:c r="D12" s="16" t="str">
        <x:v>施設入所者15人前後の個別確認</x:v>
      </x:c>
      <x:c r="E12" s="16" t="str">
        <x:v>施設入所一覧</x:v>
      </x:c>
      <x:c r="F12" s="16" t="str">
        <x:v>要確認</x:v>
      </x:c>
    </x:row>
    <x:row r="13">
      <x:c r="A13" s="16" t="str">
        <x:v>共通</x:v>
      </x:c>
      <x:c r="B13" s="16" t="str">
        <x:v>移動支援</x:v>
      </x:c>
      <x:c r="C13" s="16" t="str">
        <x:v>福祉・交通・一般会計の責任分界が曖昧</x:v>
      </x:c>
      <x:c r="D13" s="16" t="str">
        <x:v>通院・通所・買物・就労で対象を分ける</x:v>
      </x:c>
      <x:c r="E13" s="16" t="str">
        <x:v>交通計画、移送実績</x:v>
      </x:c>
      <x:c r="F13" s="16" t="str">
        <x:v>要確認</x:v>
      </x:c>
    </x:row>
    <x:row r="14">
      <x:c r="A14" s="16" t="str">
        <x:v>共通</x:v>
      </x:c>
      <x:c r="B14" s="16" t="str">
        <x:v>防災</x:v>
      </x:c>
      <x:c r="C14" s="16" t="str">
        <x:v>計画本文に記載しても実装されない</x:v>
      </x:c>
      <x:c r="D14" s="16" t="str">
        <x:v>個別避難計画・福祉避難所・医療機器を指標化</x:v>
      </x:c>
      <x:c r="E14" s="16" t="str">
        <x:v>防災計画、名簿</x:v>
      </x:c>
      <x:c r="F14" s="16" t="str">
        <x:v>要確認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5d5227718aa4795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46" hidden="0" customWidth="1"/>
    <x:col min="3" max="3" width="80" hidden="0" customWidth="1"/>
    <x:col min="4" max="4" width="36" hidden="0" customWidth="1"/>
  </x:cols>
  <x:sheetData>
    <x:row r="1" ht="28" customHeight="1">
      <x:c r="A1" s="56" t="str">
        <x:v>出典・参照資料</x:v>
      </x:c>
      <x:c r="B1" s="57"/>
      <x:c r="C1" s="57"/>
      <x:c r="D1" s="57"/>
      <x:c r="E1" s="57"/>
      <x:c r="F1" s="57"/>
      <x:c r="G1" s="57"/>
      <x:c r="H1" s="57"/>
      <x:c r="I1" s="57"/>
      <x:c r="J1" s="57"/>
      <x:c r="K1" s="57"/>
      <x:c r="L1" s="57"/>
      <x:c r="M1" s="57"/>
      <x:c r="N1" s="57"/>
      <x:c r="O1" s="57"/>
      <x:c r="P1" s="57"/>
      <x:c r="Q1" s="57"/>
      <x:c r="R1" s="57"/>
      <x:c r="S1" s="57"/>
      <x:c r="T1" s="57"/>
      <x:c r="U1" s="57"/>
      <x:c r="V1" s="57"/>
      <x:c r="W1" s="57"/>
      <x:c r="X1" s="57"/>
      <x:c r="Y1" s="57"/>
      <x:c r="Z1" s="57"/>
    </x:row>
    <x:row r="3" ht="24" customHeight="1">
      <x:c r="A3" s="21" t="str">
        <x:v>区分</x:v>
      </x:c>
      <x:c r="B3" s="21" t="str">
        <x:v>資料名</x:v>
      </x:c>
      <x:c r="C3" s="21" t="str">
        <x:v>URL</x:v>
      </x:c>
      <x:c r="D3" s="21" t="str">
        <x:v>主な参照内容</x:v>
      </x:c>
    </x:row>
    <x:row r="4">
      <x:c r="A4" s="16" t="str">
        <x:v>仕様書</x:v>
      </x:c>
      <x:c r="B4" s="16" t="str">
        <x:v>小野町高齢者保健福祉計画・第10期介護保険事業計画策定業務委託仕様書</x:v>
      </x:c>
      <x:c r="C4" s="16" t="str">
        <x:v>添付ファイル</x:v>
      </x:c>
      <x:c r="D4" s="16" t="str">
        <x:v>見える化システム、保険料算定、成果品</x:v>
      </x:c>
    </x:row>
    <x:row r="5">
      <x:c r="A5" s="16" t="str">
        <x:v>仕様書</x:v>
      </x:c>
      <x:c r="B5" s="16" t="str">
        <x:v>おのまち障がい者計画・第4期障がい児福祉計画・第8期障がい福祉計画策定業務委託仕様書</x:v>
      </x:c>
      <x:c r="C5" s="16" t="str">
        <x:v>添付ファイル</x:v>
      </x:c>
      <x:c r="D5" s="16" t="str">
        <x:v>600件アンケート、クロス集計、協議会3回</x:v>
      </x:c>
    </x:row>
    <x:row r="6">
      <x:c r="A6" s="16" t="str">
        <x:v>国資料</x:v>
      </x:c>
      <x:c r="B6" s="16" t="str">
        <x:v>厚生労働省 地域生活支援事業</x:v>
      </x:c>
      <x:c r="C6" s="16" t="str">
        <x:v>https://www.mhlw.go.jp/stf/seisakunitsuite/bunya/hukushi_kaigo/shougaishahukushi/chiiki/index.html</x:v>
      </x:c>
      <x:c r="D6" s="16" t="str">
        <x:v>地域生活支援事業の制度概要</x:v>
      </x:c>
    </x:row>
    <x:row r="7">
      <x:c r="A7" s="16" t="str">
        <x:v>国資料</x:v>
      </x:c>
      <x:c r="B7" s="16" t="str">
        <x:v>厚生労働省 第8期障害福祉計画・第4期障害児福祉計画関連</x:v>
      </x:c>
      <x:c r="C7" s="16" t="str">
        <x:v>https://www.mhlw.go.jp/stf/newpage_72187.html</x:v>
      </x:c>
      <x:c r="D7" s="16" t="str">
        <x:v>第8期計画の検討情報</x:v>
      </x:c>
    </x:row>
    <x:row r="8">
      <x:c r="A8" s="16" t="str">
        <x:v>国資料</x:v>
      </x:c>
      <x:c r="B8" s="16" t="str">
        <x:v>厚生労働省 第9期介護保険料公表</x:v>
      </x:c>
      <x:c r="C8" s="16" t="str">
        <x:v>https://www.mhlw.go.jp/stf/newpage_40211.html</x:v>
      </x:c>
      <x:c r="D8" s="16" t="str">
        <x:v>介護保険料基準額の参考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6daf6c5487984f9d"/>
  </x:tableParts>
</x:worksheet>
</file>