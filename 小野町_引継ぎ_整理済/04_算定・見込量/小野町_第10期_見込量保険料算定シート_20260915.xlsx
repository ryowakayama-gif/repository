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167" fontId="4" fillId="0" borderId="1" applyAlignment="1" pivotButton="0" quotePrefix="0" xfId="0">
      <alignment vertical="top"/>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18" customWidth="1" min="4" max="4"/>
    <col width="60" customWidth="1" min="5" max="5"/>
    <col width="18" customWidth="1" min="6" max="6"/>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5.5332</v>
      </c>
      <c r="D10" s="8" t="inlineStr">
        <is>
          <t>％</t>
        </is>
      </c>
      <c r="E10" s="9" t="inlineStr">
        <is>
          <t>**算式で求めた値。（第1号被保険者負担割合＋5％）－第1号被保険者負担割合×後期高齢者加入割合補正係数×所得段階別加入割合補正係数。**後期高齢者加入割合補正係数は見える化ワークシート（5_保険料推計 96行）の令和9年度0.9558・令和10年度0.9802・令和11年度1.0065、所得段階別加入割合補正係数は0.9959。年度別では6.107％・5.548％・4.945％で、その平均。**基数に総合事業費を含めない**（見える化システムの算式）。第9期計画の公表値では調整交付金見込額216,070千円÷標準給付費見込額3,566,486千円＝6.058％で、同じ算式に補正係数0.974を入れると整合す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c r="F24" s="17" t="n"/>
    </row>
    <row r="25">
      <c r="A25" s="34" t="inlineStr">
        <is>
          <t>段階</t>
        </is>
      </c>
      <c r="B25" s="35" t="inlineStr">
        <is>
          <t>対象</t>
        </is>
      </c>
      <c r="C25" s="34" t="inlineStr">
        <is>
          <t>標準割合（算定用）</t>
        </is>
      </c>
      <c r="D25" s="34" t="inlineStr">
        <is>
          <t>被保険者数（3年計）</t>
        </is>
      </c>
      <c r="E25" s="34" t="inlineStr">
        <is>
          <t>補正後人数</t>
        </is>
      </c>
      <c r="F25" s="34" t="inlineStr">
        <is>
          <t>賦課割合（軽減後）</t>
        </is>
      </c>
    </row>
    <row r="26">
      <c r="A26" s="8" t="inlineStr">
        <is>
          <t>第1段階</t>
        </is>
      </c>
      <c r="B26" s="9" t="inlineStr">
        <is>
          <t>生活保護受給者、老齢福祉年金受給者、住民税非課税世帯かつ年金収入等80万円以下</t>
        </is>
      </c>
      <c r="C26" s="31" t="n">
        <v>0.455</v>
      </c>
      <c r="D26" s="11" t="n">
        <v>1568</v>
      </c>
      <c r="E26" s="21">
        <f>IF(D26="","",C26*D26)</f>
        <v/>
      </c>
      <c r="F26" s="36" t="n">
        <v>0.285</v>
      </c>
    </row>
    <row r="27">
      <c r="A27" s="8" t="inlineStr">
        <is>
          <t>第2段階</t>
        </is>
      </c>
      <c r="B27" s="9" t="inlineStr">
        <is>
          <t>住民税非課税世帯かつ年金収入等80万円超120万円以下</t>
        </is>
      </c>
      <c r="C27" s="31" t="n">
        <v>0.6850000000000001</v>
      </c>
      <c r="D27" s="11" t="n">
        <v>887</v>
      </c>
      <c r="E27" s="21">
        <f>IF(D27="","",C27*D27)</f>
        <v/>
      </c>
      <c r="F27" s="36" t="n">
        <v>0.485</v>
      </c>
    </row>
    <row r="28">
      <c r="A28" s="8" t="inlineStr">
        <is>
          <t>第3段階</t>
        </is>
      </c>
      <c r="B28" s="9" t="inlineStr">
        <is>
          <t>住民税非課税世帯かつ年金収入等120万円超</t>
        </is>
      </c>
      <c r="C28" s="31" t="n">
        <v>0.6899999999999999</v>
      </c>
      <c r="D28" s="11" t="n">
        <v>812</v>
      </c>
      <c r="E28" s="21">
        <f>IF(D28="","",C28*D28)</f>
        <v/>
      </c>
      <c r="F28" s="36" t="n">
        <v>0.6850000000000001</v>
      </c>
    </row>
    <row r="29">
      <c r="A29" s="8" t="inlineStr">
        <is>
          <t>第4段階</t>
        </is>
      </c>
      <c r="B29" s="9" t="inlineStr">
        <is>
          <t>本人非課税かつ世帯課税、年金収入等80万円以下</t>
        </is>
      </c>
      <c r="C29" s="31" t="n">
        <v>0.9</v>
      </c>
      <c r="D29" s="11" t="n">
        <v>1296</v>
      </c>
      <c r="E29" s="21">
        <f>IF(D29="","",C29*D29)</f>
        <v/>
      </c>
      <c r="F29" s="36" t="n">
        <v>0.9</v>
      </c>
    </row>
    <row r="30">
      <c r="A30" s="8" t="inlineStr">
        <is>
          <t>第5段階</t>
        </is>
      </c>
      <c r="B30" s="9" t="inlineStr">
        <is>
          <t>本人非課税かつ世帯課税、年金収入等80万円超</t>
        </is>
      </c>
      <c r="C30" s="31" t="n">
        <v>1</v>
      </c>
      <c r="D30" s="11" t="n">
        <v>1822</v>
      </c>
      <c r="E30" s="21">
        <f>IF(D30="","",C30*D30)</f>
        <v/>
      </c>
      <c r="F30" s="36" t="n">
        <v>1</v>
      </c>
    </row>
    <row r="31">
      <c r="A31" s="8" t="inlineStr">
        <is>
          <t>第6段階</t>
        </is>
      </c>
      <c r="B31" s="9" t="inlineStr">
        <is>
          <t>本人課税、合計所得金額120万円未満</t>
        </is>
      </c>
      <c r="C31" s="31" t="n">
        <v>1.2</v>
      </c>
      <c r="D31" s="11" t="n">
        <v>1467</v>
      </c>
      <c r="E31" s="21">
        <f>IF(D31="","",C31*D31)</f>
        <v/>
      </c>
      <c r="F31" s="36" t="n">
        <v>1.2</v>
      </c>
    </row>
    <row r="32">
      <c r="A32" s="8" t="inlineStr">
        <is>
          <t>第7段階</t>
        </is>
      </c>
      <c r="B32" s="9" t="inlineStr">
        <is>
          <t>本人課税、合計所得金額120万円以上210万円未満</t>
        </is>
      </c>
      <c r="C32" s="31" t="n">
        <v>1.3</v>
      </c>
      <c r="D32" s="11" t="n">
        <v>1249</v>
      </c>
      <c r="E32" s="21">
        <f>IF(D32="","",C32*D32)</f>
        <v/>
      </c>
      <c r="F32" s="36" t="n">
        <v>1.3</v>
      </c>
    </row>
    <row r="33">
      <c r="A33" s="8" t="inlineStr">
        <is>
          <t>第8段階</t>
        </is>
      </c>
      <c r="B33" s="9" t="inlineStr">
        <is>
          <t>本人課税、合計所得金額210万円以上320万円未満</t>
        </is>
      </c>
      <c r="C33" s="31" t="n">
        <v>1.5</v>
      </c>
      <c r="D33" s="11" t="n">
        <v>690</v>
      </c>
      <c r="E33" s="21">
        <f>IF(D33="","",C33*D33)</f>
        <v/>
      </c>
      <c r="F33" s="36" t="n">
        <v>1.5</v>
      </c>
    </row>
    <row r="34">
      <c r="A34" s="8" t="inlineStr">
        <is>
          <t>第9段階</t>
        </is>
      </c>
      <c r="B34" s="9" t="inlineStr">
        <is>
          <t>本人課税、合計所得金額320万円以上420万円未満</t>
        </is>
      </c>
      <c r="C34" s="31" t="n">
        <v>1.7</v>
      </c>
      <c r="D34" s="11" t="n">
        <v>230</v>
      </c>
      <c r="E34" s="21">
        <f>IF(D34="","",C34*D34)</f>
        <v/>
      </c>
      <c r="F34" s="36" t="n">
        <v>1.7</v>
      </c>
    </row>
    <row r="35">
      <c r="A35" s="8" t="inlineStr">
        <is>
          <t>第10段階</t>
        </is>
      </c>
      <c r="B35" s="9" t="inlineStr">
        <is>
          <t>本人課税、合計所得金額420万円以上520万円未満</t>
        </is>
      </c>
      <c r="C35" s="31" t="n">
        <v>1.9</v>
      </c>
      <c r="D35" s="11" t="n">
        <v>108</v>
      </c>
      <c r="E35" s="21">
        <f>IF(D35="","",C35*D35)</f>
        <v/>
      </c>
      <c r="F35" s="36" t="n">
        <v>1.9</v>
      </c>
    </row>
    <row r="36">
      <c r="A36" s="8" t="inlineStr">
        <is>
          <t>第11段階</t>
        </is>
      </c>
      <c r="B36" s="9" t="inlineStr">
        <is>
          <t>本人課税、合計所得金額520万円以上620万円未満</t>
        </is>
      </c>
      <c r="C36" s="31" t="n">
        <v>2.1</v>
      </c>
      <c r="D36" s="11" t="n">
        <v>42</v>
      </c>
      <c r="E36" s="21">
        <f>IF(D36="","",C36*D36)</f>
        <v/>
      </c>
      <c r="F36" s="36" t="n">
        <v>2.1</v>
      </c>
    </row>
    <row r="37">
      <c r="A37" s="8" t="inlineStr">
        <is>
          <t>第12段階</t>
        </is>
      </c>
      <c r="B37" s="9" t="inlineStr">
        <is>
          <t>本人課税、合計所得金額620万円以上720万円未満</t>
        </is>
      </c>
      <c r="C37" s="31" t="n">
        <v>2.3</v>
      </c>
      <c r="D37" s="11" t="n">
        <v>21</v>
      </c>
      <c r="E37" s="21">
        <f>IF(D37="","",C37*D37)</f>
        <v/>
      </c>
      <c r="F37" s="36" t="n">
        <v>2.3</v>
      </c>
    </row>
    <row r="38">
      <c r="A38" s="8" t="inlineStr">
        <is>
          <t>第13段階</t>
        </is>
      </c>
      <c r="B38" s="9" t="inlineStr">
        <is>
          <t>本人課税、合計所得金額720万円以上</t>
        </is>
      </c>
      <c r="C38" s="31" t="n">
        <v>2.4</v>
      </c>
      <c r="D38" s="11" t="n">
        <v>93</v>
      </c>
      <c r="E38" s="21">
        <f>IF(D38="","",C38*D38)</f>
        <v/>
      </c>
      <c r="F38" s="36" t="n">
        <v>2.4</v>
      </c>
    </row>
    <row r="39">
      <c r="A39" s="8" t="inlineStr">
        <is>
          <t>合計</t>
        </is>
      </c>
      <c r="B39" s="9" t="inlineStr"/>
      <c r="C39" s="8" t="inlineStr"/>
      <c r="D39" s="24">
        <f>SUM(D26:D38)</f>
        <v/>
      </c>
      <c r="E39" s="24">
        <f>SUM(E26:E38)</f>
        <v/>
      </c>
      <c r="F39" s="17" t="n"/>
    </row>
    <row r="41">
      <c r="A41" t="inlineStr">
        <is>
          <t>※ **算定に用いる割合は、介護保険法施行令第38条の標準段階の割合（0.455／0.685／0.690／0.9／1.0／1.2／1.3／1.5／1.7／1.9／2.1／2.3／2.4）です。**小野町が実際に賦課する割合は第1〜3段階が0.285／0.485／0.685で、公費による低所得者軽減強化を反映した後のものです（F列）。軽減相当額は国2分の1・県4分の1・町4分の1の公費で補填され、保険料収納必要額から控除されないため、**基準額の算定では軽減前を用います。**見える化システムの「①標準段階区分・割合を用いる場合の入力」の画面でも0.4550／0.6850／0.6900が固定で表示され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補正後人数＝標準割合×被保険者数。この合計÷被保険者数の合計が「所得段階別加入割合補正係数」で、調整交付金の算定にも用います。</t>
        </is>
      </c>
    </row>
    <row r="44">
      <c r="A44" t="inlineStr">
        <is>
          <t>※ **令和7年度末の構成による補正係数は0.9959です。**第9期計画は補正後被保険者数10,136人÷第1号被保険者数10,409人＝0.9738で、当時の9段階の構成に標準割合を当てたものと整合します。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7" t="n"/>
      <c r="C2" s="10" t="n"/>
      <c r="D2" s="10" t="n"/>
      <c r="E2" s="10" t="n"/>
      <c r="F2" s="10" t="n"/>
      <c r="G2" s="10" t="n"/>
      <c r="H2" s="10" t="n"/>
      <c r="I2" s="9" t="inlineStr"/>
    </row>
    <row r="3">
      <c r="A3" s="8" t="inlineStr">
        <is>
          <t>C2 標準（高位）</t>
        </is>
      </c>
      <c r="B3" s="37" t="n"/>
      <c r="C3" s="10" t="n"/>
      <c r="D3" s="10" t="n"/>
      <c r="E3" s="10" t="n"/>
      <c r="F3" s="10" t="n"/>
      <c r="G3" s="10" t="n"/>
      <c r="H3" s="10" t="n"/>
      <c r="I3" s="9" t="inlineStr"/>
    </row>
    <row r="4">
      <c r="A4" s="8" t="inlineStr">
        <is>
          <t>C3 施設整備あり</t>
        </is>
      </c>
      <c r="B4" s="37" t="n"/>
      <c r="C4" s="10" t="n"/>
      <c r="D4" s="10" t="n"/>
      <c r="E4" s="10" t="n"/>
      <c r="F4" s="10" t="n"/>
      <c r="G4" s="10" t="n"/>
      <c r="H4" s="10" t="n"/>
      <c r="I4" s="9" t="inlineStr"/>
    </row>
    <row r="5">
      <c r="A5" s="8" t="inlineStr">
        <is>
          <t>C4 制度改正の影響</t>
        </is>
      </c>
      <c r="B5" s="37" t="n"/>
      <c r="C5" s="10" t="n"/>
      <c r="D5" s="10" t="n"/>
      <c r="E5" s="10" t="n"/>
      <c r="F5" s="10" t="n"/>
      <c r="G5" s="10" t="n"/>
      <c r="H5" s="10" t="n"/>
      <c r="I5" s="9" t="inlineStr"/>
    </row>
    <row r="6">
      <c r="A6" s="8" t="inlineStr">
        <is>
          <t>C5 基金活用</t>
        </is>
      </c>
      <c r="B6" s="37" t="n"/>
      <c r="C6" s="10" t="n"/>
      <c r="D6" s="10" t="n"/>
      <c r="E6" s="10" t="n"/>
      <c r="F6" s="10" t="n"/>
      <c r="G6" s="10" t="n"/>
      <c r="H6" s="10" t="n"/>
      <c r="I6" s="9" t="inlineStr"/>
    </row>
    <row r="7">
      <c r="A7" s="8" t="inlineStr">
        <is>
          <t>C6 保険料据置（逆算）</t>
        </is>
      </c>
      <c r="B7" s="37"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8"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9"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2026-09-25T08:18:07Z</dcterms:created>
  <dcterms:modified xmlns:dcterms="http://purl.org/dc/terms/" xmlns:xsi="http://www.w3.org/2001/XMLSchema-instance" xsi:type="dcterms:W3CDTF">2026-09-25T08:18:29Z</dcterms:modified>
</cp:coreProperties>
</file>