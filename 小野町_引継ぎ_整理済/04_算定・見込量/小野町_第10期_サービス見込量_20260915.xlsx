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試算の読み方" sheetId="1" state="visible" r:id="rId1"/>
    <sheet xmlns:r="http://schemas.openxmlformats.org/officeDocument/2006/relationships" name="01_月報の実績_介護" sheetId="2" state="visible" r:id="rId2"/>
    <sheet xmlns:r="http://schemas.openxmlformats.org/officeDocument/2006/relationships" name="02_月報の実績_予防" sheetId="3" state="visible" r:id="rId3"/>
    <sheet xmlns:r="http://schemas.openxmlformats.org/officeDocument/2006/relationships" name="03_見込量_介護" sheetId="4" state="visible" r:id="rId4"/>
    <sheet xmlns:r="http://schemas.openxmlformats.org/officeDocument/2006/relationships" name="04_見込量_予防" sheetId="5" state="visible" r:id="rId5"/>
    <sheet xmlns:r="http://schemas.openxmlformats.org/officeDocument/2006/relationships" name="05_計画書掲載用" sheetId="6" state="visible" r:id="rId6"/>
    <sheet xmlns:r="http://schemas.openxmlformats.org/officeDocument/2006/relationships" name="06_定員との突合" sheetId="7" state="visible" r:id="rId7"/>
    <sheet xmlns:r="http://schemas.openxmlformats.org/officeDocument/2006/relationships" name="07_基準期間の判定" sheetId="8" state="visible" r:id="rId8"/>
    <sheet xmlns:r="http://schemas.openxmlformats.org/officeDocument/2006/relationships" name="08_地域支援事業費" sheetId="9" state="visible" r:id="rId9"/>
    <sheet xmlns:r="http://schemas.openxmlformats.org/officeDocument/2006/relationships" name="09_据え置いた前提" sheetId="10" state="visible" r:id="rId10"/>
    <sheet xmlns:r="http://schemas.openxmlformats.org/officeDocument/2006/relationships" name="06_突合結果" sheetId="11" state="visible" r:id="rId11"/>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
  </numFmts>
  <fonts count="7">
    <font>
      <name val="Calibri"/>
      <family val="2"/>
      <color theme="1"/>
      <sz val="11"/>
      <scheme val="minor"/>
    </font>
    <font>
      <b val="1"/>
      <sz val="13"/>
    </font>
    <font>
      <b val="1"/>
      <sz val="10"/>
    </font>
    <font>
      <b val="1"/>
      <color rgb="00FFFFFF"/>
      <sz val="9"/>
    </font>
    <font>
      <sz val="11"/>
    </font>
    <font>
      <i val="1"/>
      <sz val="9"/>
    </font>
    <font>
      <b val="1"/>
      <sz val="9"/>
    </font>
  </fonts>
  <fills count="6">
    <fill>
      <patternFill/>
    </fill>
    <fill>
      <patternFill patternType="gray125"/>
    </fill>
    <fill>
      <patternFill patternType="solid">
        <fgColor rgb="00EAF1FB"/>
      </patternFill>
    </fill>
    <fill>
      <patternFill patternType="solid">
        <fgColor rgb="001F3864"/>
      </patternFill>
    </fill>
    <fill>
      <patternFill patternType="solid">
        <fgColor rgb="00FCE4E4"/>
      </patternFill>
    </fill>
    <fill>
      <patternFill patternType="solid">
        <fgColor rgb="00FFE0B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3" fontId="0" fillId="2" borderId="0" applyAlignment="1" pivotButton="0" quotePrefix="0" xfId="0">
      <alignment vertical="top" wrapText="1"/>
    </xf>
    <xf numFmtId="0" fontId="3" fillId="3" borderId="1" applyAlignment="1" pivotButton="0" quotePrefix="0" xfId="0">
      <alignment horizontal="center" vertical="center" wrapText="1"/>
    </xf>
    <xf numFmtId="0" fontId="4" fillId="0" borderId="1" applyAlignment="1" pivotButton="0" quotePrefix="0" xfId="0">
      <alignment vertical="top"/>
    </xf>
    <xf numFmtId="3" fontId="4" fillId="2" borderId="1" applyAlignment="1" pivotButton="0" quotePrefix="0" xfId="0">
      <alignment vertical="top"/>
    </xf>
    <xf numFmtId="4" fontId="4" fillId="4" borderId="1" applyAlignment="1" pivotButton="0" quotePrefix="0" xfId="0">
      <alignment vertical="top"/>
    </xf>
    <xf numFmtId="0" fontId="4" fillId="0" borderId="1" applyAlignment="1" pivotButton="0" quotePrefix="0" xfId="0">
      <alignment vertical="top" wrapText="1"/>
    </xf>
    <xf numFmtId="4" fontId="4" fillId="4" borderId="0" applyAlignment="1" pivotButton="0" quotePrefix="0" xfId="0">
      <alignment vertical="top"/>
    </xf>
    <xf numFmtId="3" fontId="4" fillId="2" borderId="0" applyAlignment="1" pivotButton="0" quotePrefix="0" xfId="0">
      <alignment vertical="top"/>
    </xf>
    <xf numFmtId="0" fontId="5" fillId="0" borderId="0" pivotButton="0" quotePrefix="0" xfId="0"/>
    <xf numFmtId="164" fontId="4" fillId="2" borderId="1" applyAlignment="1" pivotButton="0" quotePrefix="0" xfId="0">
      <alignment vertical="top"/>
    </xf>
    <xf numFmtId="164" fontId="4" fillId="2" borderId="0" applyAlignment="1" pivotButton="0" quotePrefix="0" xfId="0">
      <alignment vertical="top"/>
    </xf>
    <xf numFmtId="0" fontId="4" fillId="5" borderId="1" applyAlignment="1" pivotButton="0" quotePrefix="0" xfId="0">
      <alignment vertical="top"/>
    </xf>
    <xf numFmtId="0" fontId="4" fillId="5" borderId="1" applyAlignment="1" pivotButton="0" quotePrefix="0" xfId="0">
      <alignment vertical="top" wrapText="1"/>
    </xf>
    <xf numFmtId="0" fontId="2" fillId="0" borderId="1"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top" wrapText="1"/>
    </xf>
    <xf numFmtId="0" fontId="6" fillId="4" borderId="1" applyAlignment="1" pivotButton="0" quotePrefix="0" xfId="0">
      <alignment vertical="top"/>
    </xf>
    <xf numFmtId="164" fontId="6" fillId="4" borderId="1" applyAlignment="1" pivotButton="0" quotePrefix="0" xfId="0">
      <alignment vertical="top"/>
    </xf>
    <xf numFmtId="0" fontId="6" fillId="4" borderId="1" applyAlignment="1" pivotButton="0" quotePrefix="0" xfId="0">
      <alignment vertical="top" wrapText="1"/>
    </xf>
    <xf numFmtId="0" fontId="6" fillId="4" borderId="0" applyAlignment="1" pivotButton="0" quotePrefix="0" xfId="0">
      <alignment vertical="top"/>
    </xf>
    <xf numFmtId="3" fontId="6" fillId="4" borderId="1" applyAlignment="1" pivotButton="0" quotePrefix="0" xfId="0">
      <alignment vertical="top"/>
    </xf>
    <xf numFmtId="3" fontId="4" fillId="0" borderId="1" applyAlignment="1" pivotButton="0" quotePrefix="0" xfId="0">
      <alignment vertical="top"/>
    </xf>
    <xf numFmtId="165" fontId="4" fillId="5" borderId="1" applyAlignment="1" pivotButton="0" quotePrefix="0" xfId="0">
      <alignment vertical="top"/>
    </xf>
    <xf numFmtId="3" fontId="4" fillId="0" borderId="0" applyAlignment="1" pivotButton="0" quotePrefix="0" xfId="0">
      <alignment vertical="top"/>
    </xf>
    <xf numFmtId="165" fontId="4" fillId="2" borderId="0" applyAlignment="1" pivotButton="0" quotePrefix="0" xfId="0">
      <alignment vertical="top"/>
    </xf>
    <xf numFmtId="0" fontId="4" fillId="2" borderId="1" applyAlignment="1" pivotButton="0" quotePrefix="0" xfId="0">
      <alignment vertical="top"/>
    </xf>
    <xf numFmtId="165" fontId="4" fillId="2" borderId="1" applyAlignment="1" pivotButton="0" quotePrefix="0" xfId="0">
      <alignment vertical="top"/>
    </xf>
    <xf numFmtId="166" fontId="4" fillId="0" borderId="1" applyAlignment="1" pivotButton="0" quotePrefix="0" xfId="0">
      <alignment vertical="top"/>
    </xf>
    <xf numFmtId="167" fontId="4" fillId="0" borderId="1" applyAlignment="1" pivotButton="0" quotePrefix="0" xfId="0">
      <alignment vertical="top"/>
    </xf>
    <xf numFmtId="167" fontId="4" fillId="0" borderId="0" applyAlignment="1" pivotButton="0" quotePrefix="0" xfId="0">
      <alignment vertical="top"/>
    </xf>
    <xf numFmtId="0" fontId="2" fillId="0" borderId="0" pivotButton="0" quotePrefix="0" xfId="0"/>
    <xf numFmtId="0" fontId="6" fillId="3" borderId="1" applyAlignment="1" pivotButton="0" quotePrefix="0" xfId="0">
      <alignment vertical="top"/>
    </xf>
    <xf numFmtId="0" fontId="6" fillId="3" borderId="1" applyAlignment="1" pivotButton="0" quotePrefix="0" xfId="0">
      <alignment vertical="top" wrapText="1"/>
    </xf>
    <xf numFmtId="3" fontId="4" fillId="2" borderId="1" applyAlignment="1" pivotButton="0" quotePrefix="0" xfId="0">
      <alignment vertical="top" wrapText="1"/>
    </xf>
    <xf numFmtId="0" fontId="6" fillId="0" borderId="1" applyAlignment="1" pivotButton="0" quotePrefix="0" xfId="0">
      <alignment vertical="top"/>
    </xf>
    <xf numFmtId="3" fontId="6" fillId="2" borderId="0" applyAlignment="1" pivotButton="0" quotePrefix="0" xfId="0">
      <alignment vertical="top"/>
    </xf>
    <xf numFmtId="3" fontId="6" fillId="2" borderId="1" applyAlignment="1" pivotButton="0" quotePrefix="0" xfId="0">
      <alignment vertical="top"/>
    </xf>
    <xf numFmtId="3" fontId="6" fillId="2" borderId="0"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 customWidth="1" min="1" max="1"/>
    <col width="34" customWidth="1" min="2" max="2"/>
    <col width="20" customWidth="1" min="3" max="3"/>
    <col width="30" customWidth="1" min="4" max="4"/>
    <col width="14" customWidth="1" min="5" max="5"/>
    <col width="16" customWidth="1" min="6" max="6"/>
  </cols>
  <sheetData>
    <row r="1">
      <c r="A1" s="1" t="inlineStr">
        <is>
          <t>小野町 第10期介護保険事業計画　サービス見込量（回数・日数ベース）</t>
        </is>
      </c>
      <c r="B1" s="2" t="n"/>
      <c r="C1" s="2" t="n"/>
      <c r="D1" s="2" t="n"/>
      <c r="E1" s="2" t="n"/>
      <c r="F1" s="2" t="n"/>
      <c r="G1" s="2" t="n"/>
      <c r="H1" s="2" t="n"/>
    </row>
    <row r="2">
      <c r="A2" s="2" t="inlineStr">
        <is>
          <t>作成 令和8年9月15日／出典 国保連合会業務統計表（月報）令和6・7年度、介護保険事業状況報告（年報）令和3〜7年度</t>
        </is>
      </c>
      <c r="B2" s="2" t="n"/>
      <c r="C2" s="2" t="n"/>
      <c r="D2" s="2" t="n"/>
      <c r="E2" s="2" t="n"/>
      <c r="F2" s="2" t="n"/>
      <c r="G2" s="2" t="n"/>
      <c r="H2" s="2" t="n"/>
    </row>
    <row r="3">
      <c r="A3" s="2" t="n"/>
      <c r="B3" s="2" t="n"/>
      <c r="C3" s="2" t="n"/>
      <c r="D3" s="2" t="n"/>
      <c r="E3" s="2" t="n"/>
      <c r="F3" s="2" t="n"/>
      <c r="G3" s="2" t="n"/>
      <c r="H3" s="2" t="n"/>
    </row>
    <row r="4">
      <c r="A4" s="3" t="inlineStr">
        <is>
          <t>■ なぜ今これができるようになったか</t>
        </is>
      </c>
      <c r="B4" s="2" t="n"/>
      <c r="C4" s="2" t="n"/>
      <c r="D4" s="2" t="n"/>
      <c r="E4" s="2" t="n"/>
      <c r="F4" s="2" t="n"/>
      <c r="G4" s="2" t="n"/>
      <c r="H4" s="2" t="n"/>
    </row>
    <row r="5">
      <c r="A5" s="2" t="inlineStr"/>
      <c r="B5" s="2" t="inlineStr">
        <is>
          <t>令和8年9月14日に国保連月報のExcel版を受領した。既に受領していたCSV版は見出しを持たず行番号で読む必要があったため、</t>
        </is>
      </c>
      <c r="C5" s="2" t="n"/>
      <c r="D5" s="2" t="n"/>
      <c r="E5" s="2" t="n"/>
      <c r="F5" s="2" t="n"/>
      <c r="G5" s="2" t="n"/>
      <c r="H5" s="2" t="n"/>
    </row>
    <row r="6">
      <c r="A6" s="2" t="inlineStr"/>
      <c r="B6" s="2" t="inlineStr">
        <is>
          <t>**日数の帳票（THRK0201 サービス種類別給付状況その2）を使えていなかった。**</t>
        </is>
      </c>
      <c r="C6" s="2" t="n"/>
      <c r="D6" s="2" t="n"/>
      <c r="E6" s="2" t="n"/>
      <c r="F6" s="2" t="n"/>
      <c r="G6" s="2" t="n"/>
      <c r="H6" s="2" t="n"/>
    </row>
    <row r="7">
      <c r="A7" s="2" t="inlineStr"/>
      <c r="B7" s="2" t="inlineStr">
        <is>
          <t>Excel版にはサービス種類別×要介護度別の日数が月次で入っており、令和6・7年度がいずれも12か月そろっている。</t>
        </is>
      </c>
      <c r="C7" s="2" t="n"/>
      <c r="D7" s="2" t="n"/>
      <c r="E7" s="2" t="n"/>
      <c r="F7" s="2" t="n"/>
      <c r="G7" s="2" t="n"/>
      <c r="H7" s="2" t="n"/>
    </row>
    <row r="8">
      <c r="A8" s="2" t="n"/>
      <c r="B8" s="2" t="n"/>
      <c r="C8" s="2" t="n"/>
      <c r="D8" s="2" t="n"/>
      <c r="E8" s="2" t="n"/>
      <c r="F8" s="2" t="n"/>
      <c r="G8" s="2" t="n"/>
      <c r="H8" s="2" t="n"/>
    </row>
    <row r="9">
      <c r="A9" s="3" t="inlineStr">
        <is>
          <t>■ 量の出し方</t>
        </is>
      </c>
      <c r="B9" s="2" t="n"/>
      <c r="C9" s="2" t="n"/>
      <c r="D9" s="2" t="n"/>
      <c r="E9" s="2" t="n"/>
      <c r="F9" s="2" t="n"/>
      <c r="G9" s="2" t="n"/>
      <c r="H9" s="2" t="n"/>
    </row>
    <row r="10">
      <c r="A10" s="2" t="inlineStr"/>
      <c r="B10" s="2" t="inlineStr">
        <is>
          <t>見込量（年） ＝ 見込件数（年） × 基準年度の1件当たり日数</t>
        </is>
      </c>
      <c r="C10" s="2" t="n"/>
      <c r="D10" s="2" t="n"/>
      <c r="E10" s="2" t="n"/>
      <c r="F10" s="2" t="n"/>
      <c r="G10" s="2" t="n"/>
      <c r="H10" s="2" t="n"/>
    </row>
    <row r="11">
      <c r="A11" s="2" t="inlineStr"/>
      <c r="B11" s="2" t="inlineStr">
        <is>
          <t>見込件数は年報から組んだ試算による（第1号被保険者1人当たりの利用率を令和5〜7年度平均で置き、第10期将来推計用推計人口を乗じたもの）。</t>
        </is>
      </c>
      <c r="C11" s="2" t="n"/>
      <c r="D11" s="2" t="n"/>
      <c r="E11" s="2" t="n"/>
      <c r="F11" s="2" t="n"/>
      <c r="G11" s="2" t="n"/>
      <c r="H11" s="2" t="n"/>
    </row>
    <row r="12">
      <c r="A12" s="2" t="inlineStr"/>
      <c r="B12" s="2" t="inlineStr">
        <is>
          <t>1件当たり日数は国保連月報の令和7年度（審査202505〜202604の12か月）による。</t>
        </is>
      </c>
      <c r="C12" s="2" t="n"/>
      <c r="D12" s="2" t="n"/>
      <c r="E12" s="2" t="n"/>
      <c r="F12" s="2" t="n"/>
      <c r="G12" s="2" t="n"/>
      <c r="H12" s="2" t="n"/>
    </row>
    <row r="13">
      <c r="A13" s="2" t="n"/>
      <c r="B13" s="2" t="n"/>
      <c r="C13" s="2" t="n"/>
      <c r="D13" s="2" t="n"/>
      <c r="E13" s="2" t="n"/>
      <c r="F13" s="2" t="n"/>
      <c r="G13" s="2" t="n"/>
      <c r="H13" s="2" t="n"/>
    </row>
    <row r="14">
      <c r="A14" s="3" t="inlineStr">
        <is>
          <t>■ 単位の考え方</t>
        </is>
      </c>
      <c r="B14" s="2" t="n"/>
      <c r="C14" s="2" t="n"/>
      <c r="D14" s="2" t="n"/>
      <c r="E14" s="2" t="n"/>
      <c r="F14" s="2" t="n"/>
      <c r="G14" s="2" t="n"/>
      <c r="H14" s="2" t="n"/>
    </row>
    <row r="15">
      <c r="A15" s="2" t="inlineStr"/>
      <c r="B15" s="2" t="inlineStr">
        <is>
          <t>国保連月報の「日数」は各サービス種類ごとの実日数である（帳票の注記）。</t>
        </is>
      </c>
      <c r="C15" s="2" t="n"/>
      <c r="D15" s="2" t="n"/>
      <c r="E15" s="2" t="n"/>
      <c r="F15" s="2" t="n"/>
      <c r="G15" s="2" t="n"/>
      <c r="H15" s="2" t="n"/>
    </row>
    <row r="16">
      <c r="A16" s="2" t="inlineStr"/>
      <c r="B16" s="2" t="inlineStr">
        <is>
          <t>計画書が回数で表記するサービスについて、日数をそのまま回数とみなせるかを1日当たり単位数で確かめた。</t>
        </is>
      </c>
      <c r="C16" s="2" t="n"/>
      <c r="D16" s="2" t="n"/>
      <c r="E16" s="2" t="n"/>
      <c r="F16" s="2" t="n"/>
      <c r="G16" s="2" t="n"/>
      <c r="H16" s="2" t="n"/>
    </row>
    <row r="17">
      <c r="A17" s="2" t="inlineStr"/>
      <c r="B17" s="2" t="inlineStr">
        <is>
          <t>サービス</t>
        </is>
      </c>
      <c r="C17" s="2" t="inlineStr">
        <is>
          <t>1日当たり単位数</t>
        </is>
      </c>
      <c r="D17" s="2" t="inlineStr">
        <is>
          <t>1回あたりの報酬（目安）</t>
        </is>
      </c>
      <c r="E17" s="2" t="inlineStr">
        <is>
          <t>比</t>
        </is>
      </c>
      <c r="F17" s="2" t="inlineStr">
        <is>
          <t>判定</t>
        </is>
      </c>
      <c r="G17" s="2" t="n"/>
      <c r="H17" s="2" t="n"/>
    </row>
    <row r="18">
      <c r="A18" s="2" t="inlineStr"/>
      <c r="B18" s="2" t="inlineStr">
        <is>
          <t>訪問介護</t>
        </is>
      </c>
      <c r="C18" s="4" t="n">
        <v>429</v>
      </c>
      <c r="D18" s="2" t="inlineStr">
        <is>
          <t>396単位（身体介護30分以上1時間未満）</t>
        </is>
      </c>
      <c r="E18" s="2" t="inlineStr">
        <is>
          <t>1.08</t>
        </is>
      </c>
      <c r="F18" s="2" t="inlineStr">
        <is>
          <t>1日1回が主体</t>
        </is>
      </c>
      <c r="G18" s="2" t="n"/>
      <c r="H18" s="2" t="n"/>
    </row>
    <row r="19">
      <c r="A19" s="2" t="inlineStr"/>
      <c r="B19" s="2" t="inlineStr">
        <is>
          <t>訪問入浴介護</t>
        </is>
      </c>
      <c r="C19" s="4" t="n">
        <v>1373</v>
      </c>
      <c r="D19" s="2" t="inlineStr">
        <is>
          <t>1266単位（訪問入浴介護1回）</t>
        </is>
      </c>
      <c r="E19" s="2" t="inlineStr">
        <is>
          <t>1.08</t>
        </is>
      </c>
      <c r="F19" s="2" t="inlineStr">
        <is>
          <t>1日1回が主体</t>
        </is>
      </c>
      <c r="G19" s="2" t="n"/>
      <c r="H19" s="2" t="n"/>
    </row>
    <row r="20">
      <c r="A20" s="2" t="inlineStr"/>
      <c r="B20" s="2" t="inlineStr">
        <is>
          <t>訪問看護</t>
        </is>
      </c>
      <c r="C20" s="4" t="n">
        <v>876</v>
      </c>
      <c r="D20" s="2" t="inlineStr">
        <is>
          <t>823単位（訪問看護ステーション30分以上1時間未満）</t>
        </is>
      </c>
      <c r="E20" s="2" t="inlineStr">
        <is>
          <t>1.06</t>
        </is>
      </c>
      <c r="F20" s="2" t="inlineStr">
        <is>
          <t>1日1回が主体</t>
        </is>
      </c>
      <c r="G20" s="2" t="n"/>
      <c r="H20" s="2" t="n"/>
    </row>
    <row r="21">
      <c r="A21" s="2" t="inlineStr"/>
      <c r="B21" s="2" t="inlineStr">
        <is>
          <t>通所介護</t>
        </is>
      </c>
      <c r="C21" s="4" t="n">
        <v>941</v>
      </c>
      <c r="D21" s="2" t="inlineStr">
        <is>
          <t>883単位（通常規模7時間以上8時間未満・要介護3）</t>
        </is>
      </c>
      <c r="E21" s="2" t="inlineStr">
        <is>
          <t>1.07</t>
        </is>
      </c>
      <c r="F21" s="2" t="inlineStr">
        <is>
          <t>1日1回が主体</t>
        </is>
      </c>
      <c r="G21" s="2" t="n"/>
      <c r="H21" s="2" t="n"/>
    </row>
    <row r="22">
      <c r="A22" s="2" t="inlineStr"/>
      <c r="B22" s="2" t="inlineStr">
        <is>
          <t>通所リハビリテーション</t>
        </is>
      </c>
      <c r="C22" s="4" t="n">
        <v>844</v>
      </c>
      <c r="D22" s="2" t="inlineStr">
        <is>
          <t>762単位（通常規模6時間以上7時間未満・要介護3）</t>
        </is>
      </c>
      <c r="E22" s="2" t="inlineStr">
        <is>
          <t>1.11</t>
        </is>
      </c>
      <c r="F22" s="2" t="inlineStr">
        <is>
          <t>1日1回が主体</t>
        </is>
      </c>
      <c r="G22" s="2" t="n"/>
      <c r="H22" s="2" t="n"/>
    </row>
    <row r="23">
      <c r="A23" s="2" t="inlineStr"/>
      <c r="B23" s="2" t="inlineStr">
        <is>
          <t>**いずれも1回分の報酬をわずかに上回る水準にとどまる。1日1回が主体である。**</t>
        </is>
      </c>
      <c r="C23" s="2" t="n"/>
      <c r="D23" s="2" t="n"/>
      <c r="E23" s="2" t="n"/>
      <c r="F23" s="2" t="n"/>
      <c r="G23" s="2" t="n"/>
      <c r="H23" s="2" t="n"/>
    </row>
    <row r="24">
      <c r="A24" s="2" t="inlineStr"/>
      <c r="B24" s="2" t="inlineStr">
        <is>
          <t>**したがって訪問系は日数を回数とみなせるが、厳密には回数は日数を1割程度上回る。**</t>
        </is>
      </c>
      <c r="C24" s="2" t="n"/>
      <c r="D24" s="2" t="n"/>
      <c r="E24" s="2" t="n"/>
      <c r="F24" s="2" t="n"/>
      <c r="G24" s="2" t="n"/>
      <c r="H24" s="2" t="n"/>
    </row>
    <row r="25">
      <c r="A25" s="2" t="inlineStr"/>
      <c r="B25" s="2" t="inlineStr">
        <is>
          <t>計画書に回数で載せる場合は、この点を注記する。</t>
        </is>
      </c>
      <c r="C25" s="2" t="n"/>
      <c r="D25" s="2" t="n"/>
      <c r="E25" s="2" t="n"/>
      <c r="F25" s="2" t="n"/>
      <c r="G25" s="2" t="n"/>
      <c r="H25" s="2" t="n"/>
    </row>
    <row r="26">
      <c r="A26" s="2" t="n"/>
      <c r="B26" s="2" t="n"/>
      <c r="C26" s="2" t="n"/>
      <c r="D26" s="2" t="n"/>
      <c r="E26" s="2" t="n"/>
      <c r="F26" s="2" t="n"/>
      <c r="G26" s="2" t="n"/>
      <c r="H26" s="2" t="n"/>
    </row>
    <row r="27">
      <c r="A27" s="3" t="inlineStr">
        <is>
          <t>■ 給付費は年報を使う</t>
        </is>
      </c>
      <c r="B27" s="2" t="n"/>
      <c r="C27" s="2" t="n"/>
      <c r="D27" s="2" t="n"/>
      <c r="E27" s="2" t="n"/>
      <c r="F27" s="2" t="n"/>
      <c r="G27" s="2" t="n"/>
      <c r="H27" s="2" t="n"/>
    </row>
    <row r="28">
      <c r="A28" s="2" t="inlineStr"/>
      <c r="B28" s="2" t="inlineStr">
        <is>
          <t>月報の3区分計（居宅・地域密着型・施設）を年報の様式2 総計と突き合わせた。</t>
        </is>
      </c>
      <c r="C28" s="2" t="n"/>
      <c r="D28" s="2" t="n"/>
      <c r="E28" s="2" t="n"/>
      <c r="F28" s="2" t="n"/>
      <c r="G28" s="2" t="n"/>
      <c r="H28" s="2" t="n"/>
    </row>
    <row r="29">
      <c r="A29" s="2" t="inlineStr"/>
      <c r="B29" s="2" t="inlineStr">
        <is>
          <t>年度</t>
        </is>
      </c>
      <c r="C29" s="2" t="inlineStr">
        <is>
          <t>月報の3区分計</t>
        </is>
      </c>
      <c r="D29" s="2" t="inlineStr">
        <is>
          <t>年報 様式2 総計</t>
        </is>
      </c>
      <c r="E29" s="2" t="inlineStr">
        <is>
          <t>差</t>
        </is>
      </c>
      <c r="F29" s="2" t="inlineStr">
        <is>
          <t>差の率</t>
        </is>
      </c>
      <c r="G29" s="2" t="n"/>
      <c r="H29" s="2" t="n"/>
    </row>
    <row r="30">
      <c r="A30" s="2" t="inlineStr"/>
      <c r="B30" s="2" t="inlineStr">
        <is>
          <t>令和6年度</t>
        </is>
      </c>
      <c r="C30" s="4" t="n">
        <v>1075154636</v>
      </c>
      <c r="D30" s="4" t="n">
        <v>1085998383</v>
      </c>
      <c r="E30" s="4" t="n">
        <v>-10843747</v>
      </c>
      <c r="F30" s="2" t="inlineStr">
        <is>
          <t>-1.00％</t>
        </is>
      </c>
      <c r="G30" s="2" t="n"/>
      <c r="H30" s="2" t="n"/>
    </row>
    <row r="31">
      <c r="A31" s="2" t="inlineStr"/>
      <c r="B31" s="2" t="inlineStr">
        <is>
          <t>令和7年度</t>
        </is>
      </c>
      <c r="C31" s="4" t="n">
        <v>995045765</v>
      </c>
      <c r="D31" s="4" t="n">
        <v>1005144062</v>
      </c>
      <c r="E31" s="4" t="n">
        <v>-10098297</v>
      </c>
      <c r="F31" s="2" t="inlineStr">
        <is>
          <t>-1.00％</t>
        </is>
      </c>
      <c r="G31" s="2" t="n"/>
      <c r="H31" s="2" t="n"/>
    </row>
    <row r="32">
      <c r="A32" s="2" t="inlineStr"/>
      <c r="B32" s="2" t="inlineStr">
        <is>
          <t>**両年度とも▲1.0％で、差の幅がそろっている。系統的な差だが理由が特定できていない。**</t>
        </is>
      </c>
      <c r="C32" s="2" t="n"/>
      <c r="D32" s="2" t="n"/>
      <c r="E32" s="2" t="n"/>
      <c r="F32" s="2" t="n"/>
      <c r="G32" s="2" t="n"/>
      <c r="H32" s="2" t="n"/>
    </row>
    <row r="33">
      <c r="A33" s="2" t="inlineStr"/>
      <c r="B33" s="2" t="inlineStr">
        <is>
          <t>このため月報は1件当たり日数を出すためだけに用い、量の水準と給付費は年報に合わせる。</t>
        </is>
      </c>
      <c r="C33" s="2" t="n"/>
      <c r="D33" s="2" t="n"/>
      <c r="E33" s="2" t="n"/>
      <c r="F33" s="2" t="n"/>
      <c r="G33" s="2" t="n"/>
      <c r="H33" s="2" t="n"/>
    </row>
    <row r="34">
      <c r="A34" s="2" t="inlineStr"/>
      <c r="B34" s="2" t="inlineStr">
        <is>
          <t>差の理由（過誤調整の反映時期、住所地特例の扱い等）は国保連に照会する。</t>
        </is>
      </c>
      <c r="C34" s="2" t="n"/>
      <c r="D34" s="2" t="n"/>
      <c r="E34" s="2" t="n"/>
      <c r="F34" s="2" t="n"/>
      <c r="G34" s="2" t="n"/>
      <c r="H34" s="2" t="n"/>
    </row>
    <row r="35">
      <c r="A35" s="2" t="n"/>
      <c r="B35" s="2" t="n"/>
      <c r="C35" s="2" t="n"/>
      <c r="D35" s="2" t="n"/>
      <c r="E35" s="2" t="n"/>
      <c r="F35" s="2" t="n"/>
      <c r="G35" s="2" t="n"/>
      <c r="H35" s="2" t="n"/>
    </row>
    <row r="36">
      <c r="A36" s="3" t="inlineStr">
        <is>
          <t>■ 趨勢のあるサービスの扱い（判断を要する2件）</t>
        </is>
      </c>
      <c r="B36" s="2" t="n"/>
      <c r="C36" s="2" t="n"/>
      <c r="D36" s="2" t="n"/>
      <c r="E36" s="2" t="n"/>
      <c r="F36" s="2" t="n"/>
      <c r="G36" s="2" t="n"/>
      <c r="H36" s="2" t="n"/>
    </row>
    <row r="37">
      <c r="A37" s="2" t="inlineStr"/>
      <c r="B37" s="2" t="inlineStr">
        <is>
          <t>見込件数は令和5〜7年度の3年平均の利用率で置いている。一方向に動いてきたサービスでは、平均に引き戻される。</t>
        </is>
      </c>
      <c r="C37" s="2" t="n"/>
      <c r="D37" s="2" t="n"/>
      <c r="E37" s="2" t="n"/>
      <c r="F37" s="2" t="n"/>
      <c r="G37" s="2" t="n"/>
      <c r="H37" s="2" t="n"/>
    </row>
    <row r="38">
      <c r="A38" s="2" t="inlineStr"/>
      <c r="B38" s="2" t="inlineStr">
        <is>
          <t>令和7年度実績から15％を超えて動くのは次の2件だけで、残りは±15％に収まっている。</t>
        </is>
      </c>
      <c r="C38" s="2" t="n"/>
      <c r="D38" s="2" t="n"/>
      <c r="E38" s="2" t="n"/>
      <c r="F38" s="2" t="n"/>
      <c r="G38" s="2" t="n"/>
      <c r="H38" s="2" t="n"/>
    </row>
    <row r="39">
      <c r="A39" s="2" t="inlineStr"/>
      <c r="B39" s="2" t="inlineStr">
        <is>
          <t>サービス</t>
        </is>
      </c>
      <c r="C39" s="2" t="inlineStr">
        <is>
          <t>R5</t>
        </is>
      </c>
      <c r="D39" s="2" t="inlineStr">
        <is>
          <t>R6</t>
        </is>
      </c>
      <c r="E39" s="2" t="inlineStr">
        <is>
          <t>R7</t>
        </is>
      </c>
      <c r="F39" s="2" t="inlineStr">
        <is>
          <t>R11見込（3年平均）</t>
        </is>
      </c>
      <c r="G39" s="2" t="inlineStr">
        <is>
          <t>R11見込（R7単年）</t>
        </is>
      </c>
      <c r="H39" s="2" t="inlineStr">
        <is>
          <t>判断</t>
        </is>
      </c>
    </row>
    <row r="40">
      <c r="A40" s="2" t="inlineStr"/>
      <c r="B40" s="2" t="inlineStr">
        <is>
          <t>訪問介護（介護給付）</t>
        </is>
      </c>
      <c r="C40" s="4" t="n">
        <v>958</v>
      </c>
      <c r="D40" s="4" t="n">
        <v>843</v>
      </c>
      <c r="E40" s="4" t="n">
        <v>628</v>
      </c>
      <c r="F40" s="4" t="n">
        <v>795</v>
      </c>
      <c r="G40" s="2" t="n">
        <v>623</v>
      </c>
      <c r="H40" s="2" t="inlineStr">
        <is>
          <t>**一方向に動いている。どちらで置くかを協議会に諮る**</t>
        </is>
      </c>
    </row>
    <row r="41">
      <c r="A41" s="2" t="inlineStr"/>
      <c r="B41" s="2" t="inlineStr">
        <is>
          <t>訪問看護（予防給付）</t>
        </is>
      </c>
      <c r="C41" s="4" t="n">
        <v>48</v>
      </c>
      <c r="D41" s="4" t="n">
        <v>66</v>
      </c>
      <c r="E41" s="4" t="n">
        <v>88</v>
      </c>
      <c r="F41" s="4" t="n">
        <v>66</v>
      </c>
      <c r="G41" s="2" t="n">
        <v>87</v>
      </c>
      <c r="H41" s="2" t="inlineStr">
        <is>
          <t>**一方向に動いている。どちらで置くかを協議会に諮る**</t>
        </is>
      </c>
    </row>
    <row r="42">
      <c r="A42" s="2" t="inlineStr"/>
      <c r="B42" s="2" t="inlineStr">
        <is>
          <t>**訪問介護は958件→843件→628件と減り続けており、3年平均だと令和11年度に795件（＋26.6％）となる。**令和7年度単年で置けば623件（▲0.8％）である。</t>
        </is>
      </c>
      <c r="C42" s="2" t="n"/>
      <c r="D42" s="2" t="n"/>
      <c r="E42" s="2" t="n"/>
      <c r="F42" s="2" t="n"/>
      <c r="G42" s="2" t="n"/>
      <c r="H42" s="2" t="n"/>
    </row>
    <row r="43">
      <c r="A43" s="2" t="inlineStr"/>
      <c r="B43" s="2" t="inlineStr">
        <is>
          <t>**介護予防訪問看護は48件→66件→88件と増え続けており、3年平均だと令和11年度に66件（▲24.7％）となる。**令和7年度単年で置けば87件（▲0.8％）である。</t>
        </is>
      </c>
      <c r="C43" s="2" t="n"/>
      <c r="D43" s="2" t="n"/>
      <c r="E43" s="2" t="n"/>
      <c r="F43" s="2" t="n"/>
      <c r="G43" s="2" t="n"/>
      <c r="H43" s="2" t="n"/>
    </row>
    <row r="44">
      <c r="A44" s="2" t="inlineStr"/>
      <c r="B44" s="2" t="inlineStr">
        <is>
          <t>いずれも給付費に占める割合は小さい（訪問介護3.1％、介護予防訪問看護0.2％）が、計画書に載せる見込量としては説明を要する。</t>
        </is>
      </c>
      <c r="C44" s="2" t="n"/>
      <c r="D44" s="2" t="n"/>
      <c r="E44" s="2" t="n"/>
      <c r="F44" s="2" t="n"/>
      <c r="G44" s="2" t="n"/>
      <c r="H44" s="2" t="n"/>
    </row>
    <row r="45">
      <c r="A45" s="2" t="n"/>
      <c r="B45" s="2" t="n"/>
      <c r="C45" s="2" t="n"/>
      <c r="D45" s="2" t="n"/>
      <c r="E45" s="2" t="n"/>
      <c r="F45" s="2" t="n"/>
      <c r="G45" s="2" t="n"/>
      <c r="H45" s="2" t="n"/>
    </row>
    <row r="46">
      <c r="A46" s="3" t="inlineStr">
        <is>
          <t>■ この試算で決めていないこと</t>
        </is>
      </c>
      <c r="B46" s="2" t="n"/>
      <c r="C46" s="2" t="n"/>
      <c r="D46" s="2" t="n"/>
      <c r="E46" s="2" t="n"/>
      <c r="F46" s="2" t="n"/>
      <c r="G46" s="2" t="n"/>
      <c r="H46" s="2" t="n"/>
    </row>
    <row r="47">
      <c r="A47" s="2" t="inlineStr"/>
      <c r="B47" s="2" t="inlineStr">
        <is>
          <t>1. 訪問系を回数で載せるか日数で載せるか。回数で載せる場合の割増の扱い</t>
        </is>
      </c>
      <c r="C47" s="2" t="n"/>
      <c r="D47" s="2" t="n"/>
      <c r="E47" s="2" t="n"/>
      <c r="F47" s="2" t="n"/>
      <c r="G47" s="2" t="n"/>
      <c r="H47" s="2" t="n"/>
    </row>
    <row r="48">
      <c r="A48" s="2" t="inlineStr"/>
      <c r="B48" s="2" t="inlineStr">
        <is>
          <t>2. 令和9年度の介護報酬改定率。給付費は改定率0.0％で置いている</t>
        </is>
      </c>
      <c r="C48" s="2" t="n"/>
      <c r="D48" s="2" t="n"/>
      <c r="E48" s="2" t="n"/>
      <c r="F48" s="2" t="n"/>
      <c r="G48" s="2" t="n"/>
      <c r="H48" s="2" t="n"/>
    </row>
    <row r="49">
      <c r="A49" s="2" t="inlineStr"/>
      <c r="B49" s="2" t="inlineStr">
        <is>
          <t>3. 施設・居住系の整備方針。整備があれば人数が段差で増える</t>
        </is>
      </c>
      <c r="C49" s="2" t="n"/>
      <c r="D49" s="2" t="n"/>
      <c r="E49" s="2" t="n"/>
      <c r="F49" s="2" t="n"/>
      <c r="G49" s="2" t="n"/>
      <c r="H49" s="2" t="n"/>
    </row>
    <row r="50">
      <c r="A50" s="2" t="n"/>
      <c r="B50" s="2" t="n"/>
      <c r="C50" s="2" t="n"/>
      <c r="D50" s="2" t="n"/>
      <c r="E50" s="2" t="n"/>
      <c r="F50" s="2" t="n"/>
      <c r="G50" s="2" t="n"/>
      <c r="H50" s="2" t="n"/>
    </row>
    <row r="51">
      <c r="A51" s="3" t="inlineStr">
        <is>
          <t>■ 限界</t>
        </is>
      </c>
      <c r="B51" s="2" t="n"/>
      <c r="C51" s="2" t="n"/>
      <c r="D51" s="2" t="n"/>
      <c r="E51" s="2" t="n"/>
      <c r="F51" s="2" t="n"/>
      <c r="G51" s="2" t="n"/>
      <c r="H51" s="2" t="n"/>
    </row>
    <row r="52">
      <c r="A52" s="2" t="inlineStr"/>
      <c r="B52" s="2" t="inlineStr">
        <is>
          <t>**1件当たり日数は令和6・7年度の2年分しかない。**国保連月報が令和6年4月審査分からしかないためである。</t>
        </is>
      </c>
      <c r="C52" s="2" t="n"/>
      <c r="D52" s="2" t="n"/>
      <c r="E52" s="2" t="n"/>
      <c r="F52" s="2" t="n"/>
      <c r="G52" s="2" t="n"/>
      <c r="H52" s="2" t="n"/>
    </row>
    <row r="53">
      <c r="A53" s="2" t="inlineStr"/>
      <c r="B53" s="2" t="inlineStr">
        <is>
          <t>件数・給付費は年報で令和3〜7年度の5年分あるが、日数はこの2年で置くほかない。</t>
        </is>
      </c>
      <c r="C53" s="2" t="n"/>
      <c r="D53" s="2" t="n"/>
      <c r="E53" s="2" t="n"/>
      <c r="F53" s="2" t="n"/>
      <c r="G53" s="2" t="n"/>
      <c r="H53" s="2" t="n"/>
    </row>
    <row r="54">
      <c r="A54" s="2" t="inlineStr"/>
      <c r="B54" s="2" t="inlineStr">
        <is>
          <t>**福祉用具販売と住宅改修は月報のサービス種類にない。**償還払いのため給付統計に計上されない。人数は年報の件数による。</t>
        </is>
      </c>
      <c r="C54" s="2" t="n"/>
      <c r="D54" s="2" t="n"/>
      <c r="E54" s="2" t="n"/>
      <c r="F54" s="2" t="n"/>
      <c r="G54" s="2" t="n"/>
      <c r="H5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8" customWidth="1" min="3" max="3"/>
    <col width="10" customWidth="1" min="4" max="4"/>
    <col width="10" customWidth="1" min="5" max="5"/>
    <col width="10" customWidth="1" min="6" max="6"/>
    <col width="10" customWidth="1" min="7" max="7"/>
    <col width="10" customWidth="1" min="8" max="8"/>
    <col width="10" customWidth="1" min="9" max="9"/>
    <col width="11" customWidth="1" min="10" max="10"/>
    <col width="12" customWidth="1" min="11" max="11"/>
    <col width="42" customWidth="1" min="12" max="12"/>
  </cols>
  <sheetData>
    <row r="1">
      <c r="A1" s="5" t="inlineStr">
        <is>
          <t>区分</t>
        </is>
      </c>
      <c r="B1" s="5" t="inlineStr">
        <is>
          <t>サービス</t>
        </is>
      </c>
      <c r="C1" s="5" t="inlineStr">
        <is>
          <t>計画表記の単位</t>
        </is>
      </c>
      <c r="D1" s="5" t="inlineStr">
        <is>
          <t>R6 件数</t>
        </is>
      </c>
      <c r="E1" s="5" t="inlineStr">
        <is>
          <t>R6 日数</t>
        </is>
      </c>
      <c r="F1" s="5" t="inlineStr">
        <is>
          <t>R6 日数/件</t>
        </is>
      </c>
      <c r="G1" s="5" t="inlineStr">
        <is>
          <t>R7 件数</t>
        </is>
      </c>
      <c r="H1" s="5" t="inlineStr">
        <is>
          <t>R7 日数</t>
        </is>
      </c>
      <c r="I1" s="5" t="inlineStr">
        <is>
          <t>R7 日数/件</t>
        </is>
      </c>
      <c r="J1" s="5" t="inlineStr">
        <is>
          <t>R7 単位数/日</t>
        </is>
      </c>
      <c r="K1" s="5" t="inlineStr">
        <is>
          <t>日数/件の R6→R7</t>
        </is>
      </c>
      <c r="L1" s="5" t="inlineStr">
        <is>
          <t>備考</t>
        </is>
      </c>
    </row>
    <row r="2">
      <c r="A2" s="6" t="inlineStr">
        <is>
          <t>居宅</t>
        </is>
      </c>
      <c r="B2" s="6" t="inlineStr">
        <is>
          <t>訪問介護</t>
        </is>
      </c>
      <c r="C2" s="6" t="inlineStr">
        <is>
          <t>回</t>
        </is>
      </c>
      <c r="D2" s="7" t="n">
        <v>810</v>
      </c>
      <c r="E2" s="7" t="n">
        <v>8712</v>
      </c>
      <c r="F2" s="8" t="n">
        <v>10.75555555555556</v>
      </c>
      <c r="G2" s="7" t="n">
        <v>642</v>
      </c>
      <c r="H2" s="7" t="n">
        <v>7685</v>
      </c>
      <c r="I2" s="8" t="n">
        <v>11.97040498442368</v>
      </c>
      <c r="J2" s="7" t="n">
        <v>429.3724137931035</v>
      </c>
      <c r="K2" s="6" t="inlineStr">
        <is>
          <t>+11.3％</t>
        </is>
      </c>
      <c r="L2" s="9" t="inlineStr"/>
    </row>
    <row r="3">
      <c r="A3" s="6" t="inlineStr">
        <is>
          <t>居宅</t>
        </is>
      </c>
      <c r="B3" s="6" t="inlineStr">
        <is>
          <t>訪問入浴介護</t>
        </is>
      </c>
      <c r="C3" s="6" t="inlineStr">
        <is>
          <t>回</t>
        </is>
      </c>
      <c r="D3" s="7" t="n">
        <v>86</v>
      </c>
      <c r="E3" s="7" t="n">
        <v>337</v>
      </c>
      <c r="F3" s="8" t="n">
        <v>3.918604651162791</v>
      </c>
      <c r="G3" s="7" t="n">
        <v>68</v>
      </c>
      <c r="H3" s="7" t="n">
        <v>263</v>
      </c>
      <c r="I3" s="8" t="n">
        <v>3.867647058823529</v>
      </c>
      <c r="J3" s="7" t="n">
        <v>1372.980988593156</v>
      </c>
      <c r="K3" s="6" t="inlineStr">
        <is>
          <t>-1.3％</t>
        </is>
      </c>
      <c r="L3" s="9" t="inlineStr"/>
    </row>
    <row r="4">
      <c r="A4" s="6" t="inlineStr">
        <is>
          <t>居宅</t>
        </is>
      </c>
      <c r="B4" s="6" t="inlineStr">
        <is>
          <t>訪問看護</t>
        </is>
      </c>
      <c r="C4" s="6" t="inlineStr">
        <is>
          <t>回</t>
        </is>
      </c>
      <c r="D4" s="7" t="n">
        <v>474</v>
      </c>
      <c r="E4" s="7" t="n">
        <v>2380</v>
      </c>
      <c r="F4" s="8" t="n">
        <v>5.021097046413503</v>
      </c>
      <c r="G4" s="7" t="n">
        <v>523</v>
      </c>
      <c r="H4" s="7" t="n">
        <v>2563</v>
      </c>
      <c r="I4" s="8" t="n">
        <v>4.90057361376673</v>
      </c>
      <c r="J4" s="7" t="n">
        <v>875.8478345688646</v>
      </c>
      <c r="K4" s="6" t="inlineStr">
        <is>
          <t>-2.4％</t>
        </is>
      </c>
      <c r="L4" s="9" t="inlineStr"/>
    </row>
    <row r="5">
      <c r="A5" s="6" t="inlineStr">
        <is>
          <t>居宅</t>
        </is>
      </c>
      <c r="B5" s="6" t="inlineStr">
        <is>
          <t>訪問リハビリテーション</t>
        </is>
      </c>
      <c r="C5" s="6" t="inlineStr">
        <is>
          <t>回</t>
        </is>
      </c>
      <c r="D5" s="7" t="n">
        <v>0</v>
      </c>
      <c r="E5" s="7" t="n">
        <v>0</v>
      </c>
      <c r="F5" s="10" t="n"/>
      <c r="G5" s="7" t="n">
        <v>0</v>
      </c>
      <c r="H5" s="7" t="n">
        <v>0</v>
      </c>
      <c r="I5" s="10" t="n"/>
      <c r="J5" s="11" t="n"/>
      <c r="K5" s="6" t="inlineStr">
        <is>
          <t>―</t>
        </is>
      </c>
      <c r="L5" s="9" t="inlineStr"/>
    </row>
    <row r="6">
      <c r="A6" s="6" t="inlineStr">
        <is>
          <t>居宅</t>
        </is>
      </c>
      <c r="B6" s="6" t="inlineStr">
        <is>
          <t>居宅療養管理指導</t>
        </is>
      </c>
      <c r="C6" s="6" t="inlineStr">
        <is>
          <t>人</t>
        </is>
      </c>
      <c r="D6" s="7" t="n">
        <v>251</v>
      </c>
      <c r="E6" s="7" t="n">
        <v>403</v>
      </c>
      <c r="F6" s="8" t="n">
        <v>1.605577689243028</v>
      </c>
      <c r="G6" s="7" t="n">
        <v>192</v>
      </c>
      <c r="H6" s="7" t="n">
        <v>306</v>
      </c>
      <c r="I6" s="8" t="n">
        <v>1.59375</v>
      </c>
      <c r="J6" s="7" t="n">
        <v>309.1601307189542</v>
      </c>
      <c r="K6" s="6" t="inlineStr">
        <is>
          <t>-0.7％</t>
        </is>
      </c>
      <c r="L6" s="9" t="inlineStr">
        <is>
          <t>量は人数のみ。日数は在所日数・貸与日数であり計画書には載せない</t>
        </is>
      </c>
    </row>
    <row r="7">
      <c r="A7" s="6" t="inlineStr">
        <is>
          <t>居宅</t>
        </is>
      </c>
      <c r="B7" s="6" t="inlineStr">
        <is>
          <t>通所介護</t>
        </is>
      </c>
      <c r="C7" s="6" t="inlineStr">
        <is>
          <t>日</t>
        </is>
      </c>
      <c r="D7" s="7" t="n">
        <v>2227</v>
      </c>
      <c r="E7" s="7" t="n">
        <v>19433</v>
      </c>
      <c r="F7" s="8" t="n">
        <v>8.726088908845981</v>
      </c>
      <c r="G7" s="7" t="n">
        <v>2055</v>
      </c>
      <c r="H7" s="7" t="n">
        <v>18082</v>
      </c>
      <c r="I7" s="8" t="n">
        <v>8.799026763990268</v>
      </c>
      <c r="J7" s="7" t="n">
        <v>941.0304169892711</v>
      </c>
      <c r="K7" s="6" t="inlineStr">
        <is>
          <t>+0.8％</t>
        </is>
      </c>
      <c r="L7" s="9" t="inlineStr"/>
    </row>
    <row r="8">
      <c r="A8" s="6" t="inlineStr">
        <is>
          <t>居宅</t>
        </is>
      </c>
      <c r="B8" s="6" t="inlineStr">
        <is>
          <t>通所リハビリテーション</t>
        </is>
      </c>
      <c r="C8" s="6" t="inlineStr">
        <is>
          <t>日</t>
        </is>
      </c>
      <c r="D8" s="7" t="n">
        <v>312</v>
      </c>
      <c r="E8" s="7" t="n">
        <v>2002</v>
      </c>
      <c r="F8" s="8" t="n">
        <v>6.416666666666667</v>
      </c>
      <c r="G8" s="7" t="n">
        <v>311</v>
      </c>
      <c r="H8" s="7" t="n">
        <v>2083</v>
      </c>
      <c r="I8" s="8" t="n">
        <v>6.697749196141479</v>
      </c>
      <c r="J8" s="7" t="n">
        <v>843.6553048487758</v>
      </c>
      <c r="K8" s="6" t="inlineStr">
        <is>
          <t>+4.4％</t>
        </is>
      </c>
      <c r="L8" s="9" t="inlineStr"/>
    </row>
    <row r="9">
      <c r="A9" s="6" t="inlineStr">
        <is>
          <t>居宅</t>
        </is>
      </c>
      <c r="B9" s="6" t="inlineStr">
        <is>
          <t>短期入所生活介護</t>
        </is>
      </c>
      <c r="C9" s="6" t="inlineStr">
        <is>
          <t>日</t>
        </is>
      </c>
      <c r="D9" s="7" t="n">
        <v>343</v>
      </c>
      <c r="E9" s="7" t="n">
        <v>2938</v>
      </c>
      <c r="F9" s="8" t="n">
        <v>8.565597667638484</v>
      </c>
      <c r="G9" s="7" t="n">
        <v>382</v>
      </c>
      <c r="H9" s="7" t="n">
        <v>3602</v>
      </c>
      <c r="I9" s="8" t="n">
        <v>9.429319371727749</v>
      </c>
      <c r="J9" s="7" t="n">
        <v>933.034425319267</v>
      </c>
      <c r="K9" s="6" t="inlineStr">
        <is>
          <t>+10.1％</t>
        </is>
      </c>
      <c r="L9" s="9" t="inlineStr"/>
    </row>
    <row r="10">
      <c r="A10" s="6" t="inlineStr">
        <is>
          <t>居宅</t>
        </is>
      </c>
      <c r="B10" s="6" t="inlineStr">
        <is>
          <t>短期入所療養介護（介護老人保健施設）</t>
        </is>
      </c>
      <c r="C10" s="6" t="inlineStr">
        <is>
          <t>日</t>
        </is>
      </c>
      <c r="D10" s="7" t="n">
        <v>16</v>
      </c>
      <c r="E10" s="7" t="n">
        <v>162</v>
      </c>
      <c r="F10" s="8" t="n">
        <v>10.125</v>
      </c>
      <c r="G10" s="7" t="n">
        <v>26</v>
      </c>
      <c r="H10" s="7" t="n">
        <v>198</v>
      </c>
      <c r="I10" s="8" t="n">
        <v>7.615384615384615</v>
      </c>
      <c r="J10" s="7" t="n">
        <v>1223.727272727273</v>
      </c>
      <c r="K10" s="6" t="inlineStr">
        <is>
          <t>-24.8％</t>
        </is>
      </c>
      <c r="L10" s="9" t="inlineStr"/>
    </row>
    <row r="11">
      <c r="A11" s="6" t="inlineStr">
        <is>
          <t>居宅</t>
        </is>
      </c>
      <c r="B11" s="6" t="inlineStr">
        <is>
          <t>短期入所療養介護（病院等）</t>
        </is>
      </c>
      <c r="C11" s="6" t="inlineStr">
        <is>
          <t>日</t>
        </is>
      </c>
      <c r="D11" s="7" t="n">
        <v>0</v>
      </c>
      <c r="E11" s="7" t="n">
        <v>0</v>
      </c>
      <c r="F11" s="10" t="n"/>
      <c r="G11" s="7" t="n">
        <v>0</v>
      </c>
      <c r="H11" s="7" t="n">
        <v>0</v>
      </c>
      <c r="I11" s="10" t="n"/>
      <c r="J11" s="11" t="n"/>
      <c r="K11" s="6" t="inlineStr">
        <is>
          <t>―</t>
        </is>
      </c>
      <c r="L11" s="9" t="inlineStr"/>
    </row>
    <row r="12">
      <c r="A12" s="6" t="inlineStr">
        <is>
          <t>居宅</t>
        </is>
      </c>
      <c r="B12" s="6" t="inlineStr">
        <is>
          <t>短期入所療養介護（介護医療院）</t>
        </is>
      </c>
      <c r="C12" s="6" t="inlineStr">
        <is>
          <t>日</t>
        </is>
      </c>
      <c r="D12" s="7" t="n">
        <v>0</v>
      </c>
      <c r="E12" s="7" t="n">
        <v>0</v>
      </c>
      <c r="F12" s="10" t="n"/>
      <c r="G12" s="7" t="n">
        <v>0</v>
      </c>
      <c r="H12" s="7" t="n">
        <v>0</v>
      </c>
      <c r="I12" s="10" t="n"/>
      <c r="J12" s="11" t="n"/>
      <c r="K12" s="6" t="inlineStr">
        <is>
          <t>―</t>
        </is>
      </c>
      <c r="L12" s="9" t="inlineStr"/>
    </row>
    <row r="13">
      <c r="A13" s="6" t="inlineStr">
        <is>
          <t>居宅</t>
        </is>
      </c>
      <c r="B13" s="6" t="inlineStr">
        <is>
          <t>福祉用具貸与</t>
        </is>
      </c>
      <c r="C13" s="6" t="inlineStr">
        <is>
          <t>人</t>
        </is>
      </c>
      <c r="D13" s="7" t="n">
        <v>2435</v>
      </c>
      <c r="E13" s="7" t="n">
        <v>71021</v>
      </c>
      <c r="F13" s="8" t="n">
        <v>29.16673511293634</v>
      </c>
      <c r="G13" s="7" t="n">
        <v>2396</v>
      </c>
      <c r="H13" s="7" t="n">
        <v>69716</v>
      </c>
      <c r="I13" s="8" t="n">
        <v>29.09682804674457</v>
      </c>
      <c r="J13" s="7" t="n">
        <v>50.52868781915199</v>
      </c>
      <c r="K13" s="6" t="inlineStr">
        <is>
          <t>-0.2％</t>
        </is>
      </c>
      <c r="L13" s="9" t="inlineStr">
        <is>
          <t>量は人数のみ。日数は在所日数・貸与日数であり計画書には載せない</t>
        </is>
      </c>
    </row>
    <row r="14">
      <c r="A14" s="6" t="inlineStr">
        <is>
          <t>居宅</t>
        </is>
      </c>
      <c r="B14" s="6" t="inlineStr">
        <is>
          <t>特定福祉用具販売</t>
        </is>
      </c>
      <c r="C14" s="6" t="inlineStr">
        <is>
          <t>人</t>
        </is>
      </c>
      <c r="D14" s="7" t="n">
        <v>0</v>
      </c>
      <c r="E14" s="7" t="n">
        <v>0</v>
      </c>
      <c r="F14" s="10" t="n"/>
      <c r="G14" s="7" t="n">
        <v>0</v>
      </c>
      <c r="H14" s="7" t="n">
        <v>0</v>
      </c>
      <c r="I14" s="10" t="n"/>
      <c r="J14" s="11" t="n"/>
      <c r="K14" s="6" t="inlineStr">
        <is>
          <t>―</t>
        </is>
      </c>
      <c r="L14" s="9" t="inlineStr">
        <is>
          <t>**月報のサービス種類にない（償還払い）。人数は年報による**</t>
        </is>
      </c>
    </row>
    <row r="15">
      <c r="A15" s="6" t="inlineStr">
        <is>
          <t>居宅</t>
        </is>
      </c>
      <c r="B15" s="6" t="inlineStr">
        <is>
          <t>住宅改修</t>
        </is>
      </c>
      <c r="C15" s="6" t="inlineStr">
        <is>
          <t>人</t>
        </is>
      </c>
      <c r="D15" s="7" t="n">
        <v>0</v>
      </c>
      <c r="E15" s="7" t="n">
        <v>0</v>
      </c>
      <c r="F15" s="10" t="n"/>
      <c r="G15" s="7" t="n">
        <v>0</v>
      </c>
      <c r="H15" s="7" t="n">
        <v>0</v>
      </c>
      <c r="I15" s="10" t="n"/>
      <c r="J15" s="11" t="n"/>
      <c r="K15" s="6" t="inlineStr">
        <is>
          <t>―</t>
        </is>
      </c>
      <c r="L15" s="9" t="inlineStr">
        <is>
          <t>**月報のサービス種類にない（償還払い）。人数は年報による**</t>
        </is>
      </c>
    </row>
    <row r="16">
      <c r="A16" s="6" t="inlineStr">
        <is>
          <t>居宅</t>
        </is>
      </c>
      <c r="B16" s="6" t="inlineStr">
        <is>
          <t>特定施設入居者生活介護</t>
        </is>
      </c>
      <c r="C16" s="6" t="inlineStr">
        <is>
          <t>人</t>
        </is>
      </c>
      <c r="D16" s="7" t="n">
        <v>50</v>
      </c>
      <c r="E16" s="7" t="n">
        <v>1446</v>
      </c>
      <c r="F16" s="8" t="n">
        <v>28.92</v>
      </c>
      <c r="G16" s="7" t="n">
        <v>43</v>
      </c>
      <c r="H16" s="7" t="n">
        <v>1316</v>
      </c>
      <c r="I16" s="8" t="n">
        <v>30.6046511627907</v>
      </c>
      <c r="J16" s="7" t="n">
        <v>768.3434650455927</v>
      </c>
      <c r="K16" s="6" t="inlineStr">
        <is>
          <t>+5.8％</t>
        </is>
      </c>
      <c r="L16" s="9" t="inlineStr">
        <is>
          <t>量は人数のみ。日数は在所日数・貸与日数であり計画書には載せない</t>
        </is>
      </c>
    </row>
    <row r="17">
      <c r="A17" s="6" t="inlineStr">
        <is>
          <t>居宅</t>
        </is>
      </c>
      <c r="B17" s="6" t="inlineStr">
        <is>
          <t>居宅介護支援・介護予防支援</t>
        </is>
      </c>
      <c r="C17" s="6" t="inlineStr">
        <is>
          <t>人</t>
        </is>
      </c>
      <c r="D17" s="7" t="n">
        <v>3203</v>
      </c>
      <c r="E17" s="7" t="n">
        <v>0</v>
      </c>
      <c r="F17" s="8" t="n">
        <v>0</v>
      </c>
      <c r="G17" s="7" t="n">
        <v>3045</v>
      </c>
      <c r="H17" s="7" t="n">
        <v>0</v>
      </c>
      <c r="I17" s="8" t="n">
        <v>0</v>
      </c>
      <c r="J17" s="11" t="n"/>
      <c r="K17" s="6" t="inlineStr">
        <is>
          <t>―</t>
        </is>
      </c>
      <c r="L17" s="9" t="inlineStr">
        <is>
          <t>量は人数のみ。日数は在所日数・貸与日数であり計画書には載せない</t>
        </is>
      </c>
    </row>
    <row r="18">
      <c r="A18" s="6" t="inlineStr">
        <is>
          <t>地域密着型</t>
        </is>
      </c>
      <c r="B18" s="6" t="inlineStr">
        <is>
          <t>定期巡回・随時対応型訪問介護看護</t>
        </is>
      </c>
      <c r="C18" s="6" t="inlineStr">
        <is>
          <t>人</t>
        </is>
      </c>
      <c r="D18" s="7" t="n">
        <v>30</v>
      </c>
      <c r="E18" s="7" t="n">
        <v>857</v>
      </c>
      <c r="F18" s="8" t="n">
        <v>28.56666666666667</v>
      </c>
      <c r="G18" s="7" t="n">
        <v>0</v>
      </c>
      <c r="H18" s="7" t="n">
        <v>0</v>
      </c>
      <c r="I18" s="10" t="n"/>
      <c r="J18" s="11" t="n"/>
      <c r="K18" s="6" t="inlineStr">
        <is>
          <t>―</t>
        </is>
      </c>
      <c r="L18" s="9" t="inlineStr">
        <is>
          <t>量は人数のみ。日数は在所日数・貸与日数であり計画書には載せない</t>
        </is>
      </c>
    </row>
    <row r="19">
      <c r="A19" s="6" t="inlineStr">
        <is>
          <t>地域密着型</t>
        </is>
      </c>
      <c r="B19" s="6" t="inlineStr">
        <is>
          <t>夜間対応型訪問介護</t>
        </is>
      </c>
      <c r="C19" s="6" t="inlineStr">
        <is>
          <t>人</t>
        </is>
      </c>
      <c r="D19" s="7" t="n">
        <v>0</v>
      </c>
      <c r="E19" s="7" t="n">
        <v>0</v>
      </c>
      <c r="F19" s="10" t="n"/>
      <c r="G19" s="7" t="n">
        <v>0</v>
      </c>
      <c r="H19" s="7" t="n">
        <v>0</v>
      </c>
      <c r="I19" s="10" t="n"/>
      <c r="J19" s="11" t="n"/>
      <c r="K19" s="6" t="inlineStr">
        <is>
          <t>―</t>
        </is>
      </c>
      <c r="L19" s="9" t="inlineStr">
        <is>
          <t>量は人数のみ。日数は在所日数・貸与日数であり計画書には載せない</t>
        </is>
      </c>
    </row>
    <row r="20">
      <c r="A20" s="6" t="inlineStr">
        <is>
          <t>地域密着型</t>
        </is>
      </c>
      <c r="B20" s="6" t="inlineStr">
        <is>
          <t>地域密着型通所介護</t>
        </is>
      </c>
      <c r="C20" s="6" t="inlineStr">
        <is>
          <t>日</t>
        </is>
      </c>
      <c r="D20" s="7" t="n">
        <v>0</v>
      </c>
      <c r="E20" s="7" t="n">
        <v>0</v>
      </c>
      <c r="F20" s="10" t="n"/>
      <c r="G20" s="7" t="n">
        <v>0</v>
      </c>
      <c r="H20" s="7" t="n">
        <v>0</v>
      </c>
      <c r="I20" s="10" t="n"/>
      <c r="J20" s="11" t="n"/>
      <c r="K20" s="6" t="inlineStr">
        <is>
          <t>―</t>
        </is>
      </c>
      <c r="L20" s="9" t="inlineStr"/>
    </row>
    <row r="21">
      <c r="A21" s="6" t="inlineStr">
        <is>
          <t>地域密着型</t>
        </is>
      </c>
      <c r="B21" s="6" t="inlineStr">
        <is>
          <t>認知症対応型通所介護</t>
        </is>
      </c>
      <c r="C21" s="6" t="inlineStr">
        <is>
          <t>日</t>
        </is>
      </c>
      <c r="D21" s="7" t="n">
        <v>93</v>
      </c>
      <c r="E21" s="7" t="n">
        <v>1088</v>
      </c>
      <c r="F21" s="8" t="n">
        <v>11.6989247311828</v>
      </c>
      <c r="G21" s="7" t="n">
        <v>115</v>
      </c>
      <c r="H21" s="7" t="n">
        <v>1087</v>
      </c>
      <c r="I21" s="8" t="n">
        <v>9.452173913043477</v>
      </c>
      <c r="J21" s="7" t="n">
        <v>1214.206991720331</v>
      </c>
      <c r="K21" s="6" t="inlineStr">
        <is>
          <t>-19.2％</t>
        </is>
      </c>
      <c r="L21" s="9" t="inlineStr"/>
    </row>
    <row r="22">
      <c r="A22" s="6" t="inlineStr">
        <is>
          <t>地域密着型</t>
        </is>
      </c>
      <c r="B22" s="6" t="inlineStr">
        <is>
          <t>小規模多機能型居宅介護</t>
        </is>
      </c>
      <c r="C22" s="6" t="inlineStr">
        <is>
          <t>人</t>
        </is>
      </c>
      <c r="D22" s="7" t="n">
        <v>308</v>
      </c>
      <c r="E22" s="7" t="n">
        <v>5475</v>
      </c>
      <c r="F22" s="8" t="n">
        <v>17.77597402597403</v>
      </c>
      <c r="G22" s="7" t="n">
        <v>272</v>
      </c>
      <c r="H22" s="7" t="n">
        <v>4834</v>
      </c>
      <c r="I22" s="8" t="n">
        <v>17.77205882352941</v>
      </c>
      <c r="J22" s="7" t="n">
        <v>1148.281961108813</v>
      </c>
      <c r="K22" s="6" t="inlineStr">
        <is>
          <t>-0.0％</t>
        </is>
      </c>
      <c r="L22" s="9" t="inlineStr">
        <is>
          <t>量は人数のみ。日数は在所日数・貸与日数であり計画書には載せない</t>
        </is>
      </c>
    </row>
    <row r="23">
      <c r="A23" s="6" t="inlineStr">
        <is>
          <t>地域密着型</t>
        </is>
      </c>
      <c r="B23" s="6" t="inlineStr">
        <is>
          <t>認知症対応型共同生活介護</t>
        </is>
      </c>
      <c r="C23" s="6" t="inlineStr">
        <is>
          <t>人</t>
        </is>
      </c>
      <c r="D23" s="7" t="n">
        <v>601</v>
      </c>
      <c r="E23" s="7" t="n">
        <v>17659</v>
      </c>
      <c r="F23" s="8" t="n">
        <v>29.38269550748752</v>
      </c>
      <c r="G23" s="7" t="n">
        <v>543</v>
      </c>
      <c r="H23" s="7" t="n">
        <v>15187</v>
      </c>
      <c r="I23" s="8" t="n">
        <v>27.96869244935543</v>
      </c>
      <c r="J23" s="7" t="n">
        <v>991.1418318298545</v>
      </c>
      <c r="K23" s="6" t="inlineStr">
        <is>
          <t>-4.8％</t>
        </is>
      </c>
      <c r="L23" s="9" t="inlineStr">
        <is>
          <t>量は人数のみ。日数は在所日数・貸与日数であり計画書には載せない</t>
        </is>
      </c>
    </row>
    <row r="24">
      <c r="A24" s="6" t="inlineStr">
        <is>
          <t>地域密着型</t>
        </is>
      </c>
      <c r="B24" s="6" t="inlineStr">
        <is>
          <t>地域密着型特定施設入居者生活介護</t>
        </is>
      </c>
      <c r="C24" s="6" t="inlineStr">
        <is>
          <t>人</t>
        </is>
      </c>
      <c r="D24" s="7" t="n">
        <v>0</v>
      </c>
      <c r="E24" s="7" t="n">
        <v>0</v>
      </c>
      <c r="F24" s="10" t="n"/>
      <c r="G24" s="7" t="n">
        <v>0</v>
      </c>
      <c r="H24" s="7" t="n">
        <v>0</v>
      </c>
      <c r="I24" s="10" t="n"/>
      <c r="J24" s="11" t="n"/>
      <c r="K24" s="6" t="inlineStr">
        <is>
          <t>―</t>
        </is>
      </c>
      <c r="L24" s="9" t="inlineStr">
        <is>
          <t>量は人数のみ。日数は在所日数・貸与日数であり計画書には載せない</t>
        </is>
      </c>
    </row>
    <row r="25">
      <c r="A25" s="6" t="inlineStr">
        <is>
          <t>地域密着型</t>
        </is>
      </c>
      <c r="B25" s="6" t="inlineStr">
        <is>
          <t>地域密着型介護老人福祉施設入所者生活介護</t>
        </is>
      </c>
      <c r="C25" s="6" t="inlineStr">
        <is>
          <t>人</t>
        </is>
      </c>
      <c r="D25" s="7" t="n">
        <v>516</v>
      </c>
      <c r="E25" s="7" t="n">
        <v>15693</v>
      </c>
      <c r="F25" s="8" t="n">
        <v>30.41279069767442</v>
      </c>
      <c r="G25" s="7" t="n">
        <v>494</v>
      </c>
      <c r="H25" s="7" t="n">
        <v>14276</v>
      </c>
      <c r="I25" s="8" t="n">
        <v>28.89878542510121</v>
      </c>
      <c r="J25" s="7" t="n">
        <v>980.4508265620622</v>
      </c>
      <c r="K25" s="6" t="inlineStr">
        <is>
          <t>-5.0％</t>
        </is>
      </c>
      <c r="L25" s="9" t="inlineStr">
        <is>
          <t>量は人数のみ。日数は在所日数・貸与日数であり計画書には載せない</t>
        </is>
      </c>
    </row>
    <row r="26">
      <c r="A26" s="6" t="inlineStr">
        <is>
          <t>地域密着型</t>
        </is>
      </c>
      <c r="B26" s="6" t="inlineStr">
        <is>
          <t>看護小規模多機能型居宅介護</t>
        </is>
      </c>
      <c r="C26" s="6" t="inlineStr">
        <is>
          <t>人</t>
        </is>
      </c>
      <c r="D26" s="7" t="n">
        <v>0</v>
      </c>
      <c r="E26" s="7" t="n">
        <v>0</v>
      </c>
      <c r="F26" s="10" t="n"/>
      <c r="G26" s="7" t="n">
        <v>0</v>
      </c>
      <c r="H26" s="7" t="n">
        <v>0</v>
      </c>
      <c r="I26" s="10" t="n"/>
      <c r="J26" s="11" t="n"/>
      <c r="K26" s="6" t="inlineStr">
        <is>
          <t>―</t>
        </is>
      </c>
      <c r="L26" s="9" t="inlineStr">
        <is>
          <t>量は人数のみ。日数は在所日数・貸与日数であり計画書には載せない</t>
        </is>
      </c>
    </row>
    <row r="27">
      <c r="A27" s="6" t="inlineStr">
        <is>
          <t>施設</t>
        </is>
      </c>
      <c r="B27" s="6" t="inlineStr">
        <is>
          <t>介護老人福祉施設</t>
        </is>
      </c>
      <c r="C27" s="6" t="inlineStr">
        <is>
          <t>人</t>
        </is>
      </c>
      <c r="D27" s="7" t="n">
        <v>870</v>
      </c>
      <c r="E27" s="7" t="n">
        <v>25705</v>
      </c>
      <c r="F27" s="8" t="n">
        <v>29.54597701149425</v>
      </c>
      <c r="G27" s="7" t="n">
        <v>814</v>
      </c>
      <c r="H27" s="7" t="n">
        <v>24173</v>
      </c>
      <c r="I27" s="8" t="n">
        <v>29.6965601965602</v>
      </c>
      <c r="J27" s="7" t="n">
        <v>926.0779381955074</v>
      </c>
      <c r="K27" s="6" t="inlineStr">
        <is>
          <t>+0.5％</t>
        </is>
      </c>
      <c r="L27" s="9" t="inlineStr">
        <is>
          <t>量は人数のみ。日数は在所日数・貸与日数であり計画書には載せない</t>
        </is>
      </c>
    </row>
    <row r="28">
      <c r="A28" s="6" t="inlineStr">
        <is>
          <t>施設</t>
        </is>
      </c>
      <c r="B28" s="6" t="inlineStr">
        <is>
          <t>介護老人保健施設</t>
        </is>
      </c>
      <c r="C28" s="6" t="inlineStr">
        <is>
          <t>人</t>
        </is>
      </c>
      <c r="D28" s="7" t="n">
        <v>420</v>
      </c>
      <c r="E28" s="7" t="n">
        <v>12007</v>
      </c>
      <c r="F28" s="8" t="n">
        <v>28.58809523809524</v>
      </c>
      <c r="G28" s="7" t="n">
        <v>340</v>
      </c>
      <c r="H28" s="7" t="n">
        <v>9810</v>
      </c>
      <c r="I28" s="8" t="n">
        <v>28.85294117647059</v>
      </c>
      <c r="J28" s="7" t="n">
        <v>1048.159429153925</v>
      </c>
      <c r="K28" s="6" t="inlineStr">
        <is>
          <t>+0.9％</t>
        </is>
      </c>
      <c r="L28" s="9" t="inlineStr">
        <is>
          <t>量は人数のみ。日数は在所日数・貸与日数であり計画書には載せない</t>
        </is>
      </c>
    </row>
    <row r="29">
      <c r="A29" s="6" t="inlineStr">
        <is>
          <t>施設</t>
        </is>
      </c>
      <c r="B29" s="6" t="inlineStr">
        <is>
          <t>介護療養型医療施設</t>
        </is>
      </c>
      <c r="C29" s="6" t="inlineStr">
        <is>
          <t>人</t>
        </is>
      </c>
      <c r="D29" s="7" t="n">
        <v>0</v>
      </c>
      <c r="E29" s="7" t="n">
        <v>0</v>
      </c>
      <c r="F29" s="10" t="n"/>
      <c r="G29" s="7" t="n">
        <v>0</v>
      </c>
      <c r="H29" s="7" t="n">
        <v>0</v>
      </c>
      <c r="I29" s="10" t="n"/>
      <c r="J29" s="11" t="n"/>
      <c r="K29" s="6" t="inlineStr">
        <is>
          <t>―</t>
        </is>
      </c>
      <c r="L29" s="9" t="inlineStr">
        <is>
          <t>量は人数のみ。日数は在所日数・貸与日数であり計画書には載せない</t>
        </is>
      </c>
    </row>
    <row r="30">
      <c r="A30" s="6" t="inlineStr">
        <is>
          <t>施設</t>
        </is>
      </c>
      <c r="B30" s="6" t="inlineStr">
        <is>
          <t>介護医療院</t>
        </is>
      </c>
      <c r="C30" s="6" t="inlineStr">
        <is>
          <t>人</t>
        </is>
      </c>
      <c r="D30" s="7" t="n">
        <v>2</v>
      </c>
      <c r="E30" s="7" t="n">
        <v>59</v>
      </c>
      <c r="F30" s="8" t="n">
        <v>29.5</v>
      </c>
      <c r="G30" s="7" t="n">
        <v>14</v>
      </c>
      <c r="H30" s="7" t="n">
        <v>378</v>
      </c>
      <c r="I30" s="8" t="n">
        <v>27</v>
      </c>
      <c r="J30" s="7" t="n">
        <v>1281.219576719577</v>
      </c>
      <c r="K30" s="6" t="inlineStr">
        <is>
          <t>-8.5％</t>
        </is>
      </c>
      <c r="L30" s="9" t="inlineStr">
        <is>
          <t>量は人数のみ。日数は在所日数・貸与日数であり計画書には載せない</t>
        </is>
      </c>
    </row>
    <row r="32">
      <c r="A32" s="12" t="inlineStr">
        <is>
          <t>※ 介護給付（要介護1〜5）。国保連月報による。令和6年度は審査12か月、令和7年度は審査12か月（いずれも提供月ベースで12か月）。</t>
        </is>
      </c>
    </row>
    <row r="33">
      <c r="A33" s="12" t="inlineStr">
        <is>
          <t>※ 「日数/件」は1件（＝1人が1か月そのサービスを使ったとき）当たりの実日数。**これに見込件数を乗じて見込量を出す。**</t>
        </is>
      </c>
    </row>
    <row r="34">
      <c r="A34" s="12" t="inlineStr">
        <is>
          <t>※ 「単位数/日」は1日当たりの報酬単位数。1回分の報酬と比べて1日何回使っているかの手がかり。</t>
        </is>
      </c>
    </row>
    <row r="35">
      <c r="A35" s="12" t="inlineStr">
        <is>
          <t>※ 短期利用の区分（認知症対応型共同生活介護（短期）など）は本体に合算した。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8" customWidth="1" min="3" max="3"/>
    <col width="10" customWidth="1" min="4" max="4"/>
    <col width="10" customWidth="1" min="5" max="5"/>
    <col width="10" customWidth="1" min="6" max="6"/>
    <col width="10" customWidth="1" min="7" max="7"/>
    <col width="10" customWidth="1" min="8" max="8"/>
    <col width="10" customWidth="1" min="9" max="9"/>
    <col width="11" customWidth="1" min="10" max="10"/>
    <col width="12" customWidth="1" min="11" max="11"/>
    <col width="42" customWidth="1" min="12" max="12"/>
  </cols>
  <sheetData>
    <row r="1">
      <c r="A1" s="5" t="inlineStr">
        <is>
          <t>区分</t>
        </is>
      </c>
      <c r="B1" s="5" t="inlineStr">
        <is>
          <t>サービス</t>
        </is>
      </c>
      <c r="C1" s="5" t="inlineStr">
        <is>
          <t>計画表記の単位</t>
        </is>
      </c>
      <c r="D1" s="5" t="inlineStr">
        <is>
          <t>R6 件数</t>
        </is>
      </c>
      <c r="E1" s="5" t="inlineStr">
        <is>
          <t>R6 日数</t>
        </is>
      </c>
      <c r="F1" s="5" t="inlineStr">
        <is>
          <t>R6 日数/件</t>
        </is>
      </c>
      <c r="G1" s="5" t="inlineStr">
        <is>
          <t>R7 件数</t>
        </is>
      </c>
      <c r="H1" s="5" t="inlineStr">
        <is>
          <t>R7 日数</t>
        </is>
      </c>
      <c r="I1" s="5" t="inlineStr">
        <is>
          <t>R7 日数/件</t>
        </is>
      </c>
      <c r="J1" s="5" t="inlineStr">
        <is>
          <t>R7 単位数/日</t>
        </is>
      </c>
      <c r="K1" s="5" t="inlineStr">
        <is>
          <t>日数/件の R6→R7</t>
        </is>
      </c>
      <c r="L1" s="5" t="inlineStr">
        <is>
          <t>備考</t>
        </is>
      </c>
    </row>
    <row r="2">
      <c r="A2" s="6" t="inlineStr">
        <is>
          <t>居宅</t>
        </is>
      </c>
      <c r="B2" s="6" t="inlineStr">
        <is>
          <t>訪問介護</t>
        </is>
      </c>
      <c r="C2" s="6" t="inlineStr">
        <is>
          <t>回</t>
        </is>
      </c>
      <c r="D2" s="7" t="n">
        <v>0</v>
      </c>
      <c r="E2" s="7" t="n">
        <v>0</v>
      </c>
      <c r="F2" s="10" t="n"/>
      <c r="G2" s="7" t="n">
        <v>0</v>
      </c>
      <c r="H2" s="7" t="n">
        <v>0</v>
      </c>
      <c r="I2" s="10" t="n"/>
      <c r="J2" s="11" t="n"/>
      <c r="K2" s="6" t="inlineStr">
        <is>
          <t>―</t>
        </is>
      </c>
      <c r="L2" s="9" t="inlineStr"/>
    </row>
    <row r="3">
      <c r="A3" s="6" t="inlineStr">
        <is>
          <t>居宅</t>
        </is>
      </c>
      <c r="B3" s="6" t="inlineStr">
        <is>
          <t>訪問入浴介護</t>
        </is>
      </c>
      <c r="C3" s="6" t="inlineStr">
        <is>
          <t>回</t>
        </is>
      </c>
      <c r="D3" s="7" t="n">
        <v>0</v>
      </c>
      <c r="E3" s="7" t="n">
        <v>0</v>
      </c>
      <c r="F3" s="10" t="n"/>
      <c r="G3" s="7" t="n">
        <v>0</v>
      </c>
      <c r="H3" s="7" t="n">
        <v>0</v>
      </c>
      <c r="I3" s="10" t="n"/>
      <c r="J3" s="11" t="n"/>
      <c r="K3" s="6" t="inlineStr">
        <is>
          <t>―</t>
        </is>
      </c>
      <c r="L3" s="9" t="inlineStr"/>
    </row>
    <row r="4">
      <c r="A4" s="6" t="inlineStr">
        <is>
          <t>居宅</t>
        </is>
      </c>
      <c r="B4" s="6" t="inlineStr">
        <is>
          <t>訪問看護</t>
        </is>
      </c>
      <c r="C4" s="6" t="inlineStr">
        <is>
          <t>回</t>
        </is>
      </c>
      <c r="D4" s="7" t="n">
        <v>68</v>
      </c>
      <c r="E4" s="7" t="n">
        <v>293</v>
      </c>
      <c r="F4" s="8" t="n">
        <v>4.308823529411764</v>
      </c>
      <c r="G4" s="7" t="n">
        <v>79</v>
      </c>
      <c r="H4" s="7" t="n">
        <v>308</v>
      </c>
      <c r="I4" s="8" t="n">
        <v>3.89873417721519</v>
      </c>
      <c r="J4" s="7" t="n">
        <v>703.538961038961</v>
      </c>
      <c r="K4" s="6" t="inlineStr">
        <is>
          <t>-9.5％</t>
        </is>
      </c>
      <c r="L4" s="9" t="inlineStr"/>
    </row>
    <row r="5">
      <c r="A5" s="6" t="inlineStr">
        <is>
          <t>居宅</t>
        </is>
      </c>
      <c r="B5" s="6" t="inlineStr">
        <is>
          <t>訪問リハビリテーション</t>
        </is>
      </c>
      <c r="C5" s="6" t="inlineStr">
        <is>
          <t>回</t>
        </is>
      </c>
      <c r="D5" s="7" t="n">
        <v>0</v>
      </c>
      <c r="E5" s="7" t="n">
        <v>0</v>
      </c>
      <c r="F5" s="10" t="n"/>
      <c r="G5" s="7" t="n">
        <v>0</v>
      </c>
      <c r="H5" s="7" t="n">
        <v>0</v>
      </c>
      <c r="I5" s="10" t="n"/>
      <c r="J5" s="11" t="n"/>
      <c r="K5" s="6" t="inlineStr">
        <is>
          <t>―</t>
        </is>
      </c>
      <c r="L5" s="9" t="inlineStr"/>
    </row>
    <row r="6">
      <c r="A6" s="6" t="inlineStr">
        <is>
          <t>居宅</t>
        </is>
      </c>
      <c r="B6" s="6" t="inlineStr">
        <is>
          <t>居宅療養管理指導</t>
        </is>
      </c>
      <c r="C6" s="6" t="inlineStr">
        <is>
          <t>人</t>
        </is>
      </c>
      <c r="D6" s="7" t="n">
        <v>23</v>
      </c>
      <c r="E6" s="7" t="n">
        <v>45</v>
      </c>
      <c r="F6" s="8" t="n">
        <v>1.956521739130435</v>
      </c>
      <c r="G6" s="7" t="n">
        <v>25</v>
      </c>
      <c r="H6" s="7" t="n">
        <v>49</v>
      </c>
      <c r="I6" s="8" t="n">
        <v>1.96</v>
      </c>
      <c r="J6" s="7" t="n">
        <v>300.1632653061225</v>
      </c>
      <c r="K6" s="6" t="inlineStr">
        <is>
          <t>+0.2％</t>
        </is>
      </c>
      <c r="L6" s="9" t="inlineStr">
        <is>
          <t>量は人数のみ。日数は在所日数・貸与日数であり計画書には載せない</t>
        </is>
      </c>
    </row>
    <row r="7">
      <c r="A7" s="6" t="inlineStr">
        <is>
          <t>居宅</t>
        </is>
      </c>
      <c r="B7" s="6" t="inlineStr">
        <is>
          <t>通所介護</t>
        </is>
      </c>
      <c r="C7" s="6" t="inlineStr">
        <is>
          <t>日</t>
        </is>
      </c>
      <c r="D7" s="7" t="n">
        <v>0</v>
      </c>
      <c r="E7" s="7" t="n">
        <v>0</v>
      </c>
      <c r="F7" s="10" t="n"/>
      <c r="G7" s="7" t="n">
        <v>0</v>
      </c>
      <c r="H7" s="7" t="n">
        <v>0</v>
      </c>
      <c r="I7" s="10" t="n"/>
      <c r="J7" s="11" t="n"/>
      <c r="K7" s="6" t="inlineStr">
        <is>
          <t>―</t>
        </is>
      </c>
      <c r="L7" s="9" t="inlineStr"/>
    </row>
    <row r="8">
      <c r="A8" s="6" t="inlineStr">
        <is>
          <t>居宅</t>
        </is>
      </c>
      <c r="B8" s="6" t="inlineStr">
        <is>
          <t>通所リハビリテーション</t>
        </is>
      </c>
      <c r="C8" s="6" t="inlineStr">
        <is>
          <t>日</t>
        </is>
      </c>
      <c r="D8" s="7" t="n">
        <v>281</v>
      </c>
      <c r="E8" s="7" t="n">
        <v>1830</v>
      </c>
      <c r="F8" s="8" t="n">
        <v>6.512455516014235</v>
      </c>
      <c r="G8" s="7" t="n">
        <v>335</v>
      </c>
      <c r="H8" s="7" t="n">
        <v>2116</v>
      </c>
      <c r="I8" s="8" t="n">
        <v>6.316417910447761</v>
      </c>
      <c r="J8" s="7" t="n">
        <v>629.3440453686201</v>
      </c>
      <c r="K8" s="6" t="inlineStr">
        <is>
          <t>-3.0％</t>
        </is>
      </c>
      <c r="L8" s="9" t="inlineStr"/>
    </row>
    <row r="9">
      <c r="A9" s="6" t="inlineStr">
        <is>
          <t>居宅</t>
        </is>
      </c>
      <c r="B9" s="6" t="inlineStr">
        <is>
          <t>短期入所生活介護</t>
        </is>
      </c>
      <c r="C9" s="6" t="inlineStr">
        <is>
          <t>日</t>
        </is>
      </c>
      <c r="D9" s="7" t="n">
        <v>3</v>
      </c>
      <c r="E9" s="7" t="n">
        <v>8</v>
      </c>
      <c r="F9" s="8" t="n">
        <v>2.666666666666667</v>
      </c>
      <c r="G9" s="7" t="n">
        <v>10</v>
      </c>
      <c r="H9" s="7" t="n">
        <v>52</v>
      </c>
      <c r="I9" s="8" t="n">
        <v>5.2</v>
      </c>
      <c r="J9" s="7" t="n">
        <v>766.4807692307693</v>
      </c>
      <c r="K9" s="6" t="inlineStr">
        <is>
          <t>+95.0％</t>
        </is>
      </c>
      <c r="L9" s="9" t="inlineStr"/>
    </row>
    <row r="10">
      <c r="A10" s="6" t="inlineStr">
        <is>
          <t>居宅</t>
        </is>
      </c>
      <c r="B10" s="6" t="inlineStr">
        <is>
          <t>短期入所療養介護（介護老人保健施設）</t>
        </is>
      </c>
      <c r="C10" s="6" t="inlineStr">
        <is>
          <t>日</t>
        </is>
      </c>
      <c r="D10" s="7" t="n">
        <v>0</v>
      </c>
      <c r="E10" s="7" t="n">
        <v>0</v>
      </c>
      <c r="F10" s="10" t="n"/>
      <c r="G10" s="7" t="n">
        <v>1</v>
      </c>
      <c r="H10" s="7" t="n">
        <v>5</v>
      </c>
      <c r="I10" s="8" t="n">
        <v>5</v>
      </c>
      <c r="J10" s="7" t="n">
        <v>1111.2</v>
      </c>
      <c r="K10" s="6" t="inlineStr">
        <is>
          <t>―</t>
        </is>
      </c>
      <c r="L10" s="9" t="inlineStr"/>
    </row>
    <row r="11">
      <c r="A11" s="6" t="inlineStr">
        <is>
          <t>居宅</t>
        </is>
      </c>
      <c r="B11" s="6" t="inlineStr">
        <is>
          <t>短期入所療養介護（病院等）</t>
        </is>
      </c>
      <c r="C11" s="6" t="inlineStr">
        <is>
          <t>日</t>
        </is>
      </c>
      <c r="D11" s="7" t="n">
        <v>0</v>
      </c>
      <c r="E11" s="7" t="n">
        <v>0</v>
      </c>
      <c r="F11" s="10" t="n"/>
      <c r="G11" s="7" t="n">
        <v>0</v>
      </c>
      <c r="H11" s="7" t="n">
        <v>0</v>
      </c>
      <c r="I11" s="10" t="n"/>
      <c r="J11" s="11" t="n"/>
      <c r="K11" s="6" t="inlineStr">
        <is>
          <t>―</t>
        </is>
      </c>
      <c r="L11" s="9" t="inlineStr"/>
    </row>
    <row r="12">
      <c r="A12" s="6" t="inlineStr">
        <is>
          <t>居宅</t>
        </is>
      </c>
      <c r="B12" s="6" t="inlineStr">
        <is>
          <t>短期入所療養介護（介護医療院）</t>
        </is>
      </c>
      <c r="C12" s="6" t="inlineStr">
        <is>
          <t>日</t>
        </is>
      </c>
      <c r="D12" s="7" t="n">
        <v>0</v>
      </c>
      <c r="E12" s="7" t="n">
        <v>0</v>
      </c>
      <c r="F12" s="10" t="n"/>
      <c r="G12" s="7" t="n">
        <v>0</v>
      </c>
      <c r="H12" s="7" t="n">
        <v>0</v>
      </c>
      <c r="I12" s="10" t="n"/>
      <c r="J12" s="11" t="n"/>
      <c r="K12" s="6" t="inlineStr">
        <is>
          <t>―</t>
        </is>
      </c>
      <c r="L12" s="9" t="inlineStr"/>
    </row>
    <row r="13">
      <c r="A13" s="6" t="inlineStr">
        <is>
          <t>居宅</t>
        </is>
      </c>
      <c r="B13" s="6" t="inlineStr">
        <is>
          <t>福祉用具貸与</t>
        </is>
      </c>
      <c r="C13" s="6" t="inlineStr">
        <is>
          <t>人</t>
        </is>
      </c>
      <c r="D13" s="7" t="n">
        <v>607</v>
      </c>
      <c r="E13" s="7" t="n">
        <v>18061</v>
      </c>
      <c r="F13" s="8" t="n">
        <v>29.75453047775947</v>
      </c>
      <c r="G13" s="7" t="n">
        <v>697</v>
      </c>
      <c r="H13" s="7" t="n">
        <v>20727</v>
      </c>
      <c r="I13" s="8" t="n">
        <v>29.73744619799139</v>
      </c>
      <c r="J13" s="7" t="n">
        <v>32.84739711487432</v>
      </c>
      <c r="K13" s="6" t="inlineStr">
        <is>
          <t>-0.1％</t>
        </is>
      </c>
      <c r="L13" s="9" t="inlineStr">
        <is>
          <t>量は人数のみ。日数は在所日数・貸与日数であり計画書には載せない</t>
        </is>
      </c>
    </row>
    <row r="14">
      <c r="A14" s="6" t="inlineStr">
        <is>
          <t>居宅</t>
        </is>
      </c>
      <c r="B14" s="6" t="inlineStr">
        <is>
          <t>特定福祉用具販売</t>
        </is>
      </c>
      <c r="C14" s="6" t="inlineStr">
        <is>
          <t>人</t>
        </is>
      </c>
      <c r="D14" s="7" t="n">
        <v>0</v>
      </c>
      <c r="E14" s="7" t="n">
        <v>0</v>
      </c>
      <c r="F14" s="10" t="n"/>
      <c r="G14" s="7" t="n">
        <v>0</v>
      </c>
      <c r="H14" s="7" t="n">
        <v>0</v>
      </c>
      <c r="I14" s="10" t="n"/>
      <c r="J14" s="11" t="n"/>
      <c r="K14" s="6" t="inlineStr">
        <is>
          <t>―</t>
        </is>
      </c>
      <c r="L14" s="9" t="inlineStr">
        <is>
          <t>**月報のサービス種類にない（償還払い）。人数は年報による**</t>
        </is>
      </c>
    </row>
    <row r="15">
      <c r="A15" s="6" t="inlineStr">
        <is>
          <t>居宅</t>
        </is>
      </c>
      <c r="B15" s="6" t="inlineStr">
        <is>
          <t>住宅改修</t>
        </is>
      </c>
      <c r="C15" s="6" t="inlineStr">
        <is>
          <t>人</t>
        </is>
      </c>
      <c r="D15" s="7" t="n">
        <v>0</v>
      </c>
      <c r="E15" s="7" t="n">
        <v>0</v>
      </c>
      <c r="F15" s="10" t="n"/>
      <c r="G15" s="7" t="n">
        <v>0</v>
      </c>
      <c r="H15" s="7" t="n">
        <v>0</v>
      </c>
      <c r="I15" s="10" t="n"/>
      <c r="J15" s="11" t="n"/>
      <c r="K15" s="6" t="inlineStr">
        <is>
          <t>―</t>
        </is>
      </c>
      <c r="L15" s="9" t="inlineStr">
        <is>
          <t>**月報のサービス種類にない（償還払い）。人数は年報による**</t>
        </is>
      </c>
    </row>
    <row r="16">
      <c r="A16" s="6" t="inlineStr">
        <is>
          <t>居宅</t>
        </is>
      </c>
      <c r="B16" s="6" t="inlineStr">
        <is>
          <t>特定施設入居者生活介護</t>
        </is>
      </c>
      <c r="C16" s="6" t="inlineStr">
        <is>
          <t>人</t>
        </is>
      </c>
      <c r="D16" s="7" t="n">
        <v>0</v>
      </c>
      <c r="E16" s="7" t="n">
        <v>0</v>
      </c>
      <c r="F16" s="10" t="n"/>
      <c r="G16" s="7" t="n">
        <v>0</v>
      </c>
      <c r="H16" s="7" t="n">
        <v>0</v>
      </c>
      <c r="I16" s="10" t="n"/>
      <c r="J16" s="11" t="n"/>
      <c r="K16" s="6" t="inlineStr">
        <is>
          <t>―</t>
        </is>
      </c>
      <c r="L16" s="9" t="inlineStr">
        <is>
          <t>量は人数のみ。日数は在所日数・貸与日数であり計画書には載せない</t>
        </is>
      </c>
    </row>
    <row r="17">
      <c r="A17" s="6" t="inlineStr">
        <is>
          <t>居宅</t>
        </is>
      </c>
      <c r="B17" s="6" t="inlineStr">
        <is>
          <t>居宅介護支援・介護予防支援</t>
        </is>
      </c>
      <c r="C17" s="6" t="inlineStr">
        <is>
          <t>人</t>
        </is>
      </c>
      <c r="D17" s="7" t="n">
        <v>809</v>
      </c>
      <c r="E17" s="7" t="n">
        <v>0</v>
      </c>
      <c r="F17" s="8" t="n">
        <v>0</v>
      </c>
      <c r="G17" s="7" t="n">
        <v>931</v>
      </c>
      <c r="H17" s="7" t="n">
        <v>0</v>
      </c>
      <c r="I17" s="8" t="n">
        <v>0</v>
      </c>
      <c r="J17" s="11" t="n"/>
      <c r="K17" s="6" t="inlineStr">
        <is>
          <t>―</t>
        </is>
      </c>
      <c r="L17" s="9" t="inlineStr">
        <is>
          <t>量は人数のみ。日数は在所日数・貸与日数であり計画書には載せない</t>
        </is>
      </c>
    </row>
    <row r="18">
      <c r="A18" s="6" t="inlineStr">
        <is>
          <t>地域密着型</t>
        </is>
      </c>
      <c r="B18" s="6" t="inlineStr">
        <is>
          <t>定期巡回・随時対応型訪問介護看護</t>
        </is>
      </c>
      <c r="C18" s="6" t="inlineStr">
        <is>
          <t>人</t>
        </is>
      </c>
      <c r="D18" s="7" t="n">
        <v>0</v>
      </c>
      <c r="E18" s="7" t="n">
        <v>0</v>
      </c>
      <c r="F18" s="10" t="n"/>
      <c r="G18" s="7" t="n">
        <v>0</v>
      </c>
      <c r="H18" s="7" t="n">
        <v>0</v>
      </c>
      <c r="I18" s="10" t="n"/>
      <c r="J18" s="11" t="n"/>
      <c r="K18" s="6" t="inlineStr">
        <is>
          <t>―</t>
        </is>
      </c>
      <c r="L18" s="9" t="inlineStr">
        <is>
          <t>量は人数のみ。日数は在所日数・貸与日数であり計画書には載せない</t>
        </is>
      </c>
    </row>
    <row r="19">
      <c r="A19" s="6" t="inlineStr">
        <is>
          <t>地域密着型</t>
        </is>
      </c>
      <c r="B19" s="6" t="inlineStr">
        <is>
          <t>夜間対応型訪問介護</t>
        </is>
      </c>
      <c r="C19" s="6" t="inlineStr">
        <is>
          <t>人</t>
        </is>
      </c>
      <c r="D19" s="7" t="n">
        <v>0</v>
      </c>
      <c r="E19" s="7" t="n">
        <v>0</v>
      </c>
      <c r="F19" s="10" t="n"/>
      <c r="G19" s="7" t="n">
        <v>0</v>
      </c>
      <c r="H19" s="7" t="n">
        <v>0</v>
      </c>
      <c r="I19" s="10" t="n"/>
      <c r="J19" s="11" t="n"/>
      <c r="K19" s="6" t="inlineStr">
        <is>
          <t>―</t>
        </is>
      </c>
      <c r="L19" s="9" t="inlineStr">
        <is>
          <t>量は人数のみ。日数は在所日数・貸与日数であり計画書には載せない</t>
        </is>
      </c>
    </row>
    <row r="20">
      <c r="A20" s="6" t="inlineStr">
        <is>
          <t>地域密着型</t>
        </is>
      </c>
      <c r="B20" s="6" t="inlineStr">
        <is>
          <t>地域密着型通所介護</t>
        </is>
      </c>
      <c r="C20" s="6" t="inlineStr">
        <is>
          <t>日</t>
        </is>
      </c>
      <c r="D20" s="7" t="n">
        <v>0</v>
      </c>
      <c r="E20" s="7" t="n">
        <v>0</v>
      </c>
      <c r="F20" s="10" t="n"/>
      <c r="G20" s="7" t="n">
        <v>0</v>
      </c>
      <c r="H20" s="7" t="n">
        <v>0</v>
      </c>
      <c r="I20" s="10" t="n"/>
      <c r="J20" s="11" t="n"/>
      <c r="K20" s="6" t="inlineStr">
        <is>
          <t>―</t>
        </is>
      </c>
      <c r="L20" s="9" t="inlineStr"/>
    </row>
    <row r="21">
      <c r="A21" s="6" t="inlineStr">
        <is>
          <t>地域密着型</t>
        </is>
      </c>
      <c r="B21" s="6" t="inlineStr">
        <is>
          <t>認知症対応型通所介護</t>
        </is>
      </c>
      <c r="C21" s="6" t="inlineStr">
        <is>
          <t>日</t>
        </is>
      </c>
      <c r="D21" s="7" t="n">
        <v>0</v>
      </c>
      <c r="E21" s="7" t="n">
        <v>0</v>
      </c>
      <c r="F21" s="10" t="n"/>
      <c r="G21" s="7" t="n">
        <v>0</v>
      </c>
      <c r="H21" s="7" t="n">
        <v>0</v>
      </c>
      <c r="I21" s="10" t="n"/>
      <c r="J21" s="11" t="n"/>
      <c r="K21" s="6" t="inlineStr">
        <is>
          <t>―</t>
        </is>
      </c>
      <c r="L21" s="9" t="inlineStr"/>
    </row>
    <row r="22">
      <c r="A22" s="6" t="inlineStr">
        <is>
          <t>地域密着型</t>
        </is>
      </c>
      <c r="B22" s="6" t="inlineStr">
        <is>
          <t>小規模多機能型居宅介護</t>
        </is>
      </c>
      <c r="C22" s="6" t="inlineStr">
        <is>
          <t>人</t>
        </is>
      </c>
      <c r="D22" s="7" t="n">
        <v>90</v>
      </c>
      <c r="E22" s="7" t="n">
        <v>938</v>
      </c>
      <c r="F22" s="8" t="n">
        <v>10.42222222222222</v>
      </c>
      <c r="G22" s="7" t="n">
        <v>91</v>
      </c>
      <c r="H22" s="7" t="n">
        <v>999</v>
      </c>
      <c r="I22" s="8" t="n">
        <v>10.97802197802198</v>
      </c>
      <c r="J22" s="7" t="n">
        <v>808.5615615615616</v>
      </c>
      <c r="K22" s="6" t="inlineStr">
        <is>
          <t>+5.3％</t>
        </is>
      </c>
      <c r="L22" s="9" t="inlineStr">
        <is>
          <t>量は人数のみ。日数は在所日数・貸与日数であり計画書には載せない</t>
        </is>
      </c>
    </row>
    <row r="23">
      <c r="A23" s="6" t="inlineStr">
        <is>
          <t>地域密着型</t>
        </is>
      </c>
      <c r="B23" s="6" t="inlineStr">
        <is>
          <t>認知症対応型共同生活介護</t>
        </is>
      </c>
      <c r="C23" s="6" t="inlineStr">
        <is>
          <t>人</t>
        </is>
      </c>
      <c r="D23" s="7" t="n">
        <v>36</v>
      </c>
      <c r="E23" s="7" t="n">
        <v>1043</v>
      </c>
      <c r="F23" s="8" t="n">
        <v>28.97222222222222</v>
      </c>
      <c r="G23" s="7" t="n">
        <v>14</v>
      </c>
      <c r="H23" s="7" t="n">
        <v>406</v>
      </c>
      <c r="I23" s="8" t="n">
        <v>29</v>
      </c>
      <c r="J23" s="7" t="n">
        <v>872.0320197044335</v>
      </c>
      <c r="K23" s="6" t="inlineStr">
        <is>
          <t>+0.1％</t>
        </is>
      </c>
      <c r="L23" s="9" t="inlineStr">
        <is>
          <t>量は人数のみ。日数は在所日数・貸与日数であり計画書には載せない</t>
        </is>
      </c>
    </row>
    <row r="24">
      <c r="A24" s="6" t="inlineStr">
        <is>
          <t>地域密着型</t>
        </is>
      </c>
      <c r="B24" s="6" t="inlineStr">
        <is>
          <t>地域密着型特定施設入居者生活介護</t>
        </is>
      </c>
      <c r="C24" s="6" t="inlineStr">
        <is>
          <t>人</t>
        </is>
      </c>
      <c r="D24" s="7" t="n">
        <v>0</v>
      </c>
      <c r="E24" s="7" t="n">
        <v>0</v>
      </c>
      <c r="F24" s="10" t="n"/>
      <c r="G24" s="7" t="n">
        <v>0</v>
      </c>
      <c r="H24" s="7" t="n">
        <v>0</v>
      </c>
      <c r="I24" s="10" t="n"/>
      <c r="J24" s="11" t="n"/>
      <c r="K24" s="6" t="inlineStr">
        <is>
          <t>―</t>
        </is>
      </c>
      <c r="L24" s="9" t="inlineStr">
        <is>
          <t>量は人数のみ。日数は在所日数・貸与日数であり計画書には載せない</t>
        </is>
      </c>
    </row>
    <row r="25">
      <c r="A25" s="6" t="inlineStr">
        <is>
          <t>地域密着型</t>
        </is>
      </c>
      <c r="B25" s="6" t="inlineStr">
        <is>
          <t>地域密着型介護老人福祉施設入所者生活介護</t>
        </is>
      </c>
      <c r="C25" s="6" t="inlineStr">
        <is>
          <t>人</t>
        </is>
      </c>
      <c r="D25" s="7" t="n">
        <v>0</v>
      </c>
      <c r="E25" s="7" t="n">
        <v>0</v>
      </c>
      <c r="F25" s="10" t="n"/>
      <c r="G25" s="7" t="n">
        <v>0</v>
      </c>
      <c r="H25" s="7" t="n">
        <v>0</v>
      </c>
      <c r="I25" s="10" t="n"/>
      <c r="J25" s="11" t="n"/>
      <c r="K25" s="6" t="inlineStr">
        <is>
          <t>―</t>
        </is>
      </c>
      <c r="L25" s="9" t="inlineStr">
        <is>
          <t>量は人数のみ。日数は在所日数・貸与日数であり計画書には載せない</t>
        </is>
      </c>
    </row>
    <row r="26">
      <c r="A26" s="6" t="inlineStr">
        <is>
          <t>地域密着型</t>
        </is>
      </c>
      <c r="B26" s="6" t="inlineStr">
        <is>
          <t>看護小規模多機能型居宅介護</t>
        </is>
      </c>
      <c r="C26" s="6" t="inlineStr">
        <is>
          <t>人</t>
        </is>
      </c>
      <c r="D26" s="7" t="n">
        <v>0</v>
      </c>
      <c r="E26" s="7" t="n">
        <v>0</v>
      </c>
      <c r="F26" s="10" t="n"/>
      <c r="G26" s="7" t="n">
        <v>0</v>
      </c>
      <c r="H26" s="7" t="n">
        <v>0</v>
      </c>
      <c r="I26" s="10" t="n"/>
      <c r="J26" s="11" t="n"/>
      <c r="K26" s="6" t="inlineStr">
        <is>
          <t>―</t>
        </is>
      </c>
      <c r="L26" s="9" t="inlineStr">
        <is>
          <t>量は人数のみ。日数は在所日数・貸与日数であり計画書には載せない</t>
        </is>
      </c>
    </row>
    <row r="27">
      <c r="A27" s="6" t="inlineStr">
        <is>
          <t>施設</t>
        </is>
      </c>
      <c r="B27" s="6" t="inlineStr">
        <is>
          <t>介護老人福祉施設</t>
        </is>
      </c>
      <c r="C27" s="6" t="inlineStr">
        <is>
          <t>人</t>
        </is>
      </c>
      <c r="D27" s="7" t="n">
        <v>0</v>
      </c>
      <c r="E27" s="7" t="n">
        <v>0</v>
      </c>
      <c r="F27" s="10" t="n"/>
      <c r="G27" s="7" t="n">
        <v>0</v>
      </c>
      <c r="H27" s="7" t="n">
        <v>0</v>
      </c>
      <c r="I27" s="10" t="n"/>
      <c r="J27" s="11" t="n"/>
      <c r="K27" s="6" t="inlineStr">
        <is>
          <t>―</t>
        </is>
      </c>
      <c r="L27" s="9" t="inlineStr">
        <is>
          <t>量は人数のみ。日数は在所日数・貸与日数であり計画書には載せない</t>
        </is>
      </c>
    </row>
    <row r="28">
      <c r="A28" s="6" t="inlineStr">
        <is>
          <t>施設</t>
        </is>
      </c>
      <c r="B28" s="6" t="inlineStr">
        <is>
          <t>介護老人保健施設</t>
        </is>
      </c>
      <c r="C28" s="6" t="inlineStr">
        <is>
          <t>人</t>
        </is>
      </c>
      <c r="D28" s="7" t="n">
        <v>0</v>
      </c>
      <c r="E28" s="7" t="n">
        <v>0</v>
      </c>
      <c r="F28" s="10" t="n"/>
      <c r="G28" s="7" t="n">
        <v>0</v>
      </c>
      <c r="H28" s="7" t="n">
        <v>0</v>
      </c>
      <c r="I28" s="10" t="n"/>
      <c r="J28" s="11" t="n"/>
      <c r="K28" s="6" t="inlineStr">
        <is>
          <t>―</t>
        </is>
      </c>
      <c r="L28" s="9" t="inlineStr">
        <is>
          <t>量は人数のみ。日数は在所日数・貸与日数であり計画書には載せない</t>
        </is>
      </c>
    </row>
    <row r="29">
      <c r="A29" s="6" t="inlineStr">
        <is>
          <t>施設</t>
        </is>
      </c>
      <c r="B29" s="6" t="inlineStr">
        <is>
          <t>介護療養型医療施設</t>
        </is>
      </c>
      <c r="C29" s="6" t="inlineStr">
        <is>
          <t>人</t>
        </is>
      </c>
      <c r="D29" s="7" t="n">
        <v>0</v>
      </c>
      <c r="E29" s="7" t="n">
        <v>0</v>
      </c>
      <c r="F29" s="10" t="n"/>
      <c r="G29" s="7" t="n">
        <v>0</v>
      </c>
      <c r="H29" s="7" t="n">
        <v>0</v>
      </c>
      <c r="I29" s="10" t="n"/>
      <c r="J29" s="11" t="n"/>
      <c r="K29" s="6" t="inlineStr">
        <is>
          <t>―</t>
        </is>
      </c>
      <c r="L29" s="9" t="inlineStr">
        <is>
          <t>量は人数のみ。日数は在所日数・貸与日数であり計画書には載せない</t>
        </is>
      </c>
    </row>
    <row r="30">
      <c r="A30" s="6" t="inlineStr">
        <is>
          <t>施設</t>
        </is>
      </c>
      <c r="B30" s="6" t="inlineStr">
        <is>
          <t>介護医療院</t>
        </is>
      </c>
      <c r="C30" s="6" t="inlineStr">
        <is>
          <t>人</t>
        </is>
      </c>
      <c r="D30" s="7" t="n">
        <v>0</v>
      </c>
      <c r="E30" s="7" t="n">
        <v>0</v>
      </c>
      <c r="F30" s="10" t="n"/>
      <c r="G30" s="7" t="n">
        <v>0</v>
      </c>
      <c r="H30" s="7" t="n">
        <v>0</v>
      </c>
      <c r="I30" s="10" t="n"/>
      <c r="J30" s="11" t="n"/>
      <c r="K30" s="6" t="inlineStr">
        <is>
          <t>―</t>
        </is>
      </c>
      <c r="L30" s="9" t="inlineStr">
        <is>
          <t>量は人数のみ。日数は在所日数・貸与日数であり計画書には載せない</t>
        </is>
      </c>
    </row>
    <row r="32">
      <c r="A32" s="12" t="inlineStr">
        <is>
          <t>※ 予防給付（要支援1・2）。国保連月報による。令和6年度は審査12か月、令和7年度は審査12か月（いずれも提供月ベースで12か月）。</t>
        </is>
      </c>
    </row>
    <row r="33">
      <c r="A33" s="12" t="inlineStr">
        <is>
          <t>※ 「日数/件」は1件（＝1人が1か月そのサービスを使ったとき）当たりの実日数。**これに見込件数を乗じて見込量を出す。**</t>
        </is>
      </c>
    </row>
    <row r="34">
      <c r="A34" s="12" t="inlineStr">
        <is>
          <t>※ 「単位数/日」は1日当たりの報酬単位数。1回分の報酬と比べて1日何回使っているかの手がかり。</t>
        </is>
      </c>
    </row>
    <row r="35">
      <c r="A35" s="12" t="inlineStr">
        <is>
          <t>※ 短期利用の区分（認知症対応型共同生活介護（短期）など）は本体に合算した。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 customWidth="1" min="3" max="3"/>
    <col width="11" customWidth="1" min="4" max="4"/>
    <col width="11" customWidth="1" min="5" max="5"/>
    <col width="11" customWidth="1" min="6" max="6"/>
    <col width="12" customWidth="1" min="7" max="7"/>
    <col width="12" customWidth="1" min="8" max="8"/>
    <col width="11" customWidth="1" min="9" max="9"/>
    <col width="10" customWidth="1" min="10" max="10"/>
    <col width="11" customWidth="1" min="11" max="11"/>
    <col width="13" customWidth="1" min="12" max="12"/>
    <col width="10" customWidth="1" min="13" max="13"/>
    <col width="11" customWidth="1" min="14" max="14"/>
    <col width="13" customWidth="1" min="15" max="15"/>
    <col width="10" customWidth="1" min="16" max="16"/>
    <col width="11" customWidth="1" min="17" max="17"/>
    <col width="13" customWidth="1" min="18" max="18"/>
    <col width="10" customWidth="1" min="19" max="19"/>
    <col width="38" customWidth="1" min="20" max="20"/>
  </cols>
  <sheetData>
    <row r="1">
      <c r="A1" s="5" t="inlineStr">
        <is>
          <t>区分</t>
        </is>
      </c>
      <c r="B1" s="5" t="inlineStr">
        <is>
          <t>サービス</t>
        </is>
      </c>
      <c r="C1" s="5" t="inlineStr">
        <is>
          <t>単位</t>
        </is>
      </c>
      <c r="D1" s="5" t="inlineStr">
        <is>
          <t>R7 日数/件</t>
        </is>
      </c>
      <c r="E1" s="5" t="inlineStr">
        <is>
          <t>R7実績 人/月</t>
        </is>
      </c>
      <c r="F1" s="5" t="inlineStr">
        <is>
          <t>R7実績 量/月</t>
        </is>
      </c>
      <c r="G1" s="5" t="inlineStr">
        <is>
          <t>R7 単価(円/件)</t>
        </is>
      </c>
      <c r="H1" s="5" t="inlineStr">
        <is>
          <t>見込単価(円/件)</t>
        </is>
      </c>
      <c r="I1" s="5" t="inlineStr">
        <is>
          <t>単価の乖離</t>
        </is>
      </c>
      <c r="J1" s="5" t="inlineStr">
        <is>
          <t>9年度 人/月</t>
        </is>
      </c>
      <c r="K1" s="5" t="inlineStr">
        <is>
          <t>9年度 量/月</t>
        </is>
      </c>
      <c r="L1" s="5" t="inlineStr">
        <is>
          <t>9年度 給付費(千円)</t>
        </is>
      </c>
      <c r="M1" s="5" t="inlineStr">
        <is>
          <t>10年度 人/月</t>
        </is>
      </c>
      <c r="N1" s="5" t="inlineStr">
        <is>
          <t>10年度 量/月</t>
        </is>
      </c>
      <c r="O1" s="5" t="inlineStr">
        <is>
          <t>10年度 給付費(千円)</t>
        </is>
      </c>
      <c r="P1" s="5" t="inlineStr">
        <is>
          <t>11年度 人/月</t>
        </is>
      </c>
      <c r="Q1" s="5" t="inlineStr">
        <is>
          <t>11年度 量/月</t>
        </is>
      </c>
      <c r="R1" s="5" t="inlineStr">
        <is>
          <t>11年度 給付費(千円)</t>
        </is>
      </c>
      <c r="S1" s="5" t="inlineStr">
        <is>
          <t>R7→R11</t>
        </is>
      </c>
      <c r="T1" s="5" t="inlineStr">
        <is>
          <t>備考</t>
        </is>
      </c>
    </row>
    <row r="2">
      <c r="A2" s="6" t="inlineStr">
        <is>
          <t>居宅</t>
        </is>
      </c>
      <c r="B2" s="6" t="inlineStr">
        <is>
          <t>訪問介護</t>
        </is>
      </c>
      <c r="C2" s="6" t="inlineStr">
        <is>
          <t>回</t>
        </is>
      </c>
      <c r="D2" s="8" t="n">
        <v>11.97040498442368</v>
      </c>
      <c r="E2" s="13" t="n">
        <v>52.33333333333334</v>
      </c>
      <c r="F2" s="13" t="n">
        <v>640.4166666666666</v>
      </c>
      <c r="G2" s="7" t="n">
        <v>47368.45222929936</v>
      </c>
      <c r="H2" s="7" t="n">
        <v>40829.54580638403</v>
      </c>
      <c r="I2" s="6" t="inlineStr">
        <is>
          <t>-13.8％</t>
        </is>
      </c>
      <c r="J2" s="13" t="n">
        <v>66.6591627718322</v>
      </c>
      <c r="K2" s="13" t="n">
        <v>797.9371743014493</v>
      </c>
      <c r="L2" s="7" t="n">
        <v>32659.96007769278</v>
      </c>
      <c r="M2" s="13" t="n">
        <v>66.46527340949412</v>
      </c>
      <c r="N2" s="13" t="n">
        <v>795.6162401120908</v>
      </c>
      <c r="O2" s="7" t="n">
        <v>32564.96310248135</v>
      </c>
      <c r="P2" s="13" t="n">
        <v>66.27138404715605</v>
      </c>
      <c r="Q2" s="13" t="n">
        <v>793.2953059227324</v>
      </c>
      <c r="R2" s="7" t="n">
        <v>32469.96612726991</v>
      </c>
      <c r="S2" s="6" t="inlineStr">
        <is>
          <t>+23.9％</t>
        </is>
      </c>
      <c r="T2" s="9" t="inlineStr">
        <is>
          <t>**見込単価が令和7年度実績から10％を超えて離れる。単価も一方向に動いてきたため、3年平均が実績から離れる。件数と単価が逆方向に動くと給付費では打ち消し合う**</t>
        </is>
      </c>
    </row>
    <row r="3">
      <c r="A3" s="6" t="inlineStr">
        <is>
          <t>居宅</t>
        </is>
      </c>
      <c r="B3" s="6" t="inlineStr">
        <is>
          <t>訪問入浴介護</t>
        </is>
      </c>
      <c r="C3" s="6" t="inlineStr">
        <is>
          <t>回</t>
        </is>
      </c>
      <c r="D3" s="8" t="n">
        <v>3.867647058823529</v>
      </c>
      <c r="E3" s="13" t="n">
        <v>5.666666666666667</v>
      </c>
      <c r="F3" s="13" t="n">
        <v>21.91666666666667</v>
      </c>
      <c r="G3" s="7" t="n">
        <v>46623.72058823529</v>
      </c>
      <c r="H3" s="7" t="n">
        <v>46220.48962172807</v>
      </c>
      <c r="I3" s="6" t="inlineStr">
        <is>
          <t>-0.9％</t>
        </is>
      </c>
      <c r="J3" s="13" t="n">
        <v>6.534012965975934</v>
      </c>
      <c r="K3" s="13" t="n">
        <v>25.27125603017163</v>
      </c>
      <c r="L3" s="7" t="n">
        <v>3624.063341785528</v>
      </c>
      <c r="M3" s="13" t="n">
        <v>6.515007692660123</v>
      </c>
      <c r="N3" s="13" t="n">
        <v>25.19775034072959</v>
      </c>
      <c r="O3" s="7" t="n">
        <v>3613.522145328909</v>
      </c>
      <c r="P3" s="13" t="n">
        <v>6.496002419344311</v>
      </c>
      <c r="Q3" s="13" t="n">
        <v>25.12424465128755</v>
      </c>
      <c r="R3" s="7" t="n">
        <v>3602.98094887229</v>
      </c>
      <c r="S3" s="6" t="inlineStr">
        <is>
          <t>+14.6％</t>
        </is>
      </c>
      <c r="T3" s="9" t="inlineStr"/>
    </row>
    <row r="4">
      <c r="A4" s="6" t="inlineStr">
        <is>
          <t>居宅</t>
        </is>
      </c>
      <c r="B4" s="6" t="inlineStr">
        <is>
          <t>訪問看護</t>
        </is>
      </c>
      <c r="C4" s="6" t="inlineStr">
        <is>
          <t>回</t>
        </is>
      </c>
      <c r="D4" s="8" t="n">
        <v>4.90057361376673</v>
      </c>
      <c r="E4" s="13" t="n">
        <v>43.25</v>
      </c>
      <c r="F4" s="13" t="n">
        <v>213.5833333333333</v>
      </c>
      <c r="G4" s="7" t="n">
        <v>38895.64739884393</v>
      </c>
      <c r="H4" s="7" t="n">
        <v>38895.64739884393</v>
      </c>
      <c r="I4" s="6" t="inlineStr">
        <is>
          <t>+0.0％</t>
        </is>
      </c>
      <c r="J4" s="13" t="n">
        <v>43.18719140284636</v>
      </c>
      <c r="K4" s="13" t="n">
        <v>211.6420106414822</v>
      </c>
      <c r="L4" s="7" t="n">
        <v>20157.52522741795</v>
      </c>
      <c r="M4" s="13" t="n">
        <v>43.06157420853907</v>
      </c>
      <c r="N4" s="13" t="n">
        <v>211.0264143336245</v>
      </c>
      <c r="O4" s="7" t="n">
        <v>20098.89368225385</v>
      </c>
      <c r="P4" s="13" t="n">
        <v>42.93595701423178</v>
      </c>
      <c r="Q4" s="13" t="n">
        <v>210.4108180257668</v>
      </c>
      <c r="R4" s="7" t="n">
        <v>20040.26213708975</v>
      </c>
      <c r="S4" s="6" t="inlineStr">
        <is>
          <t>-1.5％</t>
        </is>
      </c>
      <c r="T4" s="9" t="inlineStr"/>
    </row>
    <row r="5">
      <c r="A5" s="6" t="inlineStr">
        <is>
          <t>居宅</t>
        </is>
      </c>
      <c r="B5" s="6" t="inlineStr">
        <is>
          <t>訪問リハビリテーション</t>
        </is>
      </c>
      <c r="C5" s="6" t="inlineStr">
        <is>
          <t>回</t>
        </is>
      </c>
      <c r="D5" s="8" t="n">
        <v>0</v>
      </c>
      <c r="E5" s="13" t="n">
        <v>0</v>
      </c>
      <c r="F5" s="13" t="n">
        <v>0</v>
      </c>
      <c r="G5" s="11" t="n"/>
      <c r="H5" s="11" t="n"/>
      <c r="I5" s="6" t="inlineStr">
        <is>
          <t>―</t>
        </is>
      </c>
      <c r="J5" s="13" t="n">
        <v>0</v>
      </c>
      <c r="K5" s="13" t="n">
        <v>0</v>
      </c>
      <c r="L5" s="7" t="n">
        <v>0</v>
      </c>
      <c r="M5" s="13" t="n">
        <v>0</v>
      </c>
      <c r="N5" s="13" t="n">
        <v>0</v>
      </c>
      <c r="O5" s="7" t="n">
        <v>0</v>
      </c>
      <c r="P5" s="13" t="n">
        <v>0</v>
      </c>
      <c r="Q5" s="13" t="n">
        <v>0</v>
      </c>
      <c r="R5" s="7" t="n">
        <v>0</v>
      </c>
      <c r="S5" s="6" t="inlineStr">
        <is>
          <t>―</t>
        </is>
      </c>
      <c r="T5" s="9" t="inlineStr">
        <is>
          <t>**月報に実績がないため量は出せない。人数のみ**</t>
        </is>
      </c>
    </row>
    <row r="6">
      <c r="A6" s="6" t="inlineStr">
        <is>
          <t>居宅</t>
        </is>
      </c>
      <c r="B6" s="6" t="inlineStr">
        <is>
          <t>居宅療養管理指導</t>
        </is>
      </c>
      <c r="C6" s="6" t="inlineStr">
        <is>
          <t>人</t>
        </is>
      </c>
      <c r="D6" s="10" t="n"/>
      <c r="E6" s="13" t="n">
        <v>16.25</v>
      </c>
      <c r="F6" s="14" t="n"/>
      <c r="G6" s="7" t="n">
        <v>4443.502564102564</v>
      </c>
      <c r="H6" s="7" t="n">
        <v>4504.302513368592</v>
      </c>
      <c r="I6" s="6" t="inlineStr">
        <is>
          <t>+1.4％</t>
        </is>
      </c>
      <c r="J6" s="13" t="n">
        <v>17.0831491621058</v>
      </c>
      <c r="K6" s="14" t="n"/>
      <c r="L6" s="7" t="n">
        <v>923.3720604854846</v>
      </c>
      <c r="M6" s="13" t="n">
        <v>17.0334599557006</v>
      </c>
      <c r="N6" s="14" t="n"/>
      <c r="O6" s="7" t="n">
        <v>920.6862778779062</v>
      </c>
      <c r="P6" s="13" t="n">
        <v>16.98377074929541</v>
      </c>
      <c r="Q6" s="14" t="n"/>
      <c r="R6" s="7" t="n">
        <v>918.0004952703275</v>
      </c>
      <c r="S6" s="6" t="inlineStr">
        <is>
          <t>+4.5％</t>
        </is>
      </c>
      <c r="T6" s="9" t="inlineStr"/>
    </row>
    <row r="7">
      <c r="A7" s="6" t="inlineStr">
        <is>
          <t>居宅</t>
        </is>
      </c>
      <c r="B7" s="6" t="inlineStr">
        <is>
          <t>通所介護</t>
        </is>
      </c>
      <c r="C7" s="6" t="inlineStr">
        <is>
          <t>日</t>
        </is>
      </c>
      <c r="D7" s="8" t="n">
        <v>8.799026763990268</v>
      </c>
      <c r="E7" s="13" t="n">
        <v>171.0833333333333</v>
      </c>
      <c r="F7" s="13" t="n">
        <v>1506.833333333333</v>
      </c>
      <c r="G7" s="7" t="n">
        <v>74276.94885533366</v>
      </c>
      <c r="H7" s="7" t="n">
        <v>73698.25456429717</v>
      </c>
      <c r="I7" s="6" t="inlineStr">
        <is>
          <t>-0.8％</t>
        </is>
      </c>
      <c r="J7" s="13" t="n">
        <v>177.488762679502</v>
      </c>
      <c r="K7" s="13" t="n">
        <v>1561.728373124455</v>
      </c>
      <c r="L7" s="7" t="n">
        <v>156967.3441710728</v>
      </c>
      <c r="M7" s="13" t="n">
        <v>176.9725068252859</v>
      </c>
      <c r="N7" s="13" t="n">
        <v>1557.185824046141</v>
      </c>
      <c r="O7" s="7" t="n">
        <v>156510.7783067008</v>
      </c>
      <c r="P7" s="13" t="n">
        <v>176.4562509710697</v>
      </c>
      <c r="Q7" s="13" t="n">
        <v>1552.643274967826</v>
      </c>
      <c r="R7" s="7" t="n">
        <v>156054.2124423289</v>
      </c>
      <c r="S7" s="6" t="inlineStr">
        <is>
          <t>+3.0％</t>
        </is>
      </c>
      <c r="T7" s="9" t="inlineStr"/>
    </row>
    <row r="8">
      <c r="A8" s="6" t="inlineStr">
        <is>
          <t>居宅</t>
        </is>
      </c>
      <c r="B8" s="6" t="inlineStr">
        <is>
          <t>通所リハビリテーション</t>
        </is>
      </c>
      <c r="C8" s="6" t="inlineStr">
        <is>
          <t>日</t>
        </is>
      </c>
      <c r="D8" s="8" t="n">
        <v>6.697749196141479</v>
      </c>
      <c r="E8" s="13" t="n">
        <v>25.91666666666667</v>
      </c>
      <c r="F8" s="13" t="n">
        <v>173.5833333333333</v>
      </c>
      <c r="G8" s="7" t="n">
        <v>50081.88424437299</v>
      </c>
      <c r="H8" s="7" t="n">
        <v>47647.0982112151</v>
      </c>
      <c r="I8" s="6" t="inlineStr">
        <is>
          <t>-4.9％</t>
        </is>
      </c>
      <c r="J8" s="13" t="n">
        <v>24.86653798032146</v>
      </c>
      <c r="K8" s="13" t="n">
        <v>166.5498347685196</v>
      </c>
      <c r="L8" s="7" t="n">
        <v>14217.82052785544</v>
      </c>
      <c r="M8" s="13" t="n">
        <v>24.7942094812513</v>
      </c>
      <c r="N8" s="13" t="n">
        <v>166.0653966220143</v>
      </c>
      <c r="O8" s="7" t="n">
        <v>14176.46561067146</v>
      </c>
      <c r="P8" s="13" t="n">
        <v>24.72188098218113</v>
      </c>
      <c r="Q8" s="13" t="n">
        <v>165.580958475509</v>
      </c>
      <c r="R8" s="7" t="n">
        <v>14135.11069348747</v>
      </c>
      <c r="S8" s="6" t="inlineStr">
        <is>
          <t>-4.6％</t>
        </is>
      </c>
      <c r="T8" s="9" t="inlineStr"/>
    </row>
    <row r="9">
      <c r="A9" s="6" t="inlineStr">
        <is>
          <t>居宅</t>
        </is>
      </c>
      <c r="B9" s="6" t="inlineStr">
        <is>
          <t>短期入所生活介護</t>
        </is>
      </c>
      <c r="C9" s="6" t="inlineStr">
        <is>
          <t>日</t>
        </is>
      </c>
      <c r="D9" s="8" t="n">
        <v>9.429319371727749</v>
      </c>
      <c r="E9" s="13" t="n">
        <v>29.75</v>
      </c>
      <c r="F9" s="13" t="n">
        <v>300.1666666666667</v>
      </c>
      <c r="G9" s="7" t="n">
        <v>76733.02801120449</v>
      </c>
      <c r="H9" s="7" t="n">
        <v>77610.46861748543</v>
      </c>
      <c r="I9" s="6" t="inlineStr">
        <is>
          <t>+1.1％</t>
        </is>
      </c>
      <c r="J9" s="13" t="n">
        <v>30.762986909049</v>
      </c>
      <c r="K9" s="13" t="n">
        <v>290.0740283937029</v>
      </c>
      <c r="L9" s="7" t="n">
        <v>28650.35796101836</v>
      </c>
      <c r="M9" s="13" t="n">
        <v>30.67350759866783</v>
      </c>
      <c r="N9" s="13" t="n">
        <v>289.2302993989568</v>
      </c>
      <c r="O9" s="7" t="n">
        <v>28567.02358649532</v>
      </c>
      <c r="P9" s="13" t="n">
        <v>30.58402828828665</v>
      </c>
      <c r="Q9" s="13" t="n">
        <v>288.3865704042107</v>
      </c>
      <c r="R9" s="7" t="n">
        <v>28483.68921197229</v>
      </c>
      <c r="S9" s="6" t="inlineStr">
        <is>
          <t>-3.9％</t>
        </is>
      </c>
      <c r="T9" s="9" t="inlineStr"/>
    </row>
    <row r="10">
      <c r="A10" s="6" t="inlineStr">
        <is>
          <t>居宅</t>
        </is>
      </c>
      <c r="B10" s="6" t="inlineStr">
        <is>
          <t>短期入所療養介護（介護老人保健施設）</t>
        </is>
      </c>
      <c r="C10" s="6" t="inlineStr">
        <is>
          <t>日</t>
        </is>
      </c>
      <c r="D10" s="8" t="n">
        <v>7.615384615384615</v>
      </c>
      <c r="E10" s="13" t="n">
        <v>2.25</v>
      </c>
      <c r="F10" s="13" t="n">
        <v>16.5</v>
      </c>
      <c r="G10" s="7" t="n">
        <v>86208.66666666667</v>
      </c>
      <c r="H10" s="7" t="n">
        <v>75093.79041612482</v>
      </c>
      <c r="I10" s="6" t="inlineStr">
        <is>
          <t>-12.9％</t>
        </is>
      </c>
      <c r="J10" s="13" t="n">
        <v>2.061249797216939</v>
      </c>
      <c r="K10" s="13" t="n">
        <v>15.69720999419054</v>
      </c>
      <c r="L10" s="7" t="n">
        <v>1857.444723209863</v>
      </c>
      <c r="M10" s="13" t="n">
        <v>2.055254306241905</v>
      </c>
      <c r="N10" s="13" t="n">
        <v>15.65155202445758</v>
      </c>
      <c r="O10" s="7" t="n">
        <v>1852.042033497211</v>
      </c>
      <c r="P10" s="13" t="n">
        <v>2.04925881526687</v>
      </c>
      <c r="Q10" s="13" t="n">
        <v>15.60589405472462</v>
      </c>
      <c r="R10" s="7" t="n">
        <v>1846.639343784559</v>
      </c>
      <c r="S10" s="6" t="inlineStr">
        <is>
          <t>-5.4％</t>
        </is>
      </c>
      <c r="T10" s="9" t="inlineStr">
        <is>
          <t>**見込単価が令和7年度実績から10％を超えて離れる。単価も一方向に動いてきたため、3年平均が実績から離れる。件数と単価が逆方向に動くと給付費では打ち消し合う**</t>
        </is>
      </c>
    </row>
    <row r="11">
      <c r="A11" s="6" t="inlineStr">
        <is>
          <t>居宅</t>
        </is>
      </c>
      <c r="B11" s="6" t="inlineStr">
        <is>
          <t>短期入所療養介護（病院等）</t>
        </is>
      </c>
      <c r="C11" s="6" t="inlineStr">
        <is>
          <t>日</t>
        </is>
      </c>
      <c r="D11" s="8" t="n">
        <v>0</v>
      </c>
      <c r="E11" s="13" t="n">
        <v>0</v>
      </c>
      <c r="F11" s="13" t="n">
        <v>0</v>
      </c>
      <c r="G11" s="11" t="n"/>
      <c r="H11" s="11" t="n"/>
      <c r="I11" s="6" t="inlineStr">
        <is>
          <t>―</t>
        </is>
      </c>
      <c r="J11" s="13" t="n">
        <v>0</v>
      </c>
      <c r="K11" s="13" t="n">
        <v>0</v>
      </c>
      <c r="L11" s="7" t="n">
        <v>0</v>
      </c>
      <c r="M11" s="13" t="n">
        <v>0</v>
      </c>
      <c r="N11" s="13" t="n">
        <v>0</v>
      </c>
      <c r="O11" s="7" t="n">
        <v>0</v>
      </c>
      <c r="P11" s="13" t="n">
        <v>0</v>
      </c>
      <c r="Q11" s="13" t="n">
        <v>0</v>
      </c>
      <c r="R11" s="7" t="n">
        <v>0</v>
      </c>
      <c r="S11" s="6" t="inlineStr">
        <is>
          <t>―</t>
        </is>
      </c>
      <c r="T11" s="9" t="inlineStr">
        <is>
          <t>**月報に実績がないため量は出せない。人数のみ**</t>
        </is>
      </c>
    </row>
    <row r="12">
      <c r="A12" s="6" t="inlineStr">
        <is>
          <t>居宅</t>
        </is>
      </c>
      <c r="B12" s="6" t="inlineStr">
        <is>
          <t>短期入所療養介護（介護医療院）</t>
        </is>
      </c>
      <c r="C12" s="6" t="inlineStr">
        <is>
          <t>日</t>
        </is>
      </c>
      <c r="D12" s="8" t="n">
        <v>0</v>
      </c>
      <c r="E12" s="13" t="n">
        <v>0</v>
      </c>
      <c r="F12" s="13" t="n">
        <v>0</v>
      </c>
      <c r="G12" s="11" t="n"/>
      <c r="H12" s="11" t="n"/>
      <c r="I12" s="6" t="inlineStr">
        <is>
          <t>―</t>
        </is>
      </c>
      <c r="J12" s="13" t="n">
        <v>0</v>
      </c>
      <c r="K12" s="13" t="n">
        <v>0</v>
      </c>
      <c r="L12" s="7" t="n">
        <v>0</v>
      </c>
      <c r="M12" s="13" t="n">
        <v>0</v>
      </c>
      <c r="N12" s="13" t="n">
        <v>0</v>
      </c>
      <c r="O12" s="7" t="n">
        <v>0</v>
      </c>
      <c r="P12" s="13" t="n">
        <v>0</v>
      </c>
      <c r="Q12" s="13" t="n">
        <v>0</v>
      </c>
      <c r="R12" s="7" t="n">
        <v>0</v>
      </c>
      <c r="S12" s="6" t="inlineStr">
        <is>
          <t>―</t>
        </is>
      </c>
      <c r="T12" s="9" t="inlineStr">
        <is>
          <t>**月報に実績がないため量は出せない。人数のみ**</t>
        </is>
      </c>
    </row>
    <row r="13">
      <c r="A13" s="6" t="inlineStr">
        <is>
          <t>居宅</t>
        </is>
      </c>
      <c r="B13" s="6" t="inlineStr">
        <is>
          <t>福祉用具貸与</t>
        </is>
      </c>
      <c r="C13" s="6" t="inlineStr">
        <is>
          <t>人</t>
        </is>
      </c>
      <c r="D13" s="10" t="n"/>
      <c r="E13" s="13" t="n">
        <v>198.9166666666667</v>
      </c>
      <c r="F13" s="14" t="n"/>
      <c r="G13" s="7" t="n">
        <v>13114.69710934227</v>
      </c>
      <c r="H13" s="7" t="n">
        <v>12774.25079084056</v>
      </c>
      <c r="I13" s="6" t="inlineStr">
        <is>
          <t>-2.6％</t>
        </is>
      </c>
      <c r="J13" s="13" t="n">
        <v>197.6072039103309</v>
      </c>
      <c r="K13" s="14" t="n"/>
      <c r="L13" s="7" t="n">
        <v>30291.40776992803</v>
      </c>
      <c r="M13" s="13" t="n">
        <v>197.0324301933142</v>
      </c>
      <c r="N13" s="14" t="n"/>
      <c r="O13" s="7" t="n">
        <v>30203.30012661817</v>
      </c>
      <c r="P13" s="13" t="n">
        <v>196.4576564762976</v>
      </c>
      <c r="Q13" s="14" t="n"/>
      <c r="R13" s="7" t="n">
        <v>30115.19248330832</v>
      </c>
      <c r="S13" s="6" t="inlineStr">
        <is>
          <t>-1.2％</t>
        </is>
      </c>
      <c r="T13" s="9" t="inlineStr"/>
    </row>
    <row r="14">
      <c r="A14" s="6" t="inlineStr">
        <is>
          <t>居宅</t>
        </is>
      </c>
      <c r="B14" s="6" t="inlineStr">
        <is>
          <t>特定福祉用具販売</t>
        </is>
      </c>
      <c r="C14" s="6" t="inlineStr">
        <is>
          <t>人</t>
        </is>
      </c>
      <c r="D14" s="10" t="n"/>
      <c r="E14" s="13" t="n">
        <v>3.75</v>
      </c>
      <c r="F14" s="14" t="n"/>
      <c r="G14" s="7" t="n">
        <v>38278.88888888889</v>
      </c>
      <c r="H14" s="7" t="n">
        <v>36978.74271489034</v>
      </c>
      <c r="I14" s="6" t="inlineStr">
        <is>
          <t>-3.4％</t>
        </is>
      </c>
      <c r="J14" s="13" t="n">
        <v>3.430679603262789</v>
      </c>
      <c r="K14" s="14" t="n"/>
      <c r="L14" s="7" t="n">
        <v>1522.346620635321</v>
      </c>
      <c r="M14" s="13" t="n">
        <v>3.420700895865282</v>
      </c>
      <c r="N14" s="14" t="n"/>
      <c r="O14" s="7" t="n">
        <v>1517.918619993566</v>
      </c>
      <c r="P14" s="13" t="n">
        <v>3.410722188467776</v>
      </c>
      <c r="Q14" s="14" t="n"/>
      <c r="R14" s="7" t="n">
        <v>1513.490619351811</v>
      </c>
      <c r="S14" s="6" t="inlineStr">
        <is>
          <t>-9.0％</t>
        </is>
      </c>
      <c r="T14" s="9" t="inlineStr"/>
    </row>
    <row r="15">
      <c r="A15" s="15" t="inlineStr">
        <is>
          <t>居宅</t>
        </is>
      </c>
      <c r="B15" s="15" t="inlineStr">
        <is>
          <t>住宅改修</t>
        </is>
      </c>
      <c r="C15" s="15" t="inlineStr">
        <is>
          <t>人</t>
        </is>
      </c>
      <c r="D15" s="10" t="n"/>
      <c r="E15" s="13" t="n">
        <v>1.833333333333333</v>
      </c>
      <c r="F15" s="14" t="n"/>
      <c r="G15" s="7" t="n">
        <v>82408.77272727272</v>
      </c>
      <c r="H15" s="7" t="n">
        <v>78049.36121597016</v>
      </c>
      <c r="I15" s="15" t="inlineStr">
        <is>
          <t>-5.3％</t>
        </is>
      </c>
      <c r="J15" s="13" t="n">
        <v>2.145653241672757</v>
      </c>
      <c r="K15" s="14" t="n"/>
      <c r="L15" s="7" t="n">
        <v>2009.602378842412</v>
      </c>
      <c r="M15" s="13" t="n">
        <v>2.139412249114081</v>
      </c>
      <c r="N15" s="14" t="n"/>
      <c r="O15" s="7" t="n">
        <v>2003.757113051712</v>
      </c>
      <c r="P15" s="13" t="n">
        <v>2.133171256555405</v>
      </c>
      <c r="Q15" s="14" t="n"/>
      <c r="R15" s="7" t="n">
        <v>1997.911847261013</v>
      </c>
      <c r="S15" s="15" t="inlineStr">
        <is>
          <t>+16.4％</t>
        </is>
      </c>
      <c r="T15" s="16" t="inlineStr">
        <is>
          <t>**令和7年度実績から15％を超えて動く。基準期間を令和5〜7年度の3年平均としているため、一方向に動いてきたサービスでは平均に引き戻される。00シートの「趨勢のあるサービスの扱い」を参照**</t>
        </is>
      </c>
    </row>
    <row r="16">
      <c r="A16" s="6" t="inlineStr">
        <is>
          <t>居宅</t>
        </is>
      </c>
      <c r="B16" s="6" t="inlineStr">
        <is>
          <t>特定施設入居者生活介護</t>
        </is>
      </c>
      <c r="C16" s="6" t="inlineStr">
        <is>
          <t>人</t>
        </is>
      </c>
      <c r="D16" s="10" t="n"/>
      <c r="E16" s="13" t="n">
        <v>3.75</v>
      </c>
      <c r="F16" s="14" t="n"/>
      <c r="G16" s="7" t="n">
        <v>215976.6222222222</v>
      </c>
      <c r="H16" s="7" t="n">
        <v>199991.7284799936</v>
      </c>
      <c r="I16" s="6" t="inlineStr">
        <is>
          <t>-7.4％</t>
        </is>
      </c>
      <c r="J16" s="13" t="n">
        <v>3.517437513922497</v>
      </c>
      <c r="K16" s="14" t="n"/>
      <c r="L16" s="7" t="n">
        <v>8441.500898756782</v>
      </c>
      <c r="M16" s="13" t="n">
        <v>3.507206456581244</v>
      </c>
      <c r="N16" s="14" t="n"/>
      <c r="O16" s="7" t="n">
        <v>8416.947376654523</v>
      </c>
      <c r="P16" s="13" t="n">
        <v>3.496975399239993</v>
      </c>
      <c r="Q16" s="14" t="n"/>
      <c r="R16" s="7" t="n">
        <v>8392.393854552263</v>
      </c>
      <c r="S16" s="6" t="inlineStr">
        <is>
          <t>-6.7％</t>
        </is>
      </c>
      <c r="T16" s="9" t="inlineStr"/>
    </row>
    <row r="17">
      <c r="A17" s="6" t="inlineStr">
        <is>
          <t>居宅</t>
        </is>
      </c>
      <c r="B17" s="6" t="inlineStr">
        <is>
          <t>居宅介護支援</t>
        </is>
      </c>
      <c r="C17" s="6" t="inlineStr">
        <is>
          <t>人</t>
        </is>
      </c>
      <c r="D17" s="10" t="n"/>
      <c r="E17" s="13" t="n">
        <v>253</v>
      </c>
      <c r="F17" s="14" t="n"/>
      <c r="G17" s="7" t="n">
        <v>15836.85540184453</v>
      </c>
      <c r="H17" s="7" t="n">
        <v>15870.6116614193</v>
      </c>
      <c r="I17" s="6" t="inlineStr">
        <is>
          <t>+0.2％</t>
        </is>
      </c>
      <c r="J17" s="13" t="n">
        <v>259.9002413773233</v>
      </c>
      <c r="K17" s="14" t="n"/>
      <c r="L17" s="7" t="n">
        <v>49497.30961930367</v>
      </c>
      <c r="M17" s="13" t="n">
        <v>259.1442779061851</v>
      </c>
      <c r="N17" s="14" t="n"/>
      <c r="O17" s="7" t="n">
        <v>49353.33838713582</v>
      </c>
      <c r="P17" s="13" t="n">
        <v>258.3883144350469</v>
      </c>
      <c r="Q17" s="14" t="n"/>
      <c r="R17" s="7" t="n">
        <v>49209.36715496798</v>
      </c>
      <c r="S17" s="6" t="inlineStr">
        <is>
          <t>+2.1％</t>
        </is>
      </c>
      <c r="T17" s="9" t="inlineStr"/>
    </row>
    <row r="18">
      <c r="A18" s="6" t="inlineStr">
        <is>
          <t>地域密着型</t>
        </is>
      </c>
      <c r="B18" s="6" t="inlineStr">
        <is>
          <t>定期巡回・随時対応型訪問介護看護</t>
        </is>
      </c>
      <c r="C18" s="6" t="inlineStr">
        <is>
          <t>人</t>
        </is>
      </c>
      <c r="D18" s="10" t="n"/>
      <c r="E18" s="13" t="n">
        <v>0</v>
      </c>
      <c r="F18" s="14" t="n"/>
      <c r="G18" s="11" t="n"/>
      <c r="H18" s="11" t="n"/>
      <c r="I18" s="6" t="inlineStr">
        <is>
          <t>―</t>
        </is>
      </c>
      <c r="J18" s="13" t="n">
        <v>0</v>
      </c>
      <c r="K18" s="14" t="n"/>
      <c r="L18" s="7" t="n">
        <v>0</v>
      </c>
      <c r="M18" s="13" t="n">
        <v>0</v>
      </c>
      <c r="N18" s="14" t="n"/>
      <c r="O18" s="7" t="n">
        <v>0</v>
      </c>
      <c r="P18" s="13" t="n">
        <v>0</v>
      </c>
      <c r="Q18" s="14" t="n"/>
      <c r="R18" s="7" t="n">
        <v>0</v>
      </c>
      <c r="S18" s="6" t="inlineStr">
        <is>
          <t>―</t>
        </is>
      </c>
      <c r="T18" s="9" t="inlineStr"/>
    </row>
    <row r="19">
      <c r="A19" s="6" t="inlineStr">
        <is>
          <t>地域密着型</t>
        </is>
      </c>
      <c r="B19" s="6" t="inlineStr">
        <is>
          <t>夜間対応型訪問介護</t>
        </is>
      </c>
      <c r="C19" s="6" t="inlineStr">
        <is>
          <t>人</t>
        </is>
      </c>
      <c r="D19" s="10" t="n"/>
      <c r="E19" s="13" t="n">
        <v>0</v>
      </c>
      <c r="F19" s="14" t="n"/>
      <c r="G19" s="11" t="n"/>
      <c r="H19" s="11" t="n"/>
      <c r="I19" s="6" t="inlineStr">
        <is>
          <t>―</t>
        </is>
      </c>
      <c r="J19" s="13" t="n">
        <v>0</v>
      </c>
      <c r="K19" s="14" t="n"/>
      <c r="L19" s="7" t="n">
        <v>0</v>
      </c>
      <c r="M19" s="13" t="n">
        <v>0</v>
      </c>
      <c r="N19" s="14" t="n"/>
      <c r="O19" s="7" t="n">
        <v>0</v>
      </c>
      <c r="P19" s="13" t="n">
        <v>0</v>
      </c>
      <c r="Q19" s="14" t="n"/>
      <c r="R19" s="7" t="n">
        <v>0</v>
      </c>
      <c r="S19" s="6" t="inlineStr">
        <is>
          <t>―</t>
        </is>
      </c>
      <c r="T19" s="9" t="inlineStr"/>
    </row>
    <row r="20">
      <c r="A20" s="6" t="inlineStr">
        <is>
          <t>地域密着型</t>
        </is>
      </c>
      <c r="B20" s="6" t="inlineStr">
        <is>
          <t>地域密着型通所介護</t>
        </is>
      </c>
      <c r="C20" s="6" t="inlineStr">
        <is>
          <t>日</t>
        </is>
      </c>
      <c r="D20" s="8" t="n">
        <v>0</v>
      </c>
      <c r="E20" s="13" t="n">
        <v>0</v>
      </c>
      <c r="F20" s="13" t="n">
        <v>0</v>
      </c>
      <c r="G20" s="11" t="n"/>
      <c r="H20" s="11" t="n"/>
      <c r="I20" s="6" t="inlineStr">
        <is>
          <t>―</t>
        </is>
      </c>
      <c r="J20" s="13" t="n">
        <v>0</v>
      </c>
      <c r="K20" s="13" t="n">
        <v>0</v>
      </c>
      <c r="L20" s="7" t="n">
        <v>0</v>
      </c>
      <c r="M20" s="13" t="n">
        <v>0</v>
      </c>
      <c r="N20" s="13" t="n">
        <v>0</v>
      </c>
      <c r="O20" s="7" t="n">
        <v>0</v>
      </c>
      <c r="P20" s="13" t="n">
        <v>0</v>
      </c>
      <c r="Q20" s="13" t="n">
        <v>0</v>
      </c>
      <c r="R20" s="7" t="n">
        <v>0</v>
      </c>
      <c r="S20" s="6" t="inlineStr">
        <is>
          <t>―</t>
        </is>
      </c>
      <c r="T20" s="9" t="inlineStr">
        <is>
          <t>**月報に実績がないため量は出せない。人数のみ**</t>
        </is>
      </c>
    </row>
    <row r="21">
      <c r="A21" s="6" t="inlineStr">
        <is>
          <t>地域密着型</t>
        </is>
      </c>
      <c r="B21" s="6" t="inlineStr">
        <is>
          <t>認知症対応型通所介護</t>
        </is>
      </c>
      <c r="C21" s="6" t="inlineStr">
        <is>
          <t>日</t>
        </is>
      </c>
      <c r="D21" s="8" t="n">
        <v>9.452173913043477</v>
      </c>
      <c r="E21" s="13" t="n">
        <v>9.583333333333334</v>
      </c>
      <c r="F21" s="13" t="n">
        <v>90.58333333333333</v>
      </c>
      <c r="G21" s="7" t="n">
        <v>106415.6869565217</v>
      </c>
      <c r="H21" s="7" t="n">
        <v>112682.6952285764</v>
      </c>
      <c r="I21" s="6" t="inlineStr">
        <is>
          <t>+5.9％</t>
        </is>
      </c>
      <c r="J21" s="13" t="n">
        <v>8.411820861755876</v>
      </c>
      <c r="K21" s="13" t="n">
        <v>79.50999371068379</v>
      </c>
      <c r="L21" s="7" t="n">
        <v>11374.39975779142</v>
      </c>
      <c r="M21" s="13" t="n">
        <v>8.387353669022437</v>
      </c>
      <c r="N21" s="13" t="n">
        <v>79.27872554980338</v>
      </c>
      <c r="O21" s="7" t="n">
        <v>11341.31540712885</v>
      </c>
      <c r="P21" s="13" t="n">
        <v>8.362886476289001</v>
      </c>
      <c r="Q21" s="13" t="n">
        <v>79.04745738892298</v>
      </c>
      <c r="R21" s="7" t="n">
        <v>11308.23105646628</v>
      </c>
      <c r="S21" s="6" t="inlineStr">
        <is>
          <t>-12.7％</t>
        </is>
      </c>
      <c r="T21" s="9" t="inlineStr"/>
    </row>
    <row r="22">
      <c r="A22" s="6" t="inlineStr">
        <is>
          <t>地域密着型</t>
        </is>
      </c>
      <c r="B22" s="6" t="inlineStr">
        <is>
          <t>小規模多機能型居宅介護</t>
        </is>
      </c>
      <c r="C22" s="6" t="inlineStr">
        <is>
          <t>人</t>
        </is>
      </c>
      <c r="D22" s="10" t="n"/>
      <c r="E22" s="13" t="n">
        <v>22.5</v>
      </c>
      <c r="F22" s="14" t="n"/>
      <c r="G22" s="7" t="n">
        <v>183625.2666666667</v>
      </c>
      <c r="H22" s="7" t="n">
        <v>174505.617755753</v>
      </c>
      <c r="I22" s="6" t="inlineStr">
        <is>
          <t>-5.0％</t>
        </is>
      </c>
      <c r="J22" s="13" t="n">
        <v>24.74089762862516</v>
      </c>
      <c r="K22" s="14" t="n"/>
      <c r="L22" s="7" t="n">
        <v>51809.10749418093</v>
      </c>
      <c r="M22" s="13" t="n">
        <v>24.66893457560414</v>
      </c>
      <c r="N22" s="14" t="n"/>
      <c r="O22" s="7" t="n">
        <v>51658.41200990466</v>
      </c>
      <c r="P22" s="13" t="n">
        <v>24.59697152258313</v>
      </c>
      <c r="Q22" s="14" t="n"/>
      <c r="R22" s="7" t="n">
        <v>51507.7165256284</v>
      </c>
      <c r="S22" s="6" t="inlineStr">
        <is>
          <t>+9.3％</t>
        </is>
      </c>
      <c r="T22" s="9" t="inlineStr"/>
    </row>
    <row r="23">
      <c r="A23" s="6" t="inlineStr">
        <is>
          <t>地域密着型</t>
        </is>
      </c>
      <c r="B23" s="6" t="inlineStr">
        <is>
          <t>認知症対応型共同生活介護</t>
        </is>
      </c>
      <c r="C23" s="6" t="inlineStr">
        <is>
          <t>人</t>
        </is>
      </c>
      <c r="D23" s="10" t="n"/>
      <c r="E23" s="13" t="n">
        <v>44.75</v>
      </c>
      <c r="F23" s="14" t="n"/>
      <c r="G23" s="7" t="n">
        <v>250242.1508379888</v>
      </c>
      <c r="H23" s="7" t="n">
        <v>250242.1508379888</v>
      </c>
      <c r="I23" s="6" t="inlineStr">
        <is>
          <t>-0.0％</t>
        </is>
      </c>
      <c r="J23" s="13" t="n">
        <v>44.6850130699971</v>
      </c>
      <c r="K23" s="14" t="n"/>
      <c r="L23" s="7" t="n">
        <v>134184.8853703166</v>
      </c>
      <c r="M23" s="13" t="n">
        <v>44.55503920999129</v>
      </c>
      <c r="N23" s="14" t="n"/>
      <c r="O23" s="7" t="n">
        <v>133794.5861109497</v>
      </c>
      <c r="P23" s="13" t="n">
        <v>44.42506534998548</v>
      </c>
      <c r="Q23" s="14" t="n"/>
      <c r="R23" s="7" t="n">
        <v>133404.2868515829</v>
      </c>
      <c r="S23" s="6" t="inlineStr">
        <is>
          <t>-0.7％</t>
        </is>
      </c>
      <c r="T23" s="9" t="inlineStr"/>
    </row>
    <row r="24">
      <c r="A24" s="6" t="inlineStr">
        <is>
          <t>地域密着型</t>
        </is>
      </c>
      <c r="B24" s="6" t="inlineStr">
        <is>
          <t>地域密着型特定施設入居者生活介護</t>
        </is>
      </c>
      <c r="C24" s="6" t="inlineStr">
        <is>
          <t>人</t>
        </is>
      </c>
      <c r="D24" s="10" t="n"/>
      <c r="E24" s="13" t="n">
        <v>0</v>
      </c>
      <c r="F24" s="14" t="n"/>
      <c r="G24" s="11" t="n"/>
      <c r="H24" s="11" t="n"/>
      <c r="I24" s="6" t="inlineStr">
        <is>
          <t>―</t>
        </is>
      </c>
      <c r="J24" s="13" t="n">
        <v>0</v>
      </c>
      <c r="K24" s="14" t="n"/>
      <c r="L24" s="7" t="n">
        <v>0</v>
      </c>
      <c r="M24" s="13" t="n">
        <v>0</v>
      </c>
      <c r="N24" s="14" t="n"/>
      <c r="O24" s="7" t="n">
        <v>0</v>
      </c>
      <c r="P24" s="13" t="n">
        <v>0</v>
      </c>
      <c r="Q24" s="14" t="n"/>
      <c r="R24" s="7" t="n">
        <v>0</v>
      </c>
      <c r="S24" s="6" t="inlineStr">
        <is>
          <t>―</t>
        </is>
      </c>
      <c r="T24" s="9" t="inlineStr"/>
    </row>
    <row r="25">
      <c r="A25" s="6" t="inlineStr">
        <is>
          <t>地域密着型</t>
        </is>
      </c>
      <c r="B25" s="6" t="inlineStr">
        <is>
          <t>地域密着型介護老人福祉施設入所者生活介護</t>
        </is>
      </c>
      <c r="C25" s="6" t="inlineStr">
        <is>
          <t>人</t>
        </is>
      </c>
      <c r="D25" s="10" t="n"/>
      <c r="E25" s="13" t="n">
        <v>41.33333333333334</v>
      </c>
      <c r="F25" s="14" t="n"/>
      <c r="G25" s="7" t="n">
        <v>254737.1310483871</v>
      </c>
      <c r="H25" s="7" t="n">
        <v>249304.1190012729</v>
      </c>
      <c r="I25" s="6" t="inlineStr">
        <is>
          <t>-2.1％</t>
        </is>
      </c>
      <c r="J25" s="13" t="n">
        <v>43.42209804447699</v>
      </c>
      <c r="K25" s="14" t="n"/>
      <c r="L25" s="7" t="n">
        <v>129903.6947779828</v>
      </c>
      <c r="M25" s="13" t="n">
        <v>43.29579758477811</v>
      </c>
      <c r="N25" s="14" t="n"/>
      <c r="O25" s="7" t="n">
        <v>129525.8480799665</v>
      </c>
      <c r="P25" s="13" t="n">
        <v>43.16949712507921</v>
      </c>
      <c r="Q25" s="14" t="n"/>
      <c r="R25" s="7" t="n">
        <v>129148.0013819503</v>
      </c>
      <c r="S25" s="6" t="inlineStr">
        <is>
          <t>+4.4％</t>
        </is>
      </c>
      <c r="T25" s="9" t="inlineStr"/>
    </row>
    <row r="26">
      <c r="A26" s="6" t="inlineStr">
        <is>
          <t>地域密着型</t>
        </is>
      </c>
      <c r="B26" s="6" t="inlineStr">
        <is>
          <t>看護小規模多機能型居宅介護</t>
        </is>
      </c>
      <c r="C26" s="6" t="inlineStr">
        <is>
          <t>人</t>
        </is>
      </c>
      <c r="D26" s="10" t="n"/>
      <c r="E26" s="13" t="n">
        <v>0</v>
      </c>
      <c r="F26" s="14" t="n"/>
      <c r="G26" s="11" t="n"/>
      <c r="H26" s="11" t="n"/>
      <c r="I26" s="6" t="inlineStr">
        <is>
          <t>―</t>
        </is>
      </c>
      <c r="J26" s="13" t="n">
        <v>0</v>
      </c>
      <c r="K26" s="14" t="n"/>
      <c r="L26" s="7" t="n">
        <v>0</v>
      </c>
      <c r="M26" s="13" t="n">
        <v>0</v>
      </c>
      <c r="N26" s="14" t="n"/>
      <c r="O26" s="7" t="n">
        <v>0</v>
      </c>
      <c r="P26" s="13" t="n">
        <v>0</v>
      </c>
      <c r="Q26" s="14" t="n"/>
      <c r="R26" s="7" t="n">
        <v>0</v>
      </c>
      <c r="S26" s="6" t="inlineStr">
        <is>
          <t>―</t>
        </is>
      </c>
      <c r="T26" s="9" t="inlineStr"/>
    </row>
    <row r="27">
      <c r="A27" s="6" t="inlineStr">
        <is>
          <t>施設</t>
        </is>
      </c>
      <c r="B27" s="6" t="inlineStr">
        <is>
          <t>介護老人福祉施設</t>
        </is>
      </c>
      <c r="C27" s="6" t="inlineStr">
        <is>
          <t>人</t>
        </is>
      </c>
      <c r="D27" s="10" t="n"/>
      <c r="E27" s="13" t="n">
        <v>68.91666666666667</v>
      </c>
      <c r="F27" s="14" t="n"/>
      <c r="G27" s="7" t="n">
        <v>247702.1039903265</v>
      </c>
      <c r="H27" s="7" t="n">
        <v>250649.2353616817</v>
      </c>
      <c r="I27" s="6" t="inlineStr">
        <is>
          <t>+1.2％</t>
        </is>
      </c>
      <c r="J27" s="13" t="n">
        <v>67.96849214798212</v>
      </c>
      <c r="K27" s="14" t="n"/>
      <c r="L27" s="7" t="n">
        <v>204435.0070269382</v>
      </c>
      <c r="M27" s="13" t="n">
        <v>67.77079438140858</v>
      </c>
      <c r="N27" s="14" t="n"/>
      <c r="O27" s="7" t="n">
        <v>203840.3734986458</v>
      </c>
      <c r="P27" s="13" t="n">
        <v>67.57309661483505</v>
      </c>
      <c r="Q27" s="14" t="n"/>
      <c r="R27" s="7" t="n">
        <v>203245.7399703533</v>
      </c>
      <c r="S27" s="6" t="inlineStr">
        <is>
          <t>-1.9％</t>
        </is>
      </c>
      <c r="T27" s="9" t="inlineStr"/>
    </row>
    <row r="28">
      <c r="A28" s="6" t="inlineStr">
        <is>
          <t>施設</t>
        </is>
      </c>
      <c r="B28" s="6" t="inlineStr">
        <is>
          <t>介護老人保健施設</t>
        </is>
      </c>
      <c r="C28" s="6" t="inlineStr">
        <is>
          <t>人</t>
        </is>
      </c>
      <c r="D28" s="10" t="n"/>
      <c r="E28" s="13" t="n">
        <v>28.58333333333333</v>
      </c>
      <c r="F28" s="14" t="n"/>
      <c r="G28" s="7" t="n">
        <v>269746.5801749271</v>
      </c>
      <c r="H28" s="7" t="n">
        <v>273430.6329498911</v>
      </c>
      <c r="I28" s="6" t="inlineStr">
        <is>
          <t>+1.4％</t>
        </is>
      </c>
      <c r="J28" s="13" t="n">
        <v>29.58179131592092</v>
      </c>
      <c r="K28" s="14" t="n"/>
      <c r="L28" s="7" t="n">
        <v>97062.81507964619</v>
      </c>
      <c r="M28" s="13" t="n">
        <v>29.49574771116257</v>
      </c>
      <c r="N28" s="14" t="n"/>
      <c r="O28" s="7" t="n">
        <v>96780.49159192179</v>
      </c>
      <c r="P28" s="13" t="n">
        <v>29.40970410640422</v>
      </c>
      <c r="Q28" s="14" t="n"/>
      <c r="R28" s="7" t="n">
        <v>96498.16810419739</v>
      </c>
      <c r="S28" s="6" t="inlineStr">
        <is>
          <t>+2.9％</t>
        </is>
      </c>
      <c r="T28" s="9" t="inlineStr"/>
    </row>
    <row r="29">
      <c r="A29" s="6" t="inlineStr">
        <is>
          <t>施設</t>
        </is>
      </c>
      <c r="B29" s="6" t="inlineStr">
        <is>
          <t>介護療養型医療施設</t>
        </is>
      </c>
      <c r="C29" s="6" t="inlineStr">
        <is>
          <t>人</t>
        </is>
      </c>
      <c r="D29" s="10" t="n"/>
      <c r="E29" s="13" t="n">
        <v>0</v>
      </c>
      <c r="F29" s="14" t="n"/>
      <c r="G29" s="11" t="n"/>
      <c r="H29" s="11" t="n"/>
      <c r="I29" s="6" t="inlineStr">
        <is>
          <t>―</t>
        </is>
      </c>
      <c r="J29" s="13" t="n">
        <v>0</v>
      </c>
      <c r="K29" s="14" t="n"/>
      <c r="L29" s="7" t="n">
        <v>0</v>
      </c>
      <c r="M29" s="13" t="n">
        <v>0</v>
      </c>
      <c r="N29" s="14" t="n"/>
      <c r="O29" s="7" t="n">
        <v>0</v>
      </c>
      <c r="P29" s="13" t="n">
        <v>0</v>
      </c>
      <c r="Q29" s="14" t="n"/>
      <c r="R29" s="7" t="n">
        <v>0</v>
      </c>
      <c r="S29" s="6" t="inlineStr">
        <is>
          <t>―</t>
        </is>
      </c>
      <c r="T29" s="9" t="inlineStr"/>
    </row>
    <row r="30">
      <c r="A30" s="6" t="inlineStr">
        <is>
          <t>施設</t>
        </is>
      </c>
      <c r="B30" s="6" t="inlineStr">
        <is>
          <t>介護医療院</t>
        </is>
      </c>
      <c r="C30" s="6" t="inlineStr">
        <is>
          <t>人</t>
        </is>
      </c>
      <c r="D30" s="10" t="n"/>
      <c r="E30" s="13" t="n">
        <v>1.166666666666667</v>
      </c>
      <c r="F30" s="14" t="n"/>
      <c r="G30" s="7" t="n">
        <v>307830.8571428572</v>
      </c>
      <c r="H30" s="7" t="n">
        <v>307830.8571428572</v>
      </c>
      <c r="I30" s="6" t="inlineStr">
        <is>
          <t>+0.0％</t>
        </is>
      </c>
      <c r="J30" s="13" t="n">
        <v>1.164972407783909</v>
      </c>
      <c r="K30" s="14" t="n"/>
      <c r="L30" s="7" t="n">
        <v>4303.373458030787</v>
      </c>
      <c r="M30" s="13" t="n">
        <v>1.161583890018395</v>
      </c>
      <c r="N30" s="14" t="n"/>
      <c r="O30" s="7" t="n">
        <v>4290.856374092362</v>
      </c>
      <c r="P30" s="13" t="n">
        <v>1.15819537225288</v>
      </c>
      <c r="Q30" s="14" t="n"/>
      <c r="R30" s="7" t="n">
        <v>4278.339290153936</v>
      </c>
      <c r="S30" s="6" t="inlineStr">
        <is>
          <t>-0.7％</t>
        </is>
      </c>
      <c r="T30" s="9" t="inlineStr"/>
    </row>
    <row r="32">
      <c r="A32" s="12" t="inlineStr">
        <is>
          <t>※ 介護給付（要介護1〜5）。「量/月」は単位欄の単位（回・日）による月あたりの量。単位が「人」のサービスは人数のみで、量は出さない。</t>
        </is>
      </c>
    </row>
    <row r="33">
      <c r="A33" s="12" t="inlineStr">
        <is>
          <t>※ 量/月 ＝ 人/月 × R7の日数/件。人/月は年報から組んだ見込件数÷12。</t>
        </is>
      </c>
    </row>
    <row r="34">
      <c r="A34" s="12" t="inlineStr">
        <is>
          <t>**※ 訪問系の「回」は国保連月報の実日数による。**1日当たり単位数からみて1日1回が主体だが、厳密には回数は日数を1割程度上回る。</t>
        </is>
      </c>
    </row>
    <row r="35">
      <c r="A35" s="12" t="inlineStr">
        <is>
          <t>※ 給付費は年報から組んだ試算による。報酬改定率は0.0％で置いている。</t>
        </is>
      </c>
    </row>
    <row r="36">
      <c r="A36" s="12" t="inlineStr">
        <is>
          <t>**※ 「見込単価」は見込給付費÷見込件数。件数と給付費をそれぞれ令和5〜7年度の平均で置いているため、両者の比である単価は令和7年度実績と一致しない。**10％を超えて離れるのは訪問介護（▲13.8％）と短期入所療養介護（老健）（▲12.9％）の2件。</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6" customWidth="1" min="3" max="3"/>
    <col width="11" customWidth="1" min="4" max="4"/>
    <col width="11" customWidth="1" min="5" max="5"/>
    <col width="11" customWidth="1" min="6" max="6"/>
    <col width="12" customWidth="1" min="7" max="7"/>
    <col width="12" customWidth="1" min="8" max="8"/>
    <col width="11" customWidth="1" min="9" max="9"/>
    <col width="10" customWidth="1" min="10" max="10"/>
    <col width="11" customWidth="1" min="11" max="11"/>
    <col width="13" customWidth="1" min="12" max="12"/>
    <col width="10" customWidth="1" min="13" max="13"/>
    <col width="11" customWidth="1" min="14" max="14"/>
    <col width="13" customWidth="1" min="15" max="15"/>
    <col width="10" customWidth="1" min="16" max="16"/>
    <col width="11" customWidth="1" min="17" max="17"/>
    <col width="13" customWidth="1" min="18" max="18"/>
    <col width="10" customWidth="1" min="19" max="19"/>
    <col width="38" customWidth="1" min="20" max="20"/>
  </cols>
  <sheetData>
    <row r="1">
      <c r="A1" s="5" t="inlineStr">
        <is>
          <t>区分</t>
        </is>
      </c>
      <c r="B1" s="5" t="inlineStr">
        <is>
          <t>サービス</t>
        </is>
      </c>
      <c r="C1" s="5" t="inlineStr">
        <is>
          <t>単位</t>
        </is>
      </c>
      <c r="D1" s="5" t="inlineStr">
        <is>
          <t>R7 日数/件</t>
        </is>
      </c>
      <c r="E1" s="5" t="inlineStr">
        <is>
          <t>R7実績 人/月</t>
        </is>
      </c>
      <c r="F1" s="5" t="inlineStr">
        <is>
          <t>R7実績 量/月</t>
        </is>
      </c>
      <c r="G1" s="5" t="inlineStr">
        <is>
          <t>R7 単価(円/件)</t>
        </is>
      </c>
      <c r="H1" s="5" t="inlineStr">
        <is>
          <t>見込単価(円/件)</t>
        </is>
      </c>
      <c r="I1" s="5" t="inlineStr">
        <is>
          <t>単価の乖離</t>
        </is>
      </c>
      <c r="J1" s="5" t="inlineStr">
        <is>
          <t>9年度 人/月</t>
        </is>
      </c>
      <c r="K1" s="5" t="inlineStr">
        <is>
          <t>9年度 量/月</t>
        </is>
      </c>
      <c r="L1" s="5" t="inlineStr">
        <is>
          <t>9年度 給付費(千円)</t>
        </is>
      </c>
      <c r="M1" s="5" t="inlineStr">
        <is>
          <t>10年度 人/月</t>
        </is>
      </c>
      <c r="N1" s="5" t="inlineStr">
        <is>
          <t>10年度 量/月</t>
        </is>
      </c>
      <c r="O1" s="5" t="inlineStr">
        <is>
          <t>10年度 給付費(千円)</t>
        </is>
      </c>
      <c r="P1" s="5" t="inlineStr">
        <is>
          <t>11年度 人/月</t>
        </is>
      </c>
      <c r="Q1" s="5" t="inlineStr">
        <is>
          <t>11年度 量/月</t>
        </is>
      </c>
      <c r="R1" s="5" t="inlineStr">
        <is>
          <t>11年度 給付費(千円)</t>
        </is>
      </c>
      <c r="S1" s="5" t="inlineStr">
        <is>
          <t>R7→R11</t>
        </is>
      </c>
      <c r="T1" s="5" t="inlineStr">
        <is>
          <t>備考</t>
        </is>
      </c>
    </row>
    <row r="2">
      <c r="A2" s="6" t="inlineStr">
        <is>
          <t>居宅</t>
        </is>
      </c>
      <c r="B2" s="6" t="inlineStr">
        <is>
          <t>介護予防訪問入浴介護</t>
        </is>
      </c>
      <c r="C2" s="6" t="inlineStr">
        <is>
          <t>回</t>
        </is>
      </c>
      <c r="D2" s="8" t="n">
        <v>0</v>
      </c>
      <c r="E2" s="13" t="n">
        <v>0</v>
      </c>
      <c r="F2" s="13" t="n">
        <v>0</v>
      </c>
      <c r="G2" s="11" t="n"/>
      <c r="H2" s="11" t="n"/>
      <c r="I2" s="6" t="inlineStr">
        <is>
          <t>―</t>
        </is>
      </c>
      <c r="J2" s="13" t="n">
        <v>0</v>
      </c>
      <c r="K2" s="13" t="n">
        <v>0</v>
      </c>
      <c r="L2" s="7" t="n">
        <v>0</v>
      </c>
      <c r="M2" s="13" t="n">
        <v>0</v>
      </c>
      <c r="N2" s="13" t="n">
        <v>0</v>
      </c>
      <c r="O2" s="7" t="n">
        <v>0</v>
      </c>
      <c r="P2" s="13" t="n">
        <v>0</v>
      </c>
      <c r="Q2" s="13" t="n">
        <v>0</v>
      </c>
      <c r="R2" s="7" t="n">
        <v>0</v>
      </c>
      <c r="S2" s="6" t="inlineStr">
        <is>
          <t>―</t>
        </is>
      </c>
      <c r="T2" s="9" t="inlineStr">
        <is>
          <t>**月報に実績がないため量は出せない。人数のみ**</t>
        </is>
      </c>
    </row>
    <row r="3">
      <c r="A3" s="15" t="inlineStr">
        <is>
          <t>居宅</t>
        </is>
      </c>
      <c r="B3" s="15" t="inlineStr">
        <is>
          <t>介護予防訪問看護</t>
        </is>
      </c>
      <c r="C3" s="15" t="inlineStr">
        <is>
          <t>回</t>
        </is>
      </c>
      <c r="D3" s="8" t="n">
        <v>3.89873417721519</v>
      </c>
      <c r="E3" s="13" t="n">
        <v>7.333333333333333</v>
      </c>
      <c r="F3" s="13" t="n">
        <v>25.66666666666667</v>
      </c>
      <c r="G3" s="7" t="n">
        <v>25157.03409090909</v>
      </c>
      <c r="H3" s="7" t="n">
        <v>27670.64599414647</v>
      </c>
      <c r="I3" s="15" t="inlineStr">
        <is>
          <t>+10.0％</t>
        </is>
      </c>
      <c r="J3" s="13" t="n">
        <v>5.557699607338822</v>
      </c>
      <c r="K3" s="13" t="n">
        <v>21.66799340582731</v>
      </c>
      <c r="L3" s="7" t="n">
        <v>1845.421660517753</v>
      </c>
      <c r="M3" s="13" t="n">
        <v>5.541534105281408</v>
      </c>
      <c r="N3" s="13" t="n">
        <v>21.60496841046422</v>
      </c>
      <c r="O3" s="7" t="n">
        <v>1840.053941900773</v>
      </c>
      <c r="P3" s="13" t="n">
        <v>5.525368603223995</v>
      </c>
      <c r="Q3" s="13" t="n">
        <v>21.54194341510114</v>
      </c>
      <c r="R3" s="7" t="n">
        <v>1834.686223283793</v>
      </c>
      <c r="S3" s="15" t="inlineStr">
        <is>
          <t>-16.1％</t>
        </is>
      </c>
      <c r="T3" s="16" t="inlineStr">
        <is>
          <t>**令和7年度実績から15％を超えて動く。基準期間を令和5〜7年度の3年平均としているため、一方向に動いてきたサービスでは平均に引き戻される。00シートの「趨勢のあるサービスの扱い」を参照**</t>
        </is>
      </c>
    </row>
    <row r="4">
      <c r="A4" s="6" t="inlineStr">
        <is>
          <t>居宅</t>
        </is>
      </c>
      <c r="B4" s="6" t="inlineStr">
        <is>
          <t>介護予防訪問リハビリテーション</t>
        </is>
      </c>
      <c r="C4" s="6" t="inlineStr">
        <is>
          <t>回</t>
        </is>
      </c>
      <c r="D4" s="8" t="n">
        <v>0</v>
      </c>
      <c r="E4" s="13" t="n">
        <v>0</v>
      </c>
      <c r="F4" s="13" t="n">
        <v>0</v>
      </c>
      <c r="G4" s="11" t="n"/>
      <c r="H4" s="11" t="n"/>
      <c r="I4" s="6" t="inlineStr">
        <is>
          <t>―</t>
        </is>
      </c>
      <c r="J4" s="13" t="n">
        <v>0</v>
      </c>
      <c r="K4" s="13" t="n">
        <v>0</v>
      </c>
      <c r="L4" s="7" t="n">
        <v>0</v>
      </c>
      <c r="M4" s="13" t="n">
        <v>0</v>
      </c>
      <c r="N4" s="13" t="n">
        <v>0</v>
      </c>
      <c r="O4" s="7" t="n">
        <v>0</v>
      </c>
      <c r="P4" s="13" t="n">
        <v>0</v>
      </c>
      <c r="Q4" s="13" t="n">
        <v>0</v>
      </c>
      <c r="R4" s="7" t="n">
        <v>0</v>
      </c>
      <c r="S4" s="6" t="inlineStr">
        <is>
          <t>―</t>
        </is>
      </c>
      <c r="T4" s="9" t="inlineStr">
        <is>
          <t>**月報に実績がないため量は出せない。人数のみ**</t>
        </is>
      </c>
    </row>
    <row r="5">
      <c r="A5" s="6" t="inlineStr">
        <is>
          <t>居宅</t>
        </is>
      </c>
      <c r="B5" s="6" t="inlineStr">
        <is>
          <t>介護予防居宅療養管理指導</t>
        </is>
      </c>
      <c r="C5" s="6" t="inlineStr">
        <is>
          <t>人</t>
        </is>
      </c>
      <c r="D5" s="10" t="n"/>
      <c r="E5" s="13" t="n">
        <v>2.083333333333333</v>
      </c>
      <c r="F5" s="14" t="n"/>
      <c r="G5" s="7" t="n">
        <v>5294.88</v>
      </c>
      <c r="H5" s="7" t="n">
        <v>5354.206863798503</v>
      </c>
      <c r="I5" s="6" t="inlineStr">
        <is>
          <t>+1.1％</t>
        </is>
      </c>
      <c r="J5" s="13" t="n">
        <v>2.005774920655801</v>
      </c>
      <c r="K5" s="14" t="n"/>
      <c r="L5" s="7" t="n">
        <v>128.8720061689222</v>
      </c>
      <c r="M5" s="13" t="n">
        <v>1.9999407876696</v>
      </c>
      <c r="N5" s="14" t="n"/>
      <c r="O5" s="7" t="n">
        <v>128.4971603103739</v>
      </c>
      <c r="P5" s="13" t="n">
        <v>1.994106654683399</v>
      </c>
      <c r="Q5" s="14" t="n"/>
      <c r="R5" s="7" t="n">
        <v>128.1223144518255</v>
      </c>
      <c r="S5" s="6" t="inlineStr">
        <is>
          <t>-4.3％</t>
        </is>
      </c>
      <c r="T5" s="9" t="inlineStr"/>
    </row>
    <row r="6">
      <c r="A6" s="6" t="inlineStr">
        <is>
          <t>居宅</t>
        </is>
      </c>
      <c r="B6" s="6" t="inlineStr">
        <is>
          <t>介護予防通所リハビリテーション</t>
        </is>
      </c>
      <c r="C6" s="6" t="inlineStr">
        <is>
          <t>日</t>
        </is>
      </c>
      <c r="D6" s="8" t="n">
        <v>6.316417910447761</v>
      </c>
      <c r="E6" s="13" t="n">
        <v>27.41666666666667</v>
      </c>
      <c r="F6" s="13" t="n">
        <v>176.3333333333333</v>
      </c>
      <c r="G6" s="7" t="n">
        <v>35529.34346504559</v>
      </c>
      <c r="H6" s="7" t="n">
        <v>35529.3434650456</v>
      </c>
      <c r="I6" s="6" t="inlineStr">
        <is>
          <t>+0.0％</t>
        </is>
      </c>
      <c r="J6" s="13" t="n">
        <v>27.37685158292187</v>
      </c>
      <c r="K6" s="13" t="n">
        <v>172.9236356700378</v>
      </c>
      <c r="L6" s="7" t="n">
        <v>11672.1787545745</v>
      </c>
      <c r="M6" s="13" t="n">
        <v>27.29722141543228</v>
      </c>
      <c r="N6" s="13" t="n">
        <v>172.4206582538946</v>
      </c>
      <c r="O6" s="7" t="n">
        <v>11638.2282637235</v>
      </c>
      <c r="P6" s="13" t="n">
        <v>27.21759124794268</v>
      </c>
      <c r="Q6" s="13" t="n">
        <v>171.9176808377514</v>
      </c>
      <c r="R6" s="7" t="n">
        <v>11604.27777287249</v>
      </c>
      <c r="S6" s="6" t="inlineStr">
        <is>
          <t>-2.5％</t>
        </is>
      </c>
      <c r="T6" s="9" t="inlineStr"/>
    </row>
    <row r="7">
      <c r="A7" s="6" t="inlineStr">
        <is>
          <t>居宅</t>
        </is>
      </c>
      <c r="B7" s="6" t="inlineStr">
        <is>
          <t>介護予防短期入所生活介護</t>
        </is>
      </c>
      <c r="C7" s="6" t="inlineStr">
        <is>
          <t>日</t>
        </is>
      </c>
      <c r="D7" s="8" t="n">
        <v>5.2</v>
      </c>
      <c r="E7" s="13" t="n">
        <v>0.75</v>
      </c>
      <c r="F7" s="13" t="n">
        <v>4.333333333333333</v>
      </c>
      <c r="G7" s="7" t="n">
        <v>32551</v>
      </c>
      <c r="H7" s="7" t="n">
        <v>27949.48732952393</v>
      </c>
      <c r="I7" s="6" t="inlineStr">
        <is>
          <t>-14.1％</t>
        </is>
      </c>
      <c r="J7" s="13" t="n">
        <v>0.4410197100561855</v>
      </c>
      <c r="K7" s="13" t="n">
        <v>2.293302492292165</v>
      </c>
      <c r="L7" s="7" t="n">
        <v>147.9152975794281</v>
      </c>
      <c r="M7" s="13" t="n">
        <v>0.4397369302130902</v>
      </c>
      <c r="N7" s="13" t="n">
        <v>2.286632037108069</v>
      </c>
      <c r="O7" s="7" t="n">
        <v>147.4850611117741</v>
      </c>
      <c r="P7" s="13" t="n">
        <v>0.4384541503699949</v>
      </c>
      <c r="Q7" s="13" t="n">
        <v>2.279961581923974</v>
      </c>
      <c r="R7" s="7" t="n">
        <v>147.0548246441202</v>
      </c>
      <c r="S7" s="6" t="inlineStr">
        <is>
          <t>-47.4％</t>
        </is>
      </c>
      <c r="T7" s="9" t="inlineStr">
        <is>
          <t>**見込単価が令和7年度実績から10％を超えて離れる。単価も一方向に動いてきたため、3年平均が実績から離れる。件数と単価が逆方向に動くと給付費では打ち消し合う**</t>
        </is>
      </c>
    </row>
    <row r="8">
      <c r="A8" s="6" t="inlineStr">
        <is>
          <t>居宅</t>
        </is>
      </c>
      <c r="B8" s="6" t="inlineStr">
        <is>
          <t>介護予防短期入所療養介護（介護老人保健施設）</t>
        </is>
      </c>
      <c r="C8" s="6" t="inlineStr">
        <is>
          <t>日</t>
        </is>
      </c>
      <c r="D8" s="8" t="n">
        <v>5</v>
      </c>
      <c r="E8" s="13" t="n">
        <v>0.08333333333333333</v>
      </c>
      <c r="F8" s="13" t="n">
        <v>0.4166666666666667</v>
      </c>
      <c r="G8" s="7" t="n">
        <v>50004</v>
      </c>
      <c r="H8" s="7" t="n">
        <v>58459.79788378457</v>
      </c>
      <c r="I8" s="6" t="inlineStr">
        <is>
          <t>+16.9％</t>
        </is>
      </c>
      <c r="J8" s="13" t="n">
        <v>0.0824182284323013</v>
      </c>
      <c r="K8" s="13" t="n">
        <v>0.4120911421615066</v>
      </c>
      <c r="L8" s="7" t="n">
        <v>57.81783571310305</v>
      </c>
      <c r="M8" s="13" t="n">
        <v>0.08217850118264365</v>
      </c>
      <c r="N8" s="13" t="n">
        <v>0.4108925059132183</v>
      </c>
      <c r="O8" s="7" t="n">
        <v>57.64966283435638</v>
      </c>
      <c r="P8" s="13" t="n">
        <v>0.081938773932986</v>
      </c>
      <c r="Q8" s="13" t="n">
        <v>0.40969386966493</v>
      </c>
      <c r="R8" s="7" t="n">
        <v>57.48148995560972</v>
      </c>
      <c r="S8" s="6" t="inlineStr">
        <is>
          <t>-1.7％</t>
        </is>
      </c>
      <c r="T8" s="9" t="inlineStr">
        <is>
          <t>**見込単価が令和7年度実績から10％を超えて離れる。単価も一方向に動いてきたため、3年平均が実績から離れる。件数と単価が逆方向に動くと給付費では打ち消し合う**</t>
        </is>
      </c>
    </row>
    <row r="9">
      <c r="A9" s="6" t="inlineStr">
        <is>
          <t>居宅</t>
        </is>
      </c>
      <c r="B9" s="6" t="inlineStr">
        <is>
          <t>介護予防短期入所療養介護（病院等）</t>
        </is>
      </c>
      <c r="C9" s="6" t="inlineStr">
        <is>
          <t>日</t>
        </is>
      </c>
      <c r="D9" s="8" t="n">
        <v>0</v>
      </c>
      <c r="E9" s="13" t="n">
        <v>0</v>
      </c>
      <c r="F9" s="13" t="n">
        <v>0</v>
      </c>
      <c r="G9" s="11" t="n"/>
      <c r="H9" s="11" t="n"/>
      <c r="I9" s="6" t="inlineStr">
        <is>
          <t>―</t>
        </is>
      </c>
      <c r="J9" s="13" t="n">
        <v>0</v>
      </c>
      <c r="K9" s="13" t="n">
        <v>0</v>
      </c>
      <c r="L9" s="7" t="n">
        <v>0</v>
      </c>
      <c r="M9" s="13" t="n">
        <v>0</v>
      </c>
      <c r="N9" s="13" t="n">
        <v>0</v>
      </c>
      <c r="O9" s="7" t="n">
        <v>0</v>
      </c>
      <c r="P9" s="13" t="n">
        <v>0</v>
      </c>
      <c r="Q9" s="13" t="n">
        <v>0</v>
      </c>
      <c r="R9" s="7" t="n">
        <v>0</v>
      </c>
      <c r="S9" s="6" t="inlineStr">
        <is>
          <t>―</t>
        </is>
      </c>
      <c r="T9" s="9" t="inlineStr">
        <is>
          <t>**月報に実績がないため量は出せない。人数のみ**</t>
        </is>
      </c>
    </row>
    <row r="10">
      <c r="A10" s="6" t="inlineStr">
        <is>
          <t>居宅</t>
        </is>
      </c>
      <c r="B10" s="6" t="inlineStr">
        <is>
          <t>介護予防短期入所療養介護（介護医療院）</t>
        </is>
      </c>
      <c r="C10" s="6" t="inlineStr">
        <is>
          <t>日</t>
        </is>
      </c>
      <c r="D10" s="8" t="n">
        <v>0</v>
      </c>
      <c r="E10" s="13" t="n">
        <v>0</v>
      </c>
      <c r="F10" s="13" t="n">
        <v>0</v>
      </c>
      <c r="G10" s="11" t="n"/>
      <c r="H10" s="11" t="n"/>
      <c r="I10" s="6" t="inlineStr">
        <is>
          <t>―</t>
        </is>
      </c>
      <c r="J10" s="13" t="n">
        <v>0</v>
      </c>
      <c r="K10" s="13" t="n">
        <v>0</v>
      </c>
      <c r="L10" s="7" t="n">
        <v>0</v>
      </c>
      <c r="M10" s="13" t="n">
        <v>0</v>
      </c>
      <c r="N10" s="13" t="n">
        <v>0</v>
      </c>
      <c r="O10" s="7" t="n">
        <v>0</v>
      </c>
      <c r="P10" s="13" t="n">
        <v>0</v>
      </c>
      <c r="Q10" s="13" t="n">
        <v>0</v>
      </c>
      <c r="R10" s="7" t="n">
        <v>0</v>
      </c>
      <c r="S10" s="6" t="inlineStr">
        <is>
          <t>―</t>
        </is>
      </c>
      <c r="T10" s="9" t="inlineStr">
        <is>
          <t>**月報に実績がないため量は出せない。人数のみ**</t>
        </is>
      </c>
    </row>
    <row r="11">
      <c r="A11" s="6" t="inlineStr">
        <is>
          <t>居宅</t>
        </is>
      </c>
      <c r="B11" s="6" t="inlineStr">
        <is>
          <t>介護予防福祉用具貸与</t>
        </is>
      </c>
      <c r="C11" s="6" t="inlineStr">
        <is>
          <t>人</t>
        </is>
      </c>
      <c r="D11" s="10" t="n"/>
      <c r="E11" s="13" t="n">
        <v>57.33333333333334</v>
      </c>
      <c r="F11" s="14" t="n"/>
      <c r="G11" s="7" t="n">
        <v>8721.492732558139</v>
      </c>
      <c r="H11" s="7" t="n">
        <v>8721.492732558139</v>
      </c>
      <c r="I11" s="6" t="inlineStr">
        <is>
          <t>+0.0％</t>
        </is>
      </c>
      <c r="J11" s="13" t="n">
        <v>57.25007261109497</v>
      </c>
      <c r="K11" s="14" t="n"/>
      <c r="L11" s="7" t="n">
        <v>5991.673106593087</v>
      </c>
      <c r="M11" s="13" t="n">
        <v>57.08355116661826</v>
      </c>
      <c r="N11" s="14" t="n"/>
      <c r="O11" s="7" t="n">
        <v>5974.245319779262</v>
      </c>
      <c r="P11" s="13" t="n">
        <v>56.91702972214154</v>
      </c>
      <c r="Q11" s="14" t="n"/>
      <c r="R11" s="7" t="n">
        <v>5956.817532965438</v>
      </c>
      <c r="S11" s="6" t="inlineStr">
        <is>
          <t>-0.7％</t>
        </is>
      </c>
      <c r="T11" s="9" t="inlineStr"/>
    </row>
    <row r="12">
      <c r="A12" s="15" t="inlineStr">
        <is>
          <t>居宅</t>
        </is>
      </c>
      <c r="B12" s="15" t="inlineStr">
        <is>
          <t>特定介護予防福祉用具販売</t>
        </is>
      </c>
      <c r="C12" s="15" t="inlineStr">
        <is>
          <t>人</t>
        </is>
      </c>
      <c r="D12" s="10" t="n"/>
      <c r="E12" s="13" t="n">
        <v>1.416666666666667</v>
      </c>
      <c r="F12" s="14" t="n"/>
      <c r="G12" s="7" t="n">
        <v>28474.11764705883</v>
      </c>
      <c r="H12" s="7" t="n">
        <v>28229.15434422077</v>
      </c>
      <c r="I12" s="15" t="inlineStr">
        <is>
          <t>-0.9％</t>
        </is>
      </c>
      <c r="J12" s="13" t="n">
        <v>1.199431787520105</v>
      </c>
      <c r="K12" s="14" t="n"/>
      <c r="L12" s="7" t="n">
        <v>406.3073406632359</v>
      </c>
      <c r="M12" s="13" t="n">
        <v>1.195943038865305</v>
      </c>
      <c r="N12" s="14" t="n"/>
      <c r="O12" s="7" t="n">
        <v>405.1255275723015</v>
      </c>
      <c r="P12" s="13" t="n">
        <v>1.192454290210506</v>
      </c>
      <c r="Q12" s="14" t="n"/>
      <c r="R12" s="7" t="n">
        <v>403.9437144813671</v>
      </c>
      <c r="S12" s="15" t="inlineStr">
        <is>
          <t>-15.8％</t>
        </is>
      </c>
      <c r="T12" s="16" t="inlineStr">
        <is>
          <t>**令和7年度実績から15％を超えて動く。基準期間を令和5〜7年度の3年平均としているため、一方向に動いてきたサービスでは平均に引き戻される。00シートの「趨勢のあるサービスの扱い」を参照**</t>
        </is>
      </c>
    </row>
    <row r="13">
      <c r="A13" s="6" t="inlineStr">
        <is>
          <t>居宅</t>
        </is>
      </c>
      <c r="B13" s="6" t="inlineStr">
        <is>
          <t>介護予防住宅改修</t>
        </is>
      </c>
      <c r="C13" s="6" t="inlineStr">
        <is>
          <t>人</t>
        </is>
      </c>
      <c r="D13" s="10" t="n"/>
      <c r="E13" s="13" t="n">
        <v>0.9166666666666666</v>
      </c>
      <c r="F13" s="14" t="n"/>
      <c r="G13" s="7" t="n">
        <v>79704.45454545454</v>
      </c>
      <c r="H13" s="7" t="n">
        <v>97687.71974706066</v>
      </c>
      <c r="I13" s="6" t="inlineStr">
        <is>
          <t>+22.6％</t>
        </is>
      </c>
      <c r="J13" s="13" t="n">
        <v>0.9908054356087804</v>
      </c>
      <c r="K13" s="14" t="n"/>
      <c r="L13" s="7" t="n">
        <v>1161.474284611379</v>
      </c>
      <c r="M13" s="13" t="n">
        <v>0.9879235117123034</v>
      </c>
      <c r="N13" s="14" t="n"/>
      <c r="O13" s="7" t="n">
        <v>1158.095941724202</v>
      </c>
      <c r="P13" s="13" t="n">
        <v>0.9850415878158264</v>
      </c>
      <c r="Q13" s="14" t="n"/>
      <c r="R13" s="7" t="n">
        <v>1154.717598837025</v>
      </c>
      <c r="S13" s="6" t="inlineStr">
        <is>
          <t>+7.5％</t>
        </is>
      </c>
      <c r="T13" s="9" t="inlineStr">
        <is>
          <t>**見込単価が令和7年度実績から10％を超えて離れる。単価も一方向に動いてきたため、3年平均が実績から離れる。件数と単価が逆方向に動くと給付費では打ち消し合う**</t>
        </is>
      </c>
    </row>
    <row r="14">
      <c r="A14" s="6" t="inlineStr">
        <is>
          <t>居宅</t>
        </is>
      </c>
      <c r="B14" s="6" t="inlineStr">
        <is>
          <t>介護予防特定施設入居者生活介護</t>
        </is>
      </c>
      <c r="C14" s="6" t="inlineStr">
        <is>
          <t>人</t>
        </is>
      </c>
      <c r="D14" s="10" t="n"/>
      <c r="E14" s="13" t="n">
        <v>0</v>
      </c>
      <c r="F14" s="14" t="n"/>
      <c r="G14" s="11" t="n"/>
      <c r="H14" s="11" t="n"/>
      <c r="I14" s="6" t="inlineStr">
        <is>
          <t>―</t>
        </is>
      </c>
      <c r="J14" s="13" t="n">
        <v>0</v>
      </c>
      <c r="K14" s="14" t="n"/>
      <c r="L14" s="7" t="n">
        <v>0</v>
      </c>
      <c r="M14" s="13" t="n">
        <v>0</v>
      </c>
      <c r="N14" s="14" t="n"/>
      <c r="O14" s="7" t="n">
        <v>0</v>
      </c>
      <c r="P14" s="13" t="n">
        <v>0</v>
      </c>
      <c r="Q14" s="14" t="n"/>
      <c r="R14" s="7" t="n">
        <v>0</v>
      </c>
      <c r="S14" s="6" t="inlineStr">
        <is>
          <t>―</t>
        </is>
      </c>
      <c r="T14" s="9" t="inlineStr"/>
    </row>
    <row r="15">
      <c r="A15" s="6" t="inlineStr">
        <is>
          <t>居宅</t>
        </is>
      </c>
      <c r="B15" s="6" t="inlineStr">
        <is>
          <t>介護予防支援</t>
        </is>
      </c>
      <c r="C15" s="6" t="inlineStr">
        <is>
          <t>人</t>
        </is>
      </c>
      <c r="D15" s="10" t="n"/>
      <c r="E15" s="13" t="n">
        <v>76.58333333333333</v>
      </c>
      <c r="F15" s="14" t="n"/>
      <c r="G15" s="7" t="n">
        <v>4511.403699673559</v>
      </c>
      <c r="H15" s="7" t="n">
        <v>4511.403699673558</v>
      </c>
      <c r="I15" s="6" t="inlineStr">
        <is>
          <t>-0.0％</t>
        </is>
      </c>
      <c r="J15" s="13" t="n">
        <v>76.47211733952948</v>
      </c>
      <c r="K15" s="14" t="n"/>
      <c r="L15" s="7" t="n">
        <v>4139.959117049085</v>
      </c>
      <c r="M15" s="13" t="n">
        <v>76.24968535192177</v>
      </c>
      <c r="N15" s="14" t="n"/>
      <c r="O15" s="7" t="n">
        <v>4127.917351147255</v>
      </c>
      <c r="P15" s="13" t="n">
        <v>76.02725336431406</v>
      </c>
      <c r="Q15" s="14" t="n"/>
      <c r="R15" s="7" t="n">
        <v>4115.875585245425</v>
      </c>
      <c r="S15" s="6" t="inlineStr">
        <is>
          <t>-0.7％</t>
        </is>
      </c>
      <c r="T15" s="9" t="inlineStr"/>
    </row>
    <row r="16">
      <c r="A16" s="6" t="inlineStr">
        <is>
          <t>地域密着型</t>
        </is>
      </c>
      <c r="B16" s="6" t="inlineStr">
        <is>
          <t>介護予防認知症対応型通所介護</t>
        </is>
      </c>
      <c r="C16" s="6" t="inlineStr">
        <is>
          <t>日</t>
        </is>
      </c>
      <c r="D16" s="8" t="n">
        <v>0</v>
      </c>
      <c r="E16" s="13" t="n">
        <v>0</v>
      </c>
      <c r="F16" s="13" t="n">
        <v>0</v>
      </c>
      <c r="G16" s="11" t="n"/>
      <c r="H16" s="11" t="n"/>
      <c r="I16" s="6" t="inlineStr">
        <is>
          <t>―</t>
        </is>
      </c>
      <c r="J16" s="13" t="n">
        <v>0</v>
      </c>
      <c r="K16" s="13" t="n">
        <v>0</v>
      </c>
      <c r="L16" s="7" t="n">
        <v>0</v>
      </c>
      <c r="M16" s="13" t="n">
        <v>0</v>
      </c>
      <c r="N16" s="13" t="n">
        <v>0</v>
      </c>
      <c r="O16" s="7" t="n">
        <v>0</v>
      </c>
      <c r="P16" s="13" t="n">
        <v>0</v>
      </c>
      <c r="Q16" s="13" t="n">
        <v>0</v>
      </c>
      <c r="R16" s="7" t="n">
        <v>0</v>
      </c>
      <c r="S16" s="6" t="inlineStr">
        <is>
          <t>―</t>
        </is>
      </c>
      <c r="T16" s="9" t="inlineStr">
        <is>
          <t>**月報に実績がないため量は出せない。人数のみ**</t>
        </is>
      </c>
    </row>
    <row r="17">
      <c r="A17" s="6" t="inlineStr">
        <is>
          <t>地域密着型</t>
        </is>
      </c>
      <c r="B17" s="6" t="inlineStr">
        <is>
          <t>介護予防小規模多機能型居宅介護</t>
        </is>
      </c>
      <c r="C17" s="6" t="inlineStr">
        <is>
          <t>人</t>
        </is>
      </c>
      <c r="D17" s="10" t="n"/>
      <c r="E17" s="13" t="n">
        <v>7.666666666666667</v>
      </c>
      <c r="F17" s="14" t="n"/>
      <c r="G17" s="7" t="n">
        <v>79218.68478260869</v>
      </c>
      <c r="H17" s="7" t="n">
        <v>78518.68233595132</v>
      </c>
      <c r="I17" s="6" t="inlineStr">
        <is>
          <t>-0.9％</t>
        </is>
      </c>
      <c r="J17" s="13" t="n">
        <v>6.707584373344008</v>
      </c>
      <c r="K17" s="14" t="n"/>
      <c r="L17" s="7" t="n">
        <v>6320.048239826271</v>
      </c>
      <c r="M17" s="13" t="n">
        <v>6.688074238459354</v>
      </c>
      <c r="N17" s="14" t="n"/>
      <c r="O17" s="7" t="n">
        <v>6301.665318826195</v>
      </c>
      <c r="P17" s="13" t="n">
        <v>6.6685641035747</v>
      </c>
      <c r="Q17" s="14" t="n"/>
      <c r="R17" s="7" t="n">
        <v>6283.282397826119</v>
      </c>
      <c r="S17" s="6" t="inlineStr">
        <is>
          <t>-13.0％</t>
        </is>
      </c>
      <c r="T17" s="9" t="inlineStr"/>
    </row>
    <row r="18">
      <c r="A18" s="6" t="inlineStr">
        <is>
          <t>地域密着型</t>
        </is>
      </c>
      <c r="B18" s="6" t="inlineStr">
        <is>
          <t>介護予防認知症対応型共同生活介護</t>
        </is>
      </c>
      <c r="C18" s="6" t="inlineStr">
        <is>
          <t>人</t>
        </is>
      </c>
      <c r="D18" s="10" t="n"/>
      <c r="E18" s="13" t="n">
        <v>1.166666666666667</v>
      </c>
      <c r="F18" s="14" t="n"/>
      <c r="G18" s="7" t="n">
        <v>238812.4285714286</v>
      </c>
      <c r="H18" s="7" t="n">
        <v>238812.4285714286</v>
      </c>
      <c r="I18" s="6" t="inlineStr">
        <is>
          <t>-0.0％</t>
        </is>
      </c>
      <c r="J18" s="13" t="n">
        <v>1.164972407783909</v>
      </c>
      <c r="K18" s="14" t="n"/>
      <c r="L18" s="7" t="n">
        <v>3338.51867905896</v>
      </c>
      <c r="M18" s="13" t="n">
        <v>1.161583890018395</v>
      </c>
      <c r="N18" s="14" t="n"/>
      <c r="O18" s="7" t="n">
        <v>3328.808037176881</v>
      </c>
      <c r="P18" s="13" t="n">
        <v>1.15819537225288</v>
      </c>
      <c r="Q18" s="14" t="n"/>
      <c r="R18" s="7" t="n">
        <v>3319.097395294801</v>
      </c>
      <c r="S18" s="6" t="inlineStr">
        <is>
          <t>-0.7％</t>
        </is>
      </c>
      <c r="T18" s="9" t="inlineStr"/>
    </row>
    <row r="20">
      <c r="A20" s="12" t="inlineStr">
        <is>
          <t>※ 予防給付（要支援1・2）。「量/月」は単位欄の単位（回・日）による月あたりの量。単位が「人」のサービスは人数のみで、量は出さない。</t>
        </is>
      </c>
    </row>
    <row r="21">
      <c r="A21" s="12" t="inlineStr">
        <is>
          <t>※ 量/月 ＝ 人/月 × R7の日数/件。人/月は年報から組んだ見込件数÷12。</t>
        </is>
      </c>
    </row>
    <row r="22">
      <c r="A22" s="12" t="inlineStr">
        <is>
          <t>**※ 訪問系の「回」は国保連月報の実日数による。**1日当たり単位数からみて1日1回が主体だが、厳密には回数は日数を1割程度上回る。</t>
        </is>
      </c>
    </row>
    <row r="23">
      <c r="A23" s="12" t="inlineStr">
        <is>
          <t>※ 給付費は年報から組んだ試算による。報酬改定率は0.0％で置いている。</t>
        </is>
      </c>
    </row>
    <row r="24">
      <c r="A24" s="12" t="inlineStr">
        <is>
          <t>**※ 「見込単価」は見込給付費÷見込件数。件数と給付費をそれぞれ令和5〜7年度の平均で置いているため、両者の比である単価は令和7年度実績と一致しない。**10％を超えて離れるのは訪問介護（▲13.8％）と短期入所療養介護（老健）（▲12.9％）の2件。</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12" customWidth="1" min="3" max="3"/>
    <col width="14" customWidth="1" min="4" max="4"/>
    <col width="12" customWidth="1" min="5" max="5"/>
    <col width="12" customWidth="1" min="6" max="6"/>
    <col width="12" customWidth="1" min="7" max="7"/>
    <col width="14" customWidth="1" min="8" max="8"/>
    <col width="34" customWidth="1" min="9" max="9"/>
  </cols>
  <sheetData>
    <row r="1">
      <c r="A1" s="5" t="inlineStr">
        <is>
          <t>区分</t>
        </is>
      </c>
      <c r="B1" s="5" t="inlineStr">
        <is>
          <t>サービス</t>
        </is>
      </c>
      <c r="C1" s="5" t="inlineStr">
        <is>
          <t>単位</t>
        </is>
      </c>
      <c r="D1" s="5" t="inlineStr">
        <is>
          <t>令和7年度（実績）</t>
        </is>
      </c>
      <c r="E1" s="5" t="inlineStr">
        <is>
          <t>令和9年度</t>
        </is>
      </c>
      <c r="F1" s="5" t="inlineStr">
        <is>
          <t>令和10年度</t>
        </is>
      </c>
      <c r="G1" s="5" t="inlineStr">
        <is>
          <t>令和11年度</t>
        </is>
      </c>
      <c r="H1" s="5" t="inlineStr">
        <is>
          <t>基準期間</t>
        </is>
      </c>
      <c r="I1" s="5" t="inlineStr">
        <is>
          <t>備考</t>
        </is>
      </c>
    </row>
    <row r="2">
      <c r="A2" s="17" t="inlineStr">
        <is>
          <t>■ 介護給付（要介護1〜5）</t>
        </is>
      </c>
      <c r="B2" s="18" t="n"/>
      <c r="C2" s="18" t="n"/>
      <c r="D2" s="18" t="n"/>
      <c r="E2" s="18" t="n"/>
      <c r="F2" s="18" t="n"/>
      <c r="G2" s="18" t="n"/>
      <c r="H2" s="18" t="n"/>
      <c r="I2" s="19" t="n"/>
    </row>
    <row r="3">
      <c r="A3" s="6" t="inlineStr">
        <is>
          <t>居宅</t>
        </is>
      </c>
      <c r="B3" s="6" t="inlineStr">
        <is>
          <t>訪問介護</t>
        </is>
      </c>
      <c r="C3" s="6" t="inlineStr">
        <is>
          <t>回/月</t>
        </is>
      </c>
      <c r="D3" s="7" t="n">
        <v>792</v>
      </c>
      <c r="E3" s="7" t="n">
        <v>1009</v>
      </c>
      <c r="F3" s="7" t="n">
        <v>1006</v>
      </c>
      <c r="G3" s="7" t="n">
        <v>1003</v>
      </c>
      <c r="H3" s="6" t="inlineStr">
        <is>
          <t>5年度／6年度／7年度</t>
        </is>
      </c>
      <c r="I3" s="9" t="inlineStr"/>
    </row>
    <row r="4">
      <c r="A4" s="6" t="inlineStr"/>
      <c r="B4" s="6" t="inlineStr"/>
      <c r="C4" s="6" t="inlineStr">
        <is>
          <t>人/月</t>
        </is>
      </c>
      <c r="D4" s="13" t="n">
        <v>51.2</v>
      </c>
      <c r="E4" s="13" t="n">
        <v>65.2</v>
      </c>
      <c r="F4" s="13" t="n">
        <v>65</v>
      </c>
      <c r="G4" s="13" t="n">
        <v>64.8</v>
      </c>
      <c r="H4" s="6" t="inlineStr"/>
      <c r="I4" s="9" t="inlineStr"/>
    </row>
    <row r="5">
      <c r="A5" s="6" t="inlineStr"/>
      <c r="B5" s="6" t="inlineStr"/>
      <c r="C5" s="6" t="inlineStr">
        <is>
          <t>給付費(千円)</t>
        </is>
      </c>
      <c r="D5" s="18" t="n"/>
      <c r="E5" s="7" t="n">
        <v>32660</v>
      </c>
      <c r="F5" s="7" t="n">
        <v>32565</v>
      </c>
      <c r="G5" s="7" t="n">
        <v>32470</v>
      </c>
      <c r="H5" s="6" t="inlineStr"/>
      <c r="I5" s="9" t="inlineStr"/>
    </row>
    <row r="6">
      <c r="A6" s="6" t="inlineStr">
        <is>
          <t>居宅</t>
        </is>
      </c>
      <c r="B6" s="6" t="inlineStr">
        <is>
          <t>訪問入浴介護</t>
        </is>
      </c>
      <c r="C6" s="6" t="inlineStr">
        <is>
          <t>回/月</t>
        </is>
      </c>
      <c r="D6" s="7" t="n">
        <v>17</v>
      </c>
      <c r="E6" s="7" t="n">
        <v>20</v>
      </c>
      <c r="F6" s="7" t="n">
        <v>20</v>
      </c>
      <c r="G6" s="7" t="n">
        <v>20</v>
      </c>
      <c r="H6" s="6" t="inlineStr">
        <is>
          <t>5年度／6年度／7年度</t>
        </is>
      </c>
      <c r="I6" s="9" t="inlineStr"/>
    </row>
    <row r="7">
      <c r="A7" s="6" t="inlineStr"/>
      <c r="B7" s="6" t="inlineStr"/>
      <c r="C7" s="6" t="inlineStr">
        <is>
          <t>人/月</t>
        </is>
      </c>
      <c r="D7" s="13" t="n">
        <v>4.8</v>
      </c>
      <c r="E7" s="13" t="n">
        <v>5.6</v>
      </c>
      <c r="F7" s="13" t="n">
        <v>5.6</v>
      </c>
      <c r="G7" s="13" t="n">
        <v>5.5</v>
      </c>
      <c r="H7" s="6" t="inlineStr"/>
      <c r="I7" s="9" t="inlineStr"/>
    </row>
    <row r="8">
      <c r="A8" s="6" t="inlineStr"/>
      <c r="B8" s="6" t="inlineStr"/>
      <c r="C8" s="6" t="inlineStr">
        <is>
          <t>給付費(千円)</t>
        </is>
      </c>
      <c r="D8" s="18" t="n"/>
      <c r="E8" s="7" t="n">
        <v>3624</v>
      </c>
      <c r="F8" s="7" t="n">
        <v>3614</v>
      </c>
      <c r="G8" s="7" t="n">
        <v>3603</v>
      </c>
      <c r="H8" s="6" t="inlineStr"/>
      <c r="I8" s="9" t="inlineStr"/>
    </row>
    <row r="9">
      <c r="A9" s="6" t="inlineStr">
        <is>
          <t>居宅</t>
        </is>
      </c>
      <c r="B9" s="6" t="inlineStr">
        <is>
          <t>訪問看護</t>
        </is>
      </c>
      <c r="C9" s="6" t="inlineStr">
        <is>
          <t>回/月</t>
        </is>
      </c>
      <c r="D9" s="7" t="n">
        <v>273</v>
      </c>
      <c r="E9" s="7" t="n">
        <v>272</v>
      </c>
      <c r="F9" s="7" t="n">
        <v>272</v>
      </c>
      <c r="G9" s="7" t="n">
        <v>271</v>
      </c>
      <c r="H9" s="6" t="inlineStr">
        <is>
          <t>7年度</t>
        </is>
      </c>
      <c r="I9" s="9" t="inlineStr"/>
    </row>
    <row r="10">
      <c r="A10" s="6" t="inlineStr"/>
      <c r="B10" s="6" t="inlineStr"/>
      <c r="C10" s="6" t="inlineStr">
        <is>
          <t>人/月</t>
        </is>
      </c>
      <c r="D10" s="13" t="n">
        <v>41.8</v>
      </c>
      <c r="E10" s="13" t="n">
        <v>41.8</v>
      </c>
      <c r="F10" s="13" t="n">
        <v>41.7</v>
      </c>
      <c r="G10" s="13" t="n">
        <v>41.5</v>
      </c>
      <c r="H10" s="6" t="inlineStr"/>
      <c r="I10" s="9" t="inlineStr"/>
    </row>
    <row r="11">
      <c r="A11" s="6" t="inlineStr"/>
      <c r="B11" s="6" t="inlineStr"/>
      <c r="C11" s="6" t="inlineStr">
        <is>
          <t>給付費(千円)</t>
        </is>
      </c>
      <c r="D11" s="18" t="n"/>
      <c r="E11" s="7" t="n">
        <v>20158</v>
      </c>
      <c r="F11" s="7" t="n">
        <v>20099</v>
      </c>
      <c r="G11" s="7" t="n">
        <v>20040</v>
      </c>
      <c r="H11" s="6" t="inlineStr"/>
      <c r="I11" s="9" t="inlineStr"/>
    </row>
    <row r="12">
      <c r="A12" s="6" t="inlineStr">
        <is>
          <t>居宅</t>
        </is>
      </c>
      <c r="B12" s="6" t="inlineStr">
        <is>
          <t>訪問リハビリテーション</t>
        </is>
      </c>
      <c r="C12" s="6" t="inlineStr">
        <is>
          <t>回/月</t>
        </is>
      </c>
      <c r="D12" s="7" t="n">
        <v>0</v>
      </c>
      <c r="E12" s="7" t="n">
        <v>0</v>
      </c>
      <c r="F12" s="7" t="n">
        <v>0</v>
      </c>
      <c r="G12" s="7" t="n">
        <v>0</v>
      </c>
      <c r="H12" s="6" t="inlineStr">
        <is>
          <t>7年度</t>
        </is>
      </c>
      <c r="I12" s="9" t="inlineStr"/>
    </row>
    <row r="13">
      <c r="A13" s="6" t="inlineStr"/>
      <c r="B13" s="6" t="inlineStr"/>
      <c r="C13" s="6" t="inlineStr">
        <is>
          <t>人/月</t>
        </is>
      </c>
      <c r="D13" s="13" t="n">
        <v>0</v>
      </c>
      <c r="E13" s="13" t="n">
        <v>0</v>
      </c>
      <c r="F13" s="13" t="n">
        <v>0</v>
      </c>
      <c r="G13" s="13" t="n">
        <v>0</v>
      </c>
      <c r="H13" s="6" t="inlineStr"/>
      <c r="I13" s="9" t="inlineStr"/>
    </row>
    <row r="14">
      <c r="A14" s="6" t="inlineStr"/>
      <c r="B14" s="6" t="inlineStr"/>
      <c r="C14" s="6" t="inlineStr">
        <is>
          <t>給付費(千円)</t>
        </is>
      </c>
      <c r="D14" s="18" t="n"/>
      <c r="E14" s="7" t="n">
        <v>0</v>
      </c>
      <c r="F14" s="7" t="n">
        <v>0</v>
      </c>
      <c r="G14" s="7" t="n">
        <v>0</v>
      </c>
      <c r="H14" s="6" t="inlineStr"/>
      <c r="I14" s="9" t="inlineStr"/>
    </row>
    <row r="15">
      <c r="A15" s="6" t="inlineStr">
        <is>
          <t>居宅</t>
        </is>
      </c>
      <c r="B15" s="6" t="inlineStr">
        <is>
          <t>居宅療養管理指導</t>
        </is>
      </c>
      <c r="C15" s="6" t="inlineStr">
        <is>
          <t>人/月</t>
        </is>
      </c>
      <c r="D15" s="13" t="n">
        <v>9.1</v>
      </c>
      <c r="E15" s="13" t="n">
        <v>9.5</v>
      </c>
      <c r="F15" s="13" t="n">
        <v>9.5</v>
      </c>
      <c r="G15" s="13" t="n">
        <v>9.5</v>
      </c>
      <c r="H15" s="6" t="inlineStr">
        <is>
          <t>5年度／6年度／7年度</t>
        </is>
      </c>
      <c r="I15" s="9" t="inlineStr"/>
    </row>
    <row r="16">
      <c r="A16" s="6" t="inlineStr"/>
      <c r="B16" s="6" t="inlineStr"/>
      <c r="C16" s="6" t="inlineStr">
        <is>
          <t>給付費(千円)</t>
        </is>
      </c>
      <c r="D16" s="18" t="n"/>
      <c r="E16" s="7" t="n">
        <v>923</v>
      </c>
      <c r="F16" s="7" t="n">
        <v>921</v>
      </c>
      <c r="G16" s="7" t="n">
        <v>918</v>
      </c>
      <c r="H16" s="6" t="inlineStr"/>
      <c r="I16" s="9" t="inlineStr"/>
    </row>
    <row r="17">
      <c r="A17" s="6" t="inlineStr">
        <is>
          <t>居宅</t>
        </is>
      </c>
      <c r="B17" s="6" t="inlineStr">
        <is>
          <t>通所介護</t>
        </is>
      </c>
      <c r="C17" s="6" t="inlineStr">
        <is>
          <t>回/月</t>
        </is>
      </c>
      <c r="D17" s="7" t="n">
        <v>1531</v>
      </c>
      <c r="E17" s="7" t="n">
        <v>1589</v>
      </c>
      <c r="F17" s="7" t="n">
        <v>1584</v>
      </c>
      <c r="G17" s="7" t="n">
        <v>1579</v>
      </c>
      <c r="H17" s="6" t="inlineStr">
        <is>
          <t>5年度／6年度／7年度</t>
        </is>
      </c>
      <c r="I17" s="9" t="inlineStr"/>
    </row>
    <row r="18">
      <c r="A18" s="6" t="inlineStr"/>
      <c r="B18" s="6" t="inlineStr"/>
      <c r="C18" s="6" t="inlineStr">
        <is>
          <t>人/月</t>
        </is>
      </c>
      <c r="D18" s="13" t="n">
        <v>167.5</v>
      </c>
      <c r="E18" s="13" t="n">
        <v>173.8</v>
      </c>
      <c r="F18" s="13" t="n">
        <v>173.3</v>
      </c>
      <c r="G18" s="13" t="n">
        <v>172.8</v>
      </c>
      <c r="H18" s="6" t="inlineStr"/>
      <c r="I18" s="9" t="inlineStr"/>
    </row>
    <row r="19">
      <c r="A19" s="6" t="inlineStr"/>
      <c r="B19" s="6" t="inlineStr"/>
      <c r="C19" s="6" t="inlineStr">
        <is>
          <t>給付費(千円)</t>
        </is>
      </c>
      <c r="D19" s="18" t="n"/>
      <c r="E19" s="7" t="n">
        <v>156967</v>
      </c>
      <c r="F19" s="7" t="n">
        <v>156511</v>
      </c>
      <c r="G19" s="7" t="n">
        <v>156054</v>
      </c>
      <c r="H19" s="6" t="inlineStr"/>
      <c r="I19" s="9" t="inlineStr"/>
    </row>
    <row r="20">
      <c r="A20" s="6" t="inlineStr">
        <is>
          <t>居宅</t>
        </is>
      </c>
      <c r="B20" s="6" t="inlineStr">
        <is>
          <t>通所リハビリテーション</t>
        </is>
      </c>
      <c r="C20" s="6" t="inlineStr">
        <is>
          <t>回/月</t>
        </is>
      </c>
      <c r="D20" s="7" t="n">
        <v>186</v>
      </c>
      <c r="E20" s="7" t="n">
        <v>178</v>
      </c>
      <c r="F20" s="7" t="n">
        <v>178</v>
      </c>
      <c r="G20" s="7" t="n">
        <v>177</v>
      </c>
      <c r="H20" s="6" t="inlineStr">
        <is>
          <t>5年度／6年度／7年度</t>
        </is>
      </c>
      <c r="I20" s="9" t="inlineStr"/>
    </row>
    <row r="21">
      <c r="A21" s="6" t="inlineStr"/>
      <c r="B21" s="6" t="inlineStr"/>
      <c r="C21" s="6" t="inlineStr">
        <is>
          <t>人/月</t>
        </is>
      </c>
      <c r="D21" s="13" t="n">
        <v>26.5</v>
      </c>
      <c r="E21" s="13" t="n">
        <v>25.4</v>
      </c>
      <c r="F21" s="13" t="n">
        <v>25.4</v>
      </c>
      <c r="G21" s="13" t="n">
        <v>25.3</v>
      </c>
      <c r="H21" s="6" t="inlineStr"/>
      <c r="I21" s="9" t="inlineStr"/>
    </row>
    <row r="22">
      <c r="A22" s="6" t="inlineStr"/>
      <c r="B22" s="6" t="inlineStr"/>
      <c r="C22" s="6" t="inlineStr">
        <is>
          <t>給付費(千円)</t>
        </is>
      </c>
      <c r="D22" s="18" t="n"/>
      <c r="E22" s="7" t="n">
        <v>14218</v>
      </c>
      <c r="F22" s="7" t="n">
        <v>14176</v>
      </c>
      <c r="G22" s="7" t="n">
        <v>14135</v>
      </c>
      <c r="H22" s="6" t="inlineStr"/>
      <c r="I22" s="9" t="inlineStr"/>
    </row>
    <row r="23">
      <c r="A23" s="6" t="inlineStr">
        <is>
          <t>居宅</t>
        </is>
      </c>
      <c r="B23" s="6" t="inlineStr">
        <is>
          <t>短期入所生活介護</t>
        </is>
      </c>
      <c r="C23" s="6" t="inlineStr">
        <is>
          <t>日/月</t>
        </is>
      </c>
      <c r="D23" s="7" t="n">
        <v>237</v>
      </c>
      <c r="E23" s="7" t="n">
        <v>245</v>
      </c>
      <c r="F23" s="7" t="n">
        <v>244</v>
      </c>
      <c r="G23" s="7" t="n">
        <v>243</v>
      </c>
      <c r="H23" s="6" t="inlineStr">
        <is>
          <t>5年度／6年度／7年度</t>
        </is>
      </c>
      <c r="I23" s="9" t="inlineStr"/>
    </row>
    <row r="24">
      <c r="A24" s="6" t="inlineStr"/>
      <c r="B24" s="6" t="inlineStr"/>
      <c r="C24" s="6" t="inlineStr">
        <is>
          <t>人/月</t>
        </is>
      </c>
      <c r="D24" s="13" t="n">
        <v>25.6</v>
      </c>
      <c r="E24" s="13" t="n">
        <v>26.5</v>
      </c>
      <c r="F24" s="13" t="n">
        <v>26.4</v>
      </c>
      <c r="G24" s="13" t="n">
        <v>26.3</v>
      </c>
      <c r="H24" s="6" t="inlineStr"/>
      <c r="I24" s="9" t="inlineStr"/>
    </row>
    <row r="25">
      <c r="A25" s="6" t="inlineStr"/>
      <c r="B25" s="6" t="inlineStr"/>
      <c r="C25" s="6" t="inlineStr">
        <is>
          <t>給付費(千円)</t>
        </is>
      </c>
      <c r="D25" s="18" t="n"/>
      <c r="E25" s="7" t="n">
        <v>28650</v>
      </c>
      <c r="F25" s="7" t="n">
        <v>28567</v>
      </c>
      <c r="G25" s="7" t="n">
        <v>28484</v>
      </c>
      <c r="H25" s="6" t="inlineStr"/>
      <c r="I25" s="9" t="inlineStr"/>
    </row>
    <row r="26">
      <c r="A26" s="6" t="inlineStr">
        <is>
          <t>居宅</t>
        </is>
      </c>
      <c r="B26" s="6" t="inlineStr">
        <is>
          <t>短期入所療養介護（介護老人保健施設）</t>
        </is>
      </c>
      <c r="C26" s="6" t="inlineStr">
        <is>
          <t>日/月</t>
        </is>
      </c>
      <c r="D26" s="7" t="n">
        <v>21</v>
      </c>
      <c r="E26" s="7" t="n">
        <v>19</v>
      </c>
      <c r="F26" s="7" t="n">
        <v>19</v>
      </c>
      <c r="G26" s="7" t="n">
        <v>19</v>
      </c>
      <c r="H26" s="6" t="inlineStr">
        <is>
          <t>5年度／6年度／7年度</t>
        </is>
      </c>
      <c r="I26" s="9" t="inlineStr"/>
    </row>
    <row r="27">
      <c r="A27" s="6" t="inlineStr"/>
      <c r="B27" s="6" t="inlineStr"/>
      <c r="C27" s="6" t="inlineStr">
        <is>
          <t>人/月</t>
        </is>
      </c>
      <c r="D27" s="13" t="n">
        <v>3.2</v>
      </c>
      <c r="E27" s="13" t="n">
        <v>3</v>
      </c>
      <c r="F27" s="13" t="n">
        <v>3</v>
      </c>
      <c r="G27" s="13" t="n">
        <v>3</v>
      </c>
      <c r="H27" s="6" t="inlineStr"/>
      <c r="I27" s="9" t="inlineStr"/>
    </row>
    <row r="28">
      <c r="A28" s="6" t="inlineStr"/>
      <c r="B28" s="6" t="inlineStr"/>
      <c r="C28" s="6" t="inlineStr">
        <is>
          <t>給付費(千円)</t>
        </is>
      </c>
      <c r="D28" s="18" t="n"/>
      <c r="E28" s="7" t="n">
        <v>1857</v>
      </c>
      <c r="F28" s="7" t="n">
        <v>1852</v>
      </c>
      <c r="G28" s="7" t="n">
        <v>1847</v>
      </c>
      <c r="H28" s="6" t="inlineStr"/>
      <c r="I28" s="9" t="inlineStr"/>
    </row>
    <row r="29">
      <c r="A29" s="6" t="inlineStr">
        <is>
          <t>居宅</t>
        </is>
      </c>
      <c r="B29" s="6" t="inlineStr">
        <is>
          <t>短期入所療養介護（病院等）</t>
        </is>
      </c>
      <c r="C29" s="6" t="inlineStr">
        <is>
          <t>日/月</t>
        </is>
      </c>
      <c r="D29" s="7" t="n">
        <v>0</v>
      </c>
      <c r="E29" s="7" t="n">
        <v>0</v>
      </c>
      <c r="F29" s="7" t="n">
        <v>0</v>
      </c>
      <c r="G29" s="7" t="n">
        <v>0</v>
      </c>
      <c r="H29" s="6" t="inlineStr">
        <is>
          <t>5年度／6年度／7年度</t>
        </is>
      </c>
      <c r="I29" s="9" t="inlineStr"/>
    </row>
    <row r="30">
      <c r="A30" s="6" t="inlineStr"/>
      <c r="B30" s="6" t="inlineStr"/>
      <c r="C30" s="6" t="inlineStr">
        <is>
          <t>人/月</t>
        </is>
      </c>
      <c r="D30" s="13" t="n">
        <v>0</v>
      </c>
      <c r="E30" s="13" t="n">
        <v>0</v>
      </c>
      <c r="F30" s="13" t="n">
        <v>0</v>
      </c>
      <c r="G30" s="13" t="n">
        <v>0</v>
      </c>
      <c r="H30" s="6" t="inlineStr"/>
      <c r="I30" s="9" t="inlineStr"/>
    </row>
    <row r="31">
      <c r="A31" s="6" t="inlineStr"/>
      <c r="B31" s="6" t="inlineStr"/>
      <c r="C31" s="6" t="inlineStr">
        <is>
          <t>給付費(千円)</t>
        </is>
      </c>
      <c r="D31" s="18" t="n"/>
      <c r="E31" s="7" t="n">
        <v>0</v>
      </c>
      <c r="F31" s="7" t="n">
        <v>0</v>
      </c>
      <c r="G31" s="7" t="n">
        <v>0</v>
      </c>
      <c r="H31" s="6" t="inlineStr"/>
      <c r="I31" s="9" t="inlineStr"/>
    </row>
    <row r="32">
      <c r="A32" s="6" t="inlineStr">
        <is>
          <t>居宅</t>
        </is>
      </c>
      <c r="B32" s="6" t="inlineStr">
        <is>
          <t>短期入所療養介護（介護医療院）</t>
        </is>
      </c>
      <c r="C32" s="6" t="inlineStr">
        <is>
          <t>日/月</t>
        </is>
      </c>
      <c r="D32" s="7" t="n">
        <v>0</v>
      </c>
      <c r="E32" s="7" t="n">
        <v>0</v>
      </c>
      <c r="F32" s="7" t="n">
        <v>0</v>
      </c>
      <c r="G32" s="7" t="n">
        <v>0</v>
      </c>
      <c r="H32" s="6" t="inlineStr">
        <is>
          <t>5年度／6年度／7年度</t>
        </is>
      </c>
      <c r="I32" s="9" t="inlineStr"/>
    </row>
    <row r="33">
      <c r="A33" s="6" t="inlineStr"/>
      <c r="B33" s="6" t="inlineStr"/>
      <c r="C33" s="6" t="inlineStr">
        <is>
          <t>人/月</t>
        </is>
      </c>
      <c r="D33" s="13" t="n">
        <v>0</v>
      </c>
      <c r="E33" s="13" t="n">
        <v>0</v>
      </c>
      <c r="F33" s="13" t="n">
        <v>0</v>
      </c>
      <c r="G33" s="13" t="n">
        <v>0</v>
      </c>
      <c r="H33" s="6" t="inlineStr"/>
      <c r="I33" s="9" t="inlineStr"/>
    </row>
    <row r="34">
      <c r="A34" s="6" t="inlineStr"/>
      <c r="B34" s="6" t="inlineStr"/>
      <c r="C34" s="6" t="inlineStr">
        <is>
          <t>給付費(千円)</t>
        </is>
      </c>
      <c r="D34" s="18" t="n"/>
      <c r="E34" s="7" t="n">
        <v>0</v>
      </c>
      <c r="F34" s="7" t="n">
        <v>0</v>
      </c>
      <c r="G34" s="7" t="n">
        <v>0</v>
      </c>
      <c r="H34" s="6" t="inlineStr"/>
      <c r="I34" s="9" t="inlineStr"/>
    </row>
    <row r="35">
      <c r="A35" s="6" t="inlineStr">
        <is>
          <t>居宅</t>
        </is>
      </c>
      <c r="B35" s="6" t="inlineStr">
        <is>
          <t>福祉用具貸与</t>
        </is>
      </c>
      <c r="C35" s="6" t="inlineStr">
        <is>
          <t>人/月</t>
        </is>
      </c>
      <c r="D35" s="13" t="n">
        <v>192.8</v>
      </c>
      <c r="E35" s="13" t="n">
        <v>191.6</v>
      </c>
      <c r="F35" s="13" t="n">
        <v>191</v>
      </c>
      <c r="G35" s="13" t="n">
        <v>190.4</v>
      </c>
      <c r="H35" s="6" t="inlineStr">
        <is>
          <t>5年度／6年度／7年度</t>
        </is>
      </c>
      <c r="I35" s="9" t="inlineStr"/>
    </row>
    <row r="36">
      <c r="A36" s="6" t="inlineStr"/>
      <c r="B36" s="6" t="inlineStr"/>
      <c r="C36" s="6" t="inlineStr">
        <is>
          <t>給付費(千円)</t>
        </is>
      </c>
      <c r="D36" s="18" t="n"/>
      <c r="E36" s="7" t="n">
        <v>30291</v>
      </c>
      <c r="F36" s="7" t="n">
        <v>30203</v>
      </c>
      <c r="G36" s="7" t="n">
        <v>30115</v>
      </c>
      <c r="H36" s="6" t="inlineStr"/>
      <c r="I36" s="9" t="inlineStr"/>
    </row>
    <row r="37">
      <c r="A37" s="6" t="inlineStr">
        <is>
          <t>居宅</t>
        </is>
      </c>
      <c r="B37" s="6" t="inlineStr">
        <is>
          <t>特定福祉用具販売</t>
        </is>
      </c>
      <c r="C37" s="6" t="inlineStr">
        <is>
          <t>人/月</t>
        </is>
      </c>
      <c r="D37" s="13" t="n">
        <v>4</v>
      </c>
      <c r="E37" s="13" t="n">
        <v>3.7</v>
      </c>
      <c r="F37" s="13" t="n">
        <v>3.6</v>
      </c>
      <c r="G37" s="13" t="n">
        <v>3.6</v>
      </c>
      <c r="H37" s="6" t="inlineStr">
        <is>
          <t>6年度／7年度</t>
        </is>
      </c>
      <c r="I37" s="9" t="inlineStr"/>
    </row>
    <row r="38">
      <c r="A38" s="6" t="inlineStr"/>
      <c r="B38" s="6" t="inlineStr"/>
      <c r="C38" s="6" t="inlineStr">
        <is>
          <t>給付費(千円)</t>
        </is>
      </c>
      <c r="D38" s="18" t="n"/>
      <c r="E38" s="7" t="n">
        <v>1522</v>
      </c>
      <c r="F38" s="7" t="n">
        <v>1518</v>
      </c>
      <c r="G38" s="7" t="n">
        <v>1513</v>
      </c>
      <c r="H38" s="6" t="inlineStr"/>
      <c r="I38" s="9" t="inlineStr"/>
    </row>
    <row r="39">
      <c r="A39" s="6" t="inlineStr">
        <is>
          <t>居宅</t>
        </is>
      </c>
      <c r="B39" s="6" t="inlineStr">
        <is>
          <t>住宅改修</t>
        </is>
      </c>
      <c r="C39" s="6" t="inlineStr">
        <is>
          <t>人/月</t>
        </is>
      </c>
      <c r="D39" s="13" t="n">
        <v>3.2</v>
      </c>
      <c r="E39" s="13" t="n">
        <v>3.7</v>
      </c>
      <c r="F39" s="13" t="n">
        <v>3.7</v>
      </c>
      <c r="G39" s="13" t="n">
        <v>3.7</v>
      </c>
      <c r="H39" s="6" t="inlineStr">
        <is>
          <t>6年度／7年度</t>
        </is>
      </c>
      <c r="I39" s="9" t="inlineStr"/>
    </row>
    <row r="40">
      <c r="A40" s="6" t="inlineStr"/>
      <c r="B40" s="6" t="inlineStr"/>
      <c r="C40" s="6" t="inlineStr">
        <is>
          <t>給付費(千円)</t>
        </is>
      </c>
      <c r="D40" s="18" t="n"/>
      <c r="E40" s="7" t="n">
        <v>2010</v>
      </c>
      <c r="F40" s="7" t="n">
        <v>2004</v>
      </c>
      <c r="G40" s="7" t="n">
        <v>1998</v>
      </c>
      <c r="H40" s="6" t="inlineStr"/>
      <c r="I40" s="9" t="inlineStr"/>
    </row>
    <row r="41">
      <c r="A41" s="6" t="inlineStr">
        <is>
          <t>居宅</t>
        </is>
      </c>
      <c r="B41" s="6" t="inlineStr">
        <is>
          <t>特定施設入居者生活介護</t>
        </is>
      </c>
      <c r="C41" s="6" t="inlineStr">
        <is>
          <t>人/月</t>
        </is>
      </c>
      <c r="D41" s="13" t="n">
        <v>4</v>
      </c>
      <c r="E41" s="13" t="n">
        <v>3.8</v>
      </c>
      <c r="F41" s="13" t="n">
        <v>3.7</v>
      </c>
      <c r="G41" s="13" t="n">
        <v>3.7</v>
      </c>
      <c r="H41" s="6" t="inlineStr">
        <is>
          <t>5年度／6年度／7年度</t>
        </is>
      </c>
      <c r="I41" s="9" t="inlineStr"/>
    </row>
    <row r="42">
      <c r="A42" s="6" t="inlineStr"/>
      <c r="B42" s="6" t="inlineStr"/>
      <c r="C42" s="6" t="inlineStr">
        <is>
          <t>給付費(千円)</t>
        </is>
      </c>
      <c r="D42" s="18" t="n"/>
      <c r="E42" s="7" t="n">
        <v>8442</v>
      </c>
      <c r="F42" s="7" t="n">
        <v>8417</v>
      </c>
      <c r="G42" s="7" t="n">
        <v>8392</v>
      </c>
      <c r="H42" s="6" t="inlineStr"/>
      <c r="I42" s="9" t="inlineStr"/>
    </row>
    <row r="43">
      <c r="A43" s="6" t="inlineStr">
        <is>
          <t>居宅</t>
        </is>
      </c>
      <c r="B43" s="6" t="inlineStr">
        <is>
          <t>居宅介護支援</t>
        </is>
      </c>
      <c r="C43" s="6" t="inlineStr">
        <is>
          <t>人/月</t>
        </is>
      </c>
      <c r="D43" s="13" t="n">
        <v>255</v>
      </c>
      <c r="E43" s="13" t="n">
        <v>262</v>
      </c>
      <c r="F43" s="13" t="n">
        <v>261.2</v>
      </c>
      <c r="G43" s="13" t="n">
        <v>260.4</v>
      </c>
      <c r="H43" s="6" t="inlineStr">
        <is>
          <t>5年度／6年度／7年度</t>
        </is>
      </c>
      <c r="I43" s="9" t="inlineStr"/>
    </row>
    <row r="44">
      <c r="A44" s="6" t="inlineStr"/>
      <c r="B44" s="6" t="inlineStr"/>
      <c r="C44" s="6" t="inlineStr">
        <is>
          <t>給付費(千円)</t>
        </is>
      </c>
      <c r="D44" s="18" t="n"/>
      <c r="E44" s="7" t="n">
        <v>49497</v>
      </c>
      <c r="F44" s="7" t="n">
        <v>49353</v>
      </c>
      <c r="G44" s="7" t="n">
        <v>49209</v>
      </c>
      <c r="H44" s="6" t="inlineStr"/>
      <c r="I44" s="9" t="inlineStr"/>
    </row>
    <row r="45">
      <c r="A45" s="6" t="inlineStr">
        <is>
          <t>地域密着型</t>
        </is>
      </c>
      <c r="B45" s="6" t="inlineStr">
        <is>
          <t>定期巡回・随時対応型訪問介護看護</t>
        </is>
      </c>
      <c r="C45" s="6" t="inlineStr">
        <is>
          <t>人/月</t>
        </is>
      </c>
      <c r="D45" s="13" t="n">
        <v>0</v>
      </c>
      <c r="E45" s="13" t="n">
        <v>0</v>
      </c>
      <c r="F45" s="13" t="n">
        <v>0</v>
      </c>
      <c r="G45" s="13" t="n">
        <v>0</v>
      </c>
      <c r="H45" s="6" t="inlineStr">
        <is>
          <t>7年度</t>
        </is>
      </c>
      <c r="I45" s="9" t="inlineStr"/>
    </row>
    <row r="46">
      <c r="A46" s="6" t="inlineStr"/>
      <c r="B46" s="6" t="inlineStr"/>
      <c r="C46" s="6" t="inlineStr">
        <is>
          <t>給付費(千円)</t>
        </is>
      </c>
      <c r="D46" s="18" t="n"/>
      <c r="E46" s="7" t="n">
        <v>0</v>
      </c>
      <c r="F46" s="7" t="n">
        <v>0</v>
      </c>
      <c r="G46" s="7" t="n">
        <v>0</v>
      </c>
      <c r="H46" s="6" t="inlineStr"/>
      <c r="I46" s="9" t="inlineStr"/>
    </row>
    <row r="47">
      <c r="A47" s="6" t="inlineStr">
        <is>
          <t>地域密着型</t>
        </is>
      </c>
      <c r="B47" s="6" t="inlineStr">
        <is>
          <t>夜間対応型訪問介護</t>
        </is>
      </c>
      <c r="C47" s="6" t="inlineStr">
        <is>
          <t>人/月</t>
        </is>
      </c>
      <c r="D47" s="13" t="n">
        <v>0</v>
      </c>
      <c r="E47" s="13" t="n">
        <v>0</v>
      </c>
      <c r="F47" s="13" t="n">
        <v>0</v>
      </c>
      <c r="G47" s="13" t="n">
        <v>0</v>
      </c>
      <c r="H47" s="6" t="inlineStr">
        <is>
          <t>5年度／6年度／7年度</t>
        </is>
      </c>
      <c r="I47" s="9" t="inlineStr"/>
    </row>
    <row r="48">
      <c r="A48" s="6" t="inlineStr"/>
      <c r="B48" s="6" t="inlineStr"/>
      <c r="C48" s="6" t="inlineStr">
        <is>
          <t>給付費(千円)</t>
        </is>
      </c>
      <c r="D48" s="18" t="n"/>
      <c r="E48" s="7" t="n">
        <v>0</v>
      </c>
      <c r="F48" s="7" t="n">
        <v>0</v>
      </c>
      <c r="G48" s="7" t="n">
        <v>0</v>
      </c>
      <c r="H48" s="6" t="inlineStr"/>
      <c r="I48" s="9" t="inlineStr"/>
    </row>
    <row r="49">
      <c r="A49" s="6" t="inlineStr">
        <is>
          <t>地域密着型</t>
        </is>
      </c>
      <c r="B49" s="6" t="inlineStr">
        <is>
          <t>地域密着型通所介護</t>
        </is>
      </c>
      <c r="C49" s="6" t="inlineStr">
        <is>
          <t>回/月</t>
        </is>
      </c>
      <c r="D49" s="7" t="n">
        <v>0</v>
      </c>
      <c r="E49" s="7" t="n">
        <v>0</v>
      </c>
      <c r="F49" s="7" t="n">
        <v>0</v>
      </c>
      <c r="G49" s="7" t="n">
        <v>0</v>
      </c>
      <c r="H49" s="6" t="inlineStr">
        <is>
          <t>7年度</t>
        </is>
      </c>
      <c r="I49" s="9" t="inlineStr"/>
    </row>
    <row r="50">
      <c r="A50" s="6" t="inlineStr"/>
      <c r="B50" s="6" t="inlineStr"/>
      <c r="C50" s="6" t="inlineStr">
        <is>
          <t>人/月</t>
        </is>
      </c>
      <c r="D50" s="13" t="n">
        <v>0</v>
      </c>
      <c r="E50" s="13" t="n">
        <v>0</v>
      </c>
      <c r="F50" s="13" t="n">
        <v>0</v>
      </c>
      <c r="G50" s="13" t="n">
        <v>0</v>
      </c>
      <c r="H50" s="6" t="inlineStr"/>
      <c r="I50" s="9" t="inlineStr"/>
    </row>
    <row r="51">
      <c r="A51" s="6" t="inlineStr"/>
      <c r="B51" s="6" t="inlineStr"/>
      <c r="C51" s="6" t="inlineStr">
        <is>
          <t>給付費(千円)</t>
        </is>
      </c>
      <c r="D51" s="18" t="n"/>
      <c r="E51" s="7" t="n">
        <v>0</v>
      </c>
      <c r="F51" s="7" t="n">
        <v>0</v>
      </c>
      <c r="G51" s="7" t="n">
        <v>0</v>
      </c>
      <c r="H51" s="6" t="inlineStr"/>
      <c r="I51" s="9" t="inlineStr"/>
    </row>
    <row r="52">
      <c r="A52" s="6" t="inlineStr">
        <is>
          <t>地域密着型</t>
        </is>
      </c>
      <c r="B52" s="6" t="inlineStr">
        <is>
          <t>認知症対応型通所介護</t>
        </is>
      </c>
      <c r="C52" s="6" t="inlineStr">
        <is>
          <t>回/月</t>
        </is>
      </c>
      <c r="D52" s="7" t="n">
        <v>95</v>
      </c>
      <c r="E52" s="7" t="n">
        <v>84</v>
      </c>
      <c r="F52" s="7" t="n">
        <v>83</v>
      </c>
      <c r="G52" s="7" t="n">
        <v>83</v>
      </c>
      <c r="H52" s="6" t="inlineStr">
        <is>
          <t>5年度／6年度／7年度</t>
        </is>
      </c>
      <c r="I52" s="9" t="inlineStr"/>
    </row>
    <row r="53">
      <c r="A53" s="6" t="inlineStr"/>
      <c r="B53" s="6" t="inlineStr"/>
      <c r="C53" s="6" t="inlineStr">
        <is>
          <t>人/月</t>
        </is>
      </c>
      <c r="D53" s="13" t="n">
        <v>9</v>
      </c>
      <c r="E53" s="13" t="n">
        <v>7.9</v>
      </c>
      <c r="F53" s="13" t="n">
        <v>7.9</v>
      </c>
      <c r="G53" s="13" t="n">
        <v>7.9</v>
      </c>
      <c r="H53" s="6" t="inlineStr"/>
      <c r="I53" s="9" t="inlineStr"/>
    </row>
    <row r="54">
      <c r="A54" s="6" t="inlineStr"/>
      <c r="B54" s="6" t="inlineStr"/>
      <c r="C54" s="6" t="inlineStr">
        <is>
          <t>給付費(千円)</t>
        </is>
      </c>
      <c r="D54" s="18" t="n"/>
      <c r="E54" s="7" t="n">
        <v>11374</v>
      </c>
      <c r="F54" s="7" t="n">
        <v>11341</v>
      </c>
      <c r="G54" s="7" t="n">
        <v>11308</v>
      </c>
      <c r="H54" s="6" t="inlineStr"/>
      <c r="I54" s="9" t="inlineStr"/>
    </row>
    <row r="55">
      <c r="A55" s="6" t="inlineStr">
        <is>
          <t>地域密着型</t>
        </is>
      </c>
      <c r="B55" s="6" t="inlineStr">
        <is>
          <t>小規模多機能型居宅介護</t>
        </is>
      </c>
      <c r="C55" s="6" t="inlineStr">
        <is>
          <t>人/月</t>
        </is>
      </c>
      <c r="D55" s="13" t="n">
        <v>22.2</v>
      </c>
      <c r="E55" s="13" t="n">
        <v>24.5</v>
      </c>
      <c r="F55" s="13" t="n">
        <v>24.4</v>
      </c>
      <c r="G55" s="13" t="n">
        <v>24.3</v>
      </c>
      <c r="H55" s="6" t="inlineStr">
        <is>
          <t>5年度／6年度／7年度</t>
        </is>
      </c>
      <c r="I55" s="9" t="inlineStr"/>
    </row>
    <row r="56">
      <c r="A56" s="6" t="inlineStr"/>
      <c r="B56" s="6" t="inlineStr"/>
      <c r="C56" s="6" t="inlineStr">
        <is>
          <t>給付費(千円)</t>
        </is>
      </c>
      <c r="D56" s="18" t="n"/>
      <c r="E56" s="7" t="n">
        <v>51809</v>
      </c>
      <c r="F56" s="7" t="n">
        <v>51658</v>
      </c>
      <c r="G56" s="7" t="n">
        <v>51508</v>
      </c>
      <c r="H56" s="6" t="inlineStr"/>
      <c r="I56" s="9" t="inlineStr"/>
    </row>
    <row r="57">
      <c r="A57" s="6" t="inlineStr">
        <is>
          <t>地域密着型</t>
        </is>
      </c>
      <c r="B57" s="6" t="inlineStr">
        <is>
          <t>認知症対応型共同生活介護</t>
        </is>
      </c>
      <c r="C57" s="6" t="inlineStr">
        <is>
          <t>人/月</t>
        </is>
      </c>
      <c r="D57" s="13" t="n">
        <v>44.6</v>
      </c>
      <c r="E57" s="13" t="n">
        <v>44.5</v>
      </c>
      <c r="F57" s="13" t="n">
        <v>44.4</v>
      </c>
      <c r="G57" s="13" t="n">
        <v>44.3</v>
      </c>
      <c r="H57" s="6" t="inlineStr">
        <is>
          <t>7年度</t>
        </is>
      </c>
      <c r="I57" s="9" t="inlineStr"/>
    </row>
    <row r="58">
      <c r="A58" s="6" t="inlineStr"/>
      <c r="B58" s="6" t="inlineStr"/>
      <c r="C58" s="6" t="inlineStr">
        <is>
          <t>給付費(千円)</t>
        </is>
      </c>
      <c r="D58" s="18" t="n"/>
      <c r="E58" s="7" t="n">
        <v>134185</v>
      </c>
      <c r="F58" s="7" t="n">
        <v>133795</v>
      </c>
      <c r="G58" s="7" t="n">
        <v>133404</v>
      </c>
      <c r="H58" s="6" t="inlineStr"/>
      <c r="I58" s="9" t="inlineStr"/>
    </row>
    <row r="59">
      <c r="A59" s="6" t="inlineStr">
        <is>
          <t>地域密着型</t>
        </is>
      </c>
      <c r="B59" s="6" t="inlineStr">
        <is>
          <t>地域密着型特定施設入居者生活介護</t>
        </is>
      </c>
      <c r="C59" s="6" t="inlineStr">
        <is>
          <t>人/月</t>
        </is>
      </c>
      <c r="D59" s="13" t="n">
        <v>0</v>
      </c>
      <c r="E59" s="13" t="n">
        <v>0</v>
      </c>
      <c r="F59" s="13" t="n">
        <v>0</v>
      </c>
      <c r="G59" s="13" t="n">
        <v>0</v>
      </c>
      <c r="H59" s="6" t="inlineStr">
        <is>
          <t>5年度／6年度／7年度</t>
        </is>
      </c>
      <c r="I59" s="9" t="inlineStr"/>
    </row>
    <row r="60">
      <c r="A60" s="6" t="inlineStr"/>
      <c r="B60" s="6" t="inlineStr"/>
      <c r="C60" s="6" t="inlineStr">
        <is>
          <t>給付費(千円)</t>
        </is>
      </c>
      <c r="D60" s="18" t="n"/>
      <c r="E60" s="7" t="n">
        <v>0</v>
      </c>
      <c r="F60" s="7" t="n">
        <v>0</v>
      </c>
      <c r="G60" s="7" t="n">
        <v>0</v>
      </c>
      <c r="H60" s="6" t="inlineStr"/>
      <c r="I60" s="9" t="inlineStr"/>
    </row>
    <row r="61">
      <c r="A61" s="6" t="inlineStr">
        <is>
          <t>地域密着型</t>
        </is>
      </c>
      <c r="B61" s="6" t="inlineStr">
        <is>
          <t>地域密着型介護老人福祉施設入所者生活介護</t>
        </is>
      </c>
      <c r="C61" s="6" t="inlineStr">
        <is>
          <t>人/月</t>
        </is>
      </c>
      <c r="D61" s="13" t="n">
        <v>40.8</v>
      </c>
      <c r="E61" s="13" t="n">
        <v>42.9</v>
      </c>
      <c r="F61" s="13" t="n">
        <v>42.8</v>
      </c>
      <c r="G61" s="13" t="n">
        <v>42.6</v>
      </c>
      <c r="H61" s="6" t="inlineStr">
        <is>
          <t>5年度／6年度／7年度</t>
        </is>
      </c>
      <c r="I61" s="9" t="inlineStr"/>
    </row>
    <row r="62">
      <c r="A62" s="6" t="inlineStr"/>
      <c r="B62" s="6" t="inlineStr"/>
      <c r="C62" s="6" t="inlineStr">
        <is>
          <t>給付費(千円)</t>
        </is>
      </c>
      <c r="D62" s="18" t="n"/>
      <c r="E62" s="7" t="n">
        <v>129904</v>
      </c>
      <c r="F62" s="7" t="n">
        <v>129526</v>
      </c>
      <c r="G62" s="7" t="n">
        <v>129148</v>
      </c>
      <c r="H62" s="6" t="inlineStr"/>
      <c r="I62" s="9" t="inlineStr"/>
    </row>
    <row r="63">
      <c r="A63" s="6" t="inlineStr">
        <is>
          <t>地域密着型</t>
        </is>
      </c>
      <c r="B63" s="6" t="inlineStr">
        <is>
          <t>看護小規模多機能型居宅介護</t>
        </is>
      </c>
      <c r="C63" s="6" t="inlineStr">
        <is>
          <t>人/月</t>
        </is>
      </c>
      <c r="D63" s="13" t="n">
        <v>0</v>
      </c>
      <c r="E63" s="13" t="n">
        <v>0</v>
      </c>
      <c r="F63" s="13" t="n">
        <v>0</v>
      </c>
      <c r="G63" s="13" t="n">
        <v>0</v>
      </c>
      <c r="H63" s="6" t="inlineStr">
        <is>
          <t>5年度／6年度／7年度</t>
        </is>
      </c>
      <c r="I63" s="9" t="inlineStr"/>
    </row>
    <row r="64">
      <c r="A64" s="6" t="inlineStr"/>
      <c r="B64" s="6" t="inlineStr"/>
      <c r="C64" s="6" t="inlineStr">
        <is>
          <t>給付費(千円)</t>
        </is>
      </c>
      <c r="D64" s="18" t="n"/>
      <c r="E64" s="7" t="n">
        <v>0</v>
      </c>
      <c r="F64" s="7" t="n">
        <v>0</v>
      </c>
      <c r="G64" s="7" t="n">
        <v>0</v>
      </c>
      <c r="H64" s="6" t="inlineStr"/>
      <c r="I64" s="9" t="inlineStr"/>
    </row>
    <row r="65">
      <c r="A65" s="6" t="inlineStr">
        <is>
          <t>施設</t>
        </is>
      </c>
      <c r="B65" s="6" t="inlineStr">
        <is>
          <t>介護老人福祉施設</t>
        </is>
      </c>
      <c r="C65" s="6" t="inlineStr">
        <is>
          <t>人/月</t>
        </is>
      </c>
      <c r="D65" s="13" t="n">
        <v>71.09999999999999</v>
      </c>
      <c r="E65" s="13" t="n">
        <v>70.09999999999999</v>
      </c>
      <c r="F65" s="13" t="n">
        <v>69.90000000000001</v>
      </c>
      <c r="G65" s="13" t="n">
        <v>69.7</v>
      </c>
      <c r="H65" s="6" t="inlineStr">
        <is>
          <t>5年度／6年度／7年度</t>
        </is>
      </c>
      <c r="I65" s="9" t="inlineStr"/>
    </row>
    <row r="66">
      <c r="A66" s="6" t="inlineStr"/>
      <c r="B66" s="6" t="inlineStr"/>
      <c r="C66" s="6" t="inlineStr">
        <is>
          <t>給付費(千円)</t>
        </is>
      </c>
      <c r="D66" s="18" t="n"/>
      <c r="E66" s="7" t="n">
        <v>204435</v>
      </c>
      <c r="F66" s="7" t="n">
        <v>203840</v>
      </c>
      <c r="G66" s="7" t="n">
        <v>203246</v>
      </c>
      <c r="H66" s="6" t="inlineStr"/>
      <c r="I66" s="9" t="inlineStr"/>
    </row>
    <row r="67">
      <c r="A67" s="6" t="inlineStr">
        <is>
          <t>施設</t>
        </is>
      </c>
      <c r="B67" s="6" t="inlineStr">
        <is>
          <t>介護老人保健施設</t>
        </is>
      </c>
      <c r="C67" s="6" t="inlineStr">
        <is>
          <t>人/月</t>
        </is>
      </c>
      <c r="D67" s="13" t="n">
        <v>27.8</v>
      </c>
      <c r="E67" s="13" t="n">
        <v>28.8</v>
      </c>
      <c r="F67" s="13" t="n">
        <v>28.7</v>
      </c>
      <c r="G67" s="13" t="n">
        <v>28.6</v>
      </c>
      <c r="H67" s="6" t="inlineStr">
        <is>
          <t>5年度／6年度／7年度</t>
        </is>
      </c>
      <c r="I67" s="9" t="inlineStr"/>
    </row>
    <row r="68">
      <c r="A68" s="6" t="inlineStr"/>
      <c r="B68" s="6" t="inlineStr"/>
      <c r="C68" s="6" t="inlineStr">
        <is>
          <t>給付費(千円)</t>
        </is>
      </c>
      <c r="D68" s="18" t="n"/>
      <c r="E68" s="7" t="n">
        <v>97063</v>
      </c>
      <c r="F68" s="7" t="n">
        <v>96780</v>
      </c>
      <c r="G68" s="7" t="n">
        <v>96498</v>
      </c>
      <c r="H68" s="6" t="inlineStr"/>
      <c r="I68" s="9" t="inlineStr"/>
    </row>
    <row r="69">
      <c r="A69" s="6" t="inlineStr">
        <is>
          <t>施設</t>
        </is>
      </c>
      <c r="B69" s="6" t="inlineStr">
        <is>
          <t>介護療養型医療施設</t>
        </is>
      </c>
      <c r="C69" s="6" t="inlineStr">
        <is>
          <t>人/月</t>
        </is>
      </c>
      <c r="D69" s="13" t="n">
        <v>0</v>
      </c>
      <c r="E69" s="13" t="n">
        <v>0</v>
      </c>
      <c r="F69" s="13" t="n">
        <v>0</v>
      </c>
      <c r="G69" s="13" t="n">
        <v>0</v>
      </c>
      <c r="H69" s="6" t="inlineStr">
        <is>
          <t>7年度</t>
        </is>
      </c>
      <c r="I69" s="9" t="inlineStr"/>
    </row>
    <row r="70">
      <c r="A70" s="6" t="inlineStr"/>
      <c r="B70" s="6" t="inlineStr"/>
      <c r="C70" s="6" t="inlineStr">
        <is>
          <t>給付費(千円)</t>
        </is>
      </c>
      <c r="D70" s="18" t="n"/>
      <c r="E70" s="7" t="n">
        <v>0</v>
      </c>
      <c r="F70" s="7" t="n">
        <v>0</v>
      </c>
      <c r="G70" s="7" t="n">
        <v>0</v>
      </c>
      <c r="H70" s="6" t="inlineStr"/>
      <c r="I70" s="9" t="inlineStr"/>
    </row>
    <row r="71">
      <c r="A71" s="6" t="inlineStr">
        <is>
          <t>施設</t>
        </is>
      </c>
      <c r="B71" s="6" t="inlineStr">
        <is>
          <t>介護医療院</t>
        </is>
      </c>
      <c r="C71" s="6" t="inlineStr">
        <is>
          <t>人/月</t>
        </is>
      </c>
      <c r="D71" s="13" t="n">
        <v>1</v>
      </c>
      <c r="E71" s="13" t="n">
        <v>1</v>
      </c>
      <c r="F71" s="13" t="n">
        <v>1</v>
      </c>
      <c r="G71" s="13" t="n">
        <v>1</v>
      </c>
      <c r="H71" s="6" t="inlineStr">
        <is>
          <t>7年度</t>
        </is>
      </c>
      <c r="I71" s="9" t="inlineStr"/>
    </row>
    <row r="72">
      <c r="A72" s="6" t="inlineStr"/>
      <c r="B72" s="6" t="inlineStr"/>
      <c r="C72" s="6" t="inlineStr">
        <is>
          <t>給付費(千円)</t>
        </is>
      </c>
      <c r="D72" s="18" t="n"/>
      <c r="E72" s="7" t="n">
        <v>4303</v>
      </c>
      <c r="F72" s="7" t="n">
        <v>4291</v>
      </c>
      <c r="G72" s="7" t="n">
        <v>4278</v>
      </c>
      <c r="H72" s="6" t="inlineStr"/>
      <c r="I72" s="9" t="inlineStr"/>
    </row>
    <row r="73">
      <c r="A73" s="20" t="inlineStr">
        <is>
          <t>介護給付　利用者数の合計</t>
        </is>
      </c>
      <c r="B73" s="20" t="inlineStr"/>
      <c r="C73" s="20" t="inlineStr">
        <is>
          <t>人/月</t>
        </is>
      </c>
      <c r="D73" s="21" t="n">
        <v>1005.3</v>
      </c>
      <c r="E73" s="21" t="n">
        <v>1035</v>
      </c>
      <c r="F73" s="21" t="n">
        <v>1032</v>
      </c>
      <c r="G73" s="21" t="n">
        <v>1029</v>
      </c>
      <c r="H73" s="20" t="inlineStr"/>
      <c r="I73" s="22" t="inlineStr">
        <is>
          <t>延べ利用者数。重複を含む</t>
        </is>
      </c>
    </row>
    <row r="74">
      <c r="A74" s="20" t="inlineStr">
        <is>
          <t>介護給付　給付費の合計</t>
        </is>
      </c>
      <c r="B74" s="20" t="inlineStr"/>
      <c r="C74" s="20" t="inlineStr">
        <is>
          <t>千円</t>
        </is>
      </c>
      <c r="D74" s="23" t="n"/>
      <c r="E74" s="24" t="n">
        <v>983893</v>
      </c>
      <c r="F74" s="24" t="n">
        <v>981032</v>
      </c>
      <c r="G74" s="24" t="n">
        <v>978170</v>
      </c>
      <c r="H74" s="20" t="inlineStr"/>
      <c r="I74" s="22" t="inlineStr"/>
    </row>
    <row r="75">
      <c r="A75" s="17" t="inlineStr">
        <is>
          <t>■ 予防給付（要支援1・2）</t>
        </is>
      </c>
      <c r="B75" s="18" t="n"/>
      <c r="C75" s="18" t="n"/>
      <c r="D75" s="18" t="n"/>
      <c r="E75" s="18" t="n"/>
      <c r="F75" s="18" t="n"/>
      <c r="G75" s="18" t="n"/>
      <c r="H75" s="18" t="n"/>
      <c r="I75" s="19" t="n"/>
    </row>
    <row r="76">
      <c r="A76" s="6" t="inlineStr">
        <is>
          <t>居宅</t>
        </is>
      </c>
      <c r="B76" s="6" t="inlineStr">
        <is>
          <t>介護予防訪問入浴介護</t>
        </is>
      </c>
      <c r="C76" s="6" t="inlineStr">
        <is>
          <t>回/月</t>
        </is>
      </c>
      <c r="D76" s="7" t="n">
        <v>0</v>
      </c>
      <c r="E76" s="7" t="n">
        <v>0</v>
      </c>
      <c r="F76" s="7" t="n">
        <v>0</v>
      </c>
      <c r="G76" s="7" t="n">
        <v>0</v>
      </c>
      <c r="H76" s="6" t="inlineStr">
        <is>
          <t>5年度／6年度／7年度</t>
        </is>
      </c>
      <c r="I76" s="9" t="inlineStr"/>
    </row>
    <row r="77">
      <c r="A77" s="6" t="inlineStr"/>
      <c r="B77" s="6" t="inlineStr"/>
      <c r="C77" s="6" t="inlineStr">
        <is>
          <t>人/月</t>
        </is>
      </c>
      <c r="D77" s="13" t="n">
        <v>0</v>
      </c>
      <c r="E77" s="13" t="n">
        <v>0</v>
      </c>
      <c r="F77" s="13" t="n">
        <v>0</v>
      </c>
      <c r="G77" s="13" t="n">
        <v>0</v>
      </c>
      <c r="H77" s="6" t="inlineStr"/>
      <c r="I77" s="9" t="inlineStr"/>
    </row>
    <row r="78">
      <c r="A78" s="6" t="inlineStr"/>
      <c r="B78" s="6" t="inlineStr"/>
      <c r="C78" s="6" t="inlineStr">
        <is>
          <t>給付費(千円)</t>
        </is>
      </c>
      <c r="D78" s="18" t="n"/>
      <c r="E78" s="7" t="n">
        <v>0</v>
      </c>
      <c r="F78" s="7" t="n">
        <v>0</v>
      </c>
      <c r="G78" s="7" t="n">
        <v>0</v>
      </c>
      <c r="H78" s="6" t="inlineStr"/>
      <c r="I78" s="9" t="inlineStr"/>
    </row>
    <row r="79">
      <c r="A79" s="6" t="inlineStr">
        <is>
          <t>居宅</t>
        </is>
      </c>
      <c r="B79" s="6" t="inlineStr">
        <is>
          <t>介護予防訪問看護</t>
        </is>
      </c>
      <c r="C79" s="6" t="inlineStr">
        <is>
          <t>回/月</t>
        </is>
      </c>
      <c r="D79" s="7" t="n">
        <v>32</v>
      </c>
      <c r="E79" s="7" t="n">
        <v>24</v>
      </c>
      <c r="F79" s="7" t="n">
        <v>24</v>
      </c>
      <c r="G79" s="7" t="n">
        <v>24</v>
      </c>
      <c r="H79" s="6" t="inlineStr">
        <is>
          <t>5年度／6年度／7年度</t>
        </is>
      </c>
      <c r="I79" s="9" t="inlineStr"/>
    </row>
    <row r="80">
      <c r="A80" s="6" t="inlineStr"/>
      <c r="B80" s="6" t="inlineStr"/>
      <c r="C80" s="6" t="inlineStr">
        <is>
          <t>人/月</t>
        </is>
      </c>
      <c r="D80" s="13" t="n">
        <v>7.6</v>
      </c>
      <c r="E80" s="13" t="n">
        <v>5.7</v>
      </c>
      <c r="F80" s="13" t="n">
        <v>5.7</v>
      </c>
      <c r="G80" s="13" t="n">
        <v>5.7</v>
      </c>
      <c r="H80" s="6" t="inlineStr"/>
      <c r="I80" s="9" t="inlineStr"/>
    </row>
    <row r="81">
      <c r="A81" s="6" t="inlineStr"/>
      <c r="B81" s="6" t="inlineStr"/>
      <c r="C81" s="6" t="inlineStr">
        <is>
          <t>給付費(千円)</t>
        </is>
      </c>
      <c r="D81" s="18" t="n"/>
      <c r="E81" s="7" t="n">
        <v>1845</v>
      </c>
      <c r="F81" s="7" t="n">
        <v>1840</v>
      </c>
      <c r="G81" s="7" t="n">
        <v>1835</v>
      </c>
      <c r="H81" s="6" t="inlineStr"/>
      <c r="I81" s="9" t="inlineStr"/>
    </row>
    <row r="82">
      <c r="A82" s="6" t="inlineStr">
        <is>
          <t>居宅</t>
        </is>
      </c>
      <c r="B82" s="6" t="inlineStr">
        <is>
          <t>介護予防訪問リハビリテーション</t>
        </is>
      </c>
      <c r="C82" s="6" t="inlineStr">
        <is>
          <t>回/月</t>
        </is>
      </c>
      <c r="D82" s="7" t="n">
        <v>0</v>
      </c>
      <c r="E82" s="7" t="n">
        <v>0</v>
      </c>
      <c r="F82" s="7" t="n">
        <v>0</v>
      </c>
      <c r="G82" s="7" t="n">
        <v>0</v>
      </c>
      <c r="H82" s="6" t="inlineStr">
        <is>
          <t>7年度</t>
        </is>
      </c>
      <c r="I82" s="9" t="inlineStr"/>
    </row>
    <row r="83">
      <c r="A83" s="6" t="inlineStr"/>
      <c r="B83" s="6" t="inlineStr"/>
      <c r="C83" s="6" t="inlineStr">
        <is>
          <t>人/月</t>
        </is>
      </c>
      <c r="D83" s="13" t="n">
        <v>0</v>
      </c>
      <c r="E83" s="13" t="n">
        <v>0</v>
      </c>
      <c r="F83" s="13" t="n">
        <v>0</v>
      </c>
      <c r="G83" s="13" t="n">
        <v>0</v>
      </c>
      <c r="H83" s="6" t="inlineStr"/>
      <c r="I83" s="9" t="inlineStr"/>
    </row>
    <row r="84">
      <c r="A84" s="6" t="inlineStr"/>
      <c r="B84" s="6" t="inlineStr"/>
      <c r="C84" s="6" t="inlineStr">
        <is>
          <t>給付費(千円)</t>
        </is>
      </c>
      <c r="D84" s="18" t="n"/>
      <c r="E84" s="7" t="n">
        <v>0</v>
      </c>
      <c r="F84" s="7" t="n">
        <v>0</v>
      </c>
      <c r="G84" s="7" t="n">
        <v>0</v>
      </c>
      <c r="H84" s="6" t="inlineStr"/>
      <c r="I84" s="9" t="inlineStr"/>
    </row>
    <row r="85">
      <c r="A85" s="6" t="inlineStr">
        <is>
          <t>居宅</t>
        </is>
      </c>
      <c r="B85" s="6" t="inlineStr">
        <is>
          <t>介護予防居宅療養管理指導</t>
        </is>
      </c>
      <c r="C85" s="6" t="inlineStr">
        <is>
          <t>人/月</t>
        </is>
      </c>
      <c r="D85" s="13" t="n">
        <v>2.1</v>
      </c>
      <c r="E85" s="13" t="n">
        <v>2</v>
      </c>
      <c r="F85" s="13" t="n">
        <v>2</v>
      </c>
      <c r="G85" s="13" t="n">
        <v>2</v>
      </c>
      <c r="H85" s="6" t="inlineStr">
        <is>
          <t>5年度／6年度／7年度</t>
        </is>
      </c>
      <c r="I85" s="9" t="inlineStr"/>
    </row>
    <row r="86">
      <c r="A86" s="6" t="inlineStr"/>
      <c r="B86" s="6" t="inlineStr"/>
      <c r="C86" s="6" t="inlineStr">
        <is>
          <t>給付費(千円)</t>
        </is>
      </c>
      <c r="D86" s="18" t="n"/>
      <c r="E86" s="7" t="n">
        <v>129</v>
      </c>
      <c r="F86" s="7" t="n">
        <v>128</v>
      </c>
      <c r="G86" s="7" t="n">
        <v>128</v>
      </c>
      <c r="H86" s="6" t="inlineStr"/>
      <c r="I86" s="9" t="inlineStr"/>
    </row>
    <row r="87">
      <c r="A87" s="6" t="inlineStr">
        <is>
          <t>居宅</t>
        </is>
      </c>
      <c r="B87" s="6" t="inlineStr">
        <is>
          <t>介護予防通所リハビリテーション</t>
        </is>
      </c>
      <c r="C87" s="6" t="inlineStr">
        <is>
          <t>人/月</t>
        </is>
      </c>
      <c r="D87" s="13" t="n">
        <v>27</v>
      </c>
      <c r="E87" s="13" t="n">
        <v>27</v>
      </c>
      <c r="F87" s="13" t="n">
        <v>26.9</v>
      </c>
      <c r="G87" s="13" t="n">
        <v>26.8</v>
      </c>
      <c r="H87" s="6" t="inlineStr">
        <is>
          <t>7年度</t>
        </is>
      </c>
      <c r="I87" s="9" t="inlineStr"/>
    </row>
    <row r="88">
      <c r="A88" s="6" t="inlineStr"/>
      <c r="B88" s="6" t="inlineStr"/>
      <c r="C88" s="6" t="inlineStr">
        <is>
          <t>給付費(千円)</t>
        </is>
      </c>
      <c r="D88" s="18" t="n"/>
      <c r="E88" s="7" t="n">
        <v>11672</v>
      </c>
      <c r="F88" s="7" t="n">
        <v>11638</v>
      </c>
      <c r="G88" s="7" t="n">
        <v>11604</v>
      </c>
      <c r="H88" s="6" t="inlineStr"/>
      <c r="I88" s="9" t="inlineStr"/>
    </row>
    <row r="89">
      <c r="A89" s="6" t="inlineStr">
        <is>
          <t>居宅</t>
        </is>
      </c>
      <c r="B89" s="6" t="inlineStr">
        <is>
          <t>介護予防短期入所生活介護</t>
        </is>
      </c>
      <c r="C89" s="6" t="inlineStr">
        <is>
          <t>日/月</t>
        </is>
      </c>
      <c r="D89" s="7" t="n">
        <v>3</v>
      </c>
      <c r="E89" s="7" t="n">
        <v>2</v>
      </c>
      <c r="F89" s="7" t="n">
        <v>2</v>
      </c>
      <c r="G89" s="7" t="n">
        <v>2</v>
      </c>
      <c r="H89" s="6" t="inlineStr">
        <is>
          <t>5年度／6年度／7年度</t>
        </is>
      </c>
      <c r="I89" s="9" t="inlineStr"/>
    </row>
    <row r="90">
      <c r="A90" s="6" t="inlineStr"/>
      <c r="B90" s="6" t="inlineStr"/>
      <c r="C90" s="6" t="inlineStr">
        <is>
          <t>人/月</t>
        </is>
      </c>
      <c r="D90" s="13" t="n">
        <v>0.8</v>
      </c>
      <c r="E90" s="13" t="n">
        <v>0.4</v>
      </c>
      <c r="F90" s="13" t="n">
        <v>0.4</v>
      </c>
      <c r="G90" s="13" t="n">
        <v>0.4</v>
      </c>
      <c r="H90" s="6" t="inlineStr"/>
      <c r="I90" s="9" t="inlineStr"/>
    </row>
    <row r="91">
      <c r="A91" s="6" t="inlineStr"/>
      <c r="B91" s="6" t="inlineStr"/>
      <c r="C91" s="6" t="inlineStr">
        <is>
          <t>給付費(千円)</t>
        </is>
      </c>
      <c r="D91" s="18" t="n"/>
      <c r="E91" s="7" t="n">
        <v>148</v>
      </c>
      <c r="F91" s="7" t="n">
        <v>147</v>
      </c>
      <c r="G91" s="7" t="n">
        <v>147</v>
      </c>
      <c r="H91" s="6" t="inlineStr"/>
      <c r="I91" s="9" t="inlineStr"/>
    </row>
    <row r="92">
      <c r="A92" s="6" t="inlineStr">
        <is>
          <t>居宅</t>
        </is>
      </c>
      <c r="B92" s="6" t="inlineStr">
        <is>
          <t>介護予防短期入所療養介護（介護老人保健施設）</t>
        </is>
      </c>
      <c r="C92" s="6" t="inlineStr">
        <is>
          <t>日/月</t>
        </is>
      </c>
      <c r="D92" s="7" t="n">
        <v>0</v>
      </c>
      <c r="E92" s="7" t="n">
        <v>0</v>
      </c>
      <c r="F92" s="7" t="n">
        <v>0</v>
      </c>
      <c r="G92" s="7" t="n">
        <v>0</v>
      </c>
      <c r="H92" s="6" t="inlineStr">
        <is>
          <t>5年度／6年度／7年度</t>
        </is>
      </c>
      <c r="I92" s="9" t="inlineStr"/>
    </row>
    <row r="93">
      <c r="A93" s="6" t="inlineStr"/>
      <c r="B93" s="6" t="inlineStr"/>
      <c r="C93" s="6" t="inlineStr">
        <is>
          <t>人/月</t>
        </is>
      </c>
      <c r="D93" s="13" t="n">
        <v>0.1</v>
      </c>
      <c r="E93" s="13" t="n">
        <v>0.1</v>
      </c>
      <c r="F93" s="13" t="n">
        <v>0.1</v>
      </c>
      <c r="G93" s="13" t="n">
        <v>0.1</v>
      </c>
      <c r="H93" s="6" t="inlineStr"/>
      <c r="I93" s="9" t="inlineStr"/>
    </row>
    <row r="94">
      <c r="A94" s="6" t="inlineStr"/>
      <c r="B94" s="6" t="inlineStr"/>
      <c r="C94" s="6" t="inlineStr">
        <is>
          <t>給付費(千円)</t>
        </is>
      </c>
      <c r="D94" s="18" t="n"/>
      <c r="E94" s="7" t="n">
        <v>58</v>
      </c>
      <c r="F94" s="7" t="n">
        <v>58</v>
      </c>
      <c r="G94" s="7" t="n">
        <v>57</v>
      </c>
      <c r="H94" s="6" t="inlineStr"/>
      <c r="I94" s="9" t="inlineStr"/>
    </row>
    <row r="95">
      <c r="A95" s="6" t="inlineStr">
        <is>
          <t>居宅</t>
        </is>
      </c>
      <c r="B95" s="6" t="inlineStr">
        <is>
          <t>介護予防短期入所療養介護（病院等）</t>
        </is>
      </c>
      <c r="C95" s="6" t="inlineStr">
        <is>
          <t>日/月</t>
        </is>
      </c>
      <c r="D95" s="7" t="n">
        <v>0</v>
      </c>
      <c r="E95" s="7" t="n">
        <v>0</v>
      </c>
      <c r="F95" s="7" t="n">
        <v>0</v>
      </c>
      <c r="G95" s="7" t="n">
        <v>0</v>
      </c>
      <c r="H95" s="6" t="inlineStr">
        <is>
          <t>5年度／6年度／7年度</t>
        </is>
      </c>
      <c r="I95" s="9" t="inlineStr"/>
    </row>
    <row r="96">
      <c r="A96" s="6" t="inlineStr"/>
      <c r="B96" s="6" t="inlineStr"/>
      <c r="C96" s="6" t="inlineStr">
        <is>
          <t>人/月</t>
        </is>
      </c>
      <c r="D96" s="13" t="n">
        <v>0</v>
      </c>
      <c r="E96" s="13" t="n">
        <v>0</v>
      </c>
      <c r="F96" s="13" t="n">
        <v>0</v>
      </c>
      <c r="G96" s="13" t="n">
        <v>0</v>
      </c>
      <c r="H96" s="6" t="inlineStr"/>
      <c r="I96" s="9" t="inlineStr"/>
    </row>
    <row r="97">
      <c r="A97" s="6" t="inlineStr"/>
      <c r="B97" s="6" t="inlineStr"/>
      <c r="C97" s="6" t="inlineStr">
        <is>
          <t>給付費(千円)</t>
        </is>
      </c>
      <c r="D97" s="18" t="n"/>
      <c r="E97" s="7" t="n">
        <v>0</v>
      </c>
      <c r="F97" s="7" t="n">
        <v>0</v>
      </c>
      <c r="G97" s="7" t="n">
        <v>0</v>
      </c>
      <c r="H97" s="6" t="inlineStr"/>
      <c r="I97" s="9" t="inlineStr"/>
    </row>
    <row r="98">
      <c r="A98" s="6" t="inlineStr">
        <is>
          <t>居宅</t>
        </is>
      </c>
      <c r="B98" s="6" t="inlineStr">
        <is>
          <t>介護予防短期入所療養介護（介護医療院）</t>
        </is>
      </c>
      <c r="C98" s="6" t="inlineStr">
        <is>
          <t>日/月</t>
        </is>
      </c>
      <c r="D98" s="7" t="n">
        <v>0</v>
      </c>
      <c r="E98" s="7" t="n">
        <v>0</v>
      </c>
      <c r="F98" s="7" t="n">
        <v>0</v>
      </c>
      <c r="G98" s="7" t="n">
        <v>0</v>
      </c>
      <c r="H98" s="6" t="inlineStr">
        <is>
          <t>5年度／6年度／7年度</t>
        </is>
      </c>
      <c r="I98" s="9" t="inlineStr"/>
    </row>
    <row r="99">
      <c r="A99" s="6" t="inlineStr"/>
      <c r="B99" s="6" t="inlineStr"/>
      <c r="C99" s="6" t="inlineStr">
        <is>
          <t>人/月</t>
        </is>
      </c>
      <c r="D99" s="13" t="n">
        <v>0</v>
      </c>
      <c r="E99" s="13" t="n">
        <v>0</v>
      </c>
      <c r="F99" s="13" t="n">
        <v>0</v>
      </c>
      <c r="G99" s="13" t="n">
        <v>0</v>
      </c>
      <c r="H99" s="6" t="inlineStr"/>
      <c r="I99" s="9" t="inlineStr"/>
    </row>
    <row r="100">
      <c r="A100" s="6" t="inlineStr"/>
      <c r="B100" s="6" t="inlineStr"/>
      <c r="C100" s="6" t="inlineStr">
        <is>
          <t>給付費(千円)</t>
        </is>
      </c>
      <c r="D100" s="18" t="n"/>
      <c r="E100" s="7" t="n">
        <v>0</v>
      </c>
      <c r="F100" s="7" t="n">
        <v>0</v>
      </c>
      <c r="G100" s="7" t="n">
        <v>0</v>
      </c>
      <c r="H100" s="6" t="inlineStr"/>
      <c r="I100" s="9" t="inlineStr"/>
    </row>
    <row r="101">
      <c r="A101" s="6" t="inlineStr">
        <is>
          <t>居宅</t>
        </is>
      </c>
      <c r="B101" s="6" t="inlineStr">
        <is>
          <t>介護予防福祉用具貸与</t>
        </is>
      </c>
      <c r="C101" s="6" t="inlineStr">
        <is>
          <t>人/月</t>
        </is>
      </c>
      <c r="D101" s="13" t="n">
        <v>54.2</v>
      </c>
      <c r="E101" s="13" t="n">
        <v>54.2</v>
      </c>
      <c r="F101" s="13" t="n">
        <v>54</v>
      </c>
      <c r="G101" s="13" t="n">
        <v>53.9</v>
      </c>
      <c r="H101" s="6" t="inlineStr">
        <is>
          <t>7年度</t>
        </is>
      </c>
      <c r="I101" s="9" t="inlineStr"/>
    </row>
    <row r="102">
      <c r="A102" s="6" t="inlineStr"/>
      <c r="B102" s="6" t="inlineStr"/>
      <c r="C102" s="6" t="inlineStr">
        <is>
          <t>給付費(千円)</t>
        </is>
      </c>
      <c r="D102" s="18" t="n"/>
      <c r="E102" s="7" t="n">
        <v>5992</v>
      </c>
      <c r="F102" s="7" t="n">
        <v>5974</v>
      </c>
      <c r="G102" s="7" t="n">
        <v>5957</v>
      </c>
      <c r="H102" s="6" t="inlineStr"/>
      <c r="I102" s="9" t="inlineStr"/>
    </row>
    <row r="103">
      <c r="A103" s="6" t="inlineStr">
        <is>
          <t>居宅</t>
        </is>
      </c>
      <c r="B103" s="6" t="inlineStr">
        <is>
          <t>特定介護予防福祉用具販売</t>
        </is>
      </c>
      <c r="C103" s="6" t="inlineStr">
        <is>
          <t>人/月</t>
        </is>
      </c>
      <c r="D103" s="13" t="n">
        <v>2.5</v>
      </c>
      <c r="E103" s="13" t="n">
        <v>2.1</v>
      </c>
      <c r="F103" s="13" t="n">
        <v>2.1</v>
      </c>
      <c r="G103" s="13" t="n">
        <v>2.1</v>
      </c>
      <c r="H103" s="6" t="inlineStr">
        <is>
          <t>6年度／7年度</t>
        </is>
      </c>
      <c r="I103" s="9" t="inlineStr"/>
    </row>
    <row r="104">
      <c r="A104" s="6" t="inlineStr"/>
      <c r="B104" s="6" t="inlineStr"/>
      <c r="C104" s="6" t="inlineStr">
        <is>
          <t>給付費(千円)</t>
        </is>
      </c>
      <c r="D104" s="18" t="n"/>
      <c r="E104" s="7" t="n">
        <v>406</v>
      </c>
      <c r="F104" s="7" t="n">
        <v>405</v>
      </c>
      <c r="G104" s="7" t="n">
        <v>404</v>
      </c>
      <c r="H104" s="6" t="inlineStr"/>
      <c r="I104" s="9" t="inlineStr"/>
    </row>
    <row r="105">
      <c r="A105" s="6" t="inlineStr">
        <is>
          <t>居宅</t>
        </is>
      </c>
      <c r="B105" s="6" t="inlineStr">
        <is>
          <t>介護予防住宅改修</t>
        </is>
      </c>
      <c r="C105" s="6" t="inlineStr">
        <is>
          <t>人/月</t>
        </is>
      </c>
      <c r="D105" s="13" t="n">
        <v>1.8</v>
      </c>
      <c r="E105" s="13" t="n">
        <v>2</v>
      </c>
      <c r="F105" s="13" t="n">
        <v>2</v>
      </c>
      <c r="G105" s="13" t="n">
        <v>2</v>
      </c>
      <c r="H105" s="6" t="inlineStr">
        <is>
          <t>6年度／7年度</t>
        </is>
      </c>
      <c r="I105" s="9" t="inlineStr"/>
    </row>
    <row r="106">
      <c r="A106" s="6" t="inlineStr"/>
      <c r="B106" s="6" t="inlineStr"/>
      <c r="C106" s="6" t="inlineStr">
        <is>
          <t>給付費(千円)</t>
        </is>
      </c>
      <c r="D106" s="18" t="n"/>
      <c r="E106" s="7" t="n">
        <v>1161</v>
      </c>
      <c r="F106" s="7" t="n">
        <v>1158</v>
      </c>
      <c r="G106" s="7" t="n">
        <v>1155</v>
      </c>
      <c r="H106" s="6" t="inlineStr"/>
      <c r="I106" s="9" t="inlineStr"/>
    </row>
    <row r="107">
      <c r="A107" s="6" t="inlineStr">
        <is>
          <t>居宅</t>
        </is>
      </c>
      <c r="B107" s="6" t="inlineStr">
        <is>
          <t>介護予防特定施設入居者生活介護</t>
        </is>
      </c>
      <c r="C107" s="6" t="inlineStr">
        <is>
          <t>人/月</t>
        </is>
      </c>
      <c r="D107" s="13" t="n">
        <v>0</v>
      </c>
      <c r="E107" s="13" t="n">
        <v>0</v>
      </c>
      <c r="F107" s="13" t="n">
        <v>0</v>
      </c>
      <c r="G107" s="13" t="n">
        <v>0</v>
      </c>
      <c r="H107" s="6" t="inlineStr">
        <is>
          <t>5年度／6年度／7年度</t>
        </is>
      </c>
      <c r="I107" s="9" t="inlineStr"/>
    </row>
    <row r="108">
      <c r="A108" s="6" t="inlineStr"/>
      <c r="B108" s="6" t="inlineStr"/>
      <c r="C108" s="6" t="inlineStr">
        <is>
          <t>給付費(千円)</t>
        </is>
      </c>
      <c r="D108" s="18" t="n"/>
      <c r="E108" s="7" t="n">
        <v>0</v>
      </c>
      <c r="F108" s="7" t="n">
        <v>0</v>
      </c>
      <c r="G108" s="7" t="n">
        <v>0</v>
      </c>
      <c r="H108" s="6" t="inlineStr"/>
      <c r="I108" s="9" t="inlineStr"/>
    </row>
    <row r="109">
      <c r="A109" s="6" t="inlineStr">
        <is>
          <t>居宅</t>
        </is>
      </c>
      <c r="B109" s="6" t="inlineStr">
        <is>
          <t>介護予防支援</t>
        </is>
      </c>
      <c r="C109" s="6" t="inlineStr">
        <is>
          <t>人/月</t>
        </is>
      </c>
      <c r="D109" s="13" t="n">
        <v>74.8</v>
      </c>
      <c r="E109" s="13" t="n">
        <v>74.59999999999999</v>
      </c>
      <c r="F109" s="13" t="n">
        <v>74.40000000000001</v>
      </c>
      <c r="G109" s="13" t="n">
        <v>74.2</v>
      </c>
      <c r="H109" s="6" t="inlineStr">
        <is>
          <t>7年度</t>
        </is>
      </c>
      <c r="I109" s="9" t="inlineStr"/>
    </row>
    <row r="110">
      <c r="A110" s="6" t="inlineStr"/>
      <c r="B110" s="6" t="inlineStr"/>
      <c r="C110" s="6" t="inlineStr">
        <is>
          <t>給付費(千円)</t>
        </is>
      </c>
      <c r="D110" s="18" t="n"/>
      <c r="E110" s="7" t="n">
        <v>4140</v>
      </c>
      <c r="F110" s="7" t="n">
        <v>4128</v>
      </c>
      <c r="G110" s="7" t="n">
        <v>4116</v>
      </c>
      <c r="H110" s="6" t="inlineStr"/>
      <c r="I110" s="9" t="inlineStr"/>
    </row>
    <row r="111">
      <c r="A111" s="6" t="inlineStr">
        <is>
          <t>地域密着型</t>
        </is>
      </c>
      <c r="B111" s="6" t="inlineStr">
        <is>
          <t>介護予防認知症対応型通所介護</t>
        </is>
      </c>
      <c r="C111" s="6" t="inlineStr">
        <is>
          <t>回/月</t>
        </is>
      </c>
      <c r="D111" s="7" t="n">
        <v>0</v>
      </c>
      <c r="E111" s="7" t="n">
        <v>0</v>
      </c>
      <c r="F111" s="7" t="n">
        <v>0</v>
      </c>
      <c r="G111" s="7" t="n">
        <v>0</v>
      </c>
      <c r="H111" s="6" t="inlineStr">
        <is>
          <t>5年度／6年度／7年度</t>
        </is>
      </c>
      <c r="I111" s="9" t="inlineStr"/>
    </row>
    <row r="112">
      <c r="A112" s="6" t="inlineStr"/>
      <c r="B112" s="6" t="inlineStr"/>
      <c r="C112" s="6" t="inlineStr">
        <is>
          <t>人/月</t>
        </is>
      </c>
      <c r="D112" s="13" t="n">
        <v>0</v>
      </c>
      <c r="E112" s="13" t="n">
        <v>0</v>
      </c>
      <c r="F112" s="13" t="n">
        <v>0</v>
      </c>
      <c r="G112" s="13" t="n">
        <v>0</v>
      </c>
      <c r="H112" s="6" t="inlineStr"/>
      <c r="I112" s="9" t="inlineStr"/>
    </row>
    <row r="113">
      <c r="A113" s="6" t="inlineStr"/>
      <c r="B113" s="6" t="inlineStr"/>
      <c r="C113" s="6" t="inlineStr">
        <is>
          <t>給付費(千円)</t>
        </is>
      </c>
      <c r="D113" s="18" t="n"/>
      <c r="E113" s="7" t="n">
        <v>0</v>
      </c>
      <c r="F113" s="7" t="n">
        <v>0</v>
      </c>
      <c r="G113" s="7" t="n">
        <v>0</v>
      </c>
      <c r="H113" s="6" t="inlineStr"/>
      <c r="I113" s="9" t="inlineStr"/>
    </row>
    <row r="114">
      <c r="A114" s="6" t="inlineStr">
        <is>
          <t>地域密着型</t>
        </is>
      </c>
      <c r="B114" s="6" t="inlineStr">
        <is>
          <t>介護予防小規模多機能型居宅介護</t>
        </is>
      </c>
      <c r="C114" s="6" t="inlineStr">
        <is>
          <t>人/月</t>
        </is>
      </c>
      <c r="D114" s="13" t="n">
        <v>7.1</v>
      </c>
      <c r="E114" s="13" t="n">
        <v>6.2</v>
      </c>
      <c r="F114" s="13" t="n">
        <v>6.2</v>
      </c>
      <c r="G114" s="13" t="n">
        <v>6.2</v>
      </c>
      <c r="H114" s="6" t="inlineStr">
        <is>
          <t>5年度／6年度／7年度</t>
        </is>
      </c>
      <c r="I114" s="9" t="inlineStr"/>
    </row>
    <row r="115">
      <c r="A115" s="6" t="inlineStr"/>
      <c r="B115" s="6" t="inlineStr"/>
      <c r="C115" s="6" t="inlineStr">
        <is>
          <t>給付費(千円)</t>
        </is>
      </c>
      <c r="D115" s="18" t="n"/>
      <c r="E115" s="7" t="n">
        <v>6320</v>
      </c>
      <c r="F115" s="7" t="n">
        <v>6302</v>
      </c>
      <c r="G115" s="7" t="n">
        <v>6283</v>
      </c>
      <c r="H115" s="6" t="inlineStr"/>
      <c r="I115" s="9" t="inlineStr"/>
    </row>
    <row r="116">
      <c r="A116" s="6" t="inlineStr">
        <is>
          <t>地域密着型</t>
        </is>
      </c>
      <c r="B116" s="6" t="inlineStr">
        <is>
          <t>介護予防認知症対応型共同生活介護</t>
        </is>
      </c>
      <c r="C116" s="6" t="inlineStr">
        <is>
          <t>人/月</t>
        </is>
      </c>
      <c r="D116" s="13" t="n">
        <v>1.2</v>
      </c>
      <c r="E116" s="13" t="n">
        <v>1.2</v>
      </c>
      <c r="F116" s="13" t="n">
        <v>1.2</v>
      </c>
      <c r="G116" s="13" t="n">
        <v>1.2</v>
      </c>
      <c r="H116" s="6" t="inlineStr">
        <is>
          <t>7年度</t>
        </is>
      </c>
      <c r="I116" s="9" t="inlineStr"/>
    </row>
    <row r="117">
      <c r="A117" s="6" t="inlineStr"/>
      <c r="B117" s="6" t="inlineStr"/>
      <c r="C117" s="6" t="inlineStr">
        <is>
          <t>給付費(千円)</t>
        </is>
      </c>
      <c r="D117" s="18" t="n"/>
      <c r="E117" s="7" t="n">
        <v>3339</v>
      </c>
      <c r="F117" s="7" t="n">
        <v>3329</v>
      </c>
      <c r="G117" s="7" t="n">
        <v>3319</v>
      </c>
      <c r="H117" s="6" t="inlineStr"/>
      <c r="I117" s="9" t="inlineStr"/>
    </row>
    <row r="118">
      <c r="A118" s="20" t="inlineStr">
        <is>
          <t>予防給付　利用者数の合計</t>
        </is>
      </c>
      <c r="B118" s="20" t="inlineStr"/>
      <c r="C118" s="20" t="inlineStr">
        <is>
          <t>人/月</t>
        </is>
      </c>
      <c r="D118" s="21" t="n">
        <v>179.1</v>
      </c>
      <c r="E118" s="21" t="n">
        <v>175.5</v>
      </c>
      <c r="F118" s="21" t="n">
        <v>175</v>
      </c>
      <c r="G118" s="21" t="n">
        <v>174.5</v>
      </c>
      <c r="H118" s="20" t="inlineStr"/>
      <c r="I118" s="22" t="inlineStr">
        <is>
          <t>延べ利用者数。重複を含む</t>
        </is>
      </c>
    </row>
    <row r="119">
      <c r="A119" s="20" t="inlineStr">
        <is>
          <t>予防給付　給付費の合計</t>
        </is>
      </c>
      <c r="B119" s="20" t="inlineStr"/>
      <c r="C119" s="20" t="inlineStr">
        <is>
          <t>千円</t>
        </is>
      </c>
      <c r="D119" s="23" t="n"/>
      <c r="E119" s="24" t="n">
        <v>35210</v>
      </c>
      <c r="F119" s="24" t="n">
        <v>35108</v>
      </c>
      <c r="G119" s="24" t="n">
        <v>35005</v>
      </c>
      <c r="H119" s="20" t="inlineStr"/>
      <c r="I119" s="22" t="inlineStr"/>
    </row>
    <row r="121">
      <c r="A121" s="12" t="inlineStr">
        <is>
          <t>※ 計画書の見込量表にそのまま載せられる形にしたもの。回・日で表記するサービスは、量・人数・給付費の3行で示している。</t>
        </is>
      </c>
    </row>
    <row r="122">
      <c r="A122" s="12" t="inlineStr">
        <is>
          <t>**※ 量と人数の令和7年度実績は見える化システムのワークシートによる。**ワークシートの「回数」は給付実績情報の回数であり、国保連月報の実日数とは別物である。訪問介護では回数が日数を26％、訪問看護では32％上回る。計画書は回数で載せるため、こちらを採った。</t>
        </is>
      </c>
    </row>
    <row r="123">
      <c r="A123" s="12" t="inlineStr">
        <is>
          <t>**※ 給付費の令和7年度実績は年報 様式2 による。**確報であり費用額＝単位数×10円で内的に整合する。施設サービスは月報・見える化の額に特定入所者介護サービス費が乗っているため採らない（介護老人福祉施設で年報204,850千円 対 月報225,660千円）。</t>
        </is>
      </c>
    </row>
    <row r="124">
      <c r="A124" s="12" t="inlineStr">
        <is>
          <t>※ 第10期の見込みは、令和7年度の実績に「自前の見込件数÷令和7年度の件数」を乗じたもの。見込件数は第1号被保険者1人当たりの利用率（基準期間の平均）×将来推計人口による。</t>
        </is>
      </c>
    </row>
    <row r="125">
      <c r="A125" s="12" t="inlineStr">
        <is>
          <t>※ 量を載せないサービス（人数だけのもの）は、月額または日額の包括報酬であり、見える化のワークシートにも回（日）数の欄がない。</t>
        </is>
      </c>
    </row>
    <row r="126">
      <c r="A126" s="12" t="inlineStr">
        <is>
          <t>※ サービス名は計画書の正式名称による（予防給付は「介護予防」を冠する）。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4" customWidth="1" min="1" max="1"/>
    <col width="34" customWidth="1" min="2" max="2"/>
    <col width="10" customWidth="1" min="3" max="3"/>
    <col width="14" customWidth="1" min="4" max="4"/>
    <col width="15" customWidth="1" min="5" max="5"/>
    <col width="17" customWidth="1" min="6" max="6"/>
    <col width="10" customWidth="1" min="7" max="7"/>
    <col width="12" customWidth="1" min="8" max="8"/>
    <col width="44" customWidth="1" min="9" max="9"/>
  </cols>
  <sheetData>
    <row r="1">
      <c r="A1" s="5" t="inlineStr">
        <is>
          <t>区分</t>
        </is>
      </c>
      <c r="B1" s="5" t="inlineStr">
        <is>
          <t>サービス</t>
        </is>
      </c>
      <c r="C1" s="5" t="inlineStr">
        <is>
          <t>町内定員</t>
        </is>
      </c>
      <c r="D1" s="5" t="inlineStr">
        <is>
          <t>単位</t>
        </is>
      </c>
      <c r="E1" s="5" t="inlineStr">
        <is>
          <t>R11見込（人/月）</t>
        </is>
      </c>
      <c r="F1" s="5" t="inlineStr">
        <is>
          <t>R11見込（1日あたり）</t>
        </is>
      </c>
      <c r="G1" s="5" t="inlineStr">
        <is>
          <t>充足率</t>
        </is>
      </c>
      <c r="H1" s="5" t="inlineStr">
        <is>
          <t>判定</t>
        </is>
      </c>
      <c r="I1" s="5" t="inlineStr">
        <is>
          <t>見方</t>
        </is>
      </c>
    </row>
    <row r="2">
      <c r="A2" s="6" t="inlineStr">
        <is>
          <t>施設・居住系</t>
        </is>
      </c>
      <c r="B2" s="6" t="inlineStr">
        <is>
          <t>介護老人福祉施設</t>
        </is>
      </c>
      <c r="C2" s="25" t="n">
        <v>54</v>
      </c>
      <c r="D2" s="6" t="inlineStr">
        <is>
          <t>人</t>
        </is>
      </c>
      <c r="E2" s="13" t="n">
        <v>69.69752286874764</v>
      </c>
      <c r="F2" s="14" t="n"/>
      <c r="G2" s="26" t="n">
        <v>129.0694867939771</v>
      </c>
      <c r="H2" s="15" t="inlineStr">
        <is>
          <t>**超過**</t>
        </is>
      </c>
      <c r="I2" s="9" t="inlineStr">
        <is>
          <t>町外の事業所の利用による。自給率の分析と整合させる</t>
        </is>
      </c>
    </row>
    <row r="3">
      <c r="A3" s="6" t="inlineStr">
        <is>
          <t>施設・居住系</t>
        </is>
      </c>
      <c r="B3" s="6" t="inlineStr">
        <is>
          <t>介護老人保健施設</t>
        </is>
      </c>
      <c r="C3" s="27" t="n"/>
      <c r="D3" s="6" t="inlineStr">
        <is>
          <t>人</t>
        </is>
      </c>
      <c r="E3" s="13" t="n">
        <v>28.63802090827699</v>
      </c>
      <c r="F3" s="14" t="n"/>
      <c r="G3" s="28" t="n"/>
      <c r="H3" s="29" t="inlineStr">
        <is>
          <t>町内になし</t>
        </is>
      </c>
      <c r="I3" s="9" t="inlineStr">
        <is>
          <t>町外の事業所の利用による。見込量は残す</t>
        </is>
      </c>
    </row>
    <row r="4">
      <c r="A4" s="6" t="inlineStr">
        <is>
          <t>施設・居住系</t>
        </is>
      </c>
      <c r="B4" s="6" t="inlineStr">
        <is>
          <t>介護医療院</t>
        </is>
      </c>
      <c r="C4" s="27" t="n"/>
      <c r="D4" s="6" t="inlineStr">
        <is>
          <t>人</t>
        </is>
      </c>
      <c r="E4" s="13" t="n">
        <v>0.9927388905024689</v>
      </c>
      <c r="F4" s="14" t="n"/>
      <c r="G4" s="28" t="n"/>
      <c r="H4" s="29" t="inlineStr">
        <is>
          <t>町内になし</t>
        </is>
      </c>
      <c r="I4" s="9" t="inlineStr">
        <is>
          <t>町外の事業所の利用による。見込量は残す</t>
        </is>
      </c>
    </row>
    <row r="5">
      <c r="A5" s="6" t="inlineStr">
        <is>
          <t>施設・居住系</t>
        </is>
      </c>
      <c r="B5" s="6" t="inlineStr">
        <is>
          <t>地域密着型介護老人福祉施設入所者生活介護</t>
        </is>
      </c>
      <c r="C5" s="25" t="n">
        <v>58</v>
      </c>
      <c r="D5" s="6" t="inlineStr">
        <is>
          <t>人</t>
        </is>
      </c>
      <c r="E5" s="13" t="n">
        <v>42.6472854663081</v>
      </c>
      <c r="F5" s="14" t="n"/>
      <c r="G5" s="30" t="n">
        <v>73.5298025281174</v>
      </c>
      <c r="H5" s="29" t="inlineStr">
        <is>
          <t>余力あり</t>
        </is>
      </c>
      <c r="I5" s="9" t="inlineStr">
        <is>
          <t>定員は上限として働いていない</t>
        </is>
      </c>
    </row>
    <row r="6">
      <c r="A6" s="6" t="inlineStr">
        <is>
          <t>施設・居住系</t>
        </is>
      </c>
      <c r="B6" s="6" t="inlineStr">
        <is>
          <t>認知症対応型共同生活介護</t>
        </is>
      </c>
      <c r="C6" s="25" t="n">
        <v>98</v>
      </c>
      <c r="D6" s="6" t="inlineStr">
        <is>
          <t>人</t>
        </is>
      </c>
      <c r="E6" s="13" t="n">
        <v>45.41780424048795</v>
      </c>
      <c r="F6" s="14" t="n"/>
      <c r="G6" s="30" t="n">
        <v>46.34469820457954</v>
      </c>
      <c r="H6" s="29" t="inlineStr">
        <is>
          <t>余力あり</t>
        </is>
      </c>
      <c r="I6" s="9" t="inlineStr">
        <is>
          <t>定員は上限として働いていない</t>
        </is>
      </c>
    </row>
    <row r="7">
      <c r="A7" s="6" t="inlineStr">
        <is>
          <t>施設・居住系</t>
        </is>
      </c>
      <c r="B7" s="6" t="inlineStr">
        <is>
          <t>特定施設入居者生活介護</t>
        </is>
      </c>
      <c r="C7" s="27" t="n"/>
      <c r="D7" s="6" t="inlineStr">
        <is>
          <t>人</t>
        </is>
      </c>
      <c r="E7" s="13" t="n">
        <v>3.730107092522659</v>
      </c>
      <c r="F7" s="14" t="n"/>
      <c r="G7" s="28" t="n"/>
      <c r="H7" s="29" t="inlineStr">
        <is>
          <t>町内になし</t>
        </is>
      </c>
      <c r="I7" s="9" t="inlineStr">
        <is>
          <t>町外の事業所の利用による。見込量は残す</t>
        </is>
      </c>
    </row>
    <row r="8">
      <c r="A8" s="6" t="inlineStr">
        <is>
          <t>通所系</t>
        </is>
      </c>
      <c r="B8" s="6" t="inlineStr">
        <is>
          <t>通所介護</t>
        </is>
      </c>
      <c r="C8" s="25" t="n">
        <v>139</v>
      </c>
      <c r="D8" s="6" t="inlineStr">
        <is>
          <t>人/日</t>
        </is>
      </c>
      <c r="E8" s="13" t="n">
        <v>172.760382100268</v>
      </c>
      <c r="F8" s="13" t="n">
        <v>60.74381976832043</v>
      </c>
      <c r="G8" s="30" t="n">
        <v>43.7005897613816</v>
      </c>
      <c r="H8" s="29" t="inlineStr">
        <is>
          <t>余力あり</t>
        </is>
      </c>
      <c r="I8" s="9" t="inlineStr">
        <is>
          <t>定員は上限として働いていない</t>
        </is>
      </c>
    </row>
    <row r="9">
      <c r="A9" s="6" t="inlineStr">
        <is>
          <t>通所系</t>
        </is>
      </c>
      <c r="B9" s="6" t="inlineStr">
        <is>
          <t>通所リハビリテーション</t>
        </is>
      </c>
      <c r="C9" s="27" t="n"/>
      <c r="D9" s="6" t="inlineStr">
        <is>
          <t>人/日</t>
        </is>
      </c>
      <c r="E9" s="13" t="n">
        <v>52.08227207679366</v>
      </c>
      <c r="F9" s="13" t="n">
        <v>6.811816822693491</v>
      </c>
      <c r="G9" s="28" t="n"/>
      <c r="H9" s="29" t="inlineStr">
        <is>
          <t>町内になし</t>
        </is>
      </c>
      <c r="I9" s="9" t="inlineStr">
        <is>
          <t>町外の事業所の利用による。見込量は残す</t>
        </is>
      </c>
    </row>
    <row r="10">
      <c r="A10" s="6" t="inlineStr">
        <is>
          <t>通所系</t>
        </is>
      </c>
      <c r="B10" s="6" t="inlineStr">
        <is>
          <t>認知症対応型通所介護</t>
        </is>
      </c>
      <c r="C10" s="25" t="n">
        <v>12</v>
      </c>
      <c r="D10" s="6" t="inlineStr">
        <is>
          <t>人/日</t>
        </is>
      </c>
      <c r="E10" s="13" t="n">
        <v>7.853841212514887</v>
      </c>
      <c r="F10" s="13" t="n">
        <v>3.196916134581381</v>
      </c>
      <c r="G10" s="30" t="n">
        <v>26.64096778817817</v>
      </c>
      <c r="H10" s="29" t="inlineStr">
        <is>
          <t>余力あり</t>
        </is>
      </c>
      <c r="I10" s="9" t="inlineStr">
        <is>
          <t>定員は上限として働いていない</t>
        </is>
      </c>
    </row>
    <row r="11">
      <c r="A11" s="6" t="inlineStr">
        <is>
          <t>通所系</t>
        </is>
      </c>
      <c r="B11" s="6" t="inlineStr">
        <is>
          <t>小規模多機能型居宅介護</t>
        </is>
      </c>
      <c r="C11" s="25" t="n">
        <v>30</v>
      </c>
      <c r="D11" s="6" t="inlineStr">
        <is>
          <t>人/日（通い）</t>
        </is>
      </c>
      <c r="E11" s="13" t="n">
        <v>30.48484519556246</v>
      </c>
      <c r="F11" s="14" t="n"/>
      <c r="G11" s="28" t="n"/>
      <c r="H11" s="29" t="inlineStr">
        <is>
          <t>**要確認**</t>
        </is>
      </c>
      <c r="I11" s="9" t="inlineStr">
        <is>
          <t>**登録者数と通いの定員を並べたもので、充足率としては読めない。登録定員は1事業所29人以下と定められている。事業所数と登録定員を町に確認する**</t>
        </is>
      </c>
    </row>
    <row r="13">
      <c r="A13" s="12" t="inlineStr">
        <is>
          <t>※ 定員は見える化システムのＤ25〜Ｄ27（令和7年度）による。出典は介護サービス情報公表システム。</t>
        </is>
      </c>
    </row>
    <row r="14">
      <c r="A14" s="12" t="inlineStr">
        <is>
          <t>※ 通所系は、見込延べ回（日）数を月26日の営業日で割って1日あたりの利用者数にしている。</t>
        </is>
      </c>
    </row>
    <row r="15">
      <c r="A15" s="12" t="inlineStr">
        <is>
          <t>**※ 介護老人福祉施設は町内定員54人に対し見込み69.7人/月で、15.7人が町外の施設の利用にあたる。**第9期の自給率の分析と整合させる。</t>
        </is>
      </c>
    </row>
    <row r="16">
      <c r="A16" s="12" t="inlineStr">
        <is>
          <t>**※ 小規模多機能型居宅介護は登録定員が29人以下と定められている。**見込み30.5人/月は登録者数にあたるため、1事業所であれば上限を超える。事業所数と登録定員を町に確認する。</t>
        </is>
      </c>
    </row>
    <row r="17">
      <c r="A17" s="12" t="inlineStr">
        <is>
          <t>※ 認知症対応型共同生活介護の定員は令和5年度71人から令和6年度98人へ増えている。第9期が「新規整備を原則行わない」方針であったこととの整合を、第9期評価で整理する。</t>
        </is>
      </c>
    </row>
    <row r="18">
      <c r="A18" s="12" t="inlineStr">
        <is>
          <t>※ 通所リハビリテーションの人数は介護給付と予防給付の合計だが、1日あたりは介護給付の回数だけによる（介護予防通所リハビリテーションは月額の包括報酬で回数がない）。町内に事業所がないため定員の判定には影響しない。</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1" max="1"/>
    <col width="9" customWidth="1" min="2" max="2"/>
    <col width="11" customWidth="1" min="3" max="3"/>
    <col width="11" customWidth="1" min="4" max="4"/>
    <col width="11" customWidth="1" min="5" max="5"/>
    <col width="11" customWidth="1" min="6" max="6"/>
    <col width="14" customWidth="1" min="7" max="7"/>
    <col width="18" customWidth="1" min="8" max="8"/>
    <col width="15" customWidth="1" min="9" max="9"/>
    <col width="20" customWidth="1" min="10" max="10"/>
    <col width="7" customWidth="1" min="11" max="11"/>
  </cols>
  <sheetData>
    <row r="1">
      <c r="A1" s="5" t="inlineStr">
        <is>
          <t>サービス</t>
        </is>
      </c>
      <c r="B1" s="5" t="inlineStr">
        <is>
          <t>給付の別</t>
        </is>
      </c>
      <c r="C1" s="5" t="inlineStr">
        <is>
          <t>令和5年度</t>
        </is>
      </c>
      <c r="D1" s="5" t="inlineStr">
        <is>
          <t>令和6年度</t>
        </is>
      </c>
      <c r="E1" s="5" t="inlineStr">
        <is>
          <t>令和7年度</t>
        </is>
      </c>
      <c r="F1" s="5" t="inlineStr">
        <is>
          <t>3年平均</t>
        </is>
      </c>
      <c r="G1" s="5" t="inlineStr">
        <is>
          <t>令和7年度の乖離</t>
        </is>
      </c>
      <c r="H1" s="5" t="inlineStr">
        <is>
          <t>令和8年度 前年同期比</t>
        </is>
      </c>
      <c r="I1" s="5" t="inlineStr">
        <is>
          <t>判定</t>
        </is>
      </c>
      <c r="J1" s="5" t="inlineStr">
        <is>
          <t>採用している基準期間</t>
        </is>
      </c>
      <c r="K1" s="5" t="inlineStr">
        <is>
          <t>一致</t>
        </is>
      </c>
    </row>
    <row r="2">
      <c r="A2" s="6" t="inlineStr">
        <is>
          <t>訪問介護</t>
        </is>
      </c>
      <c r="B2" s="6" t="inlineStr">
        <is>
          <t>介護</t>
        </is>
      </c>
      <c r="C2" s="25" t="n">
        <v>958</v>
      </c>
      <c r="D2" s="25" t="n">
        <v>843</v>
      </c>
      <c r="E2" s="25" t="n">
        <v>628</v>
      </c>
      <c r="F2" s="25" t="n">
        <v>809.6666666666666</v>
      </c>
      <c r="G2" s="31" t="n">
        <v>-0.2243721696171264</v>
      </c>
      <c r="H2" s="32" t="n">
        <v>1.132450331125828</v>
      </c>
      <c r="I2" s="29" t="inlineStr">
        <is>
          <t>3年平均</t>
        </is>
      </c>
      <c r="J2" s="6" t="inlineStr">
        <is>
          <t>3年平均</t>
        </is>
      </c>
      <c r="K2" s="6" t="inlineStr">
        <is>
          <t>○</t>
        </is>
      </c>
    </row>
    <row r="3">
      <c r="A3" s="6" t="inlineStr">
        <is>
          <t>訪問入浴介護</t>
        </is>
      </c>
      <c r="B3" s="6" t="inlineStr">
        <is>
          <t>介護</t>
        </is>
      </c>
      <c r="C3" s="25" t="n">
        <v>81</v>
      </c>
      <c r="D3" s="25" t="n">
        <v>89</v>
      </c>
      <c r="E3" s="25" t="n">
        <v>68</v>
      </c>
      <c r="F3" s="25" t="n">
        <v>79.33333333333333</v>
      </c>
      <c r="G3" s="31" t="n">
        <v>-0.1428571428571428</v>
      </c>
      <c r="H3" s="32" t="n">
        <v>1.727272727272727</v>
      </c>
      <c r="I3" s="29" t="inlineStr">
        <is>
          <t>3年平均</t>
        </is>
      </c>
      <c r="J3" s="6" t="inlineStr">
        <is>
          <t>3年平均</t>
        </is>
      </c>
      <c r="K3" s="6" t="inlineStr">
        <is>
          <t>○</t>
        </is>
      </c>
    </row>
    <row r="4">
      <c r="A4" s="6" t="inlineStr">
        <is>
          <t>訪問看護</t>
        </is>
      </c>
      <c r="B4" s="6" t="inlineStr">
        <is>
          <t>介護</t>
        </is>
      </c>
      <c r="C4" s="25" t="n">
        <v>456</v>
      </c>
      <c r="D4" s="25" t="n">
        <v>470</v>
      </c>
      <c r="E4" s="25" t="n">
        <v>519</v>
      </c>
      <c r="F4" s="25" t="n">
        <v>481.6666666666667</v>
      </c>
      <c r="G4" s="31" t="n">
        <v>0.077508650519031</v>
      </c>
      <c r="H4" s="32" t="n">
        <v>1.11965811965812</v>
      </c>
      <c r="I4" s="15" t="inlineStr">
        <is>
          <t>令和7年度単年</t>
        </is>
      </c>
      <c r="J4" s="6" t="inlineStr">
        <is>
          <t>令和7年度単年</t>
        </is>
      </c>
      <c r="K4" s="6" t="inlineStr">
        <is>
          <t>○</t>
        </is>
      </c>
    </row>
    <row r="5">
      <c r="A5" s="6" t="inlineStr">
        <is>
          <t>介護予防訪問看護</t>
        </is>
      </c>
      <c r="B5" s="6" t="inlineStr">
        <is>
          <t>予防</t>
        </is>
      </c>
      <c r="C5" s="25" t="n">
        <v>48</v>
      </c>
      <c r="D5" s="25" t="n">
        <v>66</v>
      </c>
      <c r="E5" s="25" t="n">
        <v>88</v>
      </c>
      <c r="F5" s="25" t="n">
        <v>67.33333333333333</v>
      </c>
      <c r="G5" s="31" t="n">
        <v>0.306930693069307</v>
      </c>
      <c r="H5" s="32" t="n">
        <v>0.8571428571428571</v>
      </c>
      <c r="I5" s="29" t="inlineStr">
        <is>
          <t>3年平均</t>
        </is>
      </c>
      <c r="J5" s="6" t="inlineStr">
        <is>
          <t>3年平均</t>
        </is>
      </c>
      <c r="K5" s="6" t="inlineStr">
        <is>
          <t>○</t>
        </is>
      </c>
    </row>
    <row r="6">
      <c r="A6" s="6" t="inlineStr">
        <is>
          <t>居宅療養管理指導</t>
        </is>
      </c>
      <c r="B6" s="6" t="inlineStr">
        <is>
          <t>介護</t>
        </is>
      </c>
      <c r="C6" s="25" t="n">
        <v>176</v>
      </c>
      <c r="D6" s="25" t="n">
        <v>251</v>
      </c>
      <c r="E6" s="25" t="n">
        <v>195</v>
      </c>
      <c r="F6" s="25" t="n">
        <v>207.3333333333333</v>
      </c>
      <c r="G6" s="31" t="n">
        <v>-0.05948553054662387</v>
      </c>
      <c r="H6" s="32" t="n">
        <v>1</v>
      </c>
      <c r="I6" s="29" t="inlineStr">
        <is>
          <t>3年平均</t>
        </is>
      </c>
      <c r="J6" s="6" t="inlineStr">
        <is>
          <t>3年平均</t>
        </is>
      </c>
      <c r="K6" s="6" t="inlineStr">
        <is>
          <t>○</t>
        </is>
      </c>
    </row>
    <row r="7">
      <c r="A7" s="6" t="inlineStr">
        <is>
          <t>介護予防居宅療養管理指導</t>
        </is>
      </c>
      <c r="B7" s="6" t="inlineStr">
        <is>
          <t>予防</t>
        </is>
      </c>
      <c r="C7" s="25" t="n">
        <v>24</v>
      </c>
      <c r="D7" s="25" t="n">
        <v>24</v>
      </c>
      <c r="E7" s="25" t="n">
        <v>25</v>
      </c>
      <c r="F7" s="25" t="n">
        <v>24.33333333333333</v>
      </c>
      <c r="G7" s="31" t="n">
        <v>0.02739726027397271</v>
      </c>
      <c r="H7" s="32" t="n">
        <v>0.8571428571428571</v>
      </c>
      <c r="I7" s="29" t="inlineStr">
        <is>
          <t>3年平均</t>
        </is>
      </c>
      <c r="J7" s="6" t="inlineStr">
        <is>
          <t>3年平均</t>
        </is>
      </c>
      <c r="K7" s="6" t="inlineStr">
        <is>
          <t>○</t>
        </is>
      </c>
    </row>
    <row r="8">
      <c r="A8" s="6" t="inlineStr">
        <is>
          <t>通所介護</t>
        </is>
      </c>
      <c r="B8" s="6" t="inlineStr">
        <is>
          <t>介護</t>
        </is>
      </c>
      <c r="C8" s="25" t="n">
        <v>2162</v>
      </c>
      <c r="D8" s="25" t="n">
        <v>2247</v>
      </c>
      <c r="E8" s="25" t="n">
        <v>2053</v>
      </c>
      <c r="F8" s="25" t="n">
        <v>2154</v>
      </c>
      <c r="G8" s="31" t="n">
        <v>-0.0468895078922934</v>
      </c>
      <c r="H8" s="32" t="n">
        <v>0.9634615384615385</v>
      </c>
      <c r="I8" s="29" t="inlineStr">
        <is>
          <t>3年平均</t>
        </is>
      </c>
      <c r="J8" s="6" t="inlineStr">
        <is>
          <t>3年平均</t>
        </is>
      </c>
      <c r="K8" s="6" t="inlineStr">
        <is>
          <t>○</t>
        </is>
      </c>
    </row>
    <row r="9">
      <c r="A9" s="6" t="inlineStr">
        <is>
          <t>通所リハビリテーション</t>
        </is>
      </c>
      <c r="B9" s="6" t="inlineStr">
        <is>
          <t>介護</t>
        </is>
      </c>
      <c r="C9" s="25" t="n">
        <v>287</v>
      </c>
      <c r="D9" s="25" t="n">
        <v>307</v>
      </c>
      <c r="E9" s="25" t="n">
        <v>311</v>
      </c>
      <c r="F9" s="25" t="n">
        <v>301.6666666666667</v>
      </c>
      <c r="G9" s="31" t="n">
        <v>0.03093922651933689</v>
      </c>
      <c r="H9" s="32" t="n">
        <v>1.013333333333333</v>
      </c>
      <c r="I9" s="29" t="inlineStr">
        <is>
          <t>3年平均</t>
        </is>
      </c>
      <c r="J9" s="6" t="inlineStr">
        <is>
          <t>3年平均</t>
        </is>
      </c>
      <c r="K9" s="6" t="inlineStr">
        <is>
          <t>○</t>
        </is>
      </c>
    </row>
    <row r="10">
      <c r="A10" s="6" t="inlineStr">
        <is>
          <t>介護予防通所リハビリテーション</t>
        </is>
      </c>
      <c r="B10" s="6" t="inlineStr">
        <is>
          <t>予防</t>
        </is>
      </c>
      <c r="C10" s="25" t="n">
        <v>280</v>
      </c>
      <c r="D10" s="25" t="n">
        <v>278</v>
      </c>
      <c r="E10" s="25" t="n">
        <v>329</v>
      </c>
      <c r="F10" s="25" t="n">
        <v>295.6666666666667</v>
      </c>
      <c r="G10" s="31" t="n">
        <v>0.112739571589628</v>
      </c>
      <c r="H10" s="32" t="n">
        <v>1.297297297297297</v>
      </c>
      <c r="I10" s="15" t="inlineStr">
        <is>
          <t>令和7年度単年</t>
        </is>
      </c>
      <c r="J10" s="6" t="inlineStr">
        <is>
          <t>令和7年度単年</t>
        </is>
      </c>
      <c r="K10" s="6" t="inlineStr">
        <is>
          <t>○</t>
        </is>
      </c>
    </row>
    <row r="11">
      <c r="A11" s="6" t="inlineStr">
        <is>
          <t>短期入所生活介護</t>
        </is>
      </c>
      <c r="B11" s="6" t="inlineStr">
        <is>
          <t>介護</t>
        </is>
      </c>
      <c r="C11" s="25" t="n">
        <v>418</v>
      </c>
      <c r="D11" s="25" t="n">
        <v>345</v>
      </c>
      <c r="E11" s="25" t="n">
        <v>357</v>
      </c>
      <c r="F11" s="25" t="n">
        <v>373.3333333333333</v>
      </c>
      <c r="G11" s="31" t="n">
        <v>-0.04374999999999996</v>
      </c>
      <c r="H11" s="32" t="n">
        <v>1.406976744186047</v>
      </c>
      <c r="I11" s="29" t="inlineStr">
        <is>
          <t>3年平均</t>
        </is>
      </c>
      <c r="J11" s="6" t="inlineStr">
        <is>
          <t>3年平均</t>
        </is>
      </c>
      <c r="K11" s="6" t="inlineStr">
        <is>
          <t>○</t>
        </is>
      </c>
    </row>
    <row r="12">
      <c r="A12" s="6" t="inlineStr">
        <is>
          <t>短期入所療養介護（介護老人保健施設）</t>
        </is>
      </c>
      <c r="B12" s="6" t="inlineStr">
        <is>
          <t>介護</t>
        </is>
      </c>
      <c r="C12" s="25" t="n">
        <v>35</v>
      </c>
      <c r="D12" s="25" t="n">
        <v>13</v>
      </c>
      <c r="E12" s="25" t="n">
        <v>27</v>
      </c>
      <c r="F12" s="25" t="n">
        <v>25</v>
      </c>
      <c r="G12" s="31" t="n">
        <v>0.08000000000000007</v>
      </c>
      <c r="H12" s="32" t="n">
        <v>0.8333333333333334</v>
      </c>
      <c r="I12" s="29" t="inlineStr">
        <is>
          <t>3年平均</t>
        </is>
      </c>
      <c r="J12" s="6" t="inlineStr">
        <is>
          <t>3年平均</t>
        </is>
      </c>
      <c r="K12" s="6" t="inlineStr">
        <is>
          <t>○</t>
        </is>
      </c>
    </row>
    <row r="13">
      <c r="A13" s="6" t="inlineStr">
        <is>
          <t>福祉用具貸与</t>
        </is>
      </c>
      <c r="B13" s="6" t="inlineStr">
        <is>
          <t>介護</t>
        </is>
      </c>
      <c r="C13" s="25" t="n">
        <v>2362</v>
      </c>
      <c r="D13" s="25" t="n">
        <v>2444</v>
      </c>
      <c r="E13" s="25" t="n">
        <v>2387</v>
      </c>
      <c r="F13" s="25" t="n">
        <v>2397.666666666667</v>
      </c>
      <c r="G13" s="31" t="n">
        <v>-0.004448769637147132</v>
      </c>
      <c r="H13" s="32" t="n">
        <v>0.9863945578231292</v>
      </c>
      <c r="I13" s="29" t="inlineStr">
        <is>
          <t>3年平均</t>
        </is>
      </c>
      <c r="J13" s="6" t="inlineStr">
        <is>
          <t>3年平均</t>
        </is>
      </c>
      <c r="K13" s="6" t="inlineStr">
        <is>
          <t>○</t>
        </is>
      </c>
    </row>
    <row r="14">
      <c r="A14" s="6" t="inlineStr">
        <is>
          <t>介護予防福祉用具貸与</t>
        </is>
      </c>
      <c r="B14" s="6" t="inlineStr">
        <is>
          <t>予防</t>
        </is>
      </c>
      <c r="C14" s="25" t="n">
        <v>605</v>
      </c>
      <c r="D14" s="25" t="n">
        <v>607</v>
      </c>
      <c r="E14" s="25" t="n">
        <v>688</v>
      </c>
      <c r="F14" s="25" t="n">
        <v>633.3333333333334</v>
      </c>
      <c r="G14" s="31" t="n">
        <v>0.08631578947368412</v>
      </c>
      <c r="H14" s="32" t="n">
        <v>1.203821656050955</v>
      </c>
      <c r="I14" s="15" t="inlineStr">
        <is>
          <t>令和7年度単年</t>
        </is>
      </c>
      <c r="J14" s="6" t="inlineStr">
        <is>
          <t>令和7年度単年</t>
        </is>
      </c>
      <c r="K14" s="6" t="inlineStr">
        <is>
          <t>○</t>
        </is>
      </c>
    </row>
    <row r="15">
      <c r="A15" s="6" t="inlineStr">
        <is>
          <t>特定福祉用具販売</t>
        </is>
      </c>
      <c r="B15" s="6" t="inlineStr">
        <is>
          <t>介護</t>
        </is>
      </c>
      <c r="C15" s="25" t="n">
        <v>35</v>
      </c>
      <c r="D15" s="25" t="n">
        <v>38</v>
      </c>
      <c r="E15" s="25" t="n">
        <v>45</v>
      </c>
      <c r="F15" s="25" t="n">
        <v>39.33333333333334</v>
      </c>
      <c r="G15" s="31" t="n">
        <v>0.1440677966101693</v>
      </c>
      <c r="H15" s="33" t="n"/>
      <c r="I15" s="29" t="inlineStr">
        <is>
          <t>3年平均</t>
        </is>
      </c>
      <c r="J15" s="6" t="inlineStr">
        <is>
          <t>令和6〜7年度2年平均</t>
        </is>
      </c>
      <c r="K15" s="6" t="inlineStr">
        <is>
          <t>○</t>
        </is>
      </c>
    </row>
    <row r="16">
      <c r="A16" s="6" t="inlineStr">
        <is>
          <t>特定介護予防福祉用具販売</t>
        </is>
      </c>
      <c r="B16" s="6" t="inlineStr">
        <is>
          <t>予防</t>
        </is>
      </c>
      <c r="C16" s="25" t="n">
        <v>20</v>
      </c>
      <c r="D16" s="25" t="n">
        <v>12</v>
      </c>
      <c r="E16" s="25" t="n">
        <v>17</v>
      </c>
      <c r="F16" s="25" t="n">
        <v>16.33333333333333</v>
      </c>
      <c r="G16" s="31" t="n">
        <v>0.04081632653061229</v>
      </c>
      <c r="H16" s="33" t="n"/>
      <c r="I16" s="29" t="inlineStr">
        <is>
          <t>3年平均</t>
        </is>
      </c>
      <c r="J16" s="6" t="inlineStr">
        <is>
          <t>令和6〜7年度2年平均</t>
        </is>
      </c>
      <c r="K16" s="6" t="inlineStr">
        <is>
          <t>○</t>
        </is>
      </c>
    </row>
    <row r="17">
      <c r="A17" s="6" t="inlineStr">
        <is>
          <t>住宅改修</t>
        </is>
      </c>
      <c r="B17" s="6" t="inlineStr">
        <is>
          <t>介護</t>
        </is>
      </c>
      <c r="C17" s="25" t="n">
        <v>20</v>
      </c>
      <c r="D17" s="25" t="n">
        <v>30</v>
      </c>
      <c r="E17" s="25" t="n">
        <v>22</v>
      </c>
      <c r="F17" s="25" t="n">
        <v>24</v>
      </c>
      <c r="G17" s="31" t="n">
        <v>-0.08333333333333337</v>
      </c>
      <c r="H17" s="33" t="n"/>
      <c r="I17" s="29" t="inlineStr">
        <is>
          <t>3年平均</t>
        </is>
      </c>
      <c r="J17" s="6" t="inlineStr">
        <is>
          <t>令和6〜7年度2年平均</t>
        </is>
      </c>
      <c r="K17" s="6" t="inlineStr">
        <is>
          <t>○</t>
        </is>
      </c>
    </row>
    <row r="18">
      <c r="A18" s="6" t="inlineStr">
        <is>
          <t>介護予防住宅改修</t>
        </is>
      </c>
      <c r="B18" s="6" t="inlineStr">
        <is>
          <t>予防</t>
        </is>
      </c>
      <c r="C18" s="25" t="n">
        <v>16</v>
      </c>
      <c r="D18" s="25" t="n">
        <v>13</v>
      </c>
      <c r="E18" s="25" t="n">
        <v>11</v>
      </c>
      <c r="F18" s="25" t="n">
        <v>13.33333333333333</v>
      </c>
      <c r="G18" s="31" t="n">
        <v>-0.175</v>
      </c>
      <c r="H18" s="33" t="n"/>
      <c r="I18" s="29" t="inlineStr">
        <is>
          <t>3年平均</t>
        </is>
      </c>
      <c r="J18" s="6" t="inlineStr">
        <is>
          <t>令和6〜7年度2年平均</t>
        </is>
      </c>
      <c r="K18" s="6" t="inlineStr">
        <is>
          <t>○</t>
        </is>
      </c>
    </row>
    <row r="19">
      <c r="A19" s="6" t="inlineStr">
        <is>
          <t>特定施設入居者生活介護</t>
        </is>
      </c>
      <c r="B19" s="6" t="inlineStr">
        <is>
          <t>介護</t>
        </is>
      </c>
      <c r="C19" s="25" t="n">
        <v>32</v>
      </c>
      <c r="D19" s="25" t="n">
        <v>51</v>
      </c>
      <c r="E19" s="25" t="n">
        <v>45</v>
      </c>
      <c r="F19" s="25" t="n">
        <v>42.66666666666666</v>
      </c>
      <c r="G19" s="31" t="n">
        <v>0.0546875</v>
      </c>
      <c r="H19" s="32" t="n">
        <v>0.5833333333333334</v>
      </c>
      <c r="I19" s="29" t="inlineStr">
        <is>
          <t>3年平均</t>
        </is>
      </c>
      <c r="J19" s="6" t="inlineStr">
        <is>
          <t>3年平均</t>
        </is>
      </c>
      <c r="K19" s="6" t="inlineStr">
        <is>
          <t>○</t>
        </is>
      </c>
    </row>
    <row r="20">
      <c r="A20" s="6" t="inlineStr">
        <is>
          <t>居宅介護支援</t>
        </is>
      </c>
      <c r="B20" s="6" t="inlineStr">
        <is>
          <t>介護</t>
        </is>
      </c>
      <c r="C20" s="25" t="n">
        <v>3204</v>
      </c>
      <c r="D20" s="25" t="n">
        <v>3222</v>
      </c>
      <c r="E20" s="25" t="n">
        <v>3036</v>
      </c>
      <c r="F20" s="25" t="n">
        <v>3154</v>
      </c>
      <c r="G20" s="31" t="n">
        <v>-0.03741280913126188</v>
      </c>
      <c r="H20" s="32" t="n">
        <v>0.9566929133858267</v>
      </c>
      <c r="I20" s="29" t="inlineStr">
        <is>
          <t>3年平均</t>
        </is>
      </c>
      <c r="J20" s="6" t="inlineStr">
        <is>
          <t>3年平均</t>
        </is>
      </c>
      <c r="K20" s="6" t="inlineStr">
        <is>
          <t>○</t>
        </is>
      </c>
    </row>
    <row r="21">
      <c r="A21" s="6" t="inlineStr">
        <is>
          <t>介護予防支援</t>
        </is>
      </c>
      <c r="B21" s="6" t="inlineStr">
        <is>
          <t>予防</t>
        </is>
      </c>
      <c r="C21" s="25" t="n">
        <v>802</v>
      </c>
      <c r="D21" s="25" t="n">
        <v>807</v>
      </c>
      <c r="E21" s="25" t="n">
        <v>919</v>
      </c>
      <c r="F21" s="25" t="n">
        <v>842.6666666666666</v>
      </c>
      <c r="G21" s="31" t="n">
        <v>0.09058544303797467</v>
      </c>
      <c r="H21" s="32" t="n">
        <v>1.205607476635514</v>
      </c>
      <c r="I21" s="15" t="inlineStr">
        <is>
          <t>令和7年度単年</t>
        </is>
      </c>
      <c r="J21" s="6" t="inlineStr">
        <is>
          <t>令和7年度単年</t>
        </is>
      </c>
      <c r="K21" s="6" t="inlineStr">
        <is>
          <t>○</t>
        </is>
      </c>
    </row>
    <row r="22">
      <c r="A22" s="6" t="inlineStr">
        <is>
          <t>定期巡回・随時対応型訪問介護看護</t>
        </is>
      </c>
      <c r="B22" s="6" t="inlineStr">
        <is>
          <t>介護</t>
        </is>
      </c>
      <c r="C22" s="25" t="n">
        <v>43</v>
      </c>
      <c r="D22" s="25" t="n">
        <v>33</v>
      </c>
      <c r="E22" s="25" t="n">
        <v>0</v>
      </c>
      <c r="F22" s="25" t="n">
        <v>25.33333333333333</v>
      </c>
      <c r="G22" s="31" t="n">
        <v>-1</v>
      </c>
      <c r="H22" s="33" t="n"/>
      <c r="I22" s="29" t="inlineStr">
        <is>
          <t>3年平均</t>
        </is>
      </c>
      <c r="J22" s="6" t="inlineStr">
        <is>
          <t>令和7年度単年</t>
        </is>
      </c>
      <c r="K22" s="6" t="inlineStr">
        <is>
          <t>○</t>
        </is>
      </c>
    </row>
    <row r="23">
      <c r="A23" s="6" t="inlineStr">
        <is>
          <t>認知症対応型通所介護</t>
        </is>
      </c>
      <c r="B23" s="6" t="inlineStr">
        <is>
          <t>介護</t>
        </is>
      </c>
      <c r="C23" s="25" t="n">
        <v>102</v>
      </c>
      <c r="D23" s="25" t="n">
        <v>89</v>
      </c>
      <c r="E23" s="25" t="n">
        <v>115</v>
      </c>
      <c r="F23" s="25" t="n">
        <v>102</v>
      </c>
      <c r="G23" s="31" t="n">
        <v>0.1274509803921569</v>
      </c>
      <c r="H23" s="32" t="n">
        <v>0.8571428571428571</v>
      </c>
      <c r="I23" s="29" t="inlineStr">
        <is>
          <t>3年平均</t>
        </is>
      </c>
      <c r="J23" s="6" t="inlineStr">
        <is>
          <t>3年平均</t>
        </is>
      </c>
      <c r="K23" s="6" t="inlineStr">
        <is>
          <t>○</t>
        </is>
      </c>
    </row>
    <row r="24">
      <c r="A24" s="6" t="inlineStr">
        <is>
          <t>小規模多機能型居宅介護</t>
        </is>
      </c>
      <c r="B24" s="6" t="inlineStr">
        <is>
          <t>介護</t>
        </is>
      </c>
      <c r="C24" s="25" t="n">
        <v>310</v>
      </c>
      <c r="D24" s="25" t="n">
        <v>321</v>
      </c>
      <c r="E24" s="25" t="n">
        <v>270</v>
      </c>
      <c r="F24" s="25" t="n">
        <v>300.3333333333333</v>
      </c>
      <c r="G24" s="31" t="n">
        <v>-0.1009988901220865</v>
      </c>
      <c r="H24" s="32" t="n">
        <v>1.08955223880597</v>
      </c>
      <c r="I24" s="29" t="inlineStr">
        <is>
          <t>3年平均</t>
        </is>
      </c>
      <c r="J24" s="6" t="inlineStr">
        <is>
          <t>3年平均</t>
        </is>
      </c>
      <c r="K24" s="6" t="inlineStr">
        <is>
          <t>○</t>
        </is>
      </c>
    </row>
    <row r="25">
      <c r="A25" s="6" t="inlineStr">
        <is>
          <t>介護予防小規模多機能型居宅介護</t>
        </is>
      </c>
      <c r="B25" s="6" t="inlineStr">
        <is>
          <t>予防</t>
        </is>
      </c>
      <c r="C25" s="25" t="n">
        <v>63</v>
      </c>
      <c r="D25" s="25" t="n">
        <v>89</v>
      </c>
      <c r="E25" s="25" t="n">
        <v>92</v>
      </c>
      <c r="F25" s="25" t="n">
        <v>81.33333333333333</v>
      </c>
      <c r="G25" s="31" t="n">
        <v>0.1311475409836067</v>
      </c>
      <c r="H25" s="32" t="n">
        <v>1</v>
      </c>
      <c r="I25" s="29" t="inlineStr">
        <is>
          <t>3年平均</t>
        </is>
      </c>
      <c r="J25" s="6" t="inlineStr">
        <is>
          <t>3年平均</t>
        </is>
      </c>
      <c r="K25" s="6" t="inlineStr">
        <is>
          <t>○</t>
        </is>
      </c>
    </row>
    <row r="26">
      <c r="A26" s="6" t="inlineStr">
        <is>
          <t>認知症対応型共同生活介護</t>
        </is>
      </c>
      <c r="B26" s="6" t="inlineStr">
        <is>
          <t>介護</t>
        </is>
      </c>
      <c r="C26" s="25" t="n">
        <v>611</v>
      </c>
      <c r="D26" s="25" t="n">
        <v>609</v>
      </c>
      <c r="E26" s="25" t="n">
        <v>537</v>
      </c>
      <c r="F26" s="25" t="n">
        <v>585.6666666666666</v>
      </c>
      <c r="G26" s="31" t="n">
        <v>-0.08309618668184404</v>
      </c>
      <c r="H26" s="32" t="n">
        <v>0.903448275862069</v>
      </c>
      <c r="I26" s="15" t="inlineStr">
        <is>
          <t>令和7年度単年</t>
        </is>
      </c>
      <c r="J26" s="6" t="inlineStr">
        <is>
          <t>令和7年度単年</t>
        </is>
      </c>
      <c r="K26" s="6" t="inlineStr">
        <is>
          <t>○</t>
        </is>
      </c>
    </row>
    <row r="27">
      <c r="A27" s="6" t="inlineStr">
        <is>
          <t>介護予防認知症対応型共同生活介護</t>
        </is>
      </c>
      <c r="B27" s="6" t="inlineStr">
        <is>
          <t>予防</t>
        </is>
      </c>
      <c r="C27" s="25" t="n">
        <v>31</v>
      </c>
      <c r="D27" s="25" t="n">
        <v>37</v>
      </c>
      <c r="E27" s="25" t="n">
        <v>14</v>
      </c>
      <c r="F27" s="25" t="n">
        <v>27.33333333333333</v>
      </c>
      <c r="G27" s="31" t="n">
        <v>-0.4878048780487805</v>
      </c>
      <c r="H27" s="32" t="n">
        <v>0.75</v>
      </c>
      <c r="I27" s="15" t="inlineStr">
        <is>
          <t>令和7年度単年</t>
        </is>
      </c>
      <c r="J27" s="6" t="inlineStr">
        <is>
          <t>令和7年度単年</t>
        </is>
      </c>
      <c r="K27" s="6" t="inlineStr">
        <is>
          <t>○</t>
        </is>
      </c>
    </row>
    <row r="28">
      <c r="A28" s="6" t="inlineStr">
        <is>
          <t>地域密着型介護老人福祉施設入所者生活介護</t>
        </is>
      </c>
      <c r="B28" s="6" t="inlineStr">
        <is>
          <t>介護</t>
        </is>
      </c>
      <c r="C28" s="25" t="n">
        <v>565</v>
      </c>
      <c r="D28" s="25" t="n">
        <v>520</v>
      </c>
      <c r="E28" s="25" t="n">
        <v>496</v>
      </c>
      <c r="F28" s="25" t="n">
        <v>527</v>
      </c>
      <c r="G28" s="31" t="n">
        <v>-0.05882352941176472</v>
      </c>
      <c r="H28" s="32" t="n">
        <v>1.05</v>
      </c>
      <c r="I28" s="29" t="inlineStr">
        <is>
          <t>3年平均</t>
        </is>
      </c>
      <c r="J28" s="6" t="inlineStr">
        <is>
          <t>3年平均</t>
        </is>
      </c>
      <c r="K28" s="6" t="inlineStr">
        <is>
          <t>○</t>
        </is>
      </c>
    </row>
    <row r="29">
      <c r="A29" s="6" t="inlineStr">
        <is>
          <t>介護老人福祉施設</t>
        </is>
      </c>
      <c r="B29" s="6" t="inlineStr">
        <is>
          <t>介護</t>
        </is>
      </c>
      <c r="C29" s="25" t="n">
        <v>781</v>
      </c>
      <c r="D29" s="25" t="n">
        <v>866</v>
      </c>
      <c r="E29" s="25" t="n">
        <v>827</v>
      </c>
      <c r="F29" s="25" t="n">
        <v>824.6666666666666</v>
      </c>
      <c r="G29" s="31" t="n">
        <v>0.002829426030719562</v>
      </c>
      <c r="H29" s="32" t="n">
        <v>0.8847926267281107</v>
      </c>
      <c r="I29" s="29" t="inlineStr">
        <is>
          <t>3年平均</t>
        </is>
      </c>
      <c r="J29" s="6" t="inlineStr">
        <is>
          <t>3年平均</t>
        </is>
      </c>
      <c r="K29" s="6" t="inlineStr">
        <is>
          <t>○</t>
        </is>
      </c>
    </row>
    <row r="30">
      <c r="A30" s="6" t="inlineStr">
        <is>
          <t>介護老人保健施設</t>
        </is>
      </c>
      <c r="B30" s="6" t="inlineStr">
        <is>
          <t>介護</t>
        </is>
      </c>
      <c r="C30" s="25" t="n">
        <v>308</v>
      </c>
      <c r="D30" s="25" t="n">
        <v>426</v>
      </c>
      <c r="E30" s="25" t="n">
        <v>343</v>
      </c>
      <c r="F30" s="25" t="n">
        <v>359</v>
      </c>
      <c r="G30" s="31" t="n">
        <v>-0.04456824512534818</v>
      </c>
      <c r="H30" s="32" t="n">
        <v>0.7021276595744681</v>
      </c>
      <c r="I30" s="29" t="inlineStr">
        <is>
          <t>3年平均</t>
        </is>
      </c>
      <c r="J30" s="6" t="inlineStr">
        <is>
          <t>3年平均</t>
        </is>
      </c>
      <c r="K30" s="6" t="inlineStr">
        <is>
          <t>○</t>
        </is>
      </c>
    </row>
    <row r="31">
      <c r="A31" s="6" t="inlineStr">
        <is>
          <t>介護医療院</t>
        </is>
      </c>
      <c r="B31" s="6" t="inlineStr">
        <is>
          <t>介護</t>
        </is>
      </c>
      <c r="C31" s="25" t="n">
        <v>0</v>
      </c>
      <c r="D31" s="25" t="n">
        <v>1</v>
      </c>
      <c r="E31" s="25" t="n">
        <v>14</v>
      </c>
      <c r="F31" s="25" t="n">
        <v>5</v>
      </c>
      <c r="G31" s="31" t="n">
        <v>1.8</v>
      </c>
      <c r="H31" s="32" t="n">
        <v>1</v>
      </c>
      <c r="I31" s="29" t="inlineStr">
        <is>
          <t>3年平均</t>
        </is>
      </c>
      <c r="J31" s="6" t="inlineStr">
        <is>
          <t>令和7年度単年</t>
        </is>
      </c>
      <c r="K31" s="6" t="inlineStr">
        <is>
          <t>○</t>
        </is>
      </c>
    </row>
    <row r="33">
      <c r="A33" s="12" t="inlineStr">
        <is>
          <t>※ 既定の基準期間は令和5〜7年度の3年平均。次の2つがそろったサービスだけ令和7年度単年に切り替える。①令和7年度の件数が3年平均から5％以上離れている。②令和8年度の国保連月報の前年同期比（審査202605〜202607と前年の同じ月）がその向きを裏づける（増なら1.05以上、減なら0.95以下）。</t>
        </is>
      </c>
    </row>
    <row r="34">
      <c r="A34" s="12" t="inlineStr">
        <is>
          <t>※ 「一致」が×の行は、この表の判定と実際に採っている基準期間がずれている。月報を追加で受領したときに変わりうるので、そのつど確かめる。</t>
        </is>
      </c>
    </row>
    <row r="35">
      <c r="A35" s="12" t="inlineStr">
        <is>
          <t>※ 実績が消滅したもの・制度が廃止されたもの（定期巡回、地域密着型通所介護、介護療養型医療施設、訪問リハビリテーション、介護医療院）と、令和6年度から様式2に計上が始まったもの（特定福祉用具販売、住宅改修）はこの判定の対象外とし、別の理由で基準期間を決めている。</t>
        </is>
      </c>
    </row>
    <row r="36">
      <c r="A36" s="12" t="inlineStr">
        <is>
          <t>**※ 訪問介護は令和5年度958件→令和6年度843件→令和7年度628件と減っているが、令和8年度の前年同期比は1.132と反転しているため3年平均のまま置いた。**3年平均だと令和9年度の見込件数は令和7年度実績の1.27倍になる。基準期間を令和7年度単年にすると給付費は年7,600千円ほど下がる。協議会にお諮りする事項とする。</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2" customWidth="1" min="1" max="1"/>
    <col width="34" customWidth="1" min="2" max="2"/>
    <col width="18" customWidth="1" min="3" max="3"/>
    <col width="16" customWidth="1" min="4" max="4"/>
    <col width="16" customWidth="1" min="5" max="5"/>
    <col width="16" customWidth="1" min="6" max="6"/>
    <col width="14" customWidth="1" min="7" max="7"/>
    <col width="56" customWidth="1" min="8" max="8"/>
  </cols>
  <sheetData>
    <row r="1">
      <c r="A1" s="34" t="inlineStr">
        <is>
          <t>■ 介護予防・日常生活支援総合事業の事業別実績（国保連月報）</t>
        </is>
      </c>
    </row>
    <row r="2">
      <c r="A2" s="35" t="inlineStr">
        <is>
          <t>事業</t>
        </is>
      </c>
      <c r="B2" s="35" t="inlineStr">
        <is>
          <t>令和6年度 件数</t>
        </is>
      </c>
      <c r="C2" s="35" t="inlineStr">
        <is>
          <t>令和6年度 給付額(千円)</t>
        </is>
      </c>
      <c r="D2" s="35" t="inlineStr">
        <is>
          <t>令和7年度 件数</t>
        </is>
      </c>
      <c r="E2" s="35" t="inlineStr">
        <is>
          <t>令和7年度 給付額(千円)</t>
        </is>
      </c>
      <c r="F2" s="35" t="inlineStr">
        <is>
          <t>令和8年度 件数（3か月）</t>
        </is>
      </c>
      <c r="G2" s="35" t="inlineStr">
        <is>
          <t>令和8年度 給付額(千円)</t>
        </is>
      </c>
      <c r="H2" s="36" t="inlineStr">
        <is>
          <t>1件当たり(円)</t>
        </is>
      </c>
    </row>
    <row r="3">
      <c r="A3" s="6" t="inlineStr">
        <is>
          <t>訪問介護相当サービス</t>
        </is>
      </c>
      <c r="B3" s="7" t="n">
        <v>266</v>
      </c>
      <c r="C3" s="7" t="n">
        <v>4746</v>
      </c>
      <c r="D3" s="7" t="n">
        <v>294</v>
      </c>
      <c r="E3" s="7" t="n">
        <v>4941</v>
      </c>
      <c r="F3" s="7" t="n">
        <v>64</v>
      </c>
      <c r="G3" s="7" t="n">
        <v>1088</v>
      </c>
      <c r="H3" s="37" t="n">
        <v>16805</v>
      </c>
    </row>
    <row r="4">
      <c r="A4" s="6" t="inlineStr">
        <is>
          <t>通所介護相当サービス</t>
        </is>
      </c>
      <c r="B4" s="7" t="n">
        <v>619</v>
      </c>
      <c r="C4" s="7" t="n">
        <v>21427</v>
      </c>
      <c r="D4" s="7" t="n">
        <v>608</v>
      </c>
      <c r="E4" s="7" t="n">
        <v>20924</v>
      </c>
      <c r="F4" s="7" t="n">
        <v>142</v>
      </c>
      <c r="G4" s="7" t="n">
        <v>4891</v>
      </c>
      <c r="H4" s="37" t="n">
        <v>34415</v>
      </c>
    </row>
    <row r="5">
      <c r="A5" s="6" t="inlineStr">
        <is>
          <t>介護予防ケアマネジメント</t>
        </is>
      </c>
      <c r="B5" s="7" t="n">
        <v>570</v>
      </c>
      <c r="C5" s="7" t="n">
        <v>2573</v>
      </c>
      <c r="D5" s="7" t="n">
        <v>545</v>
      </c>
      <c r="E5" s="7" t="n">
        <v>2454</v>
      </c>
      <c r="F5" s="7" t="n">
        <v>113</v>
      </c>
      <c r="G5" s="7" t="n">
        <v>506</v>
      </c>
      <c r="H5" s="37" t="n">
        <v>4503</v>
      </c>
    </row>
    <row r="6">
      <c r="A6" s="38" t="inlineStr">
        <is>
          <t>月報 計</t>
        </is>
      </c>
      <c r="B6" s="39" t="n"/>
      <c r="C6" s="40" t="n">
        <v>28746</v>
      </c>
      <c r="D6" s="39" t="n"/>
      <c r="E6" s="40" t="n">
        <v>28319</v>
      </c>
      <c r="F6" s="39" t="n"/>
      <c r="G6" s="40" t="n">
        <v>6485</v>
      </c>
      <c r="H6" s="41" t="n"/>
    </row>
    <row r="7">
      <c r="A7" s="6" t="inlineStr">
        <is>
          <t>年報 様式4 の決算（介護予防・生活支援サービス事業費）</t>
        </is>
      </c>
      <c r="B7" s="11" t="n"/>
      <c r="C7" s="7" t="n">
        <v>29276</v>
      </c>
      <c r="D7" s="11" t="n"/>
      <c r="E7" s="11" t="n"/>
      <c r="F7" s="11" t="n"/>
      <c r="G7" s="11" t="n"/>
      <c r="H7" s="37" t="inlineStr">
        <is>
          <t>令和7年度は年報が未入力</t>
        </is>
      </c>
    </row>
    <row r="8">
      <c r="A8" s="6" t="inlineStr">
        <is>
          <t>差（決算－月報）</t>
        </is>
      </c>
      <c r="B8" s="11" t="n"/>
      <c r="C8" s="7" t="n">
        <v>531</v>
      </c>
      <c r="D8" s="11" t="n"/>
      <c r="E8" s="11" t="n"/>
      <c r="F8" s="11" t="n"/>
      <c r="G8" s="11" t="n"/>
      <c r="H8" s="37" t="inlineStr">
        <is>
          <t>審査支払手数料・高額介護予防サービス相当事業費等とみる</t>
        </is>
      </c>
    </row>
    <row r="9">
      <c r="A9" s="18" t="n"/>
      <c r="B9" s="18" t="n"/>
      <c r="C9" s="18" t="n"/>
      <c r="D9" s="18" t="n"/>
      <c r="E9" s="18" t="n"/>
      <c r="F9" s="18" t="n"/>
      <c r="G9" s="18" t="n"/>
      <c r="H9" s="19" t="n"/>
    </row>
    <row r="10">
      <c r="A10" s="17" t="inlineStr">
        <is>
          <t>■ 第10期の地域支援事業費（令和6年度決算の据え置き）</t>
        </is>
      </c>
      <c r="B10" s="18" t="n"/>
      <c r="C10" s="18" t="n"/>
      <c r="D10" s="18" t="n"/>
      <c r="E10" s="18" t="n"/>
      <c r="F10" s="18" t="n"/>
      <c r="G10" s="18" t="n"/>
      <c r="H10" s="19" t="n"/>
    </row>
    <row r="11">
      <c r="A11" s="35" t="inlineStr">
        <is>
          <t>区分</t>
        </is>
      </c>
      <c r="B11" s="35" t="inlineStr">
        <is>
          <t>事業</t>
        </is>
      </c>
      <c r="C11" s="35" t="inlineStr">
        <is>
          <t>令和6年度実績(千円)</t>
        </is>
      </c>
      <c r="D11" s="35" t="inlineStr">
        <is>
          <t>令和9年度</t>
        </is>
      </c>
      <c r="E11" s="35" t="inlineStr">
        <is>
          <t>令和10年度</t>
        </is>
      </c>
      <c r="F11" s="35" t="inlineStr">
        <is>
          <t>令和11年度</t>
        </is>
      </c>
      <c r="G11" s="35" t="inlineStr">
        <is>
          <t>3年計</t>
        </is>
      </c>
      <c r="H11" s="36" t="inlineStr">
        <is>
          <t>置き方・出所</t>
        </is>
      </c>
    </row>
    <row r="12">
      <c r="A12" s="6" t="inlineStr">
        <is>
          <t>総合事業</t>
        </is>
      </c>
      <c r="B12" s="6" t="inlineStr">
        <is>
          <t>訪問介護相当サービス</t>
        </is>
      </c>
      <c r="C12" s="7" t="n">
        <v>4746</v>
      </c>
      <c r="D12" s="7" t="n">
        <v>4746</v>
      </c>
      <c r="E12" s="7" t="n">
        <v>4746</v>
      </c>
      <c r="F12" s="7" t="n">
        <v>4746</v>
      </c>
      <c r="G12" s="7" t="n">
        <v>14238</v>
      </c>
      <c r="H12" s="9" t="inlineStr">
        <is>
          <t>国保連月報の令和6年度（266件）。令和7年度は4,941千円</t>
        </is>
      </c>
    </row>
    <row r="13">
      <c r="A13" s="6" t="inlineStr">
        <is>
          <t>総合事業</t>
        </is>
      </c>
      <c r="B13" s="6" t="inlineStr">
        <is>
          <t>通所介護相当サービス</t>
        </is>
      </c>
      <c r="C13" s="7" t="n">
        <v>21427</v>
      </c>
      <c r="D13" s="7" t="n">
        <v>21427</v>
      </c>
      <c r="E13" s="7" t="n">
        <v>21427</v>
      </c>
      <c r="F13" s="7" t="n">
        <v>21427</v>
      </c>
      <c r="G13" s="7" t="n">
        <v>64281</v>
      </c>
      <c r="H13" s="9" t="inlineStr">
        <is>
          <t>国保連月報の令和6年度（619件）。令和7年度は20,924千円</t>
        </is>
      </c>
    </row>
    <row r="14">
      <c r="A14" s="6" t="inlineStr">
        <is>
          <t>総合事業</t>
        </is>
      </c>
      <c r="B14" s="6" t="inlineStr">
        <is>
          <t>介護予防ケアマネジメント</t>
        </is>
      </c>
      <c r="C14" s="7" t="n">
        <v>2573</v>
      </c>
      <c r="D14" s="7" t="n">
        <v>2573</v>
      </c>
      <c r="E14" s="7" t="n">
        <v>2573</v>
      </c>
      <c r="F14" s="7" t="n">
        <v>2573</v>
      </c>
      <c r="G14" s="7" t="n">
        <v>7719</v>
      </c>
      <c r="H14" s="9" t="inlineStr">
        <is>
          <t>国保連月報の令和6年度（570件）。令和7年度は2,454千円</t>
        </is>
      </c>
    </row>
    <row r="15">
      <c r="A15" s="6" t="inlineStr">
        <is>
          <t>総合事業</t>
        </is>
      </c>
      <c r="B15" s="6" t="inlineStr">
        <is>
          <t>その他（審査支払手数料等）</t>
        </is>
      </c>
      <c r="C15" s="7" t="n">
        <v>531</v>
      </c>
      <c r="D15" s="7" t="n">
        <v>531</v>
      </c>
      <c r="E15" s="7" t="n">
        <v>531</v>
      </c>
      <c r="F15" s="7" t="n">
        <v>531</v>
      </c>
      <c r="G15" s="7" t="n">
        <v>1593</v>
      </c>
      <c r="H15" s="9" t="inlineStr">
        <is>
          <t>年報 様式4 の決算額と国保連月報の差</t>
        </is>
      </c>
    </row>
    <row r="16">
      <c r="A16" s="6" t="inlineStr">
        <is>
          <t>総合事業</t>
        </is>
      </c>
      <c r="B16" s="6" t="inlineStr">
        <is>
          <t>一般介護予防事業</t>
        </is>
      </c>
      <c r="C16" s="7" t="n">
        <v>5305</v>
      </c>
      <c r="D16" s="7" t="n">
        <v>5305</v>
      </c>
      <c r="E16" s="7" t="n">
        <v>5305</v>
      </c>
      <c r="F16" s="7" t="n">
        <v>5305</v>
      </c>
      <c r="G16" s="7" t="n">
        <v>15915</v>
      </c>
      <c r="H16" s="9" t="inlineStr">
        <is>
          <t>年報 様式4。令和5年度994千円から令和6年度5,305千円へ5.3倍。**何の事業かは町に確認中。事業別の内訳は様式4にない**</t>
        </is>
      </c>
    </row>
    <row r="17">
      <c r="A17" s="6" t="inlineStr">
        <is>
          <t>包括的支援事業・任意事業</t>
        </is>
      </c>
      <c r="B17" s="6" t="inlineStr">
        <is>
          <t>包括的支援事業・任意事業</t>
        </is>
      </c>
      <c r="C17" s="7" t="n">
        <v>29335</v>
      </c>
      <c r="D17" s="7" t="n">
        <v>29335</v>
      </c>
      <c r="E17" s="7" t="n">
        <v>29335</v>
      </c>
      <c r="F17" s="7" t="n">
        <v>29335</v>
      </c>
      <c r="G17" s="7" t="n">
        <v>88005</v>
      </c>
      <c r="H17" s="9" t="inlineStr">
        <is>
          <t>年報 様式4。**地域包括支援センター運営・在宅医療介護連携・生活支援体制整備・認知症総合支援・地域ケア会議・任意事業の合計で、事業別の内訳は様式4にない**</t>
        </is>
      </c>
    </row>
    <row r="18">
      <c r="A18" s="38" t="inlineStr">
        <is>
          <t>合計</t>
        </is>
      </c>
      <c r="B18" s="38" t="inlineStr"/>
      <c r="C18" s="24">
        <f>SUM(C12:C17)</f>
        <v/>
      </c>
      <c r="D18" s="24">
        <f>SUM(D12:D17)</f>
        <v/>
      </c>
      <c r="E18" s="24">
        <f>SUM(E12:E17)</f>
        <v/>
      </c>
      <c r="F18" s="24">
        <f>SUM(F12:F17)</f>
        <v/>
      </c>
      <c r="G18" s="24" t="n">
        <v>191751</v>
      </c>
      <c r="H18" s="42" t="inlineStr"/>
    </row>
    <row r="20">
      <c r="A20" s="12" t="inlineStr">
        <is>
          <t>※ 単位は表頭のとおり。給付額は国保連月報（THRK0401）による。</t>
        </is>
      </c>
    </row>
    <row r="21">
      <c r="A21" s="12" t="inlineStr">
        <is>
          <t>※ 小野町が使っている総合事業のコードは A2（訪問型サービス・独自）、A6（通所型サービス・独自）、AF（介護予防ケアマネジメント）の3つだけである。みなし指定（A1・A5）と定率・定額の独自サービス（A3・A4・A7・A8）、その他の生活支援サービス（A9〜AE）はいずれも実績がない。</t>
        </is>
      </c>
    </row>
    <row r="22">
      <c r="A22" s="12" t="inlineStr">
        <is>
          <t>**※ A2・A6 を「訪問介護相当サービス」「通所介護相当サービス」として扱った。**1件当たりは訪問型16,806円・通所型34,414円（令和7年度）で、介護予防訪問介護相当・介護予防通所介護相当の水準にある。緩和した基準によるサービスA として整理している場合は、町にご指摘いただきたい。</t>
        </is>
      </c>
    </row>
    <row r="23">
      <c r="A23" s="12" t="inlineStr">
        <is>
          <t>**※ 第10期は令和6年度決算の据え置き。**令和7年度は年報 様式4 が未入力で決算額が取れない。月報でみると総合事業は令和7年度が令和6年度の98.5％、令和8年度（3か月）は年換算でさらに低い。据え置きは実勢をやや上回る安全側になる。</t>
        </is>
      </c>
    </row>
    <row r="24">
      <c r="A24" s="12" t="inlineStr">
        <is>
          <t>**※ 一般介護予防事業費は令和5年度994千円から令和6年度5,305千円へ5.3倍。**何の事業かを町に確認したうえで、第10期の通いの場の展開と結びつける。</t>
        </is>
      </c>
    </row>
    <row r="25">
      <c r="A25" s="12" t="inlineStr">
        <is>
          <t>※ 一般介護予防事業費と包括的支援事業・任意事業費は事業別の内訳が年報 様式4 にも国保連月報にもない。事業別に置くには町の事業実績が要る。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0" customWidth="1" min="3" max="3"/>
    <col width="54" customWidth="1" min="4" max="4"/>
    <col width="30" customWidth="1" min="5" max="5"/>
    <col width="22" customWidth="1" min="6" max="6"/>
  </cols>
  <sheetData>
    <row r="1">
      <c r="A1" s="5" t="inlineStr">
        <is>
          <t>#</t>
        </is>
      </c>
      <c r="B1" s="5" t="inlineStr">
        <is>
          <t>項目</t>
        </is>
      </c>
      <c r="C1" s="5" t="inlineStr">
        <is>
          <t>据え置いた値</t>
        </is>
      </c>
      <c r="D1" s="5" t="inlineStr">
        <is>
          <t>据え置いた理由</t>
        </is>
      </c>
      <c r="E1" s="5" t="inlineStr">
        <is>
          <t>確定したら変わる幅</t>
        </is>
      </c>
      <c r="F1" s="5" t="inlineStr">
        <is>
          <t>確定の見通し</t>
        </is>
      </c>
    </row>
    <row r="2">
      <c r="A2" s="6" t="n">
        <v>1</v>
      </c>
      <c r="B2" s="9" t="inlineStr">
        <is>
          <t>令和9年度の介護報酬改定率</t>
        </is>
      </c>
      <c r="C2" s="16" t="inlineStr">
        <is>
          <t>0.0％（据置）</t>
        </is>
      </c>
      <c r="D2" s="9" t="inlineStr">
        <is>
          <t>改定率は令和8年12月頃に示される。それまで置きようがない</t>
        </is>
      </c>
      <c r="E2" s="9" t="inlineStr">
        <is>
          <t>±1.5％で月額±93円</t>
        </is>
      </c>
      <c r="F2" s="9" t="inlineStr">
        <is>
          <t>令和8年12月頃（国）</t>
        </is>
      </c>
    </row>
    <row r="3">
      <c r="A3" s="6" t="n">
        <v>2</v>
      </c>
      <c r="B3" s="9" t="inlineStr">
        <is>
          <t>第1号被保険者負担割合</t>
        </is>
      </c>
      <c r="C3" s="16" t="inlineStr">
        <is>
          <t>23％（第9期と同じ）</t>
        </is>
      </c>
      <c r="D3" s="9" t="inlineStr">
        <is>
          <t>3年の計画期間ごとに政令で定める。第1期17％から3年ごとに1ポイントずつ上がってきており、第10期は24％となる可能性がある</t>
        </is>
      </c>
      <c r="E3" s="9" t="inlineStr">
        <is>
          <t>24％なら月額+298円</t>
        </is>
      </c>
      <c r="F3" s="9" t="inlineStr">
        <is>
          <t>政令の公布（国）</t>
        </is>
      </c>
    </row>
    <row r="4">
      <c r="A4" s="6" t="n">
        <v>3</v>
      </c>
      <c r="B4" s="9" t="inlineStr">
        <is>
          <t>調整交付金の見込交付割合</t>
        </is>
      </c>
      <c r="C4" s="16" t="inlineStr">
        <is>
          <t>5.963％</t>
        </is>
      </c>
      <c r="D4" s="9" t="inlineStr">
        <is>
          <t>第9期計画の公表値からの逆算。第10期の全国値は国の基本指針で示される</t>
        </is>
      </c>
      <c r="E4" s="9" t="inlineStr">
        <is>
          <t>1ポイント下がると月額+290円</t>
        </is>
      </c>
      <c r="F4" s="9" t="inlineStr">
        <is>
          <t>国の基本指針</t>
        </is>
      </c>
    </row>
    <row r="5">
      <c r="A5" s="6" t="n">
        <v>4</v>
      </c>
      <c r="B5" s="9" t="inlineStr">
        <is>
          <t>地域支援事業費</t>
        </is>
      </c>
      <c r="C5" s="16" t="inlineStr">
        <is>
          <t>令和6年度決算63,916千円を3年度とも据え置き</t>
        </is>
      </c>
      <c r="D5" s="9" t="inlineStr">
        <is>
          <t>令和7年度は年報 様式4 が未入力で決算額が取れない。月報でみると総合事業は令和7年度が令和6年度の98.5％で、据え置きは安全側</t>
        </is>
      </c>
      <c r="E5" s="9" t="inlineStr">
        <is>
          <t>1％で月額+3.7円</t>
        </is>
      </c>
      <c r="F5" s="9" t="inlineStr">
        <is>
          <t>令和7年度の決算書（町）</t>
        </is>
      </c>
    </row>
    <row r="6">
      <c r="A6" s="6" t="n">
        <v>5</v>
      </c>
      <c r="B6" s="9" t="inlineStr">
        <is>
          <t>一般介護予防事業費</t>
        </is>
      </c>
      <c r="C6" s="16" t="inlineStr">
        <is>
          <t>令和6年度決算5,305千円を据え置き</t>
        </is>
      </c>
      <c r="D6" s="9" t="inlineStr">
        <is>
          <t>令和5年度の994千円から5.3倍に増えた理由が分からないため、第10期の展開を織り込めない。**通いの場の拡充は第10期の重点であり、実際にはこの水準を上回る可能性がある**</t>
        </is>
      </c>
      <c r="E6" s="9" t="inlineStr">
        <is>
          <t>1,000千円増で月額＋7.9円</t>
        </is>
      </c>
      <c r="F6" s="9" t="inlineStr">
        <is>
          <t>事業実績の受領（町）</t>
        </is>
      </c>
    </row>
    <row r="7">
      <c r="A7" s="6" t="n">
        <v>6</v>
      </c>
      <c r="B7" s="9" t="inlineStr">
        <is>
          <t>包括的支援事業・任意事業費</t>
        </is>
      </c>
      <c r="C7" s="16" t="inlineStr">
        <is>
          <t>令和6年度決算29,335千円を据え置き</t>
        </is>
      </c>
      <c r="D7" s="9" t="inlineStr">
        <is>
          <t>事業別の内訳が年報 様式4 にも国保連月報にもない</t>
        </is>
      </c>
      <c r="E7" s="9" t="inlineStr">
        <is>
          <t>1,000千円増で月額＋1.9円</t>
        </is>
      </c>
      <c r="F7" s="9" t="inlineStr">
        <is>
          <t>事業実績の受領（町）</t>
        </is>
      </c>
    </row>
    <row r="8">
      <c r="A8" s="6" t="n">
        <v>7</v>
      </c>
      <c r="B8" s="9" t="inlineStr">
        <is>
          <t>介護給付費準備基金の取崩額</t>
        </is>
      </c>
      <c r="C8" s="16" t="inlineStr">
        <is>
          <t>0千円（取り崩さない）</t>
        </is>
      </c>
      <c r="D8" s="9" t="inlineStr">
        <is>
          <t>**年報 様式4 の保有額は令和5・6年度末とも12,000千円だが、令和4年度末は120,000千円で、繰入金は全年度ゼロなのに残高が10分の1になっており系列に矛盾がある。**正しい残高が分からないため取崩を見込まない</t>
        </is>
      </c>
      <c r="E8" s="9" t="inlineStr">
        <is>
          <t>12,000千円で月額-103円、35,000千円で月額-300円</t>
        </is>
      </c>
      <c r="F8" s="9" t="inlineStr">
        <is>
          <t>基金運用状況調書（町）</t>
        </is>
      </c>
    </row>
    <row r="9">
      <c r="A9" s="6" t="n">
        <v>8</v>
      </c>
      <c r="B9" s="9" t="inlineStr">
        <is>
          <t>審査支払手数料の単価</t>
        </is>
      </c>
      <c r="C9" s="16" t="inlineStr">
        <is>
          <t>60円／件</t>
        </is>
      </c>
      <c r="D9" s="9" t="inlineStr">
        <is>
          <t>年報に計上欄がない。見える化の参考係数では国庫負担金の算定対象となる単価の上限が95円とされている</t>
        </is>
      </c>
      <c r="E9" s="9" t="inlineStr">
        <is>
          <t>95円なら月額＋2.8円</t>
        </is>
      </c>
      <c r="F9" s="9" t="inlineStr">
        <is>
          <t>国保連への支払実績（町）</t>
        </is>
      </c>
    </row>
    <row r="10">
      <c r="A10" s="6" t="n">
        <v>9</v>
      </c>
      <c r="B10" s="9" t="inlineStr">
        <is>
          <t>施設の整備</t>
        </is>
      </c>
      <c r="C10" s="16" t="inlineStr">
        <is>
          <t>第10期に新規整備なし</t>
        </is>
      </c>
      <c r="D10" s="9" t="inlineStr">
        <is>
          <t>町の整備方針が決まっていない。在宅の要介護認定者の24.0％が入所を検討または申込済みである一方、町内の定員には余力がある</t>
        </is>
      </c>
      <c r="E10" s="9" t="inlineStr">
        <is>
          <t>整備があれば段差で増える</t>
        </is>
      </c>
      <c r="F10" s="9" t="inlineStr">
        <is>
          <t>町の方針決定</t>
        </is>
      </c>
    </row>
    <row r="11">
      <c r="A11" s="6" t="n">
        <v>10</v>
      </c>
      <c r="B11" s="9" t="inlineStr">
        <is>
          <t>認定者数の計上方法</t>
        </is>
      </c>
      <c r="C11" s="16" t="inlineStr">
        <is>
          <t>令和7年度実績（第1号783人）をそのまま使う</t>
        </is>
      </c>
      <c r="D11" s="9" t="inlineStr">
        <is>
          <t>令和7年9月審査分で961人から862人へ99人減っているが、同じ月の給付件数は1,303件から1,365件へ増えている。計上方法の変更の有無が確認できていない</t>
        </is>
      </c>
      <c r="E11" s="9" t="inlineStr">
        <is>
          <t>見える化の3段連鎖（第1号×認定率×利用率）に組み替えると3年計で1.0％低く出る（月額59円）。基準期間が断層をまたぐ場合は10.5％低く出る</t>
        </is>
      </c>
      <c r="F11" s="9" t="inlineStr">
        <is>
          <t>認定システムの計上方法（町）</t>
        </is>
      </c>
    </row>
    <row r="12">
      <c r="A12" s="6" t="n">
        <v>11</v>
      </c>
      <c r="B12" s="9" t="inlineStr">
        <is>
          <t>訪問介護の基準期間</t>
        </is>
      </c>
      <c r="C12" s="16" t="inlineStr">
        <is>
          <t>令和5〜7年度の3年平均</t>
        </is>
      </c>
      <c r="D12" s="9" t="inlineStr">
        <is>
          <t>令和5年度958件→令和6年度843件→令和7年度628件と減っているが、令和8年度の前年同期比は1.132と反転している。**3年平均だと令和9年度の見込件数は令和7年度実績の1.27倍になる**</t>
        </is>
      </c>
      <c r="E12" s="9" t="inlineStr">
        <is>
          <t>令和7年度単年にすると給付費は年7,600千円ほど下がる（月額▲47円）</t>
        </is>
      </c>
      <c r="F12" s="9" t="inlineStr">
        <is>
          <t>協議会での判断</t>
        </is>
      </c>
    </row>
    <row r="14">
      <c r="A14" s="12" t="inlineStr">
        <is>
          <t>※ 幅は、標準給付費3年計3,286,398千円・地域支援事業費191,749千円・補正後被保険者数9,798人・予定収納率99.35％のもとでの保険料基準額（月額6,569円）からの変化。</t>
        </is>
      </c>
    </row>
    <row r="15">
      <c r="A15" s="12" t="inlineStr">
        <is>
          <t>**※ この9件が確定しても給付費の水準は動かない。**動くのは保険料であり、効きが大きいのは第1号被保険者負担割合と調整交付金の見込交付割合という制度側の2つである。給付費1％は月額62円にとどまる。</t>
        </is>
      </c>
    </row>
    <row r="16">
      <c r="A16" s="12" t="inlineStr">
        <is>
          <t>※ 町からの受領を待っているのは、令和7年度の決算書、地域支援事業費の事業別内訳、介護給付費準備基金の残高、認定者数の計上方法の4つ。いずれも届かない場合は本シートの据え置きのまま計画に載せられる。</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 customWidth="1" min="1" max="1"/>
    <col width="44" customWidth="1" min="2" max="2"/>
    <col width="16" customWidth="1" min="3" max="3"/>
    <col width="16" customWidth="1" min="4" max="4"/>
    <col width="14" customWidth="1" min="5" max="5"/>
    <col width="10" customWidth="1" min="6" max="6"/>
    <col width="9" customWidth="1" min="7" max="7"/>
    <col width="56" customWidth="1" min="8" max="8"/>
  </cols>
  <sheetData>
    <row r="1">
      <c r="A1" s="5" t="inlineStr">
        <is>
          <t>№</t>
        </is>
      </c>
      <c r="B1" s="5" t="inlineStr">
        <is>
          <t>突合の内容</t>
        </is>
      </c>
      <c r="C1" s="5" t="inlineStr">
        <is>
          <t>値A</t>
        </is>
      </c>
      <c r="D1" s="5" t="inlineStr">
        <is>
          <t>値B</t>
        </is>
      </c>
      <c r="E1" s="5" t="inlineStr">
        <is>
          <t>差</t>
        </is>
      </c>
      <c r="F1" s="5" t="inlineStr">
        <is>
          <t>差の率</t>
        </is>
      </c>
      <c r="G1" s="5" t="inlineStr">
        <is>
          <t>判定</t>
        </is>
      </c>
      <c r="H1" s="5" t="inlineStr">
        <is>
          <t>扱い</t>
        </is>
      </c>
    </row>
    <row r="2">
      <c r="A2" s="6" t="n">
        <v>1</v>
      </c>
      <c r="B2" s="9" t="inlineStr">
        <is>
          <t>令和6年度　月報の3区分計 対 年報 様式2 総計（給付額・円）</t>
        </is>
      </c>
      <c r="C2" s="25" t="n">
        <v>1075154636</v>
      </c>
      <c r="D2" s="25" t="n">
        <v>1085998383</v>
      </c>
      <c r="E2" s="25" t="n">
        <v>-10843747</v>
      </c>
      <c r="F2" s="6" t="inlineStr">
        <is>
          <t>-1.00％</t>
        </is>
      </c>
      <c r="G2" s="15" t="inlineStr">
        <is>
          <t>要確認</t>
        </is>
      </c>
      <c r="H2" s="9" t="inlineStr">
        <is>
          <t>**両年度とも▲1.0％で幅がそろう。系統的な差だが理由が特定できていない。月報は1件当たり日数の算出にのみ用い、量と給付費は年報に合わせる**</t>
        </is>
      </c>
    </row>
    <row r="3">
      <c r="A3" s="6" t="n">
        <v>2</v>
      </c>
      <c r="B3" s="9" t="inlineStr">
        <is>
          <t>令和7年度　月報の3区分計 対 年報 様式2 総計（給付額・円）</t>
        </is>
      </c>
      <c r="C3" s="25" t="n">
        <v>995045765</v>
      </c>
      <c r="D3" s="25" t="n">
        <v>1005144062</v>
      </c>
      <c r="E3" s="25" t="n">
        <v>-10098297</v>
      </c>
      <c r="F3" s="6" t="inlineStr">
        <is>
          <t>-1.00％</t>
        </is>
      </c>
      <c r="G3" s="15" t="inlineStr">
        <is>
          <t>要確認</t>
        </is>
      </c>
      <c r="H3" s="9" t="inlineStr">
        <is>
          <t>**両年度とも▲1.0％で幅がそろう。系統的な差だが理由が特定できていない。月報は1件当たり日数の算出にのみ用い、量と給付費は年報に合わせる**</t>
        </is>
      </c>
    </row>
    <row r="4">
      <c r="A4" s="6" t="n">
        <v>3</v>
      </c>
      <c r="B4" s="9" t="inlineStr">
        <is>
          <t>令和7年度 件数の合計　年報 対 月報（介護給付）</t>
        </is>
      </c>
      <c r="C4" s="25" t="n">
        <v>12295</v>
      </c>
      <c r="D4" s="25" t="n">
        <v>12275</v>
      </c>
      <c r="E4" s="25" t="n">
        <v>20</v>
      </c>
      <c r="F4" s="6" t="inlineStr">
        <is>
          <t>+0.16％</t>
        </is>
      </c>
      <c r="G4" s="29" t="inlineStr">
        <is>
          <t>軽微</t>
        </is>
      </c>
      <c r="H4" s="9" t="inlineStr">
        <is>
          <t>年報は決定ベース、月報は審査ベース。**見込量の人数は年報を用いる**</t>
        </is>
      </c>
    </row>
    <row r="5">
      <c r="A5" s="6" t="n">
        <v>4</v>
      </c>
      <c r="B5" s="9" t="inlineStr">
        <is>
          <t>令和7年度 件数の合計　年報 対 月報（予防給付）</t>
        </is>
      </c>
      <c r="C5" s="25" t="n">
        <v>2193</v>
      </c>
      <c r="D5" s="25" t="n">
        <v>2183</v>
      </c>
      <c r="E5" s="25" t="n">
        <v>10</v>
      </c>
      <c r="F5" s="6" t="inlineStr">
        <is>
          <t>+0.46％</t>
        </is>
      </c>
      <c r="G5" s="29" t="inlineStr">
        <is>
          <t>軽微</t>
        </is>
      </c>
      <c r="H5" s="9" t="inlineStr">
        <is>
          <t>年報は決定ベース、月報は審査ベース。**見込量の人数は年報を用いる**</t>
        </is>
      </c>
    </row>
    <row r="7">
      <c r="A7" s="12" t="inlineStr">
        <is>
          <t>※ 月報と年報は出所が異なる（月報は国保連の審査ベース、年報は保険者の決定ベース）。一致しないこと自体は異常ではない。</t>
        </is>
      </c>
    </row>
    <row r="8">
      <c r="A8" s="12" t="inlineStr">
        <is>
          <t>**※ 本試算は、量の比（1件当たり日数）を月報から、量と給付費の水準を年報から取る。**こうすれば出所の差は見込量に持ち込まれない。</t>
        </is>
      </c>
    </row>
    <row r="9">
      <c r="A9" s="12" t="inlineStr">
        <is>
          <t>※ 差の理由（過誤調整の反映時期、住所地特例の扱い等）は国保連に照会する。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2026-09-15T10:25:43Z</dcterms:created>
  <dcterms:modified xmlns:dcterms="http://purl.org/dc/terms/" xmlns:xsi="http://www.w3.org/2001/XMLSchema-instance" xsi:type="dcterms:W3CDTF">2026-09-15T10:26:53Z</dcterms:modified>
</cp:coreProperties>
</file>