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3"/>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令和8年9月9日／出典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n"/>
      <c r="B51" s="2" t="n"/>
      <c r="C51" s="2" t="n"/>
      <c r="D51" s="2" t="n"/>
      <c r="E51" s="2" t="n"/>
      <c r="F51" s="2" t="n"/>
      <c r="G51" s="2" t="n"/>
      <c r="H51" s="2" t="n"/>
    </row>
    <row r="52">
      <c r="A52" s="3" t="inlineStr">
        <is>
          <t>■ この試算で決めていないこと（町・協議会の判断が要るもの）</t>
        </is>
      </c>
      <c r="B52" s="2" t="n"/>
      <c r="C52" s="2" t="n"/>
      <c r="D52" s="2" t="n"/>
      <c r="E52" s="2" t="n"/>
      <c r="F52" s="2" t="n"/>
      <c r="G52" s="2" t="n"/>
      <c r="H52" s="2" t="n"/>
    </row>
    <row r="53">
      <c r="A53" s="2" t="inlineStr"/>
      <c r="B53" s="2" t="inlineStr">
        <is>
          <t>1. 令和9年度の介護報酬改定率。基本ケースは0.0％（据置）。06_感度分析で±1.5％を示した</t>
        </is>
      </c>
      <c r="C53" s="2" t="n"/>
      <c r="D53" s="2" t="n"/>
      <c r="E53" s="2" t="n"/>
      <c r="F53" s="2" t="n"/>
      <c r="G53" s="2" t="n"/>
      <c r="H53" s="2" t="n"/>
    </row>
    <row r="54">
      <c r="A54" s="2" t="inlineStr"/>
      <c r="B54" s="2" t="inlineStr">
        <is>
          <t>2. 施設・居住系の整備方針。第9期は新規整備を原則行わない方針だったが、認知症対応型共同生活介護の</t>
        </is>
      </c>
      <c r="C54" s="2" t="n"/>
      <c r="D54" s="2" t="n"/>
      <c r="E54" s="2" t="n"/>
      <c r="F54" s="2" t="n"/>
      <c r="G54" s="2" t="n"/>
      <c r="H54" s="2" t="n"/>
    </row>
    <row r="55">
      <c r="A55" s="2" t="inlineStr"/>
      <c r="B55" s="2" t="inlineStr">
        <is>
          <t xml:space="preserve">   定員は令和4年度71人から令和6年度98人へ増えている。整備があれば件数が段差で増える</t>
        </is>
      </c>
      <c r="C55" s="2" t="n"/>
      <c r="D55" s="2" t="n"/>
      <c r="E55" s="2" t="n"/>
      <c r="F55" s="2" t="n"/>
      <c r="G55" s="2" t="n"/>
      <c r="H55" s="2" t="n"/>
    </row>
    <row r="56">
      <c r="A56" s="2" t="inlineStr"/>
      <c r="B56" s="2" t="inlineStr">
        <is>
          <t>3. 地域支援事業費。年報 様式4の令和7年度が未入力のため実績が取れない。決算書の受領を要する</t>
        </is>
      </c>
      <c r="C56" s="2" t="n"/>
      <c r="D56" s="2" t="n"/>
      <c r="E56" s="2" t="n"/>
      <c r="F56" s="2" t="n"/>
      <c r="G56" s="2" t="n"/>
      <c r="H56" s="2" t="n"/>
    </row>
    <row r="57">
      <c r="A57" s="2" t="inlineStr"/>
      <c r="B57" s="2" t="inlineStr">
        <is>
          <t>4. 審査支払手数料。年報にない。1件60円で仮置きした</t>
        </is>
      </c>
      <c r="C57" s="2" t="n"/>
      <c r="D57" s="2" t="n"/>
      <c r="E57" s="2" t="n"/>
      <c r="F57" s="2" t="n"/>
      <c r="G57" s="2" t="n"/>
      <c r="H57" s="2" t="n"/>
    </row>
    <row r="58">
      <c r="A58" s="2" t="n"/>
      <c r="B58" s="2" t="n"/>
      <c r="C58" s="2" t="n"/>
      <c r="D58" s="2" t="n"/>
      <c r="E58" s="2" t="n"/>
      <c r="F58" s="2" t="n"/>
      <c r="G58" s="2" t="n"/>
      <c r="H58" s="2" t="n"/>
    </row>
    <row r="59">
      <c r="A59" s="3" t="inlineStr">
        <is>
          <t>■ この試算の限界</t>
        </is>
      </c>
      <c r="B59" s="2" t="n"/>
      <c r="C59" s="2" t="n"/>
      <c r="D59" s="2" t="n"/>
      <c r="E59" s="2" t="n"/>
      <c r="F59" s="2" t="n"/>
      <c r="G59" s="2" t="n"/>
      <c r="H59" s="2" t="n"/>
    </row>
    <row r="60">
      <c r="A60" s="2" t="inlineStr"/>
      <c r="B60" s="2" t="inlineStr">
        <is>
          <t>**年報には回数・日数が入っていない。**様式2にあるのは件数（＝月あたり受給者数の年間累計）と単位数である。</t>
        </is>
      </c>
      <c r="C60" s="2" t="n"/>
      <c r="D60" s="2" t="n"/>
      <c r="E60" s="2" t="n"/>
      <c r="F60" s="2" t="n"/>
      <c r="G60" s="2" t="n"/>
      <c r="H60" s="2" t="n"/>
    </row>
    <row r="61">
      <c r="A61" s="2" t="inlineStr"/>
      <c r="B61" s="2" t="inlineStr">
        <is>
          <t>計画書の見込量は訪問系を回数、通所・短期入所を日数で書くのが通例であり、その単位に変換するには</t>
        </is>
      </c>
      <c r="C61" s="2" t="n"/>
      <c r="D61" s="2" t="n"/>
      <c r="E61" s="2" t="n"/>
      <c r="F61" s="2" t="n"/>
      <c r="G61" s="2" t="n"/>
      <c r="H61" s="2" t="n"/>
    </row>
    <row r="62">
      <c r="A62" s="2" t="inlineStr"/>
      <c r="B62" s="2" t="inlineStr">
        <is>
          <t>国保連の給付実績（サービス提供量）または見える化システムのサービス別給付実績が要る。</t>
        </is>
      </c>
      <c r="C62" s="2" t="n"/>
      <c r="D62" s="2" t="n"/>
      <c r="E62" s="2" t="n"/>
      <c r="F62" s="2" t="n"/>
      <c r="G62" s="2" t="n"/>
      <c r="H62" s="2" t="n"/>
    </row>
    <row r="63">
      <c r="A63" s="2" t="inlineStr"/>
      <c r="B63" s="2" t="inlineStr">
        <is>
          <t>**本試算は件数（延べ利用者数）と給付費で組んでいる。回数・日数への変換は当該データの受領後に行う。**</t>
        </is>
      </c>
      <c r="C63" s="2" t="n"/>
      <c r="D63" s="2" t="n"/>
      <c r="E63" s="2" t="n"/>
      <c r="F63" s="2" t="n"/>
      <c r="G63" s="2" t="n"/>
      <c r="H63" s="2" t="n"/>
    </row>
    <row r="64">
      <c r="A64" s="2" t="inlineStr"/>
      <c r="B64" s="2" t="inlineStr">
        <is>
          <t>参考として、1件当たり単位数を03シートに載せた（回数・日数の代替指標）。</t>
        </is>
      </c>
      <c r="C64" s="2" t="n"/>
      <c r="D64" s="2" t="n"/>
      <c r="E64" s="2" t="n"/>
      <c r="F64" s="2" t="n"/>
      <c r="G64" s="2" t="n"/>
      <c r="H64" s="2" t="n"/>
    </row>
    <row r="65">
      <c r="A65" s="2" t="n"/>
      <c r="B65" s="2" t="n"/>
      <c r="C65" s="2" t="n"/>
      <c r="D65" s="2" t="n"/>
      <c r="E65" s="2" t="n"/>
      <c r="F65" s="2" t="n"/>
      <c r="G65" s="2" t="n"/>
      <c r="H65" s="2" t="n"/>
    </row>
    <row r="66">
      <c r="A66" s="3" t="inlineStr">
        <is>
          <t>■ 検算1　サービス名の正規化に漏れがないか</t>
        </is>
      </c>
      <c r="B66" s="2" t="n"/>
      <c r="C66" s="2" t="n"/>
      <c r="D66" s="2" t="n"/>
      <c r="E66" s="2" t="n"/>
      <c r="F66" s="2" t="n"/>
      <c r="G66" s="2" t="n"/>
      <c r="H66" s="2" t="n"/>
    </row>
    <row r="67">
      <c r="A67" s="2" t="inlineStr"/>
      <c r="B67" s="2" t="inlineStr">
        <is>
          <t>年報の様式2はサービス名の表記が年度で変わる。29区分に正規化したうえで、合計が様式2の「総計」行と一致するかを全年度・介護／予防別に確認した。</t>
        </is>
      </c>
      <c r="C67" s="2" t="n"/>
      <c r="D67" s="2" t="n"/>
      <c r="E67" s="2" t="n"/>
      <c r="F67" s="2" t="n"/>
      <c r="G67" s="2" t="n"/>
      <c r="H67" s="2" t="n"/>
    </row>
    <row r="68">
      <c r="A68" s="2" t="inlineStr"/>
      <c r="B68" s="2" t="inlineStr">
        <is>
          <t>年度</t>
        </is>
      </c>
      <c r="C68" s="2" t="inlineStr">
        <is>
          <t>正規化後の合計（介護）</t>
        </is>
      </c>
      <c r="D68" s="2" t="inlineStr">
        <is>
          <t>様式2の総計（介護）</t>
        </is>
      </c>
      <c r="E68" s="2" t="inlineStr">
        <is>
          <t>差</t>
        </is>
      </c>
      <c r="F68" s="2" t="inlineStr">
        <is>
          <t>正規化後の合計（予防）</t>
        </is>
      </c>
      <c r="G68" s="2" t="inlineStr">
        <is>
          <t>様式2の総計（予防）</t>
        </is>
      </c>
      <c r="H68" s="2" t="inlineStr">
        <is>
          <t>差</t>
        </is>
      </c>
    </row>
    <row r="69">
      <c r="A69" s="2" t="inlineStr"/>
      <c r="B69" s="2" t="inlineStr">
        <is>
          <t>令和3年度</t>
        </is>
      </c>
      <c r="C69" s="4" t="n">
        <v>1040505972</v>
      </c>
      <c r="D69" s="4" t="n">
        <v>1040505972</v>
      </c>
      <c r="E69" s="4" t="n">
        <v>0</v>
      </c>
      <c r="F69" s="4" t="n">
        <v>20199407</v>
      </c>
      <c r="G69" s="4" t="n">
        <v>20199407</v>
      </c>
      <c r="H69" s="4" t="n">
        <v>0</v>
      </c>
    </row>
    <row r="70">
      <c r="A70" s="2" t="inlineStr"/>
      <c r="B70" s="2" t="inlineStr">
        <is>
          <t>令和4年度</t>
        </is>
      </c>
      <c r="C70" s="4" t="n">
        <v>995835789</v>
      </c>
      <c r="D70" s="4" t="n">
        <v>995835789</v>
      </c>
      <c r="E70" s="4" t="n">
        <v>0</v>
      </c>
      <c r="F70" s="4" t="n">
        <v>26890318</v>
      </c>
      <c r="G70" s="4" t="n">
        <v>26890318</v>
      </c>
      <c r="H70" s="4" t="n">
        <v>0</v>
      </c>
    </row>
    <row r="71">
      <c r="A71" s="2" t="inlineStr"/>
      <c r="B71" s="2" t="inlineStr">
        <is>
          <t>令和5年度</t>
        </is>
      </c>
      <c r="C71" s="4" t="n">
        <v>990570658</v>
      </c>
      <c r="D71" s="4" t="n">
        <v>990570658</v>
      </c>
      <c r="E71" s="4" t="n">
        <v>0</v>
      </c>
      <c r="F71" s="4" t="n">
        <v>35753193</v>
      </c>
      <c r="G71" s="4" t="n">
        <v>35753193</v>
      </c>
      <c r="H71" s="4" t="n">
        <v>0</v>
      </c>
    </row>
    <row r="72">
      <c r="A72" s="2" t="inlineStr"/>
      <c r="B72" s="2" t="inlineStr">
        <is>
          <t>令和6年度</t>
        </is>
      </c>
      <c r="C72" s="4" t="n">
        <v>1048012050</v>
      </c>
      <c r="D72" s="4" t="n">
        <v>1048012050</v>
      </c>
      <c r="E72" s="4" t="n">
        <v>0</v>
      </c>
      <c r="F72" s="4" t="n">
        <v>37986333</v>
      </c>
      <c r="G72" s="4" t="n">
        <v>37986333</v>
      </c>
      <c r="H72" s="4" t="n">
        <v>0</v>
      </c>
    </row>
    <row r="73">
      <c r="A73" s="2" t="inlineStr"/>
      <c r="B73" s="2" t="inlineStr">
        <is>
          <t>令和7年度</t>
        </is>
      </c>
      <c r="C73" s="4" t="n">
        <v>968627085</v>
      </c>
      <c r="D73" s="4" t="n">
        <v>968627085</v>
      </c>
      <c r="E73" s="4" t="n">
        <v>0</v>
      </c>
      <c r="F73" s="4" t="n">
        <v>36516977</v>
      </c>
      <c r="G73" s="4" t="n">
        <v>36516977</v>
      </c>
      <c r="H73" s="4" t="n">
        <v>0</v>
      </c>
    </row>
    <row r="74">
      <c r="A74" s="2" t="inlineStr"/>
      <c r="B74" s="2" t="inlineStr"/>
      <c r="C74" s="2" t="inlineStr"/>
      <c r="D74" s="2" t="inlineStr"/>
      <c r="E74" s="2" t="inlineStr"/>
      <c r="F74" s="2" t="inlineStr"/>
      <c r="G74" s="2" t="inlineStr"/>
      <c r="H74" s="2" t="inlineStr">
        <is>
          <t>**全年度・介護／予防とも差0で一致。取りこぼしも二重計上もない**</t>
        </is>
      </c>
    </row>
    <row r="75">
      <c r="A75" s="2" t="n"/>
      <c r="B75" s="2" t="n"/>
      <c r="C75" s="2" t="n"/>
      <c r="D75" s="2" t="n"/>
      <c r="E75" s="2" t="n"/>
      <c r="F75" s="2" t="n"/>
      <c r="G75" s="2" t="n"/>
      <c r="H75" s="2" t="n"/>
    </row>
    <row r="76">
      <c r="A76" s="3" t="inlineStr">
        <is>
          <t>■ 検算2　様式2（サービス別）と様式3（保険給付支払）の突合</t>
        </is>
      </c>
      <c r="B76" s="2" t="n"/>
      <c r="C76" s="2" t="n"/>
      <c r="D76" s="2" t="n"/>
      <c r="E76" s="2" t="n"/>
      <c r="F76" s="2" t="n"/>
      <c r="G76" s="2" t="n"/>
      <c r="H76" s="2" t="n"/>
    </row>
    <row r="77">
      <c r="A77" s="2" t="inlineStr"/>
      <c r="B77" s="2" t="inlineStr">
        <is>
          <t>年度</t>
        </is>
      </c>
      <c r="C77" s="2" t="inlineStr">
        <is>
          <t>様式2の総計（給付費）</t>
        </is>
      </c>
      <c r="D77" s="2" t="inlineStr">
        <is>
          <t>様式3の介護サービス等諸費＋介護予防サービス等諸費</t>
        </is>
      </c>
      <c r="E77" s="2" t="inlineStr">
        <is>
          <t>差</t>
        </is>
      </c>
      <c r="F77" s="2" t="inlineStr">
        <is>
          <t>差の率</t>
        </is>
      </c>
      <c r="G77" s="2" t="n"/>
      <c r="H77" s="2" t="n"/>
    </row>
    <row r="78">
      <c r="A78" s="2" t="inlineStr"/>
      <c r="B78" s="2" t="inlineStr">
        <is>
          <t>令和3年度</t>
        </is>
      </c>
      <c r="C78" s="4" t="n">
        <v>1060705379</v>
      </c>
      <c r="D78" s="4" t="n">
        <v>1060705379</v>
      </c>
      <c r="E78" s="4" t="n">
        <v>0</v>
      </c>
      <c r="F78" s="2" t="inlineStr">
        <is>
          <t>+0.00％</t>
        </is>
      </c>
      <c r="G78" s="2" t="n"/>
      <c r="H78" s="2" t="n"/>
    </row>
    <row r="79">
      <c r="A79" s="2" t="inlineStr"/>
      <c r="B79" s="2" t="inlineStr">
        <is>
          <t>令和4年度</t>
        </is>
      </c>
      <c r="C79" s="4" t="n">
        <v>1022726107</v>
      </c>
      <c r="D79" s="4" t="n">
        <v>1022726107</v>
      </c>
      <c r="E79" s="4" t="n">
        <v>0</v>
      </c>
      <c r="F79" s="2" t="inlineStr">
        <is>
          <t>+0.00％</t>
        </is>
      </c>
      <c r="G79" s="2" t="n"/>
      <c r="H79" s="2" t="n"/>
    </row>
    <row r="80">
      <c r="A80" s="2" t="inlineStr"/>
      <c r="B80" s="2" t="inlineStr">
        <is>
          <t>令和5年度</t>
        </is>
      </c>
      <c r="C80" s="4" t="n">
        <v>1026323851</v>
      </c>
      <c r="D80" s="4" t="n">
        <v>1026323851</v>
      </c>
      <c r="E80" s="4" t="n">
        <v>0</v>
      </c>
      <c r="F80" s="2" t="inlineStr">
        <is>
          <t>+0.00％</t>
        </is>
      </c>
      <c r="G80" s="2" t="n"/>
      <c r="H80" s="2" t="n"/>
    </row>
    <row r="81">
      <c r="A81" s="2" t="inlineStr"/>
      <c r="B81" s="2" t="inlineStr">
        <is>
          <t>令和6年度</t>
        </is>
      </c>
      <c r="C81" s="4" t="n">
        <v>1085998383</v>
      </c>
      <c r="D81" s="4" t="n">
        <v>1085998383</v>
      </c>
      <c r="E81" s="4" t="n">
        <v>0</v>
      </c>
      <c r="F81" s="2" t="inlineStr">
        <is>
          <t>+0.00％</t>
        </is>
      </c>
      <c r="G81" s="2" t="n"/>
      <c r="H81" s="2" t="n"/>
    </row>
    <row r="82">
      <c r="A82" s="2" t="inlineStr"/>
      <c r="B82" s="2" t="inlineStr">
        <is>
          <t>令和7年度</t>
        </is>
      </c>
      <c r="C82" s="4" t="n">
        <v>1005144062</v>
      </c>
      <c r="D82" s="4" t="n">
        <v>1005144062</v>
      </c>
      <c r="E82" s="4" t="n">
        <v>0</v>
      </c>
      <c r="F82" s="2" t="inlineStr">
        <is>
          <t>+0.00％</t>
        </is>
      </c>
      <c r="G82" s="2" t="n"/>
      <c r="H82" s="2" t="n"/>
    </row>
    <row r="83">
      <c r="A83" s="2" t="inlineStr"/>
      <c r="B83" s="2" t="inlineStr"/>
      <c r="C83" s="2" t="inlineStr"/>
      <c r="D83" s="2" t="inlineStr"/>
      <c r="E83" s="2" t="inlineStr"/>
      <c r="F83" s="2" t="inlineStr">
        <is>
          <t>**全年度で差0。サービス別の給付費の積み上げは、保険給付支払状況の総給付費と完全に一致する**</t>
        </is>
      </c>
      <c r="G83" s="2" t="n"/>
      <c r="H83"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5年度／6年度／7年度</t>
        </is>
      </c>
      <c r="T4" s="9" t="inlineStr">
        <is>
          <t>令和5〜7年度の3年平均</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5年度／6年度／7年度</t>
        </is>
      </c>
      <c r="T23" s="9" t="inlineStr">
        <is>
          <t>令和5〜7年度の3年平均</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5年度／6年度／7年度</t>
        </is>
      </c>
      <c r="T6" s="9" t="inlineStr">
        <is>
          <t>令和5〜7年度の3年平均</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5年度／6年度／7年度</t>
        </is>
      </c>
      <c r="T11" s="9" t="inlineStr">
        <is>
          <t>令和5〜7年度の3年平均</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5年度／6年度／7年度</t>
        </is>
      </c>
      <c r="T15" s="9" t="inlineStr">
        <is>
          <t>令和5〜7年度の3年平均</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5年度／6年度／7年度</t>
        </is>
      </c>
      <c r="T18" s="9" t="inlineStr">
        <is>
          <t>令和5〜7年度の3年平均</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0.1580126908035121</v>
      </c>
      <c r="J4" s="6" t="inlineStr">
        <is>
          <t>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0.1718956217345968</v>
      </c>
      <c r="J8" s="6" t="inlineStr">
        <is>
          <t>5年度／6年度／7年度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0.8719969294216831</v>
      </c>
      <c r="J13" s="6" t="inlineStr">
        <is>
          <t>5年度／6年度／7年度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1.149674146018272</v>
      </c>
      <c r="J17" s="6" t="inlineStr">
        <is>
          <t>5年度／6年度／7年度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0.176257442758496</v>
      </c>
      <c r="J23" s="6" t="inlineStr">
        <is>
          <t>5年度／6年度／7年度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0.1386140883346157</v>
      </c>
      <c r="E4" s="16" t="n">
        <v>40729.12144399775</v>
      </c>
      <c r="F4" s="7" t="n">
        <v>478.0799906660894</v>
      </c>
      <c r="G4" s="8" t="n">
        <v>39.83999922217412</v>
      </c>
      <c r="H4" s="7" t="n">
        <v>19471.77799978447</v>
      </c>
      <c r="I4" s="7" t="n">
        <v>476.5552356944087</v>
      </c>
      <c r="J4" s="8" t="n">
        <v>39.71293630786739</v>
      </c>
      <c r="K4" s="7" t="n">
        <v>19409.67606937054</v>
      </c>
      <c r="L4" s="7" t="n">
        <v>475.1690948110625</v>
      </c>
      <c r="M4" s="8" t="n">
        <v>39.59742456758854</v>
      </c>
      <c r="N4" s="7" t="n">
        <v>19353.21976899424</v>
      </c>
      <c r="O4" s="7" t="n">
        <v>473.7829539277163</v>
      </c>
      <c r="P4" s="8" t="n">
        <v>39.48191282730969</v>
      </c>
      <c r="Q4" s="7" t="n">
        <v>19296.76346861795</v>
      </c>
      <c r="R4" s="16" t="n">
        <v>20186.841</v>
      </c>
      <c r="S4" s="6" t="inlineStr">
        <is>
          <t>-4.4％</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0.168412866838472</v>
      </c>
      <c r="E23" s="16" t="n">
        <v>254789.1248438966</v>
      </c>
      <c r="F23" s="7" t="n">
        <v>580.8559777258901</v>
      </c>
      <c r="G23" s="8" t="n">
        <v>48.40466481049084</v>
      </c>
      <c r="H23" s="7" t="n">
        <v>147995.7862251254</v>
      </c>
      <c r="I23" s="7" t="n">
        <v>579.0034361906669</v>
      </c>
      <c r="J23" s="8" t="n">
        <v>48.25028634922224</v>
      </c>
      <c r="K23" s="7" t="n">
        <v>147523.778788629</v>
      </c>
      <c r="L23" s="7" t="n">
        <v>577.3193075222821</v>
      </c>
      <c r="M23" s="8" t="n">
        <v>48.10994229352351</v>
      </c>
      <c r="N23" s="7" t="n">
        <v>147094.6811190867</v>
      </c>
      <c r="O23" s="7" t="n">
        <v>575.6351788538974</v>
      </c>
      <c r="P23" s="8" t="n">
        <v>47.96959823782478</v>
      </c>
      <c r="Q23" s="7" t="n">
        <v>146665.5834495444</v>
      </c>
      <c r="R23" s="16" t="n">
        <v>134380.035</v>
      </c>
      <c r="S23" s="6" t="inlineStr">
        <is>
          <t>+9.1％</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0.08510142285040323</v>
      </c>
      <c r="E6" s="16" t="n">
        <v>37630.6414898314</v>
      </c>
      <c r="F6" s="7" t="n">
        <v>293.5148074110407</v>
      </c>
      <c r="G6" s="8" t="n">
        <v>24.4595672842534</v>
      </c>
      <c r="H6" s="7" t="n">
        <v>11045.15048964178</v>
      </c>
      <c r="I6" s="7" t="n">
        <v>292.5786917596863</v>
      </c>
      <c r="J6" s="8" t="n">
        <v>24.38155764664053</v>
      </c>
      <c r="K6" s="7" t="n">
        <v>11009.92385717264</v>
      </c>
      <c r="L6" s="7" t="n">
        <v>291.7276775311823</v>
      </c>
      <c r="M6" s="8" t="n">
        <v>24.31063979426519</v>
      </c>
      <c r="N6" s="7" t="n">
        <v>10977.89964583706</v>
      </c>
      <c r="O6" s="7" t="n">
        <v>290.8766633026783</v>
      </c>
      <c r="P6" s="8" t="n">
        <v>24.23972194188985</v>
      </c>
      <c r="Q6" s="7" t="n">
        <v>10945.87543450148</v>
      </c>
      <c r="R6" s="16" t="n">
        <v>11689.154</v>
      </c>
      <c r="S6" s="6" t="inlineStr">
        <is>
          <t>-6.4％</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0.1822684690016798</v>
      </c>
      <c r="E11" s="16" t="n">
        <v>8305.223344467253</v>
      </c>
      <c r="F11" s="7" t="n">
        <v>628.6439495867937</v>
      </c>
      <c r="G11" s="8" t="n">
        <v>52.38699579889948</v>
      </c>
      <c r="H11" s="7" t="n">
        <v>5221.028405466334</v>
      </c>
      <c r="I11" s="7" t="n">
        <v>626.6389964277753</v>
      </c>
      <c r="J11" s="8" t="n">
        <v>52.21991636898127</v>
      </c>
      <c r="K11" s="7" t="n">
        <v>5204.376821685491</v>
      </c>
      <c r="L11" s="7" t="n">
        <v>624.8163117377585</v>
      </c>
      <c r="M11" s="8" t="n">
        <v>52.06802597814654</v>
      </c>
      <c r="N11" s="7" t="n">
        <v>5189.23901824836</v>
      </c>
      <c r="O11" s="7" t="n">
        <v>622.9936270477417</v>
      </c>
      <c r="P11" s="8" t="n">
        <v>51.91613558731181</v>
      </c>
      <c r="Q11" s="7" t="n">
        <v>5174.10121481123</v>
      </c>
      <c r="R11" s="16" t="n">
        <v>6000.387</v>
      </c>
      <c r="S11" s="6" t="inlineStr">
        <is>
          <t>-13.8％</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0.2425179806523965</v>
      </c>
      <c r="E15" s="16" t="n">
        <v>4510.739575690291</v>
      </c>
      <c r="F15" s="7" t="n">
        <v>836.4445152701154</v>
      </c>
      <c r="G15" s="8" t="n">
        <v>69.70370960584295</v>
      </c>
      <c r="H15" s="7" t="n">
        <v>3772.983377897991</v>
      </c>
      <c r="I15" s="7" t="n">
        <v>833.776817482939</v>
      </c>
      <c r="J15" s="8" t="n">
        <v>69.48140145691158</v>
      </c>
      <c r="K15" s="7" t="n">
        <v>3760.950087913393</v>
      </c>
      <c r="L15" s="7" t="n">
        <v>831.3516376764151</v>
      </c>
      <c r="M15" s="8" t="n">
        <v>69.27930313970126</v>
      </c>
      <c r="N15" s="7" t="n">
        <v>3750.010733381941</v>
      </c>
      <c r="O15" s="7" t="n">
        <v>828.9264578698911</v>
      </c>
      <c r="P15" s="8" t="n">
        <v>69.07720482249093</v>
      </c>
      <c r="Q15" s="7" t="n">
        <v>3739.071378850489</v>
      </c>
      <c r="R15" s="16" t="n">
        <v>4145.98</v>
      </c>
      <c r="S15" s="6" t="inlineStr">
        <is>
          <t>-9.8％</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0.00784457592002394</v>
      </c>
      <c r="E18" s="16" t="n">
        <v>232517.0685324384</v>
      </c>
      <c r="F18" s="7" t="n">
        <v>27.05594234816257</v>
      </c>
      <c r="G18" s="8" t="n">
        <v>2.254661862346881</v>
      </c>
      <c r="H18" s="7" t="n">
        <v>6290.968401177419</v>
      </c>
      <c r="I18" s="7" t="n">
        <v>26.96965201304231</v>
      </c>
      <c r="J18" s="8" t="n">
        <v>2.247471001086859</v>
      </c>
      <c r="K18" s="7" t="n">
        <v>6270.904425412573</v>
      </c>
      <c r="L18" s="7" t="n">
        <v>26.89120625384207</v>
      </c>
      <c r="M18" s="8" t="n">
        <v>2.240933854486839</v>
      </c>
      <c r="N18" s="7" t="n">
        <v>6252.664447444531</v>
      </c>
      <c r="O18" s="7" t="n">
        <v>26.81276049464183</v>
      </c>
      <c r="P18" s="8" t="n">
        <v>2.234396707886819</v>
      </c>
      <c r="Q18" s="7" t="n">
        <v>6234.42446947649</v>
      </c>
      <c r="R18" s="16" t="n">
        <v>3343.374</v>
      </c>
      <c r="S18" s="6" t="inlineStr">
        <is>
          <t>+86.5％</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1036102.868671899</v>
      </c>
      <c r="F2" s="11" t="n">
        <v>1032798.394460421</v>
      </c>
      <c r="G2" s="11" t="n">
        <v>1029794.326995439</v>
      </c>
      <c r="H2" s="11" t="n">
        <v>1026790.259530458</v>
      </c>
      <c r="I2" s="11" t="n">
        <v>3089382.980986318</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1058217.448990754</v>
      </c>
      <c r="F3" s="7" t="n">
        <v>1069168.501022793</v>
      </c>
      <c r="G3" s="7" t="n">
        <v>1080119.553054832</v>
      </c>
      <c r="H3" s="7" t="n">
        <v>1091646.976246452</v>
      </c>
      <c r="I3" s="7" t="n">
        <v>3240935.030324078</v>
      </c>
      <c r="J3" s="7" t="n">
        <v>151552.0493377596</v>
      </c>
      <c r="K3" s="6" t="inlineStr">
        <is>
          <t>+4.91％</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930333.1079385994</v>
      </c>
      <c r="F4" s="7" t="n">
        <v>926777.6947872415</v>
      </c>
      <c r="G4" s="7" t="n">
        <v>925592.5570701222</v>
      </c>
      <c r="H4" s="7" t="n">
        <v>924407.4193530034</v>
      </c>
      <c r="I4" s="7" t="n">
        <v>2776777.671210367</v>
      </c>
      <c r="J4" s="7" t="n">
        <v>-312605.3097759509</v>
      </c>
      <c r="K4" s="6" t="inlineStr">
        <is>
          <t>-10.12％</t>
        </is>
      </c>
    </row>
    <row r="5">
      <c r="A5" s="6" t="inlineStr">
        <is>
          <t>基本＋報酬改定+1.5％</t>
        </is>
      </c>
      <c r="B5" s="6" t="inlineStr">
        <is>
          <t>1号</t>
        </is>
      </c>
      <c r="C5" s="6" t="inlineStr">
        <is>
          <t>+1.5％</t>
        </is>
      </c>
      <c r="D5" s="9" t="inlineStr">
        <is>
          <t>令和9年度の介護報酬改定を＋1.5％と置いた場合</t>
        </is>
      </c>
      <c r="E5" s="7" t="n">
        <v>1036102.868671899</v>
      </c>
      <c r="F5" s="7" t="n">
        <v>1048290.370377327</v>
      </c>
      <c r="G5" s="7" t="n">
        <v>1045241.241900371</v>
      </c>
      <c r="H5" s="7" t="n">
        <v>1042192.113423416</v>
      </c>
      <c r="I5" s="7" t="n">
        <v>3135723.725701113</v>
      </c>
      <c r="J5" s="7" t="n">
        <v>46340.74471479515</v>
      </c>
      <c r="K5" s="6" t="inlineStr">
        <is>
          <t>+1.50％</t>
        </is>
      </c>
    </row>
    <row r="6">
      <c r="A6" s="6" t="inlineStr">
        <is>
          <t>基本＋報酬改定−1.5％</t>
        </is>
      </c>
      <c r="B6" s="6" t="inlineStr">
        <is>
          <t>1号</t>
        </is>
      </c>
      <c r="C6" s="6" t="inlineStr">
        <is>
          <t>-1.5％</t>
        </is>
      </c>
      <c r="D6" s="9" t="inlineStr">
        <is>
          <t>令和9年度の介護報酬改定を−1.5％と置いた場合</t>
        </is>
      </c>
      <c r="E6" s="7" t="n">
        <v>1036102.868671899</v>
      </c>
      <c r="F6" s="7" t="n">
        <v>1017306.418543514</v>
      </c>
      <c r="G6" s="7" t="n">
        <v>1014347.412090508</v>
      </c>
      <c r="H6" s="7" t="n">
        <v>1011388.405637502</v>
      </c>
      <c r="I6" s="7" t="n">
        <v>3043042.236271524</v>
      </c>
      <c r="J6" s="7" t="n">
        <v>-46340.74471479421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分母を認定者数にすると総給付費が大きく振れる。これが認定者数ベースで組めない理由である。**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1036102.868671899</v>
      </c>
      <c r="E2" s="7" t="n">
        <v>1032798.394460421</v>
      </c>
      <c r="F2" s="7" t="n">
        <v>1029794.326995439</v>
      </c>
      <c r="G2" s="7" t="n">
        <v>1026790.259530458</v>
      </c>
      <c r="H2" s="7" t="n">
        <v>3089382.980986318</v>
      </c>
      <c r="I2" s="9" t="inlineStr">
        <is>
          <t>介護給付＋予防給付</t>
        </is>
      </c>
    </row>
    <row r="3">
      <c r="A3" s="6" t="inlineStr">
        <is>
          <t>② 特定入所者介護サービス費</t>
        </is>
      </c>
      <c r="B3" s="6" t="inlineStr">
        <is>
          <t>①×4.993％</t>
        </is>
      </c>
      <c r="C3" s="7" t="n">
        <v>49691.037</v>
      </c>
      <c r="D3" s="7" t="n">
        <v>51734.44033211817</v>
      </c>
      <c r="E3" s="7" t="n">
        <v>51569.44211708388</v>
      </c>
      <c r="F3" s="7" t="n">
        <v>51419.44373977996</v>
      </c>
      <c r="G3" s="7" t="n">
        <v>51269.44536247603</v>
      </c>
      <c r="H3" s="7" t="n">
        <v>154258.3312193399</v>
      </c>
      <c r="I3" s="9" t="inlineStr">
        <is>
          <t>令和5〜7年度の対総給付費比の平均。補足給付は施設利用と連動する</t>
        </is>
      </c>
    </row>
    <row r="4">
      <c r="A4" s="6" t="inlineStr">
        <is>
          <t>③ 高額介護サービス費</t>
        </is>
      </c>
      <c r="B4" s="6" t="inlineStr">
        <is>
          <t>①×2.461％</t>
        </is>
      </c>
      <c r="C4" s="7" t="n">
        <v>25611.472</v>
      </c>
      <c r="D4" s="7" t="n">
        <v>25494.17807108667</v>
      </c>
      <c r="E4" s="7" t="n">
        <v>25412.86871800406</v>
      </c>
      <c r="F4" s="7" t="n">
        <v>25338.95112429258</v>
      </c>
      <c r="G4" s="7" t="n">
        <v>25265.0335305811</v>
      </c>
      <c r="H4" s="7" t="n">
        <v>76016.85337287774</v>
      </c>
      <c r="I4" s="9" t="inlineStr">
        <is>
          <t>令和5〜7年度の対総給付費比の平均</t>
        </is>
      </c>
    </row>
    <row r="5">
      <c r="A5" s="6" t="inlineStr">
        <is>
          <t>④ 高額医療合算介護サービス費</t>
        </is>
      </c>
      <c r="B5" s="6" t="inlineStr">
        <is>
          <t>①×0.266％</t>
        </is>
      </c>
      <c r="C5" s="7" t="n">
        <v>3066.591</v>
      </c>
      <c r="D5" s="7" t="n">
        <v>2752.770299423493</v>
      </c>
      <c r="E5" s="7" t="n">
        <v>2743.99080586198</v>
      </c>
      <c r="F5" s="7" t="n">
        <v>2736.009448078786</v>
      </c>
      <c r="G5" s="7" t="n">
        <v>2728.028090295591</v>
      </c>
      <c r="H5" s="7" t="n">
        <v>8208.028344236358</v>
      </c>
      <c r="I5" s="9" t="inlineStr">
        <is>
          <t>令和5〜7年度の対総給付費比の平均</t>
        </is>
      </c>
    </row>
    <row r="6">
      <c r="A6" s="6" t="inlineStr">
        <is>
          <t>⑤ 審査支払手数料</t>
        </is>
      </c>
      <c r="B6" s="6" t="inlineStr">
        <is>
          <t>件数×60円</t>
        </is>
      </c>
      <c r="C6" s="7" t="n">
        <v>869.28</v>
      </c>
      <c r="D6" s="7" t="n">
        <v>881.6622385686688</v>
      </c>
      <c r="E6" s="7" t="n">
        <v>878.8503265291631</v>
      </c>
      <c r="F6" s="7" t="n">
        <v>876.2940428568849</v>
      </c>
      <c r="G6" s="7" t="n">
        <v>873.7377591846071</v>
      </c>
      <c r="H6" s="7" t="n">
        <v>2628.882128570655</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6682.339026313487</v>
      </c>
      <c r="C19" s="9" t="inlineStr">
        <is>
          <t>円</t>
        </is>
      </c>
      <c r="D19" s="9" t="inlineStr">
        <is>
          <t>（標準給付費3,330,495＋地域支援事業費207,260）×23％＋（標準給付費＋総合事業費110,960）×（5％−5.963％）−取崩0千円　÷収納率99.35％÷補正後被保険者数9,798人÷12</t>
        </is>
      </c>
    </row>
    <row r="20">
      <c r="A20" s="9" t="inlineStr">
        <is>
          <t>保険料基準額（月額）　保有額12,000千円を全額取り崩す</t>
        </is>
      </c>
      <c r="B20" s="21" t="n">
        <v>6579.605257264987</v>
      </c>
      <c r="C20" s="9" t="inlineStr">
        <is>
          <t>円</t>
        </is>
      </c>
      <c r="D20" s="9" t="inlineStr">
        <is>
          <t>（標準給付費3,330,495＋地域支援事業費207,260）×23％＋（標準給付費＋総合事業費110,960）×（5％−5.963％）−取崩12,000千円　÷収納率99.35％÷補正後被保険者数9,798人÷12</t>
        </is>
      </c>
    </row>
    <row r="21">
      <c r="A21" s="9" t="inlineStr">
        <is>
          <t>保険料基準額（月額）　第9期と同じ35,000千円を取り崩す</t>
        </is>
      </c>
      <c r="B21" s="21" t="n">
        <v>6382.698866588697</v>
      </c>
      <c r="C21" s="9" t="inlineStr">
        <is>
          <t>円</t>
        </is>
      </c>
      <c r="D21" s="9" t="inlineStr">
        <is>
          <t>（標準給付費3,330,495＋地域支援事業費207,260）×23％＋（標準給付費＋総合事業費110,960）×（5％−5.963％）−取崩35,000千円　÷収納率99.35％÷補正後被保険者数9,798人÷12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地域支援事業費は第9期計画の見込み（3年計207,260千円、うち総合事業費110,960千円）を仮置きした。実績は未受領。</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5.963％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2026-09-12T02:33:51Z</dcterms:created>
  <dcterms:modified xmlns:dcterms="http://purl.org/dc/terms/" xmlns:xsi="http://www.w3.org/2001/XMLSchema-instance" xsi:type="dcterms:W3CDTF">2026-09-12T02:33:52Z</dcterms:modified>
</cp:coreProperties>
</file>