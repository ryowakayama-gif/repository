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使い方" sheetId="1" state="visible" r:id="rId1"/>
    <sheet xmlns:r="http://schemas.openxmlformats.org/officeDocument/2006/relationships" name="01_ケース定義" sheetId="2" state="visible" r:id="rId2"/>
    <sheet xmlns:r="http://schemas.openxmlformats.org/officeDocument/2006/relationships" name="02_人口・被保険者" sheetId="3" state="visible" r:id="rId3"/>
    <sheet xmlns:r="http://schemas.openxmlformats.org/officeDocument/2006/relationships" name="03_認定者推計" sheetId="4" state="visible" r:id="rId4"/>
    <sheet xmlns:r="http://schemas.openxmlformats.org/officeDocument/2006/relationships" name="04_受給率" sheetId="5" state="visible" r:id="rId5"/>
    <sheet xmlns:r="http://schemas.openxmlformats.org/officeDocument/2006/relationships" name="05_見込量_介護" sheetId="6" state="visible" r:id="rId6"/>
    <sheet xmlns:r="http://schemas.openxmlformats.org/officeDocument/2006/relationships" name="06_見込量_予防" sheetId="7" state="visible" r:id="rId7"/>
    <sheet xmlns:r="http://schemas.openxmlformats.org/officeDocument/2006/relationships" name="07_地域支援事業" sheetId="8" state="visible" r:id="rId8"/>
    <sheet xmlns:r="http://schemas.openxmlformats.org/officeDocument/2006/relationships" name="08_標準給付費" sheetId="9" state="visible" r:id="rId9"/>
    <sheet xmlns:r="http://schemas.openxmlformats.org/officeDocument/2006/relationships" name="09_保険料算定" sheetId="10" state="visible" r:id="rId10"/>
    <sheet xmlns:r="http://schemas.openxmlformats.org/officeDocument/2006/relationships" name="10_ケース比較" sheetId="11" state="visible" r:id="rId11"/>
    <sheet xmlns:r="http://schemas.openxmlformats.org/officeDocument/2006/relationships" name="11_実績（年報）" sheetId="12" state="visible" r:id="rId12"/>
  </sheets>
  <definedNames/>
  <calcPr calcId="124519" fullCalcOnLoad="1"/>
</workbook>
</file>

<file path=xl/styles.xml><?xml version="1.0" encoding="utf-8"?>
<styleSheet xmlns="http://schemas.openxmlformats.org/spreadsheetml/2006/main">
  <numFmts count="4">
    <numFmt numFmtId="164" formatCode="0.0"/>
    <numFmt numFmtId="165" formatCode="0.0%"/>
    <numFmt numFmtId="166" formatCode="#,##0.0"/>
    <numFmt numFmtId="167" formatCode="0.000"/>
  </numFmts>
  <fonts count="6">
    <font>
      <name val="Calibri"/>
      <family val="2"/>
      <color theme="1"/>
      <sz val="11"/>
      <scheme val="minor"/>
    </font>
    <font>
      <b val="1"/>
      <sz val="13"/>
    </font>
    <font>
      <b val="1"/>
      <sz val="10"/>
    </font>
    <font>
      <b val="1"/>
      <sz val="9"/>
    </font>
    <font>
      <sz val="11"/>
    </font>
    <font>
      <b val="1"/>
      <sz val="11"/>
    </font>
  </fonts>
  <fills count="7">
    <fill>
      <patternFill/>
    </fill>
    <fill>
      <patternFill patternType="gray125"/>
    </fill>
    <fill>
      <patternFill patternType="solid">
        <fgColor rgb="00FFF2CC"/>
      </patternFill>
    </fill>
    <fill>
      <patternFill patternType="solid">
        <fgColor rgb="00EAF1FB"/>
      </patternFill>
    </fill>
    <fill>
      <patternFill patternType="solid">
        <fgColor rgb="00FCE4E4"/>
      </patternFill>
    </fill>
    <fill>
      <patternFill patternType="solid">
        <fgColor rgb="00DDEBF7"/>
      </patternFill>
    </fill>
    <fill>
      <patternFill patternType="solid">
        <fgColor rgb="00EEEEE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3" fillId="5" borderId="1" applyAlignment="1" pivotButton="0" quotePrefix="0" xfId="0">
      <alignment horizontal="center" vertical="center" wrapText="1"/>
    </xf>
    <xf numFmtId="0" fontId="4" fillId="0" borderId="1" applyAlignment="1" pivotButton="0" quotePrefix="0" xfId="0">
      <alignment vertical="top"/>
    </xf>
    <xf numFmtId="0" fontId="4" fillId="0" borderId="1" applyAlignment="1" pivotButton="0" quotePrefix="0" xfId="0">
      <alignment vertical="top" wrapText="1"/>
    </xf>
    <xf numFmtId="3" fontId="4" fillId="2" borderId="0" applyAlignment="1" pivotButton="0" quotePrefix="0" xfId="0">
      <alignment vertical="top"/>
    </xf>
    <xf numFmtId="3" fontId="4" fillId="2" borderId="1" applyAlignment="1" pivotButton="0" quotePrefix="0" xfId="0">
      <alignment vertical="top"/>
    </xf>
    <xf numFmtId="164" fontId="4" fillId="3" borderId="1" applyAlignment="1" pivotButton="0" quotePrefix="0" xfId="0">
      <alignment vertical="top"/>
    </xf>
    <xf numFmtId="0" fontId="4" fillId="2" borderId="1" applyAlignment="1" pivotButton="0" quotePrefix="0" xfId="0">
      <alignment vertical="top"/>
    </xf>
    <xf numFmtId="165" fontId="4" fillId="3" borderId="1" applyAlignment="1" pivotButton="0" quotePrefix="0" xfId="0">
      <alignment vertical="top"/>
    </xf>
    <xf numFmtId="0" fontId="4" fillId="2" borderId="0" applyAlignment="1" pivotButton="0" quotePrefix="0" xfId="0">
      <alignment vertical="top"/>
    </xf>
    <xf numFmtId="0" fontId="4" fillId="3" borderId="1" applyAlignment="1" pivotButton="0" quotePrefix="0" xfId="0">
      <alignment vertical="top"/>
    </xf>
    <xf numFmtId="0" fontId="4" fillId="0" borderId="0" applyAlignment="1" pivotButton="0" quotePrefix="0" xfId="0">
      <alignment vertical="top"/>
    </xf>
    <xf numFmtId="0" fontId="4" fillId="0" borderId="0" applyAlignment="1" pivotButton="0" quotePrefix="0" xfId="0">
      <alignment vertical="top" wrapText="1"/>
    </xf>
    <xf numFmtId="0" fontId="2" fillId="0" borderId="1" applyAlignment="1" pivotButton="0" quotePrefix="0" xfId="0">
      <alignment vertical="top"/>
    </xf>
    <xf numFmtId="165" fontId="4" fillId="2" borderId="0" applyAlignment="1" pivotButton="0" quotePrefix="0" xfId="0">
      <alignment vertical="top"/>
    </xf>
    <xf numFmtId="166" fontId="4" fillId="3" borderId="1" applyAlignment="1" pivotButton="0" quotePrefix="0" xfId="0">
      <alignment vertical="top"/>
    </xf>
    <xf numFmtId="3" fontId="4" fillId="3" borderId="1" applyAlignment="1" pivotButton="0" quotePrefix="0" xfId="0">
      <alignment vertical="top"/>
    </xf>
    <xf numFmtId="0" fontId="3" fillId="0" borderId="1" applyAlignment="1" pivotButton="0" quotePrefix="0" xfId="0">
      <alignment vertical="top"/>
    </xf>
    <xf numFmtId="166" fontId="3" fillId="3" borderId="1" applyAlignment="1" pivotButton="0" quotePrefix="0" xfId="0">
      <alignment vertical="top"/>
    </xf>
    <xf numFmtId="3" fontId="3" fillId="3" borderId="1" applyAlignment="1" pivotButton="0" quotePrefix="0" xfId="0">
      <alignment vertical="top"/>
    </xf>
    <xf numFmtId="3" fontId="3" fillId="3" borderId="0" applyAlignment="1" pivotButton="0" quotePrefix="0" xfId="0">
      <alignment vertical="top"/>
    </xf>
    <xf numFmtId="3" fontId="3" fillId="2" borderId="0" applyAlignment="1" pivotButton="0" quotePrefix="0" xfId="0">
      <alignment vertical="top"/>
    </xf>
    <xf numFmtId="2" fontId="4" fillId="2" borderId="0" applyAlignment="1" pivotButton="0" quotePrefix="0" xfId="0">
      <alignment vertical="top"/>
    </xf>
    <xf numFmtId="2" fontId="4" fillId="2" borderId="1" applyAlignment="1" pivotButton="0" quotePrefix="0" xfId="0">
      <alignment vertical="top"/>
    </xf>
    <xf numFmtId="3" fontId="2" fillId="4" borderId="1" applyAlignment="1" pivotButton="0" quotePrefix="0" xfId="0">
      <alignment vertical="top"/>
    </xf>
    <xf numFmtId="3" fontId="4" fillId="6" borderId="1" applyAlignment="1" pivotButton="0" quotePrefix="0" xfId="0">
      <alignment vertical="top"/>
    </xf>
    <xf numFmtId="0" fontId="3" fillId="5" borderId="1" applyAlignment="1" pivotButton="0" quotePrefix="0" xfId="0">
      <alignment vertical="top"/>
    </xf>
    <xf numFmtId="0" fontId="3" fillId="5" borderId="1" applyAlignment="1" pivotButton="0" quotePrefix="0" xfId="0">
      <alignment vertical="top" wrapText="1"/>
    </xf>
    <xf numFmtId="167" fontId="4" fillId="2" borderId="1" applyAlignment="1" pivotButton="0" quotePrefix="0" xfId="0">
      <alignment vertical="top"/>
    </xf>
    <xf numFmtId="3" fontId="4" fillId="2" borderId="0" applyAlignment="1" pivotButton="0" quotePrefix="0" xfId="0">
      <alignment vertical="top" wrapText="1"/>
    </xf>
    <xf numFmtId="3" fontId="5" fillId="4" borderId="1" applyAlignment="1" pivotButton="0" quotePrefix="0" xfId="0">
      <alignment vertical="top"/>
    </xf>
    <xf numFmtId="1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0"/>
  <sheetViews>
    <sheetView workbookViewId="0">
      <selection activeCell="A1" sqref="A1"/>
    </sheetView>
  </sheetViews>
  <sheetFormatPr baseColWidth="8" defaultRowHeight="15"/>
  <cols>
    <col width="22" customWidth="1" min="1" max="1"/>
    <col width="26" customWidth="1" min="2" max="2"/>
    <col width="86" customWidth="1" min="3" max="3"/>
  </cols>
  <sheetData>
    <row r="1">
      <c r="A1" s="1" t="inlineStr">
        <is>
          <t>小野町 第10期介護保険事業計画　サービス見込量・保険料 算定シート</t>
        </is>
      </c>
      <c r="B1" s="2" t="n"/>
      <c r="C1" s="2" t="n"/>
    </row>
    <row r="2">
      <c r="A2" s="2" t="inlineStr">
        <is>
          <t>作成日：2026-09-09</t>
        </is>
      </c>
      <c r="B2" s="2" t="n"/>
      <c r="C2" s="2" t="n"/>
    </row>
    <row r="3">
      <c r="A3" s="2" t="n"/>
      <c r="B3" s="2" t="n"/>
      <c r="C3" s="2" t="n"/>
    </row>
    <row r="4">
      <c r="A4" s="3" t="inlineStr">
        <is>
          <t>■ 本シートの位置づけ</t>
        </is>
      </c>
      <c r="B4" s="2" t="n"/>
      <c r="C4" s="2" t="n"/>
    </row>
    <row r="5">
      <c r="A5" s="2" t="inlineStr">
        <is>
          <t>委託仕様書4(2)が定める「サービス見込量の推計」及び「想定されるケースごとの保険料の算定」を行うための算定シートです。</t>
        </is>
      </c>
      <c r="B5" s="2" t="n"/>
      <c r="C5" s="2" t="n"/>
    </row>
    <row r="6">
      <c r="A6" s="2" t="inlineStr">
        <is>
          <t>算式は実装済みです。令和8年9月8日に介護保険事業状況報告（年報）令和3〜7年度を受領したため、人口・認定者数・所得段階別被保険者数・収納率は実績を投入済みです（11_実績（年報）参照）。</t>
        </is>
      </c>
      <c r="B6" s="2" t="n"/>
      <c r="C6" s="2" t="n"/>
    </row>
    <row r="7">
      <c r="A7" s="2" t="inlineStr">
        <is>
          <t>残る入力欄は、サービス別の見込量（05・06）、地域支援事業費（07）、調整交付金見込額・基金取崩額（09）です。</t>
        </is>
      </c>
      <c r="B7" s="2" t="n"/>
      <c r="C7" s="2" t="n"/>
    </row>
    <row r="8">
      <c r="A8" s="3" t="n"/>
      <c r="B8" s="2" t="n"/>
      <c r="C8" s="2" t="n"/>
    </row>
    <row r="9">
      <c r="A9" s="4" t="inlineStr">
        <is>
          <t>■ セルの色</t>
        </is>
      </c>
      <c r="B9" s="2" t="n"/>
      <c r="C9" s="2" t="n"/>
    </row>
    <row r="10">
      <c r="A10" s="5" t="inlineStr">
        <is>
          <t>黄色</t>
        </is>
      </c>
      <c r="B10" s="2" t="inlineStr">
        <is>
          <t>入力欄。町からの受領データ、見える化システムの出力、政策判断による設定値を入れます</t>
        </is>
      </c>
      <c r="C10" s="2" t="n"/>
    </row>
    <row r="11">
      <c r="A11" s="6" t="inlineStr">
        <is>
          <t>水色</t>
        </is>
      </c>
      <c r="B11" s="2" t="inlineStr">
        <is>
          <t>算式。触らないでください</t>
        </is>
      </c>
      <c r="C11" s="2" t="n"/>
    </row>
    <row r="12">
      <c r="A12" s="2" t="inlineStr">
        <is>
          <t>赤色</t>
        </is>
      </c>
      <c r="B12" s="2" t="inlineStr">
        <is>
          <t>算定結果（保険料基準額など）</t>
        </is>
      </c>
      <c r="C12" s="2" t="n"/>
    </row>
    <row r="13">
      <c r="A13" s="3" t="n"/>
      <c r="B13" s="2" t="n"/>
      <c r="C13" s="2" t="n"/>
    </row>
    <row r="14">
      <c r="A14" s="2" t="inlineStr">
        <is>
          <t>■ 算定の流れ</t>
        </is>
      </c>
      <c r="B14" s="2" t="n"/>
      <c r="C14" s="2" t="n"/>
    </row>
    <row r="15">
      <c r="A15" s="2" t="inlineStr">
        <is>
          <t>1</t>
        </is>
      </c>
      <c r="B15" s="2" t="inlineStr">
        <is>
          <t>02_人口・被保険者</t>
        </is>
      </c>
      <c r="C15" s="2" t="inlineStr">
        <is>
          <t>見える化システムの人口推計から、令和9〜11年度の被保険者数を入力</t>
        </is>
      </c>
    </row>
    <row r="16">
      <c r="A16" s="2" t="inlineStr">
        <is>
          <t>2</t>
        </is>
      </c>
      <c r="B16" s="2" t="inlineStr">
        <is>
          <t>03_認定者推計</t>
        </is>
      </c>
      <c r="C16" s="2" t="inlineStr">
        <is>
          <t>認定率を入力すると、要介護度別の認定者数が算出されます</t>
        </is>
      </c>
    </row>
    <row r="17">
      <c r="A17" s="2" t="inlineStr">
        <is>
          <t>3</t>
        </is>
      </c>
      <c r="B17" s="2" t="inlineStr">
        <is>
          <t>04_受給率</t>
        </is>
      </c>
      <c r="C17" s="2" t="inlineStr">
        <is>
          <t>認定者に対する受給者の比率を入力</t>
        </is>
      </c>
    </row>
    <row r="18">
      <c r="A18" s="2" t="inlineStr">
        <is>
          <t>4</t>
        </is>
      </c>
      <c r="B18" s="2" t="inlineStr">
        <is>
          <t>05_見込量_介護</t>
        </is>
      </c>
      <c r="C18" s="2" t="inlineStr">
        <is>
          <t>サービス別の利用者数・回数・単価を入力すると給付費が算出されます</t>
        </is>
      </c>
    </row>
    <row r="19">
      <c r="A19" s="2" t="inlineStr">
        <is>
          <t>5</t>
        </is>
      </c>
      <c r="B19" s="2" t="inlineStr">
        <is>
          <t>06_見込量_予防</t>
        </is>
      </c>
      <c r="C19" s="2" t="inlineStr">
        <is>
          <t>同上（予防給付）</t>
        </is>
      </c>
    </row>
    <row r="20">
      <c r="A20" s="2" t="inlineStr">
        <is>
          <t>6</t>
        </is>
      </c>
      <c r="B20" s="2" t="inlineStr">
        <is>
          <t>07_地域支援事業</t>
        </is>
      </c>
      <c r="C20" s="2" t="inlineStr">
        <is>
          <t>介護予防・日常生活支援総合事業、包括的支援事業、任意事業の事業費を入力</t>
        </is>
      </c>
    </row>
    <row r="21">
      <c r="A21" s="2" t="inlineStr">
        <is>
          <t>7</t>
        </is>
      </c>
      <c r="B21" s="2" t="inlineStr">
        <is>
          <t>08_標準給付費</t>
        </is>
      </c>
      <c r="C21" s="2" t="inlineStr">
        <is>
          <t>05〜07が集計され、標準給付費見込額が算出されます</t>
        </is>
      </c>
    </row>
    <row r="22">
      <c r="A22" s="2" t="inlineStr">
        <is>
          <t>8</t>
        </is>
      </c>
      <c r="B22" s="2" t="inlineStr">
        <is>
          <t>09_保険料算定</t>
        </is>
      </c>
      <c r="C22" s="2" t="inlineStr">
        <is>
          <t>負担割合・調整交付金・基金取崩・収納率・所得段階別人数を入力すると保険料基準額が出ます</t>
        </is>
      </c>
    </row>
    <row r="23">
      <c r="A23" s="2" t="inlineStr">
        <is>
          <t>9</t>
        </is>
      </c>
      <c r="B23" s="2" t="inlineStr">
        <is>
          <t>10_ケース比較</t>
        </is>
      </c>
      <c r="C23" s="2" t="inlineStr">
        <is>
          <t>01で定義した各ケースの結果を並べます</t>
        </is>
      </c>
    </row>
    <row r="24">
      <c r="A24" s="2" t="n"/>
      <c r="B24" s="2" t="n"/>
      <c r="C24" s="2" t="n"/>
    </row>
    <row r="25">
      <c r="A25" s="3" t="inlineStr">
        <is>
          <t>■ ケースの考え方（仕様書4(2)）</t>
        </is>
      </c>
      <c r="B25" s="2" t="n"/>
      <c r="C25" s="2" t="n"/>
    </row>
    <row r="26">
      <c r="A26" s="2" t="inlineStr">
        <is>
          <t>仕様書は「新たに介護施設を整備する場合や制度改正により条件が変わる場合等」を例示しています。</t>
        </is>
      </c>
      <c r="B26" s="2" t="n"/>
      <c r="C26" s="2" t="n"/>
    </row>
    <row r="27">
      <c r="A27" s="2" t="inlineStr">
        <is>
          <t>引継ぎ時点のテンプレートは基金の取扱いによる3ケースのみで、仕様書の例示に対応していませんでした。</t>
        </is>
      </c>
      <c r="B27" s="2" t="n"/>
      <c r="C27" s="2" t="n"/>
    </row>
    <row r="28">
      <c r="A28" s="2" t="inlineStr">
        <is>
          <t>本シートでは、政策要因（施設整備・制度改正・基金）に加え、本町固有の事情として「認定者数の前提」を軸に加えています。</t>
        </is>
      </c>
      <c r="B28" s="2" t="n"/>
      <c r="C28" s="2" t="n"/>
    </row>
    <row r="29">
      <c r="A29" s="2" t="inlineStr">
        <is>
          <t>令和8年3月末の認定者数は20期の系列で唯一の大幅減（▲152人）であり、確認中です。</t>
        </is>
      </c>
      <c r="B29" s="2" t="n"/>
      <c r="C29" s="2" t="n"/>
    </row>
    <row r="30">
      <c r="A30" s="2" t="inlineStr">
        <is>
          <t>確定値が792人か900人台かで給付費は2割近く動くため、前提を1つに固定して算定すると、確認結果しだいで全面やり直しになります。</t>
        </is>
      </c>
      <c r="B30" s="2" t="n"/>
      <c r="C30" s="2" t="n"/>
    </row>
    <row r="31">
      <c r="A31" s="2" t="n"/>
      <c r="B31" s="2" t="n"/>
      <c r="C31" s="2" t="n"/>
    </row>
    <row r="32">
      <c r="A32" s="3" t="inlineStr">
        <is>
          <t>■ 受領済みのデータ（令和8年9月8日）</t>
        </is>
      </c>
      <c r="B32" s="2" t="n"/>
      <c r="C32" s="2" t="n"/>
    </row>
    <row r="33">
      <c r="A33" s="2" t="inlineStr"/>
      <c r="B33" s="2" t="inlineStr">
        <is>
          <t>令和8年3月末の認定者数 792人　**年報 様式1の5で確定**</t>
        </is>
      </c>
      <c r="C33" s="2" t="n"/>
    </row>
    <row r="34">
      <c r="A34" s="2" t="inlineStr"/>
      <c r="B34" s="2" t="inlineStr">
        <is>
          <t>令和3〜7年度 サービス別給付費・受給者数　年報 様式2・様式1の6</t>
        </is>
      </c>
      <c r="C34" s="2" t="n"/>
    </row>
    <row r="35">
      <c r="A35" s="2" t="inlineStr"/>
      <c r="B35" s="2" t="inlineStr">
        <is>
          <t>所得段階別第1号被保険者数と保険料率　年報 様式1 所得段階別</t>
        </is>
      </c>
      <c r="C35" s="2" t="n"/>
    </row>
    <row r="36">
      <c r="A36" s="2" t="inlineStr"/>
      <c r="B36" s="2" t="inlineStr">
        <is>
          <t>保険料収納率 99.35％　年報 様式3</t>
        </is>
      </c>
      <c r="C36" s="2" t="n"/>
    </row>
    <row r="37">
      <c r="A37" s="2" t="inlineStr"/>
      <c r="B37" s="2" t="inlineStr">
        <is>
          <t>第10期将来推計用推計人口（男女別・5歳階級別）</t>
        </is>
      </c>
      <c r="C37" s="2" t="n"/>
    </row>
    <row r="38">
      <c r="A38" s="2" t="n"/>
      <c r="B38" s="2" t="n"/>
      <c r="C38" s="2" t="n"/>
    </row>
    <row r="39">
      <c r="A39" s="2" t="inlineStr">
        <is>
          <t>■ 残る未受領のデータ</t>
        </is>
      </c>
      <c r="B39" s="2" t="n"/>
      <c r="C39" s="2" t="n"/>
    </row>
    <row r="40">
      <c r="A40" s="3" t="inlineStr"/>
      <c r="B40" s="2" t="inlineStr">
        <is>
          <t>地域支援事業費の実績と事業別内訳（年報 様式4は令和7年度が未入力）</t>
        </is>
      </c>
      <c r="C40" s="2" t="n"/>
    </row>
    <row r="41">
      <c r="A41" s="2" t="inlineStr"/>
      <c r="B41" s="2" t="inlineStr">
        <is>
          <t>令和7年度の介護保険特別会計決算（様式4が全て0）</t>
        </is>
      </c>
      <c r="C41" s="2" t="n"/>
    </row>
    <row r="42">
      <c r="A42" s="2" t="inlineStr"/>
      <c r="B42" s="2" t="inlineStr">
        <is>
          <t>介護給付費準備基金の取崩方針（保有額は12,000千円だが第9期は35,000千円の取崩を見込んでいた）</t>
        </is>
      </c>
      <c r="C42" s="2" t="n"/>
    </row>
    <row r="43">
      <c r="A43" s="2" t="inlineStr"/>
      <c r="B43" s="2" t="inlineStr">
        <is>
          <t>令和7年8〜9月の認定者数の計上方法の変更の有無</t>
        </is>
      </c>
      <c r="C43" s="2" t="n"/>
    </row>
    <row r="44">
      <c r="A44" s="2" t="n"/>
      <c r="B44" s="2" t="n"/>
      <c r="C44" s="2" t="n"/>
    </row>
    <row r="45">
      <c r="A45" s="2" t="inlineStr">
        <is>
          <t>■ 第9期の算定根拠（参考・第9期計画本文より）</t>
        </is>
      </c>
      <c r="B45" s="2" t="n"/>
      <c r="C45" s="2" t="n"/>
    </row>
    <row r="46">
      <c r="A46" s="2" t="inlineStr">
        <is>
          <t>標準給付費見込額（3年計）</t>
        </is>
      </c>
      <c r="B46" s="2" t="inlineStr">
        <is>
          <t>3,566,486千円</t>
        </is>
      </c>
      <c r="C46" s="2" t="n"/>
    </row>
    <row r="47">
      <c r="A47" s="2" t="inlineStr">
        <is>
          <t>準備基金取崩額</t>
        </is>
      </c>
      <c r="B47" s="2" t="inlineStr">
        <is>
          <t>35,000千円</t>
        </is>
      </c>
      <c r="C47" s="2" t="n"/>
    </row>
    <row r="48">
      <c r="A48" s="2" t="inlineStr">
        <is>
          <t>保険料基準額（月額）</t>
        </is>
      </c>
      <c r="B48" s="2" t="inlineStr">
        <is>
          <t>6,600円</t>
        </is>
      </c>
      <c r="C48" s="2" t="n"/>
    </row>
    <row r="49">
      <c r="A49" s="2" t="inlineStr">
        <is>
          <t>見える化システムによる必要保険料</t>
        </is>
      </c>
      <c r="B49" s="2" t="inlineStr">
        <is>
          <t>6,131円</t>
        </is>
      </c>
      <c r="C49" s="2" t="n"/>
    </row>
    <row r="50">
      <c r="A50" s="2" t="inlineStr">
        <is>
          <t>※ 第10期はこれを基礎に算定します。第9期の見込みと実績の対比は成果品①第7章7を参照。</t>
        </is>
      </c>
      <c r="B50" s="2" t="n"/>
      <c r="C50"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7" customWidth="1" min="1" max="1"/>
    <col width="16" customWidth="1" min="2" max="2"/>
    <col width="34" customWidth="1" min="3" max="3"/>
    <col width="30" customWidth="1" min="4" max="4"/>
    <col width="34" customWidth="1" min="5" max="5"/>
    <col width="24" customWidth="1" min="6" max="6"/>
    <col width="46" customWidth="1" min="7" max="7"/>
    <col width="34" customWidth="1" min="8" max="8"/>
  </cols>
  <sheetData>
    <row r="1">
      <c r="A1" s="7" t="inlineStr">
        <is>
          <t>ケース</t>
        </is>
      </c>
      <c r="B1" s="7" t="inlineStr">
        <is>
          <t>名称</t>
        </is>
      </c>
      <c r="C1" s="7" t="inlineStr">
        <is>
          <t>認定者数の前提</t>
        </is>
      </c>
      <c r="D1" s="7" t="inlineStr">
        <is>
          <t>施設整備</t>
        </is>
      </c>
      <c r="E1" s="7" t="inlineStr">
        <is>
          <t>制度改正</t>
        </is>
      </c>
      <c r="F1" s="7" t="inlineStr">
        <is>
          <t>基金取崩</t>
        </is>
      </c>
      <c r="G1" s="7" t="inlineStr">
        <is>
          <t>設定の趣旨</t>
        </is>
      </c>
      <c r="H1" s="7" t="inlineStr">
        <is>
          <t>仕様書との対応</t>
        </is>
      </c>
    </row>
    <row r="2">
      <c r="A2" s="8" t="inlineStr">
        <is>
          <t>C1</t>
        </is>
      </c>
      <c r="B2" s="8" t="inlineStr">
        <is>
          <t>標準（低位）</t>
        </is>
      </c>
      <c r="C2" s="9" t="inlineStr">
        <is>
          <t>令和8年3月末792人を実勢とみる。以後は人口推計に認定率を乗じる</t>
        </is>
      </c>
      <c r="D2" s="9" t="inlineStr">
        <is>
          <t>新規整備なし（第9期方針を継承）</t>
        </is>
      </c>
      <c r="E2" s="9" t="inlineStr">
        <is>
          <t>織り込まない</t>
        </is>
      </c>
      <c r="F2" s="9" t="inlineStr">
        <is>
          <t>第9期と同水準</t>
        </is>
      </c>
      <c r="G2" s="9" t="inlineStr">
        <is>
          <t>見える化システムの出力をそのまま前提とする、最も機械的なケース。確認の結果792人が正しければこれが基準になる</t>
        </is>
      </c>
      <c r="H2" s="9" t="inlineStr">
        <is>
          <t>仕様書4(2)の基本ケース</t>
        </is>
      </c>
    </row>
    <row r="3">
      <c r="A3" s="8" t="inlineStr">
        <is>
          <t>C2</t>
        </is>
      </c>
      <c r="B3" s="8" t="inlineStr">
        <is>
          <t>標準（高位）</t>
        </is>
      </c>
      <c r="C3" s="9" t="inlineStr">
        <is>
          <t>令和7年7月末953人の水準を実勢とみる。792人は一時的な減少とみて補正する</t>
        </is>
      </c>
      <c r="D3" s="9" t="inlineStr">
        <is>
          <t>新規整備なし</t>
        </is>
      </c>
      <c r="E3" s="9" t="inlineStr">
        <is>
          <t>織り込まない</t>
        </is>
      </c>
      <c r="F3" s="9" t="inlineStr">
        <is>
          <t>第9期と同水準</t>
        </is>
      </c>
      <c r="G3" s="9" t="inlineStr">
        <is>
          <t>**認定者数の減少が更新認定の運用等による一時的なものであった場合。**20期の系列では令和2年度以外に減少年がなく、こちらが趨勢に沿う</t>
        </is>
      </c>
      <c r="H3" s="9" t="inlineStr">
        <is>
          <t>同上（本町固有のリスクへの対応）</t>
        </is>
      </c>
    </row>
    <row r="4">
      <c r="A4" s="8" t="inlineStr">
        <is>
          <t>C3</t>
        </is>
      </c>
      <c r="B4" s="8" t="inlineStr">
        <is>
          <t>施設整備あり</t>
        </is>
      </c>
      <c r="C4" s="9" t="inlineStr">
        <is>
          <t>C1と同じ</t>
        </is>
      </c>
      <c r="D4" s="9" t="inlineStr">
        <is>
          <t>**計画期間中に施設又は居住系サービスを整備する**</t>
        </is>
      </c>
      <c r="E4" s="9" t="inlineStr">
        <is>
          <t>織り込まない</t>
        </is>
      </c>
      <c r="F4" s="9" t="inlineStr">
        <is>
          <t>第9期と同水準</t>
        </is>
      </c>
      <c r="G4" s="9" t="inlineStr">
        <is>
          <t>仕様書が明示的に例示するケース。整備の内容・定員・開設時期を入力すると、在宅から施設への移行と給付費の増を反映する</t>
        </is>
      </c>
      <c r="H4" s="9" t="inlineStr">
        <is>
          <t>**仕様書4(2)「新たに介護施設を整備する場合」**</t>
        </is>
      </c>
    </row>
    <row r="5">
      <c r="A5" s="8" t="inlineStr">
        <is>
          <t>C4</t>
        </is>
      </c>
      <c r="B5" s="8" t="inlineStr">
        <is>
          <t>制度改正の影響</t>
        </is>
      </c>
      <c r="C5" s="9" t="inlineStr">
        <is>
          <t>C1と同じ</t>
        </is>
      </c>
      <c r="D5" s="9" t="inlineStr">
        <is>
          <t>新規整備なし</t>
        </is>
      </c>
      <c r="E5" s="9" t="inlineStr">
        <is>
          <t>**利用者負担、報酬改定、支給限度額、第2号被保険者の負担率等の改正を織り込む**</t>
        </is>
      </c>
      <c r="F5" s="9" t="inlineStr">
        <is>
          <t>第9期と同水準</t>
        </is>
      </c>
      <c r="G5" s="9" t="inlineStr">
        <is>
          <t>仕様書が明示的に例示するケース。国の制度改正の内容が示された時点でパラメータを入れる。示されるまでは感度分析として幅で持つ</t>
        </is>
      </c>
      <c r="H5" s="9" t="inlineStr">
        <is>
          <t>**仕様書4(2)「制度改正により条件が変わる場合」**</t>
        </is>
      </c>
    </row>
    <row r="6">
      <c r="A6" s="8" t="inlineStr">
        <is>
          <t>C5</t>
        </is>
      </c>
      <c r="B6" s="8" t="inlineStr">
        <is>
          <t>基金活用</t>
        </is>
      </c>
      <c r="C6" s="9" t="inlineStr">
        <is>
          <t>C1と同じ</t>
        </is>
      </c>
      <c r="D6" s="9" t="inlineStr">
        <is>
          <t>新規整備なし</t>
        </is>
      </c>
      <c r="E6" s="9" t="inlineStr">
        <is>
          <t>織り込まない</t>
        </is>
      </c>
      <c r="F6" s="9" t="inlineStr">
        <is>
          <t>**準備基金を取り崩し、保険料の上昇を抑制する**</t>
        </is>
      </c>
      <c r="G6" s="9" t="inlineStr">
        <is>
          <t>繰越金182.0百万円・基金純増88.1百万円という財政余剰の還元。取崩額を変えて保険料への影響を示す</t>
        </is>
      </c>
      <c r="H6" s="9" t="inlineStr">
        <is>
          <t>仕様書4(2)（引継ぎテンプレートの3ケースはこの軸のみ）</t>
        </is>
      </c>
    </row>
    <row r="7">
      <c r="A7" s="8" t="inlineStr">
        <is>
          <t>C6</t>
        </is>
      </c>
      <c r="B7" s="8" t="inlineStr">
        <is>
          <t>保険料抑制（据置）</t>
        </is>
      </c>
      <c r="C7" s="9" t="inlineStr">
        <is>
          <t>C1と同じ</t>
        </is>
      </c>
      <c r="D7" s="9" t="inlineStr">
        <is>
          <t>新規整備なし</t>
        </is>
      </c>
      <c r="E7" s="9" t="inlineStr">
        <is>
          <t>織り込まない</t>
        </is>
      </c>
      <c r="F7" s="9" t="inlineStr">
        <is>
          <t>**保険料基準額を第9期（6,600円）に据え置くために必要な取崩額を逆算**</t>
        </is>
      </c>
      <c r="G7" s="9" t="inlineStr">
        <is>
          <t>保険料を先に決め、必要な基金取崩額を求める逆算ケース。協議会に「据え置くとしたら基金がいくら必要か」を示すために使う</t>
        </is>
      </c>
      <c r="H7" s="9" t="inlineStr">
        <is>
          <t>同上</t>
        </is>
      </c>
    </row>
    <row r="9">
      <c r="A9" t="inlineStr">
        <is>
          <t>※ C1とC2は認定者数の前提が異なるだけで、他の条件は同じです。**この2ケースの差が、認定者数の確認が済むまでの不確実性の幅を表します。**</t>
        </is>
      </c>
    </row>
    <row r="10">
      <c r="A10" t="inlineStr">
        <is>
          <t>※ C3〜C6はC1を基準にした差分です。C2を基準にした組合せも必要に応じて算定します。</t>
        </is>
      </c>
    </row>
    <row r="11">
      <c r="A11" t="inlineStr">
        <is>
          <t>※ 第10期の第1号被保険者負担割合・調整交付金の考え方は国の基本指針で示されます。示されるまでは第9期の値（23％）を仮置きします。</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15" customWidth="1" min="2" max="2"/>
    <col width="15" customWidth="1" min="3" max="3"/>
    <col width="15" customWidth="1" min="4" max="4"/>
    <col width="15" customWidth="1" min="5" max="5"/>
    <col width="15" customWidth="1" min="6" max="6"/>
    <col width="34" customWidth="1" min="7" max="7"/>
  </cols>
  <sheetData>
    <row r="1">
      <c r="A1" s="7" t="inlineStr">
        <is>
          <t>区分</t>
        </is>
      </c>
      <c r="B1" s="7" t="inlineStr">
        <is>
          <t>令和7年度（実績）</t>
        </is>
      </c>
      <c r="C1" s="7" t="inlineStr">
        <is>
          <t>令和8年度（見込）</t>
        </is>
      </c>
      <c r="D1" s="7" t="inlineStr">
        <is>
          <t>令和9年度（推計）</t>
        </is>
      </c>
      <c r="E1" s="7" t="inlineStr">
        <is>
          <t>令和10年度（推計）</t>
        </is>
      </c>
      <c r="F1" s="7" t="inlineStr">
        <is>
          <t>令和11年度（推計）</t>
        </is>
      </c>
      <c r="G1" s="7" t="inlineStr">
        <is>
          <t>出典・備考</t>
        </is>
      </c>
    </row>
    <row r="2">
      <c r="A2" s="8" t="inlineStr">
        <is>
          <t>総人口</t>
        </is>
      </c>
      <c r="B2" s="10" t="n"/>
      <c r="C2" s="11" t="n">
        <v>8771</v>
      </c>
      <c r="D2" s="11" t="n">
        <v>8591</v>
      </c>
      <c r="E2" s="11" t="n">
        <v>8411</v>
      </c>
      <c r="F2" s="11" t="n">
        <v>8232</v>
      </c>
      <c r="G2" s="9" t="inlineStr">
        <is>
          <t>第10期将来推計用推計人口（各年10月1日）</t>
        </is>
      </c>
    </row>
    <row r="3">
      <c r="A3" s="8" t="inlineStr">
        <is>
          <t>第1号被保険者数（65歳以上）</t>
        </is>
      </c>
      <c r="B3" s="11" t="n">
        <v>3443</v>
      </c>
      <c r="C3" s="11" t="n">
        <v>3449</v>
      </c>
      <c r="D3" s="11" t="n">
        <v>3438</v>
      </c>
      <c r="E3" s="11" t="n">
        <v>3428</v>
      </c>
      <c r="F3" s="11" t="n">
        <v>3418</v>
      </c>
      <c r="G3" s="9" t="inlineStr">
        <is>
          <t>令和7年度は年報 様式1（年度末現在）。令和8年度以降は推計（10月1日）</t>
        </is>
      </c>
    </row>
    <row r="4">
      <c r="A4" s="8" t="inlineStr">
        <is>
          <t xml:space="preserve">　前期高齢者（65〜74歳）</t>
        </is>
      </c>
      <c r="B4" s="11" t="n">
        <v>1634</v>
      </c>
      <c r="C4" s="11" t="n">
        <v>1613</v>
      </c>
      <c r="D4" s="11" t="n">
        <v>1583</v>
      </c>
      <c r="E4" s="11" t="n">
        <v>1554</v>
      </c>
      <c r="F4" s="11" t="n">
        <v>1524</v>
      </c>
      <c r="G4" s="9" t="inlineStr">
        <is>
          <t>同上</t>
        </is>
      </c>
    </row>
    <row r="5">
      <c r="A5" s="8" t="inlineStr">
        <is>
          <t xml:space="preserve">　後期高齢者（75〜84歳）</t>
        </is>
      </c>
      <c r="B5" s="11" t="n">
        <v>1090</v>
      </c>
      <c r="C5" s="11" t="n">
        <v>1117</v>
      </c>
      <c r="D5" s="11" t="n">
        <v>1150</v>
      </c>
      <c r="E5" s="11" t="n">
        <v>1183</v>
      </c>
      <c r="F5" s="11" t="n">
        <v>1217</v>
      </c>
      <c r="G5" s="9" t="inlineStr">
        <is>
          <t>**計画期間中に1,150人→1,217人へ増える。第1号全体は横ばいでも構成が変わる**</t>
        </is>
      </c>
    </row>
    <row r="6">
      <c r="A6" s="8" t="inlineStr">
        <is>
          <t xml:space="preserve">　　85歳以上</t>
        </is>
      </c>
      <c r="B6" s="11" t="n">
        <v>719</v>
      </c>
      <c r="C6" s="11" t="n">
        <v>719</v>
      </c>
      <c r="D6" s="11" t="n">
        <v>705</v>
      </c>
      <c r="E6" s="11" t="n">
        <v>691</v>
      </c>
      <c r="F6" s="11" t="n">
        <v>677</v>
      </c>
      <c r="G6" s="9" t="inlineStr">
        <is>
          <t>**705人→677人へ減る。認定者の約2/3を占める層が縮む**</t>
        </is>
      </c>
    </row>
    <row r="7">
      <c r="A7" s="8" t="inlineStr">
        <is>
          <t>第2号被保険者数（40〜64歳）</t>
        </is>
      </c>
      <c r="B7" s="10" t="n"/>
      <c r="C7" s="11" t="n">
        <v>2295</v>
      </c>
      <c r="D7" s="11" t="n">
        <v>2251</v>
      </c>
      <c r="E7" s="11" t="n">
        <v>2207</v>
      </c>
      <c r="F7" s="11" t="n">
        <v>2163</v>
      </c>
      <c r="G7" s="9" t="inlineStr">
        <is>
          <t>推計人口の40〜64歳</t>
        </is>
      </c>
    </row>
    <row r="8">
      <c r="A8" s="8" t="inlineStr">
        <is>
          <t>高齢化率（％）</t>
        </is>
      </c>
      <c r="B8" s="12">
        <f>IF(B2=0,"",B3/B2*100)</f>
        <v/>
      </c>
      <c r="C8" s="12">
        <f>IF(C2=0,"",C3/C2*100)</f>
        <v/>
      </c>
      <c r="D8" s="12">
        <f>IF(D2=0,"",D3/D2*100)</f>
        <v/>
      </c>
      <c r="E8" s="12">
        <f>IF(E2=0,"",E3/E2*100)</f>
        <v/>
      </c>
      <c r="F8" s="12">
        <f>IF(F2=0,"",F3/F2*100)</f>
        <v/>
      </c>
      <c r="G8" s="9" t="inlineStr">
        <is>
          <t>第1号÷総人口（算式）</t>
        </is>
      </c>
    </row>
    <row r="10">
      <c r="A10" t="inlineStr">
        <is>
          <t>※ 第1号被保険者数は前期（65〜74歳）＋後期（75〜84歳）＋85歳以上と一致すること。</t>
        </is>
      </c>
    </row>
    <row r="11">
      <c r="A11" t="inlineStr">
        <is>
          <t>※ **令和7年度は年報の実績（年度末現在）、令和8年度以降は第10期将来推計用推計人口（各年10月1日時点）。基準日が異なるため、そのまま接続すると段差が出る。**計画本文では基準日をそろえて記載する</t>
        </is>
      </c>
    </row>
    <row r="12">
      <c r="A12" t="inlineStr">
        <is>
          <t>※ 障がい福祉計画の設定シートが用いている人口（令和9年8,287人）とは300人以上異なる。2計画で出典を統一すること</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17" customWidth="1" min="2" max="2"/>
    <col width="10" customWidth="1" min="3" max="3"/>
    <col width="14" customWidth="1" min="4" max="4"/>
    <col width="14" customWidth="1" min="5" max="5"/>
    <col width="14" customWidth="1" min="6" max="6"/>
    <col width="52" customWidth="1" min="7" max="7"/>
  </cols>
  <sheetData>
    <row r="1">
      <c r="A1" s="7" t="inlineStr">
        <is>
          <t>要介護度</t>
        </is>
      </c>
      <c r="B1" s="7" t="inlineStr">
        <is>
          <t>令和8年3月末（実績）</t>
        </is>
      </c>
      <c r="C1" s="7" t="inlineStr">
        <is>
          <t>構成比</t>
        </is>
      </c>
      <c r="D1" s="7" t="inlineStr">
        <is>
          <t>令和9年度</t>
        </is>
      </c>
      <c r="E1" s="7" t="inlineStr">
        <is>
          <t>令和10年度</t>
        </is>
      </c>
      <c r="F1" s="7" t="inlineStr">
        <is>
          <t>令和11年度</t>
        </is>
      </c>
      <c r="G1" s="7" t="inlineStr">
        <is>
          <t>備考</t>
        </is>
      </c>
    </row>
    <row r="2">
      <c r="A2" s="8" t="inlineStr">
        <is>
          <t>要支援1</t>
        </is>
      </c>
      <c r="B2" s="13" t="n">
        <v>70</v>
      </c>
      <c r="C2" s="14">
        <f>IF($B$9=0,"",B2/$B$9)</f>
        <v/>
      </c>
      <c r="D2" s="15" t="n"/>
      <c r="E2" s="15" t="n"/>
      <c r="F2" s="15" t="n"/>
      <c r="G2" s="9" t="inlineStr">
        <is>
          <t>令和8年3月末の実績（年報 様式1の5）</t>
        </is>
      </c>
    </row>
    <row r="3">
      <c r="A3" s="8" t="inlineStr">
        <is>
          <t>要支援2</t>
        </is>
      </c>
      <c r="B3" s="13" t="n">
        <v>129</v>
      </c>
      <c r="C3" s="14">
        <f>IF($B$9=0,"",B3/$B$9)</f>
        <v/>
      </c>
      <c r="D3" s="15" t="n"/>
      <c r="E3" s="15" t="n"/>
      <c r="F3" s="15" t="n"/>
      <c r="G3" s="9" t="inlineStr">
        <is>
          <t>令和8年3月末の実績（年報 様式1の5）</t>
        </is>
      </c>
    </row>
    <row r="4">
      <c r="A4" s="8" t="inlineStr">
        <is>
          <t>要介護1</t>
        </is>
      </c>
      <c r="B4" s="13" t="n">
        <v>143</v>
      </c>
      <c r="C4" s="14">
        <f>IF($B$9=0,"",B4/$B$9)</f>
        <v/>
      </c>
      <c r="D4" s="15" t="n"/>
      <c r="E4" s="15" t="n"/>
      <c r="F4" s="15" t="n"/>
      <c r="G4" s="9" t="inlineStr">
        <is>
          <t>令和8年3月末の実績（年報 様式1の5）</t>
        </is>
      </c>
    </row>
    <row r="5">
      <c r="A5" s="8" t="inlineStr">
        <is>
          <t>要介護2</t>
        </is>
      </c>
      <c r="B5" s="13" t="n">
        <v>125</v>
      </c>
      <c r="C5" s="14">
        <f>IF($B$9=0,"",B5/$B$9)</f>
        <v/>
      </c>
      <c r="D5" s="15" t="n"/>
      <c r="E5" s="15" t="n"/>
      <c r="F5" s="15" t="n"/>
      <c r="G5" s="9" t="inlineStr">
        <is>
          <t>令和8年3月末の実績（年報 様式1の5）</t>
        </is>
      </c>
    </row>
    <row r="6">
      <c r="A6" s="8" t="inlineStr">
        <is>
          <t>要介護3</t>
        </is>
      </c>
      <c r="B6" s="13" t="n">
        <v>145</v>
      </c>
      <c r="C6" s="14">
        <f>IF($B$9=0,"",B6/$B$9)</f>
        <v/>
      </c>
      <c r="D6" s="15" t="n"/>
      <c r="E6" s="15" t="n"/>
      <c r="F6" s="15" t="n"/>
      <c r="G6" s="9" t="inlineStr">
        <is>
          <t>令和8年3月末の実績（年報 様式1の5）</t>
        </is>
      </c>
    </row>
    <row r="7">
      <c r="A7" s="8" t="inlineStr">
        <is>
          <t>要介護4</t>
        </is>
      </c>
      <c r="B7" s="13" t="n">
        <v>108</v>
      </c>
      <c r="C7" s="14">
        <f>IF($B$9=0,"",B7/$B$9)</f>
        <v/>
      </c>
      <c r="D7" s="15" t="n"/>
      <c r="E7" s="15" t="n"/>
      <c r="F7" s="15" t="n"/>
      <c r="G7" s="9" t="inlineStr">
        <is>
          <t>令和8年3月末の実績（年報 様式1の5）</t>
        </is>
      </c>
    </row>
    <row r="8">
      <c r="A8" s="8" t="inlineStr">
        <is>
          <t>要介護5</t>
        </is>
      </c>
      <c r="B8" s="13" t="n">
        <v>72</v>
      </c>
      <c r="C8" s="14">
        <f>IF($B$9=0,"",B8/$B$9)</f>
        <v/>
      </c>
      <c r="D8" s="15" t="n"/>
      <c r="E8" s="15" t="n"/>
      <c r="F8" s="15" t="n"/>
      <c r="G8" s="9" t="inlineStr">
        <is>
          <t>令和8年3月末の実績（年報 様式1の5）</t>
        </is>
      </c>
    </row>
    <row r="9">
      <c r="A9" s="8" t="inlineStr">
        <is>
          <t>合計</t>
        </is>
      </c>
      <c r="B9" s="16">
        <f>SUM(B2:B8)</f>
        <v/>
      </c>
      <c r="C9" s="14">
        <f>IF($B$9=0,"",SUM(C2:C8))</f>
        <v/>
      </c>
      <c r="D9" s="16">
        <f>SUM(D2:D8)</f>
        <v/>
      </c>
      <c r="E9" s="16">
        <f>SUM(E2:E8)</f>
        <v/>
      </c>
      <c r="F9" s="16">
        <f>SUM(F2:F8)</f>
        <v/>
      </c>
      <c r="G9" s="9" t="inlineStr"/>
    </row>
    <row r="10">
      <c r="A10" s="17" t="n"/>
      <c r="B10" s="17" t="n"/>
      <c r="C10" s="17" t="n"/>
      <c r="D10" s="17" t="n"/>
      <c r="E10" s="17" t="n"/>
      <c r="F10" s="17" t="n"/>
      <c r="G10" s="18" t="n"/>
    </row>
    <row r="11">
      <c r="A11" s="19" t="inlineStr">
        <is>
          <t>【推計の前提】</t>
        </is>
      </c>
      <c r="B11" s="17" t="n"/>
      <c r="C11" s="17" t="n"/>
      <c r="D11" s="17" t="n"/>
      <c r="E11" s="17" t="n"/>
      <c r="F11" s="17" t="n"/>
      <c r="G11" s="18" t="n"/>
    </row>
    <row r="12">
      <c r="A12" s="8" t="inlineStr">
        <is>
          <t>認定率の設定方法</t>
        </is>
      </c>
      <c r="B12" s="8" t="inlineStr"/>
      <c r="C12" s="8" t="inlineStr"/>
      <c r="D12" s="8" t="inlineStr"/>
      <c r="E12" s="8" t="inlineStr"/>
      <c r="F12" s="8" t="inlineStr"/>
      <c r="G12" s="9" t="inlineStr">
        <is>
          <t>見える化システムの認定率（第1号被保険者に対する割合）を年齢階層別に設定し、02の被保険者数に乗じる</t>
        </is>
      </c>
    </row>
    <row r="13">
      <c r="A13" s="8" t="inlineStr">
        <is>
          <t>65〜74歳の認定率（％）</t>
        </is>
      </c>
      <c r="B13" s="13" t="n">
        <v>3.92</v>
      </c>
      <c r="C13" s="8" t="inlineStr"/>
      <c r="D13" s="15" t="n"/>
      <c r="E13" s="15" t="n"/>
      <c r="F13" s="15" t="n"/>
      <c r="G13" s="9" t="inlineStr">
        <is>
          <t>令和7年度実績（認定64人÷人口1,634人）</t>
        </is>
      </c>
    </row>
    <row r="14">
      <c r="A14" s="8" t="inlineStr">
        <is>
          <t>75〜84歳の認定率（％）</t>
        </is>
      </c>
      <c r="B14" s="13" t="n">
        <v>18.72</v>
      </c>
      <c r="C14" s="8" t="inlineStr"/>
      <c r="D14" s="15" t="n"/>
      <c r="E14" s="15" t="n"/>
      <c r="F14" s="15" t="n"/>
      <c r="G14" s="9" t="inlineStr">
        <is>
          <t>令和7年度実績（認定204人÷人口1,090人）</t>
        </is>
      </c>
    </row>
    <row r="15">
      <c r="A15" s="8" t="inlineStr">
        <is>
          <t>85歳以上の認定率（％）</t>
        </is>
      </c>
      <c r="B15" s="13" t="n">
        <v>71.63</v>
      </c>
      <c r="C15" s="8" t="inlineStr"/>
      <c r="D15" s="15" t="n"/>
      <c r="E15" s="15" t="n"/>
      <c r="F15" s="15" t="n"/>
      <c r="G15" s="9" t="inlineStr">
        <is>
          <t>令和7年度実績（認定515人÷人口719人）。**令和6年度は82.8％で、11.2ポイント下がっている**</t>
        </is>
      </c>
    </row>
    <row r="16">
      <c r="A16" s="8" t="inlineStr">
        <is>
          <t>第2号被保険者の認定者数</t>
        </is>
      </c>
      <c r="B16" s="13" t="n">
        <v>9</v>
      </c>
      <c r="C16" s="8" t="inlineStr"/>
      <c r="D16" s="15" t="n"/>
      <c r="E16" s="15" t="n"/>
      <c r="F16" s="15" t="n"/>
      <c r="G16" s="9" t="inlineStr">
        <is>
          <t>令和8年3月末の実績9人（年報 様式1の5）</t>
        </is>
      </c>
    </row>
    <row r="18">
      <c r="A18" t="inlineStr">
        <is>
          <t>※ 認定者数の推計は、年齢階層別の認定率に被保険者数を乗じる方法（自然体推計）を基本とします。</t>
        </is>
      </c>
    </row>
    <row r="19">
      <c r="A19" t="inlineStr">
        <is>
          <t>※ **令和8年3月末の認定者数792人は、介護保険事業状況報告（年報）様式1の5で裏付けられました。**第1号783人＋第2号9人。見える化システムの値と一致します。</t>
        </is>
      </c>
    </row>
    <row r="20">
      <c r="A20" t="inlineStr">
        <is>
          <t>※ ただし国保連月報によると、減少は令和7年9月審査分の1か月に集中しており（961人→862人）、**同じ月に給付件数は減っていません（1,303件→1,365件）。**計上方法の変更の可能性があり、町への確認が続いています。</t>
        </is>
      </c>
    </row>
    <row r="21">
      <c r="A21" t="inlineStr">
        <is>
          <t>※ 令和7年度は認定者が▲16.1％である一方、受給者延は▲4.6％、給付費は▲7.4％。**認定者数ベースで給付費を推計すると過小になります。**見込量は受給者数と給付費の実績を基礎に置いてください。</t>
        </is>
      </c>
    </row>
    <row r="22">
      <c r="A22" t="inlineStr">
        <is>
          <t>※ 介護予防・日常生活支援総合事業の対象者（事業対象者）は、認定者とは別に07で扱います。</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6" customWidth="1" min="2" max="2"/>
    <col width="14" customWidth="1" min="3" max="3"/>
    <col width="14" customWidth="1" min="4" max="4"/>
    <col width="14" customWidth="1" min="5" max="5"/>
    <col width="60" customWidth="1" min="6" max="6"/>
  </cols>
  <sheetData>
    <row r="1">
      <c r="A1" s="7" t="inlineStr">
        <is>
          <t>区分</t>
        </is>
      </c>
      <c r="B1" s="7" t="inlineStr">
        <is>
          <t>令和7年度（実績）</t>
        </is>
      </c>
      <c r="C1" s="7" t="inlineStr">
        <is>
          <t>令和9年度</t>
        </is>
      </c>
      <c r="D1" s="7" t="inlineStr">
        <is>
          <t>令和10年度</t>
        </is>
      </c>
      <c r="E1" s="7" t="inlineStr">
        <is>
          <t>令和11年度</t>
        </is>
      </c>
      <c r="F1" s="7" t="inlineStr">
        <is>
          <t>設定の考え方</t>
        </is>
      </c>
    </row>
    <row r="2">
      <c r="A2" s="9" t="inlineStr">
        <is>
          <t>認定者に対する受給者の比率（全体）</t>
        </is>
      </c>
      <c r="B2" s="20" t="n"/>
      <c r="C2" s="20" t="n"/>
      <c r="D2" s="20" t="n"/>
      <c r="E2" s="20" t="n"/>
      <c r="F2" s="9" t="inlineStr">
        <is>
          <t>見える化 D17系。**本町は認定率が高い一方で受給率が低く、在宅の認定者の42.1％が未利用（令和7年度調査）**</t>
        </is>
      </c>
    </row>
    <row r="3">
      <c r="A3" s="9" t="inlineStr">
        <is>
          <t xml:space="preserve">　居宅サービス受給率</t>
        </is>
      </c>
      <c r="B3" s="20" t="n"/>
      <c r="C3" s="20" t="n"/>
      <c r="D3" s="20" t="n"/>
      <c r="E3" s="20" t="n"/>
      <c r="F3" s="9" t="inlineStr">
        <is>
          <t>認定者のうち居宅サービスを利用する割合</t>
        </is>
      </c>
    </row>
    <row r="4">
      <c r="A4" s="9" t="inlineStr">
        <is>
          <t xml:space="preserve">　地域密着型サービス受給率</t>
        </is>
      </c>
      <c r="B4" s="20" t="n"/>
      <c r="C4" s="20" t="n"/>
      <c r="D4" s="20" t="n"/>
      <c r="E4" s="20" t="n"/>
      <c r="F4" s="9" t="inlineStr">
        <is>
          <t>同上</t>
        </is>
      </c>
    </row>
    <row r="5">
      <c r="A5" s="9" t="inlineStr">
        <is>
          <t xml:space="preserve">　施設サービス受給率</t>
        </is>
      </c>
      <c r="B5" s="20" t="n"/>
      <c r="C5" s="20" t="n"/>
      <c r="D5" s="20" t="n"/>
      <c r="E5" s="20" t="n"/>
      <c r="F5" s="9" t="inlineStr">
        <is>
          <t>同上</t>
        </is>
      </c>
    </row>
    <row r="6">
      <c r="A6" s="9" t="inlineStr">
        <is>
          <t xml:space="preserve">　サービス未利用の割合</t>
        </is>
      </c>
      <c r="B6" s="20" t="n"/>
      <c r="C6" s="20" t="n"/>
      <c r="D6" s="20" t="n"/>
      <c r="E6" s="20" t="n"/>
      <c r="F6" s="9" t="inlineStr">
        <is>
          <t>**令和7年度調査で在宅の認定者の42.1％。利用に移行した場合の給付費増がリスク**</t>
        </is>
      </c>
    </row>
    <row r="8">
      <c r="A8" t="inlineStr">
        <is>
          <t>※ 未利用者が利用に移行すると給付費が急増します。**未利用の理由は需要側が92.9％（状態ではない46.8％、本人希望なし29.2％、家族が介護16.9％）、供給制約は0.6％**であり、供給を増やしても利用は増えない構造です。</t>
        </is>
      </c>
    </row>
    <row r="9">
      <c r="A9" t="inlineStr">
        <is>
          <t>※ したがって受給率は実績の延長を基本とし、施策により押し上げる分はレスパイト・利用意向への働きかけの効果として別に見込みます。</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3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6" customWidth="1" min="3" max="3"/>
    <col width="12" customWidth="1" min="4" max="4"/>
    <col width="15" customWidth="1" min="5" max="5"/>
    <col width="12" customWidth="1" min="6" max="6"/>
    <col width="11" customWidth="1" min="7" max="7"/>
    <col width="9" customWidth="1" min="8" max="8"/>
    <col width="9" customWidth="1" min="9" max="9"/>
    <col width="13" customWidth="1" min="10" max="10"/>
    <col width="11" customWidth="1" min="11" max="11"/>
    <col width="9" customWidth="1" min="12" max="12"/>
    <col width="9" customWidth="1" min="13" max="13"/>
    <col width="13" customWidth="1" min="14" max="14"/>
    <col width="11" customWidth="1" min="15" max="15"/>
    <col width="9" customWidth="1" min="16" max="16"/>
    <col width="9" customWidth="1" min="17" max="17"/>
    <col width="13" customWidth="1" min="18" max="18"/>
    <col width="34" customWidth="1" min="19" max="19"/>
  </cols>
  <sheetData>
    <row r="1">
      <c r="A1" s="7" t="inlineStr">
        <is>
          <t>区分</t>
        </is>
      </c>
      <c r="B1" s="7" t="inlineStr">
        <is>
          <t>サービス</t>
        </is>
      </c>
      <c r="C1" s="7" t="inlineStr">
        <is>
          <t>単位</t>
        </is>
      </c>
      <c r="D1" s="7" t="inlineStr">
        <is>
          <t>令和7年度 件数</t>
        </is>
      </c>
      <c r="E1" s="7" t="inlineStr">
        <is>
          <t>令和7年度 給付費(千円)</t>
        </is>
      </c>
      <c r="F1" s="7" t="inlineStr">
        <is>
          <t>単価(円/件)</t>
        </is>
      </c>
      <c r="G1" s="7" t="inlineStr">
        <is>
          <t>令和9年度 件数</t>
        </is>
      </c>
      <c r="H1" s="7" t="inlineStr">
        <is>
          <t>令和9年度 人/月</t>
        </is>
      </c>
      <c r="I1" s="7" t="inlineStr">
        <is>
          <t>令和9年度 量</t>
        </is>
      </c>
      <c r="J1" s="7" t="inlineStr">
        <is>
          <t>令和9年度 給付費(千円)</t>
        </is>
      </c>
      <c r="K1" s="7" t="inlineStr">
        <is>
          <t>令和10年度 件数</t>
        </is>
      </c>
      <c r="L1" s="7" t="inlineStr">
        <is>
          <t>令和10年度 人/月</t>
        </is>
      </c>
      <c r="M1" s="7" t="inlineStr">
        <is>
          <t>令和10年度 量</t>
        </is>
      </c>
      <c r="N1" s="7" t="inlineStr">
        <is>
          <t>令和10年度 給付費(千円)</t>
        </is>
      </c>
      <c r="O1" s="7" t="inlineStr">
        <is>
          <t>令和11年度 件数</t>
        </is>
      </c>
      <c r="P1" s="7" t="inlineStr">
        <is>
          <t>令和11年度 人/月</t>
        </is>
      </c>
      <c r="Q1" s="7" t="inlineStr">
        <is>
          <t>令和11年度 量</t>
        </is>
      </c>
      <c r="R1" s="7" t="inlineStr">
        <is>
          <t>令和11年度 給付費(千円)</t>
        </is>
      </c>
      <c r="S1" s="7" t="inlineStr">
        <is>
          <t>備考</t>
        </is>
      </c>
    </row>
    <row r="2">
      <c r="A2" s="8" t="inlineStr">
        <is>
          <t>居宅</t>
        </is>
      </c>
      <c r="B2" s="8" t="inlineStr">
        <is>
          <t>訪問介護</t>
        </is>
      </c>
      <c r="C2" s="8" t="inlineStr">
        <is>
          <t>回</t>
        </is>
      </c>
      <c r="D2" s="21" t="n">
        <v>628</v>
      </c>
      <c r="E2" s="22" t="n">
        <v>29747.388</v>
      </c>
      <c r="F2" s="22" t="n">
        <v>47368.45222929936</v>
      </c>
      <c r="G2" s="22" t="n">
        <v>799.9099532619864</v>
      </c>
      <c r="H2" s="21" t="n">
        <v>66.6591627718322</v>
      </c>
      <c r="I2" s="10" t="n"/>
      <c r="J2" s="22" t="n">
        <v>32659.96007769278</v>
      </c>
      <c r="K2" s="22" t="n">
        <v>797.5832809139295</v>
      </c>
      <c r="L2" s="21" t="n">
        <v>66.46527340949412</v>
      </c>
      <c r="M2" s="10" t="n"/>
      <c r="N2" s="22" t="n">
        <v>32564.96310248135</v>
      </c>
      <c r="O2" s="22" t="n">
        <v>795.2566085658725</v>
      </c>
      <c r="P2" s="21" t="n">
        <v>66.27138404715605</v>
      </c>
      <c r="Q2" s="10" t="n"/>
      <c r="R2" s="22" t="n">
        <v>32469.96612726991</v>
      </c>
      <c r="S2" s="8" t="inlineStr"/>
    </row>
    <row r="3">
      <c r="A3" s="8" t="inlineStr">
        <is>
          <t>居宅</t>
        </is>
      </c>
      <c r="B3" s="8" t="inlineStr">
        <is>
          <t>訪問入浴介護</t>
        </is>
      </c>
      <c r="C3" s="8" t="inlineStr">
        <is>
          <t>回</t>
        </is>
      </c>
      <c r="D3" s="21" t="n">
        <v>68</v>
      </c>
      <c r="E3" s="22" t="n">
        <v>3170.413</v>
      </c>
      <c r="F3" s="22" t="n">
        <v>46623.72058823529</v>
      </c>
      <c r="G3" s="22" t="n">
        <v>78.40815559171121</v>
      </c>
      <c r="H3" s="21" t="n">
        <v>6.534012965975934</v>
      </c>
      <c r="I3" s="10" t="n"/>
      <c r="J3" s="22" t="n">
        <v>3624.063341785528</v>
      </c>
      <c r="K3" s="22" t="n">
        <v>78.18009231192147</v>
      </c>
      <c r="L3" s="21" t="n">
        <v>6.515007692660123</v>
      </c>
      <c r="M3" s="10" t="n"/>
      <c r="N3" s="22" t="n">
        <v>3613.522145328909</v>
      </c>
      <c r="O3" s="22" t="n">
        <v>77.95202903213173</v>
      </c>
      <c r="P3" s="21" t="n">
        <v>6.496002419344311</v>
      </c>
      <c r="Q3" s="10" t="n"/>
      <c r="R3" s="22" t="n">
        <v>3602.98094887229</v>
      </c>
      <c r="S3" s="8" t="inlineStr"/>
    </row>
    <row r="4">
      <c r="A4" s="8" t="inlineStr">
        <is>
          <t>居宅</t>
        </is>
      </c>
      <c r="B4" s="8" t="inlineStr">
        <is>
          <t>訪問看護</t>
        </is>
      </c>
      <c r="C4" s="8" t="inlineStr">
        <is>
          <t>回</t>
        </is>
      </c>
      <c r="D4" s="21" t="n">
        <v>519</v>
      </c>
      <c r="E4" s="22" t="n">
        <v>20186.841</v>
      </c>
      <c r="F4" s="22" t="n">
        <v>38895.64739884393</v>
      </c>
      <c r="G4" s="22" t="n">
        <v>476.5552356944087</v>
      </c>
      <c r="H4" s="21" t="n">
        <v>39.71293630786739</v>
      </c>
      <c r="I4" s="10" t="n"/>
      <c r="J4" s="22" t="n">
        <v>19409.67606937054</v>
      </c>
      <c r="K4" s="22" t="n">
        <v>475.1690948110625</v>
      </c>
      <c r="L4" s="21" t="n">
        <v>39.59742456758854</v>
      </c>
      <c r="M4" s="10" t="n"/>
      <c r="N4" s="22" t="n">
        <v>19353.21976899424</v>
      </c>
      <c r="O4" s="22" t="n">
        <v>473.7829539277163</v>
      </c>
      <c r="P4" s="21" t="n">
        <v>39.48191282730969</v>
      </c>
      <c r="Q4" s="10" t="n"/>
      <c r="R4" s="22" t="n">
        <v>19296.76346861795</v>
      </c>
      <c r="S4" s="8" t="inlineStr"/>
    </row>
    <row r="5">
      <c r="A5" s="8" t="inlineStr">
        <is>
          <t>居宅</t>
        </is>
      </c>
      <c r="B5" s="8" t="inlineStr">
        <is>
          <t>訪問リハビリテーション</t>
        </is>
      </c>
      <c r="C5" s="8" t="inlineStr">
        <is>
          <t>回</t>
        </is>
      </c>
      <c r="D5" s="21" t="n">
        <v>0</v>
      </c>
      <c r="E5" s="22" t="n">
        <v>0</v>
      </c>
      <c r="F5" s="22" t="n">
        <v>0</v>
      </c>
      <c r="G5" s="22" t="n">
        <v>0</v>
      </c>
      <c r="H5" s="21" t="n">
        <v>0</v>
      </c>
      <c r="I5" s="10" t="n"/>
      <c r="J5" s="22" t="n">
        <v>0</v>
      </c>
      <c r="K5" s="22" t="n">
        <v>0</v>
      </c>
      <c r="L5" s="21" t="n">
        <v>0</v>
      </c>
      <c r="M5" s="10" t="n"/>
      <c r="N5" s="22" t="n">
        <v>0</v>
      </c>
      <c r="O5" s="22" t="n">
        <v>0</v>
      </c>
      <c r="P5" s="21" t="n">
        <v>0</v>
      </c>
      <c r="Q5" s="10" t="n"/>
      <c r="R5" s="22" t="n">
        <v>0</v>
      </c>
      <c r="S5" s="8" t="inlineStr">
        <is>
          <t>5年間を通じて実績なし。町内・近隣に事業所がないか確認します</t>
        </is>
      </c>
    </row>
    <row r="6">
      <c r="A6" s="8" t="inlineStr">
        <is>
          <t>居宅</t>
        </is>
      </c>
      <c r="B6" s="8" t="inlineStr">
        <is>
          <t>居宅療養管理指導</t>
        </is>
      </c>
      <c r="C6" s="8" t="inlineStr">
        <is>
          <t>人</t>
        </is>
      </c>
      <c r="D6" s="21" t="n">
        <v>195</v>
      </c>
      <c r="E6" s="22" t="n">
        <v>866.4829999999999</v>
      </c>
      <c r="F6" s="22" t="n">
        <v>4443.502564102564</v>
      </c>
      <c r="G6" s="22" t="n">
        <v>204.9977899452696</v>
      </c>
      <c r="H6" s="21" t="n">
        <v>17.0831491621058</v>
      </c>
      <c r="I6" s="10" t="n"/>
      <c r="J6" s="22" t="n">
        <v>923.3720604854846</v>
      </c>
      <c r="K6" s="22" t="n">
        <v>204.4015194684072</v>
      </c>
      <c r="L6" s="21" t="n">
        <v>17.0334599557006</v>
      </c>
      <c r="M6" s="10" t="n"/>
      <c r="N6" s="22" t="n">
        <v>920.6862778779062</v>
      </c>
      <c r="O6" s="22" t="n">
        <v>203.8052489915449</v>
      </c>
      <c r="P6" s="21" t="n">
        <v>16.98377074929541</v>
      </c>
      <c r="Q6" s="10" t="n"/>
      <c r="R6" s="22" t="n">
        <v>918.0004952703275</v>
      </c>
      <c r="S6" s="8" t="inlineStr"/>
    </row>
    <row r="7">
      <c r="A7" s="8" t="inlineStr">
        <is>
          <t>居宅</t>
        </is>
      </c>
      <c r="B7" s="8" t="inlineStr">
        <is>
          <t>通所介護</t>
        </is>
      </c>
      <c r="C7" s="8" t="inlineStr">
        <is>
          <t>回</t>
        </is>
      </c>
      <c r="D7" s="21" t="n">
        <v>2053</v>
      </c>
      <c r="E7" s="22" t="n">
        <v>152490.576</v>
      </c>
      <c r="F7" s="22" t="n">
        <v>74276.94885533366</v>
      </c>
      <c r="G7" s="22" t="n">
        <v>2129.865152154024</v>
      </c>
      <c r="H7" s="21" t="n">
        <v>177.488762679502</v>
      </c>
      <c r="I7" s="10" t="n"/>
      <c r="J7" s="22" t="n">
        <v>156967.3441710728</v>
      </c>
      <c r="K7" s="22" t="n">
        <v>2123.67008190343</v>
      </c>
      <c r="L7" s="21" t="n">
        <v>176.9725068252859</v>
      </c>
      <c r="M7" s="10" t="n"/>
      <c r="N7" s="22" t="n">
        <v>156510.7783067008</v>
      </c>
      <c r="O7" s="22" t="n">
        <v>2117.475011652837</v>
      </c>
      <c r="P7" s="21" t="n">
        <v>176.4562509710697</v>
      </c>
      <c r="Q7" s="10" t="n"/>
      <c r="R7" s="22" t="n">
        <v>156054.2124423289</v>
      </c>
      <c r="S7" s="8" t="inlineStr"/>
    </row>
    <row r="8">
      <c r="A8" s="8" t="inlineStr">
        <is>
          <t>居宅</t>
        </is>
      </c>
      <c r="B8" s="8" t="inlineStr">
        <is>
          <t>通所リハビリテーション</t>
        </is>
      </c>
      <c r="C8" s="8" t="inlineStr">
        <is>
          <t>回</t>
        </is>
      </c>
      <c r="D8" s="21" t="n">
        <v>311</v>
      </c>
      <c r="E8" s="22" t="n">
        <v>15575.466</v>
      </c>
      <c r="F8" s="22" t="n">
        <v>50081.88424437299</v>
      </c>
      <c r="G8" s="22" t="n">
        <v>298.3984557638575</v>
      </c>
      <c r="H8" s="21" t="n">
        <v>24.86653798032146</v>
      </c>
      <c r="I8" s="10" t="n"/>
      <c r="J8" s="22" t="n">
        <v>14217.82052785544</v>
      </c>
      <c r="K8" s="22" t="n">
        <v>297.5305137750155</v>
      </c>
      <c r="L8" s="21" t="n">
        <v>24.7942094812513</v>
      </c>
      <c r="M8" s="10" t="n"/>
      <c r="N8" s="22" t="n">
        <v>14176.46561067146</v>
      </c>
      <c r="O8" s="22" t="n">
        <v>296.6625717861736</v>
      </c>
      <c r="P8" s="21" t="n">
        <v>24.72188098218113</v>
      </c>
      <c r="Q8" s="10" t="n"/>
      <c r="R8" s="22" t="n">
        <v>14135.11069348747</v>
      </c>
      <c r="S8" s="8" t="inlineStr"/>
    </row>
    <row r="9">
      <c r="A9" s="8" t="inlineStr">
        <is>
          <t>居宅</t>
        </is>
      </c>
      <c r="B9" s="8" t="inlineStr">
        <is>
          <t>短期入所生活介護</t>
        </is>
      </c>
      <c r="C9" s="8" t="inlineStr">
        <is>
          <t>日</t>
        </is>
      </c>
      <c r="D9" s="21" t="n">
        <v>357</v>
      </c>
      <c r="E9" s="22" t="n">
        <v>27393.691</v>
      </c>
      <c r="F9" s="22" t="n">
        <v>76733.02801120449</v>
      </c>
      <c r="G9" s="22" t="n">
        <v>369.1558429085881</v>
      </c>
      <c r="H9" s="21" t="n">
        <v>30.762986909049</v>
      </c>
      <c r="I9" s="10" t="n"/>
      <c r="J9" s="22" t="n">
        <v>28650.35796101836</v>
      </c>
      <c r="K9" s="22" t="n">
        <v>368.0820911840139</v>
      </c>
      <c r="L9" s="21" t="n">
        <v>30.67350759866783</v>
      </c>
      <c r="M9" s="10" t="n"/>
      <c r="N9" s="22" t="n">
        <v>28567.02358649532</v>
      </c>
      <c r="O9" s="22" t="n">
        <v>367.0083394594398</v>
      </c>
      <c r="P9" s="21" t="n">
        <v>30.58402828828665</v>
      </c>
      <c r="Q9" s="10" t="n"/>
      <c r="R9" s="22" t="n">
        <v>28483.68921197229</v>
      </c>
      <c r="S9" s="8" t="inlineStr"/>
    </row>
    <row r="10">
      <c r="A10" s="8" t="inlineStr">
        <is>
          <t>居宅</t>
        </is>
      </c>
      <c r="B10" s="8" t="inlineStr">
        <is>
          <t>短期入所療養介護</t>
        </is>
      </c>
      <c r="C10" s="8" t="inlineStr">
        <is>
          <t>日</t>
        </is>
      </c>
      <c r="D10" s="21" t="n">
        <v>27</v>
      </c>
      <c r="E10" s="22" t="n">
        <v>2327.634</v>
      </c>
      <c r="F10" s="22" t="n">
        <v>86208.66666666667</v>
      </c>
      <c r="G10" s="22" t="n">
        <v>24.73499756660327</v>
      </c>
      <c r="H10" s="21" t="n">
        <v>2.061249797216939</v>
      </c>
      <c r="I10" s="10" t="n"/>
      <c r="J10" s="22" t="n">
        <v>1857.444723209863</v>
      </c>
      <c r="K10" s="22" t="n">
        <v>24.66305167490286</v>
      </c>
      <c r="L10" s="21" t="n">
        <v>2.055254306241905</v>
      </c>
      <c r="M10" s="10" t="n"/>
      <c r="N10" s="22" t="n">
        <v>1852.042033497211</v>
      </c>
      <c r="O10" s="22" t="n">
        <v>24.59110578320244</v>
      </c>
      <c r="P10" s="21" t="n">
        <v>2.04925881526687</v>
      </c>
      <c r="Q10" s="10" t="n"/>
      <c r="R10" s="22" t="n">
        <v>1846.639343784559</v>
      </c>
      <c r="S10" s="8" t="inlineStr"/>
    </row>
    <row r="11">
      <c r="A11" s="8" t="inlineStr">
        <is>
          <t>居宅</t>
        </is>
      </c>
      <c r="B11" s="8" t="inlineStr">
        <is>
          <t>福祉用具貸与</t>
        </is>
      </c>
      <c r="C11" s="8" t="inlineStr">
        <is>
          <t>人</t>
        </is>
      </c>
      <c r="D11" s="21" t="n">
        <v>2387</v>
      </c>
      <c r="E11" s="22" t="n">
        <v>31304.782</v>
      </c>
      <c r="F11" s="22" t="n">
        <v>13114.69710934227</v>
      </c>
      <c r="G11" s="22" t="n">
        <v>2371.286446923971</v>
      </c>
      <c r="H11" s="21" t="n">
        <v>197.6072039103309</v>
      </c>
      <c r="I11" s="10" t="n"/>
      <c r="J11" s="22" t="n">
        <v>30291.40776992803</v>
      </c>
      <c r="K11" s="22" t="n">
        <v>2364.389162319771</v>
      </c>
      <c r="L11" s="21" t="n">
        <v>197.0324301933142</v>
      </c>
      <c r="M11" s="10" t="n"/>
      <c r="N11" s="22" t="n">
        <v>30203.30012661817</v>
      </c>
      <c r="O11" s="22" t="n">
        <v>2357.491877715571</v>
      </c>
      <c r="P11" s="21" t="n">
        <v>196.4576564762976</v>
      </c>
      <c r="Q11" s="10" t="n"/>
      <c r="R11" s="22" t="n">
        <v>30115.19248330832</v>
      </c>
      <c r="S11" s="8" t="inlineStr"/>
    </row>
    <row r="12">
      <c r="A12" s="8" t="inlineStr">
        <is>
          <t>居宅</t>
        </is>
      </c>
      <c r="B12" s="8" t="inlineStr">
        <is>
          <t>特定福祉用具販売</t>
        </is>
      </c>
      <c r="C12" s="8" t="inlineStr">
        <is>
          <t>人</t>
        </is>
      </c>
      <c r="D12" s="21" t="n">
        <v>45</v>
      </c>
      <c r="E12" s="22" t="n">
        <v>1722.55</v>
      </c>
      <c r="F12" s="22" t="n">
        <v>38278.88888888889</v>
      </c>
      <c r="G12" s="22" t="n">
        <v>41.16815523915346</v>
      </c>
      <c r="H12" s="21" t="n">
        <v>3.430679603262789</v>
      </c>
      <c r="I12" s="10" t="n"/>
      <c r="J12" s="22" t="n">
        <v>1522.346620635321</v>
      </c>
      <c r="K12" s="22" t="n">
        <v>41.04841075038339</v>
      </c>
      <c r="L12" s="21" t="n">
        <v>3.420700895865282</v>
      </c>
      <c r="M12" s="10" t="n"/>
      <c r="N12" s="22" t="n">
        <v>1517.918619993566</v>
      </c>
      <c r="O12" s="22" t="n">
        <v>40.92866626161331</v>
      </c>
      <c r="P12" s="21" t="n">
        <v>3.410722188467776</v>
      </c>
      <c r="Q12" s="10" t="n"/>
      <c r="R12" s="22" t="n">
        <v>1513.490619351811</v>
      </c>
      <c r="S12" s="8" t="inlineStr"/>
    </row>
    <row r="13">
      <c r="A13" s="8" t="inlineStr">
        <is>
          <t>居宅</t>
        </is>
      </c>
      <c r="B13" s="8" t="inlineStr">
        <is>
          <t>住宅改修</t>
        </is>
      </c>
      <c r="C13" s="8" t="inlineStr">
        <is>
          <t>人</t>
        </is>
      </c>
      <c r="D13" s="21" t="n">
        <v>22</v>
      </c>
      <c r="E13" s="22" t="n">
        <v>1812.993</v>
      </c>
      <c r="F13" s="22" t="n">
        <v>82408.77272727272</v>
      </c>
      <c r="G13" s="22" t="n">
        <v>25.74783890007308</v>
      </c>
      <c r="H13" s="21" t="n">
        <v>2.145653241672757</v>
      </c>
      <c r="I13" s="10" t="n"/>
      <c r="J13" s="22" t="n">
        <v>2009.602378842412</v>
      </c>
      <c r="K13" s="22" t="n">
        <v>25.67294698936897</v>
      </c>
      <c r="L13" s="21" t="n">
        <v>2.139412249114081</v>
      </c>
      <c r="M13" s="10" t="n"/>
      <c r="N13" s="22" t="n">
        <v>2003.757113051712</v>
      </c>
      <c r="O13" s="22" t="n">
        <v>25.59805507866486</v>
      </c>
      <c r="P13" s="21" t="n">
        <v>2.133171256555405</v>
      </c>
      <c r="Q13" s="10" t="n"/>
      <c r="R13" s="22" t="n">
        <v>1997.911847261013</v>
      </c>
      <c r="S13" s="8" t="inlineStr"/>
    </row>
    <row r="14">
      <c r="A14" s="8" t="inlineStr">
        <is>
          <t>居宅</t>
        </is>
      </c>
      <c r="B14" s="8" t="inlineStr">
        <is>
          <t>特定施設入居者生活介護</t>
        </is>
      </c>
      <c r="C14" s="8" t="inlineStr">
        <is>
          <t>人</t>
        </is>
      </c>
      <c r="D14" s="21" t="n">
        <v>45</v>
      </c>
      <c r="E14" s="22" t="n">
        <v>9718.948</v>
      </c>
      <c r="F14" s="22" t="n">
        <v>215976.6222222222</v>
      </c>
      <c r="G14" s="22" t="n">
        <v>42.20925016706996</v>
      </c>
      <c r="H14" s="21" t="n">
        <v>3.517437513922497</v>
      </c>
      <c r="I14" s="10" t="n"/>
      <c r="J14" s="22" t="n">
        <v>8441.500898756782</v>
      </c>
      <c r="K14" s="22" t="n">
        <v>42.08647747897493</v>
      </c>
      <c r="L14" s="21" t="n">
        <v>3.507206456581244</v>
      </c>
      <c r="M14" s="10" t="n"/>
      <c r="N14" s="22" t="n">
        <v>8416.947376654523</v>
      </c>
      <c r="O14" s="22" t="n">
        <v>41.96370479087991</v>
      </c>
      <c r="P14" s="21" t="n">
        <v>3.496975399239993</v>
      </c>
      <c r="Q14" s="10" t="n"/>
      <c r="R14" s="22" t="n">
        <v>8392.393854552263</v>
      </c>
      <c r="S14" s="8" t="inlineStr"/>
    </row>
    <row r="15">
      <c r="A15" s="8" t="inlineStr">
        <is>
          <t>居宅</t>
        </is>
      </c>
      <c r="B15" s="8" t="inlineStr">
        <is>
          <t>居宅介護支援</t>
        </is>
      </c>
      <c r="C15" s="8" t="inlineStr">
        <is>
          <t>人</t>
        </is>
      </c>
      <c r="D15" s="21" t="n">
        <v>3036</v>
      </c>
      <c r="E15" s="22" t="n">
        <v>48080.693</v>
      </c>
      <c r="F15" s="22" t="n">
        <v>15836.85540184453</v>
      </c>
      <c r="G15" s="22" t="n">
        <v>3118.80289652788</v>
      </c>
      <c r="H15" s="21" t="n">
        <v>259.9002413773233</v>
      </c>
      <c r="I15" s="10" t="n"/>
      <c r="J15" s="22" t="n">
        <v>49497.30961930367</v>
      </c>
      <c r="K15" s="22" t="n">
        <v>3109.731334874221</v>
      </c>
      <c r="L15" s="21" t="n">
        <v>259.1442779061851</v>
      </c>
      <c r="M15" s="10" t="n"/>
      <c r="N15" s="22" t="n">
        <v>49353.33838713582</v>
      </c>
      <c r="O15" s="22" t="n">
        <v>3100.659773220562</v>
      </c>
      <c r="P15" s="21" t="n">
        <v>258.3883144350469</v>
      </c>
      <c r="Q15" s="10" t="n"/>
      <c r="R15" s="22" t="n">
        <v>49209.36715496798</v>
      </c>
      <c r="S15" s="8" t="inlineStr"/>
    </row>
    <row r="16">
      <c r="A16" s="8" t="inlineStr">
        <is>
          <t>地域密着型</t>
        </is>
      </c>
      <c r="B16" s="8" t="inlineStr">
        <is>
          <t>定期巡回・随時対応型訪問介護看護</t>
        </is>
      </c>
      <c r="C16" s="8" t="inlineStr">
        <is>
          <t>人</t>
        </is>
      </c>
      <c r="D16" s="21" t="n">
        <v>0</v>
      </c>
      <c r="E16" s="22" t="n">
        <v>0</v>
      </c>
      <c r="F16" s="22" t="n">
        <v>0</v>
      </c>
      <c r="G16" s="22" t="n">
        <v>0</v>
      </c>
      <c r="H16" s="21" t="n">
        <v>0</v>
      </c>
      <c r="I16" s="10" t="n"/>
      <c r="J16" s="22" t="n">
        <v>0</v>
      </c>
      <c r="K16" s="22" t="n">
        <v>0</v>
      </c>
      <c r="L16" s="21" t="n">
        <v>0</v>
      </c>
      <c r="M16" s="10" t="n"/>
      <c r="N16" s="22" t="n">
        <v>0</v>
      </c>
      <c r="O16" s="22" t="n">
        <v>0</v>
      </c>
      <c r="P16" s="21" t="n">
        <v>0</v>
      </c>
      <c r="Q16" s="10" t="n"/>
      <c r="R16" s="22" t="n">
        <v>0</v>
      </c>
      <c r="S16" s="8" t="inlineStr">
        <is>
          <t>5年間を通じて実績なし。町内・近隣に事業所がないか確認します</t>
        </is>
      </c>
    </row>
    <row r="17">
      <c r="A17" s="8" t="inlineStr">
        <is>
          <t>地域密着型</t>
        </is>
      </c>
      <c r="B17" s="8" t="inlineStr">
        <is>
          <t>夜間対応型訪問介護</t>
        </is>
      </c>
      <c r="C17" s="8" t="inlineStr">
        <is>
          <t>人</t>
        </is>
      </c>
      <c r="D17" s="21" t="n">
        <v>0</v>
      </c>
      <c r="E17" s="22" t="n">
        <v>0</v>
      </c>
      <c r="F17" s="22" t="n">
        <v>0</v>
      </c>
      <c r="G17" s="22" t="n">
        <v>0</v>
      </c>
      <c r="H17" s="21" t="n">
        <v>0</v>
      </c>
      <c r="I17" s="10" t="n"/>
      <c r="J17" s="22" t="n">
        <v>0</v>
      </c>
      <c r="K17" s="22" t="n">
        <v>0</v>
      </c>
      <c r="L17" s="21" t="n">
        <v>0</v>
      </c>
      <c r="M17" s="10" t="n"/>
      <c r="N17" s="22" t="n">
        <v>0</v>
      </c>
      <c r="O17" s="22" t="n">
        <v>0</v>
      </c>
      <c r="P17" s="21" t="n">
        <v>0</v>
      </c>
      <c r="Q17" s="10" t="n"/>
      <c r="R17" s="22" t="n">
        <v>0</v>
      </c>
      <c r="S17" s="8" t="inlineStr">
        <is>
          <t>5年間を通じて実績なし。町内・近隣に事業所がないか確認します</t>
        </is>
      </c>
    </row>
    <row r="18">
      <c r="A18" s="8" t="inlineStr">
        <is>
          <t>地域密着型</t>
        </is>
      </c>
      <c r="B18" s="8" t="inlineStr">
        <is>
          <t>地域密着型通所介護</t>
        </is>
      </c>
      <c r="C18" s="8" t="inlineStr">
        <is>
          <t>回</t>
        </is>
      </c>
      <c r="D18" s="21" t="n">
        <v>0</v>
      </c>
      <c r="E18" s="22" t="n">
        <v>0</v>
      </c>
      <c r="F18" s="22" t="n">
        <v>0</v>
      </c>
      <c r="G18" s="22" t="n">
        <v>0</v>
      </c>
      <c r="H18" s="21" t="n">
        <v>0</v>
      </c>
      <c r="I18" s="10" t="n"/>
      <c r="J18" s="22" t="n">
        <v>0</v>
      </c>
      <c r="K18" s="22" t="n">
        <v>0</v>
      </c>
      <c r="L18" s="21" t="n">
        <v>0</v>
      </c>
      <c r="M18" s="10" t="n"/>
      <c r="N18" s="22" t="n">
        <v>0</v>
      </c>
      <c r="O18" s="22" t="n">
        <v>0</v>
      </c>
      <c r="P18" s="21" t="n">
        <v>0</v>
      </c>
      <c r="Q18" s="10" t="n"/>
      <c r="R18" s="22" t="n">
        <v>0</v>
      </c>
      <c r="S18" s="8" t="inlineStr">
        <is>
          <t>5年間を通じて実績なし。町内・近隣に事業所がないか確認します</t>
        </is>
      </c>
    </row>
    <row r="19">
      <c r="A19" s="8" t="inlineStr">
        <is>
          <t>地域密着型</t>
        </is>
      </c>
      <c r="B19" s="8" t="inlineStr">
        <is>
          <t>認知症対応型通所介護</t>
        </is>
      </c>
      <c r="C19" s="8" t="inlineStr">
        <is>
          <t>回</t>
        </is>
      </c>
      <c r="D19" s="21" t="n">
        <v>115</v>
      </c>
      <c r="E19" s="22" t="n">
        <v>12237.804</v>
      </c>
      <c r="F19" s="22" t="n">
        <v>106415.6869565217</v>
      </c>
      <c r="G19" s="22" t="n">
        <v>100.9418503410705</v>
      </c>
      <c r="H19" s="21" t="n">
        <v>8.411820861755876</v>
      </c>
      <c r="I19" s="10" t="n"/>
      <c r="J19" s="22" t="n">
        <v>11374.39975779142</v>
      </c>
      <c r="K19" s="22" t="n">
        <v>100.6482440282692</v>
      </c>
      <c r="L19" s="21" t="n">
        <v>8.387353669022437</v>
      </c>
      <c r="M19" s="10" t="n"/>
      <c r="N19" s="22" t="n">
        <v>11341.31540712885</v>
      </c>
      <c r="O19" s="22" t="n">
        <v>100.354637715468</v>
      </c>
      <c r="P19" s="21" t="n">
        <v>8.362886476289001</v>
      </c>
      <c r="Q19" s="10" t="n"/>
      <c r="R19" s="22" t="n">
        <v>11308.23105646628</v>
      </c>
      <c r="S19" s="8" t="inlineStr"/>
    </row>
    <row r="20">
      <c r="A20" s="8" t="inlineStr">
        <is>
          <t>地域密着型</t>
        </is>
      </c>
      <c r="B20" s="8" t="inlineStr">
        <is>
          <t>小規模多機能型居宅介護</t>
        </is>
      </c>
      <c r="C20" s="8" t="inlineStr">
        <is>
          <t>人</t>
        </is>
      </c>
      <c r="D20" s="21" t="n">
        <v>270</v>
      </c>
      <c r="E20" s="22" t="n">
        <v>49578.822</v>
      </c>
      <c r="F20" s="22" t="n">
        <v>183625.2666666667</v>
      </c>
      <c r="G20" s="22" t="n">
        <v>296.8907715435019</v>
      </c>
      <c r="H20" s="21" t="n">
        <v>24.74089762862516</v>
      </c>
      <c r="I20" s="10" t="n"/>
      <c r="J20" s="22" t="n">
        <v>51809.10749418093</v>
      </c>
      <c r="K20" s="22" t="n">
        <v>296.0272149072497</v>
      </c>
      <c r="L20" s="21" t="n">
        <v>24.66893457560414</v>
      </c>
      <c r="M20" s="10" t="n"/>
      <c r="N20" s="22" t="n">
        <v>51658.41200990466</v>
      </c>
      <c r="O20" s="22" t="n">
        <v>295.1636582709975</v>
      </c>
      <c r="P20" s="21" t="n">
        <v>24.59697152258313</v>
      </c>
      <c r="Q20" s="10" t="n"/>
      <c r="R20" s="22" t="n">
        <v>51507.7165256284</v>
      </c>
      <c r="S20" s="8" t="inlineStr"/>
    </row>
    <row r="21">
      <c r="A21" s="8" t="inlineStr">
        <is>
          <t>地域密着型</t>
        </is>
      </c>
      <c r="B21" s="8" t="inlineStr">
        <is>
          <t>認知症対応型共同生活介護</t>
        </is>
      </c>
      <c r="C21" s="8" t="inlineStr">
        <is>
          <t>人</t>
        </is>
      </c>
      <c r="D21" s="21" t="n">
        <v>537</v>
      </c>
      <c r="E21" s="22" t="n">
        <v>134380.035</v>
      </c>
      <c r="F21" s="22" t="n">
        <v>250242.1508379888</v>
      </c>
      <c r="G21" s="22" t="n">
        <v>579.0034361906669</v>
      </c>
      <c r="H21" s="21" t="n">
        <v>48.25028634922224</v>
      </c>
      <c r="I21" s="10" t="n"/>
      <c r="J21" s="22" t="n">
        <v>147523.778788629</v>
      </c>
      <c r="K21" s="22" t="n">
        <v>577.3193075222821</v>
      </c>
      <c r="L21" s="21" t="n">
        <v>48.10994229352351</v>
      </c>
      <c r="M21" s="10" t="n"/>
      <c r="N21" s="22" t="n">
        <v>147094.6811190867</v>
      </c>
      <c r="O21" s="22" t="n">
        <v>575.6351788538974</v>
      </c>
      <c r="P21" s="21" t="n">
        <v>47.96959823782478</v>
      </c>
      <c r="Q21" s="10" t="n"/>
      <c r="R21" s="22" t="n">
        <v>146665.5834495444</v>
      </c>
      <c r="S21" s="8" t="inlineStr"/>
    </row>
    <row r="22">
      <c r="A22" s="8" t="inlineStr">
        <is>
          <t>地域密着型</t>
        </is>
      </c>
      <c r="B22" s="8" t="inlineStr">
        <is>
          <t>地域密着型特定施設入居者生活介護</t>
        </is>
      </c>
      <c r="C22" s="8" t="inlineStr">
        <is>
          <t>人</t>
        </is>
      </c>
      <c r="D22" s="21" t="n">
        <v>0</v>
      </c>
      <c r="E22" s="22" t="n">
        <v>0</v>
      </c>
      <c r="F22" s="22" t="n">
        <v>0</v>
      </c>
      <c r="G22" s="22" t="n">
        <v>0</v>
      </c>
      <c r="H22" s="21" t="n">
        <v>0</v>
      </c>
      <c r="I22" s="10" t="n"/>
      <c r="J22" s="22" t="n">
        <v>0</v>
      </c>
      <c r="K22" s="22" t="n">
        <v>0</v>
      </c>
      <c r="L22" s="21" t="n">
        <v>0</v>
      </c>
      <c r="M22" s="10" t="n"/>
      <c r="N22" s="22" t="n">
        <v>0</v>
      </c>
      <c r="O22" s="22" t="n">
        <v>0</v>
      </c>
      <c r="P22" s="21" t="n">
        <v>0</v>
      </c>
      <c r="Q22" s="10" t="n"/>
      <c r="R22" s="22" t="n">
        <v>0</v>
      </c>
      <c r="S22" s="8" t="inlineStr">
        <is>
          <t>5年間を通じて実績なし。町内・近隣に事業所がないか確認します</t>
        </is>
      </c>
    </row>
    <row r="23">
      <c r="A23" s="8" t="inlineStr">
        <is>
          <t>地域密着型</t>
        </is>
      </c>
      <c r="B23" s="8" t="inlineStr">
        <is>
          <t>地域密着型介護老人福祉施設入所者生活介護</t>
        </is>
      </c>
      <c r="C23" s="8" t="inlineStr">
        <is>
          <t>人</t>
        </is>
      </c>
      <c r="D23" s="21" t="n">
        <v>496</v>
      </c>
      <c r="E23" s="22" t="n">
        <v>126349.617</v>
      </c>
      <c r="F23" s="22" t="n">
        <v>254737.1310483871</v>
      </c>
      <c r="G23" s="22" t="n">
        <v>521.0651765337238</v>
      </c>
      <c r="H23" s="21" t="n">
        <v>43.42209804447699</v>
      </c>
      <c r="I23" s="10" t="n"/>
      <c r="J23" s="22" t="n">
        <v>129903.6947779828</v>
      </c>
      <c r="K23" s="22" t="n">
        <v>519.5495710173373</v>
      </c>
      <c r="L23" s="21" t="n">
        <v>43.29579758477811</v>
      </c>
      <c r="M23" s="10" t="n"/>
      <c r="N23" s="22" t="n">
        <v>129525.8480799665</v>
      </c>
      <c r="O23" s="22" t="n">
        <v>518.0339655009506</v>
      </c>
      <c r="P23" s="21" t="n">
        <v>43.16949712507921</v>
      </c>
      <c r="Q23" s="10" t="n"/>
      <c r="R23" s="22" t="n">
        <v>129148.0013819503</v>
      </c>
      <c r="S23" s="8" t="inlineStr"/>
    </row>
    <row r="24">
      <c r="A24" s="8" t="inlineStr">
        <is>
          <t>地域密着型</t>
        </is>
      </c>
      <c r="B24" s="8" t="inlineStr">
        <is>
          <t>看護小規模多機能型居宅介護</t>
        </is>
      </c>
      <c r="C24" s="8" t="inlineStr">
        <is>
          <t>人</t>
        </is>
      </c>
      <c r="D24" s="21" t="n">
        <v>0</v>
      </c>
      <c r="E24" s="22" t="n">
        <v>0</v>
      </c>
      <c r="F24" s="22" t="n">
        <v>0</v>
      </c>
      <c r="G24" s="22" t="n">
        <v>0</v>
      </c>
      <c r="H24" s="21" t="n">
        <v>0</v>
      </c>
      <c r="I24" s="10" t="n"/>
      <c r="J24" s="22" t="n">
        <v>0</v>
      </c>
      <c r="K24" s="22" t="n">
        <v>0</v>
      </c>
      <c r="L24" s="21" t="n">
        <v>0</v>
      </c>
      <c r="M24" s="10" t="n"/>
      <c r="N24" s="22" t="n">
        <v>0</v>
      </c>
      <c r="O24" s="22" t="n">
        <v>0</v>
      </c>
      <c r="P24" s="21" t="n">
        <v>0</v>
      </c>
      <c r="Q24" s="10" t="n"/>
      <c r="R24" s="22" t="n">
        <v>0</v>
      </c>
      <c r="S24" s="8" t="inlineStr">
        <is>
          <t>5年間を通じて実績なし。町内・近隣に事業所がないか確認します</t>
        </is>
      </c>
    </row>
    <row r="25">
      <c r="A25" s="8" t="inlineStr">
        <is>
          <t>施設</t>
        </is>
      </c>
      <c r="B25" s="8" t="inlineStr">
        <is>
          <t>介護老人福祉施設</t>
        </is>
      </c>
      <c r="C25" s="8" t="inlineStr">
        <is>
          <t>人</t>
        </is>
      </c>
      <c r="D25" s="21" t="n">
        <v>827</v>
      </c>
      <c r="E25" s="22" t="n">
        <v>204849.64</v>
      </c>
      <c r="F25" s="22" t="n">
        <v>247702.1039903265</v>
      </c>
      <c r="G25" s="22" t="n">
        <v>815.6219057757854</v>
      </c>
      <c r="H25" s="21" t="n">
        <v>67.96849214798212</v>
      </c>
      <c r="I25" s="10" t="n"/>
      <c r="J25" s="22" t="n">
        <v>204435.0070269382</v>
      </c>
      <c r="K25" s="22" t="n">
        <v>813.249532576903</v>
      </c>
      <c r="L25" s="21" t="n">
        <v>67.77079438140858</v>
      </c>
      <c r="M25" s="10" t="n"/>
      <c r="N25" s="22" t="n">
        <v>203840.3734986458</v>
      </c>
      <c r="O25" s="22" t="n">
        <v>810.8771593780206</v>
      </c>
      <c r="P25" s="21" t="n">
        <v>67.57309661483505</v>
      </c>
      <c r="Q25" s="10" t="n"/>
      <c r="R25" s="22" t="n">
        <v>203245.7399703533</v>
      </c>
      <c r="S25" s="8" t="inlineStr"/>
    </row>
    <row r="26">
      <c r="A26" s="8" t="inlineStr">
        <is>
          <t>施設</t>
        </is>
      </c>
      <c r="B26" s="8" t="inlineStr">
        <is>
          <t>介護老人保健施設</t>
        </is>
      </c>
      <c r="C26" s="8" t="inlineStr">
        <is>
          <t>人</t>
        </is>
      </c>
      <c r="D26" s="21" t="n">
        <v>343</v>
      </c>
      <c r="E26" s="22" t="n">
        <v>92523.077</v>
      </c>
      <c r="F26" s="22" t="n">
        <v>269746.5801749271</v>
      </c>
      <c r="G26" s="22" t="n">
        <v>354.981495791051</v>
      </c>
      <c r="H26" s="21" t="n">
        <v>29.58179131592092</v>
      </c>
      <c r="I26" s="10" t="n"/>
      <c r="J26" s="22" t="n">
        <v>97062.81507964619</v>
      </c>
      <c r="K26" s="22" t="n">
        <v>353.9489725339508</v>
      </c>
      <c r="L26" s="21" t="n">
        <v>29.49574771116257</v>
      </c>
      <c r="M26" s="10" t="n"/>
      <c r="N26" s="22" t="n">
        <v>96780.49159192179</v>
      </c>
      <c r="O26" s="22" t="n">
        <v>352.9164492768506</v>
      </c>
      <c r="P26" s="21" t="n">
        <v>29.40970410640422</v>
      </c>
      <c r="Q26" s="10" t="n"/>
      <c r="R26" s="22" t="n">
        <v>96498.16810419739</v>
      </c>
      <c r="S26" s="8" t="inlineStr"/>
    </row>
    <row r="27">
      <c r="A27" s="8" t="inlineStr">
        <is>
          <t>施設</t>
        </is>
      </c>
      <c r="B27" s="8" t="inlineStr">
        <is>
          <t>介護医療院</t>
        </is>
      </c>
      <c r="C27" s="8" t="inlineStr">
        <is>
          <t>人</t>
        </is>
      </c>
      <c r="D27" s="21" t="n">
        <v>14</v>
      </c>
      <c r="E27" s="22" t="n">
        <v>4309.632</v>
      </c>
      <c r="F27" s="22" t="n">
        <v>307830.8571428572</v>
      </c>
      <c r="G27" s="22" t="n">
        <v>13.97966889340691</v>
      </c>
      <c r="H27" s="21" t="n">
        <v>1.164972407783909</v>
      </c>
      <c r="I27" s="10" t="n"/>
      <c r="J27" s="22" t="n">
        <v>4303.373458030787</v>
      </c>
      <c r="K27" s="22" t="n">
        <v>13.93900668022074</v>
      </c>
      <c r="L27" s="21" t="n">
        <v>1.161583890018395</v>
      </c>
      <c r="M27" s="10" t="n"/>
      <c r="N27" s="22" t="n">
        <v>4290.856374092362</v>
      </c>
      <c r="O27" s="22" t="n">
        <v>13.89834446703456</v>
      </c>
      <c r="P27" s="21" t="n">
        <v>1.15819537225288</v>
      </c>
      <c r="Q27" s="10" t="n"/>
      <c r="R27" s="22" t="n">
        <v>4278.339290153936</v>
      </c>
      <c r="S27" s="8" t="inlineStr"/>
    </row>
    <row r="28">
      <c r="A28" s="23" t="inlineStr">
        <is>
          <t>合計</t>
        </is>
      </c>
      <c r="B28" s="23" t="inlineStr"/>
      <c r="C28" s="23" t="inlineStr"/>
      <c r="D28" s="24">
        <f>SUM(D2:D27)</f>
        <v/>
      </c>
      <c r="E28" s="25">
        <f>SUM(E2:E27)</f>
        <v/>
      </c>
      <c r="F28" s="26" t="n"/>
      <c r="G28" s="25">
        <f>SUM(G2:G27)</f>
        <v/>
      </c>
      <c r="H28" s="24">
        <f>SUM(H2:H27)</f>
        <v/>
      </c>
      <c r="I28" s="27" t="n"/>
      <c r="J28" s="25">
        <f>SUM(J2:J27)</f>
        <v/>
      </c>
      <c r="K28" s="25">
        <f>SUM(K2:K27)</f>
        <v/>
      </c>
      <c r="L28" s="24">
        <f>SUM(L2:L27)</f>
        <v/>
      </c>
      <c r="M28" s="27" t="n"/>
      <c r="N28" s="25">
        <f>SUM(N2:N27)</f>
        <v/>
      </c>
      <c r="O28" s="25">
        <f>SUM(O2:O27)</f>
        <v/>
      </c>
      <c r="P28" s="24">
        <f>SUM(P2:P27)</f>
        <v/>
      </c>
      <c r="Q28" s="27" t="n"/>
      <c r="R28" s="25">
        <f>SUM(R2:R27)</f>
        <v/>
      </c>
      <c r="S28" s="23" t="inlineStr"/>
    </row>
    <row r="30">
      <c r="A30" t="inlineStr">
        <is>
          <t>※ 介護給付（要介護1〜5）。件数・給付費は年報（様式2）の実績から算出したもので、「小野町_第10期_サービス別単価・見込量試算」の04・05と同じ値です。</t>
        </is>
      </c>
    </row>
    <row r="31">
      <c r="A31" t="inlineStr">
        <is>
          <t>※ 件数は請求件数（＝月あたり受給者数の年間累計）。「人/月」は件数÷12です。</t>
        </is>
      </c>
    </row>
    <row r="32">
      <c r="A32" t="inlineStr">
        <is>
          <t>※ 見込件数は「基準期間の件数÷第1号被保険者数」に将来の第1号被保険者数を乗じたもの。給付費は同じ方法で給付費そのものを延ばしています。</t>
        </is>
      </c>
    </row>
    <row r="33">
      <c r="A33" t="inlineStr">
        <is>
          <t>**※ 「量」（回・日）の列だけが空欄です。年報には回数・日数が入っていないため、国保連の給付実績を受領した時点で入れます。**</t>
        </is>
      </c>
    </row>
    <row r="34">
      <c r="A34" t="inlineStr">
        <is>
          <t>※ 報酬改定率は0.0％（据置）で置いています。改定率が決まったら試算ブックの06_感度分析で置き換えます。</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2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6" customWidth="1" min="3" max="3"/>
    <col width="12" customWidth="1" min="4" max="4"/>
    <col width="15" customWidth="1" min="5" max="5"/>
    <col width="12" customWidth="1" min="6" max="6"/>
    <col width="11" customWidth="1" min="7" max="7"/>
    <col width="9" customWidth="1" min="8" max="8"/>
    <col width="9" customWidth="1" min="9" max="9"/>
    <col width="13" customWidth="1" min="10" max="10"/>
    <col width="11" customWidth="1" min="11" max="11"/>
    <col width="9" customWidth="1" min="12" max="12"/>
    <col width="9" customWidth="1" min="13" max="13"/>
    <col width="13" customWidth="1" min="14" max="14"/>
    <col width="11" customWidth="1" min="15" max="15"/>
    <col width="9" customWidth="1" min="16" max="16"/>
    <col width="9" customWidth="1" min="17" max="17"/>
    <col width="13" customWidth="1" min="18" max="18"/>
    <col width="34" customWidth="1" min="19" max="19"/>
  </cols>
  <sheetData>
    <row r="1">
      <c r="A1" s="7" t="inlineStr">
        <is>
          <t>区分</t>
        </is>
      </c>
      <c r="B1" s="7" t="inlineStr">
        <is>
          <t>サービス</t>
        </is>
      </c>
      <c r="C1" s="7" t="inlineStr">
        <is>
          <t>単位</t>
        </is>
      </c>
      <c r="D1" s="7" t="inlineStr">
        <is>
          <t>令和7年度 件数</t>
        </is>
      </c>
      <c r="E1" s="7" t="inlineStr">
        <is>
          <t>令和7年度 給付費(千円)</t>
        </is>
      </c>
      <c r="F1" s="7" t="inlineStr">
        <is>
          <t>単価(円/件)</t>
        </is>
      </c>
      <c r="G1" s="7" t="inlineStr">
        <is>
          <t>令和9年度 件数</t>
        </is>
      </c>
      <c r="H1" s="7" t="inlineStr">
        <is>
          <t>令和9年度 人/月</t>
        </is>
      </c>
      <c r="I1" s="7" t="inlineStr">
        <is>
          <t>令和9年度 量</t>
        </is>
      </c>
      <c r="J1" s="7" t="inlineStr">
        <is>
          <t>令和9年度 給付費(千円)</t>
        </is>
      </c>
      <c r="K1" s="7" t="inlineStr">
        <is>
          <t>令和10年度 件数</t>
        </is>
      </c>
      <c r="L1" s="7" t="inlineStr">
        <is>
          <t>令和10年度 人/月</t>
        </is>
      </c>
      <c r="M1" s="7" t="inlineStr">
        <is>
          <t>令和10年度 量</t>
        </is>
      </c>
      <c r="N1" s="7" t="inlineStr">
        <is>
          <t>令和10年度 給付費(千円)</t>
        </is>
      </c>
      <c r="O1" s="7" t="inlineStr">
        <is>
          <t>令和11年度 件数</t>
        </is>
      </c>
      <c r="P1" s="7" t="inlineStr">
        <is>
          <t>令和11年度 人/月</t>
        </is>
      </c>
      <c r="Q1" s="7" t="inlineStr">
        <is>
          <t>令和11年度 量</t>
        </is>
      </c>
      <c r="R1" s="7" t="inlineStr">
        <is>
          <t>令和11年度 給付費(千円)</t>
        </is>
      </c>
      <c r="S1" s="7" t="inlineStr">
        <is>
          <t>備考</t>
        </is>
      </c>
    </row>
    <row r="2">
      <c r="A2" s="8" t="inlineStr">
        <is>
          <t>介護予防</t>
        </is>
      </c>
      <c r="B2" s="8" t="inlineStr">
        <is>
          <t>介護予防訪問入浴介護</t>
        </is>
      </c>
      <c r="C2" s="8" t="inlineStr">
        <is>
          <t>回</t>
        </is>
      </c>
      <c r="D2" s="21" t="n">
        <v>0</v>
      </c>
      <c r="E2" s="22" t="n">
        <v>0</v>
      </c>
      <c r="F2" s="22" t="n">
        <v>0</v>
      </c>
      <c r="G2" s="22" t="n">
        <v>0</v>
      </c>
      <c r="H2" s="21" t="n">
        <v>0</v>
      </c>
      <c r="I2" s="10" t="n"/>
      <c r="J2" s="22" t="n">
        <v>0</v>
      </c>
      <c r="K2" s="22" t="n">
        <v>0</v>
      </c>
      <c r="L2" s="21" t="n">
        <v>0</v>
      </c>
      <c r="M2" s="10" t="n"/>
      <c r="N2" s="22" t="n">
        <v>0</v>
      </c>
      <c r="O2" s="22" t="n">
        <v>0</v>
      </c>
      <c r="P2" s="21" t="n">
        <v>0</v>
      </c>
      <c r="Q2" s="10" t="n"/>
      <c r="R2" s="22" t="n">
        <v>0</v>
      </c>
      <c r="S2" s="8" t="inlineStr">
        <is>
          <t>5年間を通じて実績なし。町内・近隣に事業所がないか確認します</t>
        </is>
      </c>
    </row>
    <row r="3">
      <c r="A3" s="8" t="inlineStr">
        <is>
          <t>介護予防</t>
        </is>
      </c>
      <c r="B3" s="8" t="inlineStr">
        <is>
          <t>介護予防訪問看護</t>
        </is>
      </c>
      <c r="C3" s="8" t="inlineStr">
        <is>
          <t>回</t>
        </is>
      </c>
      <c r="D3" s="21" t="n">
        <v>88</v>
      </c>
      <c r="E3" s="22" t="n">
        <v>2213.819</v>
      </c>
      <c r="F3" s="22" t="n">
        <v>25157.03409090909</v>
      </c>
      <c r="G3" s="22" t="n">
        <v>66.69239528806587</v>
      </c>
      <c r="H3" s="21" t="n">
        <v>5.557699607338822</v>
      </c>
      <c r="I3" s="10" t="n"/>
      <c r="J3" s="22" t="n">
        <v>1845.421660517753</v>
      </c>
      <c r="K3" s="22" t="n">
        <v>66.4984092633769</v>
      </c>
      <c r="L3" s="21" t="n">
        <v>5.541534105281408</v>
      </c>
      <c r="M3" s="10" t="n"/>
      <c r="N3" s="22" t="n">
        <v>1840.053941900773</v>
      </c>
      <c r="O3" s="22" t="n">
        <v>66.30442323868793</v>
      </c>
      <c r="P3" s="21" t="n">
        <v>5.525368603223995</v>
      </c>
      <c r="Q3" s="10" t="n"/>
      <c r="R3" s="22" t="n">
        <v>1834.686223283793</v>
      </c>
      <c r="S3" s="8" t="inlineStr"/>
    </row>
    <row r="4">
      <c r="A4" s="8" t="inlineStr">
        <is>
          <t>介護予防</t>
        </is>
      </c>
      <c r="B4" s="8" t="inlineStr">
        <is>
          <t>介護予防訪問リハビリテーション</t>
        </is>
      </c>
      <c r="C4" s="8" t="inlineStr">
        <is>
          <t>回</t>
        </is>
      </c>
      <c r="D4" s="21" t="n">
        <v>0</v>
      </c>
      <c r="E4" s="22" t="n">
        <v>0</v>
      </c>
      <c r="F4" s="22" t="n">
        <v>0</v>
      </c>
      <c r="G4" s="22" t="n">
        <v>0</v>
      </c>
      <c r="H4" s="21" t="n">
        <v>0</v>
      </c>
      <c r="I4" s="10" t="n"/>
      <c r="J4" s="22" t="n">
        <v>0</v>
      </c>
      <c r="K4" s="22" t="n">
        <v>0</v>
      </c>
      <c r="L4" s="21" t="n">
        <v>0</v>
      </c>
      <c r="M4" s="10" t="n"/>
      <c r="N4" s="22" t="n">
        <v>0</v>
      </c>
      <c r="O4" s="22" t="n">
        <v>0</v>
      </c>
      <c r="P4" s="21" t="n">
        <v>0</v>
      </c>
      <c r="Q4" s="10" t="n"/>
      <c r="R4" s="22" t="n">
        <v>0</v>
      </c>
      <c r="S4" s="8" t="inlineStr">
        <is>
          <t>5年間を通じて実績なし。町内・近隣に事業所がないか確認します</t>
        </is>
      </c>
    </row>
    <row r="5">
      <c r="A5" s="8" t="inlineStr">
        <is>
          <t>介護予防</t>
        </is>
      </c>
      <c r="B5" s="8" t="inlineStr">
        <is>
          <t>介護予防居宅療養管理指導</t>
        </is>
      </c>
      <c r="C5" s="8" t="inlineStr">
        <is>
          <t>人</t>
        </is>
      </c>
      <c r="D5" s="21" t="n">
        <v>25</v>
      </c>
      <c r="E5" s="22" t="n">
        <v>132.372</v>
      </c>
      <c r="F5" s="22" t="n">
        <v>5294.88</v>
      </c>
      <c r="G5" s="22" t="n">
        <v>24.06929904786961</v>
      </c>
      <c r="H5" s="21" t="n">
        <v>2.005774920655801</v>
      </c>
      <c r="I5" s="10" t="n"/>
      <c r="J5" s="22" t="n">
        <v>128.8720061689222</v>
      </c>
      <c r="K5" s="22" t="n">
        <v>23.9992894520352</v>
      </c>
      <c r="L5" s="21" t="n">
        <v>1.9999407876696</v>
      </c>
      <c r="M5" s="10" t="n"/>
      <c r="N5" s="22" t="n">
        <v>128.4971603103739</v>
      </c>
      <c r="O5" s="22" t="n">
        <v>23.92927985620079</v>
      </c>
      <c r="P5" s="21" t="n">
        <v>1.994106654683399</v>
      </c>
      <c r="Q5" s="10" t="n"/>
      <c r="R5" s="22" t="n">
        <v>128.1223144518255</v>
      </c>
      <c r="S5" s="8" t="inlineStr"/>
    </row>
    <row r="6">
      <c r="A6" s="8" t="inlineStr">
        <is>
          <t>介護予防</t>
        </is>
      </c>
      <c r="B6" s="8" t="inlineStr">
        <is>
          <t>介護予防通所リハビリテーション</t>
        </is>
      </c>
      <c r="C6" s="8" t="inlineStr">
        <is>
          <t>人</t>
        </is>
      </c>
      <c r="D6" s="21" t="n">
        <v>329</v>
      </c>
      <c r="E6" s="22" t="n">
        <v>11689.154</v>
      </c>
      <c r="F6" s="22" t="n">
        <v>35529.34346504559</v>
      </c>
      <c r="G6" s="22" t="n">
        <v>292.5786917596863</v>
      </c>
      <c r="H6" s="21" t="n">
        <v>24.38155764664053</v>
      </c>
      <c r="I6" s="10" t="n"/>
      <c r="J6" s="22" t="n">
        <v>11009.92385717264</v>
      </c>
      <c r="K6" s="22" t="n">
        <v>291.7276775311823</v>
      </c>
      <c r="L6" s="21" t="n">
        <v>24.31063979426519</v>
      </c>
      <c r="M6" s="10" t="n"/>
      <c r="N6" s="22" t="n">
        <v>10977.89964583706</v>
      </c>
      <c r="O6" s="22" t="n">
        <v>290.8766633026783</v>
      </c>
      <c r="P6" s="21" t="n">
        <v>24.23972194188985</v>
      </c>
      <c r="Q6" s="10" t="n"/>
      <c r="R6" s="22" t="n">
        <v>10945.87543450148</v>
      </c>
      <c r="S6" s="8" t="inlineStr"/>
    </row>
    <row r="7">
      <c r="A7" s="8" t="inlineStr">
        <is>
          <t>介護予防</t>
        </is>
      </c>
      <c r="B7" s="8" t="inlineStr">
        <is>
          <t>介護予防短期入所生活介護</t>
        </is>
      </c>
      <c r="C7" s="8" t="inlineStr">
        <is>
          <t>日</t>
        </is>
      </c>
      <c r="D7" s="21" t="n">
        <v>9</v>
      </c>
      <c r="E7" s="22" t="n">
        <v>292.959</v>
      </c>
      <c r="F7" s="22" t="n">
        <v>32551</v>
      </c>
      <c r="G7" s="22" t="n">
        <v>5.292236520674226</v>
      </c>
      <c r="H7" s="21" t="n">
        <v>0.4410197100561855</v>
      </c>
      <c r="I7" s="10" t="n"/>
      <c r="J7" s="22" t="n">
        <v>147.9152975794281</v>
      </c>
      <c r="K7" s="22" t="n">
        <v>5.276843162557083</v>
      </c>
      <c r="L7" s="21" t="n">
        <v>0.4397369302130902</v>
      </c>
      <c r="M7" s="10" t="n"/>
      <c r="N7" s="22" t="n">
        <v>147.4850611117741</v>
      </c>
      <c r="O7" s="22" t="n">
        <v>5.261449804439938</v>
      </c>
      <c r="P7" s="21" t="n">
        <v>0.4384541503699949</v>
      </c>
      <c r="Q7" s="10" t="n"/>
      <c r="R7" s="22" t="n">
        <v>147.0548246441202</v>
      </c>
      <c r="S7" s="8" t="inlineStr">
        <is>
          <t>**月あたり1人に満たない見込みです。計画書の見込量表に載せるかどうかの判断を要します**</t>
        </is>
      </c>
    </row>
    <row r="8">
      <c r="A8" s="8" t="inlineStr">
        <is>
          <t>介護予防</t>
        </is>
      </c>
      <c r="B8" s="8" t="inlineStr">
        <is>
          <t>介護予防短期入所療養介護</t>
        </is>
      </c>
      <c r="C8" s="8" t="inlineStr">
        <is>
          <t>日</t>
        </is>
      </c>
      <c r="D8" s="21" t="n">
        <v>1</v>
      </c>
      <c r="E8" s="22" t="n">
        <v>50.004</v>
      </c>
      <c r="F8" s="22" t="n">
        <v>50004</v>
      </c>
      <c r="G8" s="22" t="n">
        <v>0.9890187411876157</v>
      </c>
      <c r="H8" s="21" t="n">
        <v>0.0824182284323013</v>
      </c>
      <c r="I8" s="10" t="n"/>
      <c r="J8" s="22" t="n">
        <v>57.81783571310305</v>
      </c>
      <c r="K8" s="22" t="n">
        <v>0.9861420141917239</v>
      </c>
      <c r="L8" s="21" t="n">
        <v>0.08217850118264365</v>
      </c>
      <c r="M8" s="10" t="n"/>
      <c r="N8" s="22" t="n">
        <v>57.64966283435638</v>
      </c>
      <c r="O8" s="22" t="n">
        <v>0.9832652871958319</v>
      </c>
      <c r="P8" s="21" t="n">
        <v>0.081938773932986</v>
      </c>
      <c r="Q8" s="10" t="n"/>
      <c r="R8" s="22" t="n">
        <v>57.48148995560972</v>
      </c>
      <c r="S8" s="8" t="inlineStr">
        <is>
          <t>**月あたり1人に満たない見込みです。計画書の見込量表に載せるかどうかの判断を要します**</t>
        </is>
      </c>
    </row>
    <row r="9">
      <c r="A9" s="8" t="inlineStr">
        <is>
          <t>介護予防</t>
        </is>
      </c>
      <c r="B9" s="8" t="inlineStr">
        <is>
          <t>介護予防福祉用具貸与</t>
        </is>
      </c>
      <c r="C9" s="8" t="inlineStr">
        <is>
          <t>人</t>
        </is>
      </c>
      <c r="D9" s="21" t="n">
        <v>688</v>
      </c>
      <c r="E9" s="22" t="n">
        <v>6000.387</v>
      </c>
      <c r="F9" s="22" t="n">
        <v>8721.492732558139</v>
      </c>
      <c r="G9" s="22" t="n">
        <v>626.6389964277753</v>
      </c>
      <c r="H9" s="21" t="n">
        <v>52.21991636898127</v>
      </c>
      <c r="I9" s="10" t="n"/>
      <c r="J9" s="22" t="n">
        <v>5204.376821685491</v>
      </c>
      <c r="K9" s="22" t="n">
        <v>624.8163117377585</v>
      </c>
      <c r="L9" s="21" t="n">
        <v>52.06802597814654</v>
      </c>
      <c r="M9" s="10" t="n"/>
      <c r="N9" s="22" t="n">
        <v>5189.23901824836</v>
      </c>
      <c r="O9" s="22" t="n">
        <v>622.9936270477417</v>
      </c>
      <c r="P9" s="21" t="n">
        <v>51.91613558731181</v>
      </c>
      <c r="Q9" s="10" t="n"/>
      <c r="R9" s="22" t="n">
        <v>5174.10121481123</v>
      </c>
      <c r="S9" s="8" t="inlineStr"/>
    </row>
    <row r="10">
      <c r="A10" s="8" t="inlineStr">
        <is>
          <t>介護予防</t>
        </is>
      </c>
      <c r="B10" s="8" t="inlineStr">
        <is>
          <t>特定介護予防福祉用具販売</t>
        </is>
      </c>
      <c r="C10" s="8" t="inlineStr">
        <is>
          <t>人</t>
        </is>
      </c>
      <c r="D10" s="21" t="n">
        <v>17</v>
      </c>
      <c r="E10" s="22" t="n">
        <v>484.06</v>
      </c>
      <c r="F10" s="22" t="n">
        <v>28474.11764705883</v>
      </c>
      <c r="G10" s="22" t="n">
        <v>14.39318145024126</v>
      </c>
      <c r="H10" s="21" t="n">
        <v>1.199431787520105</v>
      </c>
      <c r="I10" s="10" t="n"/>
      <c r="J10" s="22" t="n">
        <v>406.3073406632359</v>
      </c>
      <c r="K10" s="22" t="n">
        <v>14.35131646638366</v>
      </c>
      <c r="L10" s="21" t="n">
        <v>1.195943038865305</v>
      </c>
      <c r="M10" s="10" t="n"/>
      <c r="N10" s="22" t="n">
        <v>405.1255275723015</v>
      </c>
      <c r="O10" s="22" t="n">
        <v>14.30945148252607</v>
      </c>
      <c r="P10" s="21" t="n">
        <v>1.192454290210506</v>
      </c>
      <c r="Q10" s="10" t="n"/>
      <c r="R10" s="22" t="n">
        <v>403.9437144813671</v>
      </c>
      <c r="S10" s="8" t="inlineStr"/>
    </row>
    <row r="11">
      <c r="A11" s="8" t="inlineStr">
        <is>
          <t>介護予防</t>
        </is>
      </c>
      <c r="B11" s="8" t="inlineStr">
        <is>
          <t>介護予防住宅改修</t>
        </is>
      </c>
      <c r="C11" s="8" t="inlineStr">
        <is>
          <t>人</t>
        </is>
      </c>
      <c r="D11" s="21" t="n">
        <v>11</v>
      </c>
      <c r="E11" s="22" t="n">
        <v>876.749</v>
      </c>
      <c r="F11" s="22" t="n">
        <v>79704.45454545454</v>
      </c>
      <c r="G11" s="22" t="n">
        <v>11.88966522730536</v>
      </c>
      <c r="H11" s="21" t="n">
        <v>0.9908054356087804</v>
      </c>
      <c r="I11" s="10" t="n"/>
      <c r="J11" s="22" t="n">
        <v>1161.474284611379</v>
      </c>
      <c r="K11" s="22" t="n">
        <v>11.85508214054764</v>
      </c>
      <c r="L11" s="21" t="n">
        <v>0.9879235117123034</v>
      </c>
      <c r="M11" s="10" t="n"/>
      <c r="N11" s="22" t="n">
        <v>1158.095941724202</v>
      </c>
      <c r="O11" s="22" t="n">
        <v>11.82049905378992</v>
      </c>
      <c r="P11" s="21" t="n">
        <v>0.9850415878158264</v>
      </c>
      <c r="Q11" s="10" t="n"/>
      <c r="R11" s="22" t="n">
        <v>1154.717598837025</v>
      </c>
      <c r="S11" s="8" t="inlineStr">
        <is>
          <t>**月あたり1人に満たない見込みです。計画書の見込量表に載せるかどうかの判断を要します**</t>
        </is>
      </c>
    </row>
    <row r="12">
      <c r="A12" s="8" t="inlineStr">
        <is>
          <t>介護予防</t>
        </is>
      </c>
      <c r="B12" s="8" t="inlineStr">
        <is>
          <t>介護予防特定施設入居者生活介護</t>
        </is>
      </c>
      <c r="C12" s="8" t="inlineStr">
        <is>
          <t>人</t>
        </is>
      </c>
      <c r="D12" s="21" t="n">
        <v>0</v>
      </c>
      <c r="E12" s="22" t="n">
        <v>0</v>
      </c>
      <c r="F12" s="22" t="n">
        <v>0</v>
      </c>
      <c r="G12" s="22" t="n">
        <v>0</v>
      </c>
      <c r="H12" s="21" t="n">
        <v>0</v>
      </c>
      <c r="I12" s="10" t="n"/>
      <c r="J12" s="22" t="n">
        <v>0</v>
      </c>
      <c r="K12" s="22" t="n">
        <v>0</v>
      </c>
      <c r="L12" s="21" t="n">
        <v>0</v>
      </c>
      <c r="M12" s="10" t="n"/>
      <c r="N12" s="22" t="n">
        <v>0</v>
      </c>
      <c r="O12" s="22" t="n">
        <v>0</v>
      </c>
      <c r="P12" s="21" t="n">
        <v>0</v>
      </c>
      <c r="Q12" s="10" t="n"/>
      <c r="R12" s="22" t="n">
        <v>0</v>
      </c>
      <c r="S12" s="8" t="inlineStr">
        <is>
          <t>5年間を通じて実績なし。町内・近隣に事業所がないか確認します</t>
        </is>
      </c>
    </row>
    <row r="13">
      <c r="A13" s="8" t="inlineStr">
        <is>
          <t>介護予防</t>
        </is>
      </c>
      <c r="B13" s="8" t="inlineStr">
        <is>
          <t>介護予防支援</t>
        </is>
      </c>
      <c r="C13" s="8" t="inlineStr">
        <is>
          <t>人</t>
        </is>
      </c>
      <c r="D13" s="21" t="n">
        <v>919</v>
      </c>
      <c r="E13" s="22" t="n">
        <v>4145.98</v>
      </c>
      <c r="F13" s="22" t="n">
        <v>4511.403699673559</v>
      </c>
      <c r="G13" s="22" t="n">
        <v>833.776817482939</v>
      </c>
      <c r="H13" s="21" t="n">
        <v>69.48140145691158</v>
      </c>
      <c r="I13" s="10" t="n"/>
      <c r="J13" s="22" t="n">
        <v>3760.950087913393</v>
      </c>
      <c r="K13" s="22" t="n">
        <v>831.3516376764151</v>
      </c>
      <c r="L13" s="21" t="n">
        <v>69.27930313970126</v>
      </c>
      <c r="M13" s="10" t="n"/>
      <c r="N13" s="22" t="n">
        <v>3750.010733381941</v>
      </c>
      <c r="O13" s="22" t="n">
        <v>828.9264578698911</v>
      </c>
      <c r="P13" s="21" t="n">
        <v>69.07720482249093</v>
      </c>
      <c r="Q13" s="10" t="n"/>
      <c r="R13" s="22" t="n">
        <v>3739.071378850489</v>
      </c>
      <c r="S13" s="8" t="inlineStr"/>
    </row>
    <row r="14">
      <c r="A14" s="8" t="inlineStr">
        <is>
          <t>地域密着型予防</t>
        </is>
      </c>
      <c r="B14" s="8" t="inlineStr">
        <is>
          <t>介護予防認知症対応型通所介護</t>
        </is>
      </c>
      <c r="C14" s="8" t="inlineStr">
        <is>
          <t>回</t>
        </is>
      </c>
      <c r="D14" s="21" t="n">
        <v>0</v>
      </c>
      <c r="E14" s="22" t="n">
        <v>0</v>
      </c>
      <c r="F14" s="22" t="n">
        <v>0</v>
      </c>
      <c r="G14" s="22" t="n">
        <v>0</v>
      </c>
      <c r="H14" s="21" t="n">
        <v>0</v>
      </c>
      <c r="I14" s="10" t="n"/>
      <c r="J14" s="22" t="n">
        <v>0</v>
      </c>
      <c r="K14" s="22" t="n">
        <v>0</v>
      </c>
      <c r="L14" s="21" t="n">
        <v>0</v>
      </c>
      <c r="M14" s="10" t="n"/>
      <c r="N14" s="22" t="n">
        <v>0</v>
      </c>
      <c r="O14" s="22" t="n">
        <v>0</v>
      </c>
      <c r="P14" s="21" t="n">
        <v>0</v>
      </c>
      <c r="Q14" s="10" t="n"/>
      <c r="R14" s="22" t="n">
        <v>0</v>
      </c>
      <c r="S14" s="8" t="inlineStr">
        <is>
          <t>5年間を通じて実績なし。町内・近隣に事業所がないか確認します</t>
        </is>
      </c>
    </row>
    <row r="15">
      <c r="A15" s="8" t="inlineStr">
        <is>
          <t>地域密着型予防</t>
        </is>
      </c>
      <c r="B15" s="8" t="inlineStr">
        <is>
          <t>介護予防小規模多機能型居宅介護</t>
        </is>
      </c>
      <c r="C15" s="8" t="inlineStr">
        <is>
          <t>人</t>
        </is>
      </c>
      <c r="D15" s="21" t="n">
        <v>92</v>
      </c>
      <c r="E15" s="22" t="n">
        <v>7288.119</v>
      </c>
      <c r="F15" s="22" t="n">
        <v>79218.68478260869</v>
      </c>
      <c r="G15" s="22" t="n">
        <v>80.49101248012809</v>
      </c>
      <c r="H15" s="21" t="n">
        <v>6.707584373344008</v>
      </c>
      <c r="I15" s="10" t="n"/>
      <c r="J15" s="22" t="n">
        <v>6320.048239826271</v>
      </c>
      <c r="K15" s="22" t="n">
        <v>80.25689086151225</v>
      </c>
      <c r="L15" s="21" t="n">
        <v>6.688074238459354</v>
      </c>
      <c r="M15" s="10" t="n"/>
      <c r="N15" s="22" t="n">
        <v>6301.665318826195</v>
      </c>
      <c r="O15" s="22" t="n">
        <v>80.0227692428964</v>
      </c>
      <c r="P15" s="21" t="n">
        <v>6.6685641035747</v>
      </c>
      <c r="Q15" s="10" t="n"/>
      <c r="R15" s="22" t="n">
        <v>6283.282397826119</v>
      </c>
      <c r="S15" s="8" t="inlineStr"/>
    </row>
    <row r="16">
      <c r="A16" s="8" t="inlineStr">
        <is>
          <t>地域密着型予防</t>
        </is>
      </c>
      <c r="B16" s="8" t="inlineStr">
        <is>
          <t>介護予防認知症対応型共同生活介護</t>
        </is>
      </c>
      <c r="C16" s="8" t="inlineStr">
        <is>
          <t>人</t>
        </is>
      </c>
      <c r="D16" s="21" t="n">
        <v>14</v>
      </c>
      <c r="E16" s="22" t="n">
        <v>3343.374</v>
      </c>
      <c r="F16" s="22" t="n">
        <v>238812.4285714286</v>
      </c>
      <c r="G16" s="22" t="n">
        <v>26.96965201304231</v>
      </c>
      <c r="H16" s="21" t="n">
        <v>2.247471001086859</v>
      </c>
      <c r="I16" s="10" t="n"/>
      <c r="J16" s="22" t="n">
        <v>6270.904425412573</v>
      </c>
      <c r="K16" s="22" t="n">
        <v>26.89120625384207</v>
      </c>
      <c r="L16" s="21" t="n">
        <v>2.240933854486839</v>
      </c>
      <c r="M16" s="10" t="n"/>
      <c r="N16" s="22" t="n">
        <v>6252.664447444531</v>
      </c>
      <c r="O16" s="22" t="n">
        <v>26.81276049464183</v>
      </c>
      <c r="P16" s="21" t="n">
        <v>2.234396707886819</v>
      </c>
      <c r="Q16" s="10" t="n"/>
      <c r="R16" s="22" t="n">
        <v>6234.42446947649</v>
      </c>
      <c r="S16" s="8" t="inlineStr"/>
    </row>
    <row r="17">
      <c r="A17" s="23" t="inlineStr">
        <is>
          <t>合計</t>
        </is>
      </c>
      <c r="B17" s="23" t="inlineStr"/>
      <c r="C17" s="23" t="inlineStr"/>
      <c r="D17" s="24">
        <f>SUM(D2:D16)</f>
        <v/>
      </c>
      <c r="E17" s="25">
        <f>SUM(E2:E16)</f>
        <v/>
      </c>
      <c r="F17" s="26" t="n"/>
      <c r="G17" s="25">
        <f>SUM(G2:G16)</f>
        <v/>
      </c>
      <c r="H17" s="24">
        <f>SUM(H2:H16)</f>
        <v/>
      </c>
      <c r="I17" s="27" t="n"/>
      <c r="J17" s="25">
        <f>SUM(J2:J16)</f>
        <v/>
      </c>
      <c r="K17" s="25">
        <f>SUM(K2:K16)</f>
        <v/>
      </c>
      <c r="L17" s="24">
        <f>SUM(L2:L16)</f>
        <v/>
      </c>
      <c r="M17" s="27" t="n"/>
      <c r="N17" s="25">
        <f>SUM(N2:N16)</f>
        <v/>
      </c>
      <c r="O17" s="25">
        <f>SUM(O2:O16)</f>
        <v/>
      </c>
      <c r="P17" s="24">
        <f>SUM(P2:P16)</f>
        <v/>
      </c>
      <c r="Q17" s="27" t="n"/>
      <c r="R17" s="25">
        <f>SUM(R2:R16)</f>
        <v/>
      </c>
      <c r="S17" s="23" t="inlineStr"/>
    </row>
    <row r="19">
      <c r="A19" t="inlineStr">
        <is>
          <t>※ 予防給付（要支援1・2）。件数・給付費は年報（様式2）の実績から算出したもので、「小野町_第10期_サービス別単価・見込量試算」の04・05と同じ値です。</t>
        </is>
      </c>
    </row>
    <row r="20">
      <c r="A20" t="inlineStr">
        <is>
          <t>※ 件数は請求件数（＝月あたり受給者数の年間累計）。「人/月」は件数÷12です。</t>
        </is>
      </c>
    </row>
    <row r="21">
      <c r="A21" t="inlineStr">
        <is>
          <t>※ 見込件数は「基準期間の件数÷第1号被保険者数」に将来の第1号被保険者数を乗じたもの。給付費は同じ方法で給付費そのものを延ばしています。</t>
        </is>
      </c>
    </row>
    <row r="22">
      <c r="A22" t="inlineStr">
        <is>
          <t>**※ 「量」（回・日）の列だけが空欄です。年報には回数・日数が入っていないため、国保連の給付実績を受領した時点で入れます。**</t>
        </is>
      </c>
    </row>
    <row r="23">
      <c r="A23" t="inlineStr">
        <is>
          <t>※ 報酬改定率は0.0％（据置）で置いています。改定率が決まったら試算ブックの06_感度分析で置き換えます。</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36" customWidth="1" min="2" max="2"/>
    <col width="15" customWidth="1" min="3" max="3"/>
    <col width="14" customWidth="1" min="4" max="4"/>
    <col width="14" customWidth="1" min="5" max="5"/>
    <col width="14" customWidth="1" min="6" max="6"/>
    <col width="52" customWidth="1" min="7" max="7"/>
  </cols>
  <sheetData>
    <row r="1">
      <c r="A1" s="7" t="inlineStr">
        <is>
          <t>区分</t>
        </is>
      </c>
      <c r="B1" s="7" t="inlineStr">
        <is>
          <t>事業</t>
        </is>
      </c>
      <c r="C1" s="7" t="inlineStr">
        <is>
          <t>令和7年度（実績）</t>
        </is>
      </c>
      <c r="D1" s="7" t="inlineStr">
        <is>
          <t>令和9年度</t>
        </is>
      </c>
      <c r="E1" s="7" t="inlineStr">
        <is>
          <t>令和10年度</t>
        </is>
      </c>
      <c r="F1" s="7" t="inlineStr">
        <is>
          <t>令和11年度</t>
        </is>
      </c>
      <c r="G1" s="7" t="inlineStr">
        <is>
          <t>備考</t>
        </is>
      </c>
    </row>
    <row r="2">
      <c r="A2" s="8" t="inlineStr">
        <is>
          <t>総合事業</t>
        </is>
      </c>
      <c r="B2" s="8" t="inlineStr">
        <is>
          <t>介護予防・生活支援サービス事業（訪問型）</t>
        </is>
      </c>
      <c r="C2" s="10" t="n"/>
      <c r="D2" s="10" t="n"/>
      <c r="E2" s="10" t="n"/>
      <c r="F2" s="10" t="n"/>
      <c r="G2" s="9" t="inlineStr"/>
    </row>
    <row r="3">
      <c r="A3" s="8" t="inlineStr">
        <is>
          <t>総合事業</t>
        </is>
      </c>
      <c r="B3" s="8" t="inlineStr">
        <is>
          <t>介護予防・生活支援サービス事業（通所型）</t>
        </is>
      </c>
      <c r="C3" s="10" t="n"/>
      <c r="D3" s="10" t="n"/>
      <c r="E3" s="10" t="n"/>
      <c r="F3" s="10" t="n"/>
      <c r="G3" s="9" t="inlineStr"/>
    </row>
    <row r="4">
      <c r="A4" s="8" t="inlineStr">
        <is>
          <t>総合事業</t>
        </is>
      </c>
      <c r="B4" s="8" t="inlineStr">
        <is>
          <t>その他の生活支援サービス</t>
        </is>
      </c>
      <c r="C4" s="10" t="n"/>
      <c r="D4" s="10" t="n"/>
      <c r="E4" s="10" t="n"/>
      <c r="F4" s="10" t="n"/>
      <c r="G4" s="9" t="inlineStr"/>
    </row>
    <row r="5">
      <c r="A5" s="8" t="inlineStr">
        <is>
          <t>総合事業</t>
        </is>
      </c>
      <c r="B5" s="8" t="inlineStr">
        <is>
          <t>介護予防ケアマネジメント</t>
        </is>
      </c>
      <c r="C5" s="10" t="n"/>
      <c r="D5" s="10" t="n"/>
      <c r="E5" s="10" t="n"/>
      <c r="F5" s="10" t="n"/>
      <c r="G5" s="9" t="inlineStr"/>
    </row>
    <row r="6">
      <c r="A6" s="8" t="inlineStr">
        <is>
          <t>総合事業</t>
        </is>
      </c>
      <c r="B6" s="8" t="inlineStr">
        <is>
          <t>一般介護予防事業</t>
        </is>
      </c>
      <c r="C6" s="10" t="n"/>
      <c r="D6" s="10" t="n"/>
      <c r="E6" s="10" t="n"/>
      <c r="F6" s="10" t="n"/>
      <c r="G6" s="9" t="inlineStr">
        <is>
          <t>**令和5年度で1.0百万円と低水準。通いの場を第10期の最重点とするため増額を見込む**</t>
        </is>
      </c>
    </row>
    <row r="7">
      <c r="A7" s="8" t="inlineStr">
        <is>
          <t>包括的支援事業</t>
        </is>
      </c>
      <c r="B7" s="8" t="inlineStr">
        <is>
          <t>地域包括支援センターの運営</t>
        </is>
      </c>
      <c r="C7" s="10" t="n"/>
      <c r="D7" s="10" t="n"/>
      <c r="E7" s="10" t="n"/>
      <c r="F7" s="10" t="n"/>
      <c r="G7" s="9" t="inlineStr"/>
    </row>
    <row r="8">
      <c r="A8" s="8" t="inlineStr">
        <is>
          <t>包括的支援事業</t>
        </is>
      </c>
      <c r="B8" s="8" t="inlineStr">
        <is>
          <t>在宅医療・介護連携推進事業</t>
        </is>
      </c>
      <c r="C8" s="10" t="n"/>
      <c r="D8" s="10" t="n"/>
      <c r="E8" s="10" t="n"/>
      <c r="F8" s="10" t="n"/>
      <c r="G8" s="9" t="inlineStr"/>
    </row>
    <row r="9">
      <c r="A9" s="8" t="inlineStr">
        <is>
          <t>包括的支援事業</t>
        </is>
      </c>
      <c r="B9" s="8" t="inlineStr">
        <is>
          <t>生活支援体制整備事業</t>
        </is>
      </c>
      <c r="C9" s="10" t="n"/>
      <c r="D9" s="10" t="n"/>
      <c r="E9" s="10" t="n"/>
      <c r="F9" s="10" t="n"/>
      <c r="G9" s="9" t="inlineStr"/>
    </row>
    <row r="10">
      <c r="A10" s="8" t="inlineStr">
        <is>
          <t>包括的支援事業</t>
        </is>
      </c>
      <c r="B10" s="8" t="inlineStr">
        <is>
          <t>認知症総合支援事業</t>
        </is>
      </c>
      <c r="C10" s="10" t="n"/>
      <c r="D10" s="10" t="n"/>
      <c r="E10" s="10" t="n"/>
      <c r="F10" s="10" t="n"/>
      <c r="G10" s="9" t="inlineStr"/>
    </row>
    <row r="11">
      <c r="A11" s="8" t="inlineStr">
        <is>
          <t>包括的支援事業</t>
        </is>
      </c>
      <c r="B11" s="8" t="inlineStr">
        <is>
          <t>地域ケア会議推進事業</t>
        </is>
      </c>
      <c r="C11" s="10" t="n"/>
      <c r="D11" s="10" t="n"/>
      <c r="E11" s="10" t="n"/>
      <c r="F11" s="10" t="n"/>
      <c r="G11" s="9" t="inlineStr"/>
    </row>
    <row r="12">
      <c r="A12" s="8" t="inlineStr">
        <is>
          <t>任意事業</t>
        </is>
      </c>
      <c r="B12" s="8" t="inlineStr">
        <is>
          <t>介護給付等費用適正化事業</t>
        </is>
      </c>
      <c r="C12" s="10" t="n"/>
      <c r="D12" s="10" t="n"/>
      <c r="E12" s="10" t="n"/>
      <c r="F12" s="10" t="n"/>
      <c r="G12" s="9" t="inlineStr"/>
    </row>
    <row r="13">
      <c r="A13" s="8" t="inlineStr">
        <is>
          <t>任意事業</t>
        </is>
      </c>
      <c r="B13" s="8" t="inlineStr">
        <is>
          <t>家族介護支援事業</t>
        </is>
      </c>
      <c r="C13" s="10" t="n"/>
      <c r="D13" s="10" t="n"/>
      <c r="E13" s="10" t="n"/>
      <c r="F13" s="10" t="n"/>
      <c r="G13" s="9" t="inlineStr"/>
    </row>
    <row r="14">
      <c r="A14" s="8" t="inlineStr">
        <is>
          <t>任意事業</t>
        </is>
      </c>
      <c r="B14" s="8" t="inlineStr">
        <is>
          <t>その他の任意事業</t>
        </is>
      </c>
      <c r="C14" s="10" t="n"/>
      <c r="D14" s="10" t="n"/>
      <c r="E14" s="10" t="n"/>
      <c r="F14" s="10" t="n"/>
      <c r="G14" s="9" t="inlineStr"/>
    </row>
    <row r="15">
      <c r="A15" s="8" t="inlineStr">
        <is>
          <t>合計</t>
        </is>
      </c>
      <c r="B15" s="8" t="inlineStr"/>
      <c r="C15" s="25">
        <f>SUM(C2:C14)</f>
        <v/>
      </c>
      <c r="D15" s="25">
        <f>SUM(D2:D14)</f>
        <v/>
      </c>
      <c r="E15" s="25">
        <f>SUM(E2:E14)</f>
        <v/>
      </c>
      <c r="F15" s="25">
        <f>SUM(F2:F14)</f>
        <v/>
      </c>
      <c r="G15" s="9" t="inlineStr"/>
    </row>
    <row r="17">
      <c r="A17" t="inlineStr">
        <is>
          <t>※ 単位：千円。</t>
        </is>
      </c>
    </row>
    <row r="18">
      <c r="A18" t="inlineStr">
        <is>
          <t>※ 総合事業には上限額（前年度実績×高齢者人口の伸び率）が設定されます。上限を超える場合は町と協議します。</t>
        </is>
      </c>
    </row>
    <row r="19">
      <c r="A19" t="inlineStr">
        <is>
          <t>※ **見える化システムには令和3年度以降の総合事業の値がありません。**町の事業実績が必要です。</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 width="16" customWidth="1" min="2" max="2"/>
    <col width="16" customWidth="1" min="3" max="3"/>
    <col width="16" customWidth="1" min="4" max="4"/>
    <col width="17" customWidth="1" min="5" max="5"/>
    <col width="46" customWidth="1" min="6" max="6"/>
  </cols>
  <sheetData>
    <row r="1">
      <c r="A1" s="7" t="inlineStr">
        <is>
          <t>項目</t>
        </is>
      </c>
      <c r="B1" s="7" t="inlineStr">
        <is>
          <t>令和9年度</t>
        </is>
      </c>
      <c r="C1" s="7" t="inlineStr">
        <is>
          <t>令和10年度</t>
        </is>
      </c>
      <c r="D1" s="7" t="inlineStr">
        <is>
          <t>令和11年度</t>
        </is>
      </c>
      <c r="E1" s="7" t="inlineStr">
        <is>
          <t>3年計</t>
        </is>
      </c>
      <c r="F1" s="7" t="inlineStr">
        <is>
          <t>算式・備考</t>
        </is>
      </c>
    </row>
    <row r="2">
      <c r="A2" s="8" t="inlineStr">
        <is>
          <t>介護給付費（05_見込量_介護の合計）</t>
        </is>
      </c>
      <c r="B2" s="22">
        <f>'05_見込量_介護'!J28</f>
        <v/>
      </c>
      <c r="C2" s="22">
        <f>'05_見込量_介護'!N28</f>
        <v/>
      </c>
      <c r="D2" s="22">
        <f>'05_見込量_介護'!R28</f>
        <v/>
      </c>
      <c r="E2" s="22">
        <f>SUM(B2:D2)</f>
        <v/>
      </c>
      <c r="F2" s="9" t="inlineStr">
        <is>
          <t>05_見込量_介護 の合計行</t>
        </is>
      </c>
    </row>
    <row r="3">
      <c r="A3" s="8" t="inlineStr">
        <is>
          <t>予防給付費（06_見込量_予防の合計）</t>
        </is>
      </c>
      <c r="B3" s="22">
        <f>'06_見込量_予防'!J17</f>
        <v/>
      </c>
      <c r="C3" s="22">
        <f>'06_見込量_予防'!N17</f>
        <v/>
      </c>
      <c r="D3" s="22">
        <f>'06_見込量_予防'!R17</f>
        <v/>
      </c>
      <c r="E3" s="22">
        <f>SUM(B3:D3)</f>
        <v/>
      </c>
      <c r="F3" s="9" t="inlineStr">
        <is>
          <t>06_見込量_予防 の合計行</t>
        </is>
      </c>
    </row>
    <row r="4">
      <c r="A4" s="8" t="inlineStr">
        <is>
          <t>総給付費</t>
        </is>
      </c>
      <c r="B4" s="22">
        <f>B2+B3</f>
        <v/>
      </c>
      <c r="C4" s="22">
        <f>C2+C3</f>
        <v/>
      </c>
      <c r="D4" s="22">
        <f>D2+D3</f>
        <v/>
      </c>
      <c r="E4" s="22">
        <f>SUM(B4:D4)</f>
        <v/>
      </c>
      <c r="F4" s="9" t="inlineStr">
        <is>
          <t>介護給付費＋予防給付費</t>
        </is>
      </c>
    </row>
    <row r="5">
      <c r="A5" s="8" t="inlineStr">
        <is>
          <t>特定入所者介護サービス費等給付額</t>
        </is>
      </c>
      <c r="B5" s="11">
        <f>B4*0.049932</f>
        <v/>
      </c>
      <c r="C5" s="11">
        <f>C4*0.049932</f>
        <v/>
      </c>
      <c r="D5" s="11">
        <f>D4*0.049932</f>
        <v/>
      </c>
      <c r="E5" s="22">
        <f>SUM(B5:D5)</f>
        <v/>
      </c>
      <c r="F5" s="9" t="inlineStr">
        <is>
          <t>補足給付。総給付費×4.993％（令和5〜7年度の対総給付費比の平均）</t>
        </is>
      </c>
    </row>
    <row r="6">
      <c r="A6" s="8" t="inlineStr">
        <is>
          <t>高額介護サービス費等給付額</t>
        </is>
      </c>
      <c r="B6" s="11">
        <f>B4*0.024606</f>
        <v/>
      </c>
      <c r="C6" s="11">
        <f>C4*0.024606</f>
        <v/>
      </c>
      <c r="D6" s="11">
        <f>D4*0.024606</f>
        <v/>
      </c>
      <c r="E6" s="22">
        <f>SUM(B6:D6)</f>
        <v/>
      </c>
      <c r="F6" s="9" t="inlineStr">
        <is>
          <t>総給付費×2.461％（同）</t>
        </is>
      </c>
    </row>
    <row r="7">
      <c r="A7" s="8" t="inlineStr">
        <is>
          <t>高額医療合算介護サービス費等給付額</t>
        </is>
      </c>
      <c r="B7" s="11">
        <f>B4*0.002657</f>
        <v/>
      </c>
      <c r="C7" s="11">
        <f>C4*0.002657</f>
        <v/>
      </c>
      <c r="D7" s="11">
        <f>D4*0.002657</f>
        <v/>
      </c>
      <c r="E7" s="22">
        <f>SUM(B7:D7)</f>
        <v/>
      </c>
      <c r="F7" s="9" t="inlineStr">
        <is>
          <t>総給付費×0.266％（同）</t>
        </is>
      </c>
    </row>
    <row r="8">
      <c r="A8" s="8" t="inlineStr">
        <is>
          <t>算定対象審査支払手数料</t>
        </is>
      </c>
      <c r="B8" s="11">
        <f>('05_見込量_介護'!G28+'06_見込量_予防'!G17)*60/1000</f>
        <v/>
      </c>
      <c r="C8" s="11">
        <f>('05_見込量_介護'!K28+'06_見込量_予防'!K17)*60/1000</f>
        <v/>
      </c>
      <c r="D8" s="11">
        <f>('05_見込量_介護'!O28+'06_見込量_予防'!O17)*60/1000</f>
        <v/>
      </c>
      <c r="E8" s="22">
        <f>SUM(B8:D8)</f>
        <v/>
      </c>
      <c r="F8" s="9" t="inlineStr">
        <is>
          <t>国保連への手数料。05・06の件数合計×60円。**年報に計上欄がないため仮置き。決算での確認を要します**</t>
        </is>
      </c>
    </row>
    <row r="9">
      <c r="A9" s="23" t="inlineStr">
        <is>
          <t>標準給付費見込額</t>
        </is>
      </c>
      <c r="B9" s="25">
        <f>B4+B5+B6+B7+B8</f>
        <v/>
      </c>
      <c r="C9" s="25">
        <f>C4+C5+C6+C7+C8</f>
        <v/>
      </c>
      <c r="D9" s="25">
        <f>D4+D5+D6+D7+D8</f>
        <v/>
      </c>
      <c r="E9" s="25">
        <f>SUM(B9:D9)</f>
        <v/>
      </c>
      <c r="F9" s="9" t="inlineStr">
        <is>
          <t>総給付費＋補足給付＋高額＋高額合算＋手数料</t>
        </is>
      </c>
    </row>
    <row r="10">
      <c r="A10" s="8" t="inlineStr">
        <is>
          <t>地域支援事業費（07の合計）</t>
        </is>
      </c>
      <c r="B10" s="22">
        <f>'07_地域支援事業'!D15</f>
        <v/>
      </c>
      <c r="C10" s="22">
        <f>'07_地域支援事業'!E15</f>
        <v/>
      </c>
      <c r="D10" s="22">
        <f>'07_地域支援事業'!F15</f>
        <v/>
      </c>
      <c r="E10" s="22">
        <f>SUM(B10:D10)</f>
        <v/>
      </c>
      <c r="F10" s="9" t="inlineStr">
        <is>
          <t>07_地域支援事業 の合計行</t>
        </is>
      </c>
    </row>
    <row r="11">
      <c r="A11" s="23" t="inlineStr">
        <is>
          <t>総費用額</t>
        </is>
      </c>
      <c r="B11" s="25">
        <f>B9+B10</f>
        <v/>
      </c>
      <c r="C11" s="25">
        <f>C9+C10</f>
        <v/>
      </c>
      <c r="D11" s="25">
        <f>D9+D10</f>
        <v/>
      </c>
      <c r="E11" s="25">
        <f>SUM(B11:D11)</f>
        <v/>
      </c>
      <c r="F11" s="9" t="inlineStr">
        <is>
          <t>標準給付費見込額＋地域支援事業費</t>
        </is>
      </c>
    </row>
    <row r="13">
      <c r="A13" t="inlineStr">
        <is>
          <t>※ 単位：千円。</t>
        </is>
      </c>
    </row>
    <row r="14">
      <c r="A14" t="inlineStr">
        <is>
          <t>※ 第9期の標準給付費見込額（3年計）は3,566,486千円でした。第10期はこれを基礎に、認定者数の推計と実績の伸びで算定します。</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41"/>
  <sheetViews>
    <sheetView workbookViewId="0">
      <pane ySplit="1" topLeftCell="A2" activePane="bottomLeft" state="frozen"/>
      <selection pane="bottomLeft" activeCell="A1" sqref="A1"/>
    </sheetView>
  </sheetViews>
  <sheetFormatPr baseColWidth="8" defaultRowHeight="15"/>
  <cols>
    <col width="5" customWidth="1" min="1" max="1"/>
    <col width="42" customWidth="1" min="2" max="2"/>
    <col width="18" customWidth="1" min="3" max="3"/>
    <col width="8" customWidth="1" min="4" max="4"/>
    <col width="60" customWidth="1" min="5" max="5"/>
  </cols>
  <sheetData>
    <row r="1">
      <c r="A1" s="7" t="inlineStr">
        <is>
          <t>#</t>
        </is>
      </c>
      <c r="B1" s="7" t="inlineStr">
        <is>
          <t>項目</t>
        </is>
      </c>
      <c r="C1" s="7" t="inlineStr">
        <is>
          <t>値</t>
        </is>
      </c>
      <c r="D1" s="7" t="inlineStr">
        <is>
          <t>単位</t>
        </is>
      </c>
      <c r="E1" s="7" t="inlineStr">
        <is>
          <t>算式・出典</t>
        </is>
      </c>
    </row>
    <row r="2">
      <c r="A2" s="8" t="n">
        <v>1</v>
      </c>
      <c r="B2" s="8" t="inlineStr">
        <is>
          <t>標準給付費見込額（3年計）</t>
        </is>
      </c>
      <c r="C2" s="22">
        <f>'08_標準給付費'!E9</f>
        <v/>
      </c>
      <c r="D2" s="8" t="inlineStr">
        <is>
          <t>千円</t>
        </is>
      </c>
      <c r="E2" s="9" t="inlineStr">
        <is>
          <t>08_標準給付費 より</t>
        </is>
      </c>
    </row>
    <row r="3">
      <c r="A3" s="8" t="n">
        <v>2</v>
      </c>
      <c r="B3" s="8" t="inlineStr">
        <is>
          <t>地域支援事業費（3年計）</t>
        </is>
      </c>
      <c r="C3" s="22">
        <f>'08_標準給付費'!E10</f>
        <v/>
      </c>
      <c r="D3" s="8" t="inlineStr">
        <is>
          <t>千円</t>
        </is>
      </c>
      <c r="E3" s="9" t="inlineStr">
        <is>
          <t>08_標準給付費 より</t>
        </is>
      </c>
    </row>
    <row r="4">
      <c r="A4" s="8" t="n">
        <v>3</v>
      </c>
      <c r="B4" s="8" t="inlineStr">
        <is>
          <t>総費用額（3年計）</t>
        </is>
      </c>
      <c r="C4" s="22">
        <f>C2+C3</f>
        <v/>
      </c>
      <c r="D4" s="8" t="inlineStr">
        <is>
          <t>千円</t>
        </is>
      </c>
      <c r="E4" s="9" t="inlineStr">
        <is>
          <t>①＋②</t>
        </is>
      </c>
    </row>
    <row r="5">
      <c r="A5" s="8" t="n">
        <v>4</v>
      </c>
      <c r="B5" s="8" t="inlineStr">
        <is>
          <t>第1号被保険者負担割合</t>
        </is>
      </c>
      <c r="C5" s="28" t="n"/>
      <c r="D5" s="8" t="inlineStr">
        <is>
          <t>％</t>
        </is>
      </c>
      <c r="E5" s="9" t="inlineStr">
        <is>
          <t>国の基本指針による。第9期は23％。**第10期の割合は国の決定後に確定**</t>
        </is>
      </c>
    </row>
    <row r="6">
      <c r="A6" s="8" t="n">
        <v>5</v>
      </c>
      <c r="B6" s="8" t="inlineStr">
        <is>
          <t>第1号被保険者負担分相当額</t>
        </is>
      </c>
      <c r="C6" s="22">
        <f>C4*C5/100</f>
        <v/>
      </c>
      <c r="D6" s="8" t="inlineStr">
        <is>
          <t>千円</t>
        </is>
      </c>
      <c r="E6" s="9" t="inlineStr">
        <is>
          <t>③×④</t>
        </is>
      </c>
    </row>
    <row r="7">
      <c r="A7" s="8" t="n">
        <v>6</v>
      </c>
      <c r="B7" s="8" t="inlineStr">
        <is>
          <t>調整交付金相当額</t>
        </is>
      </c>
      <c r="C7" s="22">
        <f>C4*C8/100</f>
        <v/>
      </c>
      <c r="D7" s="8" t="inlineStr">
        <is>
          <t>千円</t>
        </is>
      </c>
      <c r="E7" s="9" t="inlineStr">
        <is>
          <t>③×⑦</t>
        </is>
      </c>
    </row>
    <row r="8">
      <c r="A8" s="8" t="n">
        <v>7</v>
      </c>
      <c r="B8" s="8" t="inlineStr">
        <is>
          <t>調整交付金相当割合</t>
        </is>
      </c>
      <c r="C8" s="28" t="n"/>
      <c r="D8" s="8" t="inlineStr">
        <is>
          <t>％</t>
        </is>
      </c>
      <c r="E8" s="9" t="inlineStr">
        <is>
          <t>国の基本指針による。標準は5％</t>
        </is>
      </c>
    </row>
    <row r="9">
      <c r="A9" s="8" t="n">
        <v>8</v>
      </c>
      <c r="B9" s="8" t="inlineStr">
        <is>
          <t>調整交付金見込額</t>
        </is>
      </c>
      <c r="C9" s="10" t="n"/>
      <c r="D9" s="8" t="inlineStr">
        <is>
          <t>千円</t>
        </is>
      </c>
      <c r="E9" s="9" t="inlineStr">
        <is>
          <t>**後期高齢者加入割合・所得段階別加入割合により算定。見える化システムで確認**</t>
        </is>
      </c>
    </row>
    <row r="10">
      <c r="A10" s="8" t="n">
        <v>9</v>
      </c>
      <c r="B10" s="8" t="inlineStr">
        <is>
          <t>財政安定化基金拠出金見込額</t>
        </is>
      </c>
      <c r="C10" s="10" t="n"/>
      <c r="D10" s="8" t="inlineStr">
        <is>
          <t>千円</t>
        </is>
      </c>
      <c r="E10" s="9" t="inlineStr">
        <is>
          <t>県の設定による。第9期は0円</t>
        </is>
      </c>
    </row>
    <row r="11">
      <c r="A11" s="8" t="n">
        <v>10</v>
      </c>
      <c r="B11" s="8" t="inlineStr">
        <is>
          <t>財政安定化基金償還金</t>
        </is>
      </c>
      <c r="C11" s="10" t="n"/>
      <c r="D11" s="8" t="inlineStr">
        <is>
          <t>千円</t>
        </is>
      </c>
      <c r="E11" s="9" t="inlineStr">
        <is>
          <t>借入がある場合。第9期は0円</t>
        </is>
      </c>
    </row>
    <row r="12">
      <c r="A12" s="8" t="n">
        <v>11</v>
      </c>
      <c r="B12" s="8" t="inlineStr">
        <is>
          <t>準備基金取崩額</t>
        </is>
      </c>
      <c r="C12" s="10" t="n"/>
      <c r="D12" s="8" t="inlineStr">
        <is>
          <t>千円</t>
        </is>
      </c>
      <c r="E12" s="9" t="inlineStr">
        <is>
          <t>**政策判断。第9期は35,000千円を見込んだが、介護給付費準備基金の保有額は令和5・6年度末とも12,000千円しかない（年報 様式4）。**取崩の原資が足りるかを確認したうえで設定する。ケースC5・C6で変える</t>
        </is>
      </c>
    </row>
    <row r="13">
      <c r="A13" s="8" t="n">
        <v>12</v>
      </c>
      <c r="B13" s="8" t="inlineStr">
        <is>
          <t>市町村特別給付費等</t>
        </is>
      </c>
      <c r="C13" s="10" t="n"/>
      <c r="D13" s="8" t="inlineStr">
        <is>
          <t>千円</t>
        </is>
      </c>
      <c r="E13" s="9" t="inlineStr">
        <is>
          <t>町単独事業を保険料で賄う場合</t>
        </is>
      </c>
    </row>
    <row r="14">
      <c r="A14" s="8" t="n">
        <v>13</v>
      </c>
      <c r="B14" s="8" t="inlineStr">
        <is>
          <t>保険料収納必要額</t>
        </is>
      </c>
      <c r="C14" s="22">
        <f>C6+C7-C9+C10+C11-C12+C13</f>
        <v/>
      </c>
      <c r="D14" s="8" t="inlineStr">
        <is>
          <t>千円</t>
        </is>
      </c>
      <c r="E14" s="9" t="inlineStr">
        <is>
          <t>⑤＋⑥－⑧＋⑨＋⑩－⑪＋⑫</t>
        </is>
      </c>
    </row>
    <row r="15">
      <c r="A15" s="8" t="n">
        <v>14</v>
      </c>
      <c r="B15" s="8" t="inlineStr">
        <is>
          <t>予定保険料収納率</t>
        </is>
      </c>
      <c r="C15" s="29" t="n">
        <v>99.34999999999999</v>
      </c>
      <c r="D15" s="8" t="inlineStr">
        <is>
          <t>％</t>
        </is>
      </c>
      <c r="E15" s="9" t="inlineStr">
        <is>
          <t>**令和7年度実績＝収納264,162,900円÷調定265,881,800円＝99.35％（年報 様式3）。**直近3年の実績を踏まえて設定する</t>
        </is>
      </c>
    </row>
    <row r="16">
      <c r="A16" s="8" t="n">
        <v>15</v>
      </c>
      <c r="B16" s="8" t="inlineStr">
        <is>
          <t>保険料賦課総額</t>
        </is>
      </c>
      <c r="C16" s="22">
        <f>IF(C15=0,"",C14/C15*100)</f>
        <v/>
      </c>
      <c r="D16" s="8" t="inlineStr">
        <is>
          <t>千円</t>
        </is>
      </c>
      <c r="E16" s="9" t="inlineStr">
        <is>
          <t>⑬÷⑭</t>
        </is>
      </c>
    </row>
    <row r="17">
      <c r="A17" s="8" t="n">
        <v>16</v>
      </c>
      <c r="B17" s="8" t="inlineStr">
        <is>
          <t>所得段階別加入割合補正後被保険者数（3年計）</t>
        </is>
      </c>
      <c r="C17" s="22">
        <f>E37</f>
        <v/>
      </c>
      <c r="D17" s="8" t="inlineStr">
        <is>
          <t>人</t>
        </is>
      </c>
      <c r="E17" s="9" t="inlineStr">
        <is>
          <t>下表の合計。**所得段階別第1号被保険者数が必要**</t>
        </is>
      </c>
    </row>
    <row r="18">
      <c r="A18" s="8" t="n">
        <v>17</v>
      </c>
      <c r="B18" s="23" t="inlineStr">
        <is>
          <t>保険料基準額（年額）</t>
        </is>
      </c>
      <c r="C18" s="30">
        <f>IF(C17=0,"",C16*1000/C17)</f>
        <v/>
      </c>
      <c r="D18" s="8" t="inlineStr">
        <is>
          <t>円</t>
        </is>
      </c>
      <c r="E18" s="9" t="inlineStr">
        <is>
          <t>⑮÷⑯</t>
        </is>
      </c>
    </row>
    <row r="19">
      <c r="A19" s="8" t="n">
        <v>18</v>
      </c>
      <c r="B19" s="23" t="inlineStr">
        <is>
          <t>保険料基準額（月額）</t>
        </is>
      </c>
      <c r="C19" s="30">
        <f>IF(C18="","",C18/12)</f>
        <v/>
      </c>
      <c r="D19" s="8" t="inlineStr">
        <is>
          <t>円</t>
        </is>
      </c>
      <c r="E19" s="9" t="inlineStr">
        <is>
          <t>⑰÷12</t>
        </is>
      </c>
    </row>
    <row r="20">
      <c r="A20" s="8" t="n">
        <v>19</v>
      </c>
      <c r="B20" s="8" t="inlineStr">
        <is>
          <t>第9期の保険料基準額（月額）</t>
        </is>
      </c>
      <c r="C20" s="31" t="n">
        <v>6600</v>
      </c>
      <c r="D20" s="8" t="inlineStr">
        <is>
          <t>円</t>
        </is>
      </c>
      <c r="E20" s="9" t="inlineStr">
        <is>
          <t>第9期計画本文</t>
        </is>
      </c>
    </row>
    <row r="21">
      <c r="A21" s="8" t="n">
        <v>20</v>
      </c>
      <c r="B21" s="23" t="inlineStr">
        <is>
          <t>第9期との差</t>
        </is>
      </c>
      <c r="C21" s="30">
        <f>IF(C19="","",C19-C20)</f>
        <v/>
      </c>
      <c r="D21" s="8" t="inlineStr">
        <is>
          <t>円</t>
        </is>
      </c>
      <c r="E21" s="9" t="inlineStr">
        <is>
          <t>⑱－⑲</t>
        </is>
      </c>
    </row>
    <row r="22">
      <c r="A22" s="19" t="inlineStr">
        <is>
          <t>【所得段階別 加入割合補正後被保険者数】</t>
        </is>
      </c>
      <c r="B22" s="18" t="n"/>
      <c r="C22" s="17" t="n"/>
      <c r="D22" s="17" t="n"/>
      <c r="E22" s="17" t="n"/>
    </row>
    <row r="23">
      <c r="A23" s="32" t="inlineStr">
        <is>
          <t>段階</t>
        </is>
      </c>
      <c r="B23" s="33" t="inlineStr">
        <is>
          <t>対象</t>
        </is>
      </c>
      <c r="C23" s="32" t="inlineStr">
        <is>
          <t>保険料率</t>
        </is>
      </c>
      <c r="D23" s="32" t="inlineStr">
        <is>
          <t>被保険者数（3年計）</t>
        </is>
      </c>
      <c r="E23" s="32" t="inlineStr">
        <is>
          <t>補正後人数</t>
        </is>
      </c>
    </row>
    <row r="24">
      <c r="A24" s="8" t="inlineStr">
        <is>
          <t>第1段階</t>
        </is>
      </c>
      <c r="B24" s="9" t="inlineStr">
        <is>
          <t>生活保護受給者、老齢福祉年金受給者、住民税非課税世帯かつ年金収入等80万円以下</t>
        </is>
      </c>
      <c r="C24" s="34" t="n">
        <v>0.285</v>
      </c>
      <c r="D24" s="11" t="n">
        <v>1575</v>
      </c>
      <c r="E24" s="21">
        <f>IF(D24="","",C24*D24)</f>
        <v/>
      </c>
    </row>
    <row r="25">
      <c r="A25" s="8" t="inlineStr">
        <is>
          <t>第2段階</t>
        </is>
      </c>
      <c r="B25" s="9" t="inlineStr">
        <is>
          <t>住民税非課税世帯かつ年金収入等80万円超120万円以下</t>
        </is>
      </c>
      <c r="C25" s="34" t="n">
        <v>0.486</v>
      </c>
      <c r="D25" s="11" t="n">
        <v>891</v>
      </c>
      <c r="E25" s="21">
        <f>IF(D25="","",C25*D25)</f>
        <v/>
      </c>
    </row>
    <row r="26">
      <c r="A26" s="8" t="inlineStr">
        <is>
          <t>第3段階</t>
        </is>
      </c>
      <c r="B26" s="9" t="inlineStr">
        <is>
          <t>住民税非課税世帯かつ年金収入等120万円超</t>
        </is>
      </c>
      <c r="C26" s="34" t="n">
        <v>0.6850000000000001</v>
      </c>
      <c r="D26" s="11" t="n">
        <v>816</v>
      </c>
      <c r="E26" s="21">
        <f>IF(D26="","",C26*D26)</f>
        <v/>
      </c>
    </row>
    <row r="27">
      <c r="A27" s="8" t="inlineStr">
        <is>
          <t>第4段階</t>
        </is>
      </c>
      <c r="B27" s="9" t="inlineStr">
        <is>
          <t>本人非課税かつ世帯課税、年金収入等80万円以下</t>
        </is>
      </c>
      <c r="C27" s="34" t="n">
        <v>0.9</v>
      </c>
      <c r="D27" s="11" t="n">
        <v>1302</v>
      </c>
      <c r="E27" s="21">
        <f>IF(D27="","",C27*D27)</f>
        <v/>
      </c>
    </row>
    <row r="28">
      <c r="A28" s="8" t="inlineStr">
        <is>
          <t>第5段階</t>
        </is>
      </c>
      <c r="B28" s="9" t="inlineStr">
        <is>
          <t>本人非課税かつ世帯課税、年金収入等80万円超</t>
        </is>
      </c>
      <c r="C28" s="34" t="n">
        <v>1</v>
      </c>
      <c r="D28" s="11" t="n">
        <v>1830</v>
      </c>
      <c r="E28" s="21">
        <f>IF(D28="","",C28*D28)</f>
        <v/>
      </c>
    </row>
    <row r="29">
      <c r="A29" s="8" t="inlineStr">
        <is>
          <t>第6段階</t>
        </is>
      </c>
      <c r="B29" s="9" t="inlineStr">
        <is>
          <t>本人課税、合計所得金額120万円未満</t>
        </is>
      </c>
      <c r="C29" s="34" t="n">
        <v>1.2</v>
      </c>
      <c r="D29" s="11" t="n">
        <v>1473</v>
      </c>
      <c r="E29" s="21">
        <f>IF(D29="","",C29*D29)</f>
        <v/>
      </c>
    </row>
    <row r="30">
      <c r="A30" s="8" t="inlineStr">
        <is>
          <t>第7段階</t>
        </is>
      </c>
      <c r="B30" s="9" t="inlineStr">
        <is>
          <t>本人課税、合計所得金額120万円以上210万円未満</t>
        </is>
      </c>
      <c r="C30" s="34" t="n">
        <v>1.3</v>
      </c>
      <c r="D30" s="11" t="n">
        <v>1254</v>
      </c>
      <c r="E30" s="21">
        <f>IF(D30="","",C30*D30)</f>
        <v/>
      </c>
    </row>
    <row r="31">
      <c r="A31" s="8" t="inlineStr">
        <is>
          <t>第8段階</t>
        </is>
      </c>
      <c r="B31" s="9" t="inlineStr">
        <is>
          <t>本人課税、合計所得金額210万円以上320万円未満</t>
        </is>
      </c>
      <c r="C31" s="34" t="n">
        <v>1.5</v>
      </c>
      <c r="D31" s="11" t="n">
        <v>693</v>
      </c>
      <c r="E31" s="21">
        <f>IF(D31="","",C31*D31)</f>
        <v/>
      </c>
    </row>
    <row r="32">
      <c r="A32" s="8" t="inlineStr">
        <is>
          <t>第9段階</t>
        </is>
      </c>
      <c r="B32" s="9" t="inlineStr">
        <is>
          <t>本人課税、合計所得金額320万円以上420万円未満</t>
        </is>
      </c>
      <c r="C32" s="34" t="n">
        <v>1.7</v>
      </c>
      <c r="D32" s="11" t="n">
        <v>231</v>
      </c>
      <c r="E32" s="21">
        <f>IF(D32="","",C32*D32)</f>
        <v/>
      </c>
    </row>
    <row r="33">
      <c r="A33" s="8" t="inlineStr">
        <is>
          <t>第10段階</t>
        </is>
      </c>
      <c r="B33" s="9" t="inlineStr">
        <is>
          <t>本人課税、合計所得金額420万円以上520万円未満</t>
        </is>
      </c>
      <c r="C33" s="34" t="n">
        <v>1.9</v>
      </c>
      <c r="D33" s="11" t="n">
        <v>108</v>
      </c>
      <c r="E33" s="21">
        <f>IF(D33="","",C33*D33)</f>
        <v/>
      </c>
    </row>
    <row r="34">
      <c r="A34" s="8" t="inlineStr">
        <is>
          <t>第11段階</t>
        </is>
      </c>
      <c r="B34" s="9" t="inlineStr">
        <is>
          <t>本人課税、合計所得金額520万円以上620万円未満</t>
        </is>
      </c>
      <c r="C34" s="34" t="n">
        <v>2.1</v>
      </c>
      <c r="D34" s="11" t="n">
        <v>42</v>
      </c>
      <c r="E34" s="21">
        <f>IF(D34="","",C34*D34)</f>
        <v/>
      </c>
    </row>
    <row r="35">
      <c r="A35" s="8" t="inlineStr">
        <is>
          <t>第12段階</t>
        </is>
      </c>
      <c r="B35" s="9" t="inlineStr">
        <is>
          <t>本人課税、合計所得金額620万円以上720万円未満</t>
        </is>
      </c>
      <c r="C35" s="34" t="n">
        <v>2.3</v>
      </c>
      <c r="D35" s="11" t="n">
        <v>21</v>
      </c>
      <c r="E35" s="21">
        <f>IF(D35="","",C35*D35)</f>
        <v/>
      </c>
    </row>
    <row r="36">
      <c r="A36" s="8" t="inlineStr">
        <is>
          <t>第13段階</t>
        </is>
      </c>
      <c r="B36" s="9" t="inlineStr">
        <is>
          <t>本人課税、合計所得金額720万円以上</t>
        </is>
      </c>
      <c r="C36" s="34" t="n">
        <v>2.4</v>
      </c>
      <c r="D36" s="11" t="n">
        <v>93</v>
      </c>
      <c r="E36" s="21">
        <f>IF(D36="","",C36*D36)</f>
        <v/>
      </c>
    </row>
    <row r="37">
      <c r="A37" s="8" t="inlineStr">
        <is>
          <t>合計</t>
        </is>
      </c>
      <c r="B37" s="9" t="inlineStr"/>
      <c r="C37" s="8" t="inlineStr"/>
      <c r="D37" s="24">
        <f>SUM(D24:D36)</f>
        <v/>
      </c>
      <c r="E37" s="24">
        <f>SUM(E24:E36)</f>
        <v/>
      </c>
    </row>
    <row r="39">
      <c r="A39" t="inlineStr">
        <is>
          <t>※ **保険料率は小野町が第9期で定めた割合（年報 様式1 所得段階別）。**第1〜3段階は国の標準（0.455／0.685／0.69）より低い0.285／0.486／0.685で、公費による低所得者軽減を反映した率です。第10期の段階設定は国の基本指針を受けて確定します。</t>
        </is>
      </c>
    </row>
    <row r="40">
      <c r="A40" t="inlineStr">
        <is>
          <t>※ **被保険者数は令和7年度末の実績（年報 様式1 所得段階別）を3倍して3年計としています。**計画期間の被保険者数の推移（02_人口・被保険者）に応じて置き換えてください。</t>
        </is>
      </c>
    </row>
    <row r="41">
      <c r="A41" t="inlineStr">
        <is>
          <t>※ 補正後人数＝保険料率×被保険者数。</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30" customWidth="1" min="2" max="2"/>
    <col width="20" customWidth="1" min="3" max="3"/>
    <col width="19" customWidth="1" min="4" max="4"/>
    <col width="18" customWidth="1" min="5" max="5"/>
    <col width="18" customWidth="1" min="6" max="6"/>
    <col width="20" customWidth="1" min="7" max="7"/>
    <col width="17" customWidth="1" min="8" max="8"/>
    <col width="40" customWidth="1" min="9" max="9"/>
  </cols>
  <sheetData>
    <row r="1">
      <c r="A1" s="7" t="inlineStr">
        <is>
          <t>ケース</t>
        </is>
      </c>
      <c r="B1" s="7" t="inlineStr">
        <is>
          <t>認定者数の前提</t>
        </is>
      </c>
      <c r="C1" s="7" t="inlineStr">
        <is>
          <t>標準給付費（3年計・千円）</t>
        </is>
      </c>
      <c r="D1" s="7" t="inlineStr">
        <is>
          <t>地域支援事業費（千円）</t>
        </is>
      </c>
      <c r="E1" s="7" t="inlineStr">
        <is>
          <t>総費用額（千円）</t>
        </is>
      </c>
      <c r="F1" s="7" t="inlineStr">
        <is>
          <t>基金取崩額（千円）</t>
        </is>
      </c>
      <c r="G1" s="7" t="inlineStr">
        <is>
          <t>保険料基準額（月額・円）</t>
        </is>
      </c>
      <c r="H1" s="7" t="inlineStr">
        <is>
          <t>第9期との差（円）</t>
        </is>
      </c>
      <c r="I1" s="7" t="inlineStr">
        <is>
          <t>備考</t>
        </is>
      </c>
    </row>
    <row r="2">
      <c r="A2" s="8" t="inlineStr">
        <is>
          <t>C1 標準（低位）</t>
        </is>
      </c>
      <c r="B2" s="35" t="n"/>
      <c r="C2" s="10" t="n"/>
      <c r="D2" s="10" t="n"/>
      <c r="E2" s="10" t="n"/>
      <c r="F2" s="10" t="n"/>
      <c r="G2" s="10" t="n"/>
      <c r="H2" s="10" t="n"/>
      <c r="I2" s="9" t="inlineStr"/>
    </row>
    <row r="3">
      <c r="A3" s="8" t="inlineStr">
        <is>
          <t>C2 標準（高位）</t>
        </is>
      </c>
      <c r="B3" s="35" t="n"/>
      <c r="C3" s="10" t="n"/>
      <c r="D3" s="10" t="n"/>
      <c r="E3" s="10" t="n"/>
      <c r="F3" s="10" t="n"/>
      <c r="G3" s="10" t="n"/>
      <c r="H3" s="10" t="n"/>
      <c r="I3" s="9" t="inlineStr"/>
    </row>
    <row r="4">
      <c r="A4" s="8" t="inlineStr">
        <is>
          <t>C3 施設整備あり</t>
        </is>
      </c>
      <c r="B4" s="35" t="n"/>
      <c r="C4" s="10" t="n"/>
      <c r="D4" s="10" t="n"/>
      <c r="E4" s="10" t="n"/>
      <c r="F4" s="10" t="n"/>
      <c r="G4" s="10" t="n"/>
      <c r="H4" s="10" t="n"/>
      <c r="I4" s="9" t="inlineStr"/>
    </row>
    <row r="5">
      <c r="A5" s="8" t="inlineStr">
        <is>
          <t>C4 制度改正の影響</t>
        </is>
      </c>
      <c r="B5" s="35" t="n"/>
      <c r="C5" s="10" t="n"/>
      <c r="D5" s="10" t="n"/>
      <c r="E5" s="10" t="n"/>
      <c r="F5" s="10" t="n"/>
      <c r="G5" s="10" t="n"/>
      <c r="H5" s="10" t="n"/>
      <c r="I5" s="9" t="inlineStr"/>
    </row>
    <row r="6">
      <c r="A6" s="8" t="inlineStr">
        <is>
          <t>C5 基金活用</t>
        </is>
      </c>
      <c r="B6" s="35" t="n"/>
      <c r="C6" s="10" t="n"/>
      <c r="D6" s="10" t="n"/>
      <c r="E6" s="10" t="n"/>
      <c r="F6" s="10" t="n"/>
      <c r="G6" s="10" t="n"/>
      <c r="H6" s="10" t="n"/>
      <c r="I6" s="9" t="inlineStr"/>
    </row>
    <row r="7">
      <c r="A7" s="8" t="inlineStr">
        <is>
          <t>C6 保険料据置（逆算）</t>
        </is>
      </c>
      <c r="B7" s="35" t="n"/>
      <c r="C7" s="10" t="n"/>
      <c r="D7" s="10" t="n"/>
      <c r="E7" s="10" t="n"/>
      <c r="F7" s="10" t="n"/>
      <c r="G7" s="10" t="n"/>
      <c r="H7" s="10" t="n"/>
      <c r="I7" s="9" t="inlineStr"/>
    </row>
    <row r="9">
      <c r="A9" t="inlineStr">
        <is>
          <t>※ 各ケースは09_保険料算定の入力値を変えて算定し、結果を本表に転記します。**ブックを複製してケースごとに保存する運用とします。**</t>
        </is>
      </c>
    </row>
    <row r="10">
      <c r="A10" t="inlineStr">
        <is>
          <t>※ **C1とC2の差が、認定者数の確認が済むまでの不確実性の幅です。**この幅を協議会に示したうえで、確認結果を待って1本に絞ります。</t>
        </is>
      </c>
    </row>
    <row r="11">
      <c r="A11" t="inlineStr">
        <is>
          <t>※ 協議会に諮る際は、保険料の水準だけでなく、繰越金182.0百万円・基金純増88.1百万円という財政余剰の還元方針を併せて示します。</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40" customWidth="1" min="2" max="2"/>
    <col width="18" customWidth="1" min="3" max="3"/>
    <col width="8" customWidth="1" min="4" max="4"/>
    <col width="66" customWidth="1" min="5" max="5"/>
  </cols>
  <sheetData>
    <row r="1">
      <c r="A1" s="7" t="inlineStr">
        <is>
          <t>区分</t>
        </is>
      </c>
      <c r="B1" s="7" t="inlineStr">
        <is>
          <t>項目</t>
        </is>
      </c>
      <c r="C1" s="7" t="inlineStr">
        <is>
          <t>令和7年度 実績</t>
        </is>
      </c>
      <c r="D1" s="7" t="inlineStr">
        <is>
          <t>単位</t>
        </is>
      </c>
      <c r="E1" s="7" t="inlineStr">
        <is>
          <t>出典・備考</t>
        </is>
      </c>
    </row>
    <row r="2">
      <c r="A2" s="8" t="inlineStr">
        <is>
          <t>認定者</t>
        </is>
      </c>
      <c r="B2" s="8" t="inlineStr">
        <is>
          <t>要支援・要介護認定者数（令和8年3月末）</t>
        </is>
      </c>
      <c r="C2" s="36" t="n">
        <v>792</v>
      </c>
      <c r="D2" s="8" t="inlineStr">
        <is>
          <t>人</t>
        </is>
      </c>
      <c r="E2" s="9" t="inlineStr">
        <is>
          <t>**年報 様式1の5。第1号783＋第2号9。見える化システムの値と一致**</t>
        </is>
      </c>
    </row>
    <row r="3">
      <c r="A3" s="8" t="inlineStr">
        <is>
          <t>認定者</t>
        </is>
      </c>
      <c r="B3" s="8" t="inlineStr">
        <is>
          <t xml:space="preserve">　要支援1</t>
        </is>
      </c>
      <c r="C3" s="22" t="n">
        <v>70</v>
      </c>
      <c r="D3" s="8" t="inlineStr">
        <is>
          <t>人</t>
        </is>
      </c>
      <c r="E3" s="9" t="inlineStr">
        <is>
          <t>年報 様式1の5</t>
        </is>
      </c>
    </row>
    <row r="4">
      <c r="A4" s="8" t="inlineStr">
        <is>
          <t>認定者</t>
        </is>
      </c>
      <c r="B4" s="8" t="inlineStr">
        <is>
          <t xml:space="preserve">　要支援2</t>
        </is>
      </c>
      <c r="C4" s="22" t="n">
        <v>129</v>
      </c>
      <c r="D4" s="8" t="inlineStr">
        <is>
          <t>人</t>
        </is>
      </c>
      <c r="E4" s="9" t="inlineStr">
        <is>
          <t>年報 様式1の5</t>
        </is>
      </c>
    </row>
    <row r="5">
      <c r="A5" s="8" t="inlineStr">
        <is>
          <t>認定者</t>
        </is>
      </c>
      <c r="B5" s="8" t="inlineStr">
        <is>
          <t xml:space="preserve">　要介護1</t>
        </is>
      </c>
      <c r="C5" s="22" t="n">
        <v>143</v>
      </c>
      <c r="D5" s="8" t="inlineStr">
        <is>
          <t>人</t>
        </is>
      </c>
      <c r="E5" s="9" t="inlineStr">
        <is>
          <t>年報 様式1の5</t>
        </is>
      </c>
    </row>
    <row r="6">
      <c r="A6" s="8" t="inlineStr">
        <is>
          <t>認定者</t>
        </is>
      </c>
      <c r="B6" s="8" t="inlineStr">
        <is>
          <t xml:space="preserve">　要介護2</t>
        </is>
      </c>
      <c r="C6" s="22" t="n">
        <v>125</v>
      </c>
      <c r="D6" s="8" t="inlineStr">
        <is>
          <t>人</t>
        </is>
      </c>
      <c r="E6" s="9" t="inlineStr">
        <is>
          <t>年報 様式1の5</t>
        </is>
      </c>
    </row>
    <row r="7">
      <c r="A7" s="8" t="inlineStr">
        <is>
          <t>認定者</t>
        </is>
      </c>
      <c r="B7" s="8" t="inlineStr">
        <is>
          <t xml:space="preserve">　要介護3</t>
        </is>
      </c>
      <c r="C7" s="22" t="n">
        <v>145</v>
      </c>
      <c r="D7" s="8" t="inlineStr">
        <is>
          <t>人</t>
        </is>
      </c>
      <c r="E7" s="9" t="inlineStr">
        <is>
          <t>年報 様式1の5</t>
        </is>
      </c>
    </row>
    <row r="8">
      <c r="A8" s="8" t="inlineStr">
        <is>
          <t>認定者</t>
        </is>
      </c>
      <c r="B8" s="8" t="inlineStr">
        <is>
          <t xml:space="preserve">　要介護4</t>
        </is>
      </c>
      <c r="C8" s="22" t="n">
        <v>108</v>
      </c>
      <c r="D8" s="8" t="inlineStr">
        <is>
          <t>人</t>
        </is>
      </c>
      <c r="E8" s="9" t="inlineStr">
        <is>
          <t>年報 様式1の5</t>
        </is>
      </c>
    </row>
    <row r="9">
      <c r="A9" s="8" t="inlineStr">
        <is>
          <t>認定者</t>
        </is>
      </c>
      <c r="B9" s="8" t="inlineStr">
        <is>
          <t xml:space="preserve">　要介護5</t>
        </is>
      </c>
      <c r="C9" s="22" t="n">
        <v>72</v>
      </c>
      <c r="D9" s="8" t="inlineStr">
        <is>
          <t>人</t>
        </is>
      </c>
      <c r="E9" s="9" t="inlineStr">
        <is>
          <t>年報 様式1の5</t>
        </is>
      </c>
    </row>
    <row r="10">
      <c r="A10" s="8" t="inlineStr">
        <is>
          <t>認定者</t>
        </is>
      </c>
      <c r="B10" s="8" t="inlineStr">
        <is>
          <t xml:space="preserve">　（年齢別）65〜74歳</t>
        </is>
      </c>
      <c r="C10" s="22" t="n">
        <v>64</v>
      </c>
      <c r="D10" s="8" t="inlineStr">
        <is>
          <t>人</t>
        </is>
      </c>
      <c r="E10" s="9" t="inlineStr">
        <is>
          <t>年報 様式1の5（第1号）</t>
        </is>
      </c>
    </row>
    <row r="11">
      <c r="A11" s="8" t="inlineStr">
        <is>
          <t>認定者</t>
        </is>
      </c>
      <c r="B11" s="8" t="inlineStr">
        <is>
          <t xml:space="preserve">　（年齢別）75〜84歳</t>
        </is>
      </c>
      <c r="C11" s="22" t="n">
        <v>204</v>
      </c>
      <c r="D11" s="8" t="inlineStr">
        <is>
          <t>人</t>
        </is>
      </c>
      <c r="E11" s="9" t="inlineStr">
        <is>
          <t>年報 様式1の5（第1号）</t>
        </is>
      </c>
    </row>
    <row r="12">
      <c r="A12" s="8" t="inlineStr">
        <is>
          <t>認定者</t>
        </is>
      </c>
      <c r="B12" s="8" t="inlineStr">
        <is>
          <t xml:space="preserve">　（年齢別）85歳以上</t>
        </is>
      </c>
      <c r="C12" s="22" t="n">
        <v>515</v>
      </c>
      <c r="D12" s="8" t="inlineStr">
        <is>
          <t>人</t>
        </is>
      </c>
      <c r="E12" s="9" t="inlineStr">
        <is>
          <t>年報 様式1の5（第1号）</t>
        </is>
      </c>
    </row>
    <row r="13">
      <c r="A13" s="8" t="inlineStr">
        <is>
          <t>被保険者</t>
        </is>
      </c>
      <c r="B13" s="8" t="inlineStr">
        <is>
          <t>第1号被保険者数（年度末）</t>
        </is>
      </c>
      <c r="C13" s="22" t="n">
        <v>3443</v>
      </c>
      <c r="D13" s="8" t="inlineStr">
        <is>
          <t>人</t>
        </is>
      </c>
      <c r="E13" s="9" t="inlineStr">
        <is>
          <t>年報 様式1</t>
        </is>
      </c>
    </row>
    <row r="14">
      <c r="A14" s="8" t="inlineStr">
        <is>
          <t>被保険者</t>
        </is>
      </c>
      <c r="B14" s="8" t="inlineStr">
        <is>
          <t xml:space="preserve">　65〜74歳</t>
        </is>
      </c>
      <c r="C14" s="22" t="n">
        <v>1634</v>
      </c>
      <c r="D14" s="8" t="inlineStr">
        <is>
          <t>人</t>
        </is>
      </c>
      <c r="E14" s="9" t="inlineStr">
        <is>
          <t>同上</t>
        </is>
      </c>
    </row>
    <row r="15">
      <c r="A15" s="8" t="inlineStr">
        <is>
          <t>被保険者</t>
        </is>
      </c>
      <c r="B15" s="8" t="inlineStr">
        <is>
          <t xml:space="preserve">　75〜84歳</t>
        </is>
      </c>
      <c r="C15" s="22" t="n">
        <v>1090</v>
      </c>
      <c r="D15" s="8" t="inlineStr">
        <is>
          <t>人</t>
        </is>
      </c>
      <c r="E15" s="9" t="inlineStr">
        <is>
          <t>同上</t>
        </is>
      </c>
    </row>
    <row r="16">
      <c r="A16" s="8" t="inlineStr">
        <is>
          <t>被保険者</t>
        </is>
      </c>
      <c r="B16" s="8" t="inlineStr">
        <is>
          <t xml:space="preserve">　85歳以上</t>
        </is>
      </c>
      <c r="C16" s="22" t="n">
        <v>719</v>
      </c>
      <c r="D16" s="8" t="inlineStr">
        <is>
          <t>人</t>
        </is>
      </c>
      <c r="E16" s="9" t="inlineStr">
        <is>
          <t>同上</t>
        </is>
      </c>
    </row>
    <row r="17">
      <c r="A17" s="8" t="inlineStr">
        <is>
          <t>受給者</t>
        </is>
      </c>
      <c r="B17" s="8" t="inlineStr">
        <is>
          <t>居宅サービス受給者数（年度延べ）</t>
        </is>
      </c>
      <c r="C17" s="22" t="n">
        <v>4180</v>
      </c>
      <c r="D17" s="8" t="inlineStr">
        <is>
          <t>人</t>
        </is>
      </c>
      <c r="E17" s="9" t="inlineStr">
        <is>
          <t>年報 様式1の6</t>
        </is>
      </c>
    </row>
    <row r="18">
      <c r="A18" s="8" t="inlineStr">
        <is>
          <t>受給者</t>
        </is>
      </c>
      <c r="B18" s="8" t="inlineStr">
        <is>
          <t>地域密着型サービス受給者数（年度延べ）</t>
        </is>
      </c>
      <c r="C18" s="22" t="n">
        <v>1506</v>
      </c>
      <c r="D18" s="8" t="inlineStr">
        <is>
          <t>人</t>
        </is>
      </c>
      <c r="E18" s="9" t="inlineStr">
        <is>
          <t>同上</t>
        </is>
      </c>
    </row>
    <row r="19">
      <c r="A19" s="8" t="inlineStr">
        <is>
          <t>受給者</t>
        </is>
      </c>
      <c r="B19" s="8" t="inlineStr">
        <is>
          <t>施設サービス受給者数（年度延べ）</t>
        </is>
      </c>
      <c r="C19" s="22" t="n">
        <v>1165</v>
      </c>
      <c r="D19" s="8" t="inlineStr">
        <is>
          <t>人</t>
        </is>
      </c>
      <c r="E19" s="9" t="inlineStr">
        <is>
          <t>同上</t>
        </is>
      </c>
    </row>
    <row r="20">
      <c r="A20" s="8" t="inlineStr">
        <is>
          <t>給付</t>
        </is>
      </c>
      <c r="B20" s="8" t="inlineStr">
        <is>
          <t>介護サービス等諸費</t>
        </is>
      </c>
      <c r="C20" s="22" t="n">
        <v>968515215</v>
      </c>
      <c r="D20" s="8" t="inlineStr">
        <is>
          <t>円</t>
        </is>
      </c>
      <c r="E20" s="9" t="inlineStr">
        <is>
          <t>年報 様式3（保険給付支払状況）</t>
        </is>
      </c>
    </row>
    <row r="21">
      <c r="A21" s="8" t="inlineStr">
        <is>
          <t>給付</t>
        </is>
      </c>
      <c r="B21" s="8" t="inlineStr">
        <is>
          <t>介護予防サービス等諸費</t>
        </is>
      </c>
      <c r="C21" s="22" t="n">
        <v>36628847</v>
      </c>
      <c r="D21" s="8" t="inlineStr">
        <is>
          <t>円</t>
        </is>
      </c>
      <c r="E21" s="9" t="inlineStr">
        <is>
          <t>年報 様式3（保険給付支払状況）</t>
        </is>
      </c>
    </row>
    <row r="22">
      <c r="A22" s="8" t="inlineStr">
        <is>
          <t>給付</t>
        </is>
      </c>
      <c r="B22" s="8" t="inlineStr">
        <is>
          <t>高額介護サービス等費</t>
        </is>
      </c>
      <c r="C22" s="22" t="n">
        <v>25611472</v>
      </c>
      <c r="D22" s="8" t="inlineStr">
        <is>
          <t>円</t>
        </is>
      </c>
      <c r="E22" s="9" t="inlineStr">
        <is>
          <t>年報 様式3（保険給付支払状況）</t>
        </is>
      </c>
    </row>
    <row r="23">
      <c r="A23" s="8" t="inlineStr">
        <is>
          <t>給付</t>
        </is>
      </c>
      <c r="B23" s="8" t="inlineStr">
        <is>
          <t>高額医療合算介護サービス等費</t>
        </is>
      </c>
      <c r="C23" s="22" t="n">
        <v>3066591</v>
      </c>
      <c r="D23" s="8" t="inlineStr">
        <is>
          <t>円</t>
        </is>
      </c>
      <c r="E23" s="9" t="inlineStr">
        <is>
          <t>年報 様式3（保険給付支払状況）</t>
        </is>
      </c>
    </row>
    <row r="24">
      <c r="A24" s="8" t="inlineStr">
        <is>
          <t>給付</t>
        </is>
      </c>
      <c r="B24" s="8" t="inlineStr">
        <is>
          <t>特定入所者介護サービス等費</t>
        </is>
      </c>
      <c r="C24" s="22" t="n">
        <v>49691037</v>
      </c>
      <c r="D24" s="8" t="inlineStr">
        <is>
          <t>円</t>
        </is>
      </c>
      <c r="E24" s="9" t="inlineStr">
        <is>
          <t>年報 様式3（保険給付支払状況）</t>
        </is>
      </c>
    </row>
    <row r="25">
      <c r="A25" s="8" t="inlineStr">
        <is>
          <t>給付</t>
        </is>
      </c>
      <c r="B25" s="8" t="inlineStr">
        <is>
          <t>計</t>
        </is>
      </c>
      <c r="C25" s="22" t="n">
        <v>1083513162</v>
      </c>
      <c r="D25" s="8" t="inlineStr">
        <is>
          <t>円</t>
        </is>
      </c>
      <c r="E25" s="9" t="inlineStr">
        <is>
          <t>年報 様式3（保険給付支払状況）</t>
        </is>
      </c>
    </row>
    <row r="26">
      <c r="A26" s="8" t="inlineStr">
        <is>
          <t>給付</t>
        </is>
      </c>
      <c r="B26" s="8" t="inlineStr">
        <is>
          <t>給付費 総計（様式2）</t>
        </is>
      </c>
      <c r="C26" s="22" t="n">
        <v>1005144062</v>
      </c>
      <c r="D26" s="8" t="inlineStr">
        <is>
          <t>円</t>
        </is>
      </c>
      <c r="E26" s="9" t="inlineStr">
        <is>
          <t>年報 様式2（給付費）</t>
        </is>
      </c>
    </row>
    <row r="27">
      <c r="A27" s="8" t="inlineStr">
        <is>
          <t>保険料</t>
        </is>
      </c>
      <c r="B27" s="8" t="inlineStr">
        <is>
          <t>調定額（現年度分）</t>
        </is>
      </c>
      <c r="C27" s="22" t="n">
        <v>265881800</v>
      </c>
      <c r="D27" s="8" t="inlineStr">
        <is>
          <t>円</t>
        </is>
      </c>
      <c r="E27" s="9" t="inlineStr">
        <is>
          <t>年報 様式3</t>
        </is>
      </c>
    </row>
    <row r="28">
      <c r="A28" s="8" t="inlineStr">
        <is>
          <t>保険料</t>
        </is>
      </c>
      <c r="B28" s="8" t="inlineStr">
        <is>
          <t>収納額（現年度分）</t>
        </is>
      </c>
      <c r="C28" s="22" t="n">
        <v>264162900</v>
      </c>
      <c r="D28" s="8" t="inlineStr">
        <is>
          <t>円</t>
        </is>
      </c>
      <c r="E28" s="9" t="inlineStr">
        <is>
          <t>同上</t>
        </is>
      </c>
    </row>
    <row r="29">
      <c r="A29" s="8" t="inlineStr">
        <is>
          <t>保険料</t>
        </is>
      </c>
      <c r="B29" s="8" t="inlineStr">
        <is>
          <t>収納率（現年度分）</t>
        </is>
      </c>
      <c r="C29" s="37" t="n">
        <v>0.9935</v>
      </c>
      <c r="D29" s="8" t="inlineStr">
        <is>
          <t>―</t>
        </is>
      </c>
      <c r="E29" s="9" t="inlineStr">
        <is>
          <t>収納÷調定</t>
        </is>
      </c>
    </row>
    <row r="30">
      <c r="A30" s="8" t="inlineStr">
        <is>
          <t>財政</t>
        </is>
      </c>
      <c r="B30" s="8" t="inlineStr">
        <is>
          <t>介護給付費準備基金 保有額（令和6年度末）</t>
        </is>
      </c>
      <c r="C30" s="22" t="n">
        <v>12000000</v>
      </c>
      <c r="D30" s="8" t="inlineStr">
        <is>
          <t>円</t>
        </is>
      </c>
      <c r="E30" s="9" t="inlineStr">
        <is>
          <t>**年報 様式4。令和4年度末は120,000,000円で1桁違う。要確認**</t>
        </is>
      </c>
    </row>
    <row r="31">
      <c r="A31" s="8" t="inlineStr">
        <is>
          <t>財政</t>
        </is>
      </c>
      <c r="B31" s="8" t="inlineStr">
        <is>
          <t>歳入歳出差引残額（令和6年度末）</t>
        </is>
      </c>
      <c r="C31" s="22" t="n">
        <v>144205672</v>
      </c>
      <c r="D31" s="8" t="inlineStr">
        <is>
          <t>円</t>
        </is>
      </c>
      <c r="E31" s="9" t="inlineStr">
        <is>
          <t>年報 様式4</t>
        </is>
      </c>
    </row>
    <row r="32">
      <c r="A32" s="8" t="inlineStr">
        <is>
          <t>財政</t>
        </is>
      </c>
      <c r="B32" s="8" t="inlineStr">
        <is>
          <t>第9期 第1号保険料 基準額（月額）</t>
        </is>
      </c>
      <c r="C32" s="22" t="n">
        <v>6600</v>
      </c>
      <c r="D32" s="8" t="inlineStr">
        <is>
          <t>円</t>
        </is>
      </c>
      <c r="E32" s="9" t="inlineStr">
        <is>
          <t>年報 経理状況シート</t>
        </is>
      </c>
    </row>
    <row r="34">
      <c r="A34" t="inlineStr">
        <is>
          <t>※ 令和8年9月8日受領の介護保険事業状況報告（年報）令和3〜7年度から抽出。5年分の系列は 18_年報・国保連データ/小野町_年報・国保連データ整理 を参照。</t>
        </is>
      </c>
    </row>
    <row r="35">
      <c r="A35" t="inlineStr">
        <is>
          <t>※ **令和7年度は認定者が▲16.1％である一方、受給者延は▲4.6％、給付費は▲7.4％。**認定者数ベースの推計は給付費を過小推計するため、見込量は受給者数と給付費の実績を基礎に置くこと。</t>
        </is>
      </c>
    </row>
    <row r="36">
      <c r="A36" t="inlineStr">
        <is>
          <t>※ 令和7年度の様式4（経理状況）は全て0で未入力。決算確定後の再受領が必要。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2026-09-09T05:05:21Z</dcterms:created>
  <dcterms:modified xmlns:dcterms="http://purl.org/dc/terms/" xmlns:xsi="http://www.w3.org/2001/XMLSchema-instance" xsi:type="dcterms:W3CDTF">2026-09-09T05:05:21Z</dcterms:modified>
</cp:coreProperties>
</file>