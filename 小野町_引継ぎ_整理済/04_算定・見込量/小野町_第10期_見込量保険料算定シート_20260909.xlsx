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0"/>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作成日：2026-09-09</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残る入力欄は、サービス別の見込量（05・06）、地域支援事業費（07）、調整交付金見込額・基金取崩額（09）です。</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所得段階別第1号被保険者数と保険料率　年報 様式1 所得段階別</t>
        </is>
      </c>
      <c r="C35" s="2" t="n"/>
    </row>
    <row r="36">
      <c r="A36" s="2" t="inlineStr"/>
      <c r="B36" s="2" t="inlineStr">
        <is>
          <t>保険料収納率 99.35％　年報 様式3</t>
        </is>
      </c>
      <c r="C36" s="2" t="n"/>
    </row>
    <row r="37">
      <c r="A37" s="2" t="inlineStr"/>
      <c r="B37" s="2" t="inlineStr">
        <is>
          <t>第10期将来推計用推計人口（男女別・5歳階級別）</t>
        </is>
      </c>
      <c r="C37" s="2" t="n"/>
    </row>
    <row r="38">
      <c r="A38" s="2" t="n"/>
      <c r="B38" s="2" t="n"/>
      <c r="C38" s="2" t="n"/>
    </row>
    <row r="39">
      <c r="A39" s="2" t="inlineStr">
        <is>
          <t>■ 残る未受領のデータ</t>
        </is>
      </c>
      <c r="B39" s="2" t="n"/>
      <c r="C39" s="2" t="n"/>
    </row>
    <row r="40">
      <c r="A40" s="3" t="inlineStr"/>
      <c r="B40" s="2" t="inlineStr">
        <is>
          <t>地域支援事業費の実績と事業別内訳（年報 様式4は令和7年度が未入力）</t>
        </is>
      </c>
      <c r="C40" s="2" t="n"/>
    </row>
    <row r="41">
      <c r="A41" s="2" t="inlineStr"/>
      <c r="B41" s="2" t="inlineStr">
        <is>
          <t>令和7年度の介護保険特別会計決算（様式4が全て0）</t>
        </is>
      </c>
      <c r="C41" s="2" t="n"/>
    </row>
    <row r="42">
      <c r="A42" s="2" t="inlineStr"/>
      <c r="B42" s="2" t="inlineStr">
        <is>
          <t>介護給付費準備基金の取崩方針（保有額は12,000千円だが第9期は35,000千円の取崩を見込んでいた）</t>
        </is>
      </c>
      <c r="C42" s="2" t="n"/>
    </row>
    <row r="43">
      <c r="A43" s="2" t="inlineStr"/>
      <c r="B43" s="2" t="inlineStr">
        <is>
          <t>令和7年8〜9月の認定者数の計上方法の変更の有無</t>
        </is>
      </c>
      <c r="C43" s="2" t="n"/>
    </row>
    <row r="44">
      <c r="A44" s="2" t="n"/>
      <c r="B44" s="2" t="n"/>
      <c r="C44" s="2" t="n"/>
    </row>
    <row r="45">
      <c r="A45" s="2" t="inlineStr">
        <is>
          <t>■ 第9期の算定根拠（参考・第9期計画本文より）</t>
        </is>
      </c>
      <c r="B45" s="2" t="n"/>
      <c r="C45" s="2" t="n"/>
    </row>
    <row r="46">
      <c r="A46" s="2" t="inlineStr">
        <is>
          <t>標準給付費見込額（3年計）</t>
        </is>
      </c>
      <c r="B46" s="2" t="inlineStr">
        <is>
          <t>3,566,486千円</t>
        </is>
      </c>
      <c r="C46" s="2" t="n"/>
    </row>
    <row r="47">
      <c r="A47" s="2" t="inlineStr">
        <is>
          <t>準備基金取崩額</t>
        </is>
      </c>
      <c r="B47" s="2" t="inlineStr">
        <is>
          <t>35,000千円</t>
        </is>
      </c>
      <c r="C47" s="2" t="n"/>
    </row>
    <row r="48">
      <c r="A48" s="2" t="inlineStr">
        <is>
          <t>保険料基準額（月額）</t>
        </is>
      </c>
      <c r="B48" s="2" t="inlineStr">
        <is>
          <t>6,600円</t>
        </is>
      </c>
      <c r="C48" s="2" t="n"/>
    </row>
    <row r="49">
      <c r="A49" s="2" t="inlineStr">
        <is>
          <t>見える化システムによる必要保険料</t>
        </is>
      </c>
      <c r="B49" s="2" t="inlineStr">
        <is>
          <t>6,131円</t>
        </is>
      </c>
      <c r="C49" s="2" t="n"/>
    </row>
    <row r="50">
      <c r="A50" s="2" t="inlineStr">
        <is>
          <t>※ 第10期はこれを基礎に算定します。第9期の見込みと実績の対比は成果品①第7章7を参照。</t>
        </is>
      </c>
      <c r="B50" s="2" t="n"/>
      <c r="C5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476.5552356944087</v>
      </c>
      <c r="H4" s="21" t="n">
        <v>39.71293630786739</v>
      </c>
      <c r="I4" s="10" t="n"/>
      <c r="J4" s="22" t="n">
        <v>19409.67606937054</v>
      </c>
      <c r="K4" s="22" t="n">
        <v>475.1690948110625</v>
      </c>
      <c r="L4" s="21" t="n">
        <v>39.59742456758854</v>
      </c>
      <c r="M4" s="10" t="n"/>
      <c r="N4" s="22" t="n">
        <v>19353.21976899424</v>
      </c>
      <c r="O4" s="22" t="n">
        <v>473.7829539277163</v>
      </c>
      <c r="P4" s="21" t="n">
        <v>39.48191282730969</v>
      </c>
      <c r="Q4" s="10" t="n"/>
      <c r="R4" s="22" t="n">
        <v>19296.76346861795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579.0034361906669</v>
      </c>
      <c r="H21" s="21" t="n">
        <v>48.25028634922224</v>
      </c>
      <c r="I21" s="10" t="n"/>
      <c r="J21" s="22" t="n">
        <v>147523.778788629</v>
      </c>
      <c r="K21" s="22" t="n">
        <v>577.3193075222821</v>
      </c>
      <c r="L21" s="21" t="n">
        <v>48.10994229352351</v>
      </c>
      <c r="M21" s="10" t="n"/>
      <c r="N21" s="22" t="n">
        <v>147094.6811190867</v>
      </c>
      <c r="O21" s="22" t="n">
        <v>575.6351788538974</v>
      </c>
      <c r="P21" s="21" t="n">
        <v>47.96959823782478</v>
      </c>
      <c r="Q21" s="10" t="n"/>
      <c r="R21" s="22" t="n">
        <v>146665.5834495444</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292.5786917596863</v>
      </c>
      <c r="H6" s="21" t="n">
        <v>24.38155764664053</v>
      </c>
      <c r="I6" s="10" t="n"/>
      <c r="J6" s="22" t="n">
        <v>11009.92385717264</v>
      </c>
      <c r="K6" s="22" t="n">
        <v>291.7276775311823</v>
      </c>
      <c r="L6" s="21" t="n">
        <v>24.31063979426519</v>
      </c>
      <c r="M6" s="10" t="n"/>
      <c r="N6" s="22" t="n">
        <v>10977.89964583706</v>
      </c>
      <c r="O6" s="22" t="n">
        <v>290.8766633026783</v>
      </c>
      <c r="P6" s="21" t="n">
        <v>24.23972194188985</v>
      </c>
      <c r="Q6" s="10" t="n"/>
      <c r="R6" s="22" t="n">
        <v>10945.87543450148</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626.6389964277753</v>
      </c>
      <c r="H9" s="21" t="n">
        <v>52.21991636898127</v>
      </c>
      <c r="I9" s="10" t="n"/>
      <c r="J9" s="22" t="n">
        <v>5204.376821685491</v>
      </c>
      <c r="K9" s="22" t="n">
        <v>624.8163117377585</v>
      </c>
      <c r="L9" s="21" t="n">
        <v>52.06802597814654</v>
      </c>
      <c r="M9" s="10" t="n"/>
      <c r="N9" s="22" t="n">
        <v>5189.23901824836</v>
      </c>
      <c r="O9" s="22" t="n">
        <v>622.9936270477417</v>
      </c>
      <c r="P9" s="21" t="n">
        <v>51.91613558731181</v>
      </c>
      <c r="Q9" s="10" t="n"/>
      <c r="R9" s="22" t="n">
        <v>5174.10121481123</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833.776817482939</v>
      </c>
      <c r="H13" s="21" t="n">
        <v>69.48140145691158</v>
      </c>
      <c r="I13" s="10" t="n"/>
      <c r="J13" s="22" t="n">
        <v>3760.950087913393</v>
      </c>
      <c r="K13" s="22" t="n">
        <v>831.3516376764151</v>
      </c>
      <c r="L13" s="21" t="n">
        <v>69.27930313970126</v>
      </c>
      <c r="M13" s="10" t="n"/>
      <c r="N13" s="22" t="n">
        <v>3750.010733381941</v>
      </c>
      <c r="O13" s="22" t="n">
        <v>828.9264578698911</v>
      </c>
      <c r="P13" s="21" t="n">
        <v>69.07720482249093</v>
      </c>
      <c r="Q13" s="10" t="n"/>
      <c r="R13" s="22" t="n">
        <v>3739.071378850489</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26.96965201304231</v>
      </c>
      <c r="H16" s="21" t="n">
        <v>2.247471001086859</v>
      </c>
      <c r="I16" s="10" t="n"/>
      <c r="J16" s="22" t="n">
        <v>6270.904425412573</v>
      </c>
      <c r="K16" s="22" t="n">
        <v>26.89120625384207</v>
      </c>
      <c r="L16" s="21" t="n">
        <v>2.240933854486839</v>
      </c>
      <c r="M16" s="10" t="n"/>
      <c r="N16" s="22" t="n">
        <v>6252.664447444531</v>
      </c>
      <c r="O16" s="22" t="n">
        <v>26.81276049464183</v>
      </c>
      <c r="P16" s="21" t="n">
        <v>2.234396707886819</v>
      </c>
      <c r="Q16" s="10" t="n"/>
      <c r="R16" s="22" t="n">
        <v>6234.42446947649</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36" customWidth="1" min="2" max="2"/>
    <col width="15" customWidth="1" min="3" max="3"/>
    <col width="14" customWidth="1" min="4" max="4"/>
    <col width="14" customWidth="1" min="5" max="5"/>
    <col width="14" customWidth="1" min="6" max="6"/>
    <col width="52" customWidth="1" min="7" max="7"/>
  </cols>
  <sheetData>
    <row r="1">
      <c r="A1" s="7" t="inlineStr">
        <is>
          <t>区分</t>
        </is>
      </c>
      <c r="B1" s="7" t="inlineStr">
        <is>
          <t>事業</t>
        </is>
      </c>
      <c r="C1" s="7" t="inlineStr">
        <is>
          <t>令和7年度（実績）</t>
        </is>
      </c>
      <c r="D1" s="7" t="inlineStr">
        <is>
          <t>令和9年度</t>
        </is>
      </c>
      <c r="E1" s="7" t="inlineStr">
        <is>
          <t>令和10年度</t>
        </is>
      </c>
      <c r="F1" s="7" t="inlineStr">
        <is>
          <t>令和11年度</t>
        </is>
      </c>
      <c r="G1" s="7" t="inlineStr">
        <is>
          <t>備考</t>
        </is>
      </c>
    </row>
    <row r="2">
      <c r="A2" s="8" t="inlineStr">
        <is>
          <t>総合事業</t>
        </is>
      </c>
      <c r="B2" s="8" t="inlineStr">
        <is>
          <t>介護予防・生活支援サービス事業（訪問型）</t>
        </is>
      </c>
      <c r="C2" s="10" t="n"/>
      <c r="D2" s="10" t="n"/>
      <c r="E2" s="10" t="n"/>
      <c r="F2" s="10" t="n"/>
      <c r="G2" s="9" t="inlineStr"/>
    </row>
    <row r="3">
      <c r="A3" s="8" t="inlineStr">
        <is>
          <t>総合事業</t>
        </is>
      </c>
      <c r="B3" s="8" t="inlineStr">
        <is>
          <t>介護予防・生活支援サービス事業（通所型）</t>
        </is>
      </c>
      <c r="C3" s="10" t="n"/>
      <c r="D3" s="10" t="n"/>
      <c r="E3" s="10" t="n"/>
      <c r="F3" s="10" t="n"/>
      <c r="G3" s="9" t="inlineStr"/>
    </row>
    <row r="4">
      <c r="A4" s="8" t="inlineStr">
        <is>
          <t>総合事業</t>
        </is>
      </c>
      <c r="B4" s="8" t="inlineStr">
        <is>
          <t>その他の生活支援サービス</t>
        </is>
      </c>
      <c r="C4" s="10" t="n"/>
      <c r="D4" s="10" t="n"/>
      <c r="E4" s="10" t="n"/>
      <c r="F4" s="10" t="n"/>
      <c r="G4" s="9" t="inlineStr"/>
    </row>
    <row r="5">
      <c r="A5" s="8" t="inlineStr">
        <is>
          <t>総合事業</t>
        </is>
      </c>
      <c r="B5" s="8" t="inlineStr">
        <is>
          <t>介護予防ケアマネジメント</t>
        </is>
      </c>
      <c r="C5" s="10" t="n"/>
      <c r="D5" s="10" t="n"/>
      <c r="E5" s="10" t="n"/>
      <c r="F5" s="10" t="n"/>
      <c r="G5" s="9" t="inlineStr"/>
    </row>
    <row r="6">
      <c r="A6" s="8" t="inlineStr">
        <is>
          <t>総合事業</t>
        </is>
      </c>
      <c r="B6" s="8" t="inlineStr">
        <is>
          <t>一般介護予防事業</t>
        </is>
      </c>
      <c r="C6" s="10" t="n"/>
      <c r="D6" s="10" t="n"/>
      <c r="E6" s="10" t="n"/>
      <c r="F6" s="10" t="n"/>
      <c r="G6" s="9" t="inlineStr">
        <is>
          <t>**令和5年度で1.0百万円と低水準。通いの場を第10期の最重点とするため増額を見込む**</t>
        </is>
      </c>
    </row>
    <row r="7">
      <c r="A7" s="8" t="inlineStr">
        <is>
          <t>包括的支援事業</t>
        </is>
      </c>
      <c r="B7" s="8" t="inlineStr">
        <is>
          <t>地域包括支援センターの運営</t>
        </is>
      </c>
      <c r="C7" s="10" t="n"/>
      <c r="D7" s="10" t="n"/>
      <c r="E7" s="10" t="n"/>
      <c r="F7" s="10" t="n"/>
      <c r="G7" s="9" t="inlineStr"/>
    </row>
    <row r="8">
      <c r="A8" s="8" t="inlineStr">
        <is>
          <t>包括的支援事業</t>
        </is>
      </c>
      <c r="B8" s="8" t="inlineStr">
        <is>
          <t>在宅医療・介護連携推進事業</t>
        </is>
      </c>
      <c r="C8" s="10" t="n"/>
      <c r="D8" s="10" t="n"/>
      <c r="E8" s="10" t="n"/>
      <c r="F8" s="10" t="n"/>
      <c r="G8" s="9" t="inlineStr"/>
    </row>
    <row r="9">
      <c r="A9" s="8" t="inlineStr">
        <is>
          <t>包括的支援事業</t>
        </is>
      </c>
      <c r="B9" s="8" t="inlineStr">
        <is>
          <t>生活支援体制整備事業</t>
        </is>
      </c>
      <c r="C9" s="10" t="n"/>
      <c r="D9" s="10" t="n"/>
      <c r="E9" s="10" t="n"/>
      <c r="F9" s="10" t="n"/>
      <c r="G9" s="9" t="inlineStr"/>
    </row>
    <row r="10">
      <c r="A10" s="8" t="inlineStr">
        <is>
          <t>包括的支援事業</t>
        </is>
      </c>
      <c r="B10" s="8" t="inlineStr">
        <is>
          <t>認知症総合支援事業</t>
        </is>
      </c>
      <c r="C10" s="10" t="n"/>
      <c r="D10" s="10" t="n"/>
      <c r="E10" s="10" t="n"/>
      <c r="F10" s="10" t="n"/>
      <c r="G10" s="9" t="inlineStr"/>
    </row>
    <row r="11">
      <c r="A11" s="8" t="inlineStr">
        <is>
          <t>包括的支援事業</t>
        </is>
      </c>
      <c r="B11" s="8" t="inlineStr">
        <is>
          <t>地域ケア会議推進事業</t>
        </is>
      </c>
      <c r="C11" s="10" t="n"/>
      <c r="D11" s="10" t="n"/>
      <c r="E11" s="10" t="n"/>
      <c r="F11" s="10" t="n"/>
      <c r="G11" s="9" t="inlineStr"/>
    </row>
    <row r="12">
      <c r="A12" s="8" t="inlineStr">
        <is>
          <t>任意事業</t>
        </is>
      </c>
      <c r="B12" s="8" t="inlineStr">
        <is>
          <t>介護給付等費用適正化事業</t>
        </is>
      </c>
      <c r="C12" s="10" t="n"/>
      <c r="D12" s="10" t="n"/>
      <c r="E12" s="10" t="n"/>
      <c r="F12" s="10" t="n"/>
      <c r="G12" s="9" t="inlineStr"/>
    </row>
    <row r="13">
      <c r="A13" s="8" t="inlineStr">
        <is>
          <t>任意事業</t>
        </is>
      </c>
      <c r="B13" s="8" t="inlineStr">
        <is>
          <t>家族介護支援事業</t>
        </is>
      </c>
      <c r="C13" s="10" t="n"/>
      <c r="D13" s="10" t="n"/>
      <c r="E13" s="10" t="n"/>
      <c r="F13" s="10" t="n"/>
      <c r="G13" s="9" t="inlineStr"/>
    </row>
    <row r="14">
      <c r="A14" s="8" t="inlineStr">
        <is>
          <t>任意事業</t>
        </is>
      </c>
      <c r="B14" s="8" t="inlineStr">
        <is>
          <t>その他の任意事業</t>
        </is>
      </c>
      <c r="C14" s="10" t="n"/>
      <c r="D14" s="10" t="n"/>
      <c r="E14" s="10" t="n"/>
      <c r="F14" s="10" t="n"/>
      <c r="G14" s="9" t="inlineStr"/>
    </row>
    <row r="15">
      <c r="A15" s="8" t="inlineStr">
        <is>
          <t>合計</t>
        </is>
      </c>
      <c r="B15" s="8" t="inlineStr"/>
      <c r="C15" s="25">
        <f>SUM(C2:C14)</f>
        <v/>
      </c>
      <c r="D15" s="25">
        <f>SUM(D2:D14)</f>
        <v/>
      </c>
      <c r="E15" s="25">
        <f>SUM(E2:E14)</f>
        <v/>
      </c>
      <c r="F15" s="25">
        <f>SUM(F2:F14)</f>
        <v/>
      </c>
      <c r="G15" s="9" t="inlineStr"/>
    </row>
    <row r="17">
      <c r="A17" t="inlineStr">
        <is>
          <t>※ 単位：千円。</t>
        </is>
      </c>
    </row>
    <row r="18">
      <c r="A18" t="inlineStr">
        <is>
          <t>※ 総合事業には上限額（前年度実績×高齢者人口の伸び率）が設定されます。上限を超える場合は町と協議します。</t>
        </is>
      </c>
    </row>
    <row r="19">
      <c r="A19" t="inlineStr">
        <is>
          <t>※ **見える化システムには令和3年度以降の総合事業の値がありません。**町の事業実績が必要です。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'07_地域支援事業'!D15</f>
        <v/>
      </c>
      <c r="C10" s="22">
        <f>'07_地域支援事業'!E15</f>
        <v/>
      </c>
      <c r="D10" s="22">
        <f>'07_地域支援事業'!F15</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SUM('07_地域支援事業'!D2:D6)+SUM('07_地域支援事業'!E2:E6)+SUM('07_地域支援事業'!F2:F6)</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28"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28"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29" t="n">
        <v>5.963</v>
      </c>
      <c r="D10" s="8" t="inlineStr">
        <is>
          <t>％</t>
        </is>
      </c>
      <c r="E10" s="9" t="inlineStr">
        <is>
          <t>**第9期計画の公表値から逆算した小野町の実績値。**（①＋③）×23％＋（①＋③）×5％－保険料収納必要額832,562千円 より5.963％。後期高齢者加入割合が高く低所得層が厚い保険者ほど5％を上回る。**第10期の値は見える化システムの係数シート（全国値）で確認する**</t>
        </is>
      </c>
    </row>
    <row r="11">
      <c r="A11" s="8" t="n">
        <v>10</v>
      </c>
      <c r="B11" s="8" t="inlineStr">
        <is>
          <t>調整交付金見込額</t>
        </is>
      </c>
      <c r="C11" s="22">
        <f>(C2+C4)*C10/100</f>
        <v/>
      </c>
      <c r="D11" s="8" t="inlineStr">
        <is>
          <t>千円</t>
        </is>
      </c>
      <c r="E11" s="9" t="inlineStr">
        <is>
          <t>（①＋③）×⑨</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様式4）。**取崩の原資が足りるかを確認したうえで設定する。ケースC5・C6で変える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28"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0">
        <f>IF(C19=0,"",C18*1000/C19)</f>
        <v/>
      </c>
      <c r="D20" s="8" t="inlineStr">
        <is>
          <t>円</t>
        </is>
      </c>
      <c r="E20" s="9" t="inlineStr">
        <is>
          <t>⑰÷⑱</t>
        </is>
      </c>
    </row>
    <row r="21">
      <c r="A21" s="8" t="n">
        <v>20</v>
      </c>
      <c r="B21" s="23" t="inlineStr">
        <is>
          <t>保険料基準額（月額）</t>
        </is>
      </c>
      <c r="C21" s="30">
        <f>IF(C20="","",C20/12)</f>
        <v/>
      </c>
      <c r="D21" s="8" t="inlineStr">
        <is>
          <t>円</t>
        </is>
      </c>
      <c r="E21" s="9" t="inlineStr">
        <is>
          <t>⑲÷12</t>
        </is>
      </c>
    </row>
    <row r="22">
      <c r="A22" s="8" t="n">
        <v>21</v>
      </c>
      <c r="B22" s="8" t="inlineStr">
        <is>
          <t>第9期の保険料基準額（月額）</t>
        </is>
      </c>
      <c r="C22" s="31" t="n">
        <v>6600</v>
      </c>
      <c r="D22" s="8" t="inlineStr">
        <is>
          <t>円</t>
        </is>
      </c>
      <c r="E22" s="9" t="inlineStr">
        <is>
          <t>第9期計画本文</t>
        </is>
      </c>
    </row>
    <row r="23">
      <c r="A23" s="8" t="n">
        <v>22</v>
      </c>
      <c r="B23" s="23" t="inlineStr">
        <is>
          <t>第9期との差</t>
        </is>
      </c>
      <c r="C23" s="30">
        <f>IF(C21="","",C21-C22)</f>
        <v/>
      </c>
      <c r="D23" s="8" t="inlineStr">
        <is>
          <t>円</t>
        </is>
      </c>
      <c r="E23" s="9" t="inlineStr">
        <is>
          <t>⑳－㉑</t>
        </is>
      </c>
    </row>
    <row r="24">
      <c r="A24" s="19" t="inlineStr">
        <is>
          <t>【所得段階別 加入割合補正後被保険者数】</t>
        </is>
      </c>
      <c r="B24" s="18" t="n"/>
      <c r="C24" s="17" t="n"/>
      <c r="D24" s="17" t="n"/>
      <c r="E24" s="17" t="n"/>
    </row>
    <row r="25">
      <c r="A25" s="32" t="inlineStr">
        <is>
          <t>段階</t>
        </is>
      </c>
      <c r="B25" s="33" t="inlineStr">
        <is>
          <t>対象</t>
        </is>
      </c>
      <c r="C25" s="32" t="inlineStr">
        <is>
          <t>保険料率</t>
        </is>
      </c>
      <c r="D25" s="32" t="inlineStr">
        <is>
          <t>被保険者数（3年計）</t>
        </is>
      </c>
      <c r="E25" s="32" t="inlineStr">
        <is>
          <t>補正後人数</t>
        </is>
      </c>
    </row>
    <row r="26">
      <c r="A26" s="8" t="inlineStr">
        <is>
          <t>第1段階</t>
        </is>
      </c>
      <c r="B26" s="9" t="inlineStr">
        <is>
          <t>生活保護受給者、老齢福祉年金受給者、住民税非課税世帯かつ年金収入等80万円以下</t>
        </is>
      </c>
      <c r="C26" s="29" t="n">
        <v>0.285</v>
      </c>
      <c r="D26" s="11" t="n">
        <v>1568</v>
      </c>
      <c r="E26" s="21">
        <f>IF(D26="","",C26*D26)</f>
        <v/>
      </c>
    </row>
    <row r="27">
      <c r="A27" s="8" t="inlineStr">
        <is>
          <t>第2段階</t>
        </is>
      </c>
      <c r="B27" s="9" t="inlineStr">
        <is>
          <t>住民税非課税世帯かつ年金収入等80万円超120万円以下</t>
        </is>
      </c>
      <c r="C27" s="29" t="n">
        <v>0.486</v>
      </c>
      <c r="D27" s="11" t="n">
        <v>887</v>
      </c>
      <c r="E27" s="21">
        <f>IF(D27="","",C27*D27)</f>
        <v/>
      </c>
    </row>
    <row r="28">
      <c r="A28" s="8" t="inlineStr">
        <is>
          <t>第3段階</t>
        </is>
      </c>
      <c r="B28" s="9" t="inlineStr">
        <is>
          <t>住民税非課税世帯かつ年金収入等120万円超</t>
        </is>
      </c>
      <c r="C28" s="29" t="n">
        <v>0.6850000000000001</v>
      </c>
      <c r="D28" s="11" t="n">
        <v>812</v>
      </c>
      <c r="E28" s="21">
        <f>IF(D28="","",C28*D28)</f>
        <v/>
      </c>
    </row>
    <row r="29">
      <c r="A29" s="8" t="inlineStr">
        <is>
          <t>第4段階</t>
        </is>
      </c>
      <c r="B29" s="9" t="inlineStr">
        <is>
          <t>本人非課税かつ世帯課税、年金収入等80万円以下</t>
        </is>
      </c>
      <c r="C29" s="29" t="n">
        <v>0.9</v>
      </c>
      <c r="D29" s="11" t="n">
        <v>1296</v>
      </c>
      <c r="E29" s="21">
        <f>IF(D29="","",C29*D29)</f>
        <v/>
      </c>
    </row>
    <row r="30">
      <c r="A30" s="8" t="inlineStr">
        <is>
          <t>第5段階</t>
        </is>
      </c>
      <c r="B30" s="9" t="inlineStr">
        <is>
          <t>本人非課税かつ世帯課税、年金収入等80万円超</t>
        </is>
      </c>
      <c r="C30" s="29" t="n">
        <v>1</v>
      </c>
      <c r="D30" s="11" t="n">
        <v>1822</v>
      </c>
      <c r="E30" s="21">
        <f>IF(D30="","",C30*D30)</f>
        <v/>
      </c>
    </row>
    <row r="31">
      <c r="A31" s="8" t="inlineStr">
        <is>
          <t>第6段階</t>
        </is>
      </c>
      <c r="B31" s="9" t="inlineStr">
        <is>
          <t>本人課税、合計所得金額120万円未満</t>
        </is>
      </c>
      <c r="C31" s="29" t="n">
        <v>1.2</v>
      </c>
      <c r="D31" s="11" t="n">
        <v>1467</v>
      </c>
      <c r="E31" s="21">
        <f>IF(D31="","",C31*D31)</f>
        <v/>
      </c>
    </row>
    <row r="32">
      <c r="A32" s="8" t="inlineStr">
        <is>
          <t>第7段階</t>
        </is>
      </c>
      <c r="B32" s="9" t="inlineStr">
        <is>
          <t>本人課税、合計所得金額120万円以上210万円未満</t>
        </is>
      </c>
      <c r="C32" s="29" t="n">
        <v>1.3</v>
      </c>
      <c r="D32" s="11" t="n">
        <v>1249</v>
      </c>
      <c r="E32" s="21">
        <f>IF(D32="","",C32*D32)</f>
        <v/>
      </c>
    </row>
    <row r="33">
      <c r="A33" s="8" t="inlineStr">
        <is>
          <t>第8段階</t>
        </is>
      </c>
      <c r="B33" s="9" t="inlineStr">
        <is>
          <t>本人課税、合計所得金額210万円以上320万円未満</t>
        </is>
      </c>
      <c r="C33" s="29" t="n">
        <v>1.5</v>
      </c>
      <c r="D33" s="11" t="n">
        <v>690</v>
      </c>
      <c r="E33" s="21">
        <f>IF(D33="","",C33*D33)</f>
        <v/>
      </c>
    </row>
    <row r="34">
      <c r="A34" s="8" t="inlineStr">
        <is>
          <t>第9段階</t>
        </is>
      </c>
      <c r="B34" s="9" t="inlineStr">
        <is>
          <t>本人課税、合計所得金額320万円以上420万円未満</t>
        </is>
      </c>
      <c r="C34" s="29" t="n">
        <v>1.7</v>
      </c>
      <c r="D34" s="11" t="n">
        <v>230</v>
      </c>
      <c r="E34" s="21">
        <f>IF(D34="","",C34*D34)</f>
        <v/>
      </c>
    </row>
    <row r="35">
      <c r="A35" s="8" t="inlineStr">
        <is>
          <t>第10段階</t>
        </is>
      </c>
      <c r="B35" s="9" t="inlineStr">
        <is>
          <t>本人課税、合計所得金額420万円以上520万円未満</t>
        </is>
      </c>
      <c r="C35" s="29" t="n">
        <v>1.9</v>
      </c>
      <c r="D35" s="11" t="n">
        <v>108</v>
      </c>
      <c r="E35" s="21">
        <f>IF(D35="","",C35*D35)</f>
        <v/>
      </c>
    </row>
    <row r="36">
      <c r="A36" s="8" t="inlineStr">
        <is>
          <t>第11段階</t>
        </is>
      </c>
      <c r="B36" s="9" t="inlineStr">
        <is>
          <t>本人課税、合計所得金額520万円以上620万円未満</t>
        </is>
      </c>
      <c r="C36" s="29" t="n">
        <v>2.1</v>
      </c>
      <c r="D36" s="11" t="n">
        <v>42</v>
      </c>
      <c r="E36" s="21">
        <f>IF(D36="","",C36*D36)</f>
        <v/>
      </c>
    </row>
    <row r="37">
      <c r="A37" s="8" t="inlineStr">
        <is>
          <t>第12段階</t>
        </is>
      </c>
      <c r="B37" s="9" t="inlineStr">
        <is>
          <t>本人課税、合計所得金額620万円以上720万円未満</t>
        </is>
      </c>
      <c r="C37" s="29" t="n">
        <v>2.3</v>
      </c>
      <c r="D37" s="11" t="n">
        <v>21</v>
      </c>
      <c r="E37" s="21">
        <f>IF(D37="","",C37*D37)</f>
        <v/>
      </c>
    </row>
    <row r="38">
      <c r="A38" s="8" t="inlineStr">
        <is>
          <t>第13段階</t>
        </is>
      </c>
      <c r="B38" s="9" t="inlineStr">
        <is>
          <t>本人課税、合計所得金額720万円以上</t>
        </is>
      </c>
      <c r="C38" s="29" t="n">
        <v>2.4</v>
      </c>
      <c r="D38" s="11" t="n">
        <v>93</v>
      </c>
      <c r="E38" s="21">
        <f>IF(D38="","",C38*D38)</f>
        <v/>
      </c>
    </row>
    <row r="39">
      <c r="A39" s="8" t="inlineStr">
        <is>
          <t>合計</t>
        </is>
      </c>
      <c r="B39" s="9" t="inlineStr"/>
      <c r="C39" s="8" t="inlineStr"/>
      <c r="D39" s="24">
        <f>SUM(D26:D38)</f>
        <v/>
      </c>
      <c r="E39" s="24">
        <f>SUM(E26:E38)</f>
        <v/>
      </c>
    </row>
    <row r="41">
      <c r="A41" t="inlineStr">
        <is>
          <t>※ **保険料率は小野町が第9期で定めた割合（年報 様式1 所得段階別）。**第1〜3段階は国の標準（0.455／0.685／0.69）より低い0.285／0.486／0.685で、公費による低所得者軽減を反映した率です。第10期の段階設定は国の基本指針を受けて確定します。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補正後人数＝保険料率×被保険者数。この合計÷被保険者数の合計が「所得段階別加入割合補正係数」で、調整交付金の算定にも用います。</t>
        </is>
      </c>
    </row>
    <row r="44">
      <c r="A44" t="inlineStr">
        <is>
          <t>※ **第9期の算定における補正係数は0.968でしたが、令和7年度実績では0.952です。**低所得段階の割合が上がっており、同じ賦課総額でも基準額が上がる方向に働きます。第9期の算定に用いた所得段階別人数の年度を町に確認してください。</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4" t="n"/>
      <c r="C2" s="10" t="n"/>
      <c r="D2" s="10" t="n"/>
      <c r="E2" s="10" t="n"/>
      <c r="F2" s="10" t="n"/>
      <c r="G2" s="10" t="n"/>
      <c r="H2" s="10" t="n"/>
      <c r="I2" s="9" t="inlineStr"/>
    </row>
    <row r="3">
      <c r="A3" s="8" t="inlineStr">
        <is>
          <t>C2 標準（高位）</t>
        </is>
      </c>
      <c r="B3" s="34" t="n"/>
      <c r="C3" s="10" t="n"/>
      <c r="D3" s="10" t="n"/>
      <c r="E3" s="10" t="n"/>
      <c r="F3" s="10" t="n"/>
      <c r="G3" s="10" t="n"/>
      <c r="H3" s="10" t="n"/>
      <c r="I3" s="9" t="inlineStr"/>
    </row>
    <row r="4">
      <c r="A4" s="8" t="inlineStr">
        <is>
          <t>C3 施設整備あり</t>
        </is>
      </c>
      <c r="B4" s="34" t="n"/>
      <c r="C4" s="10" t="n"/>
      <c r="D4" s="10" t="n"/>
      <c r="E4" s="10" t="n"/>
      <c r="F4" s="10" t="n"/>
      <c r="G4" s="10" t="n"/>
      <c r="H4" s="10" t="n"/>
      <c r="I4" s="9" t="inlineStr"/>
    </row>
    <row r="5">
      <c r="A5" s="8" t="inlineStr">
        <is>
          <t>C4 制度改正の影響</t>
        </is>
      </c>
      <c r="B5" s="34" t="n"/>
      <c r="C5" s="10" t="n"/>
      <c r="D5" s="10" t="n"/>
      <c r="E5" s="10" t="n"/>
      <c r="F5" s="10" t="n"/>
      <c r="G5" s="10" t="n"/>
      <c r="H5" s="10" t="n"/>
      <c r="I5" s="9" t="inlineStr"/>
    </row>
    <row r="6">
      <c r="A6" s="8" t="inlineStr">
        <is>
          <t>C5 基金活用</t>
        </is>
      </c>
      <c r="B6" s="34" t="n"/>
      <c r="C6" s="10" t="n"/>
      <c r="D6" s="10" t="n"/>
      <c r="E6" s="10" t="n"/>
      <c r="F6" s="10" t="n"/>
      <c r="G6" s="10" t="n"/>
      <c r="H6" s="10" t="n"/>
      <c r="I6" s="9" t="inlineStr"/>
    </row>
    <row r="7">
      <c r="A7" s="8" t="inlineStr">
        <is>
          <t>C6 保険料据置（逆算）</t>
        </is>
      </c>
      <c r="B7" s="34"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5"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6"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2026-09-12T02:27:04Z</dcterms:created>
  <dcterms:modified xmlns:dcterms="http://purl.org/dc/terms/" xmlns:xsi="http://www.w3.org/2001/XMLSchema-instance" xsi:type="dcterms:W3CDTF">2026-09-12T02:27:04Z</dcterms:modified>
</cp:coreProperties>
</file>