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3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4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5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drawings/drawing7.xml" ContentType="application/vnd.openxmlformats-officedocument.drawing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8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9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0A6477E1F185D0BE26EDAD8B11A441E14919BF2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目次" sheetId="1" r:id="rId1"/>
    <sheet name="1-2章_概要・要点" sheetId="2" r:id="rId2"/>
    <sheet name="3章_1属性" sheetId="3" r:id="rId3"/>
    <sheet name="3章_2障がい・医療" sheetId="4" r:id="rId4"/>
    <sheet name="3章_3暮らし・外出" sheetId="5" r:id="rId5"/>
    <sheet name="3章_4日中・就労" sheetId="6" r:id="rId6"/>
    <sheet name="3章_5サービス" sheetId="7" r:id="rId7"/>
    <sheet name="3章_6相談・権利" sheetId="8" r:id="rId8"/>
    <sheet name="3章_7災害・意見" sheetId="9" r:id="rId9"/>
    <sheet name="4章_クロス集計" sheetId="10" r:id="rId10"/>
    <sheet name="5章_障がい児" sheetId="11" r:id="rId11"/>
    <sheet name="6章_課題" sheetId="12" r:id="rId12"/>
    <sheet name="7章_追加分析" sheetId="13" r:id="rId13"/>
    <sheet name="集計_障がい者" sheetId="14" r:id="rId14"/>
    <sheet name="集計_障がい児" sheetId="15" r:id="rId15"/>
    <sheet name="集計_障がい別" sheetId="16" r:id="rId16"/>
  </sheets>
  <definedNames>
    <definedName name="_xlnm._FilterDatabase" localSheetId="13" hidden="1">集計_障がい者!$A$4:$G$440</definedName>
    <definedName name="_xlnm._FilterDatabase" localSheetId="14" hidden="1">集計_障がい児!$A$4:$G$451</definedName>
    <definedName name="_xlnm._FilterDatabase" localSheetId="15" hidden="1">集計_障がい別!$A$4:$I$441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1" i="16" l="1"/>
  <c r="H441" i="16"/>
  <c r="G441" i="16"/>
  <c r="I440" i="16"/>
  <c r="H440" i="16"/>
  <c r="G440" i="16"/>
  <c r="I439" i="16"/>
  <c r="H439" i="16"/>
  <c r="G439" i="16"/>
  <c r="I438" i="16"/>
  <c r="H438" i="16"/>
  <c r="G438" i="16"/>
  <c r="I437" i="16"/>
  <c r="H437" i="16"/>
  <c r="G437" i="16"/>
  <c r="I436" i="16"/>
  <c r="H436" i="16"/>
  <c r="G436" i="16"/>
  <c r="I435" i="16"/>
  <c r="H435" i="16"/>
  <c r="G435" i="16"/>
  <c r="I434" i="16"/>
  <c r="H434" i="16"/>
  <c r="G434" i="16"/>
  <c r="I433" i="16"/>
  <c r="H433" i="16"/>
  <c r="G433" i="16"/>
  <c r="I432" i="16"/>
  <c r="H432" i="16"/>
  <c r="G432" i="16"/>
  <c r="I431" i="16"/>
  <c r="H431" i="16"/>
  <c r="G431" i="16"/>
  <c r="I430" i="16"/>
  <c r="H430" i="16"/>
  <c r="G430" i="16"/>
  <c r="I429" i="16"/>
  <c r="H429" i="16"/>
  <c r="G429" i="16"/>
  <c r="I428" i="16"/>
  <c r="H428" i="16"/>
  <c r="G428" i="16"/>
  <c r="I427" i="16"/>
  <c r="H427" i="16"/>
  <c r="G427" i="16"/>
  <c r="I426" i="16"/>
  <c r="H426" i="16"/>
  <c r="G426" i="16"/>
  <c r="I425" i="16"/>
  <c r="H425" i="16"/>
  <c r="G425" i="16"/>
  <c r="I424" i="16"/>
  <c r="H424" i="16"/>
  <c r="G424" i="16"/>
  <c r="I423" i="16"/>
  <c r="H423" i="16"/>
  <c r="G423" i="16"/>
  <c r="I422" i="16"/>
  <c r="H422" i="16"/>
  <c r="G422" i="16"/>
  <c r="I421" i="16"/>
  <c r="H421" i="16"/>
  <c r="G421" i="16"/>
  <c r="I420" i="16"/>
  <c r="H420" i="16"/>
  <c r="G420" i="16"/>
  <c r="I419" i="16"/>
  <c r="H419" i="16"/>
  <c r="G419" i="16"/>
  <c r="I418" i="16"/>
  <c r="H418" i="16"/>
  <c r="G418" i="16"/>
  <c r="I417" i="16"/>
  <c r="H417" i="16"/>
  <c r="G417" i="16"/>
  <c r="I416" i="16"/>
  <c r="H416" i="16"/>
  <c r="G416" i="16"/>
  <c r="I415" i="16"/>
  <c r="H415" i="16"/>
  <c r="G415" i="16"/>
  <c r="I414" i="16"/>
  <c r="H414" i="16"/>
  <c r="G414" i="16"/>
  <c r="I413" i="16"/>
  <c r="H413" i="16"/>
  <c r="G413" i="16"/>
  <c r="I412" i="16"/>
  <c r="H412" i="16"/>
  <c r="G412" i="16"/>
  <c r="I411" i="16"/>
  <c r="H411" i="16"/>
  <c r="G411" i="16"/>
  <c r="I410" i="16"/>
  <c r="H410" i="16"/>
  <c r="G410" i="16"/>
  <c r="I409" i="16"/>
  <c r="H409" i="16"/>
  <c r="G409" i="16"/>
  <c r="I408" i="16"/>
  <c r="H408" i="16"/>
  <c r="G408" i="16"/>
  <c r="I407" i="16"/>
  <c r="H407" i="16"/>
  <c r="G407" i="16"/>
  <c r="I406" i="16"/>
  <c r="H406" i="16"/>
  <c r="G406" i="16"/>
  <c r="I405" i="16"/>
  <c r="H405" i="16"/>
  <c r="G405" i="16"/>
  <c r="I404" i="16"/>
  <c r="H404" i="16"/>
  <c r="G404" i="16"/>
  <c r="I403" i="16"/>
  <c r="H403" i="16"/>
  <c r="G403" i="16"/>
  <c r="I402" i="16"/>
  <c r="H402" i="16"/>
  <c r="G402" i="16"/>
  <c r="I401" i="16"/>
  <c r="H401" i="16"/>
  <c r="G401" i="16"/>
  <c r="I400" i="16"/>
  <c r="H400" i="16"/>
  <c r="G400" i="16"/>
  <c r="I399" i="16"/>
  <c r="H399" i="16"/>
  <c r="G399" i="16"/>
  <c r="I398" i="16"/>
  <c r="H398" i="16"/>
  <c r="G398" i="16"/>
  <c r="I397" i="16"/>
  <c r="H397" i="16"/>
  <c r="G397" i="16"/>
  <c r="I396" i="16"/>
  <c r="H396" i="16"/>
  <c r="G396" i="16"/>
  <c r="I395" i="16"/>
  <c r="H395" i="16"/>
  <c r="G395" i="16"/>
  <c r="I394" i="16"/>
  <c r="H394" i="16"/>
  <c r="G394" i="16"/>
  <c r="I393" i="16"/>
  <c r="H393" i="16"/>
  <c r="G393" i="16"/>
  <c r="I392" i="16"/>
  <c r="H392" i="16"/>
  <c r="G392" i="16"/>
  <c r="I391" i="16"/>
  <c r="H391" i="16"/>
  <c r="G391" i="16"/>
  <c r="I390" i="16"/>
  <c r="H390" i="16"/>
  <c r="G390" i="16"/>
  <c r="I389" i="16"/>
  <c r="H389" i="16"/>
  <c r="G389" i="16"/>
  <c r="I388" i="16"/>
  <c r="H388" i="16"/>
  <c r="G388" i="16"/>
  <c r="I387" i="16"/>
  <c r="H387" i="16"/>
  <c r="G387" i="16"/>
  <c r="I386" i="16"/>
  <c r="H386" i="16"/>
  <c r="G386" i="16"/>
  <c r="I385" i="16"/>
  <c r="H385" i="16"/>
  <c r="G385" i="16"/>
  <c r="I384" i="16"/>
  <c r="H384" i="16"/>
  <c r="G384" i="16"/>
  <c r="I383" i="16"/>
  <c r="H383" i="16"/>
  <c r="G383" i="16"/>
  <c r="I382" i="16"/>
  <c r="H382" i="16"/>
  <c r="G382" i="16"/>
  <c r="I381" i="16"/>
  <c r="H381" i="16"/>
  <c r="G381" i="16"/>
  <c r="I380" i="16"/>
  <c r="H380" i="16"/>
  <c r="G380" i="16"/>
  <c r="I379" i="16"/>
  <c r="H379" i="16"/>
  <c r="G379" i="16"/>
  <c r="I378" i="16"/>
  <c r="H378" i="16"/>
  <c r="G378" i="16"/>
  <c r="I377" i="16"/>
  <c r="H377" i="16"/>
  <c r="G377" i="16"/>
  <c r="I376" i="16"/>
  <c r="H376" i="16"/>
  <c r="G376" i="16"/>
  <c r="I375" i="16"/>
  <c r="H375" i="16"/>
  <c r="G375" i="16"/>
  <c r="I374" i="16"/>
  <c r="H374" i="16"/>
  <c r="G374" i="16"/>
  <c r="I373" i="16"/>
  <c r="H373" i="16"/>
  <c r="G373" i="16"/>
  <c r="I372" i="16"/>
  <c r="H372" i="16"/>
  <c r="G372" i="16"/>
  <c r="I371" i="16"/>
  <c r="H371" i="16"/>
  <c r="G371" i="16"/>
  <c r="I370" i="16"/>
  <c r="H370" i="16"/>
  <c r="G370" i="16"/>
  <c r="I369" i="16"/>
  <c r="H369" i="16"/>
  <c r="G369" i="16"/>
  <c r="I368" i="16"/>
  <c r="H368" i="16"/>
  <c r="G368" i="16"/>
  <c r="I367" i="16"/>
  <c r="H367" i="16"/>
  <c r="G367" i="16"/>
  <c r="I366" i="16"/>
  <c r="H366" i="16"/>
  <c r="G366" i="16"/>
  <c r="I365" i="16"/>
  <c r="H365" i="16"/>
  <c r="G365" i="16"/>
  <c r="I364" i="16"/>
  <c r="H364" i="16"/>
  <c r="G364" i="16"/>
  <c r="I363" i="16"/>
  <c r="H363" i="16"/>
  <c r="G363" i="16"/>
  <c r="I362" i="16"/>
  <c r="H362" i="16"/>
  <c r="G362" i="16"/>
  <c r="I361" i="16"/>
  <c r="H361" i="16"/>
  <c r="G361" i="16"/>
  <c r="I360" i="16"/>
  <c r="H360" i="16"/>
  <c r="G360" i="16"/>
  <c r="I359" i="16"/>
  <c r="H359" i="16"/>
  <c r="G359" i="16"/>
  <c r="I358" i="16"/>
  <c r="H358" i="16"/>
  <c r="G358" i="16"/>
  <c r="I357" i="16"/>
  <c r="H357" i="16"/>
  <c r="G357" i="16"/>
  <c r="I356" i="16"/>
  <c r="H356" i="16"/>
  <c r="G356" i="16"/>
  <c r="I355" i="16"/>
  <c r="H355" i="16"/>
  <c r="G355" i="16"/>
  <c r="I354" i="16"/>
  <c r="H354" i="16"/>
  <c r="G354" i="16"/>
  <c r="I353" i="16"/>
  <c r="H353" i="16"/>
  <c r="G353" i="16"/>
  <c r="I352" i="16"/>
  <c r="H352" i="16"/>
  <c r="G352" i="16"/>
  <c r="I351" i="16"/>
  <c r="H351" i="16"/>
  <c r="G351" i="16"/>
  <c r="I350" i="16"/>
  <c r="H350" i="16"/>
  <c r="G350" i="16"/>
  <c r="I349" i="16"/>
  <c r="H349" i="16"/>
  <c r="G349" i="16"/>
  <c r="I348" i="16"/>
  <c r="H348" i="16"/>
  <c r="G348" i="16"/>
  <c r="I347" i="16"/>
  <c r="H347" i="16"/>
  <c r="G347" i="16"/>
  <c r="I346" i="16"/>
  <c r="H346" i="16"/>
  <c r="G346" i="16"/>
  <c r="I345" i="16"/>
  <c r="H345" i="16"/>
  <c r="G345" i="16"/>
  <c r="I344" i="16"/>
  <c r="H344" i="16"/>
  <c r="G344" i="16"/>
  <c r="I343" i="16"/>
  <c r="H343" i="16"/>
  <c r="G343" i="16"/>
  <c r="I342" i="16"/>
  <c r="H342" i="16"/>
  <c r="G342" i="16"/>
  <c r="I341" i="16"/>
  <c r="H341" i="16"/>
  <c r="G341" i="16"/>
  <c r="I340" i="16"/>
  <c r="H340" i="16"/>
  <c r="G340" i="16"/>
  <c r="I339" i="16"/>
  <c r="H339" i="16"/>
  <c r="G339" i="16"/>
  <c r="I338" i="16"/>
  <c r="H338" i="16"/>
  <c r="G338" i="16"/>
  <c r="I337" i="16"/>
  <c r="H337" i="16"/>
  <c r="G337" i="16"/>
  <c r="I336" i="16"/>
  <c r="H336" i="16"/>
  <c r="G336" i="16"/>
  <c r="I335" i="16"/>
  <c r="H335" i="16"/>
  <c r="G335" i="16"/>
  <c r="I334" i="16"/>
  <c r="H334" i="16"/>
  <c r="G334" i="16"/>
  <c r="I333" i="16"/>
  <c r="H333" i="16"/>
  <c r="G333" i="16"/>
  <c r="I332" i="16"/>
  <c r="H332" i="16"/>
  <c r="G332" i="16"/>
  <c r="I331" i="16"/>
  <c r="H331" i="16"/>
  <c r="G331" i="16"/>
  <c r="I330" i="16"/>
  <c r="H330" i="16"/>
  <c r="G330" i="16"/>
  <c r="I329" i="16"/>
  <c r="H329" i="16"/>
  <c r="G329" i="16"/>
  <c r="I328" i="16"/>
  <c r="H328" i="16"/>
  <c r="G328" i="16"/>
  <c r="I327" i="16"/>
  <c r="H327" i="16"/>
  <c r="G327" i="16"/>
  <c r="I326" i="16"/>
  <c r="H326" i="16"/>
  <c r="G326" i="16"/>
  <c r="I325" i="16"/>
  <c r="H325" i="16"/>
  <c r="G325" i="16"/>
  <c r="I324" i="16"/>
  <c r="H324" i="16"/>
  <c r="G324" i="16"/>
  <c r="I323" i="16"/>
  <c r="H323" i="16"/>
  <c r="G323" i="16"/>
  <c r="I322" i="16"/>
  <c r="H322" i="16"/>
  <c r="G322" i="16"/>
  <c r="I321" i="16"/>
  <c r="H321" i="16"/>
  <c r="G321" i="16"/>
  <c r="I320" i="16"/>
  <c r="H320" i="16"/>
  <c r="G320" i="16"/>
  <c r="I319" i="16"/>
  <c r="H319" i="16"/>
  <c r="G319" i="16"/>
  <c r="I318" i="16"/>
  <c r="H318" i="16"/>
  <c r="G318" i="16"/>
  <c r="I317" i="16"/>
  <c r="H317" i="16"/>
  <c r="G317" i="16"/>
  <c r="I316" i="16"/>
  <c r="H316" i="16"/>
  <c r="G316" i="16"/>
  <c r="I315" i="16"/>
  <c r="H315" i="16"/>
  <c r="G315" i="16"/>
  <c r="I314" i="16"/>
  <c r="H314" i="16"/>
  <c r="G314" i="16"/>
  <c r="I313" i="16"/>
  <c r="H313" i="16"/>
  <c r="G313" i="16"/>
  <c r="I312" i="16"/>
  <c r="H312" i="16"/>
  <c r="G312" i="16"/>
  <c r="I311" i="16"/>
  <c r="H311" i="16"/>
  <c r="G311" i="16"/>
  <c r="I310" i="16"/>
  <c r="H310" i="16"/>
  <c r="G310" i="16"/>
  <c r="I309" i="16"/>
  <c r="H309" i="16"/>
  <c r="G309" i="16"/>
  <c r="I308" i="16"/>
  <c r="H308" i="16"/>
  <c r="G308" i="16"/>
  <c r="I307" i="16"/>
  <c r="H307" i="16"/>
  <c r="G307" i="16"/>
  <c r="I306" i="16"/>
  <c r="H306" i="16"/>
  <c r="G306" i="16"/>
  <c r="I305" i="16"/>
  <c r="H305" i="16"/>
  <c r="G305" i="16"/>
  <c r="I304" i="16"/>
  <c r="H304" i="16"/>
  <c r="G304" i="16"/>
  <c r="I303" i="16"/>
  <c r="H303" i="16"/>
  <c r="G303" i="16"/>
  <c r="I302" i="16"/>
  <c r="H302" i="16"/>
  <c r="G302" i="16"/>
  <c r="I301" i="16"/>
  <c r="H301" i="16"/>
  <c r="G301" i="16"/>
  <c r="I300" i="16"/>
  <c r="H300" i="16"/>
  <c r="G300" i="16"/>
  <c r="I299" i="16"/>
  <c r="H299" i="16"/>
  <c r="G299" i="16"/>
  <c r="I298" i="16"/>
  <c r="H298" i="16"/>
  <c r="G298" i="16"/>
  <c r="I297" i="16"/>
  <c r="H297" i="16"/>
  <c r="G297" i="16"/>
  <c r="I296" i="16"/>
  <c r="H296" i="16"/>
  <c r="G296" i="16"/>
  <c r="I295" i="16"/>
  <c r="H295" i="16"/>
  <c r="G295" i="16"/>
  <c r="I294" i="16"/>
  <c r="H294" i="16"/>
  <c r="G294" i="16"/>
  <c r="I293" i="16"/>
  <c r="H293" i="16"/>
  <c r="G293" i="16"/>
  <c r="I292" i="16"/>
  <c r="H292" i="16"/>
  <c r="G292" i="16"/>
  <c r="I291" i="16"/>
  <c r="H291" i="16"/>
  <c r="G291" i="16"/>
  <c r="I290" i="16"/>
  <c r="H290" i="16"/>
  <c r="G290" i="16"/>
  <c r="I289" i="16"/>
  <c r="H289" i="16"/>
  <c r="G289" i="16"/>
  <c r="I288" i="16"/>
  <c r="H288" i="16"/>
  <c r="G288" i="16"/>
  <c r="I287" i="16"/>
  <c r="H287" i="16"/>
  <c r="G287" i="16"/>
  <c r="I286" i="16"/>
  <c r="H286" i="16"/>
  <c r="G286" i="16"/>
  <c r="I285" i="16"/>
  <c r="H285" i="16"/>
  <c r="G285" i="16"/>
  <c r="I284" i="16"/>
  <c r="H284" i="16"/>
  <c r="G284" i="16"/>
  <c r="I283" i="16"/>
  <c r="H283" i="16"/>
  <c r="G283" i="16"/>
  <c r="I282" i="16"/>
  <c r="H282" i="16"/>
  <c r="G282" i="16"/>
  <c r="I281" i="16"/>
  <c r="H281" i="16"/>
  <c r="G281" i="16"/>
  <c r="I280" i="16"/>
  <c r="H280" i="16"/>
  <c r="G280" i="16"/>
  <c r="I279" i="16"/>
  <c r="H279" i="16"/>
  <c r="G279" i="16"/>
  <c r="I278" i="16"/>
  <c r="H278" i="16"/>
  <c r="G278" i="16"/>
  <c r="I277" i="16"/>
  <c r="H277" i="16"/>
  <c r="G277" i="16"/>
  <c r="I276" i="16"/>
  <c r="H276" i="16"/>
  <c r="G276" i="16"/>
  <c r="I275" i="16"/>
  <c r="H275" i="16"/>
  <c r="G275" i="16"/>
  <c r="I274" i="16"/>
  <c r="H274" i="16"/>
  <c r="G274" i="16"/>
  <c r="I273" i="16"/>
  <c r="H273" i="16"/>
  <c r="G273" i="16"/>
  <c r="I272" i="16"/>
  <c r="H272" i="16"/>
  <c r="G272" i="16"/>
  <c r="I271" i="16"/>
  <c r="H271" i="16"/>
  <c r="G271" i="16"/>
  <c r="I270" i="16"/>
  <c r="H270" i="16"/>
  <c r="G270" i="16"/>
  <c r="I269" i="16"/>
  <c r="H269" i="16"/>
  <c r="G269" i="16"/>
  <c r="I268" i="16"/>
  <c r="H268" i="16"/>
  <c r="G268" i="16"/>
  <c r="I267" i="16"/>
  <c r="H267" i="16"/>
  <c r="G267" i="16"/>
  <c r="I266" i="16"/>
  <c r="H266" i="16"/>
  <c r="G266" i="16"/>
  <c r="I265" i="16"/>
  <c r="H265" i="16"/>
  <c r="G265" i="16"/>
  <c r="I264" i="16"/>
  <c r="H264" i="16"/>
  <c r="G264" i="16"/>
  <c r="I263" i="16"/>
  <c r="H263" i="16"/>
  <c r="G263" i="16"/>
  <c r="I262" i="16"/>
  <c r="H262" i="16"/>
  <c r="G262" i="16"/>
  <c r="I261" i="16"/>
  <c r="H261" i="16"/>
  <c r="G261" i="16"/>
  <c r="I260" i="16"/>
  <c r="H260" i="16"/>
  <c r="G260" i="16"/>
  <c r="I259" i="16"/>
  <c r="H259" i="16"/>
  <c r="G259" i="16"/>
  <c r="I258" i="16"/>
  <c r="H258" i="16"/>
  <c r="G258" i="16"/>
  <c r="I257" i="16"/>
  <c r="H257" i="16"/>
  <c r="G257" i="16"/>
  <c r="I256" i="16"/>
  <c r="H256" i="16"/>
  <c r="G256" i="16"/>
  <c r="I255" i="16"/>
  <c r="H255" i="16"/>
  <c r="G255" i="16"/>
  <c r="I254" i="16"/>
  <c r="H254" i="16"/>
  <c r="G254" i="16"/>
  <c r="I253" i="16"/>
  <c r="H253" i="16"/>
  <c r="G253" i="16"/>
  <c r="I252" i="16"/>
  <c r="H252" i="16"/>
  <c r="G252" i="16"/>
  <c r="I251" i="16"/>
  <c r="H251" i="16"/>
  <c r="G251" i="16"/>
  <c r="I250" i="16"/>
  <c r="H250" i="16"/>
  <c r="G250" i="16"/>
  <c r="I249" i="16"/>
  <c r="H249" i="16"/>
  <c r="G249" i="16"/>
  <c r="I248" i="16"/>
  <c r="H248" i="16"/>
  <c r="G248" i="16"/>
  <c r="I247" i="16"/>
  <c r="H247" i="16"/>
  <c r="G247" i="16"/>
  <c r="I246" i="16"/>
  <c r="H246" i="16"/>
  <c r="G246" i="16"/>
  <c r="I245" i="16"/>
  <c r="H245" i="16"/>
  <c r="G245" i="16"/>
  <c r="I244" i="16"/>
  <c r="H244" i="16"/>
  <c r="G244" i="16"/>
  <c r="I243" i="16"/>
  <c r="H243" i="16"/>
  <c r="G243" i="16"/>
  <c r="I242" i="16"/>
  <c r="H242" i="16"/>
  <c r="G242" i="16"/>
  <c r="I241" i="16"/>
  <c r="H241" i="16"/>
  <c r="G241" i="16"/>
  <c r="I240" i="16"/>
  <c r="H240" i="16"/>
  <c r="G240" i="16"/>
  <c r="I239" i="16"/>
  <c r="H239" i="16"/>
  <c r="G239" i="16"/>
  <c r="I238" i="16"/>
  <c r="H238" i="16"/>
  <c r="G238" i="16"/>
  <c r="I237" i="16"/>
  <c r="H237" i="16"/>
  <c r="G237" i="16"/>
  <c r="I236" i="16"/>
  <c r="H236" i="16"/>
  <c r="G236" i="16"/>
  <c r="I235" i="16"/>
  <c r="H235" i="16"/>
  <c r="G235" i="16"/>
  <c r="I234" i="16"/>
  <c r="H234" i="16"/>
  <c r="G234" i="16"/>
  <c r="I233" i="16"/>
  <c r="H233" i="16"/>
  <c r="G233" i="16"/>
  <c r="I232" i="16"/>
  <c r="H232" i="16"/>
  <c r="G232" i="16"/>
  <c r="I231" i="16"/>
  <c r="H231" i="16"/>
  <c r="G231" i="16"/>
  <c r="I230" i="16"/>
  <c r="H230" i="16"/>
  <c r="G230" i="16"/>
  <c r="I229" i="16"/>
  <c r="H229" i="16"/>
  <c r="G229" i="16"/>
  <c r="I228" i="16"/>
  <c r="H228" i="16"/>
  <c r="G228" i="16"/>
  <c r="I227" i="16"/>
  <c r="H227" i="16"/>
  <c r="G227" i="16"/>
  <c r="I226" i="16"/>
  <c r="H226" i="16"/>
  <c r="G226" i="16"/>
  <c r="I225" i="16"/>
  <c r="H225" i="16"/>
  <c r="G225" i="16"/>
  <c r="I224" i="16"/>
  <c r="H224" i="16"/>
  <c r="G224" i="16"/>
  <c r="I223" i="16"/>
  <c r="H223" i="16"/>
  <c r="G223" i="16"/>
  <c r="I222" i="16"/>
  <c r="H222" i="16"/>
  <c r="G222" i="16"/>
  <c r="I221" i="16"/>
  <c r="H221" i="16"/>
  <c r="G221" i="16"/>
  <c r="I220" i="16"/>
  <c r="H220" i="16"/>
  <c r="G220" i="16"/>
  <c r="I219" i="16"/>
  <c r="H219" i="16"/>
  <c r="G219" i="16"/>
  <c r="I218" i="16"/>
  <c r="H218" i="16"/>
  <c r="G218" i="16"/>
  <c r="I217" i="16"/>
  <c r="H217" i="16"/>
  <c r="G217" i="16"/>
  <c r="I216" i="16"/>
  <c r="H216" i="16"/>
  <c r="G216" i="16"/>
  <c r="I215" i="16"/>
  <c r="H215" i="16"/>
  <c r="G215" i="16"/>
  <c r="I214" i="16"/>
  <c r="H214" i="16"/>
  <c r="G214" i="16"/>
  <c r="I213" i="16"/>
  <c r="H213" i="16"/>
  <c r="G213" i="16"/>
  <c r="I212" i="16"/>
  <c r="H212" i="16"/>
  <c r="G212" i="16"/>
  <c r="I211" i="16"/>
  <c r="H211" i="16"/>
  <c r="G211" i="16"/>
  <c r="I210" i="16"/>
  <c r="H210" i="16"/>
  <c r="G210" i="16"/>
  <c r="I209" i="16"/>
  <c r="H209" i="16"/>
  <c r="G209" i="16"/>
  <c r="I208" i="16"/>
  <c r="H208" i="16"/>
  <c r="G208" i="16"/>
  <c r="I207" i="16"/>
  <c r="H207" i="16"/>
  <c r="G207" i="16"/>
  <c r="I206" i="16"/>
  <c r="H206" i="16"/>
  <c r="G206" i="16"/>
  <c r="I205" i="16"/>
  <c r="H205" i="16"/>
  <c r="G205" i="16"/>
  <c r="I204" i="16"/>
  <c r="H204" i="16"/>
  <c r="G204" i="16"/>
  <c r="I203" i="16"/>
  <c r="H203" i="16"/>
  <c r="G203" i="16"/>
  <c r="I202" i="16"/>
  <c r="H202" i="16"/>
  <c r="G202" i="16"/>
  <c r="I201" i="16"/>
  <c r="H201" i="16"/>
  <c r="G201" i="16"/>
  <c r="I200" i="16"/>
  <c r="H200" i="16"/>
  <c r="G200" i="16"/>
  <c r="I199" i="16"/>
  <c r="H199" i="16"/>
  <c r="G199" i="16"/>
  <c r="I198" i="16"/>
  <c r="H198" i="16"/>
  <c r="G198" i="16"/>
  <c r="I197" i="16"/>
  <c r="H197" i="16"/>
  <c r="G197" i="16"/>
  <c r="I196" i="16"/>
  <c r="H196" i="16"/>
  <c r="G196" i="16"/>
  <c r="I195" i="16"/>
  <c r="H195" i="16"/>
  <c r="G195" i="16"/>
  <c r="I194" i="16"/>
  <c r="H194" i="16"/>
  <c r="G194" i="16"/>
  <c r="I193" i="16"/>
  <c r="H193" i="16"/>
  <c r="G193" i="16"/>
  <c r="I192" i="16"/>
  <c r="H192" i="16"/>
  <c r="G192" i="16"/>
  <c r="I191" i="16"/>
  <c r="H191" i="16"/>
  <c r="G191" i="16"/>
  <c r="I190" i="16"/>
  <c r="H190" i="16"/>
  <c r="G190" i="16"/>
  <c r="I189" i="16"/>
  <c r="H189" i="16"/>
  <c r="G189" i="16"/>
  <c r="I188" i="16"/>
  <c r="H188" i="16"/>
  <c r="G188" i="16"/>
  <c r="I187" i="16"/>
  <c r="H187" i="16"/>
  <c r="G187" i="16"/>
  <c r="I186" i="16"/>
  <c r="H186" i="16"/>
  <c r="G186" i="16"/>
  <c r="I185" i="16"/>
  <c r="H185" i="16"/>
  <c r="G185" i="16"/>
  <c r="I184" i="16"/>
  <c r="H184" i="16"/>
  <c r="G184" i="16"/>
  <c r="I183" i="16"/>
  <c r="H183" i="16"/>
  <c r="G183" i="16"/>
  <c r="I182" i="16"/>
  <c r="H182" i="16"/>
  <c r="G182" i="16"/>
  <c r="I181" i="16"/>
  <c r="H181" i="16"/>
  <c r="G181" i="16"/>
  <c r="I180" i="16"/>
  <c r="H180" i="16"/>
  <c r="G180" i="16"/>
  <c r="I179" i="16"/>
  <c r="H179" i="16"/>
  <c r="G179" i="16"/>
  <c r="I178" i="16"/>
  <c r="H178" i="16"/>
  <c r="G178" i="16"/>
  <c r="I177" i="16"/>
  <c r="H177" i="16"/>
  <c r="G177" i="16"/>
  <c r="I176" i="16"/>
  <c r="H176" i="16"/>
  <c r="G176" i="16"/>
  <c r="I175" i="16"/>
  <c r="H175" i="16"/>
  <c r="G175" i="16"/>
  <c r="I174" i="16"/>
  <c r="H174" i="16"/>
  <c r="G174" i="16"/>
  <c r="I173" i="16"/>
  <c r="H173" i="16"/>
  <c r="G173" i="16"/>
  <c r="I172" i="16"/>
  <c r="H172" i="16"/>
  <c r="G172" i="16"/>
  <c r="I171" i="16"/>
  <c r="H171" i="16"/>
  <c r="G171" i="16"/>
  <c r="I170" i="16"/>
  <c r="H170" i="16"/>
  <c r="G170" i="16"/>
  <c r="I169" i="16"/>
  <c r="H169" i="16"/>
  <c r="G169" i="16"/>
  <c r="I168" i="16"/>
  <c r="H168" i="16"/>
  <c r="G168" i="16"/>
  <c r="I167" i="16"/>
  <c r="H167" i="16"/>
  <c r="G167" i="16"/>
  <c r="I166" i="16"/>
  <c r="H166" i="16"/>
  <c r="G166" i="16"/>
  <c r="I165" i="16"/>
  <c r="H165" i="16"/>
  <c r="G165" i="16"/>
  <c r="I164" i="16"/>
  <c r="H164" i="16"/>
  <c r="G164" i="16"/>
  <c r="I163" i="16"/>
  <c r="H163" i="16"/>
  <c r="G163" i="16"/>
  <c r="I162" i="16"/>
  <c r="H162" i="16"/>
  <c r="G162" i="16"/>
  <c r="I161" i="16"/>
  <c r="H161" i="16"/>
  <c r="G161" i="16"/>
  <c r="I160" i="16"/>
  <c r="H160" i="16"/>
  <c r="G160" i="16"/>
  <c r="I159" i="16"/>
  <c r="H159" i="16"/>
  <c r="G159" i="16"/>
  <c r="I158" i="16"/>
  <c r="H158" i="16"/>
  <c r="G158" i="16"/>
  <c r="I157" i="16"/>
  <c r="H157" i="16"/>
  <c r="G157" i="16"/>
  <c r="I156" i="16"/>
  <c r="H156" i="16"/>
  <c r="G156" i="16"/>
  <c r="I155" i="16"/>
  <c r="H155" i="16"/>
  <c r="G155" i="16"/>
  <c r="I154" i="16"/>
  <c r="H154" i="16"/>
  <c r="G154" i="16"/>
  <c r="I153" i="16"/>
  <c r="H153" i="16"/>
  <c r="G153" i="16"/>
  <c r="I152" i="16"/>
  <c r="H152" i="16"/>
  <c r="G152" i="16"/>
  <c r="I151" i="16"/>
  <c r="H151" i="16"/>
  <c r="G151" i="16"/>
  <c r="I150" i="16"/>
  <c r="H150" i="16"/>
  <c r="G150" i="16"/>
  <c r="I149" i="16"/>
  <c r="H149" i="16"/>
  <c r="G149" i="16"/>
  <c r="I148" i="16"/>
  <c r="H148" i="16"/>
  <c r="G148" i="16"/>
  <c r="I147" i="16"/>
  <c r="H147" i="16"/>
  <c r="G147" i="16"/>
  <c r="I146" i="16"/>
  <c r="H146" i="16"/>
  <c r="G146" i="16"/>
  <c r="I145" i="16"/>
  <c r="H145" i="16"/>
  <c r="G145" i="16"/>
  <c r="I144" i="16"/>
  <c r="H144" i="16"/>
  <c r="G144" i="16"/>
  <c r="I143" i="16"/>
  <c r="H143" i="16"/>
  <c r="G143" i="16"/>
  <c r="I142" i="16"/>
  <c r="H142" i="16"/>
  <c r="G142" i="16"/>
  <c r="I141" i="16"/>
  <c r="H141" i="16"/>
  <c r="G141" i="16"/>
  <c r="I140" i="16"/>
  <c r="H140" i="16"/>
  <c r="G140" i="16"/>
  <c r="I139" i="16"/>
  <c r="H139" i="16"/>
  <c r="G139" i="16"/>
  <c r="I138" i="16"/>
  <c r="H138" i="16"/>
  <c r="G138" i="16"/>
  <c r="I137" i="16"/>
  <c r="H137" i="16"/>
  <c r="G137" i="16"/>
  <c r="I136" i="16"/>
  <c r="H136" i="16"/>
  <c r="G136" i="16"/>
  <c r="I135" i="16"/>
  <c r="H135" i="16"/>
  <c r="G135" i="16"/>
  <c r="I134" i="16"/>
  <c r="H134" i="16"/>
  <c r="G134" i="16"/>
  <c r="I133" i="16"/>
  <c r="H133" i="16"/>
  <c r="G133" i="16"/>
  <c r="I132" i="16"/>
  <c r="H132" i="16"/>
  <c r="G132" i="16"/>
  <c r="I131" i="16"/>
  <c r="H131" i="16"/>
  <c r="G131" i="16"/>
  <c r="I130" i="16"/>
  <c r="H130" i="16"/>
  <c r="G130" i="16"/>
  <c r="I129" i="16"/>
  <c r="H129" i="16"/>
  <c r="G129" i="16"/>
  <c r="I128" i="16"/>
  <c r="H128" i="16"/>
  <c r="G128" i="16"/>
  <c r="I127" i="16"/>
  <c r="H127" i="16"/>
  <c r="G127" i="16"/>
  <c r="I126" i="16"/>
  <c r="H126" i="16"/>
  <c r="G126" i="16"/>
  <c r="I125" i="16"/>
  <c r="H125" i="16"/>
  <c r="G125" i="16"/>
  <c r="I124" i="16"/>
  <c r="H124" i="16"/>
  <c r="G124" i="16"/>
  <c r="I123" i="16"/>
  <c r="H123" i="16"/>
  <c r="G123" i="16"/>
  <c r="I122" i="16"/>
  <c r="H122" i="16"/>
  <c r="G122" i="16"/>
  <c r="I121" i="16"/>
  <c r="H121" i="16"/>
  <c r="G121" i="16"/>
  <c r="I120" i="16"/>
  <c r="H120" i="16"/>
  <c r="G120" i="16"/>
  <c r="I119" i="16"/>
  <c r="H119" i="16"/>
  <c r="G119" i="16"/>
  <c r="I118" i="16"/>
  <c r="H118" i="16"/>
  <c r="G118" i="16"/>
  <c r="I117" i="16"/>
  <c r="H117" i="16"/>
  <c r="G117" i="16"/>
  <c r="I116" i="16"/>
  <c r="H116" i="16"/>
  <c r="G116" i="16"/>
  <c r="I115" i="16"/>
  <c r="H115" i="16"/>
  <c r="G115" i="16"/>
  <c r="I114" i="16"/>
  <c r="H114" i="16"/>
  <c r="G114" i="16"/>
  <c r="I113" i="16"/>
  <c r="H113" i="16"/>
  <c r="G113" i="16"/>
  <c r="I112" i="16"/>
  <c r="H112" i="16"/>
  <c r="G112" i="16"/>
  <c r="I111" i="16"/>
  <c r="H111" i="16"/>
  <c r="G111" i="16"/>
  <c r="I110" i="16"/>
  <c r="H110" i="16"/>
  <c r="G110" i="16"/>
  <c r="I109" i="16"/>
  <c r="H109" i="16"/>
  <c r="G109" i="16"/>
  <c r="I108" i="16"/>
  <c r="H108" i="16"/>
  <c r="G108" i="16"/>
  <c r="I107" i="16"/>
  <c r="H107" i="16"/>
  <c r="G107" i="16"/>
  <c r="I106" i="16"/>
  <c r="H106" i="16"/>
  <c r="G106" i="16"/>
  <c r="I105" i="16"/>
  <c r="H105" i="16"/>
  <c r="G105" i="16"/>
  <c r="I104" i="16"/>
  <c r="H104" i="16"/>
  <c r="G104" i="16"/>
  <c r="I103" i="16"/>
  <c r="H103" i="16"/>
  <c r="G103" i="16"/>
  <c r="I102" i="16"/>
  <c r="H102" i="16"/>
  <c r="G102" i="16"/>
  <c r="I101" i="16"/>
  <c r="H101" i="16"/>
  <c r="G101" i="16"/>
  <c r="I100" i="16"/>
  <c r="H100" i="16"/>
  <c r="G100" i="16"/>
  <c r="I99" i="16"/>
  <c r="H99" i="16"/>
  <c r="G99" i="16"/>
  <c r="I98" i="16"/>
  <c r="H98" i="16"/>
  <c r="G98" i="16"/>
  <c r="I97" i="16"/>
  <c r="H97" i="16"/>
  <c r="G97" i="16"/>
  <c r="I96" i="16"/>
  <c r="H96" i="16"/>
  <c r="G96" i="16"/>
  <c r="I95" i="16"/>
  <c r="H95" i="16"/>
  <c r="G95" i="16"/>
  <c r="I94" i="16"/>
  <c r="H94" i="16"/>
  <c r="G94" i="16"/>
  <c r="I93" i="16"/>
  <c r="H93" i="16"/>
  <c r="G93" i="16"/>
  <c r="I92" i="16"/>
  <c r="H92" i="16"/>
  <c r="G92" i="16"/>
  <c r="I91" i="16"/>
  <c r="H91" i="16"/>
  <c r="G91" i="16"/>
  <c r="I90" i="16"/>
  <c r="H90" i="16"/>
  <c r="G90" i="16"/>
  <c r="I89" i="16"/>
  <c r="H89" i="16"/>
  <c r="G89" i="16"/>
  <c r="I88" i="16"/>
  <c r="H88" i="16"/>
  <c r="G88" i="16"/>
  <c r="I87" i="16"/>
  <c r="H87" i="16"/>
  <c r="G87" i="16"/>
  <c r="I86" i="16"/>
  <c r="H86" i="16"/>
  <c r="G86" i="16"/>
  <c r="I85" i="16"/>
  <c r="H85" i="16"/>
  <c r="G85" i="16"/>
  <c r="I84" i="16"/>
  <c r="H84" i="16"/>
  <c r="G84" i="16"/>
  <c r="I83" i="16"/>
  <c r="H83" i="16"/>
  <c r="G83" i="16"/>
  <c r="I82" i="16"/>
  <c r="H82" i="16"/>
  <c r="G82" i="16"/>
  <c r="I81" i="16"/>
  <c r="H81" i="16"/>
  <c r="G81" i="16"/>
  <c r="I80" i="16"/>
  <c r="H80" i="16"/>
  <c r="G80" i="16"/>
  <c r="I79" i="16"/>
  <c r="H79" i="16"/>
  <c r="G79" i="16"/>
  <c r="I78" i="16"/>
  <c r="H78" i="16"/>
  <c r="G78" i="16"/>
  <c r="I77" i="16"/>
  <c r="H77" i="16"/>
  <c r="G77" i="16"/>
  <c r="I76" i="16"/>
  <c r="H76" i="16"/>
  <c r="G76" i="16"/>
  <c r="I75" i="16"/>
  <c r="H75" i="16"/>
  <c r="G75" i="16"/>
  <c r="I74" i="16"/>
  <c r="H74" i="16"/>
  <c r="G74" i="16"/>
  <c r="I73" i="16"/>
  <c r="H73" i="16"/>
  <c r="G73" i="16"/>
  <c r="I72" i="16"/>
  <c r="H72" i="16"/>
  <c r="G72" i="16"/>
  <c r="I71" i="16"/>
  <c r="H71" i="16"/>
  <c r="G71" i="16"/>
  <c r="I70" i="16"/>
  <c r="H70" i="16"/>
  <c r="G70" i="16"/>
  <c r="I69" i="16"/>
  <c r="H69" i="16"/>
  <c r="G69" i="16"/>
  <c r="I68" i="16"/>
  <c r="H68" i="16"/>
  <c r="G68" i="16"/>
  <c r="I67" i="16"/>
  <c r="H67" i="16"/>
  <c r="G67" i="16"/>
  <c r="I66" i="16"/>
  <c r="H66" i="16"/>
  <c r="G66" i="16"/>
  <c r="I65" i="16"/>
  <c r="H65" i="16"/>
  <c r="G65" i="16"/>
  <c r="I64" i="16"/>
  <c r="H64" i="16"/>
  <c r="G64" i="16"/>
  <c r="I63" i="16"/>
  <c r="H63" i="16"/>
  <c r="G63" i="16"/>
  <c r="I62" i="16"/>
  <c r="H62" i="16"/>
  <c r="G62" i="16"/>
  <c r="I61" i="16"/>
  <c r="H61" i="16"/>
  <c r="G61" i="16"/>
  <c r="I60" i="16"/>
  <c r="H60" i="16"/>
  <c r="G60" i="16"/>
  <c r="I59" i="16"/>
  <c r="H59" i="16"/>
  <c r="G59" i="16"/>
  <c r="I58" i="16"/>
  <c r="H58" i="16"/>
  <c r="G58" i="16"/>
  <c r="I57" i="16"/>
  <c r="H57" i="16"/>
  <c r="G57" i="16"/>
  <c r="I56" i="16"/>
  <c r="H56" i="16"/>
  <c r="G56" i="16"/>
  <c r="I55" i="16"/>
  <c r="H55" i="16"/>
  <c r="G55" i="16"/>
  <c r="I54" i="16"/>
  <c r="H54" i="16"/>
  <c r="G54" i="16"/>
  <c r="I53" i="16"/>
  <c r="H53" i="16"/>
  <c r="G53" i="16"/>
  <c r="I52" i="16"/>
  <c r="H52" i="16"/>
  <c r="G52" i="16"/>
  <c r="I51" i="16"/>
  <c r="H51" i="16"/>
  <c r="G51" i="16"/>
  <c r="I50" i="16"/>
  <c r="H50" i="16"/>
  <c r="G50" i="16"/>
  <c r="I49" i="16"/>
  <c r="H49" i="16"/>
  <c r="G49" i="16"/>
  <c r="I48" i="16"/>
  <c r="H48" i="16"/>
  <c r="G48" i="16"/>
  <c r="I47" i="16"/>
  <c r="H47" i="16"/>
  <c r="G47" i="16"/>
  <c r="I46" i="16"/>
  <c r="H46" i="16"/>
  <c r="G46" i="16"/>
  <c r="I45" i="16"/>
  <c r="H45" i="16"/>
  <c r="G45" i="16"/>
  <c r="I44" i="16"/>
  <c r="H44" i="16"/>
  <c r="G44" i="16"/>
  <c r="I43" i="16"/>
  <c r="H43" i="16"/>
  <c r="G43" i="16"/>
  <c r="I42" i="16"/>
  <c r="H42" i="16"/>
  <c r="G42" i="16"/>
  <c r="I41" i="16"/>
  <c r="H41" i="16"/>
  <c r="G41" i="16"/>
  <c r="I40" i="16"/>
  <c r="H40" i="16"/>
  <c r="G40" i="16"/>
  <c r="I39" i="16"/>
  <c r="H39" i="16"/>
  <c r="G39" i="16"/>
  <c r="I38" i="16"/>
  <c r="H38" i="16"/>
  <c r="G38" i="16"/>
  <c r="I37" i="16"/>
  <c r="H37" i="16"/>
  <c r="G37" i="16"/>
  <c r="I36" i="16"/>
  <c r="H36" i="16"/>
  <c r="G36" i="16"/>
  <c r="I35" i="16"/>
  <c r="H35" i="16"/>
  <c r="G35" i="16"/>
  <c r="I34" i="16"/>
  <c r="H34" i="16"/>
  <c r="G34" i="16"/>
  <c r="I33" i="16"/>
  <c r="H33" i="16"/>
  <c r="G33" i="16"/>
  <c r="I32" i="16"/>
  <c r="H32" i="16"/>
  <c r="G32" i="16"/>
  <c r="I31" i="16"/>
  <c r="H31" i="16"/>
  <c r="G31" i="16"/>
  <c r="I30" i="16"/>
  <c r="H30" i="16"/>
  <c r="G30" i="16"/>
  <c r="I29" i="16"/>
  <c r="H29" i="16"/>
  <c r="G29" i="16"/>
  <c r="I28" i="16"/>
  <c r="H28" i="16"/>
  <c r="G28" i="16"/>
  <c r="I27" i="16"/>
  <c r="H27" i="16"/>
  <c r="G27" i="16"/>
  <c r="I26" i="16"/>
  <c r="H26" i="16"/>
  <c r="G26" i="16"/>
  <c r="I25" i="16"/>
  <c r="H25" i="16"/>
  <c r="G25" i="16"/>
  <c r="I24" i="16"/>
  <c r="H24" i="16"/>
  <c r="G24" i="16"/>
  <c r="I23" i="16"/>
  <c r="H23" i="16"/>
  <c r="G23" i="16"/>
  <c r="I22" i="16"/>
  <c r="H22" i="16"/>
  <c r="G22" i="16"/>
  <c r="I21" i="16"/>
  <c r="H21" i="16"/>
  <c r="G21" i="16"/>
  <c r="I20" i="16"/>
  <c r="H20" i="16"/>
  <c r="G20" i="16"/>
  <c r="I19" i="16"/>
  <c r="H19" i="16"/>
  <c r="G19" i="16"/>
  <c r="I18" i="16"/>
  <c r="H18" i="16"/>
  <c r="G18" i="16"/>
  <c r="I17" i="16"/>
  <c r="H17" i="16"/>
  <c r="G17" i="16"/>
  <c r="I16" i="16"/>
  <c r="H16" i="16"/>
  <c r="G16" i="16"/>
  <c r="I15" i="16"/>
  <c r="H15" i="16"/>
  <c r="G15" i="16"/>
  <c r="I14" i="16"/>
  <c r="H14" i="16"/>
  <c r="G14" i="16"/>
  <c r="I13" i="16"/>
  <c r="H13" i="16"/>
  <c r="G13" i="16"/>
  <c r="I12" i="16"/>
  <c r="H12" i="16"/>
  <c r="G12" i="16"/>
  <c r="I11" i="16"/>
  <c r="H11" i="16"/>
  <c r="G11" i="16"/>
  <c r="I10" i="16"/>
  <c r="H10" i="16"/>
  <c r="G10" i="16"/>
  <c r="I9" i="16"/>
  <c r="H9" i="16"/>
  <c r="G9" i="16"/>
  <c r="I8" i="16"/>
  <c r="H8" i="16"/>
  <c r="G8" i="16"/>
  <c r="I7" i="16"/>
  <c r="H7" i="16"/>
  <c r="G7" i="16"/>
  <c r="I6" i="16"/>
  <c r="H6" i="16"/>
  <c r="G6" i="16"/>
  <c r="F451" i="15"/>
  <c r="E451" i="15"/>
  <c r="F450" i="15"/>
  <c r="E450" i="15"/>
  <c r="E449" i="15"/>
  <c r="F448" i="15"/>
  <c r="E448" i="15"/>
  <c r="F447" i="15"/>
  <c r="E447" i="15"/>
  <c r="E446" i="15"/>
  <c r="F445" i="15"/>
  <c r="E445" i="15"/>
  <c r="F444" i="15"/>
  <c r="E444" i="15"/>
  <c r="F443" i="15"/>
  <c r="E443" i="15"/>
  <c r="F442" i="15"/>
  <c r="E442" i="15"/>
  <c r="F441" i="15"/>
  <c r="E441" i="15"/>
  <c r="F440" i="15"/>
  <c r="E440" i="15"/>
  <c r="F439" i="15"/>
  <c r="E439" i="15"/>
  <c r="F438" i="15"/>
  <c r="E438" i="15"/>
  <c r="F437" i="15"/>
  <c r="E437" i="15"/>
  <c r="F436" i="15"/>
  <c r="E436" i="15"/>
  <c r="F435" i="15"/>
  <c r="E435" i="15"/>
  <c r="E434" i="15"/>
  <c r="F433" i="15"/>
  <c r="E433" i="15"/>
  <c r="F432" i="15"/>
  <c r="E432" i="15"/>
  <c r="F431" i="15"/>
  <c r="E431" i="15"/>
  <c r="E430" i="15"/>
  <c r="F429" i="15"/>
  <c r="E429" i="15"/>
  <c r="F428" i="15"/>
  <c r="E428" i="15"/>
  <c r="F427" i="15"/>
  <c r="E427" i="15"/>
  <c r="E426" i="15"/>
  <c r="F425" i="15"/>
  <c r="E425" i="15"/>
  <c r="F424" i="15"/>
  <c r="E424" i="15"/>
  <c r="E423" i="15"/>
  <c r="F422" i="15"/>
  <c r="E422" i="15"/>
  <c r="F421" i="15"/>
  <c r="E421" i="15"/>
  <c r="E420" i="15"/>
  <c r="F419" i="15"/>
  <c r="E419" i="15"/>
  <c r="F418" i="15"/>
  <c r="E418" i="15"/>
  <c r="F417" i="15"/>
  <c r="E417" i="15"/>
  <c r="F416" i="15"/>
  <c r="E416" i="15"/>
  <c r="F415" i="15"/>
  <c r="E415" i="15"/>
  <c r="F414" i="15"/>
  <c r="E414" i="15"/>
  <c r="F413" i="15"/>
  <c r="E413" i="15"/>
  <c r="E412" i="15"/>
  <c r="F411" i="15"/>
  <c r="E411" i="15"/>
  <c r="F410" i="15"/>
  <c r="E410" i="15"/>
  <c r="F409" i="15"/>
  <c r="E409" i="15"/>
  <c r="E408" i="15"/>
  <c r="F407" i="15"/>
  <c r="E407" i="15"/>
  <c r="F406" i="15"/>
  <c r="E406" i="15"/>
  <c r="F405" i="15"/>
  <c r="E405" i="15"/>
  <c r="F404" i="15"/>
  <c r="E404" i="15"/>
  <c r="F403" i="15"/>
  <c r="E403" i="15"/>
  <c r="F402" i="15"/>
  <c r="E402" i="15"/>
  <c r="F401" i="15"/>
  <c r="E401" i="15"/>
  <c r="E400" i="15"/>
  <c r="F399" i="15"/>
  <c r="E399" i="15"/>
  <c r="F398" i="15"/>
  <c r="E398" i="15"/>
  <c r="F397" i="15"/>
  <c r="E397" i="15"/>
  <c r="E396" i="15"/>
  <c r="F395" i="15"/>
  <c r="E395" i="15"/>
  <c r="F394" i="15"/>
  <c r="E394" i="15"/>
  <c r="F393" i="15"/>
  <c r="E393" i="15"/>
  <c r="F392" i="15"/>
  <c r="E392" i="15"/>
  <c r="F391" i="15"/>
  <c r="E391" i="15"/>
  <c r="F390" i="15"/>
  <c r="E390" i="15"/>
  <c r="F389" i="15"/>
  <c r="E389" i="15"/>
  <c r="F388" i="15"/>
  <c r="E388" i="15"/>
  <c r="F387" i="15"/>
  <c r="E387" i="15"/>
  <c r="F386" i="15"/>
  <c r="E386" i="15"/>
  <c r="F385" i="15"/>
  <c r="E385" i="15"/>
  <c r="F384" i="15"/>
  <c r="E384" i="15"/>
  <c r="F383" i="15"/>
  <c r="E383" i="15"/>
  <c r="F382" i="15"/>
  <c r="E382" i="15"/>
  <c r="F381" i="15"/>
  <c r="E381" i="15"/>
  <c r="E380" i="15"/>
  <c r="F379" i="15"/>
  <c r="E379" i="15"/>
  <c r="F378" i="15"/>
  <c r="E378" i="15"/>
  <c r="F377" i="15"/>
  <c r="E377" i="15"/>
  <c r="F376" i="15"/>
  <c r="E376" i="15"/>
  <c r="F375" i="15"/>
  <c r="E375" i="15"/>
  <c r="F374" i="15"/>
  <c r="E374" i="15"/>
  <c r="F373" i="15"/>
  <c r="E373" i="15"/>
  <c r="F372" i="15"/>
  <c r="E372" i="15"/>
  <c r="F371" i="15"/>
  <c r="E371" i="15"/>
  <c r="F370" i="15"/>
  <c r="E370" i="15"/>
  <c r="F369" i="15"/>
  <c r="E369" i="15"/>
  <c r="F368" i="15"/>
  <c r="E368" i="15"/>
  <c r="F367" i="15"/>
  <c r="E367" i="15"/>
  <c r="F366" i="15"/>
  <c r="E366" i="15"/>
  <c r="E365" i="15"/>
  <c r="F364" i="15"/>
  <c r="E364" i="15"/>
  <c r="F363" i="15"/>
  <c r="E363" i="15"/>
  <c r="E362" i="15"/>
  <c r="F361" i="15"/>
  <c r="E361" i="15"/>
  <c r="F360" i="15"/>
  <c r="E360" i="15"/>
  <c r="E359" i="15"/>
  <c r="F358" i="15"/>
  <c r="E358" i="15"/>
  <c r="F357" i="15"/>
  <c r="E357" i="15"/>
  <c r="E356" i="15"/>
  <c r="F355" i="15"/>
  <c r="E355" i="15"/>
  <c r="F354" i="15"/>
  <c r="E354" i="15"/>
  <c r="E353" i="15"/>
  <c r="F352" i="15"/>
  <c r="E352" i="15"/>
  <c r="F351" i="15"/>
  <c r="E351" i="15"/>
  <c r="E350" i="15"/>
  <c r="F349" i="15"/>
  <c r="E349" i="15"/>
  <c r="F348" i="15"/>
  <c r="E348" i="15"/>
  <c r="E347" i="15"/>
  <c r="F346" i="15"/>
  <c r="E346" i="15"/>
  <c r="F345" i="15"/>
  <c r="E345" i="15"/>
  <c r="E344" i="15"/>
  <c r="F343" i="15"/>
  <c r="E343" i="15"/>
  <c r="F342" i="15"/>
  <c r="E342" i="15"/>
  <c r="E341" i="15"/>
  <c r="F340" i="15"/>
  <c r="E340" i="15"/>
  <c r="F339" i="15"/>
  <c r="E339" i="15"/>
  <c r="E338" i="15"/>
  <c r="F337" i="15"/>
  <c r="E337" i="15"/>
  <c r="F336" i="15"/>
  <c r="E336" i="15"/>
  <c r="E335" i="15"/>
  <c r="F334" i="15"/>
  <c r="E334" i="15"/>
  <c r="F333" i="15"/>
  <c r="E333" i="15"/>
  <c r="E332" i="15"/>
  <c r="F331" i="15"/>
  <c r="E331" i="15"/>
  <c r="F330" i="15"/>
  <c r="E330" i="15"/>
  <c r="E329" i="15"/>
  <c r="F328" i="15"/>
  <c r="E328" i="15"/>
  <c r="F327" i="15"/>
  <c r="E327" i="15"/>
  <c r="E326" i="15"/>
  <c r="F325" i="15"/>
  <c r="E325" i="15"/>
  <c r="F324" i="15"/>
  <c r="E324" i="15"/>
  <c r="E323" i="15"/>
  <c r="F322" i="15"/>
  <c r="E322" i="15"/>
  <c r="F321" i="15"/>
  <c r="E321" i="15"/>
  <c r="E320" i="15"/>
  <c r="F319" i="15"/>
  <c r="E319" i="15"/>
  <c r="F318" i="15"/>
  <c r="E318" i="15"/>
  <c r="E317" i="15"/>
  <c r="F316" i="15"/>
  <c r="E316" i="15"/>
  <c r="F315" i="15"/>
  <c r="E315" i="15"/>
  <c r="E314" i="15"/>
  <c r="F313" i="15"/>
  <c r="E313" i="15"/>
  <c r="F312" i="15"/>
  <c r="E312" i="15"/>
  <c r="E311" i="15"/>
  <c r="F310" i="15"/>
  <c r="E310" i="15"/>
  <c r="F309" i="15"/>
  <c r="E309" i="15"/>
  <c r="E308" i="15"/>
  <c r="F307" i="15"/>
  <c r="E307" i="15"/>
  <c r="F306" i="15"/>
  <c r="E306" i="15"/>
  <c r="E305" i="15"/>
  <c r="F304" i="15"/>
  <c r="E304" i="15"/>
  <c r="F303" i="15"/>
  <c r="E303" i="15"/>
  <c r="E302" i="15"/>
  <c r="F301" i="15"/>
  <c r="E301" i="15"/>
  <c r="F300" i="15"/>
  <c r="E300" i="15"/>
  <c r="E299" i="15"/>
  <c r="F298" i="15"/>
  <c r="E298" i="15"/>
  <c r="F297" i="15"/>
  <c r="E297" i="15"/>
  <c r="E296" i="15"/>
  <c r="F295" i="15"/>
  <c r="E295" i="15"/>
  <c r="F294" i="15"/>
  <c r="E294" i="15"/>
  <c r="E293" i="15"/>
  <c r="F292" i="15"/>
  <c r="E292" i="15"/>
  <c r="F291" i="15"/>
  <c r="E291" i="15"/>
  <c r="E290" i="15"/>
  <c r="F289" i="15"/>
  <c r="E289" i="15"/>
  <c r="F288" i="15"/>
  <c r="E288" i="15"/>
  <c r="E287" i="15"/>
  <c r="F286" i="15"/>
  <c r="E286" i="15"/>
  <c r="F285" i="15"/>
  <c r="E285" i="15"/>
  <c r="E284" i="15"/>
  <c r="F283" i="15"/>
  <c r="E283" i="15"/>
  <c r="F282" i="15"/>
  <c r="E282" i="15"/>
  <c r="E281" i="15"/>
  <c r="F280" i="15"/>
  <c r="E280" i="15"/>
  <c r="F279" i="15"/>
  <c r="E279" i="15"/>
  <c r="E278" i="15"/>
  <c r="F277" i="15"/>
  <c r="E277" i="15"/>
  <c r="F276" i="15"/>
  <c r="E276" i="15"/>
  <c r="E275" i="15"/>
  <c r="F274" i="15"/>
  <c r="E274" i="15"/>
  <c r="F273" i="15"/>
  <c r="E273" i="15"/>
  <c r="E272" i="15"/>
  <c r="F271" i="15"/>
  <c r="E271" i="15"/>
  <c r="F270" i="15"/>
  <c r="E270" i="15"/>
  <c r="E269" i="15"/>
  <c r="F268" i="15"/>
  <c r="E268" i="15"/>
  <c r="F267" i="15"/>
  <c r="E267" i="15"/>
  <c r="E266" i="15"/>
  <c r="F265" i="15"/>
  <c r="E265" i="15"/>
  <c r="F264" i="15"/>
  <c r="E264" i="15"/>
  <c r="E263" i="15"/>
  <c r="F262" i="15"/>
  <c r="E262" i="15"/>
  <c r="F261" i="15"/>
  <c r="E261" i="15"/>
  <c r="E260" i="15"/>
  <c r="F259" i="15"/>
  <c r="E259" i="15"/>
  <c r="F258" i="15"/>
  <c r="E258" i="15"/>
  <c r="E257" i="15"/>
  <c r="F256" i="15"/>
  <c r="E256" i="15"/>
  <c r="F255" i="15"/>
  <c r="E255" i="15"/>
  <c r="E254" i="15"/>
  <c r="F253" i="15"/>
  <c r="E253" i="15"/>
  <c r="F252" i="15"/>
  <c r="E252" i="15"/>
  <c r="E251" i="15"/>
  <c r="F250" i="15"/>
  <c r="E250" i="15"/>
  <c r="F249" i="15"/>
  <c r="E249" i="15"/>
  <c r="E248" i="15"/>
  <c r="F247" i="15"/>
  <c r="E247" i="15"/>
  <c r="F246" i="15"/>
  <c r="E246" i="15"/>
  <c r="E245" i="15"/>
  <c r="F244" i="15"/>
  <c r="E244" i="15"/>
  <c r="F243" i="15"/>
  <c r="E243" i="15"/>
  <c r="E242" i="15"/>
  <c r="F241" i="15"/>
  <c r="E241" i="15"/>
  <c r="F240" i="15"/>
  <c r="E240" i="15"/>
  <c r="E239" i="15"/>
  <c r="F238" i="15"/>
  <c r="E238" i="15"/>
  <c r="F237" i="15"/>
  <c r="E237" i="15"/>
  <c r="F236" i="15"/>
  <c r="E236" i="15"/>
  <c r="F235" i="15"/>
  <c r="E235" i="15"/>
  <c r="F234" i="15"/>
  <c r="E234" i="15"/>
  <c r="F233" i="15"/>
  <c r="E233" i="15"/>
  <c r="F232" i="15"/>
  <c r="E232" i="15"/>
  <c r="F231" i="15"/>
  <c r="E231" i="15"/>
  <c r="F230" i="15"/>
  <c r="E230" i="15"/>
  <c r="F229" i="15"/>
  <c r="E229" i="15"/>
  <c r="F228" i="15"/>
  <c r="E228" i="15"/>
  <c r="F227" i="15"/>
  <c r="E227" i="15"/>
  <c r="E226" i="15"/>
  <c r="F225" i="15"/>
  <c r="E225" i="15"/>
  <c r="F224" i="15"/>
  <c r="E224" i="15"/>
  <c r="F223" i="15"/>
  <c r="E223" i="15"/>
  <c r="F222" i="15"/>
  <c r="E222" i="15"/>
  <c r="F221" i="15"/>
  <c r="E221" i="15"/>
  <c r="F220" i="15"/>
  <c r="E220" i="15"/>
  <c r="F219" i="15"/>
  <c r="E219" i="15"/>
  <c r="F218" i="15"/>
  <c r="E218" i="15"/>
  <c r="F217" i="15"/>
  <c r="E217" i="15"/>
  <c r="E216" i="15"/>
  <c r="F215" i="15"/>
  <c r="E215" i="15"/>
  <c r="F214" i="15"/>
  <c r="E214" i="15"/>
  <c r="F213" i="15"/>
  <c r="E213" i="15"/>
  <c r="F212" i="15"/>
  <c r="E212" i="15"/>
  <c r="E211" i="15"/>
  <c r="F210" i="15"/>
  <c r="E210" i="15"/>
  <c r="F209" i="15"/>
  <c r="E209" i="15"/>
  <c r="F208" i="15"/>
  <c r="E208" i="15"/>
  <c r="F207" i="15"/>
  <c r="E207" i="15"/>
  <c r="F206" i="15"/>
  <c r="E206" i="15"/>
  <c r="F205" i="15"/>
  <c r="E205" i="15"/>
  <c r="F204" i="15"/>
  <c r="E204" i="15"/>
  <c r="F203" i="15"/>
  <c r="E203" i="15"/>
  <c r="F202" i="15"/>
  <c r="E202" i="15"/>
  <c r="F201" i="15"/>
  <c r="E201" i="15"/>
  <c r="F200" i="15"/>
  <c r="E200" i="15"/>
  <c r="E199" i="15"/>
  <c r="F198" i="15"/>
  <c r="E198" i="15"/>
  <c r="F197" i="15"/>
  <c r="E197" i="15"/>
  <c r="F196" i="15"/>
  <c r="E196" i="15"/>
  <c r="F195" i="15"/>
  <c r="E195" i="15"/>
  <c r="F194" i="15"/>
  <c r="E194" i="15"/>
  <c r="E193" i="15"/>
  <c r="F192" i="15"/>
  <c r="E192" i="15"/>
  <c r="F191" i="15"/>
  <c r="E191" i="15"/>
  <c r="E190" i="15"/>
  <c r="F189" i="15"/>
  <c r="E189" i="15"/>
  <c r="F188" i="15"/>
  <c r="E188" i="15"/>
  <c r="F187" i="15"/>
  <c r="E187" i="15"/>
  <c r="E186" i="15"/>
  <c r="F185" i="15"/>
  <c r="E185" i="15"/>
  <c r="F184" i="15"/>
  <c r="E184" i="15"/>
  <c r="F183" i="15"/>
  <c r="E183" i="15"/>
  <c r="F182" i="15"/>
  <c r="E182" i="15"/>
  <c r="F181" i="15"/>
  <c r="E181" i="15"/>
  <c r="F180" i="15"/>
  <c r="E180" i="15"/>
  <c r="F179" i="15"/>
  <c r="E179" i="15"/>
  <c r="F178" i="15"/>
  <c r="E178" i="15"/>
  <c r="F177" i="15"/>
  <c r="E177" i="15"/>
  <c r="E176" i="15"/>
  <c r="F175" i="15"/>
  <c r="E175" i="15"/>
  <c r="F174" i="15"/>
  <c r="E174" i="15"/>
  <c r="F173" i="15"/>
  <c r="E173" i="15"/>
  <c r="F172" i="15"/>
  <c r="E172" i="15"/>
  <c r="F171" i="15"/>
  <c r="E171" i="15"/>
  <c r="F170" i="15"/>
  <c r="E170" i="15"/>
  <c r="F169" i="15"/>
  <c r="E169" i="15"/>
  <c r="E168" i="15"/>
  <c r="F167" i="15"/>
  <c r="E167" i="15"/>
  <c r="F166" i="15"/>
  <c r="E166" i="15"/>
  <c r="F165" i="15"/>
  <c r="E165" i="15"/>
  <c r="F164" i="15"/>
  <c r="E164" i="15"/>
  <c r="F163" i="15"/>
  <c r="E163" i="15"/>
  <c r="F162" i="15"/>
  <c r="E162" i="15"/>
  <c r="F161" i="15"/>
  <c r="E161" i="15"/>
  <c r="F160" i="15"/>
  <c r="E160" i="15"/>
  <c r="E159" i="15"/>
  <c r="F158" i="15"/>
  <c r="E158" i="15"/>
  <c r="F157" i="15"/>
  <c r="E157" i="15"/>
  <c r="F156" i="15"/>
  <c r="E156" i="15"/>
  <c r="F155" i="15"/>
  <c r="E155" i="15"/>
  <c r="F154" i="15"/>
  <c r="E154" i="15"/>
  <c r="F153" i="15"/>
  <c r="E153" i="15"/>
  <c r="F152" i="15"/>
  <c r="E152" i="15"/>
  <c r="F151" i="15"/>
  <c r="E151" i="15"/>
  <c r="F150" i="15"/>
  <c r="E150" i="15"/>
  <c r="E149" i="15"/>
  <c r="F148" i="15"/>
  <c r="E148" i="15"/>
  <c r="F147" i="15"/>
  <c r="E147" i="15"/>
  <c r="F146" i="15"/>
  <c r="E146" i="15"/>
  <c r="F145" i="15"/>
  <c r="E145" i="15"/>
  <c r="F144" i="15"/>
  <c r="E144" i="15"/>
  <c r="F143" i="15"/>
  <c r="E143" i="15"/>
  <c r="F142" i="15"/>
  <c r="E142" i="15"/>
  <c r="F141" i="15"/>
  <c r="E141" i="15"/>
  <c r="F140" i="15"/>
  <c r="E140" i="15"/>
  <c r="F139" i="15"/>
  <c r="E139" i="15"/>
  <c r="F138" i="15"/>
  <c r="E138" i="15"/>
  <c r="F137" i="15"/>
  <c r="E137" i="15"/>
  <c r="E136" i="15"/>
  <c r="F135" i="15"/>
  <c r="E135" i="15"/>
  <c r="F134" i="15"/>
  <c r="E134" i="15"/>
  <c r="F133" i="15"/>
  <c r="E133" i="15"/>
  <c r="F132" i="15"/>
  <c r="E132" i="15"/>
  <c r="F131" i="15"/>
  <c r="E131" i="15"/>
  <c r="F130" i="15"/>
  <c r="E130" i="15"/>
  <c r="F129" i="15"/>
  <c r="E129" i="15"/>
  <c r="E128" i="15"/>
  <c r="F127" i="15"/>
  <c r="E127" i="15"/>
  <c r="F126" i="15"/>
  <c r="E126" i="15"/>
  <c r="E125" i="15"/>
  <c r="F124" i="15"/>
  <c r="E124" i="15"/>
  <c r="F123" i="15"/>
  <c r="E123" i="15"/>
  <c r="E122" i="15"/>
  <c r="F121" i="15"/>
  <c r="E121" i="15"/>
  <c r="F120" i="15"/>
  <c r="E120" i="15"/>
  <c r="E119" i="15"/>
  <c r="F118" i="15"/>
  <c r="E118" i="15"/>
  <c r="F117" i="15"/>
  <c r="E117" i="15"/>
  <c r="E116" i="15"/>
  <c r="F115" i="15"/>
  <c r="E115" i="15"/>
  <c r="F114" i="15"/>
  <c r="E114" i="15"/>
  <c r="F113" i="15"/>
  <c r="E113" i="15"/>
  <c r="F112" i="15"/>
  <c r="E112" i="15"/>
  <c r="E111" i="15"/>
  <c r="F110" i="15"/>
  <c r="E110" i="15"/>
  <c r="F109" i="15"/>
  <c r="E109" i="15"/>
  <c r="F108" i="15"/>
  <c r="E108" i="15"/>
  <c r="E107" i="15"/>
  <c r="F106" i="15"/>
  <c r="E106" i="15"/>
  <c r="F105" i="15"/>
  <c r="E105" i="15"/>
  <c r="F104" i="15"/>
  <c r="E104" i="15"/>
  <c r="F103" i="15"/>
  <c r="E103" i="15"/>
  <c r="F102" i="15"/>
  <c r="E102" i="15"/>
  <c r="F101" i="15"/>
  <c r="E101" i="15"/>
  <c r="F100" i="15"/>
  <c r="E100" i="15"/>
  <c r="E99" i="15"/>
  <c r="F98" i="15"/>
  <c r="E98" i="15"/>
  <c r="F97" i="15"/>
  <c r="E97" i="15"/>
  <c r="F96" i="15"/>
  <c r="E96" i="15"/>
  <c r="F95" i="15"/>
  <c r="E95" i="15"/>
  <c r="F94" i="15"/>
  <c r="E94" i="15"/>
  <c r="F93" i="15"/>
  <c r="E93" i="15"/>
  <c r="F92" i="15"/>
  <c r="E92" i="15"/>
  <c r="E91" i="15"/>
  <c r="F90" i="15"/>
  <c r="E90" i="15"/>
  <c r="F89" i="15"/>
  <c r="E89" i="15"/>
  <c r="F88" i="15"/>
  <c r="E88" i="15"/>
  <c r="E87" i="15"/>
  <c r="F86" i="15"/>
  <c r="E86" i="15"/>
  <c r="F85" i="15"/>
  <c r="E85" i="15"/>
  <c r="E84" i="15"/>
  <c r="F83" i="15"/>
  <c r="E83" i="15"/>
  <c r="F82" i="15"/>
  <c r="E82" i="15"/>
  <c r="F81" i="15"/>
  <c r="E81" i="15"/>
  <c r="F80" i="15"/>
  <c r="E80" i="15"/>
  <c r="F79" i="15"/>
  <c r="E79" i="15"/>
  <c r="E78" i="15"/>
  <c r="F77" i="15"/>
  <c r="E77" i="15"/>
  <c r="F76" i="15"/>
  <c r="E76" i="15"/>
  <c r="F75" i="15"/>
  <c r="E75" i="15"/>
  <c r="E74" i="15"/>
  <c r="F73" i="15"/>
  <c r="E73" i="15"/>
  <c r="F72" i="15"/>
  <c r="E72" i="15"/>
  <c r="F71" i="15"/>
  <c r="E71" i="15"/>
  <c r="E70" i="15"/>
  <c r="F69" i="15"/>
  <c r="E69" i="15"/>
  <c r="F68" i="15"/>
  <c r="E68" i="15"/>
  <c r="F67" i="15"/>
  <c r="E67" i="15"/>
  <c r="E66" i="15"/>
  <c r="F65" i="15"/>
  <c r="E65" i="15"/>
  <c r="F64" i="15"/>
  <c r="E64" i="15"/>
  <c r="F63" i="15"/>
  <c r="E63" i="15"/>
  <c r="E62" i="15"/>
  <c r="F61" i="15"/>
  <c r="E61" i="15"/>
  <c r="F60" i="15"/>
  <c r="E60" i="15"/>
  <c r="F59" i="15"/>
  <c r="E59" i="15"/>
  <c r="E58" i="15"/>
  <c r="F57" i="15"/>
  <c r="E57" i="15"/>
  <c r="F56" i="15"/>
  <c r="E56" i="15"/>
  <c r="F55" i="15"/>
  <c r="E55" i="15"/>
  <c r="E54" i="15"/>
  <c r="F53" i="15"/>
  <c r="E53" i="15"/>
  <c r="F52" i="15"/>
  <c r="E52" i="15"/>
  <c r="F51" i="15"/>
  <c r="E51" i="15"/>
  <c r="E50" i="15"/>
  <c r="F49" i="15"/>
  <c r="E49" i="15"/>
  <c r="F48" i="15"/>
  <c r="E48" i="15"/>
  <c r="F47" i="15"/>
  <c r="E47" i="15"/>
  <c r="E46" i="15"/>
  <c r="F45" i="15"/>
  <c r="E45" i="15"/>
  <c r="F44" i="15"/>
  <c r="E44" i="15"/>
  <c r="F43" i="15"/>
  <c r="E43" i="15"/>
  <c r="E42" i="15"/>
  <c r="F41" i="15"/>
  <c r="E41" i="15"/>
  <c r="F40" i="15"/>
  <c r="E40" i="15"/>
  <c r="F39" i="15"/>
  <c r="E39" i="15"/>
  <c r="E38" i="15"/>
  <c r="F37" i="15"/>
  <c r="E37" i="15"/>
  <c r="F36" i="15"/>
  <c r="E36" i="15"/>
  <c r="F35" i="15"/>
  <c r="E35" i="15"/>
  <c r="E34" i="15"/>
  <c r="F33" i="15"/>
  <c r="E33" i="15"/>
  <c r="F32" i="15"/>
  <c r="E32" i="15"/>
  <c r="F31" i="15"/>
  <c r="E31" i="15"/>
  <c r="F30" i="15"/>
  <c r="E30" i="15"/>
  <c r="E29" i="15"/>
  <c r="F28" i="15"/>
  <c r="E28" i="15"/>
  <c r="F27" i="15"/>
  <c r="E27" i="15"/>
  <c r="F26" i="15"/>
  <c r="E26" i="15"/>
  <c r="F25" i="15"/>
  <c r="E25" i="15"/>
  <c r="F24" i="15"/>
  <c r="E24" i="15"/>
  <c r="E23" i="15"/>
  <c r="F22" i="15"/>
  <c r="E22" i="15"/>
  <c r="F21" i="15"/>
  <c r="E21" i="15"/>
  <c r="F20" i="15"/>
  <c r="E20" i="15"/>
  <c r="F19" i="15"/>
  <c r="E19" i="15"/>
  <c r="F18" i="15"/>
  <c r="E18" i="15"/>
  <c r="E17" i="15"/>
  <c r="F16" i="15"/>
  <c r="E16" i="15"/>
  <c r="F15" i="15"/>
  <c r="E15" i="15"/>
  <c r="F14" i="15"/>
  <c r="E14" i="15"/>
  <c r="F13" i="15"/>
  <c r="E13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E5" i="15"/>
  <c r="F440" i="14"/>
  <c r="E440" i="14"/>
  <c r="F439" i="14"/>
  <c r="E439" i="14"/>
  <c r="E438" i="14"/>
  <c r="F437" i="14"/>
  <c r="E437" i="14"/>
  <c r="F436" i="14"/>
  <c r="E436" i="14"/>
  <c r="E435" i="14"/>
  <c r="F434" i="14"/>
  <c r="E434" i="14"/>
  <c r="F433" i="14"/>
  <c r="E433" i="14"/>
  <c r="F432" i="14"/>
  <c r="E432" i="14"/>
  <c r="F431" i="14"/>
  <c r="E431" i="14"/>
  <c r="F430" i="14"/>
  <c r="E430" i="14"/>
  <c r="F429" i="14"/>
  <c r="E429" i="14"/>
  <c r="F428" i="14"/>
  <c r="E428" i="14"/>
  <c r="F427" i="14"/>
  <c r="E427" i="14"/>
  <c r="F426" i="14"/>
  <c r="E426" i="14"/>
  <c r="F425" i="14"/>
  <c r="E425" i="14"/>
  <c r="F424" i="14"/>
  <c r="E424" i="14"/>
  <c r="E423" i="14"/>
  <c r="F422" i="14"/>
  <c r="E422" i="14"/>
  <c r="F421" i="14"/>
  <c r="E421" i="14"/>
  <c r="F420" i="14"/>
  <c r="E420" i="14"/>
  <c r="E419" i="14"/>
  <c r="F418" i="14"/>
  <c r="E418" i="14"/>
  <c r="F417" i="14"/>
  <c r="E417" i="14"/>
  <c r="F416" i="14"/>
  <c r="E416" i="14"/>
  <c r="E415" i="14"/>
  <c r="F414" i="14"/>
  <c r="E414" i="14"/>
  <c r="F413" i="14"/>
  <c r="E413" i="14"/>
  <c r="E412" i="14"/>
  <c r="F411" i="14"/>
  <c r="E411" i="14"/>
  <c r="F410" i="14"/>
  <c r="E410" i="14"/>
  <c r="E409" i="14"/>
  <c r="F408" i="14"/>
  <c r="E408" i="14"/>
  <c r="F407" i="14"/>
  <c r="E407" i="14"/>
  <c r="F406" i="14"/>
  <c r="E406" i="14"/>
  <c r="F405" i="14"/>
  <c r="E405" i="14"/>
  <c r="F404" i="14"/>
  <c r="E404" i="14"/>
  <c r="F403" i="14"/>
  <c r="E403" i="14"/>
  <c r="F402" i="14"/>
  <c r="E402" i="14"/>
  <c r="E401" i="14"/>
  <c r="F400" i="14"/>
  <c r="E400" i="14"/>
  <c r="F399" i="14"/>
  <c r="E399" i="14"/>
  <c r="F398" i="14"/>
  <c r="E398" i="14"/>
  <c r="E397" i="14"/>
  <c r="F396" i="14"/>
  <c r="E396" i="14"/>
  <c r="F395" i="14"/>
  <c r="E395" i="14"/>
  <c r="F394" i="14"/>
  <c r="E394" i="14"/>
  <c r="F393" i="14"/>
  <c r="E393" i="14"/>
  <c r="F392" i="14"/>
  <c r="E392" i="14"/>
  <c r="F391" i="14"/>
  <c r="E391" i="14"/>
  <c r="F390" i="14"/>
  <c r="E390" i="14"/>
  <c r="F389" i="14"/>
  <c r="E389" i="14"/>
  <c r="E388" i="14"/>
  <c r="F387" i="14"/>
  <c r="E387" i="14"/>
  <c r="F386" i="14"/>
  <c r="E386" i="14"/>
  <c r="F385" i="14"/>
  <c r="E385" i="14"/>
  <c r="E384" i="14"/>
  <c r="F383" i="14"/>
  <c r="E383" i="14"/>
  <c r="F382" i="14"/>
  <c r="E382" i="14"/>
  <c r="F381" i="14"/>
  <c r="E381" i="14"/>
  <c r="F380" i="14"/>
  <c r="E380" i="14"/>
  <c r="F379" i="14"/>
  <c r="E379" i="14"/>
  <c r="F378" i="14"/>
  <c r="E378" i="14"/>
  <c r="F377" i="14"/>
  <c r="E377" i="14"/>
  <c r="F376" i="14"/>
  <c r="E376" i="14"/>
  <c r="F375" i="14"/>
  <c r="E375" i="14"/>
  <c r="F374" i="14"/>
  <c r="E374" i="14"/>
  <c r="F373" i="14"/>
  <c r="E373" i="14"/>
  <c r="F372" i="14"/>
  <c r="E372" i="14"/>
  <c r="F371" i="14"/>
  <c r="E371" i="14"/>
  <c r="F370" i="14"/>
  <c r="E370" i="14"/>
  <c r="F369" i="14"/>
  <c r="E369" i="14"/>
  <c r="E368" i="14"/>
  <c r="F367" i="14"/>
  <c r="E367" i="14"/>
  <c r="F366" i="14"/>
  <c r="E366" i="14"/>
  <c r="F365" i="14"/>
  <c r="E365" i="14"/>
  <c r="F364" i="14"/>
  <c r="E364" i="14"/>
  <c r="F363" i="14"/>
  <c r="E363" i="14"/>
  <c r="F362" i="14"/>
  <c r="E362" i="14"/>
  <c r="F361" i="14"/>
  <c r="E361" i="14"/>
  <c r="F360" i="14"/>
  <c r="E360" i="14"/>
  <c r="F359" i="14"/>
  <c r="E359" i="14"/>
  <c r="F358" i="14"/>
  <c r="E358" i="14"/>
  <c r="F357" i="14"/>
  <c r="E357" i="14"/>
  <c r="F356" i="14"/>
  <c r="E356" i="14"/>
  <c r="F355" i="14"/>
  <c r="E355" i="14"/>
  <c r="F354" i="14"/>
  <c r="E354" i="14"/>
  <c r="F353" i="14"/>
  <c r="E353" i="14"/>
  <c r="E352" i="14"/>
  <c r="F351" i="14"/>
  <c r="E351" i="14"/>
  <c r="F350" i="14"/>
  <c r="E350" i="14"/>
  <c r="E349" i="14"/>
  <c r="F348" i="14"/>
  <c r="E348" i="14"/>
  <c r="F347" i="14"/>
  <c r="E347" i="14"/>
  <c r="E346" i="14"/>
  <c r="F345" i="14"/>
  <c r="E345" i="14"/>
  <c r="F344" i="14"/>
  <c r="E344" i="14"/>
  <c r="E343" i="14"/>
  <c r="F342" i="14"/>
  <c r="E342" i="14"/>
  <c r="F341" i="14"/>
  <c r="E341" i="14"/>
  <c r="E340" i="14"/>
  <c r="F339" i="14"/>
  <c r="E339" i="14"/>
  <c r="F338" i="14"/>
  <c r="E338" i="14"/>
  <c r="E337" i="14"/>
  <c r="F336" i="14"/>
  <c r="E336" i="14"/>
  <c r="F335" i="14"/>
  <c r="E335" i="14"/>
  <c r="E334" i="14"/>
  <c r="F333" i="14"/>
  <c r="E333" i="14"/>
  <c r="F332" i="14"/>
  <c r="E332" i="14"/>
  <c r="E331" i="14"/>
  <c r="F330" i="14"/>
  <c r="E330" i="14"/>
  <c r="F329" i="14"/>
  <c r="E329" i="14"/>
  <c r="E328" i="14"/>
  <c r="F327" i="14"/>
  <c r="E327" i="14"/>
  <c r="F326" i="14"/>
  <c r="E326" i="14"/>
  <c r="E325" i="14"/>
  <c r="F324" i="14"/>
  <c r="E324" i="14"/>
  <c r="F323" i="14"/>
  <c r="E323" i="14"/>
  <c r="E322" i="14"/>
  <c r="F321" i="14"/>
  <c r="E321" i="14"/>
  <c r="F320" i="14"/>
  <c r="E320" i="14"/>
  <c r="E319" i="14"/>
  <c r="F318" i="14"/>
  <c r="E318" i="14"/>
  <c r="F317" i="14"/>
  <c r="E317" i="14"/>
  <c r="E316" i="14"/>
  <c r="F315" i="14"/>
  <c r="E315" i="14"/>
  <c r="F314" i="14"/>
  <c r="E314" i="14"/>
  <c r="E313" i="14"/>
  <c r="F312" i="14"/>
  <c r="E312" i="14"/>
  <c r="F311" i="14"/>
  <c r="E311" i="14"/>
  <c r="E310" i="14"/>
  <c r="F309" i="14"/>
  <c r="E309" i="14"/>
  <c r="F308" i="14"/>
  <c r="E308" i="14"/>
  <c r="E307" i="14"/>
  <c r="F306" i="14"/>
  <c r="E306" i="14"/>
  <c r="F305" i="14"/>
  <c r="E305" i="14"/>
  <c r="E304" i="14"/>
  <c r="F303" i="14"/>
  <c r="E303" i="14"/>
  <c r="F302" i="14"/>
  <c r="E302" i="14"/>
  <c r="E301" i="14"/>
  <c r="F300" i="14"/>
  <c r="E300" i="14"/>
  <c r="F299" i="14"/>
  <c r="E299" i="14"/>
  <c r="E298" i="14"/>
  <c r="F297" i="14"/>
  <c r="E297" i="14"/>
  <c r="F296" i="14"/>
  <c r="E296" i="14"/>
  <c r="E295" i="14"/>
  <c r="F294" i="14"/>
  <c r="E294" i="14"/>
  <c r="F293" i="14"/>
  <c r="E293" i="14"/>
  <c r="E292" i="14"/>
  <c r="F291" i="14"/>
  <c r="E291" i="14"/>
  <c r="F290" i="14"/>
  <c r="E290" i="14"/>
  <c r="E289" i="14"/>
  <c r="F288" i="14"/>
  <c r="E288" i="14"/>
  <c r="F287" i="14"/>
  <c r="E287" i="14"/>
  <c r="E286" i="14"/>
  <c r="F285" i="14"/>
  <c r="E285" i="14"/>
  <c r="F284" i="14"/>
  <c r="E284" i="14"/>
  <c r="E283" i="14"/>
  <c r="F282" i="14"/>
  <c r="E282" i="14"/>
  <c r="F281" i="14"/>
  <c r="E281" i="14"/>
  <c r="E280" i="14"/>
  <c r="F279" i="14"/>
  <c r="E279" i="14"/>
  <c r="F278" i="14"/>
  <c r="E278" i="14"/>
  <c r="E277" i="14"/>
  <c r="F276" i="14"/>
  <c r="E276" i="14"/>
  <c r="F275" i="14"/>
  <c r="E275" i="14"/>
  <c r="E274" i="14"/>
  <c r="F273" i="14"/>
  <c r="E273" i="14"/>
  <c r="F272" i="14"/>
  <c r="E272" i="14"/>
  <c r="E271" i="14"/>
  <c r="F270" i="14"/>
  <c r="E270" i="14"/>
  <c r="F269" i="14"/>
  <c r="E269" i="14"/>
  <c r="E268" i="14"/>
  <c r="F267" i="14"/>
  <c r="E267" i="14"/>
  <c r="F266" i="14"/>
  <c r="E266" i="14"/>
  <c r="E265" i="14"/>
  <c r="F264" i="14"/>
  <c r="E264" i="14"/>
  <c r="F263" i="14"/>
  <c r="E263" i="14"/>
  <c r="E262" i="14"/>
  <c r="F261" i="14"/>
  <c r="E261" i="14"/>
  <c r="F260" i="14"/>
  <c r="E260" i="14"/>
  <c r="F259" i="14"/>
  <c r="E259" i="14"/>
  <c r="F258" i="14"/>
  <c r="E258" i="14"/>
  <c r="F257" i="14"/>
  <c r="E257" i="14"/>
  <c r="F256" i="14"/>
  <c r="E256" i="14"/>
  <c r="F255" i="14"/>
  <c r="E255" i="14"/>
  <c r="E254" i="14"/>
  <c r="F253" i="14"/>
  <c r="E253" i="14"/>
  <c r="F252" i="14"/>
  <c r="E252" i="14"/>
  <c r="E251" i="14"/>
  <c r="F250" i="14"/>
  <c r="E250" i="14"/>
  <c r="F249" i="14"/>
  <c r="E249" i="14"/>
  <c r="F248" i="14"/>
  <c r="E248" i="14"/>
  <c r="F247" i="14"/>
  <c r="E247" i="14"/>
  <c r="F246" i="14"/>
  <c r="E246" i="14"/>
  <c r="F245" i="14"/>
  <c r="E245" i="14"/>
  <c r="F244" i="14"/>
  <c r="E244" i="14"/>
  <c r="E243" i="14"/>
  <c r="F242" i="14"/>
  <c r="E242" i="14"/>
  <c r="F241" i="14"/>
  <c r="E241" i="14"/>
  <c r="F240" i="14"/>
  <c r="E240" i="14"/>
  <c r="F239" i="14"/>
  <c r="E239" i="14"/>
  <c r="F238" i="14"/>
  <c r="E238" i="14"/>
  <c r="F237" i="14"/>
  <c r="E237" i="14"/>
  <c r="F236" i="14"/>
  <c r="E236" i="14"/>
  <c r="F235" i="14"/>
  <c r="E235" i="14"/>
  <c r="F234" i="14"/>
  <c r="E234" i="14"/>
  <c r="F233" i="14"/>
  <c r="E233" i="14"/>
  <c r="E232" i="14"/>
  <c r="F231" i="14"/>
  <c r="E231" i="14"/>
  <c r="F230" i="14"/>
  <c r="E230" i="14"/>
  <c r="F229" i="14"/>
  <c r="E229" i="14"/>
  <c r="E228" i="14"/>
  <c r="F227" i="14"/>
  <c r="E227" i="14"/>
  <c r="F226" i="14"/>
  <c r="E226" i="14"/>
  <c r="F225" i="14"/>
  <c r="E225" i="14"/>
  <c r="E224" i="14"/>
  <c r="F223" i="14"/>
  <c r="E223" i="14"/>
  <c r="F222" i="14"/>
  <c r="E222" i="14"/>
  <c r="F221" i="14"/>
  <c r="E221" i="14"/>
  <c r="F220" i="14"/>
  <c r="E220" i="14"/>
  <c r="F219" i="14"/>
  <c r="E219" i="14"/>
  <c r="E218" i="14"/>
  <c r="F217" i="14"/>
  <c r="E217" i="14"/>
  <c r="F216" i="14"/>
  <c r="E216" i="14"/>
  <c r="F215" i="14"/>
  <c r="E215" i="14"/>
  <c r="F214" i="14"/>
  <c r="E214" i="14"/>
  <c r="F213" i="14"/>
  <c r="E213" i="14"/>
  <c r="F212" i="14"/>
  <c r="E212" i="14"/>
  <c r="F211" i="14"/>
  <c r="E211" i="14"/>
  <c r="F210" i="14"/>
  <c r="E210" i="14"/>
  <c r="F209" i="14"/>
  <c r="E209" i="14"/>
  <c r="F208" i="14"/>
  <c r="E208" i="14"/>
  <c r="E207" i="14"/>
  <c r="F206" i="14"/>
  <c r="E206" i="14"/>
  <c r="F205" i="14"/>
  <c r="E205" i="14"/>
  <c r="F204" i="14"/>
  <c r="E204" i="14"/>
  <c r="F203" i="14"/>
  <c r="E203" i="14"/>
  <c r="F202" i="14"/>
  <c r="E202" i="14"/>
  <c r="F201" i="14"/>
  <c r="E201" i="14"/>
  <c r="F200" i="14"/>
  <c r="E200" i="14"/>
  <c r="F199" i="14"/>
  <c r="E199" i="14"/>
  <c r="F198" i="14"/>
  <c r="E198" i="14"/>
  <c r="F197" i="14"/>
  <c r="E197" i="14"/>
  <c r="F196" i="14"/>
  <c r="E196" i="14"/>
  <c r="F195" i="14"/>
  <c r="E195" i="14"/>
  <c r="E194" i="14"/>
  <c r="F193" i="14"/>
  <c r="E193" i="14"/>
  <c r="F192" i="14"/>
  <c r="E192" i="14"/>
  <c r="F191" i="14"/>
  <c r="E191" i="14"/>
  <c r="F190" i="14"/>
  <c r="E190" i="14"/>
  <c r="F189" i="14"/>
  <c r="E189" i="14"/>
  <c r="F188" i="14"/>
  <c r="E188" i="14"/>
  <c r="F187" i="14"/>
  <c r="E187" i="14"/>
  <c r="F186" i="14"/>
  <c r="E186" i="14"/>
  <c r="F185" i="14"/>
  <c r="E185" i="14"/>
  <c r="E184" i="14"/>
  <c r="F183" i="14"/>
  <c r="E183" i="14"/>
  <c r="F182" i="14"/>
  <c r="E182" i="14"/>
  <c r="F181" i="14"/>
  <c r="E181" i="14"/>
  <c r="F180" i="14"/>
  <c r="E180" i="14"/>
  <c r="F179" i="14"/>
  <c r="E179" i="14"/>
  <c r="F178" i="14"/>
  <c r="E178" i="14"/>
  <c r="E177" i="14"/>
  <c r="F176" i="14"/>
  <c r="E176" i="14"/>
  <c r="F175" i="14"/>
  <c r="E175" i="14"/>
  <c r="F174" i="14"/>
  <c r="E174" i="14"/>
  <c r="F173" i="14"/>
  <c r="E173" i="14"/>
  <c r="E172" i="14"/>
  <c r="F171" i="14"/>
  <c r="E171" i="14"/>
  <c r="F170" i="14"/>
  <c r="E170" i="14"/>
  <c r="F169" i="14"/>
  <c r="E169" i="14"/>
  <c r="F168" i="14"/>
  <c r="E168" i="14"/>
  <c r="F167" i="14"/>
  <c r="E167" i="14"/>
  <c r="F166" i="14"/>
  <c r="E166" i="14"/>
  <c r="F165" i="14"/>
  <c r="E165" i="14"/>
  <c r="F164" i="14"/>
  <c r="E164" i="14"/>
  <c r="F163" i="14"/>
  <c r="E163" i="14"/>
  <c r="F162" i="14"/>
  <c r="E162" i="14"/>
  <c r="F161" i="14"/>
  <c r="E161" i="14"/>
  <c r="F160" i="14"/>
  <c r="E160" i="14"/>
  <c r="E159" i="14"/>
  <c r="F158" i="14"/>
  <c r="E158" i="14"/>
  <c r="F157" i="14"/>
  <c r="E157" i="14"/>
  <c r="F156" i="14"/>
  <c r="E156" i="14"/>
  <c r="F155" i="14"/>
  <c r="E155" i="14"/>
  <c r="F154" i="14"/>
  <c r="E154" i="14"/>
  <c r="E153" i="14"/>
  <c r="F152" i="14"/>
  <c r="E152" i="14"/>
  <c r="F151" i="14"/>
  <c r="E151" i="14"/>
  <c r="F150" i="14"/>
  <c r="E150" i="14"/>
  <c r="F149" i="14"/>
  <c r="E149" i="14"/>
  <c r="F148" i="14"/>
  <c r="E148" i="14"/>
  <c r="F147" i="14"/>
  <c r="E147" i="14"/>
  <c r="F146" i="14"/>
  <c r="E146" i="14"/>
  <c r="F145" i="14"/>
  <c r="E145" i="14"/>
  <c r="F144" i="14"/>
  <c r="E144" i="14"/>
  <c r="F143" i="14"/>
  <c r="E143" i="14"/>
  <c r="F142" i="14"/>
  <c r="E142" i="14"/>
  <c r="F141" i="14"/>
  <c r="E141" i="14"/>
  <c r="E140" i="14"/>
  <c r="F139" i="14"/>
  <c r="E139" i="14"/>
  <c r="F138" i="14"/>
  <c r="E138" i="14"/>
  <c r="F137" i="14"/>
  <c r="E137" i="14"/>
  <c r="F136" i="14"/>
  <c r="E136" i="14"/>
  <c r="F135" i="14"/>
  <c r="E135" i="14"/>
  <c r="F134" i="14"/>
  <c r="E134" i="14"/>
  <c r="F133" i="14"/>
  <c r="E133" i="14"/>
  <c r="E132" i="14"/>
  <c r="F131" i="14"/>
  <c r="E131" i="14"/>
  <c r="F130" i="14"/>
  <c r="E130" i="14"/>
  <c r="E129" i="14"/>
  <c r="F128" i="14"/>
  <c r="E128" i="14"/>
  <c r="F127" i="14"/>
  <c r="E127" i="14"/>
  <c r="E126" i="14"/>
  <c r="F125" i="14"/>
  <c r="E125" i="14"/>
  <c r="F124" i="14"/>
  <c r="E124" i="14"/>
  <c r="E123" i="14"/>
  <c r="F122" i="14"/>
  <c r="E122" i="14"/>
  <c r="F121" i="14"/>
  <c r="E121" i="14"/>
  <c r="E120" i="14"/>
  <c r="F119" i="14"/>
  <c r="E119" i="14"/>
  <c r="F118" i="14"/>
  <c r="E118" i="14"/>
  <c r="F117" i="14"/>
  <c r="E117" i="14"/>
  <c r="F116" i="14"/>
  <c r="E116" i="14"/>
  <c r="E115" i="14"/>
  <c r="F114" i="14"/>
  <c r="E114" i="14"/>
  <c r="F113" i="14"/>
  <c r="E113" i="14"/>
  <c r="F112" i="14"/>
  <c r="E112" i="14"/>
  <c r="E111" i="14"/>
  <c r="F110" i="14"/>
  <c r="E110" i="14"/>
  <c r="F109" i="14"/>
  <c r="E109" i="14"/>
  <c r="F108" i="14"/>
  <c r="E108" i="14"/>
  <c r="F107" i="14"/>
  <c r="E107" i="14"/>
  <c r="F106" i="14"/>
  <c r="E106" i="14"/>
  <c r="F105" i="14"/>
  <c r="E105" i="14"/>
  <c r="F104" i="14"/>
  <c r="E104" i="14"/>
  <c r="E103" i="14"/>
  <c r="F102" i="14"/>
  <c r="E102" i="14"/>
  <c r="F101" i="14"/>
  <c r="E101" i="14"/>
  <c r="F100" i="14"/>
  <c r="E100" i="14"/>
  <c r="F99" i="14"/>
  <c r="E99" i="14"/>
  <c r="F98" i="14"/>
  <c r="E98" i="14"/>
  <c r="F97" i="14"/>
  <c r="E97" i="14"/>
  <c r="F96" i="14"/>
  <c r="E96" i="14"/>
  <c r="E95" i="14"/>
  <c r="F94" i="14"/>
  <c r="E94" i="14"/>
  <c r="F93" i="14"/>
  <c r="E93" i="14"/>
  <c r="F92" i="14"/>
  <c r="E92" i="14"/>
  <c r="E91" i="14"/>
  <c r="F90" i="14"/>
  <c r="E90" i="14"/>
  <c r="F89" i="14"/>
  <c r="E89" i="14"/>
  <c r="E88" i="14"/>
  <c r="F87" i="14"/>
  <c r="E87" i="14"/>
  <c r="F86" i="14"/>
  <c r="E86" i="14"/>
  <c r="F85" i="14"/>
  <c r="E85" i="14"/>
  <c r="F84" i="14"/>
  <c r="E84" i="14"/>
  <c r="F83" i="14"/>
  <c r="E83" i="14"/>
  <c r="E82" i="14"/>
  <c r="F81" i="14"/>
  <c r="E81" i="14"/>
  <c r="F80" i="14"/>
  <c r="E80" i="14"/>
  <c r="F79" i="14"/>
  <c r="E79" i="14"/>
  <c r="F78" i="14"/>
  <c r="E78" i="14"/>
  <c r="F77" i="14"/>
  <c r="E77" i="14"/>
  <c r="E76" i="14"/>
  <c r="F75" i="14"/>
  <c r="E75" i="14"/>
  <c r="F74" i="14"/>
  <c r="E74" i="14"/>
  <c r="F73" i="14"/>
  <c r="E73" i="14"/>
  <c r="E72" i="14"/>
  <c r="F71" i="14"/>
  <c r="E71" i="14"/>
  <c r="F70" i="14"/>
  <c r="E70" i="14"/>
  <c r="F69" i="14"/>
  <c r="E69" i="14"/>
  <c r="E68" i="14"/>
  <c r="F67" i="14"/>
  <c r="E67" i="14"/>
  <c r="F66" i="14"/>
  <c r="E66" i="14"/>
  <c r="F65" i="14"/>
  <c r="E65" i="14"/>
  <c r="E64" i="14"/>
  <c r="F63" i="14"/>
  <c r="E63" i="14"/>
  <c r="F62" i="14"/>
  <c r="E62" i="14"/>
  <c r="F61" i="14"/>
  <c r="E61" i="14"/>
  <c r="E60" i="14"/>
  <c r="F59" i="14"/>
  <c r="E59" i="14"/>
  <c r="F58" i="14"/>
  <c r="E58" i="14"/>
  <c r="F57" i="14"/>
  <c r="E57" i="14"/>
  <c r="E56" i="14"/>
  <c r="F55" i="14"/>
  <c r="E55" i="14"/>
  <c r="F54" i="14"/>
  <c r="E54" i="14"/>
  <c r="F53" i="14"/>
  <c r="E53" i="14"/>
  <c r="E52" i="14"/>
  <c r="F51" i="14"/>
  <c r="E51" i="14"/>
  <c r="F50" i="14"/>
  <c r="E50" i="14"/>
  <c r="F49" i="14"/>
  <c r="E49" i="14"/>
  <c r="E48" i="14"/>
  <c r="F47" i="14"/>
  <c r="E47" i="14"/>
  <c r="F46" i="14"/>
  <c r="E46" i="14"/>
  <c r="F45" i="14"/>
  <c r="E45" i="14"/>
  <c r="E44" i="14"/>
  <c r="F43" i="14"/>
  <c r="E43" i="14"/>
  <c r="F42" i="14"/>
  <c r="E42" i="14"/>
  <c r="F41" i="14"/>
  <c r="E41" i="14"/>
  <c r="E40" i="14"/>
  <c r="F39" i="14"/>
  <c r="E39" i="14"/>
  <c r="F38" i="14"/>
  <c r="E38" i="14"/>
  <c r="F37" i="14"/>
  <c r="E37" i="14"/>
  <c r="E36" i="14"/>
  <c r="F35" i="14"/>
  <c r="E35" i="14"/>
  <c r="F34" i="14"/>
  <c r="E34" i="14"/>
  <c r="F33" i="14"/>
  <c r="E33" i="14"/>
  <c r="F32" i="14"/>
  <c r="E32" i="14"/>
  <c r="F31" i="14"/>
  <c r="E31" i="14"/>
  <c r="E30" i="14"/>
  <c r="F29" i="14"/>
  <c r="E29" i="14"/>
  <c r="F28" i="14"/>
  <c r="E28" i="14"/>
  <c r="F27" i="14"/>
  <c r="E27" i="14"/>
  <c r="F26" i="14"/>
  <c r="E26" i="14"/>
  <c r="F25" i="14"/>
  <c r="E25" i="14"/>
  <c r="F24" i="14"/>
  <c r="E24" i="14"/>
  <c r="E23" i="14"/>
  <c r="F22" i="14"/>
  <c r="E22" i="14"/>
  <c r="F21" i="14"/>
  <c r="E21" i="14"/>
  <c r="F20" i="14"/>
  <c r="E20" i="14"/>
  <c r="F19" i="14"/>
  <c r="E19" i="14"/>
  <c r="F18" i="14"/>
  <c r="E18" i="14"/>
  <c r="E17" i="14"/>
  <c r="F16" i="14"/>
  <c r="E16" i="14"/>
  <c r="F15" i="14"/>
  <c r="E15" i="14"/>
  <c r="F14" i="14"/>
  <c r="E14" i="14"/>
  <c r="F13" i="14"/>
  <c r="E13" i="14"/>
  <c r="E12" i="14"/>
  <c r="F11" i="14"/>
  <c r="E11" i="14"/>
  <c r="F10" i="14"/>
  <c r="E10" i="14"/>
  <c r="F9" i="14"/>
  <c r="E9" i="14"/>
  <c r="F8" i="14"/>
  <c r="E8" i="14"/>
  <c r="F7" i="14"/>
  <c r="E7" i="14"/>
  <c r="F6" i="14"/>
  <c r="E6" i="14"/>
  <c r="E5" i="14"/>
  <c r="H726" i="11"/>
  <c r="G726" i="11"/>
  <c r="F726" i="11"/>
  <c r="E726" i="11"/>
  <c r="D726" i="11"/>
  <c r="C726" i="11"/>
  <c r="H725" i="11"/>
  <c r="G725" i="11"/>
  <c r="F725" i="11"/>
  <c r="E725" i="11"/>
  <c r="D725" i="11"/>
  <c r="C725" i="11"/>
  <c r="H724" i="11"/>
  <c r="G724" i="11"/>
  <c r="F724" i="11"/>
  <c r="E724" i="11"/>
  <c r="D724" i="11"/>
  <c r="C724" i="11"/>
  <c r="H723" i="11"/>
  <c r="G723" i="11"/>
  <c r="F723" i="11"/>
  <c r="E723" i="11"/>
  <c r="D723" i="11"/>
  <c r="C723" i="11"/>
  <c r="H722" i="11"/>
  <c r="G722" i="11"/>
  <c r="F722" i="11"/>
  <c r="E722" i="11"/>
  <c r="D722" i="11"/>
  <c r="C722" i="11"/>
  <c r="G716" i="11"/>
  <c r="F716" i="11"/>
  <c r="E716" i="11"/>
  <c r="D716" i="11"/>
  <c r="C716" i="11"/>
  <c r="G715" i="11"/>
  <c r="F715" i="11"/>
  <c r="E715" i="11"/>
  <c r="D715" i="11"/>
  <c r="C715" i="11"/>
  <c r="G714" i="11"/>
  <c r="F714" i="11"/>
  <c r="E714" i="11"/>
  <c r="D714" i="11"/>
  <c r="C714" i="11"/>
  <c r="G713" i="11"/>
  <c r="F713" i="11"/>
  <c r="E713" i="11"/>
  <c r="D713" i="11"/>
  <c r="C713" i="11"/>
  <c r="G712" i="11"/>
  <c r="F712" i="11"/>
  <c r="E712" i="11"/>
  <c r="D712" i="11"/>
  <c r="C712" i="11"/>
  <c r="G711" i="11"/>
  <c r="F711" i="11"/>
  <c r="E711" i="11"/>
  <c r="D711" i="11"/>
  <c r="C711" i="11"/>
  <c r="D679" i="11"/>
  <c r="C679" i="11"/>
  <c r="D678" i="11"/>
  <c r="C678" i="11"/>
  <c r="D677" i="11"/>
  <c r="C677" i="11"/>
  <c r="B675" i="11"/>
  <c r="D667" i="11"/>
  <c r="C667" i="11"/>
  <c r="D666" i="11"/>
  <c r="C666" i="11"/>
  <c r="D665" i="11"/>
  <c r="C665" i="11"/>
  <c r="B663" i="11"/>
  <c r="D657" i="11"/>
  <c r="C657" i="11"/>
  <c r="D656" i="11"/>
  <c r="C656" i="11"/>
  <c r="D655" i="11"/>
  <c r="C655" i="11"/>
  <c r="D654" i="11"/>
  <c r="C654" i="11"/>
  <c r="D653" i="11"/>
  <c r="C653" i="11"/>
  <c r="D652" i="11"/>
  <c r="C652" i="11"/>
  <c r="D651" i="11"/>
  <c r="C651" i="11"/>
  <c r="D650" i="11"/>
  <c r="C650" i="11"/>
  <c r="D649" i="11"/>
  <c r="C649" i="11"/>
  <c r="D648" i="11"/>
  <c r="C648" i="11"/>
  <c r="D647" i="11"/>
  <c r="C647" i="11"/>
  <c r="D646" i="11"/>
  <c r="C646" i="11"/>
  <c r="B644" i="11"/>
  <c r="D638" i="11"/>
  <c r="C638" i="11"/>
  <c r="D637" i="11"/>
  <c r="C637" i="11"/>
  <c r="D636" i="11"/>
  <c r="C636" i="11"/>
  <c r="D635" i="11"/>
  <c r="C635" i="11"/>
  <c r="B633" i="11"/>
  <c r="D627" i="11"/>
  <c r="C627" i="11"/>
  <c r="D626" i="11"/>
  <c r="C626" i="11"/>
  <c r="D625" i="11"/>
  <c r="C625" i="11"/>
  <c r="D624" i="11"/>
  <c r="C624" i="11"/>
  <c r="B622" i="11"/>
  <c r="D614" i="11"/>
  <c r="C614" i="11"/>
  <c r="D613" i="11"/>
  <c r="C613" i="11"/>
  <c r="D612" i="11"/>
  <c r="C612" i="11"/>
  <c r="B610" i="11"/>
  <c r="D602" i="11"/>
  <c r="C602" i="11"/>
  <c r="D601" i="11"/>
  <c r="C601" i="11"/>
  <c r="D600" i="11"/>
  <c r="C600" i="11"/>
  <c r="B598" i="11"/>
  <c r="D593" i="11"/>
  <c r="C593" i="11"/>
  <c r="D592" i="11"/>
  <c r="C592" i="11"/>
  <c r="D591" i="11"/>
  <c r="C591" i="11"/>
  <c r="D590" i="11"/>
  <c r="C590" i="11"/>
  <c r="D589" i="11"/>
  <c r="C589" i="11"/>
  <c r="D588" i="11"/>
  <c r="C588" i="11"/>
  <c r="D587" i="11"/>
  <c r="C587" i="11"/>
  <c r="D586" i="11"/>
  <c r="C586" i="11"/>
  <c r="B584" i="11"/>
  <c r="D579" i="11"/>
  <c r="C579" i="11"/>
  <c r="D578" i="11"/>
  <c r="C578" i="11"/>
  <c r="D577" i="11"/>
  <c r="C577" i="11"/>
  <c r="D576" i="11"/>
  <c r="C576" i="11"/>
  <c r="B574" i="11"/>
  <c r="D569" i="11"/>
  <c r="C569" i="11"/>
  <c r="D568" i="11"/>
  <c r="C568" i="11"/>
  <c r="D567" i="11"/>
  <c r="C567" i="11"/>
  <c r="D566" i="11"/>
  <c r="C566" i="11"/>
  <c r="D565" i="11"/>
  <c r="C565" i="11"/>
  <c r="D564" i="11"/>
  <c r="C564" i="11"/>
  <c r="D563" i="11"/>
  <c r="C563" i="11"/>
  <c r="D562" i="11"/>
  <c r="C562" i="11"/>
  <c r="B560" i="11"/>
  <c r="D554" i="11"/>
  <c r="C554" i="11"/>
  <c r="D553" i="11"/>
  <c r="C553" i="11"/>
  <c r="D552" i="11"/>
  <c r="C552" i="11"/>
  <c r="D551" i="11"/>
  <c r="C551" i="11"/>
  <c r="B549" i="11"/>
  <c r="D544" i="11"/>
  <c r="C544" i="11"/>
  <c r="D543" i="11"/>
  <c r="C543" i="11"/>
  <c r="D542" i="11"/>
  <c r="C542" i="11"/>
  <c r="D541" i="11"/>
  <c r="C541" i="11"/>
  <c r="D540" i="11"/>
  <c r="C540" i="11"/>
  <c r="D539" i="11"/>
  <c r="C539" i="11"/>
  <c r="D538" i="11"/>
  <c r="C538" i="11"/>
  <c r="D537" i="11"/>
  <c r="C537" i="11"/>
  <c r="D536" i="11"/>
  <c r="C536" i="11"/>
  <c r="D535" i="11"/>
  <c r="C535" i="11"/>
  <c r="D534" i="11"/>
  <c r="C534" i="11"/>
  <c r="D533" i="11"/>
  <c r="C533" i="11"/>
  <c r="D532" i="11"/>
  <c r="C532" i="11"/>
  <c r="D531" i="11"/>
  <c r="C531" i="11"/>
  <c r="D530" i="11"/>
  <c r="C530" i="11"/>
  <c r="D529" i="11"/>
  <c r="C529" i="11"/>
  <c r="B527" i="11"/>
  <c r="D522" i="11"/>
  <c r="C522" i="11"/>
  <c r="D521" i="11"/>
  <c r="C521" i="11"/>
  <c r="D520" i="11"/>
  <c r="C520" i="11"/>
  <c r="D519" i="11"/>
  <c r="C519" i="11"/>
  <c r="D518" i="11"/>
  <c r="C518" i="11"/>
  <c r="D517" i="11"/>
  <c r="C517" i="11"/>
  <c r="D516" i="11"/>
  <c r="C516" i="11"/>
  <c r="D515" i="11"/>
  <c r="C515" i="11"/>
  <c r="D514" i="11"/>
  <c r="C514" i="11"/>
  <c r="D513" i="11"/>
  <c r="C513" i="11"/>
  <c r="D512" i="11"/>
  <c r="C512" i="11"/>
  <c r="D511" i="11"/>
  <c r="C511" i="11"/>
  <c r="D510" i="11"/>
  <c r="C510" i="11"/>
  <c r="D509" i="11"/>
  <c r="C509" i="11"/>
  <c r="D508" i="11"/>
  <c r="C508" i="11"/>
  <c r="B506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E438" i="11"/>
  <c r="D438" i="11"/>
  <c r="C438" i="11"/>
  <c r="E437" i="11"/>
  <c r="D437" i="11"/>
  <c r="C437" i="11"/>
  <c r="E436" i="11"/>
  <c r="D436" i="11"/>
  <c r="C436" i="11"/>
  <c r="E435" i="11"/>
  <c r="D435" i="11"/>
  <c r="C435" i="11"/>
  <c r="E434" i="11"/>
  <c r="D434" i="11"/>
  <c r="C434" i="11"/>
  <c r="E433" i="11"/>
  <c r="D433" i="11"/>
  <c r="C433" i="11"/>
  <c r="E432" i="11"/>
  <c r="D432" i="11"/>
  <c r="C432" i="11"/>
  <c r="E431" i="11"/>
  <c r="D431" i="11"/>
  <c r="C431" i="11"/>
  <c r="E430" i="11"/>
  <c r="D430" i="11"/>
  <c r="C430" i="11"/>
  <c r="E429" i="11"/>
  <c r="D429" i="11"/>
  <c r="C429" i="11"/>
  <c r="E428" i="11"/>
  <c r="D428" i="11"/>
  <c r="C428" i="11"/>
  <c r="E427" i="11"/>
  <c r="D427" i="11"/>
  <c r="C427" i="11"/>
  <c r="E426" i="11"/>
  <c r="D426" i="11"/>
  <c r="C426" i="11"/>
  <c r="E425" i="11"/>
  <c r="D425" i="11"/>
  <c r="C425" i="11"/>
  <c r="E424" i="11"/>
  <c r="D424" i="11"/>
  <c r="C424" i="11"/>
  <c r="E423" i="11"/>
  <c r="D423" i="11"/>
  <c r="C423" i="11"/>
  <c r="E422" i="11"/>
  <c r="D422" i="11"/>
  <c r="C422" i="11"/>
  <c r="E421" i="11"/>
  <c r="D421" i="11"/>
  <c r="C421" i="11"/>
  <c r="E420" i="11"/>
  <c r="D420" i="11"/>
  <c r="C420" i="11"/>
  <c r="E419" i="11"/>
  <c r="D419" i="11"/>
  <c r="C419" i="11"/>
  <c r="E418" i="11"/>
  <c r="D418" i="11"/>
  <c r="C418" i="11"/>
  <c r="D412" i="11"/>
  <c r="C412" i="11"/>
  <c r="D411" i="11"/>
  <c r="C411" i="11"/>
  <c r="D410" i="11"/>
  <c r="C410" i="11"/>
  <c r="D409" i="11"/>
  <c r="C409" i="11"/>
  <c r="D408" i="11"/>
  <c r="C408" i="11"/>
  <c r="D407" i="11"/>
  <c r="C407" i="11"/>
  <c r="D406" i="11"/>
  <c r="C406" i="11"/>
  <c r="D405" i="11"/>
  <c r="C405" i="11"/>
  <c r="D404" i="11"/>
  <c r="C404" i="11"/>
  <c r="D403" i="11"/>
  <c r="C403" i="11"/>
  <c r="D402" i="11"/>
  <c r="C402" i="11"/>
  <c r="D401" i="11"/>
  <c r="C401" i="11"/>
  <c r="D400" i="11"/>
  <c r="C400" i="11"/>
  <c r="B398" i="11"/>
  <c r="D393" i="11"/>
  <c r="C393" i="11"/>
  <c r="D392" i="11"/>
  <c r="C392" i="11"/>
  <c r="D391" i="11"/>
  <c r="C391" i="11"/>
  <c r="D390" i="11"/>
  <c r="C390" i="11"/>
  <c r="D389" i="11"/>
  <c r="C389" i="11"/>
  <c r="D388" i="11"/>
  <c r="C388" i="11"/>
  <c r="D387" i="11"/>
  <c r="C387" i="11"/>
  <c r="D386" i="11"/>
  <c r="C386" i="11"/>
  <c r="D385" i="11"/>
  <c r="C385" i="11"/>
  <c r="D384" i="11"/>
  <c r="C384" i="11"/>
  <c r="B382" i="11"/>
  <c r="D377" i="11"/>
  <c r="C377" i="11"/>
  <c r="D376" i="11"/>
  <c r="C376" i="11"/>
  <c r="D375" i="11"/>
  <c r="C375" i="11"/>
  <c r="D374" i="11"/>
  <c r="C374" i="11"/>
  <c r="D373" i="11"/>
  <c r="C373" i="11"/>
  <c r="B371" i="11"/>
  <c r="D366" i="11"/>
  <c r="C366" i="11"/>
  <c r="D365" i="11"/>
  <c r="C365" i="11"/>
  <c r="D364" i="11"/>
  <c r="C364" i="11"/>
  <c r="D363" i="11"/>
  <c r="C363" i="11"/>
  <c r="D362" i="11"/>
  <c r="C362" i="11"/>
  <c r="D361" i="11"/>
  <c r="C361" i="11"/>
  <c r="D360" i="11"/>
  <c r="C360" i="11"/>
  <c r="D359" i="11"/>
  <c r="C359" i="11"/>
  <c r="D358" i="11"/>
  <c r="C358" i="11"/>
  <c r="D357" i="11"/>
  <c r="C357" i="11"/>
  <c r="D356" i="11"/>
  <c r="C356" i="11"/>
  <c r="D355" i="11"/>
  <c r="C355" i="11"/>
  <c r="B353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B341" i="11"/>
  <c r="D336" i="11"/>
  <c r="C336" i="11"/>
  <c r="D335" i="11"/>
  <c r="C335" i="11"/>
  <c r="D334" i="11"/>
  <c r="C334" i="11"/>
  <c r="B332" i="11"/>
  <c r="D326" i="11"/>
  <c r="C326" i="11"/>
  <c r="D325" i="11"/>
  <c r="C325" i="11"/>
  <c r="D324" i="11"/>
  <c r="C324" i="11"/>
  <c r="D323" i="11"/>
  <c r="C323" i="11"/>
  <c r="B321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B305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B291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B276" i="11"/>
  <c r="D271" i="11"/>
  <c r="C271" i="11"/>
  <c r="D270" i="11"/>
  <c r="C270" i="11"/>
  <c r="D269" i="11"/>
  <c r="C269" i="11"/>
  <c r="D268" i="11"/>
  <c r="C268" i="1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B260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B241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B227" i="11"/>
  <c r="D219" i="11"/>
  <c r="C219" i="11"/>
  <c r="D218" i="11"/>
  <c r="C218" i="11"/>
  <c r="D217" i="11"/>
  <c r="C217" i="11"/>
  <c r="B215" i="11"/>
  <c r="D207" i="11"/>
  <c r="C207" i="11"/>
  <c r="D206" i="11"/>
  <c r="C206" i="11"/>
  <c r="D205" i="11"/>
  <c r="C205" i="11"/>
  <c r="B203" i="11"/>
  <c r="D195" i="11"/>
  <c r="C195" i="11"/>
  <c r="D194" i="11"/>
  <c r="C194" i="11"/>
  <c r="D193" i="11"/>
  <c r="C193" i="11"/>
  <c r="B191" i="11"/>
  <c r="D183" i="11"/>
  <c r="C183" i="11"/>
  <c r="D182" i="11"/>
  <c r="C182" i="11"/>
  <c r="D181" i="11"/>
  <c r="C181" i="11"/>
  <c r="B179" i="11"/>
  <c r="D174" i="11"/>
  <c r="C174" i="11"/>
  <c r="D173" i="11"/>
  <c r="C173" i="11"/>
  <c r="D172" i="11"/>
  <c r="C172" i="11"/>
  <c r="D171" i="11"/>
  <c r="C171" i="11"/>
  <c r="D170" i="11"/>
  <c r="C170" i="11"/>
  <c r="B168" i="11"/>
  <c r="D162" i="11"/>
  <c r="C162" i="11"/>
  <c r="D161" i="11"/>
  <c r="C161" i="11"/>
  <c r="D160" i="11"/>
  <c r="C160" i="11"/>
  <c r="D159" i="11"/>
  <c r="C159" i="11"/>
  <c r="B157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B143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B129" i="11"/>
  <c r="D123" i="11"/>
  <c r="C123" i="11"/>
  <c r="D122" i="11"/>
  <c r="C122" i="11"/>
  <c r="D121" i="11"/>
  <c r="C121" i="11"/>
  <c r="D120" i="11"/>
  <c r="C120" i="11"/>
  <c r="B118" i="11"/>
  <c r="D110" i="11"/>
  <c r="C110" i="11"/>
  <c r="D109" i="11"/>
  <c r="C109" i="11"/>
  <c r="D108" i="11"/>
  <c r="C108" i="11"/>
  <c r="B106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B95" i="11"/>
  <c r="D90" i="11"/>
  <c r="C90" i="11"/>
  <c r="D89" i="11"/>
  <c r="C89" i="11"/>
  <c r="D88" i="11"/>
  <c r="C88" i="11"/>
  <c r="D87" i="11"/>
  <c r="C87" i="11"/>
  <c r="B85" i="11"/>
  <c r="F72" i="11"/>
  <c r="E72" i="11"/>
  <c r="D72" i="11"/>
  <c r="C72" i="11"/>
  <c r="F71" i="11"/>
  <c r="E71" i="11"/>
  <c r="D71" i="11"/>
  <c r="C71" i="11"/>
  <c r="F70" i="11"/>
  <c r="E70" i="11"/>
  <c r="D70" i="11"/>
  <c r="C70" i="11"/>
  <c r="F69" i="11"/>
  <c r="E69" i="11"/>
  <c r="D69" i="11"/>
  <c r="C69" i="11"/>
  <c r="F68" i="11"/>
  <c r="E68" i="11"/>
  <c r="D68" i="11"/>
  <c r="C68" i="11"/>
  <c r="F67" i="11"/>
  <c r="E67" i="11"/>
  <c r="D67" i="11"/>
  <c r="C67" i="11"/>
  <c r="F66" i="11"/>
  <c r="E66" i="11"/>
  <c r="D66" i="11"/>
  <c r="C66" i="11"/>
  <c r="F65" i="11"/>
  <c r="E65" i="11"/>
  <c r="D65" i="11"/>
  <c r="C65" i="11"/>
  <c r="F64" i="11"/>
  <c r="E64" i="11"/>
  <c r="D64" i="11"/>
  <c r="C64" i="11"/>
  <c r="F63" i="11"/>
  <c r="E63" i="11"/>
  <c r="D63" i="11"/>
  <c r="C63" i="11"/>
  <c r="D56" i="11"/>
  <c r="C56" i="11"/>
  <c r="D55" i="11"/>
  <c r="C55" i="11"/>
  <c r="D54" i="11"/>
  <c r="C54" i="11"/>
  <c r="D53" i="11"/>
  <c r="C53" i="11"/>
  <c r="D52" i="11"/>
  <c r="C52" i="11"/>
  <c r="B50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B38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B27" i="11"/>
  <c r="D22" i="11"/>
  <c r="C22" i="11"/>
  <c r="D21" i="11"/>
  <c r="C21" i="11"/>
  <c r="D20" i="11"/>
  <c r="C20" i="11"/>
  <c r="D19" i="11"/>
  <c r="C19" i="11"/>
  <c r="D18" i="11"/>
  <c r="C18" i="11"/>
  <c r="B16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B3" i="11"/>
  <c r="G156" i="10"/>
  <c r="F156" i="10"/>
  <c r="E156" i="10"/>
  <c r="D156" i="10"/>
  <c r="C156" i="10"/>
  <c r="G155" i="10"/>
  <c r="F155" i="10"/>
  <c r="E155" i="10"/>
  <c r="D155" i="10"/>
  <c r="C155" i="10"/>
  <c r="G154" i="10"/>
  <c r="F154" i="10"/>
  <c r="E154" i="10"/>
  <c r="D154" i="10"/>
  <c r="C154" i="10"/>
  <c r="G153" i="10"/>
  <c r="F153" i="10"/>
  <c r="E153" i="10"/>
  <c r="D153" i="10"/>
  <c r="C153" i="10"/>
  <c r="G152" i="10"/>
  <c r="F152" i="10"/>
  <c r="E152" i="10"/>
  <c r="D152" i="10"/>
  <c r="C152" i="10"/>
  <c r="G151" i="10"/>
  <c r="F151" i="10"/>
  <c r="E151" i="10"/>
  <c r="D151" i="10"/>
  <c r="C151" i="10"/>
  <c r="G145" i="10"/>
  <c r="F145" i="10"/>
  <c r="E145" i="10"/>
  <c r="D145" i="10"/>
  <c r="C145" i="10"/>
  <c r="G144" i="10"/>
  <c r="F144" i="10"/>
  <c r="E144" i="10"/>
  <c r="D144" i="10"/>
  <c r="C144" i="10"/>
  <c r="G143" i="10"/>
  <c r="F143" i="10"/>
  <c r="E143" i="10"/>
  <c r="D143" i="10"/>
  <c r="C143" i="10"/>
  <c r="G142" i="10"/>
  <c r="F142" i="10"/>
  <c r="E142" i="10"/>
  <c r="D142" i="10"/>
  <c r="C142" i="10"/>
  <c r="G141" i="10"/>
  <c r="F141" i="10"/>
  <c r="E141" i="10"/>
  <c r="D141" i="10"/>
  <c r="C141" i="10"/>
  <c r="G140" i="10"/>
  <c r="F140" i="10"/>
  <c r="E140" i="10"/>
  <c r="D140" i="10"/>
  <c r="C140" i="10"/>
  <c r="G139" i="10"/>
  <c r="F139" i="10"/>
  <c r="E139" i="10"/>
  <c r="D139" i="10"/>
  <c r="C139" i="10"/>
  <c r="G138" i="10"/>
  <c r="F138" i="10"/>
  <c r="E138" i="10"/>
  <c r="D138" i="10"/>
  <c r="C138" i="10"/>
  <c r="G137" i="10"/>
  <c r="F137" i="10"/>
  <c r="E137" i="10"/>
  <c r="D137" i="10"/>
  <c r="C137" i="10"/>
  <c r="G136" i="10"/>
  <c r="F136" i="10"/>
  <c r="E136" i="10"/>
  <c r="D136" i="10"/>
  <c r="C136" i="10"/>
  <c r="G135" i="10"/>
  <c r="F135" i="10"/>
  <c r="E135" i="10"/>
  <c r="D135" i="10"/>
  <c r="C135" i="10"/>
  <c r="G134" i="10"/>
  <c r="F134" i="10"/>
  <c r="E134" i="10"/>
  <c r="D134" i="10"/>
  <c r="C134" i="10"/>
  <c r="G133" i="10"/>
  <c r="F133" i="10"/>
  <c r="E133" i="10"/>
  <c r="D133" i="10"/>
  <c r="C133" i="10"/>
  <c r="G132" i="10"/>
  <c r="F132" i="10"/>
  <c r="E132" i="10"/>
  <c r="D132" i="10"/>
  <c r="C132" i="10"/>
  <c r="G131" i="10"/>
  <c r="F131" i="10"/>
  <c r="E131" i="10"/>
  <c r="D131" i="10"/>
  <c r="C131" i="10"/>
  <c r="G130" i="10"/>
  <c r="F130" i="10"/>
  <c r="E130" i="10"/>
  <c r="D130" i="10"/>
  <c r="C130" i="10"/>
  <c r="F97" i="10"/>
  <c r="E97" i="10"/>
  <c r="D97" i="10"/>
  <c r="C97" i="10"/>
  <c r="F96" i="10"/>
  <c r="E96" i="10"/>
  <c r="D96" i="10"/>
  <c r="C96" i="10"/>
  <c r="F95" i="10"/>
  <c r="E95" i="10"/>
  <c r="D95" i="10"/>
  <c r="C95" i="10"/>
  <c r="F94" i="10"/>
  <c r="E94" i="10"/>
  <c r="D94" i="10"/>
  <c r="C94" i="10"/>
  <c r="F93" i="10"/>
  <c r="E93" i="10"/>
  <c r="D93" i="10"/>
  <c r="C93" i="10"/>
  <c r="G87" i="10"/>
  <c r="F87" i="10"/>
  <c r="E87" i="10"/>
  <c r="D87" i="10"/>
  <c r="C87" i="10"/>
  <c r="G86" i="10"/>
  <c r="F86" i="10"/>
  <c r="E86" i="10"/>
  <c r="D86" i="10"/>
  <c r="C86" i="10"/>
  <c r="G85" i="10"/>
  <c r="F85" i="10"/>
  <c r="E85" i="10"/>
  <c r="D85" i="10"/>
  <c r="C85" i="10"/>
  <c r="G84" i="10"/>
  <c r="F84" i="10"/>
  <c r="E84" i="10"/>
  <c r="D84" i="10"/>
  <c r="C84" i="10"/>
  <c r="H67" i="10"/>
  <c r="G67" i="10"/>
  <c r="F67" i="10"/>
  <c r="E67" i="10"/>
  <c r="D67" i="10"/>
  <c r="C67" i="10"/>
  <c r="H66" i="10"/>
  <c r="G66" i="10"/>
  <c r="F66" i="10"/>
  <c r="E66" i="10"/>
  <c r="D66" i="10"/>
  <c r="C66" i="10"/>
  <c r="H65" i="10"/>
  <c r="G65" i="10"/>
  <c r="F65" i="10"/>
  <c r="E65" i="10"/>
  <c r="D65" i="10"/>
  <c r="C65" i="10"/>
  <c r="H64" i="10"/>
  <c r="G64" i="10"/>
  <c r="F64" i="10"/>
  <c r="E64" i="10"/>
  <c r="D64" i="10"/>
  <c r="C64" i="10"/>
  <c r="H63" i="10"/>
  <c r="G63" i="10"/>
  <c r="F63" i="10"/>
  <c r="E63" i="10"/>
  <c r="D63" i="10"/>
  <c r="C63" i="10"/>
  <c r="H62" i="10"/>
  <c r="G62" i="10"/>
  <c r="F62" i="10"/>
  <c r="E62" i="10"/>
  <c r="D62" i="10"/>
  <c r="C62" i="10"/>
  <c r="H56" i="10"/>
  <c r="G56" i="10"/>
  <c r="F56" i="10"/>
  <c r="E56" i="10"/>
  <c r="D56" i="10"/>
  <c r="C56" i="10"/>
  <c r="H55" i="10"/>
  <c r="G55" i="10"/>
  <c r="F55" i="10"/>
  <c r="E55" i="10"/>
  <c r="D55" i="10"/>
  <c r="C55" i="10"/>
  <c r="H54" i="10"/>
  <c r="G54" i="10"/>
  <c r="F54" i="10"/>
  <c r="E54" i="10"/>
  <c r="D54" i="10"/>
  <c r="C54" i="10"/>
  <c r="H53" i="10"/>
  <c r="G53" i="10"/>
  <c r="F53" i="10"/>
  <c r="E53" i="10"/>
  <c r="D53" i="10"/>
  <c r="C53" i="10"/>
  <c r="H52" i="10"/>
  <c r="G52" i="10"/>
  <c r="F52" i="10"/>
  <c r="E52" i="10"/>
  <c r="D52" i="10"/>
  <c r="C52" i="10"/>
  <c r="H51" i="10"/>
  <c r="G51" i="10"/>
  <c r="F51" i="10"/>
  <c r="E51" i="10"/>
  <c r="D51" i="10"/>
  <c r="C51" i="10"/>
  <c r="H30" i="10"/>
  <c r="G30" i="10"/>
  <c r="F30" i="10"/>
  <c r="E30" i="10"/>
  <c r="D30" i="10"/>
  <c r="C30" i="10"/>
  <c r="H29" i="10"/>
  <c r="G29" i="10"/>
  <c r="F29" i="10"/>
  <c r="E29" i="10"/>
  <c r="D29" i="10"/>
  <c r="C29" i="10"/>
  <c r="H28" i="10"/>
  <c r="G28" i="10"/>
  <c r="F28" i="10"/>
  <c r="E28" i="10"/>
  <c r="D28" i="10"/>
  <c r="C28" i="10"/>
  <c r="H27" i="10"/>
  <c r="G27" i="10"/>
  <c r="F27" i="10"/>
  <c r="E27" i="10"/>
  <c r="D27" i="10"/>
  <c r="C27" i="10"/>
  <c r="H26" i="10"/>
  <c r="G26" i="10"/>
  <c r="F26" i="10"/>
  <c r="E26" i="10"/>
  <c r="D26" i="10"/>
  <c r="C26" i="10"/>
  <c r="G20" i="10"/>
  <c r="F20" i="10"/>
  <c r="E20" i="10"/>
  <c r="D20" i="10"/>
  <c r="C20" i="10"/>
  <c r="G19" i="10"/>
  <c r="F19" i="10"/>
  <c r="E19" i="10"/>
  <c r="D19" i="10"/>
  <c r="C19" i="10"/>
  <c r="G18" i="10"/>
  <c r="F18" i="10"/>
  <c r="E18" i="10"/>
  <c r="D18" i="10"/>
  <c r="C18" i="10"/>
  <c r="G17" i="10"/>
  <c r="F17" i="10"/>
  <c r="E17" i="10"/>
  <c r="D17" i="10"/>
  <c r="C17" i="10"/>
  <c r="G16" i="10"/>
  <c r="F16" i="10"/>
  <c r="E16" i="10"/>
  <c r="D16" i="10"/>
  <c r="C16" i="10"/>
  <c r="G15" i="10"/>
  <c r="F15" i="10"/>
  <c r="E15" i="10"/>
  <c r="D15" i="10"/>
  <c r="C15" i="10"/>
  <c r="E156" i="9"/>
  <c r="D156" i="9"/>
  <c r="C156" i="9"/>
  <c r="E155" i="9"/>
  <c r="D155" i="9"/>
  <c r="C155" i="9"/>
  <c r="E154" i="9"/>
  <c r="D154" i="9"/>
  <c r="C154" i="9"/>
  <c r="E153" i="9"/>
  <c r="D153" i="9"/>
  <c r="C153" i="9"/>
  <c r="D143" i="9"/>
  <c r="C143" i="9"/>
  <c r="D142" i="9"/>
  <c r="C142" i="9"/>
  <c r="D141" i="9"/>
  <c r="C141" i="9"/>
  <c r="B139" i="9"/>
  <c r="E129" i="9"/>
  <c r="D129" i="9"/>
  <c r="C129" i="9"/>
  <c r="E128" i="9"/>
  <c r="D128" i="9"/>
  <c r="C128" i="9"/>
  <c r="E127" i="9"/>
  <c r="D127" i="9"/>
  <c r="C127" i="9"/>
  <c r="E126" i="9"/>
  <c r="D126" i="9"/>
  <c r="C126" i="9"/>
  <c r="D116" i="9"/>
  <c r="C116" i="9"/>
  <c r="D115" i="9"/>
  <c r="C115" i="9"/>
  <c r="D114" i="9"/>
  <c r="C114" i="9"/>
  <c r="B112" i="9"/>
  <c r="E87" i="9"/>
  <c r="D87" i="9"/>
  <c r="C87" i="9"/>
  <c r="E86" i="9"/>
  <c r="D86" i="9"/>
  <c r="C86" i="9"/>
  <c r="E85" i="9"/>
  <c r="D85" i="9"/>
  <c r="C85" i="9"/>
  <c r="E84" i="9"/>
  <c r="D84" i="9"/>
  <c r="C84" i="9"/>
  <c r="E83" i="9"/>
  <c r="D83" i="9"/>
  <c r="C83" i="9"/>
  <c r="E82" i="9"/>
  <c r="D82" i="9"/>
  <c r="C82" i="9"/>
  <c r="E81" i="9"/>
  <c r="D81" i="9"/>
  <c r="C81" i="9"/>
  <c r="E80" i="9"/>
  <c r="D80" i="9"/>
  <c r="C80" i="9"/>
  <c r="E79" i="9"/>
  <c r="D79" i="9"/>
  <c r="C79" i="9"/>
  <c r="E78" i="9"/>
  <c r="D78" i="9"/>
  <c r="C78" i="9"/>
  <c r="E77" i="9"/>
  <c r="D77" i="9"/>
  <c r="C77" i="9"/>
  <c r="E76" i="9"/>
  <c r="D76" i="9"/>
  <c r="C76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B55" i="9"/>
  <c r="F45" i="9"/>
  <c r="E45" i="9"/>
  <c r="D45" i="9"/>
  <c r="C45" i="9"/>
  <c r="F44" i="9"/>
  <c r="E44" i="9"/>
  <c r="D44" i="9"/>
  <c r="C44" i="9"/>
  <c r="F43" i="9"/>
  <c r="E43" i="9"/>
  <c r="D43" i="9"/>
  <c r="C43" i="9"/>
  <c r="F42" i="9"/>
  <c r="E42" i="9"/>
  <c r="D42" i="9"/>
  <c r="C42" i="9"/>
  <c r="D34" i="9"/>
  <c r="C34" i="9"/>
  <c r="D33" i="9"/>
  <c r="C33" i="9"/>
  <c r="D32" i="9"/>
  <c r="C32" i="9"/>
  <c r="D31" i="9"/>
  <c r="C31" i="9"/>
  <c r="B29" i="9"/>
  <c r="F19" i="9"/>
  <c r="E19" i="9"/>
  <c r="D19" i="9"/>
  <c r="C19" i="9"/>
  <c r="F18" i="9"/>
  <c r="E18" i="9"/>
  <c r="D18" i="9"/>
  <c r="C18" i="9"/>
  <c r="F17" i="9"/>
  <c r="E17" i="9"/>
  <c r="D17" i="9"/>
  <c r="C17" i="9"/>
  <c r="F16" i="9"/>
  <c r="E16" i="9"/>
  <c r="D16" i="9"/>
  <c r="C16" i="9"/>
  <c r="D8" i="9"/>
  <c r="C8" i="9"/>
  <c r="D7" i="9"/>
  <c r="C7" i="9"/>
  <c r="D6" i="9"/>
  <c r="C6" i="9"/>
  <c r="D5" i="9"/>
  <c r="C5" i="9"/>
  <c r="B3" i="9"/>
  <c r="E324" i="8"/>
  <c r="D324" i="8"/>
  <c r="C324" i="8"/>
  <c r="E323" i="8"/>
  <c r="D323" i="8"/>
  <c r="C323" i="8"/>
  <c r="E322" i="8"/>
  <c r="D322" i="8"/>
  <c r="C322" i="8"/>
  <c r="E321" i="8"/>
  <c r="D321" i="8"/>
  <c r="C321" i="8"/>
  <c r="D311" i="8"/>
  <c r="C311" i="8"/>
  <c r="D310" i="8"/>
  <c r="C310" i="8"/>
  <c r="D309" i="8"/>
  <c r="C309" i="8"/>
  <c r="B307" i="8"/>
  <c r="E297" i="8"/>
  <c r="D297" i="8"/>
  <c r="C297" i="8"/>
  <c r="E296" i="8"/>
  <c r="D296" i="8"/>
  <c r="C296" i="8"/>
  <c r="E295" i="8"/>
  <c r="D295" i="8"/>
  <c r="C295" i="8"/>
  <c r="E294" i="8"/>
  <c r="D294" i="8"/>
  <c r="C294" i="8"/>
  <c r="D284" i="8"/>
  <c r="C284" i="8"/>
  <c r="D283" i="8"/>
  <c r="C283" i="8"/>
  <c r="D282" i="8"/>
  <c r="C282" i="8"/>
  <c r="B280" i="8"/>
  <c r="E261" i="8"/>
  <c r="D261" i="8"/>
  <c r="C261" i="8"/>
  <c r="E260" i="8"/>
  <c r="D260" i="8"/>
  <c r="C260" i="8"/>
  <c r="E259" i="8"/>
  <c r="D259" i="8"/>
  <c r="C259" i="8"/>
  <c r="E258" i="8"/>
  <c r="D258" i="8"/>
  <c r="C258" i="8"/>
  <c r="E257" i="8"/>
  <c r="D257" i="8"/>
  <c r="C257" i="8"/>
  <c r="E256" i="8"/>
  <c r="D256" i="8"/>
  <c r="C256" i="8"/>
  <c r="E255" i="8"/>
  <c r="D255" i="8"/>
  <c r="C255" i="8"/>
  <c r="E254" i="8"/>
  <c r="D254" i="8"/>
  <c r="C254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B238" i="8"/>
  <c r="F231" i="8"/>
  <c r="E231" i="8"/>
  <c r="D231" i="8"/>
  <c r="C231" i="8"/>
  <c r="F230" i="8"/>
  <c r="E230" i="8"/>
  <c r="D230" i="8"/>
  <c r="C230" i="8"/>
  <c r="F229" i="8"/>
  <c r="E229" i="8"/>
  <c r="D229" i="8"/>
  <c r="C229" i="8"/>
  <c r="F228" i="8"/>
  <c r="E228" i="8"/>
  <c r="D228" i="8"/>
  <c r="C228" i="8"/>
  <c r="D221" i="8"/>
  <c r="C221" i="8"/>
  <c r="D220" i="8"/>
  <c r="C220" i="8"/>
  <c r="D219" i="8"/>
  <c r="C219" i="8"/>
  <c r="D218" i="8"/>
  <c r="C218" i="8"/>
  <c r="B216" i="8"/>
  <c r="E195" i="8"/>
  <c r="D195" i="8"/>
  <c r="C195" i="8"/>
  <c r="E194" i="8"/>
  <c r="D194" i="8"/>
  <c r="C194" i="8"/>
  <c r="E193" i="8"/>
  <c r="D193" i="8"/>
  <c r="C193" i="8"/>
  <c r="E192" i="8"/>
  <c r="D192" i="8"/>
  <c r="C192" i="8"/>
  <c r="E191" i="8"/>
  <c r="D191" i="8"/>
  <c r="C191" i="8"/>
  <c r="E190" i="8"/>
  <c r="D190" i="8"/>
  <c r="C190" i="8"/>
  <c r="E189" i="8"/>
  <c r="D189" i="8"/>
  <c r="C189" i="8"/>
  <c r="E188" i="8"/>
  <c r="D188" i="8"/>
  <c r="C188" i="8"/>
  <c r="E187" i="8"/>
  <c r="D187" i="8"/>
  <c r="C187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B170" i="8"/>
  <c r="F160" i="8"/>
  <c r="E160" i="8"/>
  <c r="D160" i="8"/>
  <c r="C160" i="8"/>
  <c r="F159" i="8"/>
  <c r="E159" i="8"/>
  <c r="D159" i="8"/>
  <c r="C159" i="8"/>
  <c r="F158" i="8"/>
  <c r="E158" i="8"/>
  <c r="D158" i="8"/>
  <c r="C158" i="8"/>
  <c r="F157" i="8"/>
  <c r="E157" i="8"/>
  <c r="D157" i="8"/>
  <c r="C157" i="8"/>
  <c r="D149" i="8"/>
  <c r="C149" i="8"/>
  <c r="D148" i="8"/>
  <c r="C148" i="8"/>
  <c r="D147" i="8"/>
  <c r="C147" i="8"/>
  <c r="D146" i="8"/>
  <c r="C146" i="8"/>
  <c r="B144" i="8"/>
  <c r="E113" i="8"/>
  <c r="D113" i="8"/>
  <c r="C113" i="8"/>
  <c r="E112" i="8"/>
  <c r="D112" i="8"/>
  <c r="C112" i="8"/>
  <c r="E111" i="8"/>
  <c r="D111" i="8"/>
  <c r="C111" i="8"/>
  <c r="E110" i="8"/>
  <c r="D110" i="8"/>
  <c r="C110" i="8"/>
  <c r="E109" i="8"/>
  <c r="D109" i="8"/>
  <c r="C109" i="8"/>
  <c r="E108" i="8"/>
  <c r="D108" i="8"/>
  <c r="C108" i="8"/>
  <c r="E107" i="8"/>
  <c r="D107" i="8"/>
  <c r="C107" i="8"/>
  <c r="E106" i="8"/>
  <c r="D106" i="8"/>
  <c r="C106" i="8"/>
  <c r="E105" i="8"/>
  <c r="D105" i="8"/>
  <c r="C105" i="8"/>
  <c r="E104" i="8"/>
  <c r="D104" i="8"/>
  <c r="C104" i="8"/>
  <c r="E103" i="8"/>
  <c r="D103" i="8"/>
  <c r="C103" i="8"/>
  <c r="E102" i="8"/>
  <c r="D102" i="8"/>
  <c r="C102" i="8"/>
  <c r="E101" i="8"/>
  <c r="D101" i="8"/>
  <c r="C101" i="8"/>
  <c r="E100" i="8"/>
  <c r="D100" i="8"/>
  <c r="C100" i="8"/>
  <c r="E99" i="8"/>
  <c r="D99" i="8"/>
  <c r="C99" i="8"/>
  <c r="E98" i="8"/>
  <c r="D98" i="8"/>
  <c r="C98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B74" i="8"/>
  <c r="E42" i="8"/>
  <c r="D42" i="8"/>
  <c r="C42" i="8"/>
  <c r="E41" i="8"/>
  <c r="D41" i="8"/>
  <c r="C41" i="8"/>
  <c r="E40" i="8"/>
  <c r="D40" i="8"/>
  <c r="C40" i="8"/>
  <c r="E39" i="8"/>
  <c r="D39" i="8"/>
  <c r="C39" i="8"/>
  <c r="E38" i="8"/>
  <c r="D38" i="8"/>
  <c r="C38" i="8"/>
  <c r="E37" i="8"/>
  <c r="D37" i="8"/>
  <c r="C37" i="8"/>
  <c r="E36" i="8"/>
  <c r="D36" i="8"/>
  <c r="C36" i="8"/>
  <c r="E35" i="8"/>
  <c r="D35" i="8"/>
  <c r="C35" i="8"/>
  <c r="E34" i="8"/>
  <c r="D34" i="8"/>
  <c r="C34" i="8"/>
  <c r="E33" i="8"/>
  <c r="D33" i="8"/>
  <c r="C33" i="8"/>
  <c r="E32" i="8"/>
  <c r="D32" i="8"/>
  <c r="C32" i="8"/>
  <c r="E31" i="8"/>
  <c r="D31" i="8"/>
  <c r="C31" i="8"/>
  <c r="E30" i="8"/>
  <c r="D30" i="8"/>
  <c r="C30" i="8"/>
  <c r="E29" i="8"/>
  <c r="D29" i="8"/>
  <c r="C29" i="8"/>
  <c r="E28" i="8"/>
  <c r="D28" i="8"/>
  <c r="C28" i="8"/>
  <c r="E27" i="8"/>
  <c r="D27" i="8"/>
  <c r="C27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B3" i="8"/>
  <c r="H170" i="7"/>
  <c r="G170" i="7"/>
  <c r="F170" i="7"/>
  <c r="E170" i="7"/>
  <c r="D170" i="7"/>
  <c r="C170" i="7"/>
  <c r="H169" i="7"/>
  <c r="G169" i="7"/>
  <c r="F169" i="7"/>
  <c r="E169" i="7"/>
  <c r="D169" i="7"/>
  <c r="C169" i="7"/>
  <c r="H168" i="7"/>
  <c r="G168" i="7"/>
  <c r="F168" i="7"/>
  <c r="E168" i="7"/>
  <c r="D168" i="7"/>
  <c r="C168" i="7"/>
  <c r="H167" i="7"/>
  <c r="G167" i="7"/>
  <c r="F167" i="7"/>
  <c r="E167" i="7"/>
  <c r="D167" i="7"/>
  <c r="C167" i="7"/>
  <c r="H166" i="7"/>
  <c r="G166" i="7"/>
  <c r="F166" i="7"/>
  <c r="E166" i="7"/>
  <c r="D166" i="7"/>
  <c r="C166" i="7"/>
  <c r="H165" i="7"/>
  <c r="G165" i="7"/>
  <c r="F165" i="7"/>
  <c r="E165" i="7"/>
  <c r="D165" i="7"/>
  <c r="C165" i="7"/>
  <c r="H164" i="7"/>
  <c r="G164" i="7"/>
  <c r="F164" i="7"/>
  <c r="E164" i="7"/>
  <c r="D164" i="7"/>
  <c r="C164" i="7"/>
  <c r="H163" i="7"/>
  <c r="G163" i="7"/>
  <c r="F163" i="7"/>
  <c r="E163" i="7"/>
  <c r="D163" i="7"/>
  <c r="C163" i="7"/>
  <c r="H162" i="7"/>
  <c r="G162" i="7"/>
  <c r="F162" i="7"/>
  <c r="E162" i="7"/>
  <c r="D162" i="7"/>
  <c r="C162" i="7"/>
  <c r="H161" i="7"/>
  <c r="G161" i="7"/>
  <c r="F161" i="7"/>
  <c r="E161" i="7"/>
  <c r="D161" i="7"/>
  <c r="C161" i="7"/>
  <c r="H160" i="7"/>
  <c r="G160" i="7"/>
  <c r="F160" i="7"/>
  <c r="E160" i="7"/>
  <c r="D160" i="7"/>
  <c r="C160" i="7"/>
  <c r="H159" i="7"/>
  <c r="G159" i="7"/>
  <c r="F159" i="7"/>
  <c r="E159" i="7"/>
  <c r="D159" i="7"/>
  <c r="C159" i="7"/>
  <c r="H158" i="7"/>
  <c r="G158" i="7"/>
  <c r="F158" i="7"/>
  <c r="E158" i="7"/>
  <c r="D158" i="7"/>
  <c r="C158" i="7"/>
  <c r="H157" i="7"/>
  <c r="G157" i="7"/>
  <c r="F157" i="7"/>
  <c r="E157" i="7"/>
  <c r="D157" i="7"/>
  <c r="C157" i="7"/>
  <c r="H156" i="7"/>
  <c r="G156" i="7"/>
  <c r="F156" i="7"/>
  <c r="E156" i="7"/>
  <c r="D156" i="7"/>
  <c r="C156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E101" i="7"/>
  <c r="D101" i="7"/>
  <c r="C101" i="7"/>
  <c r="E100" i="7"/>
  <c r="D100" i="7"/>
  <c r="C100" i="7"/>
  <c r="E99" i="7"/>
  <c r="D99" i="7"/>
  <c r="C99" i="7"/>
  <c r="E98" i="7"/>
  <c r="D98" i="7"/>
  <c r="C98" i="7"/>
  <c r="E97" i="7"/>
  <c r="D97" i="7"/>
  <c r="C97" i="7"/>
  <c r="E96" i="7"/>
  <c r="D96" i="7"/>
  <c r="C96" i="7"/>
  <c r="E95" i="7"/>
  <c r="D95" i="7"/>
  <c r="C95" i="7"/>
  <c r="E94" i="7"/>
  <c r="D94" i="7"/>
  <c r="C94" i="7"/>
  <c r="E93" i="7"/>
  <c r="D93" i="7"/>
  <c r="C93" i="7"/>
  <c r="E92" i="7"/>
  <c r="D92" i="7"/>
  <c r="C92" i="7"/>
  <c r="E91" i="7"/>
  <c r="D91" i="7"/>
  <c r="C91" i="7"/>
  <c r="E90" i="7"/>
  <c r="D90" i="7"/>
  <c r="C90" i="7"/>
  <c r="E89" i="7"/>
  <c r="D89" i="7"/>
  <c r="C89" i="7"/>
  <c r="E88" i="7"/>
  <c r="D88" i="7"/>
  <c r="C88" i="7"/>
  <c r="E87" i="7"/>
  <c r="D87" i="7"/>
  <c r="C87" i="7"/>
  <c r="J76" i="7"/>
  <c r="I76" i="7"/>
  <c r="H76" i="7"/>
  <c r="G76" i="7"/>
  <c r="F76" i="7"/>
  <c r="E76" i="7"/>
  <c r="D76" i="7"/>
  <c r="C76" i="7"/>
  <c r="J75" i="7"/>
  <c r="I75" i="7"/>
  <c r="H75" i="7"/>
  <c r="G75" i="7"/>
  <c r="F75" i="7"/>
  <c r="E75" i="7"/>
  <c r="D75" i="7"/>
  <c r="C75" i="7"/>
  <c r="J74" i="7"/>
  <c r="I74" i="7"/>
  <c r="H74" i="7"/>
  <c r="G74" i="7"/>
  <c r="F74" i="7"/>
  <c r="E74" i="7"/>
  <c r="D74" i="7"/>
  <c r="C74" i="7"/>
  <c r="J73" i="7"/>
  <c r="I73" i="7"/>
  <c r="H73" i="7"/>
  <c r="G73" i="7"/>
  <c r="F73" i="7"/>
  <c r="E73" i="7"/>
  <c r="D73" i="7"/>
  <c r="C73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B57" i="7"/>
  <c r="E48" i="7"/>
  <c r="D48" i="7"/>
  <c r="C48" i="7"/>
  <c r="E47" i="7"/>
  <c r="D47" i="7"/>
  <c r="C47" i="7"/>
  <c r="E46" i="7"/>
  <c r="D46" i="7"/>
  <c r="C46" i="7"/>
  <c r="E45" i="7"/>
  <c r="D45" i="7"/>
  <c r="C45" i="7"/>
  <c r="D35" i="7"/>
  <c r="C35" i="7"/>
  <c r="D34" i="7"/>
  <c r="C34" i="7"/>
  <c r="D33" i="7"/>
  <c r="C33" i="7"/>
  <c r="B31" i="7"/>
  <c r="J22" i="7"/>
  <c r="I22" i="7"/>
  <c r="H22" i="7"/>
  <c r="G22" i="7"/>
  <c r="F22" i="7"/>
  <c r="E22" i="7"/>
  <c r="D22" i="7"/>
  <c r="C22" i="7"/>
  <c r="J21" i="7"/>
  <c r="I21" i="7"/>
  <c r="H21" i="7"/>
  <c r="G21" i="7"/>
  <c r="F21" i="7"/>
  <c r="E21" i="7"/>
  <c r="D21" i="7"/>
  <c r="C21" i="7"/>
  <c r="J20" i="7"/>
  <c r="I20" i="7"/>
  <c r="H20" i="7"/>
  <c r="G20" i="7"/>
  <c r="F20" i="7"/>
  <c r="E20" i="7"/>
  <c r="D20" i="7"/>
  <c r="C20" i="7"/>
  <c r="J19" i="7"/>
  <c r="I19" i="7"/>
  <c r="H19" i="7"/>
  <c r="G19" i="7"/>
  <c r="F19" i="7"/>
  <c r="E19" i="7"/>
  <c r="D19" i="7"/>
  <c r="C19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B3" i="7"/>
  <c r="E153" i="6"/>
  <c r="D153" i="6"/>
  <c r="C153" i="6"/>
  <c r="E152" i="6"/>
  <c r="D152" i="6"/>
  <c r="C152" i="6"/>
  <c r="E151" i="6"/>
  <c r="D151" i="6"/>
  <c r="C151" i="6"/>
  <c r="E150" i="6"/>
  <c r="D150" i="6"/>
  <c r="C150" i="6"/>
  <c r="E149" i="6"/>
  <c r="D149" i="6"/>
  <c r="C149" i="6"/>
  <c r="E148" i="6"/>
  <c r="D148" i="6"/>
  <c r="C148" i="6"/>
  <c r="E147" i="6"/>
  <c r="D147" i="6"/>
  <c r="C147" i="6"/>
  <c r="E146" i="6"/>
  <c r="D146" i="6"/>
  <c r="C146" i="6"/>
  <c r="E145" i="6"/>
  <c r="D145" i="6"/>
  <c r="C145" i="6"/>
  <c r="E144" i="6"/>
  <c r="D144" i="6"/>
  <c r="C144" i="6"/>
  <c r="E143" i="6"/>
  <c r="D143" i="6"/>
  <c r="C143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B124" i="6"/>
  <c r="F117" i="6"/>
  <c r="E117" i="6"/>
  <c r="D117" i="6"/>
  <c r="C117" i="6"/>
  <c r="F116" i="6"/>
  <c r="E116" i="6"/>
  <c r="D116" i="6"/>
  <c r="C116" i="6"/>
  <c r="F115" i="6"/>
  <c r="E115" i="6"/>
  <c r="D115" i="6"/>
  <c r="C115" i="6"/>
  <c r="F114" i="6"/>
  <c r="E114" i="6"/>
  <c r="D114" i="6"/>
  <c r="C114" i="6"/>
  <c r="D107" i="6"/>
  <c r="C107" i="6"/>
  <c r="D106" i="6"/>
  <c r="C106" i="6"/>
  <c r="D105" i="6"/>
  <c r="C105" i="6"/>
  <c r="D104" i="6"/>
  <c r="C104" i="6"/>
  <c r="B102" i="6"/>
  <c r="F94" i="6"/>
  <c r="E94" i="6"/>
  <c r="D94" i="6"/>
  <c r="C94" i="6"/>
  <c r="F93" i="6"/>
  <c r="E93" i="6"/>
  <c r="D93" i="6"/>
  <c r="C93" i="6"/>
  <c r="F92" i="6"/>
  <c r="E92" i="6"/>
  <c r="D92" i="6"/>
  <c r="C92" i="6"/>
  <c r="F91" i="6"/>
  <c r="E91" i="6"/>
  <c r="D91" i="6"/>
  <c r="C91" i="6"/>
  <c r="D83" i="6"/>
  <c r="C83" i="6"/>
  <c r="D82" i="6"/>
  <c r="C82" i="6"/>
  <c r="D81" i="6"/>
  <c r="C81" i="6"/>
  <c r="D80" i="6"/>
  <c r="C80" i="6"/>
  <c r="B78" i="6"/>
  <c r="H72" i="6"/>
  <c r="G72" i="6"/>
  <c r="F72" i="6"/>
  <c r="E72" i="6"/>
  <c r="D72" i="6"/>
  <c r="C72" i="6"/>
  <c r="H71" i="6"/>
  <c r="G71" i="6"/>
  <c r="F71" i="6"/>
  <c r="E71" i="6"/>
  <c r="D71" i="6"/>
  <c r="C71" i="6"/>
  <c r="H70" i="6"/>
  <c r="G70" i="6"/>
  <c r="F70" i="6"/>
  <c r="E70" i="6"/>
  <c r="D70" i="6"/>
  <c r="C70" i="6"/>
  <c r="H69" i="6"/>
  <c r="G69" i="6"/>
  <c r="F69" i="6"/>
  <c r="E69" i="6"/>
  <c r="D69" i="6"/>
  <c r="C69" i="6"/>
  <c r="D61" i="6"/>
  <c r="C61" i="6"/>
  <c r="D60" i="6"/>
  <c r="C60" i="6"/>
  <c r="D59" i="6"/>
  <c r="C59" i="6"/>
  <c r="D58" i="6"/>
  <c r="C58" i="6"/>
  <c r="D57" i="6"/>
  <c r="C57" i="6"/>
  <c r="D56" i="6"/>
  <c r="C56" i="6"/>
  <c r="B54" i="6"/>
  <c r="E32" i="6"/>
  <c r="D32" i="6"/>
  <c r="C32" i="6"/>
  <c r="E31" i="6"/>
  <c r="D31" i="6"/>
  <c r="C31" i="6"/>
  <c r="E30" i="6"/>
  <c r="D30" i="6"/>
  <c r="C30" i="6"/>
  <c r="E29" i="6"/>
  <c r="D29" i="6"/>
  <c r="C29" i="6"/>
  <c r="E28" i="6"/>
  <c r="D28" i="6"/>
  <c r="C28" i="6"/>
  <c r="E27" i="6"/>
  <c r="D27" i="6"/>
  <c r="C27" i="6"/>
  <c r="E26" i="6"/>
  <c r="D26" i="6"/>
  <c r="C26" i="6"/>
  <c r="E25" i="6"/>
  <c r="D25" i="6"/>
  <c r="C25" i="6"/>
  <c r="E24" i="6"/>
  <c r="D24" i="6"/>
  <c r="C24" i="6"/>
  <c r="E23" i="6"/>
  <c r="D23" i="6"/>
  <c r="C23" i="6"/>
  <c r="E22" i="6"/>
  <c r="D22" i="6"/>
  <c r="C22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B3" i="6"/>
  <c r="E220" i="5"/>
  <c r="D220" i="5"/>
  <c r="C220" i="5"/>
  <c r="E219" i="5"/>
  <c r="D219" i="5"/>
  <c r="C219" i="5"/>
  <c r="E218" i="5"/>
  <c r="D218" i="5"/>
  <c r="C218" i="5"/>
  <c r="E217" i="5"/>
  <c r="D217" i="5"/>
  <c r="C217" i="5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B187" i="5"/>
  <c r="E164" i="5"/>
  <c r="D164" i="5"/>
  <c r="C164" i="5"/>
  <c r="E163" i="5"/>
  <c r="D163" i="5"/>
  <c r="C163" i="5"/>
  <c r="E162" i="5"/>
  <c r="D162" i="5"/>
  <c r="C162" i="5"/>
  <c r="E161" i="5"/>
  <c r="D161" i="5"/>
  <c r="C161" i="5"/>
  <c r="E160" i="5"/>
  <c r="D160" i="5"/>
  <c r="C160" i="5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B137" i="5"/>
  <c r="I129" i="5"/>
  <c r="H129" i="5"/>
  <c r="G129" i="5"/>
  <c r="F129" i="5"/>
  <c r="E129" i="5"/>
  <c r="D129" i="5"/>
  <c r="C129" i="5"/>
  <c r="I128" i="5"/>
  <c r="H128" i="5"/>
  <c r="G128" i="5"/>
  <c r="F128" i="5"/>
  <c r="E128" i="5"/>
  <c r="D128" i="5"/>
  <c r="C128" i="5"/>
  <c r="I127" i="5"/>
  <c r="H127" i="5"/>
  <c r="G127" i="5"/>
  <c r="F127" i="5"/>
  <c r="E127" i="5"/>
  <c r="D127" i="5"/>
  <c r="C127" i="5"/>
  <c r="I126" i="5"/>
  <c r="H126" i="5"/>
  <c r="G126" i="5"/>
  <c r="F126" i="5"/>
  <c r="E126" i="5"/>
  <c r="D126" i="5"/>
  <c r="C126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B112" i="5"/>
  <c r="G103" i="5"/>
  <c r="F103" i="5"/>
  <c r="E103" i="5"/>
  <c r="D103" i="5"/>
  <c r="C103" i="5"/>
  <c r="G102" i="5"/>
  <c r="F102" i="5"/>
  <c r="E102" i="5"/>
  <c r="D102" i="5"/>
  <c r="C102" i="5"/>
  <c r="G101" i="5"/>
  <c r="F101" i="5"/>
  <c r="E101" i="5"/>
  <c r="D101" i="5"/>
  <c r="C101" i="5"/>
  <c r="G100" i="5"/>
  <c r="F100" i="5"/>
  <c r="E100" i="5"/>
  <c r="D100" i="5"/>
  <c r="C100" i="5"/>
  <c r="D93" i="5"/>
  <c r="C93" i="5"/>
  <c r="D92" i="5"/>
  <c r="C92" i="5"/>
  <c r="D91" i="5"/>
  <c r="C91" i="5"/>
  <c r="D90" i="5"/>
  <c r="C90" i="5"/>
  <c r="D89" i="5"/>
  <c r="C89" i="5"/>
  <c r="B87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B27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D10" i="5"/>
  <c r="C10" i="5"/>
  <c r="D9" i="5"/>
  <c r="C9" i="5"/>
  <c r="D8" i="5"/>
  <c r="C8" i="5"/>
  <c r="D7" i="5"/>
  <c r="C7" i="5"/>
  <c r="D6" i="5"/>
  <c r="C6" i="5"/>
  <c r="D5" i="5"/>
  <c r="C5" i="5"/>
  <c r="B3" i="5"/>
  <c r="E228" i="4"/>
  <c r="D228" i="4"/>
  <c r="C228" i="4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E221" i="4"/>
  <c r="D221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B196" i="4"/>
  <c r="E180" i="4"/>
  <c r="D180" i="4"/>
  <c r="C180" i="4"/>
  <c r="E179" i="4"/>
  <c r="D179" i="4"/>
  <c r="C179" i="4"/>
  <c r="E178" i="4"/>
  <c r="D178" i="4"/>
  <c r="C178" i="4"/>
  <c r="E177" i="4"/>
  <c r="D177" i="4"/>
  <c r="C177" i="4"/>
  <c r="E176" i="4"/>
  <c r="D176" i="4"/>
  <c r="C176" i="4"/>
  <c r="E175" i="4"/>
  <c r="D175" i="4"/>
  <c r="C175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B159" i="4"/>
  <c r="E149" i="4"/>
  <c r="D149" i="4"/>
  <c r="C149" i="4"/>
  <c r="E148" i="4"/>
  <c r="D148" i="4"/>
  <c r="C148" i="4"/>
  <c r="E147" i="4"/>
  <c r="D147" i="4"/>
  <c r="C147" i="4"/>
  <c r="E146" i="4"/>
  <c r="D146" i="4"/>
  <c r="C146" i="4"/>
  <c r="D136" i="4"/>
  <c r="C136" i="4"/>
  <c r="D135" i="4"/>
  <c r="C135" i="4"/>
  <c r="D134" i="4"/>
  <c r="C134" i="4"/>
  <c r="B132" i="4"/>
  <c r="E122" i="4"/>
  <c r="D122" i="4"/>
  <c r="C122" i="4"/>
  <c r="E121" i="4"/>
  <c r="D121" i="4"/>
  <c r="C121" i="4"/>
  <c r="E120" i="4"/>
  <c r="D120" i="4"/>
  <c r="C120" i="4"/>
  <c r="E119" i="4"/>
  <c r="D119" i="4"/>
  <c r="C119" i="4"/>
  <c r="D109" i="4"/>
  <c r="C109" i="4"/>
  <c r="D108" i="4"/>
  <c r="C108" i="4"/>
  <c r="D107" i="4"/>
  <c r="C107" i="4"/>
  <c r="B105" i="4"/>
  <c r="E96" i="4"/>
  <c r="D96" i="4"/>
  <c r="C96" i="4"/>
  <c r="E95" i="4"/>
  <c r="D95" i="4"/>
  <c r="C95" i="4"/>
  <c r="E94" i="4"/>
  <c r="D94" i="4"/>
  <c r="C94" i="4"/>
  <c r="E93" i="4"/>
  <c r="D93" i="4"/>
  <c r="C93" i="4"/>
  <c r="D83" i="4"/>
  <c r="C83" i="4"/>
  <c r="D82" i="4"/>
  <c r="C82" i="4"/>
  <c r="D81" i="4"/>
  <c r="C81" i="4"/>
  <c r="B79" i="4"/>
  <c r="E70" i="4"/>
  <c r="D70" i="4"/>
  <c r="C70" i="4"/>
  <c r="E69" i="4"/>
  <c r="D69" i="4"/>
  <c r="C69" i="4"/>
  <c r="E68" i="4"/>
  <c r="D68" i="4"/>
  <c r="C68" i="4"/>
  <c r="E67" i="4"/>
  <c r="D67" i="4"/>
  <c r="C67" i="4"/>
  <c r="D57" i="4"/>
  <c r="C57" i="4"/>
  <c r="D56" i="4"/>
  <c r="C56" i="4"/>
  <c r="D55" i="4"/>
  <c r="C55" i="4"/>
  <c r="B53" i="4"/>
  <c r="D48" i="4"/>
  <c r="C48" i="4"/>
  <c r="D47" i="4"/>
  <c r="C47" i="4"/>
  <c r="D46" i="4"/>
  <c r="C46" i="4"/>
  <c r="D45" i="4"/>
  <c r="C45" i="4"/>
  <c r="D44" i="4"/>
  <c r="C44" i="4"/>
  <c r="B42" i="4"/>
  <c r="D36" i="4"/>
  <c r="C36" i="4"/>
  <c r="D35" i="4"/>
  <c r="C35" i="4"/>
  <c r="D34" i="4"/>
  <c r="C34" i="4"/>
  <c r="D33" i="4"/>
  <c r="C33" i="4"/>
  <c r="B31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B17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B3" i="4"/>
  <c r="F286" i="3"/>
  <c r="E286" i="3"/>
  <c r="D286" i="3"/>
  <c r="C286" i="3"/>
  <c r="F285" i="3"/>
  <c r="E285" i="3"/>
  <c r="D285" i="3"/>
  <c r="C285" i="3"/>
  <c r="F284" i="3"/>
  <c r="E284" i="3"/>
  <c r="D284" i="3"/>
  <c r="C284" i="3"/>
  <c r="F283" i="3"/>
  <c r="E283" i="3"/>
  <c r="D283" i="3"/>
  <c r="C283" i="3"/>
  <c r="D275" i="3"/>
  <c r="C275" i="3"/>
  <c r="D274" i="3"/>
  <c r="C274" i="3"/>
  <c r="D273" i="3"/>
  <c r="C273" i="3"/>
  <c r="D272" i="3"/>
  <c r="C272" i="3"/>
  <c r="B270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D247" i="3"/>
  <c r="C247" i="3"/>
  <c r="D246" i="3"/>
  <c r="C246" i="3"/>
  <c r="D245" i="3"/>
  <c r="C245" i="3"/>
  <c r="B243" i="3"/>
  <c r="H233" i="3"/>
  <c r="G233" i="3"/>
  <c r="F233" i="3"/>
  <c r="E233" i="3"/>
  <c r="D233" i="3"/>
  <c r="C233" i="3"/>
  <c r="H232" i="3"/>
  <c r="G232" i="3"/>
  <c r="F232" i="3"/>
  <c r="E232" i="3"/>
  <c r="D232" i="3"/>
  <c r="C232" i="3"/>
  <c r="H231" i="3"/>
  <c r="G231" i="3"/>
  <c r="F231" i="3"/>
  <c r="E231" i="3"/>
  <c r="D231" i="3"/>
  <c r="C231" i="3"/>
  <c r="H230" i="3"/>
  <c r="G230" i="3"/>
  <c r="F230" i="3"/>
  <c r="E230" i="3"/>
  <c r="D230" i="3"/>
  <c r="C230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B217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B182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F136" i="3"/>
  <c r="E136" i="3"/>
  <c r="D136" i="3"/>
  <c r="C136" i="3"/>
  <c r="F135" i="3"/>
  <c r="E135" i="3"/>
  <c r="D135" i="3"/>
  <c r="C135" i="3"/>
  <c r="F134" i="3"/>
  <c r="E134" i="3"/>
  <c r="D134" i="3"/>
  <c r="C134" i="3"/>
  <c r="F133" i="3"/>
  <c r="E133" i="3"/>
  <c r="D133" i="3"/>
  <c r="C133" i="3"/>
  <c r="F132" i="3"/>
  <c r="E132" i="3"/>
  <c r="D132" i="3"/>
  <c r="C132" i="3"/>
  <c r="F131" i="3"/>
  <c r="E131" i="3"/>
  <c r="D131" i="3"/>
  <c r="C131" i="3"/>
  <c r="F130" i="3"/>
  <c r="E130" i="3"/>
  <c r="D130" i="3"/>
  <c r="C130" i="3"/>
  <c r="F129" i="3"/>
  <c r="E129" i="3"/>
  <c r="D129" i="3"/>
  <c r="C129" i="3"/>
  <c r="F128" i="3"/>
  <c r="E128" i="3"/>
  <c r="D128" i="3"/>
  <c r="C128" i="3"/>
  <c r="F127" i="3"/>
  <c r="E127" i="3"/>
  <c r="D127" i="3"/>
  <c r="C127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D97" i="3"/>
  <c r="C97" i="3"/>
  <c r="D96" i="3"/>
  <c r="C96" i="3"/>
  <c r="D95" i="3"/>
  <c r="C95" i="3"/>
  <c r="D94" i="3"/>
  <c r="C94" i="3"/>
  <c r="D93" i="3"/>
  <c r="C93" i="3"/>
  <c r="D92" i="3"/>
  <c r="C92" i="3"/>
  <c r="B90" i="3"/>
  <c r="I84" i="3"/>
  <c r="H84" i="3"/>
  <c r="G84" i="3"/>
  <c r="F84" i="3"/>
  <c r="E84" i="3"/>
  <c r="D84" i="3"/>
  <c r="C84" i="3"/>
  <c r="I83" i="3"/>
  <c r="H83" i="3"/>
  <c r="G83" i="3"/>
  <c r="F83" i="3"/>
  <c r="E83" i="3"/>
  <c r="D83" i="3"/>
  <c r="C83" i="3"/>
  <c r="I82" i="3"/>
  <c r="H82" i="3"/>
  <c r="G82" i="3"/>
  <c r="F82" i="3"/>
  <c r="E82" i="3"/>
  <c r="D82" i="3"/>
  <c r="C82" i="3"/>
  <c r="I81" i="3"/>
  <c r="H81" i="3"/>
  <c r="G81" i="3"/>
  <c r="F81" i="3"/>
  <c r="E81" i="3"/>
  <c r="D81" i="3"/>
  <c r="C81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B67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D48" i="3"/>
  <c r="C48" i="3"/>
  <c r="D47" i="3"/>
  <c r="C47" i="3"/>
  <c r="D46" i="3"/>
  <c r="C46" i="3"/>
  <c r="D45" i="3"/>
  <c r="C45" i="3"/>
  <c r="D44" i="3"/>
  <c r="C44" i="3"/>
  <c r="D43" i="3"/>
  <c r="C43" i="3"/>
  <c r="B41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D22" i="3"/>
  <c r="C22" i="3"/>
  <c r="D21" i="3"/>
  <c r="C21" i="3"/>
  <c r="D20" i="3"/>
  <c r="C20" i="3"/>
  <c r="D19" i="3"/>
  <c r="C19" i="3"/>
  <c r="D18" i="3"/>
  <c r="C18" i="3"/>
  <c r="B16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B3" i="3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G9" i="2"/>
  <c r="C9" i="2"/>
  <c r="G8" i="2"/>
  <c r="C8" i="2"/>
</calcChain>
</file>

<file path=xl/sharedStrings.xml><?xml version="1.0" encoding="utf-8"?>
<sst xmlns="http://schemas.openxmlformats.org/spreadsheetml/2006/main" count="7463" uniqueCount="1225">
  <si>
    <t>小野町　障がい福祉に関するアンケート調査　分析報告書　図表データ集（編集用）</t>
  </si>
  <si>
    <t>・このブックは、分析報告書に掲載した図表を、Excelで編集できる形式で収録したものです。図表番号は報告書と対応しています。</t>
  </si>
  <si>
    <t>・グラフはすべてExcelのグラフ機能で作成しています。色・フォント・ラベル・サイズ等を通常どおり編集でき、そのままWordに貼り付けて使用できます。</t>
  </si>
  <si>
    <t>・青字のセルが入力値（件数・回答者数）、黒字のセルは計算式です。「集計_障がい者」「集計_障がい児」シートの件数を修正すると、各章シートの表とグラフに自動で反映されます。</t>
  </si>
  <si>
    <t>・第4章のクロス集計は、各表の【件数】欄（青字）が入力値で、【割合】欄は計算式です。</t>
  </si>
  <si>
    <t>・第3章の【障がい別】の図表は、「集計_障がい別」シート（手帳の所持により身体・知的・精神に区分、重複所持は各区分に計上）の件数（青字）を参照しています。</t>
  </si>
  <si>
    <t>・割合は、各設問の回答者数（無回答を含む）を基数として算出し、表示上、小数点第2位を四捨五入しています。全ての設問に「無回答」を設けています。グラフの項目の並び順は、報告書作成時点の件数順で固定しています。</t>
  </si>
  <si>
    <t>・出典：小野町_障がい者__アンケート2026_統合.xlsx、小野町_障がい児_アンケート_2026_統合.xlsx（いずれもデータシート）。第6章・第7章は分析報告書（第1稿）の内容を引き継いでいます。</t>
  </si>
  <si>
    <t>図表番号</t>
  </si>
  <si>
    <t>タイトル</t>
  </si>
  <si>
    <t>収録シート</t>
  </si>
  <si>
    <t>移動</t>
  </si>
  <si>
    <t>表1-1</t>
  </si>
  <si>
    <t>調査の概要</t>
  </si>
  <si>
    <t>1-2章_概要・要点</t>
  </si>
  <si>
    <t>→ 表示</t>
  </si>
  <si>
    <t>表1-2</t>
  </si>
  <si>
    <t>調査項目の構成</t>
  </si>
  <si>
    <t>表2-1</t>
  </si>
  <si>
    <t>障がい者調査の主要指標</t>
  </si>
  <si>
    <t>図3-1</t>
  </si>
  <si>
    <t>調査票の回答者（問1）</t>
  </si>
  <si>
    <t>3章_1属性</t>
  </si>
  <si>
    <t>図3-2</t>
  </si>
  <si>
    <t>性別（問2）</t>
  </si>
  <si>
    <t>図3-3</t>
  </si>
  <si>
    <t>性別【障がい別】（問2）</t>
  </si>
  <si>
    <t>図3-4</t>
  </si>
  <si>
    <t>年齢（問3）</t>
  </si>
  <si>
    <t>図3-5</t>
  </si>
  <si>
    <t>年齢【障がい別】（問3）</t>
  </si>
  <si>
    <t>図3-6</t>
  </si>
  <si>
    <t>現在の暮らしの場（問4）</t>
  </si>
  <si>
    <t>図3-7</t>
  </si>
  <si>
    <t>現在の暮らしの場【障がい別】（問4）</t>
  </si>
  <si>
    <t>図3-8</t>
  </si>
  <si>
    <t>同居している家族（問4）</t>
  </si>
  <si>
    <t>図3-9</t>
  </si>
  <si>
    <t>同居している家族【障がい別】（問4）</t>
  </si>
  <si>
    <t>図3-10</t>
  </si>
  <si>
    <t>日常生活動作の状況（問5）</t>
  </si>
  <si>
    <t>図3-11</t>
  </si>
  <si>
    <t>介助が必要な割合【障がい別】（問5）</t>
  </si>
  <si>
    <t>図3-12</t>
  </si>
  <si>
    <t>主な介助者（問6）</t>
  </si>
  <si>
    <t>図3-13</t>
  </si>
  <si>
    <t>主な介助者【障がい別】（問6）</t>
  </si>
  <si>
    <t>図3-14</t>
  </si>
  <si>
    <t>主介助者の年齢（問7）</t>
  </si>
  <si>
    <t>図3-15</t>
  </si>
  <si>
    <t>主介助者の年齢【障がい別】（問7）</t>
  </si>
  <si>
    <t>図3-16</t>
  </si>
  <si>
    <t>主介助者の性別（問7）</t>
  </si>
  <si>
    <t>図3-17</t>
  </si>
  <si>
    <t>主介助者の性別【障がい別】（問7）</t>
  </si>
  <si>
    <t>図3-18</t>
  </si>
  <si>
    <t>主介助者の健康状態（問7）</t>
  </si>
  <si>
    <t>図3-19</t>
  </si>
  <si>
    <t>主介助者の健康状態【障がい別】（問7）</t>
  </si>
  <si>
    <t>図3-20</t>
  </si>
  <si>
    <t>身体障害者手帳の所持状況（問8）</t>
  </si>
  <si>
    <t>3章_2障がい・医療</t>
  </si>
  <si>
    <t>図3-21</t>
  </si>
  <si>
    <t>身体障害者手帳所持者の主な障がい（問9）</t>
  </si>
  <si>
    <t>図3-22</t>
  </si>
  <si>
    <t>療育手帳の所持状況（問10）</t>
  </si>
  <si>
    <t>図3-23</t>
  </si>
  <si>
    <t>精神障害者保健福祉手帳の所持状況（問11）</t>
  </si>
  <si>
    <t>図3-24</t>
  </si>
  <si>
    <t>特別児童扶養手当の受給状況（問12）</t>
  </si>
  <si>
    <t>図3-25</t>
  </si>
  <si>
    <t>特別児童扶養手当の受給状況【障がい別】（問12）</t>
  </si>
  <si>
    <t>図3-26</t>
  </si>
  <si>
    <t>難病（特定疾患）の認定状況（問13）</t>
  </si>
  <si>
    <t>図3-27</t>
  </si>
  <si>
    <t>難病（特定疾患）の認定状況【障がい別】（問13）</t>
  </si>
  <si>
    <t>図3-28</t>
  </si>
  <si>
    <t>発達障がいの診断（問14）</t>
  </si>
  <si>
    <t>図3-29</t>
  </si>
  <si>
    <t>発達障がいの診断【障がい別】（問14）</t>
  </si>
  <si>
    <t>図3-30</t>
  </si>
  <si>
    <t>高次脳機能障がいの診断（問15）</t>
  </si>
  <si>
    <t>図3-31</t>
  </si>
  <si>
    <t>高次脳機能障がいの診断【障がい別】（問15）</t>
  </si>
  <si>
    <t>図3-32</t>
  </si>
  <si>
    <t>高次脳機能障がいの関連障がい（問15）</t>
  </si>
  <si>
    <t>図3-33</t>
  </si>
  <si>
    <t>高次脳機能障がいの関連障がい【障がい別】（問15）</t>
  </si>
  <si>
    <t>図3-34</t>
  </si>
  <si>
    <t>現在受けている医療ケア（問16）</t>
  </si>
  <si>
    <t>図3-35</t>
  </si>
  <si>
    <t>現在受けている医療ケア【障がい別】（問16）</t>
  </si>
  <si>
    <t>図3-36</t>
  </si>
  <si>
    <t>将来の暮らし方（問17）</t>
  </si>
  <si>
    <t>3章_3暮らし・外出</t>
  </si>
  <si>
    <t>図3-37</t>
  </si>
  <si>
    <t>将来の暮らし方【障がい別】（問17）</t>
  </si>
  <si>
    <t>図3-38</t>
  </si>
  <si>
    <t>地域で生活するために必要な支援（問18）</t>
  </si>
  <si>
    <t>図3-39</t>
  </si>
  <si>
    <t>地域で生活するために必要な支援【障がい別】（問18）</t>
  </si>
  <si>
    <t>図3-40</t>
  </si>
  <si>
    <t>外出の頻度（問19）</t>
  </si>
  <si>
    <t>図3-41</t>
  </si>
  <si>
    <t>外出の頻度【障がい別】（問19）</t>
  </si>
  <si>
    <t>図3-42</t>
  </si>
  <si>
    <t>外出時の主な同伴者（問20）</t>
  </si>
  <si>
    <t>図3-43</t>
  </si>
  <si>
    <t>外出時の主な同伴者【障がい別】（問20）</t>
  </si>
  <si>
    <t>図3-44</t>
  </si>
  <si>
    <t>外出の目的（問21）</t>
  </si>
  <si>
    <t>図3-45</t>
  </si>
  <si>
    <t>外出の目的【障がい別】（問21）</t>
  </si>
  <si>
    <t>図3-46</t>
  </si>
  <si>
    <t>外出時に困ること（問22）</t>
  </si>
  <si>
    <t>図3-47</t>
  </si>
  <si>
    <t>外出時に困ること【障がい別】（問22）</t>
  </si>
  <si>
    <t>図3-48</t>
  </si>
  <si>
    <t>平日の日中の過ごし方（問23）</t>
  </si>
  <si>
    <t>3章_4日中・就労</t>
  </si>
  <si>
    <t>図3-49</t>
  </si>
  <si>
    <t>平日の日中の過ごし方【障がい別】（問23）</t>
  </si>
  <si>
    <t>図3-50</t>
  </si>
  <si>
    <t>業務形態（問24）</t>
  </si>
  <si>
    <t>図3-51</t>
  </si>
  <si>
    <t>業務形態【障がい別】（問24）</t>
  </si>
  <si>
    <t>図3-52</t>
  </si>
  <si>
    <t>収入を得る仕事への意向（問25）</t>
  </si>
  <si>
    <t>図3-53</t>
  </si>
  <si>
    <t>収入を得る仕事への意向【障がい別】（問25）</t>
  </si>
  <si>
    <t>図3-54</t>
  </si>
  <si>
    <t>職業訓練の受講意向（問26）</t>
  </si>
  <si>
    <t>図3-55</t>
  </si>
  <si>
    <t>職業訓練の受講意向【障がい別】（問26）</t>
  </si>
  <si>
    <t>図3-56</t>
  </si>
  <si>
    <t>障がい者の就労支援として必要なこと（問27）</t>
  </si>
  <si>
    <t>図3-57</t>
  </si>
  <si>
    <t>障がい者の就労支援として必要なこと【障がい別】（問27）</t>
  </si>
  <si>
    <t>図3-58</t>
  </si>
  <si>
    <t>障がい支援区分の認定状況（問28）</t>
  </si>
  <si>
    <t>3章_5サービス</t>
  </si>
  <si>
    <t>図3-59</t>
  </si>
  <si>
    <t>障がい支援区分の認定状況【障がい別】（問28）</t>
  </si>
  <si>
    <t>図3-60</t>
  </si>
  <si>
    <t>介護保険サービスの利用状況（問29）</t>
  </si>
  <si>
    <t>図3-61</t>
  </si>
  <si>
    <t>介護保険サービスの利用状況【障がい別】（問29）</t>
  </si>
  <si>
    <t>図3-62</t>
  </si>
  <si>
    <t>要介護度（問30）</t>
  </si>
  <si>
    <t>図3-63</t>
  </si>
  <si>
    <t>要介護度【障がい別】（問30）</t>
  </si>
  <si>
    <t>表3-1</t>
  </si>
  <si>
    <t>サービス別の現在の利用状況と今後の利用意向（問31）</t>
  </si>
  <si>
    <t>図3-64</t>
  </si>
  <si>
    <t>現在利用している障がい福祉サービス（問31）</t>
  </si>
  <si>
    <t>図3-65</t>
  </si>
  <si>
    <t>今後利用したい障がい福祉サービス（問31）</t>
  </si>
  <si>
    <t>表3-2</t>
  </si>
  <si>
    <t>サービス別の現在の利用状況と今後の利用意向【障がい別】（問31）</t>
  </si>
  <si>
    <t>図3-66</t>
  </si>
  <si>
    <t>悩みや困ったことの相談相手（問33）</t>
  </si>
  <si>
    <t>3章_6相談・権利</t>
  </si>
  <si>
    <t>図3-67</t>
  </si>
  <si>
    <t>悩みや困ったことの相談相手【障がい別】（問33）</t>
  </si>
  <si>
    <t>図3-68</t>
  </si>
  <si>
    <t>障がいや福祉サービスに関する情報の入手先（問34）</t>
  </si>
  <si>
    <t>図3-69</t>
  </si>
  <si>
    <t>障がいや福祉サービスに関する情報の入手先【障がい別】（問34）</t>
  </si>
  <si>
    <t>図3-70</t>
  </si>
  <si>
    <t>差別や嫌な思いをした経験（問35）</t>
  </si>
  <si>
    <t>図3-71</t>
  </si>
  <si>
    <t>差別や嫌な思いをした経験【障がい別】（問35）</t>
  </si>
  <si>
    <t>図3-72</t>
  </si>
  <si>
    <t>差別や嫌な思いをした場所（問36）</t>
  </si>
  <si>
    <t>図3-73</t>
  </si>
  <si>
    <t>差別や嫌な思いをした場所【障がい別】（問36）</t>
  </si>
  <si>
    <t>図3-74</t>
  </si>
  <si>
    <t>成年後見制度の認知（問37）</t>
  </si>
  <si>
    <t>図3-75</t>
  </si>
  <si>
    <t>成年後見制度の認知【障がい別】（問37）</t>
  </si>
  <si>
    <t>図3-76</t>
  </si>
  <si>
    <t>成年後見制度の窓口の認知（問38）</t>
  </si>
  <si>
    <t>図3-77</t>
  </si>
  <si>
    <t>成年後見制度の窓口の認知【障がい別】（問38）</t>
  </si>
  <si>
    <t>図3-78</t>
  </si>
  <si>
    <t>障害者虐待防止法の認知（問39）</t>
  </si>
  <si>
    <t>図3-79</t>
  </si>
  <si>
    <t>障害者虐待防止法の認知【障がい別】（問39）</t>
  </si>
  <si>
    <t>図3-80</t>
  </si>
  <si>
    <t>障害者差別解消法の認知（問40）</t>
  </si>
  <si>
    <t>図3-81</t>
  </si>
  <si>
    <t>障害者差別解消法の認知【障がい別】（問40）</t>
  </si>
  <si>
    <t>図3-82</t>
  </si>
  <si>
    <t>災害時に一人で避難できるか（問41）</t>
  </si>
  <si>
    <t>3章_7災害・意見</t>
  </si>
  <si>
    <t>図3-83</t>
  </si>
  <si>
    <t>災害時に一人で避難できるか【障がい別】（問41）</t>
  </si>
  <si>
    <t>図3-84</t>
  </si>
  <si>
    <t>近所で助けてくれる人の有無（問42）</t>
  </si>
  <si>
    <t>図3-85</t>
  </si>
  <si>
    <t>近所で助けてくれる人の有無【障がい別】（問42）</t>
  </si>
  <si>
    <t>図3-86</t>
  </si>
  <si>
    <t>災害時に困ること（問43）</t>
  </si>
  <si>
    <t>図3-87</t>
  </si>
  <si>
    <t>災害時に困ること【障がい別】（問43）</t>
  </si>
  <si>
    <t>図3-88</t>
  </si>
  <si>
    <t>避難行動要支援者の登録意向（問44）</t>
  </si>
  <si>
    <t>図3-89</t>
  </si>
  <si>
    <t>避難行動要支援者の登録意向【障がい別】（問44）</t>
  </si>
  <si>
    <t>図3-90</t>
  </si>
  <si>
    <t>個別避難計画の作成希望（問45）</t>
  </si>
  <si>
    <t>図3-91</t>
  </si>
  <si>
    <t>個別避難計画の作成希望【障がい別】（問45）</t>
  </si>
  <si>
    <t>表4-1</t>
  </si>
  <si>
    <t>年齢×将来の暮らし方（問3×問17）</t>
  </si>
  <si>
    <t>4章_クロス集計</t>
  </si>
  <si>
    <t>図4-1</t>
  </si>
  <si>
    <t>表4-2</t>
  </si>
  <si>
    <t>現在の暮らしの場×将来の暮らし方（問4×問17）</t>
  </si>
  <si>
    <t>図4-2</t>
  </si>
  <si>
    <t>表4-3</t>
  </si>
  <si>
    <t>年齢×災害時に一人で避難できるか（問3×問41）</t>
  </si>
  <si>
    <t>図4-3</t>
  </si>
  <si>
    <t>表4-4</t>
  </si>
  <si>
    <t>年齢×今後利用したいサービス（問3×問31）</t>
  </si>
  <si>
    <t>図4-4</t>
  </si>
  <si>
    <t>年齢別にみた今後利用したいサービス（上位6サービス）（問3×問31）</t>
  </si>
  <si>
    <t>図5-1</t>
  </si>
  <si>
    <t>5章_障がい児</t>
  </si>
  <si>
    <t>図5-2</t>
  </si>
  <si>
    <t>図5-3</t>
  </si>
  <si>
    <t>図5-4</t>
  </si>
  <si>
    <t>図5-5</t>
  </si>
  <si>
    <t>図5-6</t>
  </si>
  <si>
    <t>図5-7</t>
  </si>
  <si>
    <t>図5-8</t>
  </si>
  <si>
    <t>図5-9</t>
  </si>
  <si>
    <t>図5-10</t>
  </si>
  <si>
    <t>図5-11</t>
  </si>
  <si>
    <t>図5-12</t>
  </si>
  <si>
    <t>図5-13</t>
  </si>
  <si>
    <t>図5-14</t>
  </si>
  <si>
    <t>図5-15</t>
  </si>
  <si>
    <t>図5-16</t>
  </si>
  <si>
    <t>図5-17</t>
  </si>
  <si>
    <t>図5-18</t>
  </si>
  <si>
    <t>図5-19</t>
  </si>
  <si>
    <t>図5-20</t>
  </si>
  <si>
    <t>図5-21</t>
  </si>
  <si>
    <t>平日の日中の過ごし方（問17）</t>
  </si>
  <si>
    <t>図5-22</t>
  </si>
  <si>
    <t>通園・通学等で必要な支援（問18）</t>
  </si>
  <si>
    <t>図5-23</t>
  </si>
  <si>
    <t>中学校卒業後の進路希望（問19）</t>
  </si>
  <si>
    <t>図5-24</t>
  </si>
  <si>
    <t>高等学校卒業後の進路希望（問20）</t>
  </si>
  <si>
    <t>図5-25</t>
  </si>
  <si>
    <t>収入を得る仕事への意向（問21）</t>
  </si>
  <si>
    <t>図5-26</t>
  </si>
  <si>
    <t>職業訓練の受講意向（問22）</t>
  </si>
  <si>
    <t>図5-27</t>
  </si>
  <si>
    <t>将来の暮らし方（問23）</t>
  </si>
  <si>
    <t>図5-28</t>
  </si>
  <si>
    <t>地域で生活するために必要な支援（問24）</t>
  </si>
  <si>
    <t>図5-29</t>
  </si>
  <si>
    <t>外出の頻度（問25）</t>
  </si>
  <si>
    <t>図5-30</t>
  </si>
  <si>
    <t>外出の目的（問26）</t>
  </si>
  <si>
    <t>図5-31</t>
  </si>
  <si>
    <t>外出時に困ること（問27）</t>
  </si>
  <si>
    <t>表5-1</t>
  </si>
  <si>
    <t>サービス別の現在の利用状況と今後の利用意向（問28）</t>
  </si>
  <si>
    <t>図5-32</t>
  </si>
  <si>
    <t>現在利用しているサービス（問28）</t>
  </si>
  <si>
    <t>図5-33</t>
  </si>
  <si>
    <t>今後利用したいサービス（問28）</t>
  </si>
  <si>
    <t>図5-34</t>
  </si>
  <si>
    <t>悩みや困ったことの相談相手（問30）</t>
  </si>
  <si>
    <t>図5-35</t>
  </si>
  <si>
    <t>障がいや福祉サービスに関する情報の入手先（問31）</t>
  </si>
  <si>
    <t>図5-36</t>
  </si>
  <si>
    <t>差別や嫌な思いをした経験（問32）</t>
  </si>
  <si>
    <t>図5-37</t>
  </si>
  <si>
    <t>差別や嫌な思いをした場所（問33）</t>
  </si>
  <si>
    <t>図5-38</t>
  </si>
  <si>
    <t>成年後見制度の認知（問34）</t>
  </si>
  <si>
    <t>図5-39</t>
  </si>
  <si>
    <t>成年後見制度の窓口の認知（問35）</t>
  </si>
  <si>
    <t>図5-40</t>
  </si>
  <si>
    <t>障害者虐待防止法の認知（問36）</t>
  </si>
  <si>
    <t>図5-41</t>
  </si>
  <si>
    <t>障害者差別解消法の認知（問37）</t>
  </si>
  <si>
    <t>図5-42</t>
  </si>
  <si>
    <t>災害時に一人で避難できるか（問38）</t>
  </si>
  <si>
    <t>図5-43</t>
  </si>
  <si>
    <t>近所で助けてくれる人の有無（問39）</t>
  </si>
  <si>
    <t>図5-44</t>
  </si>
  <si>
    <t>災害時に困ること（問40）</t>
  </si>
  <si>
    <t>図5-45</t>
  </si>
  <si>
    <t>避難行動要支援者の登録意向（問41）</t>
  </si>
  <si>
    <t>図5-46</t>
  </si>
  <si>
    <t>個別避難計画の作成希望（問42）</t>
  </si>
  <si>
    <t>表5-2</t>
  </si>
  <si>
    <t>療育手帳所持者の主な結果（障がい児調査）</t>
  </si>
  <si>
    <t>表5-3</t>
  </si>
  <si>
    <t>年齢×将来の暮らし方（障がい児調査、問3×問23）</t>
  </si>
  <si>
    <t>図5-47</t>
  </si>
  <si>
    <t>表6-1</t>
  </si>
  <si>
    <t>課題と計画上の取組の関係</t>
  </si>
  <si>
    <t>6章_課題</t>
  </si>
  <si>
    <t>表7-1</t>
  </si>
  <si>
    <t>サービス利用の需給ギャップ（n=259）</t>
  </si>
  <si>
    <t>7章_追加分析</t>
  </si>
  <si>
    <t>表7-2</t>
  </si>
  <si>
    <t>障がい特性別のサービス利用意向（n=259）</t>
  </si>
  <si>
    <t>表7-3</t>
  </si>
  <si>
    <t>介助者の高齢化と将来の暮らし（n=105）</t>
  </si>
  <si>
    <t>表7-4</t>
  </si>
  <si>
    <t>ADL介助必要度とサービスニーズ（n=259）</t>
  </si>
  <si>
    <t>表7-5</t>
  </si>
  <si>
    <t>災害時の避難支援（n=259）</t>
  </si>
  <si>
    <t>表7-6</t>
  </si>
  <si>
    <t>地域生活移行・居住支援（n=41）</t>
  </si>
  <si>
    <t>表7-7</t>
  </si>
  <si>
    <t>就労希望者に必要な支援（n=20）</t>
  </si>
  <si>
    <t>表7-8</t>
  </si>
  <si>
    <t>障がい児の年齢・障がい特性別分析（n=18）</t>
  </si>
  <si>
    <t>表7-9</t>
  </si>
  <si>
    <t>障がい児の年齢・障がい特性別分析（n=25）</t>
  </si>
  <si>
    <t>表7-10</t>
  </si>
  <si>
    <t>国の第8期基本指針との関係</t>
  </si>
  <si>
    <t>入力データ</t>
  </si>
  <si>
    <t>障がい者調査 単純集計（入力用）</t>
  </si>
  <si>
    <t>集計_障がい者</t>
  </si>
  <si>
    <t>障がい児調査 単純集計（入力用）</t>
  </si>
  <si>
    <t>集計_障がい児</t>
  </si>
  <si>
    <t>障がい者調査 障がい別集計（入力用）</t>
  </si>
  <si>
    <t>集計_障がい別</t>
  </si>
  <si>
    <t>表1-1　調査の概要</t>
  </si>
  <si>
    <t>項目</t>
  </si>
  <si>
    <t>障がい者調査</t>
  </si>
  <si>
    <t>障がい児調査</t>
  </si>
  <si>
    <t>調査対象</t>
  </si>
  <si>
    <t>主に18歳以上の障がいのある方</t>
  </si>
  <si>
    <t>主に18歳未満の障がいのある児童・保護者</t>
  </si>
  <si>
    <t>調査方法</t>
  </si>
  <si>
    <t>郵送配布、郵送回収及び役場配布、役場回収</t>
  </si>
  <si>
    <t>調査期間</t>
  </si>
  <si>
    <t>令和8年8月14日～9月25日</t>
  </si>
  <si>
    <t>配布数</t>
  </si>
  <si>
    <t>有効回答数</t>
  </si>
  <si>
    <t>有効回答率</t>
  </si>
  <si>
    <t>※黄色の網掛け部分は、実施記録に基づき記入してください。（参考）前回調査（令和５年10月実施）は、障がい者調査が配布520件・有効回答280件（53.8％）、障がい児調査が配布36件・有効回答22件（61.1％）でした。</t>
  </si>
  <si>
    <t>表1-2　調査項目の構成</t>
  </si>
  <si>
    <t>分野</t>
  </si>
  <si>
    <t>回答者の属性・生活状況</t>
  </si>
  <si>
    <t>問1～問7</t>
  </si>
  <si>
    <t>障がい・医療</t>
  </si>
  <si>
    <t>問8～問16</t>
  </si>
  <si>
    <t>将来の暮らし・外出</t>
  </si>
  <si>
    <t>問17～問22</t>
  </si>
  <si>
    <t>問23～問27</t>
  </si>
  <si>
    <t>日中活動・就労・進路</t>
  </si>
  <si>
    <t>福祉サービス</t>
  </si>
  <si>
    <t>問28～問32</t>
  </si>
  <si>
    <t>問28～問29</t>
  </si>
  <si>
    <t>相談・情報</t>
  </si>
  <si>
    <t>問33～問34</t>
  </si>
  <si>
    <t>問30～問31</t>
  </si>
  <si>
    <t>差別解消・権利擁護</t>
  </si>
  <si>
    <t>問35～問40</t>
  </si>
  <si>
    <t>問32～問37</t>
  </si>
  <si>
    <t>災害時の対応</t>
  </si>
  <si>
    <t>問41～問45</t>
  </si>
  <si>
    <t>問38～問42</t>
  </si>
  <si>
    <t>自由意見</t>
  </si>
  <si>
    <t>問46</t>
  </si>
  <si>
    <t>問43</t>
  </si>
  <si>
    <t>表2-1　障がい者調査の主要指標</t>
  </si>
  <si>
    <t>指標</t>
  </si>
  <si>
    <t>結果</t>
  </si>
  <si>
    <t>設問</t>
  </si>
  <si>
    <t>回答者</t>
  </si>
  <si>
    <t>65歳以上の割合</t>
  </si>
  <si>
    <t>問3</t>
  </si>
  <si>
    <t>暮らし</t>
  </si>
  <si>
    <t>自宅で家族等と一緒に住んでいる</t>
  </si>
  <si>
    <t>問4-1</t>
  </si>
  <si>
    <t>介助者</t>
  </si>
  <si>
    <t>主介助者が60歳以上</t>
  </si>
  <si>
    <t>問7-1</t>
  </si>
  <si>
    <t>将来の暮らし</t>
  </si>
  <si>
    <t>「家族と一緒に生活したい」</t>
  </si>
  <si>
    <t>問17</t>
  </si>
  <si>
    <t>地域生活</t>
  </si>
  <si>
    <t>必要な支援「経済的な負担の軽減」（第1位）</t>
  </si>
  <si>
    <t>問18</t>
  </si>
  <si>
    <t>外出</t>
  </si>
  <si>
    <t>外出時に困ること「外出にお金がかかる」（第1位）</t>
  </si>
  <si>
    <t>問22</t>
  </si>
  <si>
    <t>日中活動</t>
  </si>
  <si>
    <t>「自宅で過ごしている」</t>
  </si>
  <si>
    <t>問23</t>
  </si>
  <si>
    <t>就労</t>
  </si>
  <si>
    <t>就労支援として必要なこと「職場の上司や同僚に障がいの理解があること」（第1位）</t>
  </si>
  <si>
    <t>問27</t>
  </si>
  <si>
    <t>サービス</t>
  </si>
  <si>
    <t>介護保険サービスを利用している</t>
  </si>
  <si>
    <t>問29</t>
  </si>
  <si>
    <t>相談</t>
  </si>
  <si>
    <t>相談相手「家族や親せき」</t>
  </si>
  <si>
    <t>問33</t>
  </si>
  <si>
    <t>情報</t>
  </si>
  <si>
    <t>情報の入手先「本や新聞、雑誌の記事、テレビやラジオのニュース」（第1位）</t>
  </si>
  <si>
    <t>問34</t>
  </si>
  <si>
    <t>権利擁護</t>
  </si>
  <si>
    <t>差別や嫌な思いをしたことが「ある」「少しある」</t>
  </si>
  <si>
    <t>問35</t>
  </si>
  <si>
    <t>成年後見制度を「名前も内容も知らない」</t>
  </si>
  <si>
    <t>問37</t>
  </si>
  <si>
    <t>災害</t>
  </si>
  <si>
    <t>一人で避難「できない」「わからない」</t>
  </si>
  <si>
    <t>問41</t>
  </si>
  <si>
    <t>近所に助けてくれる人が「いない」</t>
  </si>
  <si>
    <t>問42</t>
  </si>
  <si>
    <t>個別避難計画の作成を「希望する」</t>
  </si>
  <si>
    <t>問45</t>
  </si>
  <si>
    <t>※結果は回答者数（無回答を含む）に対する割合です。条件付き設問も回答者数を基数としています。</t>
  </si>
  <si>
    <t>図3-1　調査票の回答者（問1）</t>
  </si>
  <si>
    <t>選択肢</t>
  </si>
  <si>
    <t>件数</t>
  </si>
  <si>
    <t>割合</t>
  </si>
  <si>
    <t>ご本人が自分で記入</t>
  </si>
  <si>
    <t>ご本人が回答し、家族の方が記入</t>
  </si>
  <si>
    <t>家族の方が代理で回答・記入</t>
  </si>
  <si>
    <t>ご本人が回答し、施設職員が記入</t>
  </si>
  <si>
    <t>施設職員が代理で回答・記入</t>
  </si>
  <si>
    <t>その他</t>
  </si>
  <si>
    <t>無回答</t>
  </si>
  <si>
    <t>図3-2　性別（問2）</t>
  </si>
  <si>
    <t>男性</t>
  </si>
  <si>
    <t>女性</t>
  </si>
  <si>
    <t>わからない</t>
  </si>
  <si>
    <t>答えたくない</t>
  </si>
  <si>
    <t>図3-3　性別【障がい別】（問2）</t>
  </si>
  <si>
    <t>区分</t>
  </si>
  <si>
    <t>全体</t>
  </si>
  <si>
    <t>身体障がい（n=193）</t>
  </si>
  <si>
    <t>知的障がい（n=33）</t>
  </si>
  <si>
    <t>精神障がい（n=44）</t>
  </si>
  <si>
    <t>図3-4　年齢（問3）</t>
  </si>
  <si>
    <t>18～29歳</t>
  </si>
  <si>
    <t>30～39歳</t>
  </si>
  <si>
    <t>40～49歳</t>
  </si>
  <si>
    <t>50～64歳</t>
  </si>
  <si>
    <t>65歳以上</t>
  </si>
  <si>
    <t>図3-5　年齢【障がい別】（問3）</t>
  </si>
  <si>
    <t>図3-6　現在の暮らしの場（問4）</t>
  </si>
  <si>
    <t>自宅（アパート・町営住宅等も含む）でひとり暮らし</t>
  </si>
  <si>
    <t>自宅（アパート・町営住宅等も含む）で家族等と一緒に住んでいる</t>
  </si>
  <si>
    <t>グループホームで暮らしている</t>
  </si>
  <si>
    <t>福祉施設（障がい者支援施設、高齢者支援施設）で暮らしている</t>
  </si>
  <si>
    <t>病院に入院している</t>
  </si>
  <si>
    <t>図3-7　現在の暮らしの場【障がい別】（問4）</t>
  </si>
  <si>
    <t>図3-8　同居している家族（問4）</t>
  </si>
  <si>
    <t>配偶者</t>
  </si>
  <si>
    <t>父母</t>
  </si>
  <si>
    <t>兄弟姉妹</t>
  </si>
  <si>
    <t>祖父母</t>
  </si>
  <si>
    <t>図3-9　同居している家族【障がい別】（問4）</t>
  </si>
  <si>
    <t>図3-10　日常生活動作の状況（問5）</t>
  </si>
  <si>
    <t>ひとりでできる</t>
  </si>
  <si>
    <t>一部介助が必要</t>
  </si>
  <si>
    <t>全部介助が必要</t>
  </si>
  <si>
    <t>食事</t>
  </si>
  <si>
    <t>トイレ</t>
  </si>
  <si>
    <t>入浴</t>
  </si>
  <si>
    <t>衣服の着脱</t>
  </si>
  <si>
    <t>身だしなみ</t>
  </si>
  <si>
    <t>家の中の移動</t>
  </si>
  <si>
    <t>意思疎通</t>
  </si>
  <si>
    <t>お金の管理</t>
  </si>
  <si>
    <t>薬の管理</t>
  </si>
  <si>
    <t>図3-11　介助が必要な割合【障がい別】（問5）</t>
  </si>
  <si>
    <t>※介助が必要な割合は、各区分の回答者数に占める「一部介助が必要」「全部介助が必要」の合計の割合です。</t>
  </si>
  <si>
    <t>図3-12　主な介助者（問6）</t>
  </si>
  <si>
    <t>子ども</t>
  </si>
  <si>
    <t>配偶者（夫または妻）</t>
  </si>
  <si>
    <t>ホームヘルパーや施設の職員</t>
  </si>
  <si>
    <t>父母・祖父母・兄弟姉妹</t>
  </si>
  <si>
    <t>その他の人（ボランティア等）</t>
  </si>
  <si>
    <t>図3-13　主な介助者【障がい別】（問6）</t>
  </si>
  <si>
    <t>図3-14　主介助者の年齢（問7）</t>
  </si>
  <si>
    <t>39歳以下</t>
  </si>
  <si>
    <t>50～59歳</t>
  </si>
  <si>
    <t>60～69歳</t>
  </si>
  <si>
    <t>70歳以上</t>
  </si>
  <si>
    <t>図3-15　主介助者の年齢【障がい別】（問7）</t>
  </si>
  <si>
    <t>図3-16　主介助者の性別（問7）</t>
  </si>
  <si>
    <t>図3-17　主介助者の性別【障がい別】（問7）</t>
  </si>
  <si>
    <t>図3-18　主介助者の健康状態（問7）</t>
  </si>
  <si>
    <t>よい</t>
  </si>
  <si>
    <t>ふつう</t>
  </si>
  <si>
    <t>よくない</t>
  </si>
  <si>
    <t>図3-19　主介助者の健康状態【障がい別】（問7）</t>
  </si>
  <si>
    <t>図3-20　身体障害者手帳の所持状況（問8）</t>
  </si>
  <si>
    <t>１級</t>
  </si>
  <si>
    <t>２級</t>
  </si>
  <si>
    <t>３級</t>
  </si>
  <si>
    <t>４級</t>
  </si>
  <si>
    <t>５級</t>
  </si>
  <si>
    <t>６級</t>
  </si>
  <si>
    <t>持っていない</t>
  </si>
  <si>
    <t>図3-21　身体障害者手帳所持者の主な障がい（問9）</t>
  </si>
  <si>
    <t>視覚障がい</t>
  </si>
  <si>
    <t>聴覚・平衡機能障がい</t>
  </si>
  <si>
    <t>音声・言語・そしゃく機能障がい</t>
  </si>
  <si>
    <t>肢体不自由（上肢）</t>
  </si>
  <si>
    <t>肢体不自由（下肢）</t>
  </si>
  <si>
    <t>肢体不自由（体幹）</t>
  </si>
  <si>
    <t>内部障がい（１～６以外）</t>
  </si>
  <si>
    <t>図3-22　療育手帳の所持状況（問10）</t>
  </si>
  <si>
    <t>Ａ判定</t>
  </si>
  <si>
    <t>Ｂ判定</t>
  </si>
  <si>
    <t>図3-23　精神障害者保健福祉手帳の所持状況（問11）</t>
  </si>
  <si>
    <t>図3-24　特別児童扶養手当の受給状況（問12）</t>
  </si>
  <si>
    <t>受給している</t>
  </si>
  <si>
    <t>受給していない</t>
  </si>
  <si>
    <t>図3-25　特別児童扶養手当の受給状況【障がい別】（問12）</t>
  </si>
  <si>
    <t>図3-26　難病（特定疾患）の認定状況（問13）</t>
  </si>
  <si>
    <t>受けている</t>
  </si>
  <si>
    <t>受けていない</t>
  </si>
  <si>
    <t>図3-27　難病（特定疾患）の認定状況【障がい別】（問13）</t>
  </si>
  <si>
    <t>図3-28　発達障がいの診断（問14）</t>
  </si>
  <si>
    <t>ある</t>
  </si>
  <si>
    <t>ない</t>
  </si>
  <si>
    <t>図3-29　発達障がいの診断【障がい別】（問14）</t>
  </si>
  <si>
    <t>図3-30　高次脳機能障がいの診断（問15）</t>
  </si>
  <si>
    <t>図3-31　高次脳機能障がいの診断【障がい別】（問15）</t>
  </si>
  <si>
    <t>図3-32　高次脳機能障がいの関連障がい（問15）</t>
  </si>
  <si>
    <t>図3-33　高次脳機能障がいの関連障がい【障がい別】（問15）</t>
  </si>
  <si>
    <t>※いずれの区分にも回答のなかった選択肢は省略しています。</t>
  </si>
  <si>
    <t>図3-34　現在受けている医療ケア（問16）</t>
  </si>
  <si>
    <t>服薬</t>
  </si>
  <si>
    <t>透析</t>
  </si>
  <si>
    <t>ストマ（人工肛門・人工膀胱）</t>
  </si>
  <si>
    <t>カテーテル留置</t>
  </si>
  <si>
    <t>人工呼吸器（レスピレーター）</t>
  </si>
  <si>
    <t>胃ろう・腸ろう</t>
  </si>
  <si>
    <t>吸入</t>
  </si>
  <si>
    <t>鼻腔経管栄養</t>
  </si>
  <si>
    <t>吸引</t>
  </si>
  <si>
    <t>気管切開</t>
  </si>
  <si>
    <t>中心静脈栄養（ＩＶＨ）</t>
  </si>
  <si>
    <t>図3-35　現在受けている医療ケア【障がい別】（問16）</t>
  </si>
  <si>
    <t>図3-36　将来の暮らし方（問17）</t>
  </si>
  <si>
    <t>家族と一緒に生活したい</t>
  </si>
  <si>
    <t>一般の住宅でひとり暮らしをしたい</t>
  </si>
  <si>
    <t>グループホームなどを利用したい</t>
  </si>
  <si>
    <t>福祉施設で暮らしたい</t>
  </si>
  <si>
    <t>図3-37　将来の暮らし方【障がい別】（問17）</t>
  </si>
  <si>
    <t>図3-38　地域で生活するために必要な支援（問18）</t>
  </si>
  <si>
    <t>経済的な負担の軽減</t>
  </si>
  <si>
    <t>必要な在宅サービスが適切に利用できること</t>
  </si>
  <si>
    <t>在宅で医療ケアなどが適切に得られること</t>
  </si>
  <si>
    <t>障がい者に適した住居の確保</t>
  </si>
  <si>
    <t>町外サービス利用時の送迎支援</t>
  </si>
  <si>
    <t>相談対応等の充実</t>
  </si>
  <si>
    <t>地域住民等の理解</t>
  </si>
  <si>
    <t>コミュニケーションについての支援</t>
  </si>
  <si>
    <t>生活訓練等の充実</t>
  </si>
  <si>
    <t>地域移行に向けた具体的な相談や体験利用ができること</t>
  </si>
  <si>
    <t>意思決定への支援</t>
  </si>
  <si>
    <t>図3-39　地域で生活するために必要な支援【障がい別】（問18）</t>
  </si>
  <si>
    <t>図3-40　外出の頻度（問19）</t>
  </si>
  <si>
    <t>毎日外出する</t>
  </si>
  <si>
    <t>１週間に数回外出する</t>
  </si>
  <si>
    <t>めったに外出しない</t>
  </si>
  <si>
    <t>まったく外出しない</t>
  </si>
  <si>
    <t>図3-41　外出の頻度【障がい別】（問19）</t>
  </si>
  <si>
    <t>図3-42　外出時の主な同伴者（問20）</t>
  </si>
  <si>
    <t>一人で外出する</t>
  </si>
  <si>
    <t>図3-43　外出時の主な同伴者【障がい別】（問20）</t>
  </si>
  <si>
    <t>図3-44　外出の目的（問21）</t>
  </si>
  <si>
    <t>医療機関へ受診</t>
  </si>
  <si>
    <t>買い物に行く</t>
  </si>
  <si>
    <t>通勤・通学・通所</t>
  </si>
  <si>
    <t>散歩に行く</t>
  </si>
  <si>
    <t>友人・知人に会う</t>
  </si>
  <si>
    <t>趣味やスポーツをする</t>
  </si>
  <si>
    <t>訓練やリハビリに行く</t>
  </si>
  <si>
    <t>グループ活動に参加する</t>
  </si>
  <si>
    <t>図3-45　外出の目的【障がい別】（問21）</t>
  </si>
  <si>
    <t>図3-46　外出時に困ること（問22）</t>
  </si>
  <si>
    <t>外出にお金がかかる</t>
  </si>
  <si>
    <t>困ったときにどうすればいいのか心配</t>
  </si>
  <si>
    <t>公共交通機関が少ない（公共交通機関が通っていない）</t>
  </si>
  <si>
    <t>道路や駅に階段や段差が多い</t>
  </si>
  <si>
    <t>発作など突然の身体の変化が心配</t>
  </si>
  <si>
    <t>列車やバスの乗り降りが困難</t>
  </si>
  <si>
    <t>介助者を確保できない</t>
  </si>
  <si>
    <t>切符の買い方や乗り換えの方法がわかりにくい</t>
  </si>
  <si>
    <t>外出先の建物の設備が不便（通路、トイレ、エレベーターなど）</t>
  </si>
  <si>
    <t>周囲の目が気になる</t>
  </si>
  <si>
    <t>特にない</t>
  </si>
  <si>
    <t>図3-47　外出時に困ること【障がい別】（問22）</t>
  </si>
  <si>
    <t>図3-48　平日の日中の過ごし方（問23）</t>
  </si>
  <si>
    <t>会社勤めや、自営業、家業などで収入を得て仕事している</t>
  </si>
  <si>
    <t>ボランティアなど、収入を得ない仕事をしている</t>
  </si>
  <si>
    <t>専業主婦（主夫）をしている</t>
  </si>
  <si>
    <t>福祉施設、作業所等に通っている（就労継続支援Ａ型も含む）</t>
  </si>
  <si>
    <t>病院などのデイケアに通っている</t>
  </si>
  <si>
    <t>リハビリテーションを受けている</t>
  </si>
  <si>
    <t>自宅で過ごしている</t>
  </si>
  <si>
    <t>入所している施設や病院等で過ごしている</t>
  </si>
  <si>
    <t>大学、専門学校、職業訓練校などに通っている</t>
  </si>
  <si>
    <t>図3-49　平日の日中の過ごし方【障がい別】（問23）</t>
  </si>
  <si>
    <t>図3-50　業務形態（問24）</t>
  </si>
  <si>
    <t>正職員で他の職員と勤務条件等に違いはない</t>
  </si>
  <si>
    <t>正職員で短時間勤務などの障がい者配慮がある</t>
  </si>
  <si>
    <t>パート・アルバイト等の非常勤職員、派遣職員</t>
  </si>
  <si>
    <t>自営業、農業、林業、水産業など</t>
  </si>
  <si>
    <t>図3-51　業務形態【障がい別】（問24）</t>
  </si>
  <si>
    <t>図3-52　収入を得る仕事への意向（問25）</t>
  </si>
  <si>
    <t>仕事をしたい</t>
  </si>
  <si>
    <t>仕事はしたくない、できない</t>
  </si>
  <si>
    <t>図3-53　収入を得る仕事への意向【障がい別】（問25）</t>
  </si>
  <si>
    <t>図3-54　職業訓練の受講意向（問26）</t>
  </si>
  <si>
    <t>すでに職業訓練を受けている</t>
  </si>
  <si>
    <t>職業訓練を受けたい</t>
  </si>
  <si>
    <t>職業訓練を受けたくない、受ける必要はない</t>
  </si>
  <si>
    <t>図3-55　職業訓練の受講意向【障がい別】（問26）</t>
  </si>
  <si>
    <t>図3-56　障がい者の就労支援として必要なこと（問27）</t>
  </si>
  <si>
    <t>職場の上司や同僚に障がいの理解があること</t>
  </si>
  <si>
    <t>通勤手段の確保</t>
  </si>
  <si>
    <t>短時間勤務や勤務日数等の配慮</t>
  </si>
  <si>
    <t>勤務場所におけるバリアフリー等の配慮</t>
  </si>
  <si>
    <t>職場で介助や援助等が受けられること</t>
  </si>
  <si>
    <t>就労後のフォローなど職場と支援機関の連携</t>
  </si>
  <si>
    <t>仕事についての職場外での相談対応、支援</t>
  </si>
  <si>
    <t>在宅勤務の拡充</t>
  </si>
  <si>
    <t>企業ニーズに合った就労訓練</t>
  </si>
  <si>
    <t>図3-57　障がい者の就労支援として必要なこと【障がい別】（問27）</t>
  </si>
  <si>
    <t>図3-58　障がい支援区分の認定状況（問28）</t>
  </si>
  <si>
    <t>区分１</t>
  </si>
  <si>
    <t>区分２</t>
  </si>
  <si>
    <t>区分３</t>
  </si>
  <si>
    <t>区分４</t>
  </si>
  <si>
    <t>区分５</t>
  </si>
  <si>
    <t>区分６</t>
  </si>
  <si>
    <t>図3-59　障がい支援区分の認定状況【障がい別】（問28）</t>
  </si>
  <si>
    <t>図3-60　介護保険サービスの利用状況（問29）</t>
  </si>
  <si>
    <t>利用している</t>
  </si>
  <si>
    <t>利用していない</t>
  </si>
  <si>
    <t>図3-61　介護保険サービスの利用状況【障がい別】（問29）</t>
  </si>
  <si>
    <t>図3-62　要介護度（問30）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</si>
  <si>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</si>
  <si>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</si>
  <si>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</si>
  <si>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</si>
  <si>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</si>
  <si>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</si>
  <si>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</si>
  <si>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図3-63　要介護度【障がい別】（問30）</t>
  </si>
  <si>
    <t>表3-1　サービス別の現在の利用状況と今後の利用意向（問31）</t>
  </si>
  <si>
    <t>現在利用している（利用している）</t>
  </si>
  <si>
    <t>今後利用したい（利用したい）</t>
  </si>
  <si>
    <t>差（ポイント）</t>
  </si>
  <si>
    <t>居宅介護</t>
  </si>
  <si>
    <t>重度訪問介護</t>
  </si>
  <si>
    <t>同行援護</t>
  </si>
  <si>
    <t>行動援護</t>
  </si>
  <si>
    <t>重度包括</t>
  </si>
  <si>
    <t>生活介護</t>
  </si>
  <si>
    <t>宿泊型自立訓練</t>
  </si>
  <si>
    <t>就労移行</t>
  </si>
  <si>
    <t>就労継続</t>
  </si>
  <si>
    <t>療養介護</t>
  </si>
  <si>
    <t>短期入所</t>
  </si>
  <si>
    <t>共同生活援助</t>
  </si>
  <si>
    <t>施設入所</t>
  </si>
  <si>
    <t>相談支援</t>
  </si>
  <si>
    <t>就労選択</t>
  </si>
  <si>
    <t>※差は「今後利用したい」と「現在利用している」の割合の差です。サービス名は調査票の表記を一部省略しています。</t>
  </si>
  <si>
    <t>図3-64　現在利用している障がい福祉サービス（問31）</t>
  </si>
  <si>
    <t>利用している（割合）</t>
  </si>
  <si>
    <t>図3-65　今後利用したい障がい福祉サービス（問31）</t>
  </si>
  <si>
    <t>利用したい（割合）</t>
  </si>
  <si>
    <t>表3-2　サービス別の現在の利用状況と今後の利用意向【障がい別】（問31）</t>
  </si>
  <si>
    <t>現在利用
身体障がい
（n=193）</t>
  </si>
  <si>
    <t>現在利用
知的障がい
（n=33）</t>
  </si>
  <si>
    <t>現在利用
精神障がい
（n=44）</t>
  </si>
  <si>
    <t>今後利用
身体障がい
（n=193）</t>
  </si>
  <si>
    <t>今後利用
知的障がい
（n=33）</t>
  </si>
  <si>
    <t>今後利用
精神障がい
（n=44）</t>
  </si>
  <si>
    <t>※セルの数値は各区分の回答者数（n）に占める割合と件数です。色が濃いほど割合が高いことを示します。「－」は回答がなかったことを示します。</t>
  </si>
  <si>
    <t>図3-66　悩みや困ったことの相談相手（問33）</t>
  </si>
  <si>
    <t>家族や親せき</t>
  </si>
  <si>
    <t>かかりつけの医師や看護師</t>
  </si>
  <si>
    <t>友人・知人</t>
  </si>
  <si>
    <t>施設の指導員など</t>
  </si>
  <si>
    <t>病院のケースワーカーや介護保険のケアマネージャー</t>
  </si>
  <si>
    <t>相談支援事業所などの民間の相談窓口</t>
  </si>
  <si>
    <t>行政機関の相談窓口</t>
  </si>
  <si>
    <t>近所の人</t>
  </si>
  <si>
    <t>ホームヘルパーなどサービス事業所の人</t>
  </si>
  <si>
    <t>職場の上司や同僚</t>
  </si>
  <si>
    <t>相談する相手がいない</t>
  </si>
  <si>
    <t>民生委員・児童委員</t>
  </si>
  <si>
    <t>学校の先生</t>
  </si>
  <si>
    <t>障がい者団体や家族会</t>
  </si>
  <si>
    <t>図3-67　悩みや困ったことの相談相手【障がい別】（問33）</t>
  </si>
  <si>
    <t>図3-68　障がいや福祉サービスに関する情報の入手先（問34）</t>
  </si>
  <si>
    <t>本や新聞、雑誌の記事、テレビやラジオのニュース</t>
  </si>
  <si>
    <t>家族や親せき、友人・知人</t>
  </si>
  <si>
    <t>行政機関の広報誌</t>
  </si>
  <si>
    <t>サービス事業所の人や施設職員</t>
  </si>
  <si>
    <t>インターネット</t>
  </si>
  <si>
    <t>どこで情報を入手したらよいかわからない</t>
  </si>
  <si>
    <t>障がい者団体や家族会（団体の機関誌など）</t>
  </si>
  <si>
    <t>情報は必要ない</t>
  </si>
  <si>
    <t>図3-69　障がいや福祉サービスに関する情報の入手先【障がい別】（問34）</t>
  </si>
  <si>
    <t>図3-70　差別や嫌な思いをした経験（問35）</t>
  </si>
  <si>
    <t>少しある</t>
  </si>
  <si>
    <t>図3-71　差別や嫌な思いをした経験【障がい別】（問35）</t>
  </si>
  <si>
    <t>図3-72　差別や嫌な思いをした場所（問36）</t>
  </si>
  <si>
    <t>外出先</t>
  </si>
  <si>
    <t>学校・仕事場</t>
  </si>
  <si>
    <t>住んでいる地域</t>
  </si>
  <si>
    <t>仕事を探すとき</t>
  </si>
  <si>
    <t>自宅</t>
  </si>
  <si>
    <t>余暇を楽しむとき</t>
  </si>
  <si>
    <t>病院などの医療機関</t>
  </si>
  <si>
    <t>図3-73　差別や嫌な思いをした場所【障がい別】（問36）</t>
  </si>
  <si>
    <t>図3-74　成年後見制度の認知（問37）</t>
  </si>
  <si>
    <t>名前も内容も知っている</t>
  </si>
  <si>
    <t>名前は聞いたことあるが、内容は知らない</t>
  </si>
  <si>
    <t>名前も内容も知らない</t>
  </si>
  <si>
    <t>図3-75　成年後見制度の認知【障がい別】（問37）</t>
  </si>
  <si>
    <t>図3-76　成年後見制度の窓口の認知（問38）</t>
  </si>
  <si>
    <t>町役場</t>
  </si>
  <si>
    <t>社会福祉協議会</t>
  </si>
  <si>
    <t>専門職（弁護士、司法書士）</t>
  </si>
  <si>
    <t>家庭裁判所</t>
  </si>
  <si>
    <t>消費者生活センター</t>
  </si>
  <si>
    <t>法テラス</t>
  </si>
  <si>
    <t>図3-77　成年後見制度の窓口の認知【障がい別】（問38）</t>
  </si>
  <si>
    <t>図3-78　障害者虐待防止法の認知（問39）</t>
  </si>
  <si>
    <t>知っている</t>
  </si>
  <si>
    <t>知らない</t>
  </si>
  <si>
    <t>図3-79　障害者虐待防止法の認知【障がい別】（問39）</t>
  </si>
  <si>
    <t>図3-80　障害者差別解消法の認知（問40）</t>
  </si>
  <si>
    <t>図3-81　障害者差別解消法の認知【障がい別】（問40）</t>
  </si>
  <si>
    <t>図3-82　災害時に一人で避難できるか（問41）</t>
  </si>
  <si>
    <t>できる</t>
  </si>
  <si>
    <t>できない</t>
  </si>
  <si>
    <t>図3-83　災害時に一人で避難できるか【障がい別】（問41）</t>
  </si>
  <si>
    <t>図3-84　近所で助けてくれる人の有無（問42）</t>
  </si>
  <si>
    <t>いる</t>
  </si>
  <si>
    <t>いない</t>
  </si>
  <si>
    <t>図3-85　近所で助けてくれる人の有無【障がい別】（問42）</t>
  </si>
  <si>
    <t>図3-86　災害時に困ること（問43）</t>
  </si>
  <si>
    <t>投薬や治療が受けられない</t>
  </si>
  <si>
    <t>避難場所の設備（トイレ等）や生活環境が不安</t>
  </si>
  <si>
    <t>安全なところまで、迅速に避難することができない</t>
  </si>
  <si>
    <t>救助を求めることができない</t>
  </si>
  <si>
    <t>周囲とのコミュニケーションがとれない</t>
  </si>
  <si>
    <t>被害状況、避難場所などの情報が入手できない</t>
  </si>
  <si>
    <t>医療機器の電源確保</t>
  </si>
  <si>
    <t>補装具や日常生活用具の入手ができなくなる</t>
  </si>
  <si>
    <t>補装具の使用が困難になる</t>
  </si>
  <si>
    <t>図3-87　災害時に困ること【障がい別】（問43）</t>
  </si>
  <si>
    <t>図3-88　避難行動要支援者の登録意向（問44）</t>
  </si>
  <si>
    <t>希望する</t>
  </si>
  <si>
    <t>希望しない</t>
  </si>
  <si>
    <t>図3-89　避難行動要支援者の登録意向【障がい別】（問44）</t>
  </si>
  <si>
    <t>図3-90　個別避難計画の作成希望（問45）</t>
  </si>
  <si>
    <t>図3-91　個別避難計画の作成希望【障がい別】（問45）</t>
  </si>
  <si>
    <t>表4-1　年齢×将来の暮らし方（問3×問17）</t>
  </si>
  <si>
    <t>【件数】青字のセルが入力値です</t>
  </si>
  <si>
    <t>回答者数（n）</t>
  </si>
  <si>
    <t>【割合】各区分の回答者数（n）に占める割合（計算式）</t>
  </si>
  <si>
    <t>※色が濃いほど割合が高く、太字は各区分で最も割合が高い項目です（条件付き書式）。</t>
  </si>
  <si>
    <t>図4-1　年齢×将来の暮らし方（問3×問17）</t>
  </si>
  <si>
    <t>表4-2　現在の暮らしの場×将来の暮らし方（問4×問17）</t>
  </si>
  <si>
    <t>図4-2　現在の暮らしの場×将来の暮らし方（問4×問17）</t>
  </si>
  <si>
    <t>表4-3　年齢×災害時に一人で避難できるか（問3×問41）</t>
  </si>
  <si>
    <t>図4-3　年齢×災害時に一人で避難できるか（問3×問41）</t>
  </si>
  <si>
    <t>表4-4　年齢×今後利用したいサービス（問3×問31）</t>
  </si>
  <si>
    <t>図4-4　年齢別にみた今後利用したいサービス（上位6サービス）（問3×問31）</t>
  </si>
  <si>
    <t>18～29歳（n=12）</t>
  </si>
  <si>
    <t>30～39歳（n=12）</t>
  </si>
  <si>
    <t>40～49歳（n=16）</t>
  </si>
  <si>
    <t>50～64歳（n=32）</t>
  </si>
  <si>
    <t>65歳以上（n=177）</t>
  </si>
  <si>
    <t>図5-1　調査票の回答者（問1）</t>
  </si>
  <si>
    <t>図5-2　性別（問2）</t>
  </si>
  <si>
    <t>図5-3　年齢（問3）</t>
  </si>
  <si>
    <t>0～5歳</t>
  </si>
  <si>
    <t>6～11歳</t>
  </si>
  <si>
    <t>12～14歳</t>
  </si>
  <si>
    <t>15～17歳</t>
  </si>
  <si>
    <t>18歳以上</t>
  </si>
  <si>
    <t>図5-4　現在の暮らしの場（問4）</t>
  </si>
  <si>
    <t>家族と暮らしている</t>
  </si>
  <si>
    <t>支援学校の寄宿舎で暮らしている</t>
  </si>
  <si>
    <t>施設（障がい児入所施設）で暮らしている</t>
  </si>
  <si>
    <t>図5-5　同居している家族（問4）</t>
  </si>
  <si>
    <t>図5-6　日常生活動作の状況（問5）</t>
  </si>
  <si>
    <t>図5-7　主な介助者（問6）</t>
  </si>
  <si>
    <t>図5-8　主介助者の年齢（問7）</t>
  </si>
  <si>
    <t>29歳以下</t>
  </si>
  <si>
    <t>60歳以上</t>
  </si>
  <si>
    <t>図5-9　主介助者の性別（問7）</t>
  </si>
  <si>
    <t>図5-10　主介助者の健康状態（問7）</t>
  </si>
  <si>
    <t>図5-11　身体障害者手帳の所持状況（問8）</t>
  </si>
  <si>
    <t>図5-12　身体障害者手帳所持者の主な障がい（問9）</t>
  </si>
  <si>
    <t>図5-13　療育手帳の所持状況（問10）</t>
  </si>
  <si>
    <t>図5-14　精神障害者保健福祉手帳の所持状況（問11）</t>
  </si>
  <si>
    <t>図5-15　特別児童扶養手当の受給状況（問12）</t>
  </si>
  <si>
    <t>図5-16　難病（特定疾患）の認定状況（問13）</t>
  </si>
  <si>
    <t>図5-17　発達障がいの診断（問14）</t>
  </si>
  <si>
    <t>図5-18　高次脳機能障がいの診断（問15）</t>
  </si>
  <si>
    <t>図5-19　高次脳機能障がいの関連障がい（問15）</t>
  </si>
  <si>
    <t>図5-20　現在受けている医療ケア（問16）</t>
  </si>
  <si>
    <t>図5-21　平日の日中の過ごし方（問17）</t>
  </si>
  <si>
    <t>幼稚園、保育所、障がい児通園施設などに通っている</t>
  </si>
  <si>
    <t>一般の小中学校、高校に通っている</t>
  </si>
  <si>
    <t>一般の小中学校の支援学級に通っている</t>
  </si>
  <si>
    <t>特別支援学校（小中高等部）に通っている</t>
  </si>
  <si>
    <t>図5-22　通園・通学等で必要な支援（問18）</t>
  </si>
  <si>
    <t>就学相談や進路相談などの相談体制</t>
  </si>
  <si>
    <t>能力や障がいの状況にあった個別支援</t>
  </si>
  <si>
    <t>通常の学級での学習や交流の機会</t>
  </si>
  <si>
    <t>施設・設備・教材</t>
  </si>
  <si>
    <t>特別支援教育の啓発</t>
  </si>
  <si>
    <t>地域との交流の機会</t>
  </si>
  <si>
    <t>図5-23　中学校卒業後の進路希望（問19）</t>
  </si>
  <si>
    <t>高等学校</t>
  </si>
  <si>
    <t>特別支援学校の高等部</t>
  </si>
  <si>
    <t>その他の学校</t>
  </si>
  <si>
    <t>企業等で就労したい</t>
  </si>
  <si>
    <t>就学・就労はしないで過ごしたい</t>
  </si>
  <si>
    <t>図5-24　高等学校卒業後の進路希望（問20）</t>
  </si>
  <si>
    <t>大学・短大に進学したい</t>
  </si>
  <si>
    <t>専門学校等に通いたい</t>
  </si>
  <si>
    <t>障がい者高等技術専門学校に通いたい</t>
  </si>
  <si>
    <t>障がい福祉サービス事業所（作業所等）に通いたい</t>
  </si>
  <si>
    <t>企業等に就職したい</t>
  </si>
  <si>
    <t>自宅で就労したい（収入のある仕事）</t>
  </si>
  <si>
    <t>図5-25　収入を得る仕事への意向（問21）</t>
  </si>
  <si>
    <t>図5-26　職業訓練の受講意向（問22）</t>
  </si>
  <si>
    <t>図5-27　将来の暮らし方（問23）</t>
  </si>
  <si>
    <t>図5-28　地域で生活するために必要な支援（問24）</t>
  </si>
  <si>
    <t>図5-29　外出の頻度（問25）</t>
  </si>
  <si>
    <t>図5-30　外出の目的（問26）</t>
  </si>
  <si>
    <t>図5-31　外出時に困ること（問27）</t>
  </si>
  <si>
    <t>表5-1　サービス別の現在の利用状況と今後の利用意向（問28）</t>
  </si>
  <si>
    <t>児童発達支援</t>
  </si>
  <si>
    <t>放課後等デイ</t>
  </si>
  <si>
    <t>保育所等訪問</t>
  </si>
  <si>
    <t>医療型児発</t>
  </si>
  <si>
    <t>福祉型入所</t>
  </si>
  <si>
    <t>医療型入所</t>
  </si>
  <si>
    <t>図5-32　現在利用しているサービス（問28）</t>
  </si>
  <si>
    <t>図5-33　今後利用したいサービス（問28）</t>
  </si>
  <si>
    <t>図5-34　悩みや困ったことの相談相手（問30）</t>
  </si>
  <si>
    <t>通院施設や保育所、幼稚園、学校の先生</t>
  </si>
  <si>
    <t>図5-35　障がいや福祉サービスに関する情報の入手先（問31）</t>
  </si>
  <si>
    <t>図5-36　差別や嫌な思いをした経験（問32）</t>
  </si>
  <si>
    <t>図5-37　差別や嫌な思いをした場所（問33）</t>
  </si>
  <si>
    <t>図5-38　成年後見制度の認知（問34）</t>
  </si>
  <si>
    <t>図5-39　成年後見制度の窓口の認知（問35）</t>
  </si>
  <si>
    <t>図5-40　障害者虐待防止法の認知（問36）</t>
  </si>
  <si>
    <t>図5-41　障害者差別解消法の認知（問37）</t>
  </si>
  <si>
    <t>図5-42　災害時に一人で避難できるか（問38）</t>
  </si>
  <si>
    <t>図5-43　近所で助けてくれる人の有無（問39）</t>
  </si>
  <si>
    <t>図5-44　災害時に困ること（問40）</t>
  </si>
  <si>
    <t>図5-45　避難行動要支援者の登録意向（問41）</t>
  </si>
  <si>
    <t>図5-46　個別避難計画の作成希望（問42）</t>
  </si>
  <si>
    <t>表5-2　療育手帳所持者の主な結果（障がい児調査）</t>
  </si>
  <si>
    <t>全体
（n=25）</t>
  </si>
  <si>
    <t>療育手帳所持者
（n=16）</t>
  </si>
  <si>
    <t>平日の日中「特別支援学校（小中高等部）に通っている」（問17）</t>
  </si>
  <si>
    <t>4.0%(1)</t>
  </si>
  <si>
    <t>0.0%(0)</t>
  </si>
  <si>
    <t>将来の暮らし方「家族と一緒に生活したい」（問23）</t>
  </si>
  <si>
    <t>88.0%(22)</t>
  </si>
  <si>
    <t>93.8%(15)</t>
  </si>
  <si>
    <t>必要な支援「経済的な負担の軽減」（全体第1位）（問24）</t>
  </si>
  <si>
    <t>48.0%(12)</t>
  </si>
  <si>
    <t>43.8%(7)</t>
  </si>
  <si>
    <t>外出時に困ること「困ったときにどうすればいいのか心配」（全体第1位）（問27）</t>
  </si>
  <si>
    <t>44.0%(11)</t>
  </si>
  <si>
    <t>62.5%(10)</t>
  </si>
  <si>
    <t>相談相手「家族や親せき」（全体第1位）（問30）</t>
  </si>
  <si>
    <t>100.0%(25)</t>
  </si>
  <si>
    <t>100.0%(16)</t>
  </si>
  <si>
    <t>差別や嫌な思いをしたことが「ある」「少しある」（問32）</t>
  </si>
  <si>
    <t>28.0%(7)</t>
  </si>
  <si>
    <t>37.5%(6)</t>
  </si>
  <si>
    <t>成年後見制度を「名前も内容も知らない」（問34）</t>
  </si>
  <si>
    <t>80.0%(20)</t>
  </si>
  <si>
    <t>81.3%(13)</t>
  </si>
  <si>
    <t>災害時に一人で避難「できない」「わからない」（問38）</t>
  </si>
  <si>
    <t>72.0%(18)</t>
  </si>
  <si>
    <t>75.0%(12)</t>
  </si>
  <si>
    <t>※セルの数値は割合と件数です。条件付き設問は回答者数を基数としています。</t>
  </si>
  <si>
    <t>表5-3　年齢×将来の暮らし方（障がい児調査、問3×問23）</t>
  </si>
  <si>
    <t>図5-47　年齢×将来の暮らし方（障がい児調査、問3×問23）</t>
  </si>
  <si>
    <t>表6-1　課題と計画上の取組の関係</t>
  </si>
  <si>
    <t>課題</t>
  </si>
  <si>
    <t>計画上の主な対応方向</t>
  </si>
  <si>
    <t>障がい者の主な根拠</t>
  </si>
  <si>
    <t>障がい児の主な根拠</t>
  </si>
  <si>
    <t>相談支援・情報提供</t>
  </si>
  <si>
    <t>相談支援体制、分かりやすい情報提供、関係機関の連携</t>
  </si>
  <si>
    <t>問33・問34・問46</t>
  </si>
  <si>
    <t>問30・問31・問43</t>
  </si>
  <si>
    <t>地域生活・住まい</t>
  </si>
  <si>
    <t>在宅サービス、住まい、地域生活支援拠点、家族支援</t>
  </si>
  <si>
    <t>問17・問18・問31</t>
  </si>
  <si>
    <t>問23・問24・問28</t>
  </si>
  <si>
    <t>移動・外出</t>
  </si>
  <si>
    <t>移動支援、通院・買い物支援、町外サービス利用時の送迎</t>
  </si>
  <si>
    <t>問19～問22</t>
  </si>
  <si>
    <t>問25～問27</t>
  </si>
  <si>
    <t>就労移行・継続・選択支援、企業理解、通勤・勤務配慮</t>
  </si>
  <si>
    <t>問23～問27・問31</t>
  </si>
  <si>
    <t>問19～問22・問28</t>
  </si>
  <si>
    <t>差別解消、合理的配慮、成年後見、虐待防止</t>
  </si>
  <si>
    <t>災害時支援</t>
  </si>
  <si>
    <t>避難行動要支援者、個別避難計画、福祉避難所、医療継続</t>
  </si>
  <si>
    <t>障がい児・移行支援</t>
  </si>
  <si>
    <t>教育・療育・福祉連携、進路・成人期への移行支援</t>
  </si>
  <si>
    <t>―</t>
  </si>
  <si>
    <t>問17～問24・問28</t>
  </si>
  <si>
    <t>障がい特性に応じた支援</t>
  </si>
  <si>
    <t>身体・知的・精神の障がい別の傾向を踏まえた情報提供、相談支援及びサービス提供体制の整備</t>
  </si>
  <si>
    <t>第３章【障がい別】の図表（問23、問27、問33）</t>
  </si>
  <si>
    <t>療育手帳所持者（16人）の結果（第５章）</t>
  </si>
  <si>
    <t>表7-1　サービス利用の需給ギャップ（n=259）</t>
  </si>
  <si>
    <t>現在利用</t>
  </si>
  <si>
    <t>今後利用意向</t>
  </si>
  <si>
    <t>差</t>
  </si>
  <si>
    <t>19件（7.3%）</t>
  </si>
  <si>
    <t>83件（32.0%）</t>
  </si>
  <si>
    <t>+64件（+24.7pt）</t>
  </si>
  <si>
    <t>9件（3.5%）</t>
  </si>
  <si>
    <t>67件（25.9%）</t>
  </si>
  <si>
    <t>+58件（+22.4pt）</t>
  </si>
  <si>
    <t>25件（9.7%）</t>
  </si>
  <si>
    <t>73件（28.2%）</t>
  </si>
  <si>
    <t>+48件（+18.5pt）</t>
  </si>
  <si>
    <t>37件（14.3%）</t>
  </si>
  <si>
    <t>84件（32.4%）</t>
  </si>
  <si>
    <t>+47件（+18.1pt）</t>
  </si>
  <si>
    <t>8件（3.1%）</t>
  </si>
  <si>
    <t>49件（18.9%）</t>
  </si>
  <si>
    <t>+41件（+15.8pt）</t>
  </si>
  <si>
    <t>18件（6.9%）</t>
  </si>
  <si>
    <t>54件（20.8%）</t>
  </si>
  <si>
    <t>+36件（+13.9pt）</t>
  </si>
  <si>
    <t>6件（2.3%）</t>
  </si>
  <si>
    <t>41件（15.8%）</t>
  </si>
  <si>
    <t>+35件（+13.5pt）</t>
  </si>
  <si>
    <t>5件（1.9%）</t>
  </si>
  <si>
    <t>38件（14.7%）</t>
  </si>
  <si>
    <t>+33件（+12.7pt）</t>
  </si>
  <si>
    <t>表7-2　障がい特性別のサービス利用意向（n=259）</t>
  </si>
  <si>
    <t>障がい特性</t>
  </si>
  <si>
    <t>n</t>
  </si>
  <si>
    <t>今後利用意向の上位3サービス</t>
  </si>
  <si>
    <t>身体障がい（身体障害者手帳所持）</t>
  </si>
  <si>
    <t>193</t>
  </si>
  <si>
    <t>居宅介護 66件（34.2%）、相談支援 57件（29.5%）、生活介護 57件（29.5%）</t>
  </si>
  <si>
    <t>知的障がい（療育手帳所持）</t>
  </si>
  <si>
    <t>33</t>
  </si>
  <si>
    <t>相談支援 12件（36.4%）、共同生活援助 11件（33.3%）、生活介護 9件（27.3%）</t>
  </si>
  <si>
    <t>精神障がい（精神障害者保健福祉手帳所持）</t>
  </si>
  <si>
    <t>44</t>
  </si>
  <si>
    <t>就労選択 15件（34.1%）、就労継続 13件（29.5%）、相談支援 12件（27.3%）</t>
  </si>
  <si>
    <t>発達障がい（診断あり）</t>
  </si>
  <si>
    <t>31</t>
  </si>
  <si>
    <t>就労選択 11件（35.5%）、相談支援 9件（29.0%）、就労移行 9件（29.0%）</t>
  </si>
  <si>
    <t>難病（認定あり）</t>
  </si>
  <si>
    <t>17</t>
  </si>
  <si>
    <t>居宅介護 7件（41.2%）、相談支援 4件（23.5%）、施設入所 4件（23.5%）</t>
  </si>
  <si>
    <t>高次脳機能障がい（診断あり）</t>
  </si>
  <si>
    <t>8</t>
  </si>
  <si>
    <t>居宅介護 3件（37.5%）、短期入所 2件（25.0%）、相談支援 2件（25.0%）</t>
  </si>
  <si>
    <t>表7-3　介助者の高齢化と将来の暮らし（n=105）</t>
  </si>
  <si>
    <t>主介助者年齢</t>
  </si>
  <si>
    <t>本人が家族との生活を希望</t>
  </si>
  <si>
    <t>介助者の健康状態「よくない」</t>
  </si>
  <si>
    <t>64歳以下</t>
  </si>
  <si>
    <t>51</t>
  </si>
  <si>
    <t>38件（74.5%）</t>
  </si>
  <si>
    <t>3件（5.9%）</t>
  </si>
  <si>
    <t>65～74歳</t>
  </si>
  <si>
    <t>35</t>
  </si>
  <si>
    <t>30件（85.7%）</t>
  </si>
  <si>
    <t>6件（17.1%）</t>
  </si>
  <si>
    <t>75歳以上</t>
  </si>
  <si>
    <t>19</t>
  </si>
  <si>
    <t>14件（73.7%）</t>
  </si>
  <si>
    <t>6件（31.6%）</t>
  </si>
  <si>
    <t>表7-4　ADL介助必要度とサービスニーズ（n=259）</t>
  </si>
  <si>
    <t>ADL介助区分</t>
  </si>
  <si>
    <t>介助なし</t>
  </si>
  <si>
    <t>127</t>
  </si>
  <si>
    <t>28件（22.0%）</t>
  </si>
  <si>
    <t>29件（22.8%）</t>
  </si>
  <si>
    <t>20件（15.7%）</t>
  </si>
  <si>
    <t>37件（29.1%）</t>
  </si>
  <si>
    <t>1～2項目で介助</t>
  </si>
  <si>
    <t>48</t>
  </si>
  <si>
    <t>12件（25.0%）</t>
  </si>
  <si>
    <t>14件（29.2%）</t>
  </si>
  <si>
    <t>11件（22.9%）</t>
  </si>
  <si>
    <t>19件（39.6%）</t>
  </si>
  <si>
    <t>3～5項目で介助</t>
  </si>
  <si>
    <t>11件（31.4%）</t>
  </si>
  <si>
    <t>10件（28.6%）</t>
  </si>
  <si>
    <t>13件（37.1%）</t>
  </si>
  <si>
    <t>6項目以上で介助</t>
  </si>
  <si>
    <t>49</t>
  </si>
  <si>
    <t>22件（44.9%）</t>
  </si>
  <si>
    <t>14件（28.6%）</t>
  </si>
  <si>
    <t>17件（34.7%）</t>
  </si>
  <si>
    <t>15件（30.6%）</t>
  </si>
  <si>
    <t>表7-5　災害時の避難支援（n=259）</t>
  </si>
  <si>
    <t>一人避難</t>
  </si>
  <si>
    <t>要支援者登録を希望</t>
  </si>
  <si>
    <t>個別避難計画を希望</t>
  </si>
  <si>
    <t>100</t>
  </si>
  <si>
    <t>14件（14.0%）</t>
  </si>
  <si>
    <t>18件（18.0%）</t>
  </si>
  <si>
    <t>92</t>
  </si>
  <si>
    <t>38件（41.3%）</t>
  </si>
  <si>
    <t>30件（32.6%）</t>
  </si>
  <si>
    <t>52</t>
  </si>
  <si>
    <t>18件（34.6%）</t>
  </si>
  <si>
    <t>15件（28.8%）</t>
  </si>
  <si>
    <t>15</t>
  </si>
  <si>
    <t>2件（13.3%）</t>
  </si>
  <si>
    <t>3件（20.0%）</t>
  </si>
  <si>
    <t>表7-6　地域生活移行・居住支援（n=41）</t>
  </si>
  <si>
    <t>現在の暮らし</t>
  </si>
  <si>
    <t>家族・一般住宅・GHを希望</t>
  </si>
  <si>
    <t>将来「福祉施設」を希望</t>
  </si>
  <si>
    <t>グループホーム</t>
  </si>
  <si>
    <t>11</t>
  </si>
  <si>
    <t>8件（72.7%）</t>
  </si>
  <si>
    <t>1件（9.1%）</t>
  </si>
  <si>
    <t>福祉施設</t>
  </si>
  <si>
    <t>24</t>
  </si>
  <si>
    <t>5件（20.8%）</t>
  </si>
  <si>
    <t>16件（66.7%）</t>
  </si>
  <si>
    <t>病院</t>
  </si>
  <si>
    <t>6</t>
  </si>
  <si>
    <t>4件（66.7%）</t>
  </si>
  <si>
    <t>2件（33.3%）</t>
  </si>
  <si>
    <t>表7-7　就労希望者に必要な支援（n=20）</t>
  </si>
  <si>
    <t>必要な就労支援</t>
  </si>
  <si>
    <t>職場の理解</t>
  </si>
  <si>
    <t>85.0%</t>
  </si>
  <si>
    <t>短時間勤務等</t>
  </si>
  <si>
    <t>12</t>
  </si>
  <si>
    <t>60.0%</t>
  </si>
  <si>
    <t>就労後フォロー</t>
  </si>
  <si>
    <t>55.0%</t>
  </si>
  <si>
    <t>通勤手段</t>
  </si>
  <si>
    <t>9</t>
  </si>
  <si>
    <t>45.0%</t>
  </si>
  <si>
    <t>職場外相談</t>
  </si>
  <si>
    <t>7</t>
  </si>
  <si>
    <t>35.0%</t>
  </si>
  <si>
    <t>在宅勤務</t>
  </si>
  <si>
    <t>30.0%</t>
  </si>
  <si>
    <t>表7-8　障がい児の年齢・障がい特性別分析（n=18）</t>
  </si>
  <si>
    <t>年齢</t>
  </si>
  <si>
    <t>就学・進路等で必要な支援（上位）</t>
  </si>
  <si>
    <t>3</t>
  </si>
  <si>
    <t>就学・進路相談 3件（100.0%）、個別支援 2件（66.7%）</t>
  </si>
  <si>
    <t>個別支援 5件（83.3%）、就学・進路相談 4件（66.7%）</t>
  </si>
  <si>
    <t>5</t>
  </si>
  <si>
    <t>就学・進路相談 5件（100.0%）、個別支援 2件（40.0%）</t>
  </si>
  <si>
    <t>4</t>
  </si>
  <si>
    <t>就学・進路相談 3件（75.0%）、個別支援 1件（25.0%）</t>
  </si>
  <si>
    <t>表7-9　障がい児の年齢・障がい特性別分析（n=25）</t>
  </si>
  <si>
    <t>今後利用意向の上位サービス</t>
  </si>
  <si>
    <t>16</t>
  </si>
  <si>
    <t>就労継続 7件（43.8%）、児童発達支援 3件（18.8%）、相談支援 1件（6.2%）</t>
  </si>
  <si>
    <t>13</t>
  </si>
  <si>
    <t>就労継続 5件（38.5%）、児童発達支援 4件（30.8%）、相談支援 2件（15.4%）</t>
  </si>
  <si>
    <t>表7-10　国の第8期基本指針との関係</t>
  </si>
  <si>
    <t>国の主な方向性</t>
  </si>
  <si>
    <t>今回追加した分析</t>
  </si>
  <si>
    <t>小野町計画での活用</t>
  </si>
  <si>
    <t>サービス必要量の見込み</t>
  </si>
  <si>
    <t>現在利用×今後利用意向</t>
  </si>
  <si>
    <t>サービス見込量と供給体制の検討</t>
  </si>
  <si>
    <t>地域生活移行・継続</t>
  </si>
  <si>
    <t>現在の暮らし×将来希望、施設等生活者の支援ニーズ</t>
  </si>
  <si>
    <t>住まい、在宅支援、相談、地域生活支援拠点</t>
  </si>
  <si>
    <t>相談支援・就労</t>
  </si>
  <si>
    <t>相談支援の利用意向、就労希望者×必要支援</t>
  </si>
  <si>
    <t>相談体制、就労選択支援、定着・企業連携</t>
  </si>
  <si>
    <t>障がい児支援・分野横断連携</t>
  </si>
  <si>
    <t>年齢×就学・進路支援、障がい特性×サービス</t>
  </si>
  <si>
    <t>教育・保育・福祉・医療の連携、成人期移行</t>
  </si>
  <si>
    <t>災害・緊急時支援</t>
  </si>
  <si>
    <t>避難可否×要支援者登録・個別避難計画</t>
  </si>
  <si>
    <t>個別避難計画、福祉避難所、医療継続</t>
  </si>
  <si>
    <t>障がい者調査（18歳以上）　単純集計（入力データ）</t>
  </si>
  <si>
    <t>青字のセル（件数・回答者数）が入力値です。割合は計算式で、各章シートの表・グラフに自動で反映されます。回答者数（n）は無回答を含む人数で、各設問の先頭行に入力し、2行目以降は先頭行を参照しています。「無回答」は各設問の最終行です。</t>
  </si>
  <si>
    <t>設問番号</t>
  </si>
  <si>
    <t>回答形式</t>
  </si>
  <si>
    <t>問1</t>
  </si>
  <si>
    <t>この調査票にご回答いただく方はどなたですか。（○は１つだけ）</t>
  </si>
  <si>
    <t>単一回答</t>
  </si>
  <si>
    <t>問2</t>
  </si>
  <si>
    <t>あなた（対象者）の性別をお答えください。（○は１つだけ）</t>
  </si>
  <si>
    <t>令和８年8月１日現在のあなた（対象者）の年齢をお答えください。</t>
  </si>
  <si>
    <t>あなたが現在暮らしている場所はどこですか。（○は１つだけ）</t>
  </si>
  <si>
    <t>問4-2</t>
  </si>
  <si>
    <t>同居しているご家族をお答えください。（あてはまるものすべてに○）</t>
  </si>
  <si>
    <t>複数回答</t>
  </si>
  <si>
    <t>問5</t>
  </si>
  <si>
    <t>単一回答（項目別）</t>
  </si>
  <si>
    <t>問6</t>
  </si>
  <si>
    <t>【問5で「一部介助が必要」または「全部介助が必要」と答えた方のみ】あなたを介助してくれる方は主に誰ですか。（あてはまるものすべてに○）</t>
  </si>
  <si>
    <t>【問6で「１」～「３」を選択した方のみ】あなたを介助してくれる家族で、特に中心となっている方の年齢（令和８年8月１日現在）</t>
  </si>
  <si>
    <t>問7-2</t>
  </si>
  <si>
    <t>（主に中心となって介助する家族の）性別（○は１つだけ）</t>
  </si>
  <si>
    <t>問7-3</t>
  </si>
  <si>
    <t>（主に中心となって介助する家族の）健康状態（○は１つだけ）</t>
  </si>
  <si>
    <t>問8</t>
  </si>
  <si>
    <t>あなたは身体障害者手帳をお持ちですか。（○は１つだけ）</t>
  </si>
  <si>
    <t>問9</t>
  </si>
  <si>
    <t>身体障害者手帳をお持ちの場合、主な障がいをお答えください。（○は１つだけ）</t>
  </si>
  <si>
    <t>問10</t>
  </si>
  <si>
    <t>あなたは療育手帳をお持ちですか。（○は１つだけ）</t>
  </si>
  <si>
    <t>問11</t>
  </si>
  <si>
    <t>あなたは精神障害者保健福祉手帳をお持ちですか。（○は１つだけ）</t>
  </si>
  <si>
    <t>問12</t>
  </si>
  <si>
    <t>あなたは特別児童扶養手当を受給していますか。（○は１つだけ）</t>
  </si>
  <si>
    <t>問13</t>
  </si>
  <si>
    <t>あなたは難病（特定疾患）の認定を受けていますか。（○は１つだけ）</t>
  </si>
  <si>
    <t>問14</t>
  </si>
  <si>
    <t>あなたは発達障がいとして診断されたことがありますか。（○は１つだけ）</t>
  </si>
  <si>
    <t>問15-1</t>
  </si>
  <si>
    <t>あなたは高次脳機能障がいとして診断されたことはありますか。（○は１つだけ）</t>
  </si>
  <si>
    <t>問15-2</t>
  </si>
  <si>
    <t>その関連障がいをお答えください。（あてはまるものすべてに○）</t>
  </si>
  <si>
    <t>問16</t>
  </si>
  <si>
    <t>あなたが現在受けている医療ケアをお答えください。（あてはまるものすべてに○）</t>
  </si>
  <si>
    <t>あなたは、将来どのように暮らしたいですか。（○は１つだけ）</t>
  </si>
  <si>
    <t>地域で生活するためには、どのような支援があればよいと思いますか。（あてはまるものすべてに○）</t>
  </si>
  <si>
    <t>問19</t>
  </si>
  <si>
    <t>あなたは１週間にどの程度外出しますか。（○は１つだけ）</t>
  </si>
  <si>
    <t>問20</t>
  </si>
  <si>
    <t>【問20から問22は、問19で「１」～「３」を選択した方のみ】あなたが外出する際の主な同伴者は誰ですか。（○は１つだけ）</t>
  </si>
  <si>
    <t>問21</t>
  </si>
  <si>
    <t>あなたはどのような目的で外出することが多いですか。（あてはまるものすべてに○）</t>
  </si>
  <si>
    <t>あなたが外出するときに困ることは何ですか。（あてはまるものすべてに○）</t>
  </si>
  <si>
    <t>あなたは、平日の日中を主にどのように過ごしていますか。（○は１つだけ）</t>
  </si>
  <si>
    <t>問24</t>
  </si>
  <si>
    <t>どのような業務形態で働いていますか。（○は１つだけ）</t>
  </si>
  <si>
    <t>問25</t>
  </si>
  <si>
    <t>【問23で「１」以外を選択した18～64歳の方のみ】あなたは今後、収入を得る仕事をしたいと思いますか。（○は１つだけ）</t>
  </si>
  <si>
    <t>問26</t>
  </si>
  <si>
    <t>収入を得る仕事に就くために、職業訓練などを受けたいと思いますか。（○は１つだけ）</t>
  </si>
  <si>
    <t>あなたは、障がい者の就労支援として、どのようなことが必要だと思いますか。（あてはまるものすべてに○）</t>
  </si>
  <si>
    <t>問28</t>
  </si>
  <si>
    <t>あなたは障がい支援区分の認定を受けていますか。（○は１つだけ）</t>
  </si>
  <si>
    <t>あなたは介護保険によるサービスを利用していますか。（○は１つだけ）</t>
  </si>
  <si>
    <t>問30</t>
  </si>
  <si>
    <t>該当する要介護度はどれですか。（○は１つだけ）</t>
  </si>
  <si>
    <t>問31-1</t>
  </si>
  <si>
    <t>問31-2</t>
  </si>
  <si>
    <t>利用したい</t>
  </si>
  <si>
    <t>利用しない</t>
  </si>
  <si>
    <t>あなたは普段、悩みや困ったことをどなたに相談していますか。（あてはまるものすべてに○）</t>
  </si>
  <si>
    <t>あなたは障がいのことや福祉サービスなどに関する情報を、どこから知ることが多いですか。（あてはまるものすべてに○）</t>
  </si>
  <si>
    <t>あなたは、障がいがあることで差別や嫌な思いをする（した）ことがありますか。（○は１つだけ）</t>
  </si>
  <si>
    <t>問36-1</t>
  </si>
  <si>
    <t>どのような場所で差別や嫌な思いをしましたか。（あてはまるものすべてに○）</t>
  </si>
  <si>
    <t>成年後見制度についてご存知ですか。（○は１つだけ）</t>
  </si>
  <si>
    <t>問38</t>
  </si>
  <si>
    <t>成年後見制度の窓口についてご存知ですか。知っている窓口をお答えください。（あてはまるものすべてに○）</t>
  </si>
  <si>
    <t>問39</t>
  </si>
  <si>
    <t>障害者虐待の防止、障害者の養護者に対する支援等に関する法律（障害者虐待防止法）についてご存じですか。（○は１つだけ）</t>
  </si>
  <si>
    <t>問40</t>
  </si>
  <si>
    <t>障害を理由とする差別の解消の推進に関する法律（障害者差別解消法）についてご存じですか。（○は１つだけ）</t>
  </si>
  <si>
    <t>あなたは、火事や地震等の災害時に一人で避難できますか。（○は１つだけ）</t>
  </si>
  <si>
    <t>家族が不在の場合や一人暮らしの場合、近所にあなたを助けてくれる人はいますか。（○は１つだけ）</t>
  </si>
  <si>
    <t>火事や地震等の災害時に困ることは何ですか。（あてはまるものすべてに○）</t>
  </si>
  <si>
    <t>問44</t>
  </si>
  <si>
    <t>避難行動要支援者の対象者として、登録したいと思いますか。（○は１つだけ）</t>
  </si>
  <si>
    <t>災害時の個別避難計画の作成を希望しますか。（○は１つだけ）</t>
  </si>
  <si>
    <t>障がい児調査（18歳未満）　単純集計（入力データ）</t>
  </si>
  <si>
    <t>【問6で「１」を選択した方のみ】あなたを介助してくれる家族で、特に中心となっている方の年齢（令和８年８月１日現在）</t>
  </si>
  <si>
    <t>【問17で「１」～「４」を選択した方のみ】地域で生活するためには、どのような支援があればよいと思いますか。（あてはまるものすべてに○）</t>
  </si>
  <si>
    <t>【小学校・中学校に通っている方のみ】あなたは、中学校卒業後、どのような進路を希望していますか。（○は１つだけ）</t>
  </si>
  <si>
    <t>【高等学校に通っている方のみ】あなたは、学校卒業後、どのような進路を希望していますか。（○は１つだけ）</t>
  </si>
  <si>
    <t>【問17で「５」～「９」を選択した方のみ】あなたは今後、収入を得る仕事をしたいと思いますか。（○は１つだけ）</t>
  </si>
  <si>
    <t>【問21で「１」、「３」を選択した方のみ】収入を得る仕事に就くために、職業訓練などを受けたいと思いますか。（○は１つだけ）</t>
  </si>
  <si>
    <t>【問26から問27は、問25で「１」～「３」を選択した方のみ】あなたはどのような目的で外出することが多いですか。（あてはまるものすべてに○）</t>
  </si>
  <si>
    <t>問28-1</t>
  </si>
  <si>
    <t>問28-2</t>
  </si>
  <si>
    <t>問31</t>
  </si>
  <si>
    <t>問32</t>
  </si>
  <si>
    <t>問33-1</t>
  </si>
  <si>
    <t>問36</t>
  </si>
  <si>
    <t>障がい者調査　障がい別集計（入力データ）</t>
  </si>
  <si>
    <t>障がい別は、所持している手帳により区分しています（身体障害者手帳（問8で１～６級）＝身体障がい、療育手帳（問10でＡ判定・Ｂ判定）＝知的障がい、精神障害者保健福祉手帳（問11で１～３級）＝精神障がい）。複数の手帳を所持している方は各区分に計上。青字が入力値（件数・回答者数）、割合は各区分の回答者数を基数とする計算式です。</t>
  </si>
  <si>
    <t>設問・項目</t>
  </si>
  <si>
    <t>身体障がい
（件数）</t>
  </si>
  <si>
    <t>知的障がい
（件数）</t>
  </si>
  <si>
    <t>精神障がい
（件数）</t>
  </si>
  <si>
    <t>身体障がい
（割合）</t>
  </si>
  <si>
    <t>知的障がい
（割合）</t>
  </si>
  <si>
    <t>精神障がい
（割合）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</si>
</sst>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&quot;件&quot;"/>
    <numFmt numFmtId="178" formatCode="\+0.0;\-0.0;&quot;－&quot;"/>
    <numFmt numFmtId="179" formatCode="0.0%;\-0.0%;&quot;－&quot;"/>
  </numFmts>
  <fonts count="13">
    <font>
      <sz val="11"/>
      <color theme="1"/>
      <name val="Calibri"/>
      <family val="2"/>
      <scheme val="minor"/>
    </font>
    <font>
      <b/>
      <sz val="12"/>
      <color rgb="FF1F4E79"/>
      <name val="BIZ UDPゴシック"/>
    </font>
    <font>
      <sz val="9"/>
      <color rgb="FF595959"/>
      <name val="BIZ UDPゴシック"/>
    </font>
    <font>
      <b/>
      <sz val="9.5"/>
      <color rgb="FFFFFFFF"/>
      <name val="BIZ UDPゴシック"/>
    </font>
    <font>
      <sz val="9.5"/>
      <color rgb="FF262626"/>
      <name val="BIZ UDPゴシック"/>
    </font>
    <font>
      <sz val="9.5"/>
      <color rgb="FF0000FF"/>
      <name val="BIZ UDPゴシック"/>
    </font>
    <font>
      <b/>
      <sz val="9.5"/>
      <color rgb="FF262626"/>
      <name val="BIZ UDPゴシック"/>
    </font>
    <font>
      <b/>
      <sz val="11"/>
      <color rgb="FF1F4E79"/>
      <name val="BIZ UDPゴシック"/>
    </font>
    <font>
      <sz val="8.5"/>
      <color rgb="FF595959"/>
      <name val="BIZ UDPゴシック"/>
    </font>
    <font>
      <b/>
      <sz val="9"/>
      <color rgb="FF595959"/>
      <name val="BIZ UDPゴシック"/>
    </font>
    <font>
      <b/>
      <sz val="14"/>
      <color rgb="FF1F4E79"/>
      <name val="BIZ UDPゴシック"/>
    </font>
    <font>
      <sz val="10"/>
      <color rgb="FF262626"/>
      <name val="BIZ UDPゴシック"/>
    </font>
    <font>
      <u/>
      <sz val="9.5"/>
      <color rgb="FF0563C1"/>
      <name val="BIZ UDPゴシック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3F7FB"/>
      </patternFill>
    </fill>
  </fills>
  <borders count="4">
    <border>
      <left/>
      <right/>
      <top/>
      <bottom/>
      <diagonal/>
    </border>
    <border>
      <left style="thin">
        <color rgb="FF9FB3CC"/>
      </left>
      <right style="thin">
        <color rgb="FF9FB3CC"/>
      </right>
      <top style="thin">
        <color rgb="FF9FB3CC"/>
      </top>
      <bottom style="thin">
        <color rgb="FF9FB3CC"/>
      </bottom>
      <diagonal/>
    </border>
    <border>
      <left/>
      <right/>
      <top style="thin">
        <color rgb="FF9FB3CC"/>
      </top>
      <bottom style="thin">
        <color rgb="FF9FB3CC"/>
      </bottom>
      <diagonal/>
    </border>
    <border>
      <left/>
      <right style="thin">
        <color rgb="FF9FB3CC"/>
      </right>
      <top style="thin">
        <color rgb="FF9FB3CC"/>
      </top>
      <bottom style="thin">
        <color rgb="FF9FB3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1" fontId="5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0" borderId="0" xfId="0" applyFont="1"/>
    <xf numFmtId="0" fontId="11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left" vertical="center" wrapText="1"/>
    </xf>
    <xf numFmtId="177" fontId="5" fillId="4" borderId="1" xfId="0" applyNumberFormat="1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標準" xfId="0" builtinId="0"/>
  </cellStyles>
  <dxfs count="26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EF-4E67-90F4-63CBFAACC913}"/>
              </c:ext>
            </c:extLst>
          </c:dPt>
          <c:dPt>
            <c:idx val="6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EF-4E67-90F4-63CBFAACC9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'3章_1属性'!$B$5:$B$11</c:f>
              <c:strCache>
                <c:ptCount val="7"/>
                <c:pt idx="0">
                  <c:v>ご本人が自分で記入</c:v>
                </c:pt>
                <c:pt idx="1">
                  <c:v>ご本人が回答し、家族の方が記入</c:v>
                </c:pt>
                <c:pt idx="2">
                  <c:v>家族の方が代理で回答・記入</c:v>
                </c:pt>
                <c:pt idx="3">
                  <c:v>ご本人が回答し、施設職員が記入</c:v>
                </c:pt>
                <c:pt idx="4">
                  <c:v>施設職員が代理で回答・記入</c:v>
                </c:pt>
                <c:pt idx="5">
                  <c:v>その他</c:v>
                </c:pt>
                <c:pt idx="6">
                  <c:v>無回答</c:v>
                </c:pt>
              </c:strCache>
            </c:strRef>
          </c:cat>
          <c:val>
            <c:numRef>
              <c:f>'3章_1属性'!$D$5:$D$11</c:f>
              <c:numCache>
                <c:formatCode>0.0%</c:formatCode>
                <c:ptCount val="7"/>
                <c:pt idx="0">
                  <c:v>0.55598455598455598</c:v>
                </c:pt>
                <c:pt idx="1">
                  <c:v>0.14285714285714299</c:v>
                </c:pt>
                <c:pt idx="2">
                  <c:v>0.18532818532818501</c:v>
                </c:pt>
                <c:pt idx="3">
                  <c:v>3.4749034749034798E-2</c:v>
                </c:pt>
                <c:pt idx="4">
                  <c:v>3.8610038610038602E-2</c:v>
                </c:pt>
                <c:pt idx="5">
                  <c:v>1.15830115830116E-2</c:v>
                </c:pt>
                <c:pt idx="6">
                  <c:v>3.0888030888030899E-2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EEF-4E67-90F4-63CBFAAC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8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'3章_1属性'!$B$18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'3章_1属性'!$D$18</c:f>
              <c:numCache>
                <c:formatCode>0.0%</c:formatCode>
                <c:ptCount val="1"/>
                <c:pt idx="0">
                  <c:v>0.55598455598455598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EB-46FD-A6C7-F3A6F3C9F853}"/>
            </c:ext>
          </c:extLst>
        </c:ser>
        <c:ser>
          <c:idx val="1"/>
          <c:order val="1"/>
          <c:tx>
            <c:strRef>
              <c:f>'3章_1属性'!$B$19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'3章_1属性'!$D$19</c:f>
              <c:numCache>
                <c:formatCode>0.0%</c:formatCode>
                <c:ptCount val="1"/>
                <c:pt idx="0">
                  <c:v>0.42084942084942101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EB-46FD-A6C7-F3A6F3C9F853}"/>
            </c:ext>
          </c:extLst>
        </c:ser>
        <c:ser>
          <c:idx val="2"/>
          <c:order val="2"/>
          <c:tx>
            <c:strRef>
              <c:f>'3章_1属性'!$B$20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'3章_1属性'!$D$20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EB-46FD-A6C7-F3A6F3C9F853}"/>
            </c:ext>
          </c:extLst>
        </c:ser>
        <c:ser>
          <c:idx val="3"/>
          <c:order val="3"/>
          <c:tx>
            <c:strRef>
              <c:f>'3章_1属性'!$B$21</c:f>
              <c:strCache>
                <c:ptCount val="1"/>
                <c:pt idx="0">
                  <c:v>答えたくない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'3章_1属性'!$D$21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4EB-46FD-A6C7-F3A6F3C9F853}"/>
            </c:ext>
          </c:extLst>
        </c:ser>
        <c:ser>
          <c:idx val="4"/>
          <c:order val="4"/>
          <c:tx>
            <c:strRef>
              <c:f>'3章_1属性'!$B$22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'3章_1属性'!$D$22</c:f>
              <c:numCache>
                <c:formatCode>0.0%</c:formatCode>
                <c:ptCount val="1"/>
                <c:pt idx="0">
                  <c:v>2.31660231660232E-2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4EB-46FD-A6C7-F3A6F3C9F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'3章_1属性'!C28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'3章_1属性'!$B$29:$B$32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'3章_1属性'!$C$29:$C$32</c:f>
              <c:numCache>
                <c:formatCode>0.0%</c:formatCode>
                <c:ptCount val="4"/>
                <c:pt idx="0">
                  <c:v>0.55598455598455598</c:v>
                </c:pt>
                <c:pt idx="1">
                  <c:v>0.56994818652849699</c:v>
                </c:pt>
                <c:pt idx="2">
                  <c:v>0.60606060606060597</c:v>
                </c:pt>
                <c:pt idx="3">
                  <c:v>0.54545454545454497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53-460C-ABC6-21AD1831A2A3}"/>
            </c:ext>
          </c:extLst>
        </c:ser>
        <c:ser>
          <c:idx val="1"/>
          <c:order val="1"/>
          <c:tx>
            <c:strRef>
              <c:f>'3章_1属性'!D28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'3章_1属性'!$B$29:$B$32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'3章_1属性'!$D$29:$D$32</c:f>
              <c:numCache>
                <c:formatCode>0.0%</c:formatCode>
                <c:ptCount val="4"/>
                <c:pt idx="0">
                  <c:v>0.42084942084942101</c:v>
                </c:pt>
                <c:pt idx="1">
                  <c:v>0.40414507772020702</c:v>
                </c:pt>
                <c:pt idx="2">
                  <c:v>0.36363636363636398</c:v>
                </c:pt>
                <c:pt idx="3">
                  <c:v>0.40909090909090901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53-460C-ABC6-21AD1831A2A3}"/>
            </c:ext>
          </c:extLst>
        </c:ser>
        <c:ser>
          <c:idx val="2"/>
          <c:order val="2"/>
          <c:tx>
            <c:strRef>
              <c:f>'3章_1属性'!E28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'3章_1属性'!$B$29:$B$32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'3章_1属性'!$E$29:$E$32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B53-460C-ABC6-21AD1831A2A3}"/>
            </c:ext>
          </c:extLst>
        </c:ser>
        <c:ser>
          <c:idx val="3"/>
          <c:order val="3"/>
          <c:tx>
            <c:strRef>
              <c:f>'3章_1属性'!F28</c:f>
              <c:strCache>
                <c:ptCount val="1"/>
                <c:pt idx="0">
                  <c:v>答えたくない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'3章_1属性'!$B$29:$B$32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'3章_1属性'!$F$29:$F$32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B53-460C-ABC6-21AD1831A2A3}"/>
            </c:ext>
          </c:extLst>
        </c:ser>
        <c:ser>
          <c:idx val="4"/>
          <c:order val="4"/>
          <c:tx>
            <c:strRef>
              <c:f>'3章_1属性'!G28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'3章_1属性'!$B$29:$B$32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'3章_1属性'!$G$29:$G$32</c:f>
              <c:numCache>
                <c:formatCode>0.0%</c:formatCode>
                <c:ptCount val="4"/>
                <c:pt idx="0">
                  <c:v>2.31660231660232E-2</c:v>
                </c:pt>
                <c:pt idx="1">
                  <c:v>2.59067357512953E-2</c:v>
                </c:pt>
                <c:pt idx="2">
                  <c:v>3.03030303030303E-2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B53-460C-ABC6-21AD1831A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'3章_1属性'!$B$43</c:f>
              <c:strCache>
                <c:ptCount val="1"/>
                <c:pt idx="0">
                  <c:v>18～29歳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'3章_1属性'!$D$43</c:f>
              <c:numCache>
                <c:formatCode>0.0%</c:formatCode>
                <c:ptCount val="1"/>
                <c:pt idx="0">
                  <c:v>4.6332046332046302E-2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84-4006-A48A-F19933650246}"/>
            </c:ext>
          </c:extLst>
        </c:ser>
        <c:ser>
          <c:idx val="1"/>
          <c:order val="1"/>
          <c:tx>
            <c:strRef>
              <c:f>'3章_1属性'!$B$44</c:f>
              <c:strCache>
                <c:ptCount val="1"/>
                <c:pt idx="0">
                  <c:v>30～39歳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'3章_1属性'!$D$44</c:f>
              <c:numCache>
                <c:formatCode>0.0%</c:formatCode>
                <c:ptCount val="1"/>
                <c:pt idx="0">
                  <c:v>4.6332046332046302E-2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84-4006-A48A-F19933650246}"/>
            </c:ext>
          </c:extLst>
        </c:ser>
        <c:ser>
          <c:idx val="2"/>
          <c:order val="2"/>
          <c:tx>
            <c:strRef>
              <c:f>'3章_1属性'!$B$45</c:f>
              <c:strCache>
                <c:ptCount val="1"/>
                <c:pt idx="0">
                  <c:v>40～49歳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'3章_1属性'!$D$45</c:f>
              <c:numCache>
                <c:formatCode>0.0%</c:formatCode>
                <c:ptCount val="1"/>
                <c:pt idx="0">
                  <c:v>6.1776061776061798E-2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384-4006-A48A-F19933650246}"/>
            </c:ext>
          </c:extLst>
        </c:ser>
        <c:ser>
          <c:idx val="3"/>
          <c:order val="3"/>
          <c:tx>
            <c:strRef>
              <c:f>'3章_1属性'!$B$46</c:f>
              <c:strCache>
                <c:ptCount val="1"/>
                <c:pt idx="0">
                  <c:v>50～64歳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'3章_1属性'!$D$46</c:f>
              <c:numCache>
                <c:formatCode>0.0%</c:formatCode>
                <c:ptCount val="1"/>
                <c:pt idx="0">
                  <c:v>0.123552123552124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384-4006-A48A-F19933650246}"/>
            </c:ext>
          </c:extLst>
        </c:ser>
        <c:ser>
          <c:idx val="4"/>
          <c:order val="4"/>
          <c:tx>
            <c:strRef>
              <c:f>'3章_1属性'!$B$47</c:f>
              <c:strCache>
                <c:ptCount val="1"/>
                <c:pt idx="0">
                  <c:v>65歳以上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'3章_1属性'!$D$47</c:f>
              <c:numCache>
                <c:formatCode>0.0%</c:formatCode>
                <c:ptCount val="1"/>
                <c:pt idx="0">
                  <c:v>0.68339768339768303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384-4006-A48A-F19933650246}"/>
            </c:ext>
          </c:extLst>
        </c:ser>
        <c:ser>
          <c:idx val="5"/>
          <c:order val="5"/>
          <c:tx>
            <c:strRef>
              <c:f>'3章_1属性'!$B$48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'3章_1属性'!$D$48</c:f>
              <c:numCache>
                <c:formatCode>0.0%</c:formatCode>
                <c:ptCount val="1"/>
                <c:pt idx="0">
                  <c:v>3.8610038610038602E-2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384-4006-A48A-F19933650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'3章_1属性'!C53</c:f>
              <c:strCache>
                <c:ptCount val="1"/>
                <c:pt idx="0">
                  <c:v>18～29歳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'3章_1属性'!$B$54:$B$57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'3章_1属性'!$C$54:$C$57</c:f>
              <c:numCache>
                <c:formatCode>0.0%</c:formatCode>
                <c:ptCount val="4"/>
                <c:pt idx="0">
                  <c:v>4.6332046332046302E-2</c:v>
                </c:pt>
                <c:pt idx="1">
                  <c:v>5.1813471502590702E-3</c:v>
                </c:pt>
                <c:pt idx="2">
                  <c:v>0.21212121212121199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28-4091-9271-4A582A4A87D5}"/>
            </c:ext>
          </c:extLst>
        </c:ser>
        <c:ser>
          <c:idx val="1"/>
          <c:order val="1"/>
          <c:tx>
            <c:strRef>
              <c:f>'3章_1属性'!D53</c:f>
              <c:strCache>
                <c:ptCount val="1"/>
                <c:pt idx="0">
                  <c:v>30～39歳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'3章_1属性'!$B$54:$B$57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'3章_1属性'!$D$54:$D$57</c:f>
              <c:numCache>
                <c:formatCode>0.0%</c:formatCode>
                <c:ptCount val="4"/>
                <c:pt idx="0">
                  <c:v>4.6332046332046302E-2</c:v>
                </c:pt>
                <c:pt idx="1">
                  <c:v>1.55440414507772E-2</c:v>
                </c:pt>
                <c:pt idx="2">
                  <c:v>0.12121212121212099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628-4091-9271-4A582A4A87D5}"/>
            </c:ext>
          </c:extLst>
        </c:ser>
        <c:ser>
          <c:idx val="2"/>
          <c:order val="2"/>
          <c:tx>
            <c:strRef>
              <c:f>'3章_1属性'!E53</c:f>
              <c:strCache>
                <c:ptCount val="1"/>
                <c:pt idx="0">
                  <c:v>40～49歳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'3章_1属性'!$B$54:$B$57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'3章_1属性'!$E$54:$E$57</c:f>
              <c:numCache>
                <c:formatCode>0.0%</c:formatCode>
                <c:ptCount val="4"/>
                <c:pt idx="0">
                  <c:v>6.1776061776061798E-2</c:v>
                </c:pt>
                <c:pt idx="1">
                  <c:v>2.59067357512953E-2</c:v>
                </c:pt>
                <c:pt idx="2">
                  <c:v>6.0606060606060601E-2</c:v>
                </c:pt>
                <c:pt idx="3">
                  <c:v>0.204545454545455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628-4091-9271-4A582A4A87D5}"/>
            </c:ext>
          </c:extLst>
        </c:ser>
        <c:ser>
          <c:idx val="3"/>
          <c:order val="3"/>
          <c:tx>
            <c:strRef>
              <c:f>'3章_1属性'!F53</c:f>
              <c:strCache>
                <c:ptCount val="1"/>
                <c:pt idx="0">
                  <c:v>50～64歳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'3章_1属性'!$B$54:$B$57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'3章_1属性'!$F$54:$F$57</c:f>
              <c:numCache>
                <c:formatCode>0.0%</c:formatCode>
                <c:ptCount val="4"/>
                <c:pt idx="0">
                  <c:v>0.123552123552124</c:v>
                </c:pt>
                <c:pt idx="1">
                  <c:v>9.3264248704663197E-2</c:v>
                </c:pt>
                <c:pt idx="2">
                  <c:v>0.30303030303030298</c:v>
                </c:pt>
                <c:pt idx="3">
                  <c:v>0.22727272727272699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628-4091-9271-4A582A4A87D5}"/>
            </c:ext>
          </c:extLst>
        </c:ser>
        <c:ser>
          <c:idx val="4"/>
          <c:order val="4"/>
          <c:tx>
            <c:strRef>
              <c:f>'3章_1属性'!G53</c:f>
              <c:strCache>
                <c:ptCount val="1"/>
                <c:pt idx="0">
                  <c:v>65歳以上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'3章_1属性'!$B$54:$B$57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'3章_1属性'!$G$54:$G$57</c:f>
              <c:numCache>
                <c:formatCode>0.0%</c:formatCode>
                <c:ptCount val="4"/>
                <c:pt idx="0">
                  <c:v>0.68339768339768303</c:v>
                </c:pt>
                <c:pt idx="1">
                  <c:v>0.82383419689119197</c:v>
                </c:pt>
                <c:pt idx="2">
                  <c:v>0.27272727272727298</c:v>
                </c:pt>
                <c:pt idx="3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628-4091-9271-4A582A4A87D5}"/>
            </c:ext>
          </c:extLst>
        </c:ser>
        <c:ser>
          <c:idx val="5"/>
          <c:order val="5"/>
          <c:tx>
            <c:strRef>
              <c:f>'3章_1属性'!H53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'3章_1属性'!$B$54:$B$57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'3章_1属性'!$H$54:$H$57</c:f>
              <c:numCache>
                <c:formatCode>0.0%</c:formatCode>
                <c:ptCount val="4"/>
                <c:pt idx="0">
                  <c:v>3.8610038610038602E-2</c:v>
                </c:pt>
                <c:pt idx="1">
                  <c:v>3.6269430051813503E-2</c:v>
                </c:pt>
                <c:pt idx="2">
                  <c:v>3.03030303030303E-2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628-4091-9271-4A582A4A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71-48C2-8AD1-AA85506F611C}"/>
              </c:ext>
            </c:extLst>
          </c:dPt>
          <c:dPt>
            <c:idx val="6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71-48C2-8AD1-AA85506F61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'3章_1属性'!$B$69:$B$75</c:f>
              <c:strCache>
                <c:ptCount val="7"/>
                <c:pt idx="0">
                  <c:v>自宅（アパート・町営住宅等も含む）でひとり暮らし</c:v>
                </c:pt>
                <c:pt idx="1">
                  <c:v>自宅（アパート・町営住宅等も含む）で家族等と一緒に住んでいる</c:v>
                </c:pt>
                <c:pt idx="2">
                  <c:v>グループホームで暮らしている</c:v>
                </c:pt>
                <c:pt idx="3">
                  <c:v>福祉施設（障がい者支援施設、高齢者支援施設）で暮らしている</c:v>
                </c:pt>
                <c:pt idx="4">
                  <c:v>病院に入院している</c:v>
                </c:pt>
                <c:pt idx="5">
                  <c:v>その他</c:v>
                </c:pt>
                <c:pt idx="6">
                  <c:v>無回答</c:v>
                </c:pt>
              </c:strCache>
            </c:strRef>
          </c:cat>
          <c:val>
            <c:numRef>
              <c:f>'3章_1属性'!$D$69:$D$75</c:f>
              <c:numCache>
                <c:formatCode>0.0%</c:formatCode>
                <c:ptCount val="7"/>
                <c:pt idx="0">
                  <c:v>0.15830115830115801</c:v>
                </c:pt>
                <c:pt idx="1">
                  <c:v>0.65250965250965298</c:v>
                </c:pt>
                <c:pt idx="2">
                  <c:v>4.2471042471042497E-2</c:v>
                </c:pt>
                <c:pt idx="3">
                  <c:v>9.2664092664092701E-2</c:v>
                </c:pt>
                <c:pt idx="4">
                  <c:v>2.31660231660232E-2</c:v>
                </c:pt>
                <c:pt idx="5">
                  <c:v>3.8610038610038598E-3</c:v>
                </c:pt>
                <c:pt idx="6">
                  <c:v>2.7027027027027001E-2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D71-48C2-8AD1-AA85506F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9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'3章_1属性'!C80</c:f>
              <c:strCache>
                <c:ptCount val="1"/>
                <c:pt idx="0">
                  <c:v>自宅（アパート・町営住宅等も含む）でひとり暮らし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'3章_1属性'!$B$81:$B$84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'3章_1属性'!$C$81:$C$84</c:f>
              <c:numCache>
                <c:formatCode>0.0%</c:formatCode>
                <c:ptCount val="4"/>
                <c:pt idx="0">
                  <c:v>0.15830115830115801</c:v>
                </c:pt>
                <c:pt idx="1">
                  <c:v>0.181347150259067</c:v>
                </c:pt>
                <c:pt idx="2">
                  <c:v>0.12121212121212099</c:v>
                </c:pt>
                <c:pt idx="3">
                  <c:v>0.18181818181818199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21-4705-AAF7-6384DE06307A}"/>
            </c:ext>
          </c:extLst>
        </c:ser>
        <c:ser>
          <c:idx val="1"/>
          <c:order val="1"/>
          <c:tx>
            <c:strRef>
              <c:f>'3章_1属性'!D80</c:f>
              <c:strCache>
                <c:ptCount val="1"/>
                <c:pt idx="0">
                  <c:v>自宅（アパート・町営住宅等も含む）で家族等と一緒に住んでいる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'3章_1属性'!$B$81:$B$84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'3章_1属性'!$D$81:$D$84</c:f>
              <c:numCache>
                <c:formatCode>0.0%</c:formatCode>
                <c:ptCount val="4"/>
                <c:pt idx="0">
                  <c:v>0.65250965250965298</c:v>
                </c:pt>
                <c:pt idx="1">
                  <c:v>0.637305699481865</c:v>
                </c:pt>
                <c:pt idx="2">
                  <c:v>0.51515151515151503</c:v>
                </c:pt>
                <c:pt idx="3">
                  <c:v>0.61363636363636398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21-4705-AAF7-6384DE06307A}"/>
            </c:ext>
          </c:extLst>
        </c:ser>
        <c:ser>
          <c:idx val="2"/>
          <c:order val="2"/>
          <c:tx>
            <c:strRef>
              <c:f>'3章_1属性'!E80</c:f>
              <c:strCache>
                <c:ptCount val="1"/>
                <c:pt idx="0">
                  <c:v>グループホームで暮らしている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'3章_1属性'!$B$81:$B$84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'3章_1属性'!$E$81:$E$84</c:f>
              <c:numCache>
                <c:formatCode>0.0%</c:formatCode>
                <c:ptCount val="4"/>
                <c:pt idx="0">
                  <c:v>4.2471042471042497E-2</c:v>
                </c:pt>
                <c:pt idx="1">
                  <c:v>3.6269430051813503E-2</c:v>
                </c:pt>
                <c:pt idx="2">
                  <c:v>9.0909090909090898E-2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221-4705-AAF7-6384DE06307A}"/>
            </c:ext>
          </c:extLst>
        </c:ser>
        <c:ser>
          <c:idx val="3"/>
          <c:order val="3"/>
          <c:tx>
            <c:strRef>
              <c:f>'3章_1属性'!F80</c:f>
              <c:strCache>
                <c:ptCount val="1"/>
                <c:pt idx="0">
                  <c:v>福祉施設（障がい者支援施設、高齢者支援施設）で暮らしている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'3章_1属性'!$B$81:$B$84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'3章_1属性'!$F$81:$F$84</c:f>
              <c:numCache>
                <c:formatCode>0.0%</c:formatCode>
                <c:ptCount val="4"/>
                <c:pt idx="0">
                  <c:v>9.2664092664092701E-2</c:v>
                </c:pt>
                <c:pt idx="1">
                  <c:v>8.2901554404145095E-2</c:v>
                </c:pt>
                <c:pt idx="2">
                  <c:v>0.24242424242424199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221-4705-AAF7-6384DE06307A}"/>
            </c:ext>
          </c:extLst>
        </c:ser>
        <c:ser>
          <c:idx val="4"/>
          <c:order val="4"/>
          <c:tx>
            <c:strRef>
              <c:f>'3章_1属性'!G80</c:f>
              <c:strCache>
                <c:ptCount val="1"/>
                <c:pt idx="0">
                  <c:v>病院に入院している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'3章_1属性'!$B$81:$B$84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'3章_1属性'!$G$81:$G$84</c:f>
              <c:numCache>
                <c:formatCode>0.0%</c:formatCode>
                <c:ptCount val="4"/>
                <c:pt idx="0">
                  <c:v>2.31660231660232E-2</c:v>
                </c:pt>
                <c:pt idx="1">
                  <c:v>2.59067357512953E-2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221-4705-AAF7-6384DE06307A}"/>
            </c:ext>
          </c:extLst>
        </c:ser>
        <c:ser>
          <c:idx val="5"/>
          <c:order val="5"/>
          <c:tx>
            <c:strRef>
              <c:f>'3章_1属性'!H80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E07B3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'3章_1属性'!$B$81:$B$84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'3章_1属性'!$H$81:$H$84</c:f>
              <c:numCache>
                <c:formatCode>0.0%</c:formatCode>
                <c:ptCount val="4"/>
                <c:pt idx="0">
                  <c:v>3.8610038610038598E-3</c:v>
                </c:pt>
                <c:pt idx="1">
                  <c:v>5.1813471502590702E-3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221-4705-AAF7-6384DE06307A}"/>
            </c:ext>
          </c:extLst>
        </c:ser>
        <c:ser>
          <c:idx val="6"/>
          <c:order val="6"/>
          <c:tx>
            <c:strRef>
              <c:f>'3章_1属性'!I80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'3章_1属性'!$B$81:$B$84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'3章_1属性'!$I$81:$I$84</c:f>
              <c:numCache>
                <c:formatCode>0.0%</c:formatCode>
                <c:ptCount val="4"/>
                <c:pt idx="0">
                  <c:v>2.7027027027027001E-2</c:v>
                </c:pt>
                <c:pt idx="1">
                  <c:v>3.10880829015544E-2</c:v>
                </c:pt>
                <c:pt idx="2">
                  <c:v>3.03030303030303E-2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221-4705-AAF7-6384DE063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AF-4F11-B1EB-B006FD167000}"/>
              </c:ext>
            </c:extLst>
          </c:dPt>
          <c:dPt>
            <c:idx val="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AF-4F11-B1EB-B006FD167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'3章_1属性'!$B$92:$B$97</c:f>
              <c:strCache>
                <c:ptCount val="6"/>
                <c:pt idx="0">
                  <c:v>配偶者</c:v>
                </c:pt>
                <c:pt idx="1">
                  <c:v>父母</c:v>
                </c:pt>
                <c:pt idx="2">
                  <c:v>兄弟姉妹</c:v>
                </c:pt>
                <c:pt idx="3">
                  <c:v>祖父母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'3章_1属性'!$D$92:$D$97</c:f>
              <c:numCache>
                <c:formatCode>0.0%</c:formatCode>
                <c:ptCount val="6"/>
                <c:pt idx="0">
                  <c:v>0.36679536679536701</c:v>
                </c:pt>
                <c:pt idx="1">
                  <c:v>0.177606177606178</c:v>
                </c:pt>
                <c:pt idx="2">
                  <c:v>9.2664092664092701E-2</c:v>
                </c:pt>
                <c:pt idx="3">
                  <c:v>2.7027027027027001E-2</c:v>
                </c:pt>
                <c:pt idx="4">
                  <c:v>0.247104247104247</c:v>
                </c:pt>
                <c:pt idx="5">
                  <c:v>0.34749034749034802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2AF-4F11-B1EB-B006FD167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'3章_1属性'!C103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'3章_1属性'!$B$104:$B$109</c:f>
              <c:strCache>
                <c:ptCount val="6"/>
                <c:pt idx="0">
                  <c:v>配偶者</c:v>
                </c:pt>
                <c:pt idx="1">
                  <c:v>父母</c:v>
                </c:pt>
                <c:pt idx="2">
                  <c:v>兄弟姉妹</c:v>
                </c:pt>
                <c:pt idx="3">
                  <c:v>祖父母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'3章_1属性'!$C$104:$C$109</c:f>
              <c:numCache>
                <c:formatCode>0.0%</c:formatCode>
                <c:ptCount val="6"/>
                <c:pt idx="0">
                  <c:v>0.42487046632124398</c:v>
                </c:pt>
                <c:pt idx="1">
                  <c:v>8.2901554404145095E-2</c:v>
                </c:pt>
                <c:pt idx="2">
                  <c:v>4.1450777202072499E-2</c:v>
                </c:pt>
                <c:pt idx="3">
                  <c:v>1.55440414507772E-2</c:v>
                </c:pt>
                <c:pt idx="4">
                  <c:v>0.26943005181347202</c:v>
                </c:pt>
                <c:pt idx="5">
                  <c:v>0.362694300518135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50-407C-B8DC-5796B2C9888A}"/>
            </c:ext>
          </c:extLst>
        </c:ser>
        <c:ser>
          <c:idx val="1"/>
          <c:order val="1"/>
          <c:tx>
            <c:strRef>
              <c:f>'3章_1属性'!D103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'3章_1属性'!$B$104:$B$109</c:f>
              <c:strCache>
                <c:ptCount val="6"/>
                <c:pt idx="0">
                  <c:v>配偶者</c:v>
                </c:pt>
                <c:pt idx="1">
                  <c:v>父母</c:v>
                </c:pt>
                <c:pt idx="2">
                  <c:v>兄弟姉妹</c:v>
                </c:pt>
                <c:pt idx="3">
                  <c:v>祖父母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'3章_1属性'!$D$104:$D$109</c:f>
              <c:numCache>
                <c:formatCode>0.0%</c:formatCode>
                <c:ptCount val="6"/>
                <c:pt idx="0">
                  <c:v>6.0606060606060601E-2</c:v>
                </c:pt>
                <c:pt idx="1">
                  <c:v>0.36363636363636398</c:v>
                </c:pt>
                <c:pt idx="2">
                  <c:v>0.18181818181818199</c:v>
                </c:pt>
                <c:pt idx="3">
                  <c:v>0.12121212121212099</c:v>
                </c:pt>
                <c:pt idx="4">
                  <c:v>0.12121212121212099</c:v>
                </c:pt>
                <c:pt idx="5">
                  <c:v>0.48484848484848497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50-407C-B8DC-5796B2C9888A}"/>
            </c:ext>
          </c:extLst>
        </c:ser>
        <c:ser>
          <c:idx val="2"/>
          <c:order val="2"/>
          <c:tx>
            <c:strRef>
              <c:f>'3章_1属性'!E103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'3章_1属性'!$B$104:$B$109</c:f>
              <c:strCache>
                <c:ptCount val="6"/>
                <c:pt idx="0">
                  <c:v>配偶者</c:v>
                </c:pt>
                <c:pt idx="1">
                  <c:v>父母</c:v>
                </c:pt>
                <c:pt idx="2">
                  <c:v>兄弟姉妹</c:v>
                </c:pt>
                <c:pt idx="3">
                  <c:v>祖父母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'3章_1属性'!$E$104:$E$109</c:f>
              <c:numCache>
                <c:formatCode>0.0%</c:formatCode>
                <c:ptCount val="6"/>
                <c:pt idx="0">
                  <c:v>0.11363636363636399</c:v>
                </c:pt>
                <c:pt idx="1">
                  <c:v>0.5</c:v>
                </c:pt>
                <c:pt idx="2">
                  <c:v>0.29545454545454503</c:v>
                </c:pt>
                <c:pt idx="3">
                  <c:v>4.5454545454545497E-2</c:v>
                </c:pt>
                <c:pt idx="4">
                  <c:v>9.0909090909090898E-2</c:v>
                </c:pt>
                <c:pt idx="5">
                  <c:v>0.38636363636363602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D50-407C-B8DC-5796B2C98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'3章_1属性'!C126</c:f>
              <c:strCache>
                <c:ptCount val="1"/>
                <c:pt idx="0">
                  <c:v>ひとりでできる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'3章_1属性'!$B$127:$B$136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'3章_1属性'!$C$127:$C$136</c:f>
              <c:numCache>
                <c:formatCode>0.0%</c:formatCode>
                <c:ptCount val="10"/>
                <c:pt idx="0">
                  <c:v>0.81853281853281901</c:v>
                </c:pt>
                <c:pt idx="1">
                  <c:v>0.795366795366795</c:v>
                </c:pt>
                <c:pt idx="2">
                  <c:v>0.71814671814671804</c:v>
                </c:pt>
                <c:pt idx="3">
                  <c:v>0.76061776061776099</c:v>
                </c:pt>
                <c:pt idx="4">
                  <c:v>0.72972972972973005</c:v>
                </c:pt>
                <c:pt idx="5">
                  <c:v>0.80308880308880304</c:v>
                </c:pt>
                <c:pt idx="6">
                  <c:v>0.53667953667953705</c:v>
                </c:pt>
                <c:pt idx="7">
                  <c:v>0.72200772200772201</c:v>
                </c:pt>
                <c:pt idx="8">
                  <c:v>0.59459459459459496</c:v>
                </c:pt>
                <c:pt idx="9">
                  <c:v>0.65637065637065595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C7-4071-9012-E349ECDD5358}"/>
            </c:ext>
          </c:extLst>
        </c:ser>
        <c:ser>
          <c:idx val="1"/>
          <c:order val="1"/>
          <c:tx>
            <c:strRef>
              <c:f>'3章_1属性'!D126</c:f>
              <c:strCache>
                <c:ptCount val="1"/>
                <c:pt idx="0">
                  <c:v>一部介助が必要</c:v>
                </c:pt>
              </c:strCache>
            </c:strRef>
          </c:tx>
          <c:spPr>
            <a:solidFill>
              <a:srgbClr val="8DB8E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'3章_1属性'!$B$127:$B$136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'3章_1属性'!$D$127:$D$136</c:f>
              <c:numCache>
                <c:formatCode>0.0%</c:formatCode>
                <c:ptCount val="10"/>
                <c:pt idx="0">
                  <c:v>9.2664092664092701E-2</c:v>
                </c:pt>
                <c:pt idx="1">
                  <c:v>9.2664092664092701E-2</c:v>
                </c:pt>
                <c:pt idx="2">
                  <c:v>0.115830115830116</c:v>
                </c:pt>
                <c:pt idx="3">
                  <c:v>0.123552123552124</c:v>
                </c:pt>
                <c:pt idx="4">
                  <c:v>0.150579150579151</c:v>
                </c:pt>
                <c:pt idx="5">
                  <c:v>5.4054054054054099E-2</c:v>
                </c:pt>
                <c:pt idx="6">
                  <c:v>0.25482625482625498</c:v>
                </c:pt>
                <c:pt idx="7">
                  <c:v>0.162162162162162</c:v>
                </c:pt>
                <c:pt idx="8">
                  <c:v>0.18146718146718099</c:v>
                </c:pt>
                <c:pt idx="9">
                  <c:v>0.150579150579151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C7-4071-9012-E349ECDD5358}"/>
            </c:ext>
          </c:extLst>
        </c:ser>
        <c:ser>
          <c:idx val="2"/>
          <c:order val="2"/>
          <c:tx>
            <c:strRef>
              <c:f>'3章_1属性'!E126</c:f>
              <c:strCache>
                <c:ptCount val="1"/>
                <c:pt idx="0">
                  <c:v>全部介助が必要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'3章_1属性'!$B$127:$B$136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'3章_1属性'!$E$127:$E$136</c:f>
              <c:numCache>
                <c:formatCode>0.0%</c:formatCode>
                <c:ptCount val="10"/>
                <c:pt idx="0">
                  <c:v>4.6332046332046302E-2</c:v>
                </c:pt>
                <c:pt idx="1">
                  <c:v>7.3359073359073407E-2</c:v>
                </c:pt>
                <c:pt idx="2">
                  <c:v>0.123552123552124</c:v>
                </c:pt>
                <c:pt idx="3">
                  <c:v>7.7220077220077205E-2</c:v>
                </c:pt>
                <c:pt idx="4">
                  <c:v>7.3359073359073407E-2</c:v>
                </c:pt>
                <c:pt idx="5">
                  <c:v>9.6525096525096499E-2</c:v>
                </c:pt>
                <c:pt idx="6">
                  <c:v>0.150579150579151</c:v>
                </c:pt>
                <c:pt idx="7">
                  <c:v>4.6332046332046302E-2</c:v>
                </c:pt>
                <c:pt idx="8">
                  <c:v>0.166023166023166</c:v>
                </c:pt>
                <c:pt idx="9">
                  <c:v>0.14285714285714299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1C7-4071-9012-E349ECDD5358}"/>
            </c:ext>
          </c:extLst>
        </c:ser>
        <c:ser>
          <c:idx val="3"/>
          <c:order val="3"/>
          <c:tx>
            <c:strRef>
              <c:f>'3章_1属性'!F126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'3章_1属性'!$B$127:$B$136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'3章_1属性'!$F$127:$F$136</c:f>
              <c:numCache>
                <c:formatCode>0.0%</c:formatCode>
                <c:ptCount val="10"/>
                <c:pt idx="0">
                  <c:v>4.2471042471042497E-2</c:v>
                </c:pt>
                <c:pt idx="1">
                  <c:v>3.8610038610038602E-2</c:v>
                </c:pt>
                <c:pt idx="2">
                  <c:v>4.2471042471042497E-2</c:v>
                </c:pt>
                <c:pt idx="3">
                  <c:v>3.8610038610038602E-2</c:v>
                </c:pt>
                <c:pt idx="4">
                  <c:v>4.6332046332046302E-2</c:v>
                </c:pt>
                <c:pt idx="5">
                  <c:v>4.6332046332046302E-2</c:v>
                </c:pt>
                <c:pt idx="6">
                  <c:v>5.7915057915057903E-2</c:v>
                </c:pt>
                <c:pt idx="7">
                  <c:v>6.9498069498069498E-2</c:v>
                </c:pt>
                <c:pt idx="8">
                  <c:v>5.7915057915057903E-2</c:v>
                </c:pt>
                <c:pt idx="9">
                  <c:v>5.0193050193050197E-2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1C7-4071-9012-E349ECDD5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'3章_1属性'!C150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'3章_1属性'!$B$151:$B$160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'3章_1属性'!$C$151:$C$160</c:f>
              <c:numCache>
                <c:formatCode>0.0%</c:formatCode>
                <c:ptCount val="10"/>
                <c:pt idx="0">
                  <c:v>0.13471502590673601</c:v>
                </c:pt>
                <c:pt idx="1">
                  <c:v>0.16580310880829</c:v>
                </c:pt>
                <c:pt idx="2">
                  <c:v>0.233160621761658</c:v>
                </c:pt>
                <c:pt idx="3">
                  <c:v>0.18652849740932601</c:v>
                </c:pt>
                <c:pt idx="4">
                  <c:v>0.20725388601036299</c:v>
                </c:pt>
                <c:pt idx="5">
                  <c:v>0.16062176165803099</c:v>
                </c:pt>
                <c:pt idx="6">
                  <c:v>0.37823834196891198</c:v>
                </c:pt>
                <c:pt idx="7">
                  <c:v>0.15544041450777199</c:v>
                </c:pt>
                <c:pt idx="8">
                  <c:v>0.31606217616580301</c:v>
                </c:pt>
                <c:pt idx="9">
                  <c:v>0.26424870466321199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69-46FA-A092-2868A31BCD9F}"/>
            </c:ext>
          </c:extLst>
        </c:ser>
        <c:ser>
          <c:idx val="1"/>
          <c:order val="1"/>
          <c:tx>
            <c:strRef>
              <c:f>'3章_1属性'!D150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'3章_1属性'!$B$151:$B$160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'3章_1属性'!$D$151:$D$160</c:f>
              <c:numCache>
                <c:formatCode>0.0%</c:formatCode>
                <c:ptCount val="10"/>
                <c:pt idx="0">
                  <c:v>9.0909090909090898E-2</c:v>
                </c:pt>
                <c:pt idx="1">
                  <c:v>0.15151515151515199</c:v>
                </c:pt>
                <c:pt idx="2">
                  <c:v>0.24242424242424199</c:v>
                </c:pt>
                <c:pt idx="3">
                  <c:v>0.21212121212121199</c:v>
                </c:pt>
                <c:pt idx="4">
                  <c:v>0.30303030303030298</c:v>
                </c:pt>
                <c:pt idx="5">
                  <c:v>0.12121212121212099</c:v>
                </c:pt>
                <c:pt idx="6">
                  <c:v>0.45454545454545497</c:v>
                </c:pt>
                <c:pt idx="7">
                  <c:v>0.45454545454545497</c:v>
                </c:pt>
                <c:pt idx="8">
                  <c:v>0.66666666666666696</c:v>
                </c:pt>
                <c:pt idx="9">
                  <c:v>0.54545454545454497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069-46FA-A092-2868A31BCD9F}"/>
            </c:ext>
          </c:extLst>
        </c:ser>
        <c:ser>
          <c:idx val="2"/>
          <c:order val="2"/>
          <c:tx>
            <c:strRef>
              <c:f>'3章_1属性'!E150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'3章_1属性'!$B$151:$B$160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'3章_1属性'!$E$151:$E$160</c:f>
              <c:numCache>
                <c:formatCode>0.0%</c:formatCode>
                <c:ptCount val="10"/>
                <c:pt idx="0">
                  <c:v>0.11363636363636399</c:v>
                </c:pt>
                <c:pt idx="1">
                  <c:v>4.5454545454545497E-2</c:v>
                </c:pt>
                <c:pt idx="2">
                  <c:v>0.15909090909090901</c:v>
                </c:pt>
                <c:pt idx="3">
                  <c:v>0.13636363636363599</c:v>
                </c:pt>
                <c:pt idx="4">
                  <c:v>0.13636363636363599</c:v>
                </c:pt>
                <c:pt idx="5">
                  <c:v>9.0909090909090898E-2</c:v>
                </c:pt>
                <c:pt idx="6">
                  <c:v>0.34090909090909099</c:v>
                </c:pt>
                <c:pt idx="7">
                  <c:v>0.34090909090909099</c:v>
                </c:pt>
                <c:pt idx="8">
                  <c:v>0.34090909090909099</c:v>
                </c:pt>
                <c:pt idx="9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069-46FA-A092-2868A31B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A6-4219-A71D-EBE42BC644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'3章_1属性'!$B$184:$B$189</c:f>
              <c:strCache>
                <c:ptCount val="6"/>
                <c:pt idx="0">
                  <c:v>子ども</c:v>
                </c:pt>
                <c:pt idx="1">
                  <c:v>配偶者（夫または妻）</c:v>
                </c:pt>
                <c:pt idx="2">
                  <c:v>ホームヘルパーや施設の職員</c:v>
                </c:pt>
                <c:pt idx="3">
                  <c:v>父母・祖父母・兄弟姉妹</c:v>
                </c:pt>
                <c:pt idx="4">
                  <c:v>その他の人（ボランティア等）</c:v>
                </c:pt>
                <c:pt idx="5">
                  <c:v>無回答</c:v>
                </c:pt>
              </c:strCache>
            </c:strRef>
          </c:cat>
          <c:val>
            <c:numRef>
              <c:f>'3章_1属性'!$D$184:$D$189</c:f>
              <c:numCache>
                <c:formatCode>0.0%</c:formatCode>
                <c:ptCount val="6"/>
                <c:pt idx="0">
                  <c:v>0.18532818532818501</c:v>
                </c:pt>
                <c:pt idx="1">
                  <c:v>0.18146718146718099</c:v>
                </c:pt>
                <c:pt idx="2">
                  <c:v>0.18146718146718099</c:v>
                </c:pt>
                <c:pt idx="3">
                  <c:v>9.2664092664092701E-2</c:v>
                </c:pt>
                <c:pt idx="4">
                  <c:v>3.0888030888030899E-2</c:v>
                </c:pt>
                <c:pt idx="5">
                  <c:v>0.42084942084942101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6A6-4219-A71D-EBE42BC64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'3章_1属性'!C195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'3章_1属性'!$B$196:$B$201</c:f>
              <c:strCache>
                <c:ptCount val="6"/>
                <c:pt idx="0">
                  <c:v>子ども</c:v>
                </c:pt>
                <c:pt idx="1">
                  <c:v>配偶者（夫または妻）</c:v>
                </c:pt>
                <c:pt idx="2">
                  <c:v>ホームヘルパーや施設の職員</c:v>
                </c:pt>
                <c:pt idx="3">
                  <c:v>父母・祖父母・兄弟姉妹</c:v>
                </c:pt>
                <c:pt idx="4">
                  <c:v>その他の人（ボランティア等）</c:v>
                </c:pt>
                <c:pt idx="5">
                  <c:v>無回答</c:v>
                </c:pt>
              </c:strCache>
            </c:strRef>
          </c:cat>
          <c:val>
            <c:numRef>
              <c:f>'3章_1属性'!$C$196:$C$201</c:f>
              <c:numCache>
                <c:formatCode>0.0%</c:formatCode>
                <c:ptCount val="6"/>
                <c:pt idx="0">
                  <c:v>0.22279792746113999</c:v>
                </c:pt>
                <c:pt idx="1">
                  <c:v>0.20207253886010401</c:v>
                </c:pt>
                <c:pt idx="2">
                  <c:v>0.170984455958549</c:v>
                </c:pt>
                <c:pt idx="3">
                  <c:v>2.59067357512953E-2</c:v>
                </c:pt>
                <c:pt idx="4">
                  <c:v>3.6269430051813503E-2</c:v>
                </c:pt>
                <c:pt idx="5">
                  <c:v>0.45077720207253902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7B-4632-9A62-15BC49C25C21}"/>
            </c:ext>
          </c:extLst>
        </c:ser>
        <c:ser>
          <c:idx val="1"/>
          <c:order val="1"/>
          <c:tx>
            <c:strRef>
              <c:f>'3章_1属性'!D195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'3章_1属性'!$B$196:$B$201</c:f>
              <c:strCache>
                <c:ptCount val="6"/>
                <c:pt idx="0">
                  <c:v>子ども</c:v>
                </c:pt>
                <c:pt idx="1">
                  <c:v>配偶者（夫または妻）</c:v>
                </c:pt>
                <c:pt idx="2">
                  <c:v>ホームヘルパーや施設の職員</c:v>
                </c:pt>
                <c:pt idx="3">
                  <c:v>父母・祖父母・兄弟姉妹</c:v>
                </c:pt>
                <c:pt idx="4">
                  <c:v>その他の人（ボランティア等）</c:v>
                </c:pt>
                <c:pt idx="5">
                  <c:v>無回答</c:v>
                </c:pt>
              </c:strCache>
            </c:strRef>
          </c:cat>
          <c:val>
            <c:numRef>
              <c:f>'3章_1属性'!$D$196:$D$201</c:f>
              <c:numCache>
                <c:formatCode>0.0%</c:formatCode>
                <c:ptCount val="6"/>
                <c:pt idx="0">
                  <c:v>0</c:v>
                </c:pt>
                <c:pt idx="1">
                  <c:v>3.03030303030303E-2</c:v>
                </c:pt>
                <c:pt idx="2">
                  <c:v>0.33333333333333298</c:v>
                </c:pt>
                <c:pt idx="3">
                  <c:v>0.27272727272727298</c:v>
                </c:pt>
                <c:pt idx="4">
                  <c:v>3.03030303030303E-2</c:v>
                </c:pt>
                <c:pt idx="5">
                  <c:v>0.33333333333333298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7B-4632-9A62-15BC49C25C21}"/>
            </c:ext>
          </c:extLst>
        </c:ser>
        <c:ser>
          <c:idx val="2"/>
          <c:order val="2"/>
          <c:tx>
            <c:strRef>
              <c:f>'3章_1属性'!E195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'3章_1属性'!$B$196:$B$201</c:f>
              <c:strCache>
                <c:ptCount val="6"/>
                <c:pt idx="0">
                  <c:v>子ども</c:v>
                </c:pt>
                <c:pt idx="1">
                  <c:v>配偶者（夫または妻）</c:v>
                </c:pt>
                <c:pt idx="2">
                  <c:v>ホームヘルパーや施設の職員</c:v>
                </c:pt>
                <c:pt idx="3">
                  <c:v>父母・祖父母・兄弟姉妹</c:v>
                </c:pt>
                <c:pt idx="4">
                  <c:v>その他の人（ボランティア等）</c:v>
                </c:pt>
                <c:pt idx="5">
                  <c:v>無回答</c:v>
                </c:pt>
              </c:strCache>
            </c:strRef>
          </c:cat>
          <c:val>
            <c:numRef>
              <c:f>'3章_1属性'!$E$196:$E$201</c:f>
              <c:numCache>
                <c:formatCode>0.0%</c:formatCode>
                <c:ptCount val="6"/>
                <c:pt idx="0">
                  <c:v>2.27272727272727E-2</c:v>
                </c:pt>
                <c:pt idx="1">
                  <c:v>0.13636363636363599</c:v>
                </c:pt>
                <c:pt idx="2">
                  <c:v>0.25</c:v>
                </c:pt>
                <c:pt idx="3">
                  <c:v>0.22727272727272699</c:v>
                </c:pt>
                <c:pt idx="4">
                  <c:v>0</c:v>
                </c:pt>
                <c:pt idx="5">
                  <c:v>0.43181818181818199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97B-4632-9A62-15BC49C25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'3章_1属性'!$B$219</c:f>
              <c:strCache>
                <c:ptCount val="1"/>
                <c:pt idx="0">
                  <c:v>39歳以下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'3章_1属性'!$D$219</c:f>
              <c:numCache>
                <c:formatCode>0.0%</c:formatCode>
                <c:ptCount val="1"/>
                <c:pt idx="0">
                  <c:v>1.9305019305019301E-2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00-4185-908A-72C9FBE9C330}"/>
            </c:ext>
          </c:extLst>
        </c:ser>
        <c:ser>
          <c:idx val="1"/>
          <c:order val="1"/>
          <c:tx>
            <c:strRef>
              <c:f>'3章_1属性'!$B$220</c:f>
              <c:strCache>
                <c:ptCount val="1"/>
                <c:pt idx="0">
                  <c:v>40～49歳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'3章_1属性'!$D$220</c:f>
              <c:numCache>
                <c:formatCode>0.0%</c:formatCode>
                <c:ptCount val="1"/>
                <c:pt idx="0">
                  <c:v>2.7027027027027001E-2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00-4185-908A-72C9FBE9C330}"/>
            </c:ext>
          </c:extLst>
        </c:ser>
        <c:ser>
          <c:idx val="2"/>
          <c:order val="2"/>
          <c:tx>
            <c:strRef>
              <c:f>'3章_1属性'!$B$221</c:f>
              <c:strCache>
                <c:ptCount val="1"/>
                <c:pt idx="0">
                  <c:v>50～59歳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'3章_1属性'!$D$221</c:f>
              <c:numCache>
                <c:formatCode>0.0%</c:formatCode>
                <c:ptCount val="1"/>
                <c:pt idx="0">
                  <c:v>9.6525096525096499E-2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B00-4185-908A-72C9FBE9C330}"/>
            </c:ext>
          </c:extLst>
        </c:ser>
        <c:ser>
          <c:idx val="3"/>
          <c:order val="3"/>
          <c:tx>
            <c:strRef>
              <c:f>'3章_1属性'!$B$222</c:f>
              <c:strCache>
                <c:ptCount val="1"/>
                <c:pt idx="0">
                  <c:v>60～69歳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'3章_1属性'!$D$222</c:f>
              <c:numCache>
                <c:formatCode>0.0%</c:formatCode>
                <c:ptCount val="1"/>
                <c:pt idx="0">
                  <c:v>0.123552123552124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B00-4185-908A-72C9FBE9C330}"/>
            </c:ext>
          </c:extLst>
        </c:ser>
        <c:ser>
          <c:idx val="4"/>
          <c:order val="4"/>
          <c:tx>
            <c:strRef>
              <c:f>'3章_1属性'!$B$223</c:f>
              <c:strCache>
                <c:ptCount val="1"/>
                <c:pt idx="0">
                  <c:v>70歳以上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'3章_1属性'!$D$223</c:f>
              <c:numCache>
                <c:formatCode>0.0%</c:formatCode>
                <c:ptCount val="1"/>
                <c:pt idx="0">
                  <c:v>0.138996138996139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B00-4185-908A-72C9FBE9C330}"/>
            </c:ext>
          </c:extLst>
        </c:ser>
        <c:ser>
          <c:idx val="5"/>
          <c:order val="5"/>
          <c:tx>
            <c:strRef>
              <c:f>'3章_1属性'!$B$224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'3章_1属性'!$D$224</c:f>
              <c:numCache>
                <c:formatCode>0.0%</c:formatCode>
                <c:ptCount val="1"/>
                <c:pt idx="0">
                  <c:v>0.59459459459459496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B00-4185-908A-72C9FBE9C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'3章_1属性'!C229</c:f>
              <c:strCache>
                <c:ptCount val="1"/>
                <c:pt idx="0">
                  <c:v>39歳以下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'3章_1属性'!$B$230:$B$233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'3章_1属性'!$C$230:$C$233</c:f>
              <c:numCache>
                <c:formatCode>0.0%</c:formatCode>
                <c:ptCount val="4"/>
                <c:pt idx="0">
                  <c:v>1.9305019305019301E-2</c:v>
                </c:pt>
                <c:pt idx="1">
                  <c:v>1.55440414507772E-2</c:v>
                </c:pt>
                <c:pt idx="2">
                  <c:v>3.03030303030303E-2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22-4DA6-8AC5-49787095271F}"/>
            </c:ext>
          </c:extLst>
        </c:ser>
        <c:ser>
          <c:idx val="1"/>
          <c:order val="1"/>
          <c:tx>
            <c:strRef>
              <c:f>'3章_1属性'!D229</c:f>
              <c:strCache>
                <c:ptCount val="1"/>
                <c:pt idx="0">
                  <c:v>40～49歳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'3章_1属性'!$B$230:$B$233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'3章_1属性'!$D$230:$D$233</c:f>
              <c:numCache>
                <c:formatCode>0.0%</c:formatCode>
                <c:ptCount val="4"/>
                <c:pt idx="0">
                  <c:v>2.7027027027027001E-2</c:v>
                </c:pt>
                <c:pt idx="1">
                  <c:v>2.0725388601036301E-2</c:v>
                </c:pt>
                <c:pt idx="2">
                  <c:v>0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22-4DA6-8AC5-49787095271F}"/>
            </c:ext>
          </c:extLst>
        </c:ser>
        <c:ser>
          <c:idx val="2"/>
          <c:order val="2"/>
          <c:tx>
            <c:strRef>
              <c:f>'3章_1属性'!E229</c:f>
              <c:strCache>
                <c:ptCount val="1"/>
                <c:pt idx="0">
                  <c:v>50～59歳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'3章_1属性'!$B$230:$B$233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'3章_1属性'!$E$230:$E$233</c:f>
              <c:numCache>
                <c:formatCode>0.0%</c:formatCode>
                <c:ptCount val="4"/>
                <c:pt idx="0">
                  <c:v>9.6525096525096499E-2</c:v>
                </c:pt>
                <c:pt idx="1">
                  <c:v>8.8082901554404097E-2</c:v>
                </c:pt>
                <c:pt idx="2">
                  <c:v>0.12121212121212099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A22-4DA6-8AC5-49787095271F}"/>
            </c:ext>
          </c:extLst>
        </c:ser>
        <c:ser>
          <c:idx val="3"/>
          <c:order val="3"/>
          <c:tx>
            <c:strRef>
              <c:f>'3章_1属性'!F229</c:f>
              <c:strCache>
                <c:ptCount val="1"/>
                <c:pt idx="0">
                  <c:v>60～69歳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'3章_1属性'!$B$230:$B$233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'3章_1属性'!$F$230:$F$233</c:f>
              <c:numCache>
                <c:formatCode>0.0%</c:formatCode>
                <c:ptCount val="4"/>
                <c:pt idx="0">
                  <c:v>0.123552123552124</c:v>
                </c:pt>
                <c:pt idx="1">
                  <c:v>0.13471502590673601</c:v>
                </c:pt>
                <c:pt idx="2">
                  <c:v>6.0606060606060601E-2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A22-4DA6-8AC5-49787095271F}"/>
            </c:ext>
          </c:extLst>
        </c:ser>
        <c:ser>
          <c:idx val="4"/>
          <c:order val="4"/>
          <c:tx>
            <c:strRef>
              <c:f>'3章_1属性'!G229</c:f>
              <c:strCache>
                <c:ptCount val="1"/>
                <c:pt idx="0">
                  <c:v>70歳以上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'3章_1属性'!$B$230:$B$233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'3章_1属性'!$G$230:$G$233</c:f>
              <c:numCache>
                <c:formatCode>0.0%</c:formatCode>
                <c:ptCount val="4"/>
                <c:pt idx="0">
                  <c:v>0.138996138996139</c:v>
                </c:pt>
                <c:pt idx="1">
                  <c:v>0.13989637305699501</c:v>
                </c:pt>
                <c:pt idx="2">
                  <c:v>9.0909090909090898E-2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A22-4DA6-8AC5-49787095271F}"/>
            </c:ext>
          </c:extLst>
        </c:ser>
        <c:ser>
          <c:idx val="5"/>
          <c:order val="5"/>
          <c:tx>
            <c:strRef>
              <c:f>'3章_1属性'!H229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'3章_1属性'!$B$230:$B$233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'3章_1属性'!$H$230:$H$233</c:f>
              <c:numCache>
                <c:formatCode>0.0%</c:formatCode>
                <c:ptCount val="4"/>
                <c:pt idx="0">
                  <c:v>0.59459459459459496</c:v>
                </c:pt>
                <c:pt idx="1">
                  <c:v>0.60103626943005195</c:v>
                </c:pt>
                <c:pt idx="2">
                  <c:v>0.69696969696969702</c:v>
                </c:pt>
                <c:pt idx="3">
                  <c:v>0.63636363636363602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A22-4DA6-8AC5-497870952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'3章_1属性'!$B$245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'3章_1属性'!$D$245</c:f>
              <c:numCache>
                <c:formatCode>0.0%</c:formatCode>
                <c:ptCount val="1"/>
                <c:pt idx="0">
                  <c:v>0.13127413127413101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51-49A5-9AFA-4CCB4E8D9B26}"/>
            </c:ext>
          </c:extLst>
        </c:ser>
        <c:ser>
          <c:idx val="1"/>
          <c:order val="1"/>
          <c:tx>
            <c:strRef>
              <c:f>'3章_1属性'!$B$246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'3章_1属性'!$D$246</c:f>
              <c:numCache>
                <c:formatCode>0.0%</c:formatCode>
                <c:ptCount val="1"/>
                <c:pt idx="0">
                  <c:v>0.28957528957529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51-49A5-9AFA-4CCB4E8D9B26}"/>
            </c:ext>
          </c:extLst>
        </c:ser>
        <c:ser>
          <c:idx val="2"/>
          <c:order val="2"/>
          <c:tx>
            <c:strRef>
              <c:f>'3章_1属性'!$B$247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'3章_1属性'!$D$247</c:f>
              <c:numCache>
                <c:formatCode>0.0%</c:formatCode>
                <c:ptCount val="1"/>
                <c:pt idx="0">
                  <c:v>0.57915057915057899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F51-49A5-9AFA-4CCB4E8D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'3章_1属性'!C256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'3章_1属性'!$B$257:$B$260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'3章_1属性'!$C$257:$C$260</c:f>
              <c:numCache>
                <c:formatCode>0.0%</c:formatCode>
                <c:ptCount val="4"/>
                <c:pt idx="0">
                  <c:v>0.13127413127413101</c:v>
                </c:pt>
                <c:pt idx="1">
                  <c:v>0.124352331606218</c:v>
                </c:pt>
                <c:pt idx="2">
                  <c:v>0.12121212121212099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10-46FC-9104-6536E7EF4F13}"/>
            </c:ext>
          </c:extLst>
        </c:ser>
        <c:ser>
          <c:idx val="1"/>
          <c:order val="1"/>
          <c:tx>
            <c:strRef>
              <c:f>'3章_1属性'!D256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'3章_1属性'!$B$257:$B$260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'3章_1属性'!$D$257:$D$260</c:f>
              <c:numCache>
                <c:formatCode>0.0%</c:formatCode>
                <c:ptCount val="4"/>
                <c:pt idx="0">
                  <c:v>0.28957528957529</c:v>
                </c:pt>
                <c:pt idx="1">
                  <c:v>0.284974093264249</c:v>
                </c:pt>
                <c:pt idx="2">
                  <c:v>0.18181818181818199</c:v>
                </c:pt>
                <c:pt idx="3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10-46FC-9104-6536E7EF4F13}"/>
            </c:ext>
          </c:extLst>
        </c:ser>
        <c:ser>
          <c:idx val="2"/>
          <c:order val="2"/>
          <c:tx>
            <c:strRef>
              <c:f>'3章_1属性'!E256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'3章_1属性'!$B$257:$B$260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'3章_1属性'!$E$257:$E$260</c:f>
              <c:numCache>
                <c:formatCode>0.0%</c:formatCode>
                <c:ptCount val="4"/>
                <c:pt idx="0">
                  <c:v>0.57915057915057899</c:v>
                </c:pt>
                <c:pt idx="1">
                  <c:v>0.590673575129534</c:v>
                </c:pt>
                <c:pt idx="2">
                  <c:v>0.69696969696969702</c:v>
                </c:pt>
                <c:pt idx="3">
                  <c:v>0.63636363636363602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10-46FC-9104-6536E7EF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'3章_1属性'!$B$272</c:f>
              <c:strCache>
                <c:ptCount val="1"/>
                <c:pt idx="0">
                  <c:v>よい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'3章_1属性'!$D$272</c:f>
              <c:numCache>
                <c:formatCode>0.0%</c:formatCode>
                <c:ptCount val="1"/>
                <c:pt idx="0">
                  <c:v>8.4942084942084897E-2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7C-4F6C-8175-869D81AD1077}"/>
            </c:ext>
          </c:extLst>
        </c:ser>
        <c:ser>
          <c:idx val="1"/>
          <c:order val="1"/>
          <c:tx>
            <c:strRef>
              <c:f>'3章_1属性'!$B$273</c:f>
              <c:strCache>
                <c:ptCount val="1"/>
                <c:pt idx="0">
                  <c:v>ふつう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'3章_1属性'!$D$273</c:f>
              <c:numCache>
                <c:formatCode>0.0%</c:formatCode>
                <c:ptCount val="1"/>
                <c:pt idx="0">
                  <c:v>0.27413127413127403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E7C-4F6C-8175-869D81AD1077}"/>
            </c:ext>
          </c:extLst>
        </c:ser>
        <c:ser>
          <c:idx val="2"/>
          <c:order val="2"/>
          <c:tx>
            <c:strRef>
              <c:f>'3章_1属性'!$B$274</c:f>
              <c:strCache>
                <c:ptCount val="1"/>
                <c:pt idx="0">
                  <c:v>よくない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'3章_1属性'!$D$274</c:f>
              <c:numCache>
                <c:formatCode>0.0%</c:formatCode>
                <c:ptCount val="1"/>
                <c:pt idx="0">
                  <c:v>6.1776061776061798E-2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E7C-4F6C-8175-869D81AD1077}"/>
            </c:ext>
          </c:extLst>
        </c:ser>
        <c:ser>
          <c:idx val="3"/>
          <c:order val="3"/>
          <c:tx>
            <c:strRef>
              <c:f>'3章_1属性'!$B$275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'3章_1属性'!$D$275</c:f>
              <c:numCache>
                <c:formatCode>0.0%</c:formatCode>
                <c:ptCount val="1"/>
                <c:pt idx="0">
                  <c:v>0.57915057915057899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E7C-4F6C-8175-869D81AD1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'3章_1属性'!C282</c:f>
              <c:strCache>
                <c:ptCount val="1"/>
                <c:pt idx="0">
                  <c:v>よい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'3章_1属性'!$B$283:$B$286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'3章_1属性'!$C$283:$C$286</c:f>
              <c:numCache>
                <c:formatCode>0.0%</c:formatCode>
                <c:ptCount val="4"/>
                <c:pt idx="0">
                  <c:v>8.4942084942084897E-2</c:v>
                </c:pt>
                <c:pt idx="1">
                  <c:v>8.2901554404145095E-2</c:v>
                </c:pt>
                <c:pt idx="2">
                  <c:v>3.03030303030303E-2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C4-47E3-A0D5-F622175F6558}"/>
            </c:ext>
          </c:extLst>
        </c:ser>
        <c:ser>
          <c:idx val="1"/>
          <c:order val="1"/>
          <c:tx>
            <c:strRef>
              <c:f>'3章_1属性'!D282</c:f>
              <c:strCache>
                <c:ptCount val="1"/>
                <c:pt idx="0">
                  <c:v>ふつう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'3章_1属性'!$B$283:$B$286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'3章_1属性'!$D$283:$D$286</c:f>
              <c:numCache>
                <c:formatCode>0.0%</c:formatCode>
                <c:ptCount val="4"/>
                <c:pt idx="0">
                  <c:v>0.27413127413127403</c:v>
                </c:pt>
                <c:pt idx="1">
                  <c:v>0.27461139896373099</c:v>
                </c:pt>
                <c:pt idx="2">
                  <c:v>0.24242424242424199</c:v>
                </c:pt>
                <c:pt idx="3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CC4-47E3-A0D5-F622175F6558}"/>
            </c:ext>
          </c:extLst>
        </c:ser>
        <c:ser>
          <c:idx val="2"/>
          <c:order val="2"/>
          <c:tx>
            <c:strRef>
              <c:f>'3章_1属性'!E282</c:f>
              <c:strCache>
                <c:ptCount val="1"/>
                <c:pt idx="0">
                  <c:v>よくない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'3章_1属性'!$B$283:$B$286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'3章_1属性'!$E$283:$E$286</c:f>
              <c:numCache>
                <c:formatCode>0.0%</c:formatCode>
                <c:ptCount val="4"/>
                <c:pt idx="0">
                  <c:v>6.1776061776061798E-2</c:v>
                </c:pt>
                <c:pt idx="1">
                  <c:v>4.6632124352331598E-2</c:v>
                </c:pt>
                <c:pt idx="2">
                  <c:v>3.03030303030303E-2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CC4-47E3-A0D5-F622175F6558}"/>
            </c:ext>
          </c:extLst>
        </c:ser>
        <c:ser>
          <c:idx val="3"/>
          <c:order val="3"/>
          <c:tx>
            <c:strRef>
              <c:f>'3章_1属性'!F282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'3章_1属性'!$B$283:$B$286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'3章_1属性'!$F$283:$F$286</c:f>
              <c:numCache>
                <c:formatCode>0.0%</c:formatCode>
                <c:ptCount val="4"/>
                <c:pt idx="0">
                  <c:v>0.57915057915057899</c:v>
                </c:pt>
                <c:pt idx="1">
                  <c:v>0.59585492227979298</c:v>
                </c:pt>
                <c:pt idx="2">
                  <c:v>0.69696969696969702</c:v>
                </c:pt>
                <c:pt idx="3">
                  <c:v>0.63636363636363602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CC4-47E3-A0D5-F622175F6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4D-4F02-BD81-6D3BDBD8DD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'3章_2障がい・医療'!$B$5:$B$12</c:f>
              <c:strCache>
                <c:ptCount val="8"/>
                <c:pt idx="0">
                  <c:v>１級</c:v>
                </c:pt>
                <c:pt idx="1">
                  <c:v>２級</c:v>
                </c:pt>
                <c:pt idx="2">
                  <c:v>３級</c:v>
                </c:pt>
                <c:pt idx="3">
                  <c:v>４級</c:v>
                </c:pt>
                <c:pt idx="4">
                  <c:v>５級</c:v>
                </c:pt>
                <c:pt idx="5">
                  <c:v>６級</c:v>
                </c:pt>
                <c:pt idx="6">
                  <c:v>持っていない</c:v>
                </c:pt>
                <c:pt idx="7">
                  <c:v>無回答</c:v>
                </c:pt>
              </c:strCache>
            </c:strRef>
          </c:cat>
          <c:val>
            <c:numRef>
              <c:f>'3章_2障がい・医療'!$D$5:$D$12</c:f>
              <c:numCache>
                <c:formatCode>0.0%</c:formatCode>
                <c:ptCount val="8"/>
                <c:pt idx="0">
                  <c:v>0.27799227799227799</c:v>
                </c:pt>
                <c:pt idx="1">
                  <c:v>0.13127413127413101</c:v>
                </c:pt>
                <c:pt idx="2">
                  <c:v>0.108108108108108</c:v>
                </c:pt>
                <c:pt idx="3">
                  <c:v>0.12741312741312699</c:v>
                </c:pt>
                <c:pt idx="4">
                  <c:v>6.1776061776061798E-2</c:v>
                </c:pt>
                <c:pt idx="5">
                  <c:v>3.8610038610038602E-2</c:v>
                </c:pt>
                <c:pt idx="6">
                  <c:v>0.18918918918918901</c:v>
                </c:pt>
                <c:pt idx="7">
                  <c:v>6.5637065637065603E-2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F4D-4F02-BD81-6D3BDBD8D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5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BB-4CC7-B58C-DC7653688C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'3章_2障がい・医療'!$B$19:$B$26</c:f>
              <c:strCache>
                <c:ptCount val="8"/>
                <c:pt idx="0">
                  <c:v>視覚障がい</c:v>
                </c:pt>
                <c:pt idx="1">
                  <c:v>聴覚・平衡機能障がい</c:v>
                </c:pt>
                <c:pt idx="2">
                  <c:v>音声・言語・そしゃく機能障がい</c:v>
                </c:pt>
                <c:pt idx="3">
                  <c:v>肢体不自由（上肢）</c:v>
                </c:pt>
                <c:pt idx="4">
                  <c:v>肢体不自由（下肢）</c:v>
                </c:pt>
                <c:pt idx="5">
                  <c:v>肢体不自由（体幹）</c:v>
                </c:pt>
                <c:pt idx="6">
                  <c:v>内部障がい（１～６以外）</c:v>
                </c:pt>
                <c:pt idx="7">
                  <c:v>無回答</c:v>
                </c:pt>
              </c:strCache>
            </c:strRef>
          </c:cat>
          <c:val>
            <c:numRef>
              <c:f>'3章_2障がい・医療'!$D$19:$D$26</c:f>
              <c:numCache>
                <c:formatCode>0.0%</c:formatCode>
                <c:ptCount val="8"/>
                <c:pt idx="0">
                  <c:v>5.4054054054054099E-2</c:v>
                </c:pt>
                <c:pt idx="1">
                  <c:v>6.9498069498069498E-2</c:v>
                </c:pt>
                <c:pt idx="2">
                  <c:v>1.5444015444015399E-2</c:v>
                </c:pt>
                <c:pt idx="3">
                  <c:v>4.6332046332046302E-2</c:v>
                </c:pt>
                <c:pt idx="4">
                  <c:v>0.150579150579151</c:v>
                </c:pt>
                <c:pt idx="5">
                  <c:v>4.2471042471042497E-2</c:v>
                </c:pt>
                <c:pt idx="6">
                  <c:v>0.312741312741313</c:v>
                </c:pt>
                <c:pt idx="7">
                  <c:v>0.30888030888030898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CBB-4CC7-B58C-DC7653688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5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'3章_2障がい・医療'!$B$33</c:f>
              <c:strCache>
                <c:ptCount val="1"/>
                <c:pt idx="0">
                  <c:v>Ａ判定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'3章_2障がい・医療'!$D$33</c:f>
              <c:numCache>
                <c:formatCode>0.0%</c:formatCode>
                <c:ptCount val="1"/>
                <c:pt idx="0">
                  <c:v>3.8610038610038602E-2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50-4CFB-9C42-922B7D713D85}"/>
            </c:ext>
          </c:extLst>
        </c:ser>
        <c:ser>
          <c:idx val="1"/>
          <c:order val="1"/>
          <c:tx>
            <c:strRef>
              <c:f>'3章_2障がい・医療'!$B$34</c:f>
              <c:strCache>
                <c:ptCount val="1"/>
                <c:pt idx="0">
                  <c:v>Ｂ判定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'3章_2障がい・医療'!$D$34</c:f>
              <c:numCache>
                <c:formatCode>0.0%</c:formatCode>
                <c:ptCount val="1"/>
                <c:pt idx="0">
                  <c:v>8.8803088803088806E-2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150-4CFB-9C42-922B7D713D85}"/>
            </c:ext>
          </c:extLst>
        </c:ser>
        <c:ser>
          <c:idx val="2"/>
          <c:order val="2"/>
          <c:tx>
            <c:strRef>
              <c:f>'3章_2障がい・医療'!$B$35</c:f>
              <c:strCache>
                <c:ptCount val="1"/>
                <c:pt idx="0">
                  <c:v>持っていない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'3章_2障がい・医療'!$D$35</c:f>
              <c:numCache>
                <c:formatCode>0.0%</c:formatCode>
                <c:ptCount val="1"/>
                <c:pt idx="0">
                  <c:v>0.76833976833976803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150-4CFB-9C42-922B7D713D85}"/>
            </c:ext>
          </c:extLst>
        </c:ser>
        <c:ser>
          <c:idx val="3"/>
          <c:order val="3"/>
          <c:tx>
            <c:strRef>
              <c:f>'3章_2障がい・医療'!$B$36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'3章_2障がい・医療'!$D$36</c:f>
              <c:numCache>
                <c:formatCode>0.0%</c:formatCode>
                <c:ptCount val="1"/>
                <c:pt idx="0">
                  <c:v>0.104247104247104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150-4CFB-9C42-922B7D713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'3章_2障がい・医療'!$B$44</c:f>
              <c:strCache>
                <c:ptCount val="1"/>
                <c:pt idx="0">
                  <c:v>１級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'3章_2障がい・医療'!$D$44</c:f>
              <c:numCache>
                <c:formatCode>0.0%</c:formatCode>
                <c:ptCount val="1"/>
                <c:pt idx="0">
                  <c:v>5.0193050193050197E-2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3E-46E7-9D75-4FAD14EC1FDB}"/>
            </c:ext>
          </c:extLst>
        </c:ser>
        <c:ser>
          <c:idx val="1"/>
          <c:order val="1"/>
          <c:tx>
            <c:strRef>
              <c:f>'3章_2障がい・医療'!$B$45</c:f>
              <c:strCache>
                <c:ptCount val="1"/>
                <c:pt idx="0">
                  <c:v>２級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'3章_2障がい・医療'!$D$45</c:f>
              <c:numCache>
                <c:formatCode>0.0%</c:formatCode>
                <c:ptCount val="1"/>
                <c:pt idx="0">
                  <c:v>8.8803088803088806E-2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3E-46E7-9D75-4FAD14EC1FDB}"/>
            </c:ext>
          </c:extLst>
        </c:ser>
        <c:ser>
          <c:idx val="2"/>
          <c:order val="2"/>
          <c:tx>
            <c:strRef>
              <c:f>'3章_2障がい・医療'!$B$46</c:f>
              <c:strCache>
                <c:ptCount val="1"/>
                <c:pt idx="0">
                  <c:v>３級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'3章_2障がい・医療'!$D$46</c:f>
              <c:numCache>
                <c:formatCode>0.0%</c:formatCode>
                <c:ptCount val="1"/>
                <c:pt idx="0">
                  <c:v>3.0888030888030899E-2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F3E-46E7-9D75-4FAD14EC1FDB}"/>
            </c:ext>
          </c:extLst>
        </c:ser>
        <c:ser>
          <c:idx val="3"/>
          <c:order val="3"/>
          <c:tx>
            <c:strRef>
              <c:f>'3章_2障がい・医療'!$B$47</c:f>
              <c:strCache>
                <c:ptCount val="1"/>
                <c:pt idx="0">
                  <c:v>持っていない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'3章_2障がい・医療'!$D$47</c:f>
              <c:numCache>
                <c:formatCode>0.0%</c:formatCode>
                <c:ptCount val="1"/>
                <c:pt idx="0">
                  <c:v>0.75675675675675702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F3E-46E7-9D75-4FAD14EC1FDB}"/>
            </c:ext>
          </c:extLst>
        </c:ser>
        <c:ser>
          <c:idx val="4"/>
          <c:order val="4"/>
          <c:tx>
            <c:strRef>
              <c:f>'3章_2障がい・医療'!$B$48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'3章_2障がい・医療'!$D$48</c:f>
              <c:numCache>
                <c:formatCode>0.0%</c:formatCode>
                <c:ptCount val="1"/>
                <c:pt idx="0">
                  <c:v>7.3359073359073407E-2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F3E-46E7-9D75-4FAD14EC1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'3章_2障がい・医療'!$B$55</c:f>
              <c:strCache>
                <c:ptCount val="1"/>
                <c:pt idx="0">
                  <c:v>受給している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'3章_2障がい・医療'!$D$55</c:f>
              <c:numCache>
                <c:formatCode>0.0%</c:formatCode>
                <c:ptCount val="1"/>
                <c:pt idx="0">
                  <c:v>3.0888030888030899E-2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C2-4A74-9B55-A8AF2CABD091}"/>
            </c:ext>
          </c:extLst>
        </c:ser>
        <c:ser>
          <c:idx val="1"/>
          <c:order val="1"/>
          <c:tx>
            <c:strRef>
              <c:f>'3章_2障がい・医療'!$B$56</c:f>
              <c:strCache>
                <c:ptCount val="1"/>
                <c:pt idx="0">
                  <c:v>受給していない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'3章_2障がい・医療'!$D$56</c:f>
              <c:numCache>
                <c:formatCode>0.0%</c:formatCode>
                <c:ptCount val="1"/>
                <c:pt idx="0">
                  <c:v>0.84942084942084894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C2-4A74-9B55-A8AF2CABD091}"/>
            </c:ext>
          </c:extLst>
        </c:ser>
        <c:ser>
          <c:idx val="2"/>
          <c:order val="2"/>
          <c:tx>
            <c:strRef>
              <c:f>'3章_2障がい・医療'!$B$57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'3章_2障がい・医療'!$D$57</c:f>
              <c:numCache>
                <c:formatCode>0.0%</c:formatCode>
                <c:ptCount val="1"/>
                <c:pt idx="0">
                  <c:v>0.11969111969111999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3C2-4A74-9B55-A8AF2CAB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'3章_2障がい・医療'!C66</c:f>
              <c:strCache>
                <c:ptCount val="1"/>
                <c:pt idx="0">
                  <c:v>受給している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'3章_2障がい・医療'!$B$67:$B$70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'3章_2障がい・医療'!$C$67:$C$70</c:f>
              <c:numCache>
                <c:formatCode>0.0%</c:formatCode>
                <c:ptCount val="4"/>
                <c:pt idx="0">
                  <c:v>3.0888030888030899E-2</c:v>
                </c:pt>
                <c:pt idx="1">
                  <c:v>2.59067357512953E-2</c:v>
                </c:pt>
                <c:pt idx="2">
                  <c:v>0.15151515151515199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FD-4E8A-8194-D9080E0AECB2}"/>
            </c:ext>
          </c:extLst>
        </c:ser>
        <c:ser>
          <c:idx val="1"/>
          <c:order val="1"/>
          <c:tx>
            <c:strRef>
              <c:f>'3章_2障がい・医療'!D66</c:f>
              <c:strCache>
                <c:ptCount val="1"/>
                <c:pt idx="0">
                  <c:v>受給していない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'3章_2障がい・医療'!$B$67:$B$70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'3章_2障がい・医療'!$D$67:$D$70</c:f>
              <c:numCache>
                <c:formatCode>0.0%</c:formatCode>
                <c:ptCount val="4"/>
                <c:pt idx="0">
                  <c:v>0.84942084942084894</c:v>
                </c:pt>
                <c:pt idx="1">
                  <c:v>0.85492227979274604</c:v>
                </c:pt>
                <c:pt idx="2">
                  <c:v>0.72727272727272696</c:v>
                </c:pt>
                <c:pt idx="3">
                  <c:v>0.75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DFD-4E8A-8194-D9080E0AECB2}"/>
            </c:ext>
          </c:extLst>
        </c:ser>
        <c:ser>
          <c:idx val="2"/>
          <c:order val="2"/>
          <c:tx>
            <c:strRef>
              <c:f>'3章_2障がい・医療'!E66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'3章_2障がい・医療'!$B$67:$B$70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'3章_2障がい・医療'!$E$67:$E$70</c:f>
              <c:numCache>
                <c:formatCode>0.0%</c:formatCode>
                <c:ptCount val="4"/>
                <c:pt idx="0">
                  <c:v>0.11969111969111999</c:v>
                </c:pt>
                <c:pt idx="1">
                  <c:v>0.119170984455959</c:v>
                </c:pt>
                <c:pt idx="2">
                  <c:v>0.12121212121212099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DFD-4E8A-8194-D9080E0AE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'3章_2障がい・医療'!$B$81</c:f>
              <c:strCache>
                <c:ptCount val="1"/>
                <c:pt idx="0">
                  <c:v>受けている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'3章_2障がい・医療'!$D$81</c:f>
              <c:numCache>
                <c:formatCode>0.0%</c:formatCode>
                <c:ptCount val="1"/>
                <c:pt idx="0">
                  <c:v>6.5637065637065603E-2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B2D-47E6-8F17-C7797D964E09}"/>
            </c:ext>
          </c:extLst>
        </c:ser>
        <c:ser>
          <c:idx val="1"/>
          <c:order val="1"/>
          <c:tx>
            <c:strRef>
              <c:f>'3章_2障がい・医療'!$B$82</c:f>
              <c:strCache>
                <c:ptCount val="1"/>
                <c:pt idx="0">
                  <c:v>受けていない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'3章_2障がい・医療'!$D$82</c:f>
              <c:numCache>
                <c:formatCode>0.0%</c:formatCode>
                <c:ptCount val="1"/>
                <c:pt idx="0">
                  <c:v>0.85328185328185302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B2D-47E6-8F17-C7797D964E09}"/>
            </c:ext>
          </c:extLst>
        </c:ser>
        <c:ser>
          <c:idx val="2"/>
          <c:order val="2"/>
          <c:tx>
            <c:strRef>
              <c:f>'3章_2障がい・医療'!$B$83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'3章_2障がい・医療'!$D$83</c:f>
              <c:numCache>
                <c:formatCode>0.0%</c:formatCode>
                <c:ptCount val="1"/>
                <c:pt idx="0">
                  <c:v>8.1081081081081099E-2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B2D-47E6-8F17-C7797D96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'3章_2障がい・医療'!C92</c:f>
              <c:strCache>
                <c:ptCount val="1"/>
                <c:pt idx="0">
                  <c:v>受けている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'3章_2障がい・医療'!$B$93:$B$96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'3章_2障がい・医療'!$C$93:$C$96</c:f>
              <c:numCache>
                <c:formatCode>0.0%</c:formatCode>
                <c:ptCount val="4"/>
                <c:pt idx="0">
                  <c:v>6.5637065637065603E-2</c:v>
                </c:pt>
                <c:pt idx="1">
                  <c:v>6.7357512953367907E-2</c:v>
                </c:pt>
                <c:pt idx="2">
                  <c:v>6.0606060606060601E-2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2B-4BC2-BD3A-2BAF0CFFCD8B}"/>
            </c:ext>
          </c:extLst>
        </c:ser>
        <c:ser>
          <c:idx val="1"/>
          <c:order val="1"/>
          <c:tx>
            <c:strRef>
              <c:f>'3章_2障がい・医療'!D92</c:f>
              <c:strCache>
                <c:ptCount val="1"/>
                <c:pt idx="0">
                  <c:v>受けていない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'3章_2障がい・医療'!$B$93:$B$96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'3章_2障がい・医療'!$D$93:$D$96</c:f>
              <c:numCache>
                <c:formatCode>0.0%</c:formatCode>
                <c:ptCount val="4"/>
                <c:pt idx="0">
                  <c:v>0.85328185328185302</c:v>
                </c:pt>
                <c:pt idx="1">
                  <c:v>0.84974093264248696</c:v>
                </c:pt>
                <c:pt idx="2">
                  <c:v>0.84848484848484895</c:v>
                </c:pt>
                <c:pt idx="3">
                  <c:v>0.88636363636363602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E2B-4BC2-BD3A-2BAF0CFFCD8B}"/>
            </c:ext>
          </c:extLst>
        </c:ser>
        <c:ser>
          <c:idx val="2"/>
          <c:order val="2"/>
          <c:tx>
            <c:strRef>
              <c:f>'3章_2障がい・医療'!E92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'3章_2障がい・医療'!$B$93:$B$96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'3章_2障がい・医療'!$E$93:$E$96</c:f>
              <c:numCache>
                <c:formatCode>0.0%</c:formatCode>
                <c:ptCount val="4"/>
                <c:pt idx="0">
                  <c:v>8.1081081081081099E-2</c:v>
                </c:pt>
                <c:pt idx="1">
                  <c:v>8.2901554404145095E-2</c:v>
                </c:pt>
                <c:pt idx="2">
                  <c:v>9.0909090909090898E-2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E2B-4BC2-BD3A-2BAF0CFF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'3章_2障がい・医療'!$B$107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'3章_2障がい・医療'!$D$107</c:f>
              <c:numCache>
                <c:formatCode>0.0%</c:formatCode>
                <c:ptCount val="1"/>
                <c:pt idx="0">
                  <c:v>0.11969111969111999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5F-4B27-B4CE-176EF512BB43}"/>
            </c:ext>
          </c:extLst>
        </c:ser>
        <c:ser>
          <c:idx val="1"/>
          <c:order val="1"/>
          <c:tx>
            <c:strRef>
              <c:f>'3章_2障がい・医療'!$B$108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'3章_2障がい・医療'!$D$108</c:f>
              <c:numCache>
                <c:formatCode>0.0%</c:formatCode>
                <c:ptCount val="1"/>
                <c:pt idx="0">
                  <c:v>0.80308880308880304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5F-4B27-B4CE-176EF512BB43}"/>
            </c:ext>
          </c:extLst>
        </c:ser>
        <c:ser>
          <c:idx val="2"/>
          <c:order val="2"/>
          <c:tx>
            <c:strRef>
              <c:f>'3章_2障がい・医療'!$B$109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'3章_2障がい・医療'!$D$109</c:f>
              <c:numCache>
                <c:formatCode>0.0%</c:formatCode>
                <c:ptCount val="1"/>
                <c:pt idx="0">
                  <c:v>7.7220077220077205E-2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B5F-4B27-B4CE-176EF512B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'3章_2障がい・医療'!C118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'3章_2障がい・医療'!$B$119:$B$122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'3章_2障がい・医療'!$C$119:$C$122</c:f>
              <c:numCache>
                <c:formatCode>0.0%</c:formatCode>
                <c:ptCount val="4"/>
                <c:pt idx="0">
                  <c:v>0.11969111969111999</c:v>
                </c:pt>
                <c:pt idx="1">
                  <c:v>2.59067357512953E-2</c:v>
                </c:pt>
                <c:pt idx="2">
                  <c:v>0.42424242424242398</c:v>
                </c:pt>
                <c:pt idx="3">
                  <c:v>0.43181818181818199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FE-43F8-8737-82A037795CCD}"/>
            </c:ext>
          </c:extLst>
        </c:ser>
        <c:ser>
          <c:idx val="1"/>
          <c:order val="1"/>
          <c:tx>
            <c:strRef>
              <c:f>'3章_2障がい・医療'!D118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'3章_2障がい・医療'!$B$119:$B$122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'3章_2障がい・医療'!$D$119:$D$122</c:f>
              <c:numCache>
                <c:formatCode>0.0%</c:formatCode>
                <c:ptCount val="4"/>
                <c:pt idx="0">
                  <c:v>0.80308880308880304</c:v>
                </c:pt>
                <c:pt idx="1">
                  <c:v>0.90155440414507804</c:v>
                </c:pt>
                <c:pt idx="2">
                  <c:v>0.51515151515151503</c:v>
                </c:pt>
                <c:pt idx="3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FE-43F8-8737-82A037795CCD}"/>
            </c:ext>
          </c:extLst>
        </c:ser>
        <c:ser>
          <c:idx val="2"/>
          <c:order val="2"/>
          <c:tx>
            <c:strRef>
              <c:f>'3章_2障がい・医療'!E118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'3章_2障がい・医療'!$B$119:$B$122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'3章_2障がい・医療'!$E$119:$E$122</c:f>
              <c:numCache>
                <c:formatCode>0.0%</c:formatCode>
                <c:ptCount val="4"/>
                <c:pt idx="0">
                  <c:v>7.7220077220077205E-2</c:v>
                </c:pt>
                <c:pt idx="1">
                  <c:v>7.2538860103626895E-2</c:v>
                </c:pt>
                <c:pt idx="2">
                  <c:v>6.0606060606060601E-2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7FE-43F8-8737-82A03779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'3章_2障がい・医療'!$B$134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'3章_2障がい・医療'!$D$134</c:f>
              <c:numCache>
                <c:formatCode>0.0%</c:formatCode>
                <c:ptCount val="1"/>
                <c:pt idx="0">
                  <c:v>3.0888030888030899E-2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E6-40A8-8F7A-FA5C872556CC}"/>
            </c:ext>
          </c:extLst>
        </c:ser>
        <c:ser>
          <c:idx val="1"/>
          <c:order val="1"/>
          <c:tx>
            <c:strRef>
              <c:f>'3章_2障がい・医療'!$B$135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'3章_2障がい・医療'!$D$135</c:f>
              <c:numCache>
                <c:formatCode>0.0%</c:formatCode>
                <c:ptCount val="1"/>
                <c:pt idx="0">
                  <c:v>0.83783783783783805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1E6-40A8-8F7A-FA5C872556CC}"/>
            </c:ext>
          </c:extLst>
        </c:ser>
        <c:ser>
          <c:idx val="2"/>
          <c:order val="2"/>
          <c:tx>
            <c:strRef>
              <c:f>'3章_2障がい・医療'!$B$136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'3章_2障がい・医療'!$D$136</c:f>
              <c:numCache>
                <c:formatCode>0.0%</c:formatCode>
                <c:ptCount val="1"/>
                <c:pt idx="0">
                  <c:v>0.13127413127413101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1E6-40A8-8F7A-FA5C87255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'3章_2障がい・医療'!C145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'3章_2障がい・医療'!$B$146:$B$149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'3章_2障がい・医療'!$C$146:$C$149</c:f>
              <c:numCache>
                <c:formatCode>0.0%</c:formatCode>
                <c:ptCount val="4"/>
                <c:pt idx="0">
                  <c:v>3.0888030888030899E-2</c:v>
                </c:pt>
                <c:pt idx="1">
                  <c:v>4.1450777202072499E-2</c:v>
                </c:pt>
                <c:pt idx="2">
                  <c:v>3.03030303030303E-2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17-4663-B818-2D39A0EF2EA1}"/>
            </c:ext>
          </c:extLst>
        </c:ser>
        <c:ser>
          <c:idx val="1"/>
          <c:order val="1"/>
          <c:tx>
            <c:strRef>
              <c:f>'3章_2障がい・医療'!D145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'3章_2障がい・医療'!$B$146:$B$149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'3章_2障がい・医療'!$D$146:$D$149</c:f>
              <c:numCache>
                <c:formatCode>0.0%</c:formatCode>
                <c:ptCount val="4"/>
                <c:pt idx="0">
                  <c:v>0.83783783783783805</c:v>
                </c:pt>
                <c:pt idx="1">
                  <c:v>0.818652849740933</c:v>
                </c:pt>
                <c:pt idx="2">
                  <c:v>0.78787878787878796</c:v>
                </c:pt>
                <c:pt idx="3">
                  <c:v>0.79545454545454497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17-4663-B818-2D39A0EF2EA1}"/>
            </c:ext>
          </c:extLst>
        </c:ser>
        <c:ser>
          <c:idx val="2"/>
          <c:order val="2"/>
          <c:tx>
            <c:strRef>
              <c:f>'3章_2障がい・医療'!E145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'3章_2障がい・医療'!$B$146:$B$149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'3章_2障がい・医療'!$E$146:$E$149</c:f>
              <c:numCache>
                <c:formatCode>0.0%</c:formatCode>
                <c:ptCount val="4"/>
                <c:pt idx="0">
                  <c:v>0.13127413127413101</c:v>
                </c:pt>
                <c:pt idx="1">
                  <c:v>0.13989637305699501</c:v>
                </c:pt>
                <c:pt idx="2">
                  <c:v>0.18181818181818199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E17-4663-B818-2D39A0EF2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4B-4CA5-B8FB-4231AD7A90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'3章_2障がい・医療'!$B$161:$B$168</c:f>
              <c:strCache>
                <c:ptCount val="8"/>
                <c:pt idx="0">
                  <c:v>肢体不自由（下肢）</c:v>
                </c:pt>
                <c:pt idx="1">
                  <c:v>音声・言語・そしゃく機能障がい</c:v>
                </c:pt>
                <c:pt idx="2">
                  <c:v>肢体不自由（上肢）</c:v>
                </c:pt>
                <c:pt idx="3">
                  <c:v>肢体不自由（体幹）</c:v>
                </c:pt>
                <c:pt idx="4">
                  <c:v>内部障がい（１～６以外）</c:v>
                </c:pt>
                <c:pt idx="5">
                  <c:v>視覚障がい</c:v>
                </c:pt>
                <c:pt idx="6">
                  <c:v>聴覚・平衡機能障がい</c:v>
                </c:pt>
                <c:pt idx="7">
                  <c:v>無回答</c:v>
                </c:pt>
              </c:strCache>
            </c:strRef>
          </c:cat>
          <c:val>
            <c:numRef>
              <c:f>'3章_2障がい・医療'!$D$161:$D$168</c:f>
              <c:numCache>
                <c:formatCode>0.0%</c:formatCode>
                <c:ptCount val="8"/>
                <c:pt idx="0">
                  <c:v>1.9305019305019301E-2</c:v>
                </c:pt>
                <c:pt idx="1">
                  <c:v>1.15830115830116E-2</c:v>
                </c:pt>
                <c:pt idx="2">
                  <c:v>1.15830115830116E-2</c:v>
                </c:pt>
                <c:pt idx="3">
                  <c:v>1.15830115830116E-2</c:v>
                </c:pt>
                <c:pt idx="4">
                  <c:v>3.8610038610038598E-3</c:v>
                </c:pt>
                <c:pt idx="5">
                  <c:v>0</c:v>
                </c:pt>
                <c:pt idx="6">
                  <c:v>0</c:v>
                </c:pt>
                <c:pt idx="7">
                  <c:v>0.96911196911196895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74B-4CA5-B8FB-4231AD7A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'3章_2障がい・医療'!C174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'3章_2障がい・医療'!$B$175:$B$180</c:f>
              <c:strCache>
                <c:ptCount val="6"/>
                <c:pt idx="0">
                  <c:v>肢体不自由（下肢）</c:v>
                </c:pt>
                <c:pt idx="1">
                  <c:v>音声・言語・そしゃく機能障がい</c:v>
                </c:pt>
                <c:pt idx="2">
                  <c:v>肢体不自由（上肢）</c:v>
                </c:pt>
                <c:pt idx="3">
                  <c:v>肢体不自由（体幹）</c:v>
                </c:pt>
                <c:pt idx="4">
                  <c:v>内部障がい（１～６以外）</c:v>
                </c:pt>
                <c:pt idx="5">
                  <c:v>無回答</c:v>
                </c:pt>
              </c:strCache>
            </c:strRef>
          </c:cat>
          <c:val>
            <c:numRef>
              <c:f>'3章_2障がい・医療'!$C$175:$C$180</c:f>
              <c:numCache>
                <c:formatCode>0.0%</c:formatCode>
                <c:ptCount val="6"/>
                <c:pt idx="0">
                  <c:v>2.59067357512953E-2</c:v>
                </c:pt>
                <c:pt idx="1">
                  <c:v>1.55440414507772E-2</c:v>
                </c:pt>
                <c:pt idx="2">
                  <c:v>1.55440414507772E-2</c:v>
                </c:pt>
                <c:pt idx="3">
                  <c:v>1.55440414507772E-2</c:v>
                </c:pt>
                <c:pt idx="4">
                  <c:v>5.1813471502590702E-3</c:v>
                </c:pt>
                <c:pt idx="5">
                  <c:v>0.95854922279792698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F2-4287-BED9-517307188264}"/>
            </c:ext>
          </c:extLst>
        </c:ser>
        <c:ser>
          <c:idx val="1"/>
          <c:order val="1"/>
          <c:tx>
            <c:strRef>
              <c:f>'3章_2障がい・医療'!D174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'3章_2障がい・医療'!$B$175:$B$180</c:f>
              <c:strCache>
                <c:ptCount val="6"/>
                <c:pt idx="0">
                  <c:v>肢体不自由（下肢）</c:v>
                </c:pt>
                <c:pt idx="1">
                  <c:v>音声・言語・そしゃく機能障がい</c:v>
                </c:pt>
                <c:pt idx="2">
                  <c:v>肢体不自由（上肢）</c:v>
                </c:pt>
                <c:pt idx="3">
                  <c:v>肢体不自由（体幹）</c:v>
                </c:pt>
                <c:pt idx="4">
                  <c:v>内部障がい（１～６以外）</c:v>
                </c:pt>
                <c:pt idx="5">
                  <c:v>無回答</c:v>
                </c:pt>
              </c:strCache>
            </c:strRef>
          </c:cat>
          <c:val>
            <c:numRef>
              <c:f>'3章_2障がい・医療'!$D$175:$D$180</c:f>
              <c:numCache>
                <c:formatCode>0.0%</c:formatCode>
                <c:ptCount val="6"/>
                <c:pt idx="0">
                  <c:v>3.03030303030303E-2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0.96969696969696995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F2-4287-BED9-517307188264}"/>
            </c:ext>
          </c:extLst>
        </c:ser>
        <c:ser>
          <c:idx val="2"/>
          <c:order val="2"/>
          <c:tx>
            <c:strRef>
              <c:f>'3章_2障がい・医療'!E174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'3章_2障がい・医療'!$B$175:$B$180</c:f>
              <c:strCache>
                <c:ptCount val="6"/>
                <c:pt idx="0">
                  <c:v>肢体不自由（下肢）</c:v>
                </c:pt>
                <c:pt idx="1">
                  <c:v>音声・言語・そしゃく機能障がい</c:v>
                </c:pt>
                <c:pt idx="2">
                  <c:v>肢体不自由（上肢）</c:v>
                </c:pt>
                <c:pt idx="3">
                  <c:v>肢体不自由（体幹）</c:v>
                </c:pt>
                <c:pt idx="4">
                  <c:v>内部障がい（１～６以外）</c:v>
                </c:pt>
                <c:pt idx="5">
                  <c:v>無回答</c:v>
                </c:pt>
              </c:strCache>
            </c:strRef>
          </c:cat>
          <c:val>
            <c:numRef>
              <c:f>'3章_2障がい・医療'!$E$175:$E$180</c:f>
              <c:numCache>
                <c:formatCode>0.0%</c:formatCode>
                <c:ptCount val="6"/>
                <c:pt idx="0">
                  <c:v>4.5454545454545497E-2</c:v>
                </c:pt>
                <c:pt idx="1">
                  <c:v>2.27272727272727E-2</c:v>
                </c:pt>
                <c:pt idx="2">
                  <c:v>2.27272727272727E-2</c:v>
                </c:pt>
                <c:pt idx="3">
                  <c:v>2.27272727272727E-2</c:v>
                </c:pt>
                <c:pt idx="4">
                  <c:v>2.27272727272727E-2</c:v>
                </c:pt>
                <c:pt idx="5">
                  <c:v>0.93181818181818199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F2-4287-BED9-51730718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2C-4210-A465-911B7DCA0E7C}"/>
              </c:ext>
            </c:extLst>
          </c:dPt>
          <c:dPt>
            <c:idx val="12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2C-4210-A465-911B7DCA0E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'3章_2障がい・医療'!$B$198:$B$210</c:f>
              <c:strCache>
                <c:ptCount val="13"/>
                <c:pt idx="0">
                  <c:v>服薬</c:v>
                </c:pt>
                <c:pt idx="1">
                  <c:v>透析</c:v>
                </c:pt>
                <c:pt idx="2">
                  <c:v>ストマ（人工肛門・人工膀胱）</c:v>
                </c:pt>
                <c:pt idx="3">
                  <c:v>カテーテル留置</c:v>
                </c:pt>
                <c:pt idx="4">
                  <c:v>人工呼吸器（レスピレーター）</c:v>
                </c:pt>
                <c:pt idx="5">
                  <c:v>胃ろう・腸ろう</c:v>
                </c:pt>
                <c:pt idx="6">
                  <c:v>吸入</c:v>
                </c:pt>
                <c:pt idx="7">
                  <c:v>鼻腔経管栄養</c:v>
                </c:pt>
                <c:pt idx="8">
                  <c:v>吸引</c:v>
                </c:pt>
                <c:pt idx="9">
                  <c:v>気管切開</c:v>
                </c:pt>
                <c:pt idx="10">
                  <c:v>中心静脈栄養（ＩＶＨ）</c:v>
                </c:pt>
                <c:pt idx="11">
                  <c:v>その他</c:v>
                </c:pt>
                <c:pt idx="12">
                  <c:v>無回答</c:v>
                </c:pt>
              </c:strCache>
            </c:strRef>
          </c:cat>
          <c:val>
            <c:numRef>
              <c:f>'3章_2障がい・医療'!$D$198:$D$210</c:f>
              <c:numCache>
                <c:formatCode>0.0%</c:formatCode>
                <c:ptCount val="13"/>
                <c:pt idx="0">
                  <c:v>0.42471042471042503</c:v>
                </c:pt>
                <c:pt idx="1">
                  <c:v>8.1081081081081099E-2</c:v>
                </c:pt>
                <c:pt idx="2">
                  <c:v>5.7915057915057903E-2</c:v>
                </c:pt>
                <c:pt idx="3">
                  <c:v>2.7027027027027001E-2</c:v>
                </c:pt>
                <c:pt idx="4">
                  <c:v>1.5444015444015399E-2</c:v>
                </c:pt>
                <c:pt idx="5">
                  <c:v>1.5444015444015399E-2</c:v>
                </c:pt>
                <c:pt idx="6">
                  <c:v>1.15830115830116E-2</c:v>
                </c:pt>
                <c:pt idx="7">
                  <c:v>1.15830115830116E-2</c:v>
                </c:pt>
                <c:pt idx="8">
                  <c:v>7.7220077220077196E-3</c:v>
                </c:pt>
                <c:pt idx="9">
                  <c:v>3.8610038610038598E-3</c:v>
                </c:pt>
                <c:pt idx="10">
                  <c:v>0</c:v>
                </c:pt>
                <c:pt idx="11">
                  <c:v>0.111969111969112</c:v>
                </c:pt>
                <c:pt idx="12">
                  <c:v>0.35135135135135098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C2C-4210-A465-911B7DCA0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'3章_2障がい・医療'!C216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'3章_2障がい・医療'!$B$217:$B$228</c:f>
              <c:strCache>
                <c:ptCount val="12"/>
                <c:pt idx="0">
                  <c:v>服薬</c:v>
                </c:pt>
                <c:pt idx="1">
                  <c:v>透析</c:v>
                </c:pt>
                <c:pt idx="2">
                  <c:v>ストマ（人工肛門・人工膀胱）</c:v>
                </c:pt>
                <c:pt idx="3">
                  <c:v>カテーテル留置</c:v>
                </c:pt>
                <c:pt idx="4">
                  <c:v>人工呼吸器（レスピレーター）</c:v>
                </c:pt>
                <c:pt idx="5">
                  <c:v>胃ろう・腸ろう</c:v>
                </c:pt>
                <c:pt idx="6">
                  <c:v>吸入</c:v>
                </c:pt>
                <c:pt idx="7">
                  <c:v>鼻腔経管栄養</c:v>
                </c:pt>
                <c:pt idx="8">
                  <c:v>吸引</c:v>
                </c:pt>
                <c:pt idx="9">
                  <c:v>気管切開</c:v>
                </c:pt>
                <c:pt idx="10">
                  <c:v>その他</c:v>
                </c:pt>
                <c:pt idx="11">
                  <c:v>無回答</c:v>
                </c:pt>
              </c:strCache>
            </c:strRef>
          </c:cat>
          <c:val>
            <c:numRef>
              <c:f>'3章_2障がい・医療'!$C$217:$C$228</c:f>
              <c:numCache>
                <c:formatCode>0.0%</c:formatCode>
                <c:ptCount val="12"/>
                <c:pt idx="0">
                  <c:v>0.419689119170984</c:v>
                </c:pt>
                <c:pt idx="1">
                  <c:v>9.8445595854922296E-2</c:v>
                </c:pt>
                <c:pt idx="2">
                  <c:v>7.7720207253885995E-2</c:v>
                </c:pt>
                <c:pt idx="3">
                  <c:v>2.59067357512953E-2</c:v>
                </c:pt>
                <c:pt idx="4">
                  <c:v>2.0725388601036301E-2</c:v>
                </c:pt>
                <c:pt idx="5">
                  <c:v>2.0725388601036301E-2</c:v>
                </c:pt>
                <c:pt idx="6">
                  <c:v>1.55440414507772E-2</c:v>
                </c:pt>
                <c:pt idx="7">
                  <c:v>1.55440414507772E-2</c:v>
                </c:pt>
                <c:pt idx="8">
                  <c:v>1.03626943005181E-2</c:v>
                </c:pt>
                <c:pt idx="9">
                  <c:v>5.1813471502590702E-3</c:v>
                </c:pt>
                <c:pt idx="10">
                  <c:v>0.13989637305699501</c:v>
                </c:pt>
                <c:pt idx="11">
                  <c:v>0.30051813471502598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2E-4785-80DC-EA1D755807F7}"/>
            </c:ext>
          </c:extLst>
        </c:ser>
        <c:ser>
          <c:idx val="1"/>
          <c:order val="1"/>
          <c:tx>
            <c:strRef>
              <c:f>'3章_2障がい・医療'!D216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'3章_2障がい・医療'!$B$217:$B$228</c:f>
              <c:strCache>
                <c:ptCount val="12"/>
                <c:pt idx="0">
                  <c:v>服薬</c:v>
                </c:pt>
                <c:pt idx="1">
                  <c:v>透析</c:v>
                </c:pt>
                <c:pt idx="2">
                  <c:v>ストマ（人工肛門・人工膀胱）</c:v>
                </c:pt>
                <c:pt idx="3">
                  <c:v>カテーテル留置</c:v>
                </c:pt>
                <c:pt idx="4">
                  <c:v>人工呼吸器（レスピレーター）</c:v>
                </c:pt>
                <c:pt idx="5">
                  <c:v>胃ろう・腸ろう</c:v>
                </c:pt>
                <c:pt idx="6">
                  <c:v>吸入</c:v>
                </c:pt>
                <c:pt idx="7">
                  <c:v>鼻腔経管栄養</c:v>
                </c:pt>
                <c:pt idx="8">
                  <c:v>吸引</c:v>
                </c:pt>
                <c:pt idx="9">
                  <c:v>気管切開</c:v>
                </c:pt>
                <c:pt idx="10">
                  <c:v>その他</c:v>
                </c:pt>
                <c:pt idx="11">
                  <c:v>無回答</c:v>
                </c:pt>
              </c:strCache>
            </c:strRef>
          </c:cat>
          <c:val>
            <c:numRef>
              <c:f>'3章_2障がい・医療'!$D$217:$D$228</c:f>
              <c:numCache>
                <c:formatCode>0.0%</c:formatCode>
                <c:ptCount val="12"/>
                <c:pt idx="0">
                  <c:v>0.36363636363636398</c:v>
                </c:pt>
                <c:pt idx="1">
                  <c:v>3.03030303030303E-2</c:v>
                </c:pt>
                <c:pt idx="2">
                  <c:v>0</c:v>
                </c:pt>
                <c:pt idx="3">
                  <c:v>3.03030303030303E-2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6.0606060606060601E-2</c:v>
                </c:pt>
                <c:pt idx="11">
                  <c:v>0.51515151515151503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2E-4785-80DC-EA1D755807F7}"/>
            </c:ext>
          </c:extLst>
        </c:ser>
        <c:ser>
          <c:idx val="2"/>
          <c:order val="2"/>
          <c:tx>
            <c:strRef>
              <c:f>'3章_2障がい・医療'!E216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'3章_2障がい・医療'!$B$217:$B$228</c:f>
              <c:strCache>
                <c:ptCount val="12"/>
                <c:pt idx="0">
                  <c:v>服薬</c:v>
                </c:pt>
                <c:pt idx="1">
                  <c:v>透析</c:v>
                </c:pt>
                <c:pt idx="2">
                  <c:v>ストマ（人工肛門・人工膀胱）</c:v>
                </c:pt>
                <c:pt idx="3">
                  <c:v>カテーテル留置</c:v>
                </c:pt>
                <c:pt idx="4">
                  <c:v>人工呼吸器（レスピレーター）</c:v>
                </c:pt>
                <c:pt idx="5">
                  <c:v>胃ろう・腸ろう</c:v>
                </c:pt>
                <c:pt idx="6">
                  <c:v>吸入</c:v>
                </c:pt>
                <c:pt idx="7">
                  <c:v>鼻腔経管栄養</c:v>
                </c:pt>
                <c:pt idx="8">
                  <c:v>吸引</c:v>
                </c:pt>
                <c:pt idx="9">
                  <c:v>気管切開</c:v>
                </c:pt>
                <c:pt idx="10">
                  <c:v>その他</c:v>
                </c:pt>
                <c:pt idx="11">
                  <c:v>無回答</c:v>
                </c:pt>
              </c:strCache>
            </c:strRef>
          </c:cat>
          <c:val>
            <c:numRef>
              <c:f>'3章_2障がい・医療'!$E$217:$E$228</c:f>
              <c:numCache>
                <c:formatCode>0.0%</c:formatCode>
                <c:ptCount val="12"/>
                <c:pt idx="0">
                  <c:v>0.45454545454545497</c:v>
                </c:pt>
                <c:pt idx="1">
                  <c:v>2.27272727272727E-2</c:v>
                </c:pt>
                <c:pt idx="2">
                  <c:v>2.27272727272727E-2</c:v>
                </c:pt>
                <c:pt idx="3">
                  <c:v>2.27272727272727E-2</c:v>
                </c:pt>
                <c:pt idx="4">
                  <c:v>0</c:v>
                </c:pt>
                <c:pt idx="5">
                  <c:v>2.27272727272727E-2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0.13636363636363599</c:v>
                </c:pt>
                <c:pt idx="11">
                  <c:v>0.34090909090909099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2E-4785-80DC-EA1D75580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BC-4A87-B8BE-5F6D17822483}"/>
              </c:ext>
            </c:extLst>
          </c:dPt>
          <c:dPt>
            <c:idx val="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BC-4A87-B8BE-5F6D17822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'3章_3暮らし・外出'!$B$5:$B$10</c:f>
              <c:strCache>
                <c:ptCount val="6"/>
                <c:pt idx="0">
                  <c:v>家族と一緒に生活したい</c:v>
                </c:pt>
                <c:pt idx="1">
                  <c:v>一般の住宅でひとり暮らしをしたい</c:v>
                </c:pt>
                <c:pt idx="2">
                  <c:v>グループホームなどを利用したい</c:v>
                </c:pt>
                <c:pt idx="3">
                  <c:v>福祉施設で暮らしたい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'3章_3暮らし・外出'!$D$5:$D$10</c:f>
              <c:numCache>
                <c:formatCode>0.0%</c:formatCode>
                <c:ptCount val="6"/>
                <c:pt idx="0">
                  <c:v>0.61003861003861004</c:v>
                </c:pt>
                <c:pt idx="1">
                  <c:v>8.8803088803088806E-2</c:v>
                </c:pt>
                <c:pt idx="2">
                  <c:v>6.5637065637065603E-2</c:v>
                </c:pt>
                <c:pt idx="3">
                  <c:v>0.14285714285714299</c:v>
                </c:pt>
                <c:pt idx="4">
                  <c:v>3.4749034749034798E-2</c:v>
                </c:pt>
                <c:pt idx="5">
                  <c:v>5.7915057915057903E-2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DBC-4A87-B8BE-5F6D17822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9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'3章_3暮らし・外出'!C16</c:f>
              <c:strCache>
                <c:ptCount val="1"/>
                <c:pt idx="0">
                  <c:v>家族と一緒に生活したい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'3章_3暮らし・外出'!$B$17:$B$20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'3章_3暮らし・外出'!$C$17:$C$20</c:f>
              <c:numCache>
                <c:formatCode>0.0%</c:formatCode>
                <c:ptCount val="4"/>
                <c:pt idx="0">
                  <c:v>0.61003861003861004</c:v>
                </c:pt>
                <c:pt idx="1">
                  <c:v>0.658031088082902</c:v>
                </c:pt>
                <c:pt idx="2">
                  <c:v>0.33333333333333298</c:v>
                </c:pt>
                <c:pt idx="3">
                  <c:v>0.52272727272727304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3E-48BC-B77C-7506777E2D25}"/>
            </c:ext>
          </c:extLst>
        </c:ser>
        <c:ser>
          <c:idx val="1"/>
          <c:order val="1"/>
          <c:tx>
            <c:strRef>
              <c:f>'3章_3暮らし・外出'!D16</c:f>
              <c:strCache>
                <c:ptCount val="1"/>
                <c:pt idx="0">
                  <c:v>一般の住宅でひとり暮らしをしたい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'3章_3暮らし・外出'!$B$17:$B$20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'3章_3暮らし・外出'!$D$17:$D$20</c:f>
              <c:numCache>
                <c:formatCode>0.0%</c:formatCode>
                <c:ptCount val="4"/>
                <c:pt idx="0">
                  <c:v>8.8803088803088806E-2</c:v>
                </c:pt>
                <c:pt idx="1">
                  <c:v>6.21761658031088E-2</c:v>
                </c:pt>
                <c:pt idx="2">
                  <c:v>0.18181818181818199</c:v>
                </c:pt>
                <c:pt idx="3">
                  <c:v>0.18181818181818199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E3E-48BC-B77C-7506777E2D25}"/>
            </c:ext>
          </c:extLst>
        </c:ser>
        <c:ser>
          <c:idx val="2"/>
          <c:order val="2"/>
          <c:tx>
            <c:strRef>
              <c:f>'3章_3暮らし・外出'!E16</c:f>
              <c:strCache>
                <c:ptCount val="1"/>
                <c:pt idx="0">
                  <c:v>グループホームなどを利用したい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'3章_3暮らし・外出'!$B$17:$B$20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'3章_3暮らし・外出'!$E$17:$E$20</c:f>
              <c:numCache>
                <c:formatCode>0.0%</c:formatCode>
                <c:ptCount val="4"/>
                <c:pt idx="0">
                  <c:v>6.5637065637065603E-2</c:v>
                </c:pt>
                <c:pt idx="1">
                  <c:v>6.21761658031088E-2</c:v>
                </c:pt>
                <c:pt idx="2">
                  <c:v>0.15151515151515199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E3E-48BC-B77C-7506777E2D25}"/>
            </c:ext>
          </c:extLst>
        </c:ser>
        <c:ser>
          <c:idx val="3"/>
          <c:order val="3"/>
          <c:tx>
            <c:strRef>
              <c:f>'3章_3暮らし・外出'!F16</c:f>
              <c:strCache>
                <c:ptCount val="1"/>
                <c:pt idx="0">
                  <c:v>福祉施設で暮らしたい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'3章_3暮らし・外出'!$B$17:$B$20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'3章_3暮らし・外出'!$F$17:$F$20</c:f>
              <c:numCache>
                <c:formatCode>0.0%</c:formatCode>
                <c:ptCount val="4"/>
                <c:pt idx="0">
                  <c:v>0.14285714285714299</c:v>
                </c:pt>
                <c:pt idx="1">
                  <c:v>0.13989637305699501</c:v>
                </c:pt>
                <c:pt idx="2">
                  <c:v>0.21212121212121199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E3E-48BC-B77C-7506777E2D25}"/>
            </c:ext>
          </c:extLst>
        </c:ser>
        <c:ser>
          <c:idx val="4"/>
          <c:order val="4"/>
          <c:tx>
            <c:strRef>
              <c:f>'3章_3暮らし・外出'!G16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'3章_3暮らし・外出'!$B$17:$B$20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'3章_3暮らし・外出'!$G$17:$G$20</c:f>
              <c:numCache>
                <c:formatCode>0.0%</c:formatCode>
                <c:ptCount val="4"/>
                <c:pt idx="0">
                  <c:v>3.4749034749034798E-2</c:v>
                </c:pt>
                <c:pt idx="1">
                  <c:v>2.59067357512953E-2</c:v>
                </c:pt>
                <c:pt idx="2">
                  <c:v>6.0606060606060601E-2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E3E-48BC-B77C-7506777E2D25}"/>
            </c:ext>
          </c:extLst>
        </c:ser>
        <c:ser>
          <c:idx val="5"/>
          <c:order val="5"/>
          <c:tx>
            <c:strRef>
              <c:f>'3章_3暮らし・外出'!H16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'3章_3暮らし・外出'!$B$17:$B$20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'3章_3暮らし・外出'!$H$17:$H$20</c:f>
              <c:numCache>
                <c:formatCode>0.0%</c:formatCode>
                <c:ptCount val="4"/>
                <c:pt idx="0">
                  <c:v>5.7915057915057903E-2</c:v>
                </c:pt>
                <c:pt idx="1">
                  <c:v>5.1813471502590698E-2</c:v>
                </c:pt>
                <c:pt idx="2">
                  <c:v>6.0606060606060601E-2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E3E-48BC-B77C-7506777E2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45-4E7F-A3A9-9E7ED8659F52}"/>
              </c:ext>
            </c:extLst>
          </c:dPt>
          <c:dPt>
            <c:idx val="12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45-4E7F-A3A9-9E7ED8659F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'3章_3暮らし・外出'!$B$29:$B$41</c:f>
              <c:strCache>
                <c:ptCount val="13"/>
                <c:pt idx="0">
                  <c:v>経済的な負担の軽減</c:v>
                </c:pt>
                <c:pt idx="1">
                  <c:v>必要な在宅サービスが適切に利用できること</c:v>
                </c:pt>
                <c:pt idx="2">
                  <c:v>在宅で医療ケアなどが適切に得られること</c:v>
                </c:pt>
                <c:pt idx="3">
                  <c:v>障がい者に適した住居の確保</c:v>
                </c:pt>
                <c:pt idx="4">
                  <c:v>町外サービス利用時の送迎支援</c:v>
                </c:pt>
                <c:pt idx="5">
                  <c:v>相談対応等の充実</c:v>
                </c:pt>
                <c:pt idx="6">
                  <c:v>地域住民等の理解</c:v>
                </c:pt>
                <c:pt idx="7">
                  <c:v>コミュニケーションについての支援</c:v>
                </c:pt>
                <c:pt idx="8">
                  <c:v>生活訓練等の充実</c:v>
                </c:pt>
                <c:pt idx="9">
                  <c:v>地域移行に向けた具体的な相談や体験利用ができること</c:v>
                </c:pt>
                <c:pt idx="10">
                  <c:v>意思決定への支援</c:v>
                </c:pt>
                <c:pt idx="11">
                  <c:v>その他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'3章_3暮らし・外出'!$D$29:$D$41</c:f>
              <c:numCache>
                <c:formatCode>0.0%</c:formatCode>
                <c:ptCount val="13"/>
                <c:pt idx="0">
                  <c:v>0.48262548262548299</c:v>
                </c:pt>
                <c:pt idx="1">
                  <c:v>0.451737451737452</c:v>
                </c:pt>
                <c:pt idx="2">
                  <c:v>0.43629343629343598</c:v>
                </c:pt>
                <c:pt idx="3">
                  <c:v>0.28957528957529</c:v>
                </c:pt>
                <c:pt idx="4">
                  <c:v>0.24324324324324301</c:v>
                </c:pt>
                <c:pt idx="5">
                  <c:v>0.22007722007722</c:v>
                </c:pt>
                <c:pt idx="6">
                  <c:v>0.14671814671814701</c:v>
                </c:pt>
                <c:pt idx="7">
                  <c:v>0.12741312741312699</c:v>
                </c:pt>
                <c:pt idx="8">
                  <c:v>0.115830115830116</c:v>
                </c:pt>
                <c:pt idx="9">
                  <c:v>9.6525096525096499E-2</c:v>
                </c:pt>
                <c:pt idx="10">
                  <c:v>8.4942084942084897E-2</c:v>
                </c:pt>
                <c:pt idx="11">
                  <c:v>3.8610038610038602E-2</c:v>
                </c:pt>
                <c:pt idx="12">
                  <c:v>0.135135135135135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045-4E7F-A3A9-9E7ED8659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7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'3章_3暮らし・外出'!C47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'3章_3暮らし・外出'!$B$48:$B$60</c:f>
              <c:strCache>
                <c:ptCount val="13"/>
                <c:pt idx="0">
                  <c:v>経済的な負担の軽減</c:v>
                </c:pt>
                <c:pt idx="1">
                  <c:v>必要な在宅サービスが適切に利用できること</c:v>
                </c:pt>
                <c:pt idx="2">
                  <c:v>在宅で医療ケアなどが適切に得られること</c:v>
                </c:pt>
                <c:pt idx="3">
                  <c:v>障がい者に適した住居の確保</c:v>
                </c:pt>
                <c:pt idx="4">
                  <c:v>町外サービス利用時の送迎支援</c:v>
                </c:pt>
                <c:pt idx="5">
                  <c:v>相談対応等の充実</c:v>
                </c:pt>
                <c:pt idx="6">
                  <c:v>地域住民等の理解</c:v>
                </c:pt>
                <c:pt idx="7">
                  <c:v>コミュニケーションについての支援</c:v>
                </c:pt>
                <c:pt idx="8">
                  <c:v>生活訓練等の充実</c:v>
                </c:pt>
                <c:pt idx="9">
                  <c:v>地域移行に向けた具体的な相談や体験利用ができること</c:v>
                </c:pt>
                <c:pt idx="10">
                  <c:v>意思決定への支援</c:v>
                </c:pt>
                <c:pt idx="11">
                  <c:v>その他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'3章_3暮らし・外出'!$C$48:$C$60</c:f>
              <c:numCache>
                <c:formatCode>0.0%</c:formatCode>
                <c:ptCount val="13"/>
                <c:pt idx="0">
                  <c:v>0.45595854922279799</c:v>
                </c:pt>
                <c:pt idx="1">
                  <c:v>0.47150259067357497</c:v>
                </c:pt>
                <c:pt idx="2">
                  <c:v>0.466321243523316</c:v>
                </c:pt>
                <c:pt idx="3">
                  <c:v>0.27979274611399002</c:v>
                </c:pt>
                <c:pt idx="4">
                  <c:v>0.238341968911917</c:v>
                </c:pt>
                <c:pt idx="5">
                  <c:v>0.176165803108808</c:v>
                </c:pt>
                <c:pt idx="6">
                  <c:v>0.119170984455959</c:v>
                </c:pt>
                <c:pt idx="7">
                  <c:v>8.8082901554404097E-2</c:v>
                </c:pt>
                <c:pt idx="8">
                  <c:v>9.3264248704663197E-2</c:v>
                </c:pt>
                <c:pt idx="9">
                  <c:v>6.7357512953367907E-2</c:v>
                </c:pt>
                <c:pt idx="10">
                  <c:v>6.21761658031088E-2</c:v>
                </c:pt>
                <c:pt idx="11">
                  <c:v>4.6632124352331598E-2</c:v>
                </c:pt>
                <c:pt idx="12">
                  <c:v>0.124352331606218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EB-4308-BEA9-BD362F85F581}"/>
            </c:ext>
          </c:extLst>
        </c:ser>
        <c:ser>
          <c:idx val="1"/>
          <c:order val="1"/>
          <c:tx>
            <c:strRef>
              <c:f>'3章_3暮らし・外出'!D47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'3章_3暮らし・外出'!$B$48:$B$60</c:f>
              <c:strCache>
                <c:ptCount val="13"/>
                <c:pt idx="0">
                  <c:v>経済的な負担の軽減</c:v>
                </c:pt>
                <c:pt idx="1">
                  <c:v>必要な在宅サービスが適切に利用できること</c:v>
                </c:pt>
                <c:pt idx="2">
                  <c:v>在宅で医療ケアなどが適切に得られること</c:v>
                </c:pt>
                <c:pt idx="3">
                  <c:v>障がい者に適した住居の確保</c:v>
                </c:pt>
                <c:pt idx="4">
                  <c:v>町外サービス利用時の送迎支援</c:v>
                </c:pt>
                <c:pt idx="5">
                  <c:v>相談対応等の充実</c:v>
                </c:pt>
                <c:pt idx="6">
                  <c:v>地域住民等の理解</c:v>
                </c:pt>
                <c:pt idx="7">
                  <c:v>コミュニケーションについての支援</c:v>
                </c:pt>
                <c:pt idx="8">
                  <c:v>生活訓練等の充実</c:v>
                </c:pt>
                <c:pt idx="9">
                  <c:v>地域移行に向けた具体的な相談や体験利用ができること</c:v>
                </c:pt>
                <c:pt idx="10">
                  <c:v>意思決定への支援</c:v>
                </c:pt>
                <c:pt idx="11">
                  <c:v>その他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'3章_3暮らし・外出'!$D$48:$D$60</c:f>
              <c:numCache>
                <c:formatCode>0.0%</c:formatCode>
                <c:ptCount val="13"/>
                <c:pt idx="0">
                  <c:v>0.33333333333333298</c:v>
                </c:pt>
                <c:pt idx="1">
                  <c:v>0.24242424242424199</c:v>
                </c:pt>
                <c:pt idx="2">
                  <c:v>0.15151515151515199</c:v>
                </c:pt>
                <c:pt idx="3">
                  <c:v>0.45454545454545497</c:v>
                </c:pt>
                <c:pt idx="4">
                  <c:v>0.27272727272727298</c:v>
                </c:pt>
                <c:pt idx="5">
                  <c:v>0.27272727272727298</c:v>
                </c:pt>
                <c:pt idx="6">
                  <c:v>0.30303030303030298</c:v>
                </c:pt>
                <c:pt idx="7">
                  <c:v>0.24242424242424199</c:v>
                </c:pt>
                <c:pt idx="8">
                  <c:v>0.18181818181818199</c:v>
                </c:pt>
                <c:pt idx="9">
                  <c:v>0.18181818181818199</c:v>
                </c:pt>
                <c:pt idx="10">
                  <c:v>0.18181818181818199</c:v>
                </c:pt>
                <c:pt idx="11">
                  <c:v>3.03030303030303E-2</c:v>
                </c:pt>
                <c:pt idx="12">
                  <c:v>0.21212121212121199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EB-4308-BEA9-BD362F85F581}"/>
            </c:ext>
          </c:extLst>
        </c:ser>
        <c:ser>
          <c:idx val="2"/>
          <c:order val="2"/>
          <c:tx>
            <c:strRef>
              <c:f>'3章_3暮らし・外出'!E47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'3章_3暮らし・外出'!$B$48:$B$60</c:f>
              <c:strCache>
                <c:ptCount val="13"/>
                <c:pt idx="0">
                  <c:v>経済的な負担の軽減</c:v>
                </c:pt>
                <c:pt idx="1">
                  <c:v>必要な在宅サービスが適切に利用できること</c:v>
                </c:pt>
                <c:pt idx="2">
                  <c:v>在宅で医療ケアなどが適切に得られること</c:v>
                </c:pt>
                <c:pt idx="3">
                  <c:v>障がい者に適した住居の確保</c:v>
                </c:pt>
                <c:pt idx="4">
                  <c:v>町外サービス利用時の送迎支援</c:v>
                </c:pt>
                <c:pt idx="5">
                  <c:v>相談対応等の充実</c:v>
                </c:pt>
                <c:pt idx="6">
                  <c:v>地域住民等の理解</c:v>
                </c:pt>
                <c:pt idx="7">
                  <c:v>コミュニケーションについての支援</c:v>
                </c:pt>
                <c:pt idx="8">
                  <c:v>生活訓練等の充実</c:v>
                </c:pt>
                <c:pt idx="9">
                  <c:v>地域移行に向けた具体的な相談や体験利用ができること</c:v>
                </c:pt>
                <c:pt idx="10">
                  <c:v>意思決定への支援</c:v>
                </c:pt>
                <c:pt idx="11">
                  <c:v>その他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'3章_3暮らし・外出'!$E$48:$E$60</c:f>
              <c:numCache>
                <c:formatCode>0.0%</c:formatCode>
                <c:ptCount val="13"/>
                <c:pt idx="0">
                  <c:v>0.56818181818181801</c:v>
                </c:pt>
                <c:pt idx="1">
                  <c:v>0.34090909090909099</c:v>
                </c:pt>
                <c:pt idx="2">
                  <c:v>0.27272727272727298</c:v>
                </c:pt>
                <c:pt idx="3">
                  <c:v>0.40909090909090901</c:v>
                </c:pt>
                <c:pt idx="4">
                  <c:v>0.204545454545455</c:v>
                </c:pt>
                <c:pt idx="5">
                  <c:v>0.43181818181818199</c:v>
                </c:pt>
                <c:pt idx="6">
                  <c:v>0.34090909090909099</c:v>
                </c:pt>
                <c:pt idx="7">
                  <c:v>0.29545454545454503</c:v>
                </c:pt>
                <c:pt idx="8">
                  <c:v>0.204545454545455</c:v>
                </c:pt>
                <c:pt idx="9">
                  <c:v>0.25</c:v>
                </c:pt>
                <c:pt idx="10">
                  <c:v>0.204545454545455</c:v>
                </c:pt>
                <c:pt idx="11">
                  <c:v>6.8181818181818205E-2</c:v>
                </c:pt>
                <c:pt idx="12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EB-4308-BEA9-BD362F85F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'3章_3暮らし・外出'!$B$89</c:f>
              <c:strCache>
                <c:ptCount val="1"/>
                <c:pt idx="0">
                  <c:v>毎日外出する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'3章_3暮らし・外出'!$D$89</c:f>
              <c:numCache>
                <c:formatCode>0.0%</c:formatCode>
                <c:ptCount val="1"/>
                <c:pt idx="0">
                  <c:v>0.23938223938223899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06-477D-A252-195558A08396}"/>
            </c:ext>
          </c:extLst>
        </c:ser>
        <c:ser>
          <c:idx val="1"/>
          <c:order val="1"/>
          <c:tx>
            <c:strRef>
              <c:f>'3章_3暮らし・外出'!$B$90</c:f>
              <c:strCache>
                <c:ptCount val="1"/>
                <c:pt idx="0">
                  <c:v>１週間に数回外出する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'3章_3暮らし・外出'!$D$90</c:f>
              <c:numCache>
                <c:formatCode>0.0%</c:formatCode>
                <c:ptCount val="1"/>
                <c:pt idx="0">
                  <c:v>0.44787644787644798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06-477D-A252-195558A08396}"/>
            </c:ext>
          </c:extLst>
        </c:ser>
        <c:ser>
          <c:idx val="2"/>
          <c:order val="2"/>
          <c:tx>
            <c:strRef>
              <c:f>'3章_3暮らし・外出'!$B$91</c:f>
              <c:strCache>
                <c:ptCount val="1"/>
                <c:pt idx="0">
                  <c:v>めったに外出しない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'3章_3暮らし・外出'!$D$91</c:f>
              <c:numCache>
                <c:formatCode>0.0%</c:formatCode>
                <c:ptCount val="1"/>
                <c:pt idx="0">
                  <c:v>0.18532818532818501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A06-477D-A252-195558A08396}"/>
            </c:ext>
          </c:extLst>
        </c:ser>
        <c:ser>
          <c:idx val="3"/>
          <c:order val="3"/>
          <c:tx>
            <c:strRef>
              <c:f>'3章_3暮らし・外出'!$B$92</c:f>
              <c:strCache>
                <c:ptCount val="1"/>
                <c:pt idx="0">
                  <c:v>まったく外出しない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'3章_3暮らし・外出'!$D$92</c:f>
              <c:numCache>
                <c:formatCode>0.0%</c:formatCode>
                <c:ptCount val="1"/>
                <c:pt idx="0">
                  <c:v>8.8803088803088806E-2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A06-477D-A252-195558A08396}"/>
            </c:ext>
          </c:extLst>
        </c:ser>
        <c:ser>
          <c:idx val="4"/>
          <c:order val="4"/>
          <c:tx>
            <c:strRef>
              <c:f>'3章_3暮らし・外出'!$B$93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'3章_3暮らし・外出'!$D$93</c:f>
              <c:numCache>
                <c:formatCode>0.0%</c:formatCode>
                <c:ptCount val="1"/>
                <c:pt idx="0">
                  <c:v>3.8610038610038602E-2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A06-477D-A252-195558A08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'3章_3暮らし・外出'!C99</c:f>
              <c:strCache>
                <c:ptCount val="1"/>
                <c:pt idx="0">
                  <c:v>毎日外出する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'3章_3暮らし・外出'!$B$100:$B$103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'3章_3暮らし・外出'!$C$100:$C$103</c:f>
              <c:numCache>
                <c:formatCode>0.0%</c:formatCode>
                <c:ptCount val="4"/>
                <c:pt idx="0">
                  <c:v>0.23938223938223899</c:v>
                </c:pt>
                <c:pt idx="1">
                  <c:v>0.20207253886010401</c:v>
                </c:pt>
                <c:pt idx="2">
                  <c:v>0.30303030303030298</c:v>
                </c:pt>
                <c:pt idx="3">
                  <c:v>0.36363636363636398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B0-4C5A-AC1C-CA0D9F2AFCB7}"/>
            </c:ext>
          </c:extLst>
        </c:ser>
        <c:ser>
          <c:idx val="1"/>
          <c:order val="1"/>
          <c:tx>
            <c:strRef>
              <c:f>'3章_3暮らし・外出'!D99</c:f>
              <c:strCache>
                <c:ptCount val="1"/>
                <c:pt idx="0">
                  <c:v>１週間に数回外出する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'3章_3暮らし・外出'!$B$100:$B$103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'3章_3暮らし・外出'!$D$100:$D$103</c:f>
              <c:numCache>
                <c:formatCode>0.0%</c:formatCode>
                <c:ptCount val="4"/>
                <c:pt idx="0">
                  <c:v>0.44787644787644798</c:v>
                </c:pt>
                <c:pt idx="1">
                  <c:v>0.46113989637305702</c:v>
                </c:pt>
                <c:pt idx="2">
                  <c:v>0.39393939393939398</c:v>
                </c:pt>
                <c:pt idx="3">
                  <c:v>0.36363636363636398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9B0-4C5A-AC1C-CA0D9F2AFCB7}"/>
            </c:ext>
          </c:extLst>
        </c:ser>
        <c:ser>
          <c:idx val="2"/>
          <c:order val="2"/>
          <c:tx>
            <c:strRef>
              <c:f>'3章_3暮らし・外出'!E99</c:f>
              <c:strCache>
                <c:ptCount val="1"/>
                <c:pt idx="0">
                  <c:v>めったに外出しない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'3章_3暮らし・外出'!$B$100:$B$103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'3章_3暮らし・外出'!$E$100:$E$103</c:f>
              <c:numCache>
                <c:formatCode>0.0%</c:formatCode>
                <c:ptCount val="4"/>
                <c:pt idx="0">
                  <c:v>0.18532818532818501</c:v>
                </c:pt>
                <c:pt idx="1">
                  <c:v>0.20207253886010401</c:v>
                </c:pt>
                <c:pt idx="2">
                  <c:v>9.0909090909090898E-2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9B0-4C5A-AC1C-CA0D9F2AFCB7}"/>
            </c:ext>
          </c:extLst>
        </c:ser>
        <c:ser>
          <c:idx val="3"/>
          <c:order val="3"/>
          <c:tx>
            <c:strRef>
              <c:f>'3章_3暮らし・外出'!F99</c:f>
              <c:strCache>
                <c:ptCount val="1"/>
                <c:pt idx="0">
                  <c:v>まったく外出しない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'3章_3暮らし・外出'!$B$100:$B$103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'3章_3暮らし・外出'!$F$100:$F$103</c:f>
              <c:numCache>
                <c:formatCode>0.0%</c:formatCode>
                <c:ptCount val="4"/>
                <c:pt idx="0">
                  <c:v>8.8803088803088806E-2</c:v>
                </c:pt>
                <c:pt idx="1">
                  <c:v>9.8445595854922296E-2</c:v>
                </c:pt>
                <c:pt idx="2">
                  <c:v>0.12121212121212099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9B0-4C5A-AC1C-CA0D9F2AFCB7}"/>
            </c:ext>
          </c:extLst>
        </c:ser>
        <c:ser>
          <c:idx val="4"/>
          <c:order val="4"/>
          <c:tx>
            <c:strRef>
              <c:f>'3章_3暮らし・外出'!G99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'3章_3暮らし・外出'!$B$100:$B$103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'3章_3暮らし・外出'!$G$100:$G$103</c:f>
              <c:numCache>
                <c:formatCode>0.0%</c:formatCode>
                <c:ptCount val="4"/>
                <c:pt idx="0">
                  <c:v>3.8610038610038602E-2</c:v>
                </c:pt>
                <c:pt idx="1">
                  <c:v>3.6269430051813503E-2</c:v>
                </c:pt>
                <c:pt idx="2">
                  <c:v>9.0909090909090898E-2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9B0-4C5A-AC1C-CA0D9F2AF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'3章_3暮らし・外出'!$B$114</c:f>
              <c:strCache>
                <c:ptCount val="1"/>
                <c:pt idx="0">
                  <c:v>父母・祖父母・兄弟姉妹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'3章_3暮らし・外出'!$D$114</c:f>
              <c:numCache>
                <c:formatCode>0.0%</c:formatCode>
                <c:ptCount val="1"/>
                <c:pt idx="0">
                  <c:v>9.2664092664092701E-2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A0-40FE-A2C5-AE09C250EAE9}"/>
            </c:ext>
          </c:extLst>
        </c:ser>
        <c:ser>
          <c:idx val="1"/>
          <c:order val="1"/>
          <c:tx>
            <c:strRef>
              <c:f>'3章_3暮らし・外出'!$B$115</c:f>
              <c:strCache>
                <c:ptCount val="1"/>
                <c:pt idx="0">
                  <c:v>配偶者（夫または妻）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'3章_3暮らし・外出'!$D$115</c:f>
              <c:numCache>
                <c:formatCode>0.0%</c:formatCode>
                <c:ptCount val="1"/>
                <c:pt idx="0">
                  <c:v>0.16988416988416999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A0-40FE-A2C5-AE09C250EAE9}"/>
            </c:ext>
          </c:extLst>
        </c:ser>
        <c:ser>
          <c:idx val="2"/>
          <c:order val="2"/>
          <c:tx>
            <c:strRef>
              <c:f>'3章_3暮らし・外出'!$B$116</c:f>
              <c:strCache>
                <c:ptCount val="1"/>
                <c:pt idx="0">
                  <c:v>子ども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'3章_3暮らし・外出'!$D$116</c:f>
              <c:numCache>
                <c:formatCode>0.0%</c:formatCode>
                <c:ptCount val="1"/>
                <c:pt idx="0">
                  <c:v>0.135135135135135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5A0-40FE-A2C5-AE09C250EAE9}"/>
            </c:ext>
          </c:extLst>
        </c:ser>
        <c:ser>
          <c:idx val="3"/>
          <c:order val="3"/>
          <c:tx>
            <c:strRef>
              <c:f>'3章_3暮らし・外出'!$B$117</c:f>
              <c:strCache>
                <c:ptCount val="1"/>
                <c:pt idx="0">
                  <c:v>ホームヘルパーや施設の職員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'3章_3暮らし・外出'!$D$117</c:f>
              <c:numCache>
                <c:formatCode>0.0%</c:formatCode>
                <c:ptCount val="1"/>
                <c:pt idx="0">
                  <c:v>0.104247104247104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5A0-40FE-A2C5-AE09C250EAE9}"/>
            </c:ext>
          </c:extLst>
        </c:ser>
        <c:ser>
          <c:idx val="4"/>
          <c:order val="4"/>
          <c:tx>
            <c:strRef>
              <c:f>'3章_3暮らし・外出'!$B$118</c:f>
              <c:strCache>
                <c:ptCount val="1"/>
                <c:pt idx="0">
                  <c:v>その他の人（ボランティア等）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'3章_3暮らし・外出'!$D$118</c:f>
              <c:numCache>
                <c:formatCode>0.0%</c:formatCode>
                <c:ptCount val="1"/>
                <c:pt idx="0">
                  <c:v>1.5444015444015399E-2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5A0-40FE-A2C5-AE09C250EAE9}"/>
            </c:ext>
          </c:extLst>
        </c:ser>
        <c:ser>
          <c:idx val="5"/>
          <c:order val="5"/>
          <c:tx>
            <c:strRef>
              <c:f>'3章_3暮らし・外出'!$B$119</c:f>
              <c:strCache>
                <c:ptCount val="1"/>
                <c:pt idx="0">
                  <c:v>一人で外出する</c:v>
                </c:pt>
              </c:strCache>
            </c:strRef>
          </c:tx>
          <c:spPr>
            <a:solidFill>
              <a:srgbClr val="E07B3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'3章_3暮らし・外出'!$D$119</c:f>
              <c:numCache>
                <c:formatCode>0.0%</c:formatCode>
                <c:ptCount val="1"/>
                <c:pt idx="0">
                  <c:v>0.33204633204633199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5A0-40FE-A2C5-AE09C250EAE9}"/>
            </c:ext>
          </c:extLst>
        </c:ser>
        <c:ser>
          <c:idx val="6"/>
          <c:order val="6"/>
          <c:tx>
            <c:strRef>
              <c:f>'3章_3暮らし・外出'!$B$120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'3章_3暮らし・外出'!$D$120</c:f>
              <c:numCache>
                <c:formatCode>0.0%</c:formatCode>
                <c:ptCount val="1"/>
                <c:pt idx="0">
                  <c:v>0.150579150579151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5A0-40FE-A2C5-AE09C250E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'3章_3暮らし・外出'!C125</c:f>
              <c:strCache>
                <c:ptCount val="1"/>
                <c:pt idx="0">
                  <c:v>父母・祖父母・兄弟姉妹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'3章_3暮らし・外出'!$C$126:$C$129</c:f>
              <c:numCache>
                <c:formatCode>0.0%</c:formatCode>
                <c:ptCount val="4"/>
                <c:pt idx="0">
                  <c:v>9.2664092664092701E-2</c:v>
                </c:pt>
                <c:pt idx="1">
                  <c:v>3.6269430051813503E-2</c:v>
                </c:pt>
                <c:pt idx="2">
                  <c:v>0.30303030303030298</c:v>
                </c:pt>
                <c:pt idx="3">
                  <c:v>0.204545454545455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B2-4C05-BF0B-238B694CB562}"/>
            </c:ext>
          </c:extLst>
        </c:ser>
        <c:ser>
          <c:idx val="1"/>
          <c:order val="1"/>
          <c:tx>
            <c:strRef>
              <c:f>'3章_3暮らし・外出'!D125</c:f>
              <c:strCache>
                <c:ptCount val="1"/>
                <c:pt idx="0">
                  <c:v>配偶者（夫または妻）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'3章_3暮らし・外出'!$D$126:$D$129</c:f>
              <c:numCache>
                <c:formatCode>0.0%</c:formatCode>
                <c:ptCount val="4"/>
                <c:pt idx="0">
                  <c:v>0.16988416988416999</c:v>
                </c:pt>
                <c:pt idx="1">
                  <c:v>0.21243523316062199</c:v>
                </c:pt>
                <c:pt idx="2">
                  <c:v>0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AB2-4C05-BF0B-238B694CB562}"/>
            </c:ext>
          </c:extLst>
        </c:ser>
        <c:ser>
          <c:idx val="2"/>
          <c:order val="2"/>
          <c:tx>
            <c:strRef>
              <c:f>'3章_3暮らし・外出'!E125</c:f>
              <c:strCache>
                <c:ptCount val="1"/>
                <c:pt idx="0">
                  <c:v>子ども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'3章_3暮らし・外出'!$E$126:$E$129</c:f>
              <c:numCache>
                <c:formatCode>0.0%</c:formatCode>
                <c:ptCount val="4"/>
                <c:pt idx="0">
                  <c:v>0.135135135135135</c:v>
                </c:pt>
                <c:pt idx="1">
                  <c:v>0.14507772020725401</c:v>
                </c:pt>
                <c:pt idx="2">
                  <c:v>0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AB2-4C05-BF0B-238B694CB562}"/>
            </c:ext>
          </c:extLst>
        </c:ser>
        <c:ser>
          <c:idx val="3"/>
          <c:order val="3"/>
          <c:tx>
            <c:strRef>
              <c:f>'3章_3暮らし・外出'!F125</c:f>
              <c:strCache>
                <c:ptCount val="1"/>
                <c:pt idx="0">
                  <c:v>ホームヘルパーや施設の職員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'3章_3暮らし・外出'!$F$126:$F$129</c:f>
              <c:numCache>
                <c:formatCode>0.0%</c:formatCode>
                <c:ptCount val="4"/>
                <c:pt idx="0">
                  <c:v>0.104247104247104</c:v>
                </c:pt>
                <c:pt idx="1">
                  <c:v>9.8445595854922296E-2</c:v>
                </c:pt>
                <c:pt idx="2">
                  <c:v>0.18181818181818199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AB2-4C05-BF0B-238B694CB562}"/>
            </c:ext>
          </c:extLst>
        </c:ser>
        <c:ser>
          <c:idx val="4"/>
          <c:order val="4"/>
          <c:tx>
            <c:strRef>
              <c:f>'3章_3暮らし・外出'!G125</c:f>
              <c:strCache>
                <c:ptCount val="1"/>
                <c:pt idx="0">
                  <c:v>その他の人（ボランティア等）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'3章_3暮らし・外出'!$G$126:$G$129</c:f>
              <c:numCache>
                <c:formatCode>0.0%</c:formatCode>
                <c:ptCount val="4"/>
                <c:pt idx="0">
                  <c:v>1.5444015444015399E-2</c:v>
                </c:pt>
                <c:pt idx="1">
                  <c:v>1.55440414507772E-2</c:v>
                </c:pt>
                <c:pt idx="2">
                  <c:v>3.03030303030303E-2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AB2-4C05-BF0B-238B694CB562}"/>
            </c:ext>
          </c:extLst>
        </c:ser>
        <c:ser>
          <c:idx val="5"/>
          <c:order val="5"/>
          <c:tx>
            <c:strRef>
              <c:f>'3章_3暮らし・外出'!H125</c:f>
              <c:strCache>
                <c:ptCount val="1"/>
                <c:pt idx="0">
                  <c:v>一人で外出する</c:v>
                </c:pt>
              </c:strCache>
            </c:strRef>
          </c:tx>
          <c:spPr>
            <a:solidFill>
              <a:srgbClr val="E07B3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'3章_3暮らし・外出'!$H$126:$H$129</c:f>
              <c:numCache>
                <c:formatCode>0.0%</c:formatCode>
                <c:ptCount val="4"/>
                <c:pt idx="0">
                  <c:v>0.33204633204633199</c:v>
                </c:pt>
                <c:pt idx="1">
                  <c:v>0.33160621761657999</c:v>
                </c:pt>
                <c:pt idx="2">
                  <c:v>0.24242424242424199</c:v>
                </c:pt>
                <c:pt idx="3">
                  <c:v>0.45454545454545497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AB2-4C05-BF0B-238B694CB562}"/>
            </c:ext>
          </c:extLst>
        </c:ser>
        <c:ser>
          <c:idx val="6"/>
          <c:order val="6"/>
          <c:tx>
            <c:strRef>
              <c:f>'3章_3暮らし・外出'!I125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'3章_3暮らし・外出'!$I$126:$I$129</c:f>
              <c:numCache>
                <c:formatCode>0.0%</c:formatCode>
                <c:ptCount val="4"/>
                <c:pt idx="0">
                  <c:v>0.150579150579151</c:v>
                </c:pt>
                <c:pt idx="1">
                  <c:v>0.16062176165803099</c:v>
                </c:pt>
                <c:pt idx="2">
                  <c:v>0.24242424242424199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AAB2-4C05-BF0B-238B694CB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8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17C-42E7-A244-DFAF36B763A2}"/>
              </c:ext>
            </c:extLst>
          </c:dPt>
          <c:dPt>
            <c:idx val="9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17C-42E7-A244-DFAF36B763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'3章_3暮らし・外出'!$B$139:$B$148</c:f>
              <c:strCache>
                <c:ptCount val="10"/>
                <c:pt idx="0">
                  <c:v>医療機関へ受診</c:v>
                </c:pt>
                <c:pt idx="1">
                  <c:v>買い物に行く</c:v>
                </c:pt>
                <c:pt idx="2">
                  <c:v>通勤・通学・通所</c:v>
                </c:pt>
                <c:pt idx="3">
                  <c:v>散歩に行く</c:v>
                </c:pt>
                <c:pt idx="4">
                  <c:v>友人・知人に会う</c:v>
                </c:pt>
                <c:pt idx="5">
                  <c:v>趣味やスポーツをする</c:v>
                </c:pt>
                <c:pt idx="6">
                  <c:v>訓練やリハビリに行く</c:v>
                </c:pt>
                <c:pt idx="7">
                  <c:v>グループ活動に参加する</c:v>
                </c:pt>
                <c:pt idx="8">
                  <c:v>その他</c:v>
                </c:pt>
                <c:pt idx="9">
                  <c:v>無回答</c:v>
                </c:pt>
              </c:strCache>
            </c:strRef>
          </c:cat>
          <c:val>
            <c:numRef>
              <c:f>'3章_3暮らし・外出'!$D$139:$D$148</c:f>
              <c:numCache>
                <c:formatCode>0.0%</c:formatCode>
                <c:ptCount val="10"/>
                <c:pt idx="0">
                  <c:v>0.62162162162162204</c:v>
                </c:pt>
                <c:pt idx="1">
                  <c:v>0.54440154440154398</c:v>
                </c:pt>
                <c:pt idx="2">
                  <c:v>0.21621621621621601</c:v>
                </c:pt>
                <c:pt idx="3">
                  <c:v>0.204633204633205</c:v>
                </c:pt>
                <c:pt idx="4">
                  <c:v>0.19691119691119699</c:v>
                </c:pt>
                <c:pt idx="5">
                  <c:v>0.14671814671814701</c:v>
                </c:pt>
                <c:pt idx="6">
                  <c:v>9.6525096525096499E-2</c:v>
                </c:pt>
                <c:pt idx="7">
                  <c:v>8.4942084942084897E-2</c:v>
                </c:pt>
                <c:pt idx="8">
                  <c:v>5.0193050193050197E-2</c:v>
                </c:pt>
                <c:pt idx="9">
                  <c:v>0.138996138996139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17C-42E7-A244-DFAF36B76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9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'3章_3暮らし・外出'!C154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'3章_3暮らし・外出'!$B$155:$B$164</c:f>
              <c:strCache>
                <c:ptCount val="10"/>
                <c:pt idx="0">
                  <c:v>医療機関へ受診</c:v>
                </c:pt>
                <c:pt idx="1">
                  <c:v>買い物に行く</c:v>
                </c:pt>
                <c:pt idx="2">
                  <c:v>通勤・通学・通所</c:v>
                </c:pt>
                <c:pt idx="3">
                  <c:v>散歩に行く</c:v>
                </c:pt>
                <c:pt idx="4">
                  <c:v>友人・知人に会う</c:v>
                </c:pt>
                <c:pt idx="5">
                  <c:v>趣味やスポーツをする</c:v>
                </c:pt>
                <c:pt idx="6">
                  <c:v>訓練やリハビリに行く</c:v>
                </c:pt>
                <c:pt idx="7">
                  <c:v>グループ活動に参加する</c:v>
                </c:pt>
                <c:pt idx="8">
                  <c:v>その他</c:v>
                </c:pt>
                <c:pt idx="9">
                  <c:v>無回答</c:v>
                </c:pt>
              </c:strCache>
            </c:strRef>
          </c:cat>
          <c:val>
            <c:numRef>
              <c:f>'3章_3暮らし・外出'!$C$155:$C$164</c:f>
              <c:numCache>
                <c:formatCode>0.0%</c:formatCode>
                <c:ptCount val="10"/>
                <c:pt idx="0">
                  <c:v>0.64248704663212397</c:v>
                </c:pt>
                <c:pt idx="1">
                  <c:v>0.50777202072538896</c:v>
                </c:pt>
                <c:pt idx="2">
                  <c:v>0.124352331606218</c:v>
                </c:pt>
                <c:pt idx="3">
                  <c:v>0.20725388601036299</c:v>
                </c:pt>
                <c:pt idx="4">
                  <c:v>0.21243523316062199</c:v>
                </c:pt>
                <c:pt idx="5">
                  <c:v>0.14507772020725401</c:v>
                </c:pt>
                <c:pt idx="6">
                  <c:v>8.2901554404145095E-2</c:v>
                </c:pt>
                <c:pt idx="7">
                  <c:v>9.8445595854922296E-2</c:v>
                </c:pt>
                <c:pt idx="8">
                  <c:v>5.6994818652849701E-2</c:v>
                </c:pt>
                <c:pt idx="9">
                  <c:v>0.15025906735751299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31-45BC-8C59-8599F1EFDE35}"/>
            </c:ext>
          </c:extLst>
        </c:ser>
        <c:ser>
          <c:idx val="1"/>
          <c:order val="1"/>
          <c:tx>
            <c:strRef>
              <c:f>'3章_3暮らし・外出'!D154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'3章_3暮らし・外出'!$B$155:$B$164</c:f>
              <c:strCache>
                <c:ptCount val="10"/>
                <c:pt idx="0">
                  <c:v>医療機関へ受診</c:v>
                </c:pt>
                <c:pt idx="1">
                  <c:v>買い物に行く</c:v>
                </c:pt>
                <c:pt idx="2">
                  <c:v>通勤・通学・通所</c:v>
                </c:pt>
                <c:pt idx="3">
                  <c:v>散歩に行く</c:v>
                </c:pt>
                <c:pt idx="4">
                  <c:v>友人・知人に会う</c:v>
                </c:pt>
                <c:pt idx="5">
                  <c:v>趣味やスポーツをする</c:v>
                </c:pt>
                <c:pt idx="6">
                  <c:v>訓練やリハビリに行く</c:v>
                </c:pt>
                <c:pt idx="7">
                  <c:v>グループ活動に参加する</c:v>
                </c:pt>
                <c:pt idx="8">
                  <c:v>その他</c:v>
                </c:pt>
                <c:pt idx="9">
                  <c:v>無回答</c:v>
                </c:pt>
              </c:strCache>
            </c:strRef>
          </c:cat>
          <c:val>
            <c:numRef>
              <c:f>'3章_3暮らし・外出'!$D$155:$D$164</c:f>
              <c:numCache>
                <c:formatCode>0.0%</c:formatCode>
                <c:ptCount val="10"/>
                <c:pt idx="0">
                  <c:v>0.33333333333333298</c:v>
                </c:pt>
                <c:pt idx="1">
                  <c:v>0.57575757575757602</c:v>
                </c:pt>
                <c:pt idx="2">
                  <c:v>0.45454545454545497</c:v>
                </c:pt>
                <c:pt idx="3">
                  <c:v>0.24242424242424199</c:v>
                </c:pt>
                <c:pt idx="4">
                  <c:v>6.0606060606060601E-2</c:v>
                </c:pt>
                <c:pt idx="5">
                  <c:v>9.0909090909090898E-2</c:v>
                </c:pt>
                <c:pt idx="6">
                  <c:v>0</c:v>
                </c:pt>
                <c:pt idx="7">
                  <c:v>6.0606060606060601E-2</c:v>
                </c:pt>
                <c:pt idx="8">
                  <c:v>0</c:v>
                </c:pt>
                <c:pt idx="9">
                  <c:v>0.21212121212121199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431-45BC-8C59-8599F1EFDE35}"/>
            </c:ext>
          </c:extLst>
        </c:ser>
        <c:ser>
          <c:idx val="2"/>
          <c:order val="2"/>
          <c:tx>
            <c:strRef>
              <c:f>'3章_3暮らし・外出'!E154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'3章_3暮らし・外出'!$B$155:$B$164</c:f>
              <c:strCache>
                <c:ptCount val="10"/>
                <c:pt idx="0">
                  <c:v>医療機関へ受診</c:v>
                </c:pt>
                <c:pt idx="1">
                  <c:v>買い物に行く</c:v>
                </c:pt>
                <c:pt idx="2">
                  <c:v>通勤・通学・通所</c:v>
                </c:pt>
                <c:pt idx="3">
                  <c:v>散歩に行く</c:v>
                </c:pt>
                <c:pt idx="4">
                  <c:v>友人・知人に会う</c:v>
                </c:pt>
                <c:pt idx="5">
                  <c:v>趣味やスポーツをする</c:v>
                </c:pt>
                <c:pt idx="6">
                  <c:v>訓練やリハビリに行く</c:v>
                </c:pt>
                <c:pt idx="7">
                  <c:v>グループ活動に参加する</c:v>
                </c:pt>
                <c:pt idx="8">
                  <c:v>その他</c:v>
                </c:pt>
                <c:pt idx="9">
                  <c:v>無回答</c:v>
                </c:pt>
              </c:strCache>
            </c:strRef>
          </c:cat>
          <c:val>
            <c:numRef>
              <c:f>'3章_3暮らし・外出'!$E$155:$E$164</c:f>
              <c:numCache>
                <c:formatCode>0.0%</c:formatCode>
                <c:ptCount val="10"/>
                <c:pt idx="0">
                  <c:v>0.59090909090909105</c:v>
                </c:pt>
                <c:pt idx="1">
                  <c:v>0.63636363636363602</c:v>
                </c:pt>
                <c:pt idx="2">
                  <c:v>0.43181818181818199</c:v>
                </c:pt>
                <c:pt idx="3">
                  <c:v>0.22727272727272699</c:v>
                </c:pt>
                <c:pt idx="4">
                  <c:v>0.18181818181818199</c:v>
                </c:pt>
                <c:pt idx="5">
                  <c:v>0.204545454545455</c:v>
                </c:pt>
                <c:pt idx="6">
                  <c:v>0.11363636363636399</c:v>
                </c:pt>
                <c:pt idx="7">
                  <c:v>6.8181818181818205E-2</c:v>
                </c:pt>
                <c:pt idx="8">
                  <c:v>0</c:v>
                </c:pt>
                <c:pt idx="9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431-45BC-8C59-8599F1EFD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0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ED-47ED-B83E-1A6B78997CE0}"/>
              </c:ext>
            </c:extLst>
          </c:dPt>
          <c:dPt>
            <c:idx val="11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ED-47ED-B83E-1A6B78997CE0}"/>
              </c:ext>
            </c:extLst>
          </c:dPt>
          <c:dPt>
            <c:idx val="12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ED-47ED-B83E-1A6B78997C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'3章_3暮らし・外出'!$B$189:$B$201</c:f>
              <c:strCache>
                <c:ptCount val="13"/>
                <c:pt idx="0">
                  <c:v>外出にお金がかかる</c:v>
                </c:pt>
                <c:pt idx="1">
                  <c:v>困ったときにどうすればいいのか心配</c:v>
                </c:pt>
                <c:pt idx="2">
                  <c:v>公共交通機関が少ない（公共交通機関が通っていない）</c:v>
                </c:pt>
                <c:pt idx="3">
                  <c:v>道路や駅に階段や段差が多い</c:v>
                </c:pt>
                <c:pt idx="4">
                  <c:v>発作など突然の身体の変化が心配</c:v>
                </c:pt>
                <c:pt idx="5">
                  <c:v>列車やバスの乗り降りが困難</c:v>
                </c:pt>
                <c:pt idx="6">
                  <c:v>介助者を確保できない</c:v>
                </c:pt>
                <c:pt idx="7">
                  <c:v>切符の買い方や乗り換えの方法がわかりにくい</c:v>
                </c:pt>
                <c:pt idx="8">
                  <c:v>外出先の建物の設備が不便（通路、トイレ、エレベーターなど）</c:v>
                </c:pt>
                <c:pt idx="9">
                  <c:v>周囲の目が気になる</c:v>
                </c:pt>
                <c:pt idx="10">
                  <c:v>その他</c:v>
                </c:pt>
                <c:pt idx="11">
                  <c:v>特にない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'3章_3暮らし・外出'!$D$189:$D$201</c:f>
              <c:numCache>
                <c:formatCode>0.0%</c:formatCode>
                <c:ptCount val="13"/>
                <c:pt idx="0">
                  <c:v>0.25096525096525102</c:v>
                </c:pt>
                <c:pt idx="1">
                  <c:v>0.231660231660232</c:v>
                </c:pt>
                <c:pt idx="2">
                  <c:v>0.19691119691119699</c:v>
                </c:pt>
                <c:pt idx="3">
                  <c:v>0.150579150579151</c:v>
                </c:pt>
                <c:pt idx="4">
                  <c:v>0.138996138996139</c:v>
                </c:pt>
                <c:pt idx="5">
                  <c:v>0.13127413127413101</c:v>
                </c:pt>
                <c:pt idx="6">
                  <c:v>0.115830115830116</c:v>
                </c:pt>
                <c:pt idx="7">
                  <c:v>8.4942084942084897E-2</c:v>
                </c:pt>
                <c:pt idx="8">
                  <c:v>8.4942084942084897E-2</c:v>
                </c:pt>
                <c:pt idx="9">
                  <c:v>6.1776061776061798E-2</c:v>
                </c:pt>
                <c:pt idx="10">
                  <c:v>4.2471042471042497E-2</c:v>
                </c:pt>
                <c:pt idx="11">
                  <c:v>0.24324324324324301</c:v>
                </c:pt>
                <c:pt idx="12">
                  <c:v>0.17374517374517401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EED-47ED-B83E-1A6B78997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4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'3章_3暮らし・外出'!C207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'3章_3暮らし・外出'!$B$208:$B$220</c:f>
              <c:strCache>
                <c:ptCount val="13"/>
                <c:pt idx="0">
                  <c:v>外出にお金がかかる</c:v>
                </c:pt>
                <c:pt idx="1">
                  <c:v>困ったときにどうすればいいのか心配</c:v>
                </c:pt>
                <c:pt idx="2">
                  <c:v>公共交通機関が少ない（公共交通機関が通っていない）</c:v>
                </c:pt>
                <c:pt idx="3">
                  <c:v>道路や駅に階段や段差が多い</c:v>
                </c:pt>
                <c:pt idx="4">
                  <c:v>発作など突然の身体の変化が心配</c:v>
                </c:pt>
                <c:pt idx="5">
                  <c:v>列車やバスの乗り降りが困難</c:v>
                </c:pt>
                <c:pt idx="6">
                  <c:v>介助者を確保できない</c:v>
                </c:pt>
                <c:pt idx="7">
                  <c:v>切符の買い方や乗り換えの方法がわかりにくい</c:v>
                </c:pt>
                <c:pt idx="8">
                  <c:v>外出先の建物の設備が不便（通路、トイレ、エレベーターなど）</c:v>
                </c:pt>
                <c:pt idx="9">
                  <c:v>周囲の目が気になる</c:v>
                </c:pt>
                <c:pt idx="10">
                  <c:v>その他</c:v>
                </c:pt>
                <c:pt idx="11">
                  <c:v>特にない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'3章_3暮らし・外出'!$C$208:$C$220</c:f>
              <c:numCache>
                <c:formatCode>0.0%</c:formatCode>
                <c:ptCount val="13"/>
                <c:pt idx="0">
                  <c:v>0.227979274611399</c:v>
                </c:pt>
                <c:pt idx="1">
                  <c:v>0.19170984455958501</c:v>
                </c:pt>
                <c:pt idx="2">
                  <c:v>0.19689119170984501</c:v>
                </c:pt>
                <c:pt idx="3">
                  <c:v>0.181347150259067</c:v>
                </c:pt>
                <c:pt idx="4">
                  <c:v>0.15025906735751299</c:v>
                </c:pt>
                <c:pt idx="5">
                  <c:v>0.14507772020725401</c:v>
                </c:pt>
                <c:pt idx="6">
                  <c:v>0.124352331606218</c:v>
                </c:pt>
                <c:pt idx="7">
                  <c:v>5.6994818652849701E-2</c:v>
                </c:pt>
                <c:pt idx="8">
                  <c:v>8.8082901554404097E-2</c:v>
                </c:pt>
                <c:pt idx="9">
                  <c:v>4.6632124352331598E-2</c:v>
                </c:pt>
                <c:pt idx="10">
                  <c:v>4.1450777202072499E-2</c:v>
                </c:pt>
                <c:pt idx="11">
                  <c:v>0.25906735751295301</c:v>
                </c:pt>
                <c:pt idx="12">
                  <c:v>0.181347150259067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2D-46E2-A68D-5FB6671A53EF}"/>
            </c:ext>
          </c:extLst>
        </c:ser>
        <c:ser>
          <c:idx val="1"/>
          <c:order val="1"/>
          <c:tx>
            <c:strRef>
              <c:f>'3章_3暮らし・外出'!D207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'3章_3暮らし・外出'!$B$208:$B$220</c:f>
              <c:strCache>
                <c:ptCount val="13"/>
                <c:pt idx="0">
                  <c:v>外出にお金がかかる</c:v>
                </c:pt>
                <c:pt idx="1">
                  <c:v>困ったときにどうすればいいのか心配</c:v>
                </c:pt>
                <c:pt idx="2">
                  <c:v>公共交通機関が少ない（公共交通機関が通っていない）</c:v>
                </c:pt>
                <c:pt idx="3">
                  <c:v>道路や駅に階段や段差が多い</c:v>
                </c:pt>
                <c:pt idx="4">
                  <c:v>発作など突然の身体の変化が心配</c:v>
                </c:pt>
                <c:pt idx="5">
                  <c:v>列車やバスの乗り降りが困難</c:v>
                </c:pt>
                <c:pt idx="6">
                  <c:v>介助者を確保できない</c:v>
                </c:pt>
                <c:pt idx="7">
                  <c:v>切符の買い方や乗り換えの方法がわかりにくい</c:v>
                </c:pt>
                <c:pt idx="8">
                  <c:v>外出先の建物の設備が不便（通路、トイレ、エレベーターなど）</c:v>
                </c:pt>
                <c:pt idx="9">
                  <c:v>周囲の目が気になる</c:v>
                </c:pt>
                <c:pt idx="10">
                  <c:v>その他</c:v>
                </c:pt>
                <c:pt idx="11">
                  <c:v>特にない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'3章_3暮らし・外出'!$D$208:$D$220</c:f>
              <c:numCache>
                <c:formatCode>0.0%</c:formatCode>
                <c:ptCount val="13"/>
                <c:pt idx="0">
                  <c:v>0.27272727272727298</c:v>
                </c:pt>
                <c:pt idx="1">
                  <c:v>0.39393939393939398</c:v>
                </c:pt>
                <c:pt idx="2">
                  <c:v>0.18181818181818199</c:v>
                </c:pt>
                <c:pt idx="3">
                  <c:v>6.0606060606060601E-2</c:v>
                </c:pt>
                <c:pt idx="4">
                  <c:v>3.03030303030303E-2</c:v>
                </c:pt>
                <c:pt idx="5">
                  <c:v>3.03030303030303E-2</c:v>
                </c:pt>
                <c:pt idx="6">
                  <c:v>0.12121212121212099</c:v>
                </c:pt>
                <c:pt idx="7">
                  <c:v>0.18181818181818199</c:v>
                </c:pt>
                <c:pt idx="8">
                  <c:v>0</c:v>
                </c:pt>
                <c:pt idx="9">
                  <c:v>0</c:v>
                </c:pt>
                <c:pt idx="10">
                  <c:v>3.03030303030303E-2</c:v>
                </c:pt>
                <c:pt idx="11">
                  <c:v>0.21212121212121199</c:v>
                </c:pt>
                <c:pt idx="12">
                  <c:v>0.27272727272727298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2D-46E2-A68D-5FB6671A53EF}"/>
            </c:ext>
          </c:extLst>
        </c:ser>
        <c:ser>
          <c:idx val="2"/>
          <c:order val="2"/>
          <c:tx>
            <c:strRef>
              <c:f>'3章_3暮らし・外出'!E207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'3章_3暮らし・外出'!$B$208:$B$220</c:f>
              <c:strCache>
                <c:ptCount val="13"/>
                <c:pt idx="0">
                  <c:v>外出にお金がかかる</c:v>
                </c:pt>
                <c:pt idx="1">
                  <c:v>困ったときにどうすればいいのか心配</c:v>
                </c:pt>
                <c:pt idx="2">
                  <c:v>公共交通機関が少ない（公共交通機関が通っていない）</c:v>
                </c:pt>
                <c:pt idx="3">
                  <c:v>道路や駅に階段や段差が多い</c:v>
                </c:pt>
                <c:pt idx="4">
                  <c:v>発作など突然の身体の変化が心配</c:v>
                </c:pt>
                <c:pt idx="5">
                  <c:v>列車やバスの乗り降りが困難</c:v>
                </c:pt>
                <c:pt idx="6">
                  <c:v>介助者を確保できない</c:v>
                </c:pt>
                <c:pt idx="7">
                  <c:v>切符の買い方や乗り換えの方法がわかりにくい</c:v>
                </c:pt>
                <c:pt idx="8">
                  <c:v>外出先の建物の設備が不便（通路、トイレ、エレベーターなど）</c:v>
                </c:pt>
                <c:pt idx="9">
                  <c:v>周囲の目が気になる</c:v>
                </c:pt>
                <c:pt idx="10">
                  <c:v>その他</c:v>
                </c:pt>
                <c:pt idx="11">
                  <c:v>特にない</c:v>
                </c:pt>
                <c:pt idx="12">
                  <c:v>無回答</c:v>
                </c:pt>
              </c:strCache>
            </c:strRef>
          </c:cat>
          <c:val>
            <c:numRef>
              <c:f>'3章_3暮らし・外出'!$E$208:$E$220</c:f>
              <c:numCache>
                <c:formatCode>0.0%</c:formatCode>
                <c:ptCount val="13"/>
                <c:pt idx="0">
                  <c:v>0.34090909090909099</c:v>
                </c:pt>
                <c:pt idx="1">
                  <c:v>0.38636363636363602</c:v>
                </c:pt>
                <c:pt idx="2">
                  <c:v>0.15909090909090901</c:v>
                </c:pt>
                <c:pt idx="3">
                  <c:v>0.13636363636363599</c:v>
                </c:pt>
                <c:pt idx="4">
                  <c:v>0.22727272727272699</c:v>
                </c:pt>
                <c:pt idx="5">
                  <c:v>6.8181818181818205E-2</c:v>
                </c:pt>
                <c:pt idx="6">
                  <c:v>4.5454545454545497E-2</c:v>
                </c:pt>
                <c:pt idx="7">
                  <c:v>0.18181818181818199</c:v>
                </c:pt>
                <c:pt idx="8">
                  <c:v>6.8181818181818205E-2</c:v>
                </c:pt>
                <c:pt idx="9">
                  <c:v>0.18181818181818199</c:v>
                </c:pt>
                <c:pt idx="10">
                  <c:v>6.8181818181818205E-2</c:v>
                </c:pt>
                <c:pt idx="11">
                  <c:v>0.15909090909090901</c:v>
                </c:pt>
                <c:pt idx="12">
                  <c:v>0.15909090909090901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82D-46E2-A68D-5FB6671A5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CA-4E19-8C5B-8104FB862294}"/>
              </c:ext>
            </c:extLst>
          </c:dPt>
          <c:dPt>
            <c:idx val="10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CA-4E19-8C5B-8104FB8622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'3章_4日中・就労'!$B$5:$B$15</c:f>
              <c:strCache>
                <c:ptCount val="11"/>
                <c:pt idx="0">
                  <c:v>会社勤めや、自営業、家業などで収入を得て仕事している</c:v>
                </c:pt>
                <c:pt idx="1">
                  <c:v>ボランティアなど、収入を得ない仕事をしている</c:v>
                </c:pt>
                <c:pt idx="2">
                  <c:v>専業主婦（主夫）をしている</c:v>
                </c:pt>
                <c:pt idx="3">
                  <c:v>福祉施設、作業所等に通っている（就労継続支援Ａ型も含む）</c:v>
                </c:pt>
                <c:pt idx="4">
                  <c:v>病院などのデイケアに通っている</c:v>
                </c:pt>
                <c:pt idx="5">
                  <c:v>リハビリテーションを受けている</c:v>
                </c:pt>
                <c:pt idx="6">
                  <c:v>自宅で過ごしている</c:v>
                </c:pt>
                <c:pt idx="7">
                  <c:v>入所している施設や病院等で過ごしている</c:v>
                </c:pt>
                <c:pt idx="8">
                  <c:v>大学、専門学校、職業訓練校などに通っている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'3章_4日中・就労'!$D$5:$D$15</c:f>
              <c:numCache>
                <c:formatCode>0.0%</c:formatCode>
                <c:ptCount val="11"/>
                <c:pt idx="0">
                  <c:v>0.15830115830115801</c:v>
                </c:pt>
                <c:pt idx="1">
                  <c:v>7.7220077220077196E-3</c:v>
                </c:pt>
                <c:pt idx="2">
                  <c:v>3.0888030888030899E-2</c:v>
                </c:pt>
                <c:pt idx="3">
                  <c:v>0.10038610038610001</c:v>
                </c:pt>
                <c:pt idx="4">
                  <c:v>1.15830115830116E-2</c:v>
                </c:pt>
                <c:pt idx="5">
                  <c:v>1.15830115830116E-2</c:v>
                </c:pt>
                <c:pt idx="6">
                  <c:v>0.44015444015444</c:v>
                </c:pt>
                <c:pt idx="7">
                  <c:v>9.2664092664092701E-2</c:v>
                </c:pt>
                <c:pt idx="8">
                  <c:v>1.15830115830116E-2</c:v>
                </c:pt>
                <c:pt idx="9">
                  <c:v>2.7027027027027001E-2</c:v>
                </c:pt>
                <c:pt idx="10">
                  <c:v>0.108108108108108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2CA-4E19-8C5B-8104FB86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7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'3章_4日中・就労'!C21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'3章_4日中・就労'!$B$22:$B$32</c:f>
              <c:strCache>
                <c:ptCount val="11"/>
                <c:pt idx="0">
                  <c:v>会社勤めや、自営業、家業などで収入を得て仕事している</c:v>
                </c:pt>
                <c:pt idx="1">
                  <c:v>ボランティアなど、収入を得ない仕事をしている</c:v>
                </c:pt>
                <c:pt idx="2">
                  <c:v>専業主婦（主夫）をしている</c:v>
                </c:pt>
                <c:pt idx="3">
                  <c:v>福祉施設、作業所等に通っている（就労継続支援Ａ型も含む）</c:v>
                </c:pt>
                <c:pt idx="4">
                  <c:v>病院などのデイケアに通っている</c:v>
                </c:pt>
                <c:pt idx="5">
                  <c:v>リハビリテーションを受けている</c:v>
                </c:pt>
                <c:pt idx="6">
                  <c:v>自宅で過ごしている</c:v>
                </c:pt>
                <c:pt idx="7">
                  <c:v>入所している施設や病院等で過ごしている</c:v>
                </c:pt>
                <c:pt idx="8">
                  <c:v>大学、専門学校、職業訓練校などに通っている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'3章_4日中・就労'!$C$22:$C$32</c:f>
              <c:numCache>
                <c:formatCode>0.0%</c:formatCode>
                <c:ptCount val="11"/>
                <c:pt idx="0">
                  <c:v>0.15025906735751299</c:v>
                </c:pt>
                <c:pt idx="1">
                  <c:v>1.03626943005181E-2</c:v>
                </c:pt>
                <c:pt idx="2">
                  <c:v>4.1450777202072499E-2</c:v>
                </c:pt>
                <c:pt idx="3">
                  <c:v>3.6269430051813503E-2</c:v>
                </c:pt>
                <c:pt idx="4">
                  <c:v>1.55440414507772E-2</c:v>
                </c:pt>
                <c:pt idx="5">
                  <c:v>1.03626943005181E-2</c:v>
                </c:pt>
                <c:pt idx="6">
                  <c:v>0.49740932642487001</c:v>
                </c:pt>
                <c:pt idx="7">
                  <c:v>8.8082901554404097E-2</c:v>
                </c:pt>
                <c:pt idx="8">
                  <c:v>5.1813471502590702E-3</c:v>
                </c:pt>
                <c:pt idx="9">
                  <c:v>3.10880829015544E-2</c:v>
                </c:pt>
                <c:pt idx="10">
                  <c:v>0.113989637305699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A0-4CB3-9B7B-8914B7454548}"/>
            </c:ext>
          </c:extLst>
        </c:ser>
        <c:ser>
          <c:idx val="1"/>
          <c:order val="1"/>
          <c:tx>
            <c:strRef>
              <c:f>'3章_4日中・就労'!D21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'3章_4日中・就労'!$B$22:$B$32</c:f>
              <c:strCache>
                <c:ptCount val="11"/>
                <c:pt idx="0">
                  <c:v>会社勤めや、自営業、家業などで収入を得て仕事している</c:v>
                </c:pt>
                <c:pt idx="1">
                  <c:v>ボランティアなど、収入を得ない仕事をしている</c:v>
                </c:pt>
                <c:pt idx="2">
                  <c:v>専業主婦（主夫）をしている</c:v>
                </c:pt>
                <c:pt idx="3">
                  <c:v>福祉施設、作業所等に通っている（就労継続支援Ａ型も含む）</c:v>
                </c:pt>
                <c:pt idx="4">
                  <c:v>病院などのデイケアに通っている</c:v>
                </c:pt>
                <c:pt idx="5">
                  <c:v>リハビリテーションを受けている</c:v>
                </c:pt>
                <c:pt idx="6">
                  <c:v>自宅で過ごしている</c:v>
                </c:pt>
                <c:pt idx="7">
                  <c:v>入所している施設や病院等で過ごしている</c:v>
                </c:pt>
                <c:pt idx="8">
                  <c:v>大学、専門学校、職業訓練校などに通っている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'3章_4日中・就労'!$D$22:$D$32</c:f>
              <c:numCache>
                <c:formatCode>0.0%</c:formatCode>
                <c:ptCount val="11"/>
                <c:pt idx="0">
                  <c:v>0.15151515151515199</c:v>
                </c:pt>
                <c:pt idx="1">
                  <c:v>0</c:v>
                </c:pt>
                <c:pt idx="2">
                  <c:v>0</c:v>
                </c:pt>
                <c:pt idx="3">
                  <c:v>0.42424242424242398</c:v>
                </c:pt>
                <c:pt idx="4">
                  <c:v>0</c:v>
                </c:pt>
                <c:pt idx="5">
                  <c:v>0</c:v>
                </c:pt>
                <c:pt idx="6">
                  <c:v>0.18181818181818199</c:v>
                </c:pt>
                <c:pt idx="7">
                  <c:v>0.15151515151515199</c:v>
                </c:pt>
                <c:pt idx="8">
                  <c:v>3.03030303030303E-2</c:v>
                </c:pt>
                <c:pt idx="9">
                  <c:v>3.03030303030303E-2</c:v>
                </c:pt>
                <c:pt idx="10">
                  <c:v>3.03030303030303E-2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6A0-4CB3-9B7B-8914B7454548}"/>
            </c:ext>
          </c:extLst>
        </c:ser>
        <c:ser>
          <c:idx val="2"/>
          <c:order val="2"/>
          <c:tx>
            <c:strRef>
              <c:f>'3章_4日中・就労'!E21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'3章_4日中・就労'!$B$22:$B$32</c:f>
              <c:strCache>
                <c:ptCount val="11"/>
                <c:pt idx="0">
                  <c:v>会社勤めや、自営業、家業などで収入を得て仕事している</c:v>
                </c:pt>
                <c:pt idx="1">
                  <c:v>ボランティアなど、収入を得ない仕事をしている</c:v>
                </c:pt>
                <c:pt idx="2">
                  <c:v>専業主婦（主夫）をしている</c:v>
                </c:pt>
                <c:pt idx="3">
                  <c:v>福祉施設、作業所等に通っている（就労継続支援Ａ型も含む）</c:v>
                </c:pt>
                <c:pt idx="4">
                  <c:v>病院などのデイケアに通っている</c:v>
                </c:pt>
                <c:pt idx="5">
                  <c:v>リハビリテーションを受けている</c:v>
                </c:pt>
                <c:pt idx="6">
                  <c:v>自宅で過ごしている</c:v>
                </c:pt>
                <c:pt idx="7">
                  <c:v>入所している施設や病院等で過ごしている</c:v>
                </c:pt>
                <c:pt idx="8">
                  <c:v>大学、専門学校、職業訓練校などに通っている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'3章_4日中・就労'!$E$22:$E$32</c:f>
              <c:numCache>
                <c:formatCode>0.0%</c:formatCode>
                <c:ptCount val="11"/>
                <c:pt idx="0">
                  <c:v>0.18181818181818199</c:v>
                </c:pt>
                <c:pt idx="1">
                  <c:v>0</c:v>
                </c:pt>
                <c:pt idx="2">
                  <c:v>0</c:v>
                </c:pt>
                <c:pt idx="3">
                  <c:v>0.29545454545454503</c:v>
                </c:pt>
                <c:pt idx="4">
                  <c:v>2.27272727272727E-2</c:v>
                </c:pt>
                <c:pt idx="5">
                  <c:v>2.27272727272727E-2</c:v>
                </c:pt>
                <c:pt idx="6">
                  <c:v>0.36363636363636398</c:v>
                </c:pt>
                <c:pt idx="7">
                  <c:v>4.5454545454545497E-2</c:v>
                </c:pt>
                <c:pt idx="8">
                  <c:v>2.27272727272727E-2</c:v>
                </c:pt>
                <c:pt idx="9">
                  <c:v>2.27272727272727E-2</c:v>
                </c:pt>
                <c:pt idx="10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6A0-4CB3-9B7B-8914B7454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51-4C62-A789-805130E820F9}"/>
              </c:ext>
            </c:extLst>
          </c:dPt>
          <c:dPt>
            <c:idx val="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51-4C62-A789-805130E82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'3章_4日中・就労'!$B$56:$B$61</c:f>
              <c:strCache>
                <c:ptCount val="6"/>
                <c:pt idx="0">
                  <c:v>正職員で他の職員と勤務条件等に違いはない</c:v>
                </c:pt>
                <c:pt idx="1">
                  <c:v>正職員で短時間勤務などの障がい者配慮がある</c:v>
                </c:pt>
                <c:pt idx="2">
                  <c:v>パート・アルバイト等の非常勤職員、派遣職員</c:v>
                </c:pt>
                <c:pt idx="3">
                  <c:v>自営業、農業、林業、水産業など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'3章_4日中・就労'!$D$56:$D$61</c:f>
              <c:numCache>
                <c:formatCode>0.0%</c:formatCode>
                <c:ptCount val="6"/>
                <c:pt idx="0">
                  <c:v>3.8610038610038602E-2</c:v>
                </c:pt>
                <c:pt idx="1">
                  <c:v>3.0888030888030899E-2</c:v>
                </c:pt>
                <c:pt idx="2">
                  <c:v>5.4054054054054099E-2</c:v>
                </c:pt>
                <c:pt idx="3">
                  <c:v>2.7027027027027001E-2</c:v>
                </c:pt>
                <c:pt idx="4">
                  <c:v>7.7220077220077196E-3</c:v>
                </c:pt>
                <c:pt idx="5">
                  <c:v>0.84169884169884202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151-4C62-A789-805130E8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'3章_4日中・就労'!C68</c:f>
              <c:strCache>
                <c:ptCount val="1"/>
                <c:pt idx="0">
                  <c:v>正職員で他の職員と勤務条件等に違いはない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'3章_4日中・就労'!$B$69:$B$72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'3章_4日中・就労'!$C$69:$C$72</c:f>
              <c:numCache>
                <c:formatCode>0.0%</c:formatCode>
                <c:ptCount val="4"/>
                <c:pt idx="0">
                  <c:v>3.8610038610038602E-2</c:v>
                </c:pt>
                <c:pt idx="1">
                  <c:v>4.1450777202072499E-2</c:v>
                </c:pt>
                <c:pt idx="2">
                  <c:v>3.03030303030303E-2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EB-42CD-ABCB-D30650B19372}"/>
            </c:ext>
          </c:extLst>
        </c:ser>
        <c:ser>
          <c:idx val="1"/>
          <c:order val="1"/>
          <c:tx>
            <c:strRef>
              <c:f>'3章_4日中・就労'!D68</c:f>
              <c:strCache>
                <c:ptCount val="1"/>
                <c:pt idx="0">
                  <c:v>正職員で短時間勤務などの障がい者配慮がある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'3章_4日中・就労'!$B$69:$B$72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'3章_4日中・就労'!$D$69:$D$72</c:f>
              <c:numCache>
                <c:formatCode>0.0%</c:formatCode>
                <c:ptCount val="4"/>
                <c:pt idx="0">
                  <c:v>3.0888030888030899E-2</c:v>
                </c:pt>
                <c:pt idx="1">
                  <c:v>2.0725388601036301E-2</c:v>
                </c:pt>
                <c:pt idx="2">
                  <c:v>3.03030303030303E-2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5EB-42CD-ABCB-D30650B19372}"/>
            </c:ext>
          </c:extLst>
        </c:ser>
        <c:ser>
          <c:idx val="2"/>
          <c:order val="2"/>
          <c:tx>
            <c:strRef>
              <c:f>'3章_4日中・就労'!E68</c:f>
              <c:strCache>
                <c:ptCount val="1"/>
                <c:pt idx="0">
                  <c:v>パート・アルバイト等の非常勤職員、派遣職員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'3章_4日中・就労'!$B$69:$B$72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'3章_4日中・就労'!$E$69:$E$72</c:f>
              <c:numCache>
                <c:formatCode>0.0%</c:formatCode>
                <c:ptCount val="4"/>
                <c:pt idx="0">
                  <c:v>5.4054054054054099E-2</c:v>
                </c:pt>
                <c:pt idx="1">
                  <c:v>4.6632124352331598E-2</c:v>
                </c:pt>
                <c:pt idx="2">
                  <c:v>9.0909090909090898E-2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5EB-42CD-ABCB-D30650B19372}"/>
            </c:ext>
          </c:extLst>
        </c:ser>
        <c:ser>
          <c:idx val="3"/>
          <c:order val="3"/>
          <c:tx>
            <c:strRef>
              <c:f>'3章_4日中・就労'!F68</c:f>
              <c:strCache>
                <c:ptCount val="1"/>
                <c:pt idx="0">
                  <c:v>自営業、農業、林業、水産業など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'3章_4日中・就労'!$B$69:$B$72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'3章_4日中・就労'!$F$69:$F$72</c:f>
              <c:numCache>
                <c:formatCode>0.0%</c:formatCode>
                <c:ptCount val="4"/>
                <c:pt idx="0">
                  <c:v>2.7027027027027001E-2</c:v>
                </c:pt>
                <c:pt idx="1">
                  <c:v>3.6269430051813503E-2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5EB-42CD-ABCB-D30650B19372}"/>
            </c:ext>
          </c:extLst>
        </c:ser>
        <c:ser>
          <c:idx val="4"/>
          <c:order val="4"/>
          <c:tx>
            <c:strRef>
              <c:f>'3章_4日中・就労'!G68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'3章_4日中・就労'!$B$69:$B$72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'3章_4日中・就労'!$G$69:$G$72</c:f>
              <c:numCache>
                <c:formatCode>0.0%</c:formatCode>
                <c:ptCount val="4"/>
                <c:pt idx="0">
                  <c:v>7.7220077220077196E-3</c:v>
                </c:pt>
                <c:pt idx="1">
                  <c:v>5.1813471502590702E-3</c:v>
                </c:pt>
                <c:pt idx="2">
                  <c:v>0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5EB-42CD-ABCB-D30650B19372}"/>
            </c:ext>
          </c:extLst>
        </c:ser>
        <c:ser>
          <c:idx val="5"/>
          <c:order val="5"/>
          <c:tx>
            <c:strRef>
              <c:f>'3章_4日中・就労'!H68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'3章_4日中・就労'!$B$69:$B$72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'3章_4日中・就労'!$H$69:$H$72</c:f>
              <c:numCache>
                <c:formatCode>0.0%</c:formatCode>
                <c:ptCount val="4"/>
                <c:pt idx="0">
                  <c:v>0.84169884169884202</c:v>
                </c:pt>
                <c:pt idx="1">
                  <c:v>0.84974093264248696</c:v>
                </c:pt>
                <c:pt idx="2">
                  <c:v>0.84848484848484895</c:v>
                </c:pt>
                <c:pt idx="3">
                  <c:v>0.81818181818181801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C5EB-42CD-ABCB-D30650B1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'3章_4日中・就労'!$B$80</c:f>
              <c:strCache>
                <c:ptCount val="1"/>
                <c:pt idx="0">
                  <c:v>仕事をしたい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'3章_4日中・就労'!$D$80</c:f>
              <c:numCache>
                <c:formatCode>0.0%</c:formatCode>
                <c:ptCount val="1"/>
                <c:pt idx="0">
                  <c:v>7.7220077220077205E-2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57-4C45-B120-32DD6D0E24C6}"/>
            </c:ext>
          </c:extLst>
        </c:ser>
        <c:ser>
          <c:idx val="1"/>
          <c:order val="1"/>
          <c:tx>
            <c:strRef>
              <c:f>'3章_4日中・就労'!$B$81</c:f>
              <c:strCache>
                <c:ptCount val="1"/>
                <c:pt idx="0">
                  <c:v>仕事はしたくない、できない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'3章_4日中・就労'!$D$81</c:f>
              <c:numCache>
                <c:formatCode>0.0%</c:formatCode>
                <c:ptCount val="1"/>
                <c:pt idx="0">
                  <c:v>0.22007722007722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57-4C45-B120-32DD6D0E24C6}"/>
            </c:ext>
          </c:extLst>
        </c:ser>
        <c:ser>
          <c:idx val="2"/>
          <c:order val="2"/>
          <c:tx>
            <c:strRef>
              <c:f>'3章_4日中・就労'!$B$82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'3章_4日中・就労'!$D$82</c:f>
              <c:numCache>
                <c:formatCode>0.0%</c:formatCode>
                <c:ptCount val="1"/>
                <c:pt idx="0">
                  <c:v>6.1776061776061798E-2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C57-4C45-B120-32DD6D0E24C6}"/>
            </c:ext>
          </c:extLst>
        </c:ser>
        <c:ser>
          <c:idx val="3"/>
          <c:order val="3"/>
          <c:tx>
            <c:strRef>
              <c:f>'3章_4日中・就労'!$B$83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'3章_4日中・就労'!$D$83</c:f>
              <c:numCache>
                <c:formatCode>0.0%</c:formatCode>
                <c:ptCount val="1"/>
                <c:pt idx="0">
                  <c:v>0.64092664092664098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C57-4C45-B120-32DD6D0E2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'3章_4日中・就労'!C90</c:f>
              <c:strCache>
                <c:ptCount val="1"/>
                <c:pt idx="0">
                  <c:v>仕事をしたい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'3章_4日中・就労'!$B$91:$B$94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'3章_4日中・就労'!$C$91:$C$94</c:f>
              <c:numCache>
                <c:formatCode>0.0%</c:formatCode>
                <c:ptCount val="4"/>
                <c:pt idx="0">
                  <c:v>7.7220077220077205E-2</c:v>
                </c:pt>
                <c:pt idx="1">
                  <c:v>2.59067357512953E-2</c:v>
                </c:pt>
                <c:pt idx="2">
                  <c:v>0.24242424242424199</c:v>
                </c:pt>
                <c:pt idx="3">
                  <c:v>0.29545454545454503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42-4F79-94A3-70BA5FFDE1B5}"/>
            </c:ext>
          </c:extLst>
        </c:ser>
        <c:ser>
          <c:idx val="1"/>
          <c:order val="1"/>
          <c:tx>
            <c:strRef>
              <c:f>'3章_4日中・就労'!D90</c:f>
              <c:strCache>
                <c:ptCount val="1"/>
                <c:pt idx="0">
                  <c:v>仕事はしたくない、できない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'3章_4日中・就労'!$B$91:$B$94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'3章_4日中・就労'!$D$91:$D$94</c:f>
              <c:numCache>
                <c:formatCode>0.0%</c:formatCode>
                <c:ptCount val="4"/>
                <c:pt idx="0">
                  <c:v>0.22007722007722</c:v>
                </c:pt>
                <c:pt idx="1">
                  <c:v>0.238341968911917</c:v>
                </c:pt>
                <c:pt idx="2">
                  <c:v>0.15151515151515199</c:v>
                </c:pt>
                <c:pt idx="3">
                  <c:v>0.204545454545455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42-4F79-94A3-70BA5FFDE1B5}"/>
            </c:ext>
          </c:extLst>
        </c:ser>
        <c:ser>
          <c:idx val="2"/>
          <c:order val="2"/>
          <c:tx>
            <c:strRef>
              <c:f>'3章_4日中・就労'!E90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'3章_4日中・就労'!$B$91:$B$94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'3章_4日中・就労'!$E$91:$E$94</c:f>
              <c:numCache>
                <c:formatCode>0.0%</c:formatCode>
                <c:ptCount val="4"/>
                <c:pt idx="0">
                  <c:v>6.1776061776061798E-2</c:v>
                </c:pt>
                <c:pt idx="1">
                  <c:v>4.1450777202072499E-2</c:v>
                </c:pt>
                <c:pt idx="2">
                  <c:v>0.18181818181818199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442-4F79-94A3-70BA5FFDE1B5}"/>
            </c:ext>
          </c:extLst>
        </c:ser>
        <c:ser>
          <c:idx val="3"/>
          <c:order val="3"/>
          <c:tx>
            <c:strRef>
              <c:f>'3章_4日中・就労'!F90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'3章_4日中・就労'!$B$91:$B$94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'3章_4日中・就労'!$F$91:$F$94</c:f>
              <c:numCache>
                <c:formatCode>0.0%</c:formatCode>
                <c:ptCount val="4"/>
                <c:pt idx="0">
                  <c:v>0.64092664092664098</c:v>
                </c:pt>
                <c:pt idx="1">
                  <c:v>0.69430051813471505</c:v>
                </c:pt>
                <c:pt idx="2">
                  <c:v>0.42424242424242398</c:v>
                </c:pt>
                <c:pt idx="3">
                  <c:v>0.36363636363636398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442-4F79-94A3-70BA5FFD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C2-4EC7-8DB7-0D812BD46E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'3章_4日中・就労'!$B$104:$B$107</c:f>
              <c:strCache>
                <c:ptCount val="4"/>
                <c:pt idx="0">
                  <c:v>すでに職業訓練を受けている</c:v>
                </c:pt>
                <c:pt idx="1">
                  <c:v>職業訓練を受けたい</c:v>
                </c:pt>
                <c:pt idx="2">
                  <c:v>職業訓練を受けたくない、受ける必要はない</c:v>
                </c:pt>
                <c:pt idx="3">
                  <c:v>無回答</c:v>
                </c:pt>
              </c:strCache>
            </c:strRef>
          </c:cat>
          <c:val>
            <c:numRef>
              <c:f>'3章_4日中・就労'!$D$104:$D$107</c:f>
              <c:numCache>
                <c:formatCode>0.0%</c:formatCode>
                <c:ptCount val="4"/>
                <c:pt idx="0">
                  <c:v>1.5444015444015399E-2</c:v>
                </c:pt>
                <c:pt idx="1">
                  <c:v>5.4054054054054099E-2</c:v>
                </c:pt>
                <c:pt idx="2">
                  <c:v>4.6332046332046302E-2</c:v>
                </c:pt>
                <c:pt idx="3">
                  <c:v>0.88416988416988396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6C2-4EC7-8DB7-0D812BD46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'3章_4日中・就労'!C113</c:f>
              <c:strCache>
                <c:ptCount val="1"/>
                <c:pt idx="0">
                  <c:v>すでに職業訓練を受けている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'3章_4日中・就労'!$B$114:$B$117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'3章_4日中・就労'!$C$114:$C$117</c:f>
              <c:numCache>
                <c:formatCode>0.0%</c:formatCode>
                <c:ptCount val="4"/>
                <c:pt idx="0">
                  <c:v>1.5444015444015399E-2</c:v>
                </c:pt>
                <c:pt idx="1">
                  <c:v>5.1813471502590702E-3</c:v>
                </c:pt>
                <c:pt idx="2">
                  <c:v>9.0909090909090898E-2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C6-4A98-BE77-24FC38B64EE3}"/>
            </c:ext>
          </c:extLst>
        </c:ser>
        <c:ser>
          <c:idx val="1"/>
          <c:order val="1"/>
          <c:tx>
            <c:strRef>
              <c:f>'3章_4日中・就労'!D113</c:f>
              <c:strCache>
                <c:ptCount val="1"/>
                <c:pt idx="0">
                  <c:v>職業訓練を受けたい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'3章_4日中・就労'!$B$114:$B$117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'3章_4日中・就労'!$D$114:$D$117</c:f>
              <c:numCache>
                <c:formatCode>0.0%</c:formatCode>
                <c:ptCount val="4"/>
                <c:pt idx="0">
                  <c:v>5.4054054054054099E-2</c:v>
                </c:pt>
                <c:pt idx="1">
                  <c:v>2.0725388601036301E-2</c:v>
                </c:pt>
                <c:pt idx="2">
                  <c:v>0.12121212121212099</c:v>
                </c:pt>
                <c:pt idx="3">
                  <c:v>0.204545454545455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2C6-4A98-BE77-24FC38B64EE3}"/>
            </c:ext>
          </c:extLst>
        </c:ser>
        <c:ser>
          <c:idx val="2"/>
          <c:order val="2"/>
          <c:tx>
            <c:strRef>
              <c:f>'3章_4日中・就労'!E113</c:f>
              <c:strCache>
                <c:ptCount val="1"/>
                <c:pt idx="0">
                  <c:v>職業訓練を受けたくない、受ける必要はない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'3章_4日中・就労'!$B$114:$B$117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'3章_4日中・就労'!$E$114:$E$117</c:f>
              <c:numCache>
                <c:formatCode>0.0%</c:formatCode>
                <c:ptCount val="4"/>
                <c:pt idx="0">
                  <c:v>4.6332046332046302E-2</c:v>
                </c:pt>
                <c:pt idx="1">
                  <c:v>3.10880829015544E-2</c:v>
                </c:pt>
                <c:pt idx="2">
                  <c:v>0.15151515151515199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2C6-4A98-BE77-24FC38B64EE3}"/>
            </c:ext>
          </c:extLst>
        </c:ser>
        <c:ser>
          <c:idx val="3"/>
          <c:order val="3"/>
          <c:tx>
            <c:strRef>
              <c:f>'3章_4日中・就労'!F113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'3章_4日中・就労'!$B$114:$B$117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'3章_4日中・就労'!$F$114:$F$117</c:f>
              <c:numCache>
                <c:formatCode>0.0%</c:formatCode>
                <c:ptCount val="4"/>
                <c:pt idx="0">
                  <c:v>0.88416988416988396</c:v>
                </c:pt>
                <c:pt idx="1">
                  <c:v>0.94300518134714995</c:v>
                </c:pt>
                <c:pt idx="2">
                  <c:v>0.63636363636363602</c:v>
                </c:pt>
                <c:pt idx="3">
                  <c:v>0.63636363636363602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2C6-4A98-BE77-24FC38B64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46-485F-BF6A-C6E070015FE6}"/>
              </c:ext>
            </c:extLst>
          </c:dPt>
          <c:dPt>
            <c:idx val="10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46-485F-BF6A-C6E070015F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'3章_4日中・就労'!$B$126:$B$136</c:f>
              <c:strCache>
                <c:ptCount val="11"/>
                <c:pt idx="0">
                  <c:v>職場の上司や同僚に障がいの理解があること</c:v>
                </c:pt>
                <c:pt idx="1">
                  <c:v>通勤手段の確保</c:v>
                </c:pt>
                <c:pt idx="2">
                  <c:v>短時間勤務や勤務日数等の配慮</c:v>
                </c:pt>
                <c:pt idx="3">
                  <c:v>勤務場所におけるバリアフリー等の配慮</c:v>
                </c:pt>
                <c:pt idx="4">
                  <c:v>職場で介助や援助等が受けられること</c:v>
                </c:pt>
                <c:pt idx="5">
                  <c:v>就労後のフォローなど職場と支援機関の連携</c:v>
                </c:pt>
                <c:pt idx="6">
                  <c:v>仕事についての職場外での相談対応、支援</c:v>
                </c:pt>
                <c:pt idx="7">
                  <c:v>在宅勤務の拡充</c:v>
                </c:pt>
                <c:pt idx="8">
                  <c:v>企業ニーズに合った就労訓練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'3章_4日中・就労'!$D$126:$D$136</c:f>
              <c:numCache>
                <c:formatCode>0.0%</c:formatCode>
                <c:ptCount val="11"/>
                <c:pt idx="0">
                  <c:v>0.35907335907335902</c:v>
                </c:pt>
                <c:pt idx="1">
                  <c:v>0.32818532818532797</c:v>
                </c:pt>
                <c:pt idx="2">
                  <c:v>0.312741312741313</c:v>
                </c:pt>
                <c:pt idx="3">
                  <c:v>0.23552123552123599</c:v>
                </c:pt>
                <c:pt idx="4">
                  <c:v>0.20077220077220101</c:v>
                </c:pt>
                <c:pt idx="5">
                  <c:v>0.18918918918918901</c:v>
                </c:pt>
                <c:pt idx="6">
                  <c:v>0.18918918918918901</c:v>
                </c:pt>
                <c:pt idx="7">
                  <c:v>0.18532818532818501</c:v>
                </c:pt>
                <c:pt idx="8">
                  <c:v>9.2664092664092701E-2</c:v>
                </c:pt>
                <c:pt idx="9">
                  <c:v>4.2471042471042497E-2</c:v>
                </c:pt>
                <c:pt idx="10">
                  <c:v>0.35135135135135098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046-485F-BF6A-C6E07001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'3章_4日中・就労'!C142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'3章_4日中・就労'!$B$143:$B$153</c:f>
              <c:strCache>
                <c:ptCount val="11"/>
                <c:pt idx="0">
                  <c:v>職場の上司や同僚に障がいの理解があること</c:v>
                </c:pt>
                <c:pt idx="1">
                  <c:v>通勤手段の確保</c:v>
                </c:pt>
                <c:pt idx="2">
                  <c:v>短時間勤務や勤務日数等の配慮</c:v>
                </c:pt>
                <c:pt idx="3">
                  <c:v>勤務場所におけるバリアフリー等の配慮</c:v>
                </c:pt>
                <c:pt idx="4">
                  <c:v>職場で介助や援助等が受けられること</c:v>
                </c:pt>
                <c:pt idx="5">
                  <c:v>就労後のフォローなど職場と支援機関の連携</c:v>
                </c:pt>
                <c:pt idx="6">
                  <c:v>仕事についての職場外での相談対応、支援</c:v>
                </c:pt>
                <c:pt idx="7">
                  <c:v>在宅勤務の拡充</c:v>
                </c:pt>
                <c:pt idx="8">
                  <c:v>企業ニーズに合った就労訓練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'3章_4日中・就労'!$C$143:$C$153</c:f>
              <c:numCache>
                <c:formatCode>0.0%</c:formatCode>
                <c:ptCount val="11"/>
                <c:pt idx="0">
                  <c:v>0.30051813471502598</c:v>
                </c:pt>
                <c:pt idx="1">
                  <c:v>0.32124352331606199</c:v>
                </c:pt>
                <c:pt idx="2">
                  <c:v>0.30569948186528501</c:v>
                </c:pt>
                <c:pt idx="3">
                  <c:v>0.26943005181347202</c:v>
                </c:pt>
                <c:pt idx="4">
                  <c:v>0.20207253886010401</c:v>
                </c:pt>
                <c:pt idx="5">
                  <c:v>0.15025906735751299</c:v>
                </c:pt>
                <c:pt idx="6">
                  <c:v>0.12953367875647701</c:v>
                </c:pt>
                <c:pt idx="7">
                  <c:v>0.181347150259067</c:v>
                </c:pt>
                <c:pt idx="8">
                  <c:v>8.2901554404145095E-2</c:v>
                </c:pt>
                <c:pt idx="9">
                  <c:v>4.6632124352331598E-2</c:v>
                </c:pt>
                <c:pt idx="10">
                  <c:v>0.38860103626942999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29-4922-994D-B6A191D03C61}"/>
            </c:ext>
          </c:extLst>
        </c:ser>
        <c:ser>
          <c:idx val="1"/>
          <c:order val="1"/>
          <c:tx>
            <c:strRef>
              <c:f>'3章_4日中・就労'!D142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'3章_4日中・就労'!$B$143:$B$153</c:f>
              <c:strCache>
                <c:ptCount val="11"/>
                <c:pt idx="0">
                  <c:v>職場の上司や同僚に障がいの理解があること</c:v>
                </c:pt>
                <c:pt idx="1">
                  <c:v>通勤手段の確保</c:v>
                </c:pt>
                <c:pt idx="2">
                  <c:v>短時間勤務や勤務日数等の配慮</c:v>
                </c:pt>
                <c:pt idx="3">
                  <c:v>勤務場所におけるバリアフリー等の配慮</c:v>
                </c:pt>
                <c:pt idx="4">
                  <c:v>職場で介助や援助等が受けられること</c:v>
                </c:pt>
                <c:pt idx="5">
                  <c:v>就労後のフォローなど職場と支援機関の連携</c:v>
                </c:pt>
                <c:pt idx="6">
                  <c:v>仕事についての職場外での相談対応、支援</c:v>
                </c:pt>
                <c:pt idx="7">
                  <c:v>在宅勤務の拡充</c:v>
                </c:pt>
                <c:pt idx="8">
                  <c:v>企業ニーズに合った就労訓練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'3章_4日中・就労'!$D$143:$D$153</c:f>
              <c:numCache>
                <c:formatCode>0.0%</c:formatCode>
                <c:ptCount val="11"/>
                <c:pt idx="0">
                  <c:v>0.33333333333333298</c:v>
                </c:pt>
                <c:pt idx="1">
                  <c:v>0.33333333333333298</c:v>
                </c:pt>
                <c:pt idx="2">
                  <c:v>0.21212121212121199</c:v>
                </c:pt>
                <c:pt idx="3">
                  <c:v>0.18181818181818199</c:v>
                </c:pt>
                <c:pt idx="4">
                  <c:v>0.21212121212121199</c:v>
                </c:pt>
                <c:pt idx="5">
                  <c:v>0.24242424242424199</c:v>
                </c:pt>
                <c:pt idx="6">
                  <c:v>0.24242424242424199</c:v>
                </c:pt>
                <c:pt idx="7">
                  <c:v>0.12121212121212099</c:v>
                </c:pt>
                <c:pt idx="8">
                  <c:v>9.0909090909090898E-2</c:v>
                </c:pt>
                <c:pt idx="9">
                  <c:v>9.0909090909090898E-2</c:v>
                </c:pt>
                <c:pt idx="10">
                  <c:v>0.24242424242424199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429-4922-994D-B6A191D03C61}"/>
            </c:ext>
          </c:extLst>
        </c:ser>
        <c:ser>
          <c:idx val="2"/>
          <c:order val="2"/>
          <c:tx>
            <c:strRef>
              <c:f>'3章_4日中・就労'!E142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'3章_4日中・就労'!$B$143:$B$153</c:f>
              <c:strCache>
                <c:ptCount val="11"/>
                <c:pt idx="0">
                  <c:v>職場の上司や同僚に障がいの理解があること</c:v>
                </c:pt>
                <c:pt idx="1">
                  <c:v>通勤手段の確保</c:v>
                </c:pt>
                <c:pt idx="2">
                  <c:v>短時間勤務や勤務日数等の配慮</c:v>
                </c:pt>
                <c:pt idx="3">
                  <c:v>勤務場所におけるバリアフリー等の配慮</c:v>
                </c:pt>
                <c:pt idx="4">
                  <c:v>職場で介助や援助等が受けられること</c:v>
                </c:pt>
                <c:pt idx="5">
                  <c:v>就労後のフォローなど職場と支援機関の連携</c:v>
                </c:pt>
                <c:pt idx="6">
                  <c:v>仕事についての職場外での相談対応、支援</c:v>
                </c:pt>
                <c:pt idx="7">
                  <c:v>在宅勤務の拡充</c:v>
                </c:pt>
                <c:pt idx="8">
                  <c:v>企業ニーズに合った就労訓練</c:v>
                </c:pt>
                <c:pt idx="9">
                  <c:v>その他</c:v>
                </c:pt>
                <c:pt idx="10">
                  <c:v>無回答</c:v>
                </c:pt>
              </c:strCache>
            </c:strRef>
          </c:cat>
          <c:val>
            <c:numRef>
              <c:f>'3章_4日中・就労'!$E$143:$E$153</c:f>
              <c:numCache>
                <c:formatCode>0.0%</c:formatCode>
                <c:ptCount val="11"/>
                <c:pt idx="0">
                  <c:v>0.65909090909090895</c:v>
                </c:pt>
                <c:pt idx="1">
                  <c:v>0.43181818181818199</c:v>
                </c:pt>
                <c:pt idx="2">
                  <c:v>0.45454545454545497</c:v>
                </c:pt>
                <c:pt idx="3">
                  <c:v>0.15909090909090901</c:v>
                </c:pt>
                <c:pt idx="4">
                  <c:v>0.22727272727272699</c:v>
                </c:pt>
                <c:pt idx="5">
                  <c:v>0.43181818181818199</c:v>
                </c:pt>
                <c:pt idx="6">
                  <c:v>0.43181818181818199</c:v>
                </c:pt>
                <c:pt idx="7">
                  <c:v>0.25</c:v>
                </c:pt>
                <c:pt idx="8">
                  <c:v>0.204545454545455</c:v>
                </c:pt>
                <c:pt idx="9">
                  <c:v>9.0909090909090898E-2</c:v>
                </c:pt>
                <c:pt idx="10">
                  <c:v>0.15909090909090901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429-4922-994D-B6A191D03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11-4118-BE90-2BA7100613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'3章_5サービス'!$B$5:$B$12</c:f>
              <c:strCache>
                <c:ptCount val="8"/>
                <c:pt idx="0">
                  <c:v>区分１</c:v>
                </c:pt>
                <c:pt idx="1">
                  <c:v>区分２</c:v>
                </c:pt>
                <c:pt idx="2">
                  <c:v>区分３</c:v>
                </c:pt>
                <c:pt idx="3">
                  <c:v>区分４</c:v>
                </c:pt>
                <c:pt idx="4">
                  <c:v>区分５</c:v>
                </c:pt>
                <c:pt idx="5">
                  <c:v>区分６</c:v>
                </c:pt>
                <c:pt idx="6">
                  <c:v>受けていない</c:v>
                </c:pt>
                <c:pt idx="7">
                  <c:v>無回答</c:v>
                </c:pt>
              </c:strCache>
            </c:strRef>
          </c:cat>
          <c:val>
            <c:numRef>
              <c:f>'3章_5サービス'!$D$5:$D$12</c:f>
              <c:numCache>
                <c:formatCode>0.0%</c:formatCode>
                <c:ptCount val="8"/>
                <c:pt idx="0">
                  <c:v>3.0888030888030899E-2</c:v>
                </c:pt>
                <c:pt idx="1">
                  <c:v>3.0888030888030899E-2</c:v>
                </c:pt>
                <c:pt idx="2">
                  <c:v>1.9305019305019301E-2</c:v>
                </c:pt>
                <c:pt idx="3">
                  <c:v>1.5444015444015399E-2</c:v>
                </c:pt>
                <c:pt idx="4">
                  <c:v>1.9305019305019301E-2</c:v>
                </c:pt>
                <c:pt idx="5">
                  <c:v>1.15830115830116E-2</c:v>
                </c:pt>
                <c:pt idx="6">
                  <c:v>0.57528957528957503</c:v>
                </c:pt>
                <c:pt idx="7">
                  <c:v>0.29729729729729698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A11-4118-BE90-2BA71006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8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'3章_5サービス'!C18</c:f>
              <c:strCache>
                <c:ptCount val="1"/>
                <c:pt idx="0">
                  <c:v>区分１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'3章_5サービス'!$C$19:$C$22</c:f>
              <c:numCache>
                <c:formatCode>0.0%</c:formatCode>
                <c:ptCount val="4"/>
                <c:pt idx="0">
                  <c:v>3.0888030888030899E-2</c:v>
                </c:pt>
                <c:pt idx="1">
                  <c:v>3.6269430051813503E-2</c:v>
                </c:pt>
                <c:pt idx="2">
                  <c:v>6.0606060606060601E-2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7F-46C9-8196-7022E2FCE4C9}"/>
            </c:ext>
          </c:extLst>
        </c:ser>
        <c:ser>
          <c:idx val="1"/>
          <c:order val="1"/>
          <c:tx>
            <c:strRef>
              <c:f>'3章_5サービス'!D18</c:f>
              <c:strCache>
                <c:ptCount val="1"/>
                <c:pt idx="0">
                  <c:v>区分２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'3章_5サービス'!$D$19:$D$22</c:f>
              <c:numCache>
                <c:formatCode>0.0%</c:formatCode>
                <c:ptCount val="4"/>
                <c:pt idx="0">
                  <c:v>3.0888030888030899E-2</c:v>
                </c:pt>
                <c:pt idx="1">
                  <c:v>2.59067357512953E-2</c:v>
                </c:pt>
                <c:pt idx="2">
                  <c:v>6.0606060606060601E-2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97F-46C9-8196-7022E2FCE4C9}"/>
            </c:ext>
          </c:extLst>
        </c:ser>
        <c:ser>
          <c:idx val="2"/>
          <c:order val="2"/>
          <c:tx>
            <c:strRef>
              <c:f>'3章_5サービス'!E18</c:f>
              <c:strCache>
                <c:ptCount val="1"/>
                <c:pt idx="0">
                  <c:v>区分３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'3章_5サービス'!$E$19:$E$22</c:f>
              <c:numCache>
                <c:formatCode>0.0%</c:formatCode>
                <c:ptCount val="4"/>
                <c:pt idx="0">
                  <c:v>1.9305019305019301E-2</c:v>
                </c:pt>
                <c:pt idx="1">
                  <c:v>5.1813471502590702E-3</c:v>
                </c:pt>
                <c:pt idx="2">
                  <c:v>0.12121212121212099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97F-46C9-8196-7022E2FCE4C9}"/>
            </c:ext>
          </c:extLst>
        </c:ser>
        <c:ser>
          <c:idx val="3"/>
          <c:order val="3"/>
          <c:tx>
            <c:strRef>
              <c:f>'3章_5サービス'!F18</c:f>
              <c:strCache>
                <c:ptCount val="1"/>
                <c:pt idx="0">
                  <c:v>区分４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'3章_5サービス'!$F$19:$F$22</c:f>
              <c:numCache>
                <c:formatCode>0.0%</c:formatCode>
                <c:ptCount val="4"/>
                <c:pt idx="0">
                  <c:v>1.5444015444015399E-2</c:v>
                </c:pt>
                <c:pt idx="1">
                  <c:v>5.1813471502590702E-3</c:v>
                </c:pt>
                <c:pt idx="2">
                  <c:v>3.03030303030303E-2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97F-46C9-8196-7022E2FCE4C9}"/>
            </c:ext>
          </c:extLst>
        </c:ser>
        <c:ser>
          <c:idx val="4"/>
          <c:order val="4"/>
          <c:tx>
            <c:strRef>
              <c:f>'3章_5サービス'!G18</c:f>
              <c:strCache>
                <c:ptCount val="1"/>
                <c:pt idx="0">
                  <c:v>区分５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'3章_5サービス'!$G$19:$G$22</c:f>
              <c:numCache>
                <c:formatCode>0.0%</c:formatCode>
                <c:ptCount val="4"/>
                <c:pt idx="0">
                  <c:v>1.9305019305019301E-2</c:v>
                </c:pt>
                <c:pt idx="1">
                  <c:v>1.03626943005181E-2</c:v>
                </c:pt>
                <c:pt idx="2">
                  <c:v>6.0606060606060601E-2</c:v>
                </c:pt>
                <c:pt idx="3">
                  <c:v>4.5454545454545497E-2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97F-46C9-8196-7022E2FCE4C9}"/>
            </c:ext>
          </c:extLst>
        </c:ser>
        <c:ser>
          <c:idx val="5"/>
          <c:order val="5"/>
          <c:tx>
            <c:strRef>
              <c:f>'3章_5サービス'!H18</c:f>
              <c:strCache>
                <c:ptCount val="1"/>
                <c:pt idx="0">
                  <c:v>区分６</c:v>
                </c:pt>
              </c:strCache>
            </c:strRef>
          </c:tx>
          <c:spPr>
            <a:solidFill>
              <a:srgbClr val="E07B3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'3章_5サービス'!$H$19:$H$22</c:f>
              <c:numCache>
                <c:formatCode>0.0%</c:formatCode>
                <c:ptCount val="4"/>
                <c:pt idx="0">
                  <c:v>1.15830115830116E-2</c:v>
                </c:pt>
                <c:pt idx="1">
                  <c:v>1.03626943005181E-2</c:v>
                </c:pt>
                <c:pt idx="2">
                  <c:v>6.0606060606060601E-2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97F-46C9-8196-7022E2FCE4C9}"/>
            </c:ext>
          </c:extLst>
        </c:ser>
        <c:ser>
          <c:idx val="6"/>
          <c:order val="6"/>
          <c:tx>
            <c:strRef>
              <c:f>'3章_5サービス'!I18</c:f>
              <c:strCache>
                <c:ptCount val="1"/>
                <c:pt idx="0">
                  <c:v>受けていない</c:v>
                </c:pt>
              </c:strCache>
            </c:strRef>
          </c:tx>
          <c:spPr>
            <a:solidFill>
              <a:srgbClr val="BFBFBF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'3章_5サービス'!$I$19:$I$22</c:f>
              <c:numCache>
                <c:formatCode>0.0%</c:formatCode>
                <c:ptCount val="4"/>
                <c:pt idx="0">
                  <c:v>0.57528957528957503</c:v>
                </c:pt>
                <c:pt idx="1">
                  <c:v>0.60103626943005195</c:v>
                </c:pt>
                <c:pt idx="2">
                  <c:v>0.45454545454545497</c:v>
                </c:pt>
                <c:pt idx="3">
                  <c:v>0.47727272727272702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97F-46C9-8196-7022E2FCE4C9}"/>
            </c:ext>
          </c:extLst>
        </c:ser>
        <c:ser>
          <c:idx val="7"/>
          <c:order val="7"/>
          <c:tx>
            <c:strRef>
              <c:f>'3章_5サービス'!J18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'3章_5サービス'!$B$19:$B$22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'3章_5サービス'!$J$19:$J$22</c:f>
              <c:numCache>
                <c:formatCode>0.0%</c:formatCode>
                <c:ptCount val="4"/>
                <c:pt idx="0">
                  <c:v>0.29729729729729698</c:v>
                </c:pt>
                <c:pt idx="1">
                  <c:v>0.30569948186528501</c:v>
                </c:pt>
                <c:pt idx="2">
                  <c:v>0.15151515151515199</c:v>
                </c:pt>
                <c:pt idx="3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497F-46C9-8196-7022E2FCE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'3章_5サービス'!$B$33</c:f>
              <c:strCache>
                <c:ptCount val="1"/>
                <c:pt idx="0">
                  <c:v>利用している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'3章_5サービス'!$D$33</c:f>
              <c:numCache>
                <c:formatCode>0.0%</c:formatCode>
                <c:ptCount val="1"/>
                <c:pt idx="0">
                  <c:v>0.29729729729729698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98-4042-920F-D065C0BF78FB}"/>
            </c:ext>
          </c:extLst>
        </c:ser>
        <c:ser>
          <c:idx val="1"/>
          <c:order val="1"/>
          <c:tx>
            <c:strRef>
              <c:f>'3章_5サービス'!$B$34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'3章_5サービス'!$D$34</c:f>
              <c:numCache>
                <c:formatCode>0.0%</c:formatCode>
                <c:ptCount val="1"/>
                <c:pt idx="0">
                  <c:v>0.62162162162162204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698-4042-920F-D065C0BF78FB}"/>
            </c:ext>
          </c:extLst>
        </c:ser>
        <c:ser>
          <c:idx val="2"/>
          <c:order val="2"/>
          <c:tx>
            <c:strRef>
              <c:f>'3章_5サービス'!$B$35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'3章_5サービス'!$D$35</c:f>
              <c:numCache>
                <c:formatCode>0.0%</c:formatCode>
                <c:ptCount val="1"/>
                <c:pt idx="0">
                  <c:v>8.1081081081081099E-2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698-4042-920F-D065C0BF7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'3章_5サービス'!C44</c:f>
              <c:strCache>
                <c:ptCount val="1"/>
                <c:pt idx="0">
                  <c:v>利用している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'3章_5サービス'!$B$45:$B$48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'3章_5サービス'!$C$45:$C$48</c:f>
              <c:numCache>
                <c:formatCode>0.0%</c:formatCode>
                <c:ptCount val="4"/>
                <c:pt idx="0">
                  <c:v>0.29729729729729698</c:v>
                </c:pt>
                <c:pt idx="1">
                  <c:v>0.33678756476683902</c:v>
                </c:pt>
                <c:pt idx="2">
                  <c:v>0.12121212121212099</c:v>
                </c:pt>
                <c:pt idx="3">
                  <c:v>0.15909090909090901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642-471D-B466-602D04AABCA1}"/>
            </c:ext>
          </c:extLst>
        </c:ser>
        <c:ser>
          <c:idx val="1"/>
          <c:order val="1"/>
          <c:tx>
            <c:strRef>
              <c:f>'3章_5サービス'!D44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'3章_5サービス'!$B$45:$B$48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'3章_5サービス'!$D$45:$D$48</c:f>
              <c:numCache>
                <c:formatCode>0.0%</c:formatCode>
                <c:ptCount val="4"/>
                <c:pt idx="0">
                  <c:v>0.62162162162162204</c:v>
                </c:pt>
                <c:pt idx="1">
                  <c:v>0.59585492227979298</c:v>
                </c:pt>
                <c:pt idx="2">
                  <c:v>0.72727272727272696</c:v>
                </c:pt>
                <c:pt idx="3">
                  <c:v>0.70454545454545503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642-471D-B466-602D04AABCA1}"/>
            </c:ext>
          </c:extLst>
        </c:ser>
        <c:ser>
          <c:idx val="2"/>
          <c:order val="2"/>
          <c:tx>
            <c:strRef>
              <c:f>'3章_5サービス'!E44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'3章_5サービス'!$B$45:$B$48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'3章_5サービス'!$E$45:$E$48</c:f>
              <c:numCache>
                <c:formatCode>0.0%</c:formatCode>
                <c:ptCount val="4"/>
                <c:pt idx="0">
                  <c:v>8.1081081081081099E-2</c:v>
                </c:pt>
                <c:pt idx="1">
                  <c:v>6.7357512953367907E-2</c:v>
                </c:pt>
                <c:pt idx="2">
                  <c:v>0.15151515151515199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642-471D-B466-602D04AAB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2A-4479-BDE1-8258EF7F5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'3章_5サービス'!$B$59:$B$66</c:f>
              <c:strCache>
                <c:ptCount val="8"/>
                <c:pt idx="0">
                  <c:v>要支援１</c:v>
                </c:pt>
                <c:pt idx="1">
                  <c:v>要支援２</c:v>
                </c:pt>
                <c:pt idx="2">
                  <c:v>要介護１</c:v>
                </c:pt>
                <c:pt idx="3">
                  <c:v>要介護２</c:v>
                </c:pt>
                <c:pt idx="4">
                  <c:v>要介護３</c:v>
                </c:pt>
                <c:pt idx="5">
                  <c:v>要介護４</c:v>
                </c:pt>
                <c:pt idx="6">
                  <c:v>要介護５</c:v>
                </c:pt>
                <c:pt idx="7">
                  <c:v>無回答</c:v>
                </c:pt>
              </c:strCache>
            </c:strRef>
          </c:cat>
          <c:val>
            <c:numRef>
              <c:f>'3章_5サービス'!$D$59:$D$66</c:f>
              <c:numCache>
                <c:formatCode>0.0%</c:formatCode>
                <c:ptCount val="8"/>
                <c:pt idx="0">
                  <c:v>2.31660231660232E-2</c:v>
                </c:pt>
                <c:pt idx="1">
                  <c:v>5.7915057915057903E-2</c:v>
                </c:pt>
                <c:pt idx="2">
                  <c:v>1.9305019305019301E-2</c:v>
                </c:pt>
                <c:pt idx="3">
                  <c:v>7.7220077220077205E-2</c:v>
                </c:pt>
                <c:pt idx="4">
                  <c:v>3.0888030888030899E-2</c:v>
                </c:pt>
                <c:pt idx="5">
                  <c:v>5.0193050193050197E-2</c:v>
                </c:pt>
                <c:pt idx="6">
                  <c:v>3.0888030888030899E-2</c:v>
                </c:pt>
                <c:pt idx="7">
                  <c:v>0.71042471042471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E2A-4479-BDE1-8258EF7F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'3章_5サービス'!C72</c:f>
              <c:strCache>
                <c:ptCount val="1"/>
                <c:pt idx="0">
                  <c:v>要支援１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'3章_5サービス'!$C$73:$C$76</c:f>
              <c:numCache>
                <c:formatCode>0.0%</c:formatCode>
                <c:ptCount val="4"/>
                <c:pt idx="0">
                  <c:v>2.31660231660232E-2</c:v>
                </c:pt>
                <c:pt idx="1">
                  <c:v>3.10880829015544E-2</c:v>
                </c:pt>
                <c:pt idx="2">
                  <c:v>0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C9-4271-A7D6-4B266481126B}"/>
            </c:ext>
          </c:extLst>
        </c:ser>
        <c:ser>
          <c:idx val="1"/>
          <c:order val="1"/>
          <c:tx>
            <c:strRef>
              <c:f>'3章_5サービス'!D72</c:f>
              <c:strCache>
                <c:ptCount val="1"/>
                <c:pt idx="0">
                  <c:v>要支援２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'3章_5サービス'!$D$73:$D$76</c:f>
              <c:numCache>
                <c:formatCode>0.0%</c:formatCode>
                <c:ptCount val="4"/>
                <c:pt idx="0">
                  <c:v>5.7915057915057903E-2</c:v>
                </c:pt>
                <c:pt idx="1">
                  <c:v>7.2538860103626895E-2</c:v>
                </c:pt>
                <c:pt idx="2">
                  <c:v>6.0606060606060601E-2</c:v>
                </c:pt>
                <c:pt idx="3">
                  <c:v>6.8181818181818205E-2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C9-4271-A7D6-4B266481126B}"/>
            </c:ext>
          </c:extLst>
        </c:ser>
        <c:ser>
          <c:idx val="2"/>
          <c:order val="2"/>
          <c:tx>
            <c:strRef>
              <c:f>'3章_5サービス'!E72</c:f>
              <c:strCache>
                <c:ptCount val="1"/>
                <c:pt idx="0">
                  <c:v>要介護１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'3章_5サービス'!$E$73:$E$76</c:f>
              <c:numCache>
                <c:formatCode>0.0%</c:formatCode>
                <c:ptCount val="4"/>
                <c:pt idx="0">
                  <c:v>1.9305019305019301E-2</c:v>
                </c:pt>
                <c:pt idx="1">
                  <c:v>2.0725388601036301E-2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6C9-4271-A7D6-4B266481126B}"/>
            </c:ext>
          </c:extLst>
        </c:ser>
        <c:ser>
          <c:idx val="3"/>
          <c:order val="3"/>
          <c:tx>
            <c:strRef>
              <c:f>'3章_5サービス'!F72</c:f>
              <c:strCache>
                <c:ptCount val="1"/>
                <c:pt idx="0">
                  <c:v>要介護２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'3章_5サービス'!$F$73:$F$76</c:f>
              <c:numCache>
                <c:formatCode>0.0%</c:formatCode>
                <c:ptCount val="4"/>
                <c:pt idx="0">
                  <c:v>7.7220077220077205E-2</c:v>
                </c:pt>
                <c:pt idx="1">
                  <c:v>9.3264248704663197E-2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6C9-4271-A7D6-4B266481126B}"/>
            </c:ext>
          </c:extLst>
        </c:ser>
        <c:ser>
          <c:idx val="4"/>
          <c:order val="4"/>
          <c:tx>
            <c:strRef>
              <c:f>'3章_5サービス'!G72</c:f>
              <c:strCache>
                <c:ptCount val="1"/>
                <c:pt idx="0">
                  <c:v>要介護３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'3章_5サービス'!$G$73:$G$76</c:f>
              <c:numCache>
                <c:formatCode>0.0%</c:formatCode>
                <c:ptCount val="4"/>
                <c:pt idx="0">
                  <c:v>3.0888030888030899E-2</c:v>
                </c:pt>
                <c:pt idx="1">
                  <c:v>3.10880829015544E-2</c:v>
                </c:pt>
                <c:pt idx="2">
                  <c:v>0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6C9-4271-A7D6-4B266481126B}"/>
            </c:ext>
          </c:extLst>
        </c:ser>
        <c:ser>
          <c:idx val="5"/>
          <c:order val="5"/>
          <c:tx>
            <c:strRef>
              <c:f>'3章_5サービス'!H72</c:f>
              <c:strCache>
                <c:ptCount val="1"/>
                <c:pt idx="0">
                  <c:v>要介護４</c:v>
                </c:pt>
              </c:strCache>
            </c:strRef>
          </c:tx>
          <c:spPr>
            <a:solidFill>
              <a:srgbClr val="E07B3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'3章_5サービス'!$H$73:$H$76</c:f>
              <c:numCache>
                <c:formatCode>0.0%</c:formatCode>
                <c:ptCount val="4"/>
                <c:pt idx="0">
                  <c:v>5.0193050193050197E-2</c:v>
                </c:pt>
                <c:pt idx="1">
                  <c:v>5.1813471502590698E-2</c:v>
                </c:pt>
                <c:pt idx="2">
                  <c:v>3.03030303030303E-2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6C9-4271-A7D6-4B266481126B}"/>
            </c:ext>
          </c:extLst>
        </c:ser>
        <c:ser>
          <c:idx val="6"/>
          <c:order val="6"/>
          <c:tx>
            <c:strRef>
              <c:f>'3章_5サービス'!I72</c:f>
              <c:strCache>
                <c:ptCount val="1"/>
                <c:pt idx="0">
                  <c:v>要介護５</c:v>
                </c:pt>
              </c:strCache>
            </c:strRef>
          </c:tx>
          <c:spPr>
            <a:solidFill>
              <a:srgbClr val="BFBFBF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'3章_5サービス'!$I$73:$I$76</c:f>
              <c:numCache>
                <c:formatCode>0.0%</c:formatCode>
                <c:ptCount val="4"/>
                <c:pt idx="0">
                  <c:v>3.0888030888030899E-2</c:v>
                </c:pt>
                <c:pt idx="1">
                  <c:v>3.6269430051813503E-2</c:v>
                </c:pt>
                <c:pt idx="2">
                  <c:v>0</c:v>
                </c:pt>
                <c:pt idx="3">
                  <c:v>2.27272727272727E-2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6C9-4271-A7D6-4B266481126B}"/>
            </c:ext>
          </c:extLst>
        </c:ser>
        <c:ser>
          <c:idx val="7"/>
          <c:order val="7"/>
          <c:tx>
            <c:strRef>
              <c:f>'3章_5サービス'!J72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'3章_5サービス'!$B$73:$B$76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'3章_5サービス'!$J$73:$J$76</c:f>
              <c:numCache>
                <c:formatCode>0.0%</c:formatCode>
                <c:ptCount val="4"/>
                <c:pt idx="0">
                  <c:v>0.71042471042471</c:v>
                </c:pt>
                <c:pt idx="1">
                  <c:v>0.66321243523316098</c:v>
                </c:pt>
                <c:pt idx="2">
                  <c:v>0.90909090909090895</c:v>
                </c:pt>
                <c:pt idx="3">
                  <c:v>0.84090909090909105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06C9-4271-A7D6-4B2664811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'3章_5サービス'!C106</c:f>
              <c:strCache>
                <c:ptCount val="1"/>
                <c:pt idx="0">
                  <c:v>利用している（割合）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'3章_5サービス'!$B$107:$B$121</c:f>
              <c:strCache>
                <c:ptCount val="15"/>
                <c:pt idx="0">
                  <c:v>相談支援</c:v>
                </c:pt>
                <c:pt idx="1">
                  <c:v>生活介護</c:v>
                </c:pt>
                <c:pt idx="2">
                  <c:v>居宅介護</c:v>
                </c:pt>
                <c:pt idx="3">
                  <c:v>施設入所</c:v>
                </c:pt>
                <c:pt idx="4">
                  <c:v>就労継続</c:v>
                </c:pt>
                <c:pt idx="5">
                  <c:v>短期入所</c:v>
                </c:pt>
                <c:pt idx="6">
                  <c:v>共同生活援助</c:v>
                </c:pt>
                <c:pt idx="7">
                  <c:v>重度訪問介護</c:v>
                </c:pt>
                <c:pt idx="8">
                  <c:v>重度包括</c:v>
                </c:pt>
                <c:pt idx="9">
                  <c:v>療養介護</c:v>
                </c:pt>
                <c:pt idx="10">
                  <c:v>就労選択</c:v>
                </c:pt>
                <c:pt idx="11">
                  <c:v>同行援護</c:v>
                </c:pt>
                <c:pt idx="12">
                  <c:v>宿泊型自立訓練</c:v>
                </c:pt>
                <c:pt idx="13">
                  <c:v>就労移行</c:v>
                </c:pt>
                <c:pt idx="14">
                  <c:v>行動援護</c:v>
                </c:pt>
              </c:strCache>
            </c:strRef>
          </c:cat>
          <c:val>
            <c:numRef>
              <c:f>'3章_5サービス'!$C$107:$C$121</c:f>
              <c:numCache>
                <c:formatCode>0.0%</c:formatCode>
                <c:ptCount val="15"/>
                <c:pt idx="0">
                  <c:v>0.14285714285714299</c:v>
                </c:pt>
                <c:pt idx="1">
                  <c:v>9.6525096525096499E-2</c:v>
                </c:pt>
                <c:pt idx="2">
                  <c:v>7.3359073359073407E-2</c:v>
                </c:pt>
                <c:pt idx="3">
                  <c:v>6.9498069498069498E-2</c:v>
                </c:pt>
                <c:pt idx="4">
                  <c:v>5.4054054054054099E-2</c:v>
                </c:pt>
                <c:pt idx="5">
                  <c:v>3.4749034749034798E-2</c:v>
                </c:pt>
                <c:pt idx="6">
                  <c:v>3.0888030888030899E-2</c:v>
                </c:pt>
                <c:pt idx="7">
                  <c:v>2.31660231660232E-2</c:v>
                </c:pt>
                <c:pt idx="8">
                  <c:v>1.9305019305019301E-2</c:v>
                </c:pt>
                <c:pt idx="9">
                  <c:v>1.15830115830116E-2</c:v>
                </c:pt>
                <c:pt idx="10">
                  <c:v>7.7220077220077196E-3</c:v>
                </c:pt>
                <c:pt idx="11">
                  <c:v>3.8610038610038598E-3</c:v>
                </c:pt>
                <c:pt idx="12">
                  <c:v>3.8610038610038598E-3</c:v>
                </c:pt>
                <c:pt idx="13">
                  <c:v>3.8610038610038598E-3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6C-426A-B2FA-CB4E8DBE8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'3章_5サービス'!C131</c:f>
              <c:strCache>
                <c:ptCount val="1"/>
                <c:pt idx="0">
                  <c:v>利用したい（割合）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'3章_5サービス'!$B$132:$B$146</c:f>
              <c:strCache>
                <c:ptCount val="15"/>
                <c:pt idx="0">
                  <c:v>相談支援</c:v>
                </c:pt>
                <c:pt idx="1">
                  <c:v>居宅介護</c:v>
                </c:pt>
                <c:pt idx="2">
                  <c:v>生活介護</c:v>
                </c:pt>
                <c:pt idx="3">
                  <c:v>短期入所</c:v>
                </c:pt>
                <c:pt idx="4">
                  <c:v>施設入所</c:v>
                </c:pt>
                <c:pt idx="5">
                  <c:v>共同生活援助</c:v>
                </c:pt>
                <c:pt idx="6">
                  <c:v>重度訪問介護</c:v>
                </c:pt>
                <c:pt idx="7">
                  <c:v>重度包括</c:v>
                </c:pt>
                <c:pt idx="8">
                  <c:v>就労選択</c:v>
                </c:pt>
                <c:pt idx="9">
                  <c:v>行動援護</c:v>
                </c:pt>
                <c:pt idx="10">
                  <c:v>療養介護</c:v>
                </c:pt>
                <c:pt idx="11">
                  <c:v>就労継続</c:v>
                </c:pt>
                <c:pt idx="12">
                  <c:v>就労移行</c:v>
                </c:pt>
                <c:pt idx="13">
                  <c:v>宿泊型自立訓練</c:v>
                </c:pt>
                <c:pt idx="14">
                  <c:v>同行援護</c:v>
                </c:pt>
              </c:strCache>
            </c:strRef>
          </c:cat>
          <c:val>
            <c:numRef>
              <c:f>'3章_5サービス'!$C$132:$C$146</c:f>
              <c:numCache>
                <c:formatCode>0.0%</c:formatCode>
                <c:ptCount val="15"/>
                <c:pt idx="0">
                  <c:v>0.32432432432432401</c:v>
                </c:pt>
                <c:pt idx="1">
                  <c:v>0.32046332046332099</c:v>
                </c:pt>
                <c:pt idx="2">
                  <c:v>0.28185328185328201</c:v>
                </c:pt>
                <c:pt idx="3">
                  <c:v>0.258687258687259</c:v>
                </c:pt>
                <c:pt idx="4">
                  <c:v>0.20849420849420899</c:v>
                </c:pt>
                <c:pt idx="5">
                  <c:v>0.18918918918918901</c:v>
                </c:pt>
                <c:pt idx="6">
                  <c:v>0.15830115830115801</c:v>
                </c:pt>
                <c:pt idx="7">
                  <c:v>0.14671814671814701</c:v>
                </c:pt>
                <c:pt idx="8">
                  <c:v>0.135135135135135</c:v>
                </c:pt>
                <c:pt idx="9">
                  <c:v>0.123552123552124</c:v>
                </c:pt>
                <c:pt idx="10">
                  <c:v>0.111969111969112</c:v>
                </c:pt>
                <c:pt idx="11">
                  <c:v>0.104247104247104</c:v>
                </c:pt>
                <c:pt idx="12">
                  <c:v>0.10038610038610001</c:v>
                </c:pt>
                <c:pt idx="13">
                  <c:v>9.2664092664092701E-2</c:v>
                </c:pt>
                <c:pt idx="14">
                  <c:v>8.4942084942084897E-2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4C-485E-B9F7-7FE736857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D6-4E11-83AE-93D1ADF6225A}"/>
              </c:ext>
            </c:extLst>
          </c:dPt>
          <c:dPt>
            <c:idx val="1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D6-4E11-83AE-93D1ADF622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'3章_6相談・権利'!$B$5:$B$20</c:f>
              <c:strCache>
                <c:ptCount val="16"/>
                <c:pt idx="0">
                  <c:v>家族や親せき</c:v>
                </c:pt>
                <c:pt idx="1">
                  <c:v>かかりつけの医師や看護師</c:v>
                </c:pt>
                <c:pt idx="2">
                  <c:v>友人・知人</c:v>
                </c:pt>
                <c:pt idx="3">
                  <c:v>施設の指導員など</c:v>
                </c:pt>
                <c:pt idx="4">
                  <c:v>病院のケースワーカーや介護保険のケアマネージャー</c:v>
                </c:pt>
                <c:pt idx="5">
                  <c:v>相談支援事業所などの民間の相談窓口</c:v>
                </c:pt>
                <c:pt idx="6">
                  <c:v>行政機関の相談窓口</c:v>
                </c:pt>
                <c:pt idx="7">
                  <c:v>近所の人</c:v>
                </c:pt>
                <c:pt idx="8">
                  <c:v>ホームヘルパーなどサービス事業所の人</c:v>
                </c:pt>
                <c:pt idx="9">
                  <c:v>職場の上司や同僚</c:v>
                </c:pt>
                <c:pt idx="10">
                  <c:v>相談する相手がいない</c:v>
                </c:pt>
                <c:pt idx="11">
                  <c:v>民生委員・児童委員</c:v>
                </c:pt>
                <c:pt idx="12">
                  <c:v>学校の先生</c:v>
                </c:pt>
                <c:pt idx="13">
                  <c:v>障がい者団体や家族会</c:v>
                </c:pt>
                <c:pt idx="14">
                  <c:v>その他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'3章_6相談・権利'!$D$5:$D$20</c:f>
              <c:numCache>
                <c:formatCode>0.0%</c:formatCode>
                <c:ptCount val="16"/>
                <c:pt idx="0">
                  <c:v>0.73745173745173698</c:v>
                </c:pt>
                <c:pt idx="1">
                  <c:v>0.247104247104247</c:v>
                </c:pt>
                <c:pt idx="2">
                  <c:v>0.23938223938223899</c:v>
                </c:pt>
                <c:pt idx="3">
                  <c:v>0.14285714285714299</c:v>
                </c:pt>
                <c:pt idx="4">
                  <c:v>0.111969111969112</c:v>
                </c:pt>
                <c:pt idx="5">
                  <c:v>8.4942084942084897E-2</c:v>
                </c:pt>
                <c:pt idx="6">
                  <c:v>8.4942084942084897E-2</c:v>
                </c:pt>
                <c:pt idx="7">
                  <c:v>8.1081081081081099E-2</c:v>
                </c:pt>
                <c:pt idx="8">
                  <c:v>6.9498069498069498E-2</c:v>
                </c:pt>
                <c:pt idx="9">
                  <c:v>5.4054054054054099E-2</c:v>
                </c:pt>
                <c:pt idx="10">
                  <c:v>4.6332046332046302E-2</c:v>
                </c:pt>
                <c:pt idx="11">
                  <c:v>1.9305019305019301E-2</c:v>
                </c:pt>
                <c:pt idx="12">
                  <c:v>1.15830115830116E-2</c:v>
                </c:pt>
                <c:pt idx="13">
                  <c:v>3.8610038610038598E-3</c:v>
                </c:pt>
                <c:pt idx="14">
                  <c:v>2.7027027027027001E-2</c:v>
                </c:pt>
                <c:pt idx="15">
                  <c:v>4.2471042471042497E-2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ED6-4E11-83AE-93D1ADF62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'3章_6相談・権利'!C26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'3章_6相談・権利'!$B$27:$B$42</c:f>
              <c:strCache>
                <c:ptCount val="16"/>
                <c:pt idx="0">
                  <c:v>家族や親せき</c:v>
                </c:pt>
                <c:pt idx="1">
                  <c:v>かかりつけの医師や看護師</c:v>
                </c:pt>
                <c:pt idx="2">
                  <c:v>友人・知人</c:v>
                </c:pt>
                <c:pt idx="3">
                  <c:v>施設の指導員など</c:v>
                </c:pt>
                <c:pt idx="4">
                  <c:v>病院のケースワーカーや介護保険のケアマネージャー</c:v>
                </c:pt>
                <c:pt idx="5">
                  <c:v>相談支援事業所などの民間の相談窓口</c:v>
                </c:pt>
                <c:pt idx="6">
                  <c:v>行政機関の相談窓口</c:v>
                </c:pt>
                <c:pt idx="7">
                  <c:v>近所の人</c:v>
                </c:pt>
                <c:pt idx="8">
                  <c:v>ホームヘルパーなどサービス事業所の人</c:v>
                </c:pt>
                <c:pt idx="9">
                  <c:v>職場の上司や同僚</c:v>
                </c:pt>
                <c:pt idx="10">
                  <c:v>相談する相手がいない</c:v>
                </c:pt>
                <c:pt idx="11">
                  <c:v>民生委員・児童委員</c:v>
                </c:pt>
                <c:pt idx="12">
                  <c:v>学校の先生</c:v>
                </c:pt>
                <c:pt idx="13">
                  <c:v>障がい者団体や家族会</c:v>
                </c:pt>
                <c:pt idx="14">
                  <c:v>その他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'3章_6相談・権利'!$C$27:$C$42</c:f>
              <c:numCache>
                <c:formatCode>0.0%</c:formatCode>
                <c:ptCount val="16"/>
                <c:pt idx="0">
                  <c:v>0.76683937823834203</c:v>
                </c:pt>
                <c:pt idx="1">
                  <c:v>0.233160621761658</c:v>
                </c:pt>
                <c:pt idx="2">
                  <c:v>0.26424870466321199</c:v>
                </c:pt>
                <c:pt idx="3">
                  <c:v>9.8445595854922296E-2</c:v>
                </c:pt>
                <c:pt idx="4">
                  <c:v>0.12953367875647701</c:v>
                </c:pt>
                <c:pt idx="5">
                  <c:v>5.6994818652849701E-2</c:v>
                </c:pt>
                <c:pt idx="6">
                  <c:v>9.3264248704663197E-2</c:v>
                </c:pt>
                <c:pt idx="7">
                  <c:v>0.10362694300518099</c:v>
                </c:pt>
                <c:pt idx="8">
                  <c:v>5.6994818652849701E-2</c:v>
                </c:pt>
                <c:pt idx="9">
                  <c:v>3.6269430051813503E-2</c:v>
                </c:pt>
                <c:pt idx="10">
                  <c:v>4.6632124352331598E-2</c:v>
                </c:pt>
                <c:pt idx="11">
                  <c:v>2.0725388601036301E-2</c:v>
                </c:pt>
                <c:pt idx="12">
                  <c:v>0</c:v>
                </c:pt>
                <c:pt idx="13">
                  <c:v>0</c:v>
                </c:pt>
                <c:pt idx="14">
                  <c:v>2.0725388601036301E-2</c:v>
                </c:pt>
                <c:pt idx="15">
                  <c:v>4.1450777202072499E-2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80-4893-A495-856040A5C84B}"/>
            </c:ext>
          </c:extLst>
        </c:ser>
        <c:ser>
          <c:idx val="1"/>
          <c:order val="1"/>
          <c:tx>
            <c:strRef>
              <c:f>'3章_6相談・権利'!D26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'3章_6相談・権利'!$B$27:$B$42</c:f>
              <c:strCache>
                <c:ptCount val="16"/>
                <c:pt idx="0">
                  <c:v>家族や親せき</c:v>
                </c:pt>
                <c:pt idx="1">
                  <c:v>かかりつけの医師や看護師</c:v>
                </c:pt>
                <c:pt idx="2">
                  <c:v>友人・知人</c:v>
                </c:pt>
                <c:pt idx="3">
                  <c:v>施設の指導員など</c:v>
                </c:pt>
                <c:pt idx="4">
                  <c:v>病院のケースワーカーや介護保険のケアマネージャー</c:v>
                </c:pt>
                <c:pt idx="5">
                  <c:v>相談支援事業所などの民間の相談窓口</c:v>
                </c:pt>
                <c:pt idx="6">
                  <c:v>行政機関の相談窓口</c:v>
                </c:pt>
                <c:pt idx="7">
                  <c:v>近所の人</c:v>
                </c:pt>
                <c:pt idx="8">
                  <c:v>ホームヘルパーなどサービス事業所の人</c:v>
                </c:pt>
                <c:pt idx="9">
                  <c:v>職場の上司や同僚</c:v>
                </c:pt>
                <c:pt idx="10">
                  <c:v>相談する相手がいない</c:v>
                </c:pt>
                <c:pt idx="11">
                  <c:v>民生委員・児童委員</c:v>
                </c:pt>
                <c:pt idx="12">
                  <c:v>学校の先生</c:v>
                </c:pt>
                <c:pt idx="13">
                  <c:v>障がい者団体や家族会</c:v>
                </c:pt>
                <c:pt idx="14">
                  <c:v>その他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'3章_6相談・権利'!$D$27:$D$42</c:f>
              <c:numCache>
                <c:formatCode>0.0%</c:formatCode>
                <c:ptCount val="16"/>
                <c:pt idx="0">
                  <c:v>0.51515151515151503</c:v>
                </c:pt>
                <c:pt idx="1">
                  <c:v>0.12121212121212099</c:v>
                </c:pt>
                <c:pt idx="2">
                  <c:v>0.15151515151515199</c:v>
                </c:pt>
                <c:pt idx="3">
                  <c:v>0.36363636363636398</c:v>
                </c:pt>
                <c:pt idx="4">
                  <c:v>6.0606060606060601E-2</c:v>
                </c:pt>
                <c:pt idx="5">
                  <c:v>0.15151515151515199</c:v>
                </c:pt>
                <c:pt idx="6">
                  <c:v>3.03030303030303E-2</c:v>
                </c:pt>
                <c:pt idx="7">
                  <c:v>0</c:v>
                </c:pt>
                <c:pt idx="8">
                  <c:v>0.15151515151515199</c:v>
                </c:pt>
                <c:pt idx="9">
                  <c:v>0.15151515151515199</c:v>
                </c:pt>
                <c:pt idx="10">
                  <c:v>3.03030303030303E-2</c:v>
                </c:pt>
                <c:pt idx="11">
                  <c:v>0</c:v>
                </c:pt>
                <c:pt idx="12">
                  <c:v>3.03030303030303E-2</c:v>
                </c:pt>
                <c:pt idx="13">
                  <c:v>0</c:v>
                </c:pt>
                <c:pt idx="14">
                  <c:v>3.03030303030303E-2</c:v>
                </c:pt>
                <c:pt idx="15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F80-4893-A495-856040A5C84B}"/>
            </c:ext>
          </c:extLst>
        </c:ser>
        <c:ser>
          <c:idx val="2"/>
          <c:order val="2"/>
          <c:tx>
            <c:strRef>
              <c:f>'3章_6相談・権利'!E26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'3章_6相談・権利'!$B$27:$B$42</c:f>
              <c:strCache>
                <c:ptCount val="16"/>
                <c:pt idx="0">
                  <c:v>家族や親せき</c:v>
                </c:pt>
                <c:pt idx="1">
                  <c:v>かかりつけの医師や看護師</c:v>
                </c:pt>
                <c:pt idx="2">
                  <c:v>友人・知人</c:v>
                </c:pt>
                <c:pt idx="3">
                  <c:v>施設の指導員など</c:v>
                </c:pt>
                <c:pt idx="4">
                  <c:v>病院のケースワーカーや介護保険のケアマネージャー</c:v>
                </c:pt>
                <c:pt idx="5">
                  <c:v>相談支援事業所などの民間の相談窓口</c:v>
                </c:pt>
                <c:pt idx="6">
                  <c:v>行政機関の相談窓口</c:v>
                </c:pt>
                <c:pt idx="7">
                  <c:v>近所の人</c:v>
                </c:pt>
                <c:pt idx="8">
                  <c:v>ホームヘルパーなどサービス事業所の人</c:v>
                </c:pt>
                <c:pt idx="9">
                  <c:v>職場の上司や同僚</c:v>
                </c:pt>
                <c:pt idx="10">
                  <c:v>相談する相手がいない</c:v>
                </c:pt>
                <c:pt idx="11">
                  <c:v>民生委員・児童委員</c:v>
                </c:pt>
                <c:pt idx="12">
                  <c:v>学校の先生</c:v>
                </c:pt>
                <c:pt idx="13">
                  <c:v>障がい者団体や家族会</c:v>
                </c:pt>
                <c:pt idx="14">
                  <c:v>その他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'3章_6相談・権利'!$E$27:$E$42</c:f>
              <c:numCache>
                <c:formatCode>0.0%</c:formatCode>
                <c:ptCount val="16"/>
                <c:pt idx="0">
                  <c:v>0.70454545454545503</c:v>
                </c:pt>
                <c:pt idx="1">
                  <c:v>0.36363636363636398</c:v>
                </c:pt>
                <c:pt idx="2">
                  <c:v>0.22727272727272699</c:v>
                </c:pt>
                <c:pt idx="3">
                  <c:v>0.204545454545455</c:v>
                </c:pt>
                <c:pt idx="4">
                  <c:v>0.13636363636363599</c:v>
                </c:pt>
                <c:pt idx="5">
                  <c:v>0.15909090909090901</c:v>
                </c:pt>
                <c:pt idx="6">
                  <c:v>0.11363636363636399</c:v>
                </c:pt>
                <c:pt idx="7">
                  <c:v>0</c:v>
                </c:pt>
                <c:pt idx="8">
                  <c:v>0.11363636363636399</c:v>
                </c:pt>
                <c:pt idx="9">
                  <c:v>9.0909090909090898E-2</c:v>
                </c:pt>
                <c:pt idx="10">
                  <c:v>4.5454545454545497E-2</c:v>
                </c:pt>
                <c:pt idx="11">
                  <c:v>2.27272727272727E-2</c:v>
                </c:pt>
                <c:pt idx="12">
                  <c:v>6.8181818181818205E-2</c:v>
                </c:pt>
                <c:pt idx="13">
                  <c:v>2.27272727272727E-2</c:v>
                </c:pt>
                <c:pt idx="14">
                  <c:v>4.5454545454545497E-2</c:v>
                </c:pt>
                <c:pt idx="15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F80-4893-A495-856040A5C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3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6D-49FA-98FF-3F6F82DDC026}"/>
              </c:ext>
            </c:extLst>
          </c:dPt>
          <c:dPt>
            <c:idx val="1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6D-49FA-98FF-3F6F82DDC026}"/>
              </c:ext>
            </c:extLst>
          </c:dPt>
          <c:dPt>
            <c:idx val="1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6D-49FA-98FF-3F6F82DDC0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'3章_6相談・権利'!$B$76:$B$91</c:f>
              <c:strCache>
                <c:ptCount val="16"/>
                <c:pt idx="0">
                  <c:v>本や新聞、雑誌の記事、テレビやラジオのニュース</c:v>
                </c:pt>
                <c:pt idx="1">
                  <c:v>家族や親せき、友人・知人</c:v>
                </c:pt>
                <c:pt idx="2">
                  <c:v>かかりつけの医師や看護師</c:v>
                </c:pt>
                <c:pt idx="3">
                  <c:v>行政機関の広報誌</c:v>
                </c:pt>
                <c:pt idx="4">
                  <c:v>サービス事業所の人や施設職員</c:v>
                </c:pt>
                <c:pt idx="5">
                  <c:v>インターネット</c:v>
                </c:pt>
                <c:pt idx="6">
                  <c:v>病院のケースワーカーや介護保険のケアマネージャー</c:v>
                </c:pt>
                <c:pt idx="7">
                  <c:v>行政機関の相談窓口</c:v>
                </c:pt>
                <c:pt idx="8">
                  <c:v>どこで情報を入手したらよいかわからない</c:v>
                </c:pt>
                <c:pt idx="9">
                  <c:v>相談支援事業所などの民間の相談窓口</c:v>
                </c:pt>
                <c:pt idx="10">
                  <c:v>民生委員・児童委員</c:v>
                </c:pt>
                <c:pt idx="11">
                  <c:v>障がい者団体や家族会（団体の機関誌など）</c:v>
                </c:pt>
                <c:pt idx="12">
                  <c:v>学校の先生</c:v>
                </c:pt>
                <c:pt idx="13">
                  <c:v>その他</c:v>
                </c:pt>
                <c:pt idx="14">
                  <c:v>情報は必要ない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'3章_6相談・権利'!$D$76:$D$91</c:f>
              <c:numCache>
                <c:formatCode>0.0%</c:formatCode>
                <c:ptCount val="16"/>
                <c:pt idx="0">
                  <c:v>0.37837837837837801</c:v>
                </c:pt>
                <c:pt idx="1">
                  <c:v>0.27799227799227799</c:v>
                </c:pt>
                <c:pt idx="2">
                  <c:v>0.23938223938223899</c:v>
                </c:pt>
                <c:pt idx="3">
                  <c:v>0.22779922779922801</c:v>
                </c:pt>
                <c:pt idx="4">
                  <c:v>0.20849420849420899</c:v>
                </c:pt>
                <c:pt idx="5">
                  <c:v>0.16988416988416999</c:v>
                </c:pt>
                <c:pt idx="6">
                  <c:v>0.150579150579151</c:v>
                </c:pt>
                <c:pt idx="7">
                  <c:v>0.12741312741312699</c:v>
                </c:pt>
                <c:pt idx="8">
                  <c:v>0.11969111969111999</c:v>
                </c:pt>
                <c:pt idx="9">
                  <c:v>7.3359073359073407E-2</c:v>
                </c:pt>
                <c:pt idx="10">
                  <c:v>1.9305019305019301E-2</c:v>
                </c:pt>
                <c:pt idx="11">
                  <c:v>7.7220077220077196E-3</c:v>
                </c:pt>
                <c:pt idx="12">
                  <c:v>7.7220077220077196E-3</c:v>
                </c:pt>
                <c:pt idx="13">
                  <c:v>3.8610038610038598E-3</c:v>
                </c:pt>
                <c:pt idx="14">
                  <c:v>6.1776061776061798E-2</c:v>
                </c:pt>
                <c:pt idx="15">
                  <c:v>5.4054054054054099E-2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66D-49FA-98FF-3F6F82DDC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'3章_6相談・権利'!C97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'3章_6相談・権利'!$B$98:$B$113</c:f>
              <c:strCache>
                <c:ptCount val="16"/>
                <c:pt idx="0">
                  <c:v>本や新聞、雑誌の記事、テレビやラジオのニュース</c:v>
                </c:pt>
                <c:pt idx="1">
                  <c:v>家族や親せき、友人・知人</c:v>
                </c:pt>
                <c:pt idx="2">
                  <c:v>かかりつけの医師や看護師</c:v>
                </c:pt>
                <c:pt idx="3">
                  <c:v>行政機関の広報誌</c:v>
                </c:pt>
                <c:pt idx="4">
                  <c:v>サービス事業所の人や施設職員</c:v>
                </c:pt>
                <c:pt idx="5">
                  <c:v>インターネット</c:v>
                </c:pt>
                <c:pt idx="6">
                  <c:v>病院のケースワーカーや介護保険のケアマネージャー</c:v>
                </c:pt>
                <c:pt idx="7">
                  <c:v>行政機関の相談窓口</c:v>
                </c:pt>
                <c:pt idx="8">
                  <c:v>どこで情報を入手したらよいかわからない</c:v>
                </c:pt>
                <c:pt idx="9">
                  <c:v>相談支援事業所などの民間の相談窓口</c:v>
                </c:pt>
                <c:pt idx="10">
                  <c:v>民生委員・児童委員</c:v>
                </c:pt>
                <c:pt idx="11">
                  <c:v>障がい者団体や家族会（団体の機関誌など）</c:v>
                </c:pt>
                <c:pt idx="12">
                  <c:v>学校の先生</c:v>
                </c:pt>
                <c:pt idx="13">
                  <c:v>その他</c:v>
                </c:pt>
                <c:pt idx="14">
                  <c:v>情報は必要ない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'3章_6相談・権利'!$C$98:$C$113</c:f>
              <c:numCache>
                <c:formatCode>0.0%</c:formatCode>
                <c:ptCount val="16"/>
                <c:pt idx="0">
                  <c:v>0.40414507772020702</c:v>
                </c:pt>
                <c:pt idx="1">
                  <c:v>0.284974093264249</c:v>
                </c:pt>
                <c:pt idx="2">
                  <c:v>0.25906735751295301</c:v>
                </c:pt>
                <c:pt idx="3">
                  <c:v>0.26424870466321199</c:v>
                </c:pt>
                <c:pt idx="4">
                  <c:v>0.170984455958549</c:v>
                </c:pt>
                <c:pt idx="5">
                  <c:v>0.124352331606218</c:v>
                </c:pt>
                <c:pt idx="6">
                  <c:v>0.176165803108808</c:v>
                </c:pt>
                <c:pt idx="7">
                  <c:v>0.15025906735751299</c:v>
                </c:pt>
                <c:pt idx="8">
                  <c:v>0.10362694300518099</c:v>
                </c:pt>
                <c:pt idx="9">
                  <c:v>6.21761658031088E-2</c:v>
                </c:pt>
                <c:pt idx="10">
                  <c:v>2.0725388601036301E-2</c:v>
                </c:pt>
                <c:pt idx="11">
                  <c:v>5.1813471502590702E-3</c:v>
                </c:pt>
                <c:pt idx="12">
                  <c:v>5.1813471502590702E-3</c:v>
                </c:pt>
                <c:pt idx="13">
                  <c:v>5.1813471502590702E-3</c:v>
                </c:pt>
                <c:pt idx="14">
                  <c:v>5.6994818652849701E-2</c:v>
                </c:pt>
                <c:pt idx="15">
                  <c:v>4.1450777202072499E-2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FE-4CF2-8ADF-F7636248B08B}"/>
            </c:ext>
          </c:extLst>
        </c:ser>
        <c:ser>
          <c:idx val="1"/>
          <c:order val="1"/>
          <c:tx>
            <c:strRef>
              <c:f>'3章_6相談・権利'!D97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'3章_6相談・権利'!$B$98:$B$113</c:f>
              <c:strCache>
                <c:ptCount val="16"/>
                <c:pt idx="0">
                  <c:v>本や新聞、雑誌の記事、テレビやラジオのニュース</c:v>
                </c:pt>
                <c:pt idx="1">
                  <c:v>家族や親せき、友人・知人</c:v>
                </c:pt>
                <c:pt idx="2">
                  <c:v>かかりつけの医師や看護師</c:v>
                </c:pt>
                <c:pt idx="3">
                  <c:v>行政機関の広報誌</c:v>
                </c:pt>
                <c:pt idx="4">
                  <c:v>サービス事業所の人や施設職員</c:v>
                </c:pt>
                <c:pt idx="5">
                  <c:v>インターネット</c:v>
                </c:pt>
                <c:pt idx="6">
                  <c:v>病院のケースワーカーや介護保険のケアマネージャー</c:v>
                </c:pt>
                <c:pt idx="7">
                  <c:v>行政機関の相談窓口</c:v>
                </c:pt>
                <c:pt idx="8">
                  <c:v>どこで情報を入手したらよいかわからない</c:v>
                </c:pt>
                <c:pt idx="9">
                  <c:v>相談支援事業所などの民間の相談窓口</c:v>
                </c:pt>
                <c:pt idx="10">
                  <c:v>民生委員・児童委員</c:v>
                </c:pt>
                <c:pt idx="11">
                  <c:v>障がい者団体や家族会（団体の機関誌など）</c:v>
                </c:pt>
                <c:pt idx="12">
                  <c:v>学校の先生</c:v>
                </c:pt>
                <c:pt idx="13">
                  <c:v>その他</c:v>
                </c:pt>
                <c:pt idx="14">
                  <c:v>情報は必要ない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'3章_6相談・権利'!$D$98:$D$113</c:f>
              <c:numCache>
                <c:formatCode>0.0%</c:formatCode>
                <c:ptCount val="16"/>
                <c:pt idx="0">
                  <c:v>0.15151515151515199</c:v>
                </c:pt>
                <c:pt idx="1">
                  <c:v>0.24242424242424199</c:v>
                </c:pt>
                <c:pt idx="2">
                  <c:v>0.12121212121212099</c:v>
                </c:pt>
                <c:pt idx="3">
                  <c:v>3.03030303030303E-2</c:v>
                </c:pt>
                <c:pt idx="4">
                  <c:v>0.36363636363636398</c:v>
                </c:pt>
                <c:pt idx="5">
                  <c:v>0.12121212121212099</c:v>
                </c:pt>
                <c:pt idx="6">
                  <c:v>6.0606060606060601E-2</c:v>
                </c:pt>
                <c:pt idx="7">
                  <c:v>9.0909090909090898E-2</c:v>
                </c:pt>
                <c:pt idx="8">
                  <c:v>0.12121212121212099</c:v>
                </c:pt>
                <c:pt idx="9">
                  <c:v>0.12121212121212099</c:v>
                </c:pt>
                <c:pt idx="10">
                  <c:v>0</c:v>
                </c:pt>
                <c:pt idx="11">
                  <c:v>3.03030303030303E-2</c:v>
                </c:pt>
                <c:pt idx="12">
                  <c:v>0</c:v>
                </c:pt>
                <c:pt idx="13">
                  <c:v>0</c:v>
                </c:pt>
                <c:pt idx="14">
                  <c:v>0.12121212121212099</c:v>
                </c:pt>
                <c:pt idx="15">
                  <c:v>0.18181818181818199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FE-4CF2-8ADF-F7636248B08B}"/>
            </c:ext>
          </c:extLst>
        </c:ser>
        <c:ser>
          <c:idx val="2"/>
          <c:order val="2"/>
          <c:tx>
            <c:strRef>
              <c:f>'3章_6相談・権利'!E97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'3章_6相談・権利'!$B$98:$B$113</c:f>
              <c:strCache>
                <c:ptCount val="16"/>
                <c:pt idx="0">
                  <c:v>本や新聞、雑誌の記事、テレビやラジオのニュース</c:v>
                </c:pt>
                <c:pt idx="1">
                  <c:v>家族や親せき、友人・知人</c:v>
                </c:pt>
                <c:pt idx="2">
                  <c:v>かかりつけの医師や看護師</c:v>
                </c:pt>
                <c:pt idx="3">
                  <c:v>行政機関の広報誌</c:v>
                </c:pt>
                <c:pt idx="4">
                  <c:v>サービス事業所の人や施設職員</c:v>
                </c:pt>
                <c:pt idx="5">
                  <c:v>インターネット</c:v>
                </c:pt>
                <c:pt idx="6">
                  <c:v>病院のケースワーカーや介護保険のケアマネージャー</c:v>
                </c:pt>
                <c:pt idx="7">
                  <c:v>行政機関の相談窓口</c:v>
                </c:pt>
                <c:pt idx="8">
                  <c:v>どこで情報を入手したらよいかわからない</c:v>
                </c:pt>
                <c:pt idx="9">
                  <c:v>相談支援事業所などの民間の相談窓口</c:v>
                </c:pt>
                <c:pt idx="10">
                  <c:v>民生委員・児童委員</c:v>
                </c:pt>
                <c:pt idx="11">
                  <c:v>障がい者団体や家族会（団体の機関誌など）</c:v>
                </c:pt>
                <c:pt idx="12">
                  <c:v>学校の先生</c:v>
                </c:pt>
                <c:pt idx="13">
                  <c:v>その他</c:v>
                </c:pt>
                <c:pt idx="14">
                  <c:v>情報は必要ない</c:v>
                </c:pt>
                <c:pt idx="15">
                  <c:v>無回答</c:v>
                </c:pt>
              </c:strCache>
            </c:strRef>
          </c:cat>
          <c:val>
            <c:numRef>
              <c:f>'3章_6相談・権利'!$E$98:$E$113</c:f>
              <c:numCache>
                <c:formatCode>0.0%</c:formatCode>
                <c:ptCount val="16"/>
                <c:pt idx="0">
                  <c:v>0.34090909090909099</c:v>
                </c:pt>
                <c:pt idx="1">
                  <c:v>0.15909090909090901</c:v>
                </c:pt>
                <c:pt idx="2">
                  <c:v>0.36363636363636398</c:v>
                </c:pt>
                <c:pt idx="3">
                  <c:v>0.22727272727272699</c:v>
                </c:pt>
                <c:pt idx="4">
                  <c:v>0.36363636363636398</c:v>
                </c:pt>
                <c:pt idx="5">
                  <c:v>0.34090909090909099</c:v>
                </c:pt>
                <c:pt idx="6">
                  <c:v>0.15909090909090901</c:v>
                </c:pt>
                <c:pt idx="7">
                  <c:v>0.13636363636363599</c:v>
                </c:pt>
                <c:pt idx="8">
                  <c:v>0.15909090909090901</c:v>
                </c:pt>
                <c:pt idx="9">
                  <c:v>9.0909090909090898E-2</c:v>
                </c:pt>
                <c:pt idx="10">
                  <c:v>4.5454545454545497E-2</c:v>
                </c:pt>
                <c:pt idx="11">
                  <c:v>0</c:v>
                </c:pt>
                <c:pt idx="12">
                  <c:v>2.27272727272727E-2</c:v>
                </c:pt>
                <c:pt idx="13">
                  <c:v>0</c:v>
                </c:pt>
                <c:pt idx="14">
                  <c:v>4.5454545454545497E-2</c:v>
                </c:pt>
                <c:pt idx="15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0FE-4CF2-8ADF-F7636248B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'3章_6相談・権利'!$B$146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'3章_6相談・権利'!$D$146</c:f>
              <c:numCache>
                <c:formatCode>0.0%</c:formatCode>
                <c:ptCount val="1"/>
                <c:pt idx="0">
                  <c:v>0.111969111969112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A2-415B-B738-6733553E29EA}"/>
            </c:ext>
          </c:extLst>
        </c:ser>
        <c:ser>
          <c:idx val="1"/>
          <c:order val="1"/>
          <c:tx>
            <c:strRef>
              <c:f>'3章_6相談・権利'!$B$147</c:f>
              <c:strCache>
                <c:ptCount val="1"/>
                <c:pt idx="0">
                  <c:v>少しある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'3章_6相談・権利'!$D$147</c:f>
              <c:numCache>
                <c:formatCode>0.0%</c:formatCode>
                <c:ptCount val="1"/>
                <c:pt idx="0">
                  <c:v>0.14671814671814701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A2-415B-B738-6733553E29EA}"/>
            </c:ext>
          </c:extLst>
        </c:ser>
        <c:ser>
          <c:idx val="2"/>
          <c:order val="2"/>
          <c:tx>
            <c:strRef>
              <c:f>'3章_6相談・権利'!$B$148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'3章_6相談・権利'!$D$148</c:f>
              <c:numCache>
                <c:formatCode>0.0%</c:formatCode>
                <c:ptCount val="1"/>
                <c:pt idx="0">
                  <c:v>0.67953667953667996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EA2-415B-B738-6733553E29EA}"/>
            </c:ext>
          </c:extLst>
        </c:ser>
        <c:ser>
          <c:idx val="3"/>
          <c:order val="3"/>
          <c:tx>
            <c:strRef>
              <c:f>'3章_6相談・権利'!$B$149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'3章_6相談・権利'!$D$149</c:f>
              <c:numCache>
                <c:formatCode>0.0%</c:formatCode>
                <c:ptCount val="1"/>
                <c:pt idx="0">
                  <c:v>6.1776061776061798E-2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EA2-415B-B738-6733553E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'3章_6相談・権利'!C156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'3章_6相談・権利'!$B$157:$B$160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'3章_6相談・権利'!$C$157:$C$160</c:f>
              <c:numCache>
                <c:formatCode>0.0%</c:formatCode>
                <c:ptCount val="4"/>
                <c:pt idx="0">
                  <c:v>0.111969111969112</c:v>
                </c:pt>
                <c:pt idx="1">
                  <c:v>7.7720207253885995E-2</c:v>
                </c:pt>
                <c:pt idx="2">
                  <c:v>0.12121212121212099</c:v>
                </c:pt>
                <c:pt idx="3">
                  <c:v>0.204545454545455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06-4494-8CB8-D3861F6FAEF8}"/>
            </c:ext>
          </c:extLst>
        </c:ser>
        <c:ser>
          <c:idx val="1"/>
          <c:order val="1"/>
          <c:tx>
            <c:strRef>
              <c:f>'3章_6相談・権利'!D156</c:f>
              <c:strCache>
                <c:ptCount val="1"/>
                <c:pt idx="0">
                  <c:v>少しある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'3章_6相談・権利'!$B$157:$B$160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'3章_6相談・権利'!$D$157:$D$160</c:f>
              <c:numCache>
                <c:formatCode>0.0%</c:formatCode>
                <c:ptCount val="4"/>
                <c:pt idx="0">
                  <c:v>0.14671814671814701</c:v>
                </c:pt>
                <c:pt idx="1">
                  <c:v>0.10880829015544</c:v>
                </c:pt>
                <c:pt idx="2">
                  <c:v>0.27272727272727298</c:v>
                </c:pt>
                <c:pt idx="3">
                  <c:v>0.29545454545454503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C06-4494-8CB8-D3861F6FAEF8}"/>
            </c:ext>
          </c:extLst>
        </c:ser>
        <c:ser>
          <c:idx val="2"/>
          <c:order val="2"/>
          <c:tx>
            <c:strRef>
              <c:f>'3章_6相談・権利'!E156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'3章_6相談・権利'!$B$157:$B$160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'3章_6相談・権利'!$E$157:$E$160</c:f>
              <c:numCache>
                <c:formatCode>0.0%</c:formatCode>
                <c:ptCount val="4"/>
                <c:pt idx="0">
                  <c:v>0.67953667953667996</c:v>
                </c:pt>
                <c:pt idx="1">
                  <c:v>0.76165803108808305</c:v>
                </c:pt>
                <c:pt idx="2">
                  <c:v>0.57575757575757602</c:v>
                </c:pt>
                <c:pt idx="3">
                  <c:v>0.38636363636363602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C06-4494-8CB8-D3861F6FAEF8}"/>
            </c:ext>
          </c:extLst>
        </c:ser>
        <c:ser>
          <c:idx val="3"/>
          <c:order val="3"/>
          <c:tx>
            <c:strRef>
              <c:f>'3章_6相談・権利'!F156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'3章_6相談・権利'!$B$157:$B$160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'3章_6相談・権利'!$F$157:$F$160</c:f>
              <c:numCache>
                <c:formatCode>0.0%</c:formatCode>
                <c:ptCount val="4"/>
                <c:pt idx="0">
                  <c:v>6.1776061776061798E-2</c:v>
                </c:pt>
                <c:pt idx="1">
                  <c:v>5.1813471502590698E-2</c:v>
                </c:pt>
                <c:pt idx="2">
                  <c:v>3.03030303030303E-2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C06-4494-8CB8-D3861F6FA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E6-47DB-A93A-25EECF809471}"/>
              </c:ext>
            </c:extLst>
          </c:dPt>
          <c:dPt>
            <c:idx val="8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E6-47DB-A93A-25EECF8094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'3章_6相談・権利'!$B$172:$B$180</c:f>
              <c:strCache>
                <c:ptCount val="9"/>
                <c:pt idx="0">
                  <c:v>外出先</c:v>
                </c:pt>
                <c:pt idx="1">
                  <c:v>学校・仕事場</c:v>
                </c:pt>
                <c:pt idx="2">
                  <c:v>住んでいる地域</c:v>
                </c:pt>
                <c:pt idx="3">
                  <c:v>仕事を探すとき</c:v>
                </c:pt>
                <c:pt idx="4">
                  <c:v>自宅</c:v>
                </c:pt>
                <c:pt idx="5">
                  <c:v>余暇を楽しむとき</c:v>
                </c:pt>
                <c:pt idx="6">
                  <c:v>病院などの医療機関</c:v>
                </c:pt>
                <c:pt idx="7">
                  <c:v>その他</c:v>
                </c:pt>
                <c:pt idx="8">
                  <c:v>無回答</c:v>
                </c:pt>
              </c:strCache>
            </c:strRef>
          </c:cat>
          <c:val>
            <c:numRef>
              <c:f>'3章_6相談・権利'!$D$172:$D$180</c:f>
              <c:numCache>
                <c:formatCode>0.0%</c:formatCode>
                <c:ptCount val="9"/>
                <c:pt idx="0">
                  <c:v>0.10038610038610001</c:v>
                </c:pt>
                <c:pt idx="1">
                  <c:v>8.8803088803088806E-2</c:v>
                </c:pt>
                <c:pt idx="2">
                  <c:v>5.0193050193050197E-2</c:v>
                </c:pt>
                <c:pt idx="3">
                  <c:v>3.4749034749034798E-2</c:v>
                </c:pt>
                <c:pt idx="4">
                  <c:v>3.0888030888030899E-2</c:v>
                </c:pt>
                <c:pt idx="5">
                  <c:v>2.7027027027027001E-2</c:v>
                </c:pt>
                <c:pt idx="6">
                  <c:v>1.15830115830116E-2</c:v>
                </c:pt>
                <c:pt idx="7">
                  <c:v>1.9305019305019301E-2</c:v>
                </c:pt>
                <c:pt idx="8">
                  <c:v>0.76833976833976803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0E6-47DB-A93A-25EECF809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100000000000000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'3章_6相談・権利'!C186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'3章_6相談・権利'!$B$187:$B$195</c:f>
              <c:strCache>
                <c:ptCount val="9"/>
                <c:pt idx="0">
                  <c:v>外出先</c:v>
                </c:pt>
                <c:pt idx="1">
                  <c:v>学校・仕事場</c:v>
                </c:pt>
                <c:pt idx="2">
                  <c:v>住んでいる地域</c:v>
                </c:pt>
                <c:pt idx="3">
                  <c:v>仕事を探すとき</c:v>
                </c:pt>
                <c:pt idx="4">
                  <c:v>自宅</c:v>
                </c:pt>
                <c:pt idx="5">
                  <c:v>余暇を楽しむとき</c:v>
                </c:pt>
                <c:pt idx="6">
                  <c:v>病院などの医療機関</c:v>
                </c:pt>
                <c:pt idx="7">
                  <c:v>その他</c:v>
                </c:pt>
                <c:pt idx="8">
                  <c:v>無回答</c:v>
                </c:pt>
              </c:strCache>
            </c:strRef>
          </c:cat>
          <c:val>
            <c:numRef>
              <c:f>'3章_6相談・権利'!$C$187:$C$195</c:f>
              <c:numCache>
                <c:formatCode>0.0%</c:formatCode>
                <c:ptCount val="9"/>
                <c:pt idx="0">
                  <c:v>9.8445595854922296E-2</c:v>
                </c:pt>
                <c:pt idx="1">
                  <c:v>3.10880829015544E-2</c:v>
                </c:pt>
                <c:pt idx="2">
                  <c:v>5.6994818652849701E-2</c:v>
                </c:pt>
                <c:pt idx="3">
                  <c:v>2.0725388601036301E-2</c:v>
                </c:pt>
                <c:pt idx="4">
                  <c:v>2.0725388601036301E-2</c:v>
                </c:pt>
                <c:pt idx="5">
                  <c:v>2.59067357512953E-2</c:v>
                </c:pt>
                <c:pt idx="6">
                  <c:v>1.55440414507772E-2</c:v>
                </c:pt>
                <c:pt idx="7">
                  <c:v>5.1813471502590702E-3</c:v>
                </c:pt>
                <c:pt idx="8">
                  <c:v>0.83937823834196901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17-4529-A1DE-872D51232696}"/>
            </c:ext>
          </c:extLst>
        </c:ser>
        <c:ser>
          <c:idx val="1"/>
          <c:order val="1"/>
          <c:tx>
            <c:strRef>
              <c:f>'3章_6相談・権利'!D186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'3章_6相談・権利'!$B$187:$B$195</c:f>
              <c:strCache>
                <c:ptCount val="9"/>
                <c:pt idx="0">
                  <c:v>外出先</c:v>
                </c:pt>
                <c:pt idx="1">
                  <c:v>学校・仕事場</c:v>
                </c:pt>
                <c:pt idx="2">
                  <c:v>住んでいる地域</c:v>
                </c:pt>
                <c:pt idx="3">
                  <c:v>仕事を探すとき</c:v>
                </c:pt>
                <c:pt idx="4">
                  <c:v>自宅</c:v>
                </c:pt>
                <c:pt idx="5">
                  <c:v>余暇を楽しむとき</c:v>
                </c:pt>
                <c:pt idx="6">
                  <c:v>病院などの医療機関</c:v>
                </c:pt>
                <c:pt idx="7">
                  <c:v>その他</c:v>
                </c:pt>
                <c:pt idx="8">
                  <c:v>無回答</c:v>
                </c:pt>
              </c:strCache>
            </c:strRef>
          </c:cat>
          <c:val>
            <c:numRef>
              <c:f>'3章_6相談・権利'!$D$187:$D$195</c:f>
              <c:numCache>
                <c:formatCode>0.0%</c:formatCode>
                <c:ptCount val="9"/>
                <c:pt idx="0">
                  <c:v>0.15151515151515199</c:v>
                </c:pt>
                <c:pt idx="1">
                  <c:v>0.21212121212121199</c:v>
                </c:pt>
                <c:pt idx="2">
                  <c:v>9.0909090909090898E-2</c:v>
                </c:pt>
                <c:pt idx="3">
                  <c:v>6.0606060606060601E-2</c:v>
                </c:pt>
                <c:pt idx="4">
                  <c:v>3.03030303030303E-2</c:v>
                </c:pt>
                <c:pt idx="5">
                  <c:v>3.03030303030303E-2</c:v>
                </c:pt>
                <c:pt idx="6">
                  <c:v>0</c:v>
                </c:pt>
                <c:pt idx="7">
                  <c:v>3.03030303030303E-2</c:v>
                </c:pt>
                <c:pt idx="8">
                  <c:v>0.60606060606060597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17-4529-A1DE-872D51232696}"/>
            </c:ext>
          </c:extLst>
        </c:ser>
        <c:ser>
          <c:idx val="2"/>
          <c:order val="2"/>
          <c:tx>
            <c:strRef>
              <c:f>'3章_6相談・権利'!E186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'3章_6相談・権利'!$B$187:$B$195</c:f>
              <c:strCache>
                <c:ptCount val="9"/>
                <c:pt idx="0">
                  <c:v>外出先</c:v>
                </c:pt>
                <c:pt idx="1">
                  <c:v>学校・仕事場</c:v>
                </c:pt>
                <c:pt idx="2">
                  <c:v>住んでいる地域</c:v>
                </c:pt>
                <c:pt idx="3">
                  <c:v>仕事を探すとき</c:v>
                </c:pt>
                <c:pt idx="4">
                  <c:v>自宅</c:v>
                </c:pt>
                <c:pt idx="5">
                  <c:v>余暇を楽しむとき</c:v>
                </c:pt>
                <c:pt idx="6">
                  <c:v>病院などの医療機関</c:v>
                </c:pt>
                <c:pt idx="7">
                  <c:v>その他</c:v>
                </c:pt>
                <c:pt idx="8">
                  <c:v>無回答</c:v>
                </c:pt>
              </c:strCache>
            </c:strRef>
          </c:cat>
          <c:val>
            <c:numRef>
              <c:f>'3章_6相談・権利'!$E$187:$E$195</c:f>
              <c:numCache>
                <c:formatCode>0.0%</c:formatCode>
                <c:ptCount val="9"/>
                <c:pt idx="0">
                  <c:v>0.11363636363636399</c:v>
                </c:pt>
                <c:pt idx="1">
                  <c:v>0.22727272727272699</c:v>
                </c:pt>
                <c:pt idx="2">
                  <c:v>6.8181818181818205E-2</c:v>
                </c:pt>
                <c:pt idx="3">
                  <c:v>6.8181818181818205E-2</c:v>
                </c:pt>
                <c:pt idx="4">
                  <c:v>0.11363636363636399</c:v>
                </c:pt>
                <c:pt idx="5">
                  <c:v>2.27272727272727E-2</c:v>
                </c:pt>
                <c:pt idx="6">
                  <c:v>2.27272727272727E-2</c:v>
                </c:pt>
                <c:pt idx="7">
                  <c:v>4.5454545454545497E-2</c:v>
                </c:pt>
                <c:pt idx="8">
                  <c:v>0.56818181818181801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A17-4529-A1DE-872D51232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74-49DF-A766-956069F60C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'3章_6相談・権利'!$B$218:$B$221</c:f>
              <c:strCache>
                <c:ptCount val="4"/>
                <c:pt idx="0">
                  <c:v>名前も内容も知っている</c:v>
                </c:pt>
                <c:pt idx="1">
                  <c:v>名前は聞いたことあるが、内容は知らない</c:v>
                </c:pt>
                <c:pt idx="2">
                  <c:v>名前も内容も知らない</c:v>
                </c:pt>
                <c:pt idx="3">
                  <c:v>無回答</c:v>
                </c:pt>
              </c:strCache>
            </c:strRef>
          </c:cat>
          <c:val>
            <c:numRef>
              <c:f>'3章_6相談・権利'!$D$218:$D$221</c:f>
              <c:numCache>
                <c:formatCode>0.0%</c:formatCode>
                <c:ptCount val="4"/>
                <c:pt idx="0">
                  <c:v>0.18532818532818501</c:v>
                </c:pt>
                <c:pt idx="1">
                  <c:v>0.355212355212355</c:v>
                </c:pt>
                <c:pt idx="2">
                  <c:v>0.36679536679536701</c:v>
                </c:pt>
                <c:pt idx="3">
                  <c:v>9.2664092664092701E-2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574-49DF-A766-956069F60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'3章_6相談・権利'!C227</c:f>
              <c:strCache>
                <c:ptCount val="1"/>
                <c:pt idx="0">
                  <c:v>名前も内容も知っている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'3章_6相談・権利'!$B$228:$B$231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'3章_6相談・権利'!$C$228:$C$231</c:f>
              <c:numCache>
                <c:formatCode>0.0%</c:formatCode>
                <c:ptCount val="4"/>
                <c:pt idx="0">
                  <c:v>0.18532818532818501</c:v>
                </c:pt>
                <c:pt idx="1">
                  <c:v>0.21761658031088099</c:v>
                </c:pt>
                <c:pt idx="2">
                  <c:v>0.21212121212121199</c:v>
                </c:pt>
                <c:pt idx="3">
                  <c:v>0.18181818181818199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8B-47B4-B967-57D7EA760F26}"/>
            </c:ext>
          </c:extLst>
        </c:ser>
        <c:ser>
          <c:idx val="1"/>
          <c:order val="1"/>
          <c:tx>
            <c:strRef>
              <c:f>'3章_6相談・権利'!D227</c:f>
              <c:strCache>
                <c:ptCount val="1"/>
                <c:pt idx="0">
                  <c:v>名前は聞いたことあるが、内容は知らない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'3章_6相談・権利'!$B$228:$B$231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'3章_6相談・権利'!$D$228:$D$231</c:f>
              <c:numCache>
                <c:formatCode>0.0%</c:formatCode>
                <c:ptCount val="4"/>
                <c:pt idx="0">
                  <c:v>0.355212355212355</c:v>
                </c:pt>
                <c:pt idx="1">
                  <c:v>0.36787564766839398</c:v>
                </c:pt>
                <c:pt idx="2">
                  <c:v>0.21212121212121199</c:v>
                </c:pt>
                <c:pt idx="3">
                  <c:v>0.34090909090909099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18B-47B4-B967-57D7EA760F26}"/>
            </c:ext>
          </c:extLst>
        </c:ser>
        <c:ser>
          <c:idx val="2"/>
          <c:order val="2"/>
          <c:tx>
            <c:strRef>
              <c:f>'3章_6相談・権利'!E227</c:f>
              <c:strCache>
                <c:ptCount val="1"/>
                <c:pt idx="0">
                  <c:v>名前も内容も知らない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'3章_6相談・権利'!$B$228:$B$231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'3章_6相談・権利'!$E$228:$E$231</c:f>
              <c:numCache>
                <c:formatCode>0.0%</c:formatCode>
                <c:ptCount val="4"/>
                <c:pt idx="0">
                  <c:v>0.36679536679536701</c:v>
                </c:pt>
                <c:pt idx="1">
                  <c:v>0.32124352331606199</c:v>
                </c:pt>
                <c:pt idx="2">
                  <c:v>0.48484848484848497</c:v>
                </c:pt>
                <c:pt idx="3">
                  <c:v>0.38636363636363602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18B-47B4-B967-57D7EA760F26}"/>
            </c:ext>
          </c:extLst>
        </c:ser>
        <c:ser>
          <c:idx val="3"/>
          <c:order val="3"/>
          <c:tx>
            <c:strRef>
              <c:f>'3章_6相談・権利'!F227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'3章_6相談・権利'!$B$228:$B$231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'3章_6相談・権利'!$F$228:$F$231</c:f>
              <c:numCache>
                <c:formatCode>0.0%</c:formatCode>
                <c:ptCount val="4"/>
                <c:pt idx="0">
                  <c:v>9.2664092664092701E-2</c:v>
                </c:pt>
                <c:pt idx="1">
                  <c:v>9.3264248704663197E-2</c:v>
                </c:pt>
                <c:pt idx="2">
                  <c:v>9.0909090909090898E-2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18B-47B4-B967-57D7EA760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6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118-43E1-9701-5B13DA580894}"/>
              </c:ext>
            </c:extLst>
          </c:dPt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118-43E1-9701-5B13DA5808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'3章_6相談・権利'!$B$240:$B$247</c:f>
              <c:strCache>
                <c:ptCount val="8"/>
                <c:pt idx="0">
                  <c:v>町役場</c:v>
                </c:pt>
                <c:pt idx="1">
                  <c:v>社会福祉協議会</c:v>
                </c:pt>
                <c:pt idx="2">
                  <c:v>専門職（弁護士、司法書士）</c:v>
                </c:pt>
                <c:pt idx="3">
                  <c:v>家庭裁判所</c:v>
                </c:pt>
                <c:pt idx="4">
                  <c:v>消費者生活センター</c:v>
                </c:pt>
                <c:pt idx="5">
                  <c:v>法テラス</c:v>
                </c:pt>
                <c:pt idx="6">
                  <c:v>その他</c:v>
                </c:pt>
                <c:pt idx="7">
                  <c:v>無回答</c:v>
                </c:pt>
              </c:strCache>
            </c:strRef>
          </c:cat>
          <c:val>
            <c:numRef>
              <c:f>'3章_6相談・権利'!$D$240:$D$247</c:f>
              <c:numCache>
                <c:formatCode>0.0%</c:formatCode>
                <c:ptCount val="8"/>
                <c:pt idx="0">
                  <c:v>0.35907335907335902</c:v>
                </c:pt>
                <c:pt idx="1">
                  <c:v>0.19691119691119699</c:v>
                </c:pt>
                <c:pt idx="2">
                  <c:v>0.10038610038610001</c:v>
                </c:pt>
                <c:pt idx="3">
                  <c:v>8.1081081081081099E-2</c:v>
                </c:pt>
                <c:pt idx="4">
                  <c:v>1.9305019305019301E-2</c:v>
                </c:pt>
                <c:pt idx="5">
                  <c:v>1.5444015444015399E-2</c:v>
                </c:pt>
                <c:pt idx="6">
                  <c:v>4.6332046332046302E-2</c:v>
                </c:pt>
                <c:pt idx="7">
                  <c:v>0.47876447876447897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118-43E1-9701-5B13DA580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7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'3章_6相談・権利'!C253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'3章_6相談・権利'!$B$254:$B$261</c:f>
              <c:strCache>
                <c:ptCount val="8"/>
                <c:pt idx="0">
                  <c:v>町役場</c:v>
                </c:pt>
                <c:pt idx="1">
                  <c:v>社会福祉協議会</c:v>
                </c:pt>
                <c:pt idx="2">
                  <c:v>専門職（弁護士、司法書士）</c:v>
                </c:pt>
                <c:pt idx="3">
                  <c:v>家庭裁判所</c:v>
                </c:pt>
                <c:pt idx="4">
                  <c:v>消費者生活センター</c:v>
                </c:pt>
                <c:pt idx="5">
                  <c:v>法テラス</c:v>
                </c:pt>
                <c:pt idx="6">
                  <c:v>その他</c:v>
                </c:pt>
                <c:pt idx="7">
                  <c:v>無回答</c:v>
                </c:pt>
              </c:strCache>
            </c:strRef>
          </c:cat>
          <c:val>
            <c:numRef>
              <c:f>'3章_6相談・権利'!$C$254:$C$261</c:f>
              <c:numCache>
                <c:formatCode>0.0%</c:formatCode>
                <c:ptCount val="8"/>
                <c:pt idx="0">
                  <c:v>0.39896373056994799</c:v>
                </c:pt>
                <c:pt idx="1">
                  <c:v>0.21243523316062199</c:v>
                </c:pt>
                <c:pt idx="2">
                  <c:v>0.113989637305699</c:v>
                </c:pt>
                <c:pt idx="3">
                  <c:v>0.10362694300518099</c:v>
                </c:pt>
                <c:pt idx="4">
                  <c:v>1.55440414507772E-2</c:v>
                </c:pt>
                <c:pt idx="5">
                  <c:v>2.0725388601036301E-2</c:v>
                </c:pt>
                <c:pt idx="6">
                  <c:v>3.10880829015544E-2</c:v>
                </c:pt>
                <c:pt idx="7">
                  <c:v>0.45595854922279799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DB-4CAE-968D-D867874066A3}"/>
            </c:ext>
          </c:extLst>
        </c:ser>
        <c:ser>
          <c:idx val="1"/>
          <c:order val="1"/>
          <c:tx>
            <c:strRef>
              <c:f>'3章_6相談・権利'!D253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'3章_6相談・権利'!$B$254:$B$261</c:f>
              <c:strCache>
                <c:ptCount val="8"/>
                <c:pt idx="0">
                  <c:v>町役場</c:v>
                </c:pt>
                <c:pt idx="1">
                  <c:v>社会福祉協議会</c:v>
                </c:pt>
                <c:pt idx="2">
                  <c:v>専門職（弁護士、司法書士）</c:v>
                </c:pt>
                <c:pt idx="3">
                  <c:v>家庭裁判所</c:v>
                </c:pt>
                <c:pt idx="4">
                  <c:v>消費者生活センター</c:v>
                </c:pt>
                <c:pt idx="5">
                  <c:v>法テラス</c:v>
                </c:pt>
                <c:pt idx="6">
                  <c:v>その他</c:v>
                </c:pt>
                <c:pt idx="7">
                  <c:v>無回答</c:v>
                </c:pt>
              </c:strCache>
            </c:strRef>
          </c:cat>
          <c:val>
            <c:numRef>
              <c:f>'3章_6相談・権利'!$D$254:$D$261</c:f>
              <c:numCache>
                <c:formatCode>0.0%</c:formatCode>
                <c:ptCount val="8"/>
                <c:pt idx="0">
                  <c:v>0.36363636363636398</c:v>
                </c:pt>
                <c:pt idx="1">
                  <c:v>0.30303030303030298</c:v>
                </c:pt>
                <c:pt idx="2">
                  <c:v>9.0909090909090898E-2</c:v>
                </c:pt>
                <c:pt idx="3">
                  <c:v>9.0909090909090898E-2</c:v>
                </c:pt>
                <c:pt idx="4">
                  <c:v>3.03030303030303E-2</c:v>
                </c:pt>
                <c:pt idx="5">
                  <c:v>0</c:v>
                </c:pt>
                <c:pt idx="6">
                  <c:v>6.0606060606060601E-2</c:v>
                </c:pt>
                <c:pt idx="7">
                  <c:v>0.42424242424242398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1DB-4CAE-968D-D867874066A3}"/>
            </c:ext>
          </c:extLst>
        </c:ser>
        <c:ser>
          <c:idx val="2"/>
          <c:order val="2"/>
          <c:tx>
            <c:strRef>
              <c:f>'3章_6相談・権利'!E253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'3章_6相談・権利'!$B$254:$B$261</c:f>
              <c:strCache>
                <c:ptCount val="8"/>
                <c:pt idx="0">
                  <c:v>町役場</c:v>
                </c:pt>
                <c:pt idx="1">
                  <c:v>社会福祉協議会</c:v>
                </c:pt>
                <c:pt idx="2">
                  <c:v>専門職（弁護士、司法書士）</c:v>
                </c:pt>
                <c:pt idx="3">
                  <c:v>家庭裁判所</c:v>
                </c:pt>
                <c:pt idx="4">
                  <c:v>消費者生活センター</c:v>
                </c:pt>
                <c:pt idx="5">
                  <c:v>法テラス</c:v>
                </c:pt>
                <c:pt idx="6">
                  <c:v>その他</c:v>
                </c:pt>
                <c:pt idx="7">
                  <c:v>無回答</c:v>
                </c:pt>
              </c:strCache>
            </c:strRef>
          </c:cat>
          <c:val>
            <c:numRef>
              <c:f>'3章_6相談・権利'!$E$254:$E$261</c:f>
              <c:numCache>
                <c:formatCode>0.0%</c:formatCode>
                <c:ptCount val="8"/>
                <c:pt idx="0">
                  <c:v>0.29545454545454503</c:v>
                </c:pt>
                <c:pt idx="1">
                  <c:v>0.15909090909090901</c:v>
                </c:pt>
                <c:pt idx="2">
                  <c:v>0.11363636363636399</c:v>
                </c:pt>
                <c:pt idx="3">
                  <c:v>4.5454545454545497E-2</c:v>
                </c:pt>
                <c:pt idx="4">
                  <c:v>2.27272727272727E-2</c:v>
                </c:pt>
                <c:pt idx="5">
                  <c:v>0</c:v>
                </c:pt>
                <c:pt idx="6">
                  <c:v>9.0909090909090898E-2</c:v>
                </c:pt>
                <c:pt idx="7">
                  <c:v>0.45454545454545497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1DB-4CAE-968D-D8678740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'3章_6相談・権利'!$B$282</c:f>
              <c:strCache>
                <c:ptCount val="1"/>
                <c:pt idx="0">
                  <c:v>知っている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'3章_6相談・権利'!$D$282</c:f>
              <c:numCache>
                <c:formatCode>0.0%</c:formatCode>
                <c:ptCount val="1"/>
                <c:pt idx="0">
                  <c:v>0.166023166023166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29-4B9F-89C9-C1EA3B693B38}"/>
            </c:ext>
          </c:extLst>
        </c:ser>
        <c:ser>
          <c:idx val="1"/>
          <c:order val="1"/>
          <c:tx>
            <c:strRef>
              <c:f>'3章_6相談・権利'!$B$283</c:f>
              <c:strCache>
                <c:ptCount val="1"/>
                <c:pt idx="0">
                  <c:v>知らない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'3章_6相談・権利'!$D$283</c:f>
              <c:numCache>
                <c:formatCode>0.0%</c:formatCode>
                <c:ptCount val="1"/>
                <c:pt idx="0">
                  <c:v>0.75675675675675702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D29-4B9F-89C9-C1EA3B693B38}"/>
            </c:ext>
          </c:extLst>
        </c:ser>
        <c:ser>
          <c:idx val="2"/>
          <c:order val="2"/>
          <c:tx>
            <c:strRef>
              <c:f>'3章_6相談・権利'!$B$284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'3章_6相談・権利'!$D$284</c:f>
              <c:numCache>
                <c:formatCode>0.0%</c:formatCode>
                <c:ptCount val="1"/>
                <c:pt idx="0">
                  <c:v>7.7220077220077205E-2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D29-4B9F-89C9-C1EA3B693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'3章_6相談・権利'!C293</c:f>
              <c:strCache>
                <c:ptCount val="1"/>
                <c:pt idx="0">
                  <c:v>知っている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'3章_6相談・権利'!$B$294:$B$297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'3章_6相談・権利'!$C$294:$C$297</c:f>
              <c:numCache>
                <c:formatCode>0.0%</c:formatCode>
                <c:ptCount val="4"/>
                <c:pt idx="0">
                  <c:v>0.166023166023166</c:v>
                </c:pt>
                <c:pt idx="1">
                  <c:v>0.18652849740932601</c:v>
                </c:pt>
                <c:pt idx="2">
                  <c:v>0.18181818181818199</c:v>
                </c:pt>
                <c:pt idx="3">
                  <c:v>0.18181818181818199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34-46DA-A73B-90C9F50209FA}"/>
            </c:ext>
          </c:extLst>
        </c:ser>
        <c:ser>
          <c:idx val="1"/>
          <c:order val="1"/>
          <c:tx>
            <c:strRef>
              <c:f>'3章_6相談・権利'!D293</c:f>
              <c:strCache>
                <c:ptCount val="1"/>
                <c:pt idx="0">
                  <c:v>知らない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'3章_6相談・権利'!$B$294:$B$297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'3章_6相談・権利'!$D$294:$D$297</c:f>
              <c:numCache>
                <c:formatCode>0.0%</c:formatCode>
                <c:ptCount val="4"/>
                <c:pt idx="0">
                  <c:v>0.75675675675675702</c:v>
                </c:pt>
                <c:pt idx="1">
                  <c:v>0.73056994818652898</c:v>
                </c:pt>
                <c:pt idx="2">
                  <c:v>0.75757575757575801</c:v>
                </c:pt>
                <c:pt idx="3">
                  <c:v>0.72727272727272696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D34-46DA-A73B-90C9F50209FA}"/>
            </c:ext>
          </c:extLst>
        </c:ser>
        <c:ser>
          <c:idx val="2"/>
          <c:order val="2"/>
          <c:tx>
            <c:strRef>
              <c:f>'3章_6相談・権利'!E293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'3章_6相談・権利'!$B$294:$B$297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'3章_6相談・権利'!$E$294:$E$297</c:f>
              <c:numCache>
                <c:formatCode>0.0%</c:formatCode>
                <c:ptCount val="4"/>
                <c:pt idx="0">
                  <c:v>7.7220077220077205E-2</c:v>
                </c:pt>
                <c:pt idx="1">
                  <c:v>8.2901554404145095E-2</c:v>
                </c:pt>
                <c:pt idx="2">
                  <c:v>6.0606060606060601E-2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D34-46DA-A73B-90C9F5020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'3章_6相談・権利'!$B$309</c:f>
              <c:strCache>
                <c:ptCount val="1"/>
                <c:pt idx="0">
                  <c:v>知っている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'3章_6相談・権利'!$D$309</c:f>
              <c:numCache>
                <c:formatCode>0.0%</c:formatCode>
                <c:ptCount val="1"/>
                <c:pt idx="0">
                  <c:v>0.104247104247104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D4-4905-9A6E-FDD57C53C13C}"/>
            </c:ext>
          </c:extLst>
        </c:ser>
        <c:ser>
          <c:idx val="1"/>
          <c:order val="1"/>
          <c:tx>
            <c:strRef>
              <c:f>'3章_6相談・権利'!$B$310</c:f>
              <c:strCache>
                <c:ptCount val="1"/>
                <c:pt idx="0">
                  <c:v>知らない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'3章_6相談・権利'!$D$310</c:f>
              <c:numCache>
                <c:formatCode>0.0%</c:formatCode>
                <c:ptCount val="1"/>
                <c:pt idx="0">
                  <c:v>0.78764478764478796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D4-4905-9A6E-FDD57C53C13C}"/>
            </c:ext>
          </c:extLst>
        </c:ser>
        <c:ser>
          <c:idx val="2"/>
          <c:order val="2"/>
          <c:tx>
            <c:strRef>
              <c:f>'3章_6相談・権利'!$B$311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'3章_6相談・権利'!$D$311</c:f>
              <c:numCache>
                <c:formatCode>0.0%</c:formatCode>
                <c:ptCount val="1"/>
                <c:pt idx="0">
                  <c:v>0.108108108108108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D4-4905-9A6E-FDD57C53C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'3章_6相談・権利'!C320</c:f>
              <c:strCache>
                <c:ptCount val="1"/>
                <c:pt idx="0">
                  <c:v>知っている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'3章_6相談・権利'!$B$321:$B$324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'3章_6相談・権利'!$C$321:$C$324</c:f>
              <c:numCache>
                <c:formatCode>0.0%</c:formatCode>
                <c:ptCount val="4"/>
                <c:pt idx="0">
                  <c:v>0.104247104247104</c:v>
                </c:pt>
                <c:pt idx="1">
                  <c:v>0.10880829015544</c:v>
                </c:pt>
                <c:pt idx="2">
                  <c:v>0.18181818181818199</c:v>
                </c:pt>
                <c:pt idx="3">
                  <c:v>0.15909090909090901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211-456C-A2BF-588A0CC8C325}"/>
            </c:ext>
          </c:extLst>
        </c:ser>
        <c:ser>
          <c:idx val="1"/>
          <c:order val="1"/>
          <c:tx>
            <c:strRef>
              <c:f>'3章_6相談・権利'!D320</c:f>
              <c:strCache>
                <c:ptCount val="1"/>
                <c:pt idx="0">
                  <c:v>知らない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'3章_6相談・権利'!$B$321:$B$324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'3章_6相談・権利'!$D$321:$D$324</c:f>
              <c:numCache>
                <c:formatCode>0.0%</c:formatCode>
                <c:ptCount val="4"/>
                <c:pt idx="0">
                  <c:v>0.78764478764478796</c:v>
                </c:pt>
                <c:pt idx="1">
                  <c:v>0.77720207253885998</c:v>
                </c:pt>
                <c:pt idx="2">
                  <c:v>0.75757575757575801</c:v>
                </c:pt>
                <c:pt idx="3">
                  <c:v>0.72727272727272696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211-456C-A2BF-588A0CC8C325}"/>
            </c:ext>
          </c:extLst>
        </c:ser>
        <c:ser>
          <c:idx val="2"/>
          <c:order val="2"/>
          <c:tx>
            <c:strRef>
              <c:f>'3章_6相談・権利'!E320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'3章_6相談・権利'!$B$321:$B$324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'3章_6相談・権利'!$E$321:$E$324</c:f>
              <c:numCache>
                <c:formatCode>0.0%</c:formatCode>
                <c:ptCount val="4"/>
                <c:pt idx="0">
                  <c:v>0.108108108108108</c:v>
                </c:pt>
                <c:pt idx="1">
                  <c:v>0.113989637305699</c:v>
                </c:pt>
                <c:pt idx="2">
                  <c:v>6.0606060606060601E-2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211-456C-A2BF-588A0CC8C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'3章_7災害・意見'!$B$5</c:f>
              <c:strCache>
                <c:ptCount val="1"/>
                <c:pt idx="0">
                  <c:v>できる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'3章_7災害・意見'!$D$5</c:f>
              <c:numCache>
                <c:formatCode>0.0%</c:formatCode>
                <c:ptCount val="1"/>
                <c:pt idx="0">
                  <c:v>0.38610038610038599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A7-45A8-86B6-AB5BB6573A29}"/>
            </c:ext>
          </c:extLst>
        </c:ser>
        <c:ser>
          <c:idx val="1"/>
          <c:order val="1"/>
          <c:tx>
            <c:strRef>
              <c:f>'3章_7災害・意見'!$B$6</c:f>
              <c:strCache>
                <c:ptCount val="1"/>
                <c:pt idx="0">
                  <c:v>できない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'3章_7災害・意見'!$D$6</c:f>
              <c:numCache>
                <c:formatCode>0.0%</c:formatCode>
                <c:ptCount val="1"/>
                <c:pt idx="0">
                  <c:v>0.355212355212355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A7-45A8-86B6-AB5BB6573A29}"/>
            </c:ext>
          </c:extLst>
        </c:ser>
        <c:ser>
          <c:idx val="2"/>
          <c:order val="2"/>
          <c:tx>
            <c:strRef>
              <c:f>'3章_7災害・意見'!$B$7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'3章_7災害・意見'!$D$7</c:f>
              <c:numCache>
                <c:formatCode>0.0%</c:formatCode>
                <c:ptCount val="1"/>
                <c:pt idx="0">
                  <c:v>0.20077220077220101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7A7-45A8-86B6-AB5BB6573A29}"/>
            </c:ext>
          </c:extLst>
        </c:ser>
        <c:ser>
          <c:idx val="3"/>
          <c:order val="3"/>
          <c:tx>
            <c:strRef>
              <c:f>'3章_7災害・意見'!$B$8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'3章_7災害・意見'!$D$8</c:f>
              <c:numCache>
                <c:formatCode>0.0%</c:formatCode>
                <c:ptCount val="1"/>
                <c:pt idx="0">
                  <c:v>5.7915057915057903E-2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7A7-45A8-86B6-AB5BB6573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'3章_7災害・意見'!C15</c:f>
              <c:strCache>
                <c:ptCount val="1"/>
                <c:pt idx="0">
                  <c:v>できる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'3章_7災害・意見'!$B$16:$B$19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'3章_7災害・意見'!$C$16:$C$19</c:f>
              <c:numCache>
                <c:formatCode>0.0%</c:formatCode>
                <c:ptCount val="4"/>
                <c:pt idx="0">
                  <c:v>0.38610038610038599</c:v>
                </c:pt>
                <c:pt idx="1">
                  <c:v>0.409326424870466</c:v>
                </c:pt>
                <c:pt idx="2">
                  <c:v>0.33333333333333298</c:v>
                </c:pt>
                <c:pt idx="3">
                  <c:v>0.29545454545454503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76-4944-B2AB-FA7392648C74}"/>
            </c:ext>
          </c:extLst>
        </c:ser>
        <c:ser>
          <c:idx val="1"/>
          <c:order val="1"/>
          <c:tx>
            <c:strRef>
              <c:f>'3章_7災害・意見'!D15</c:f>
              <c:strCache>
                <c:ptCount val="1"/>
                <c:pt idx="0">
                  <c:v>できない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'3章_7災害・意見'!$B$16:$B$19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'3章_7災害・意見'!$D$16:$D$19</c:f>
              <c:numCache>
                <c:formatCode>0.0%</c:formatCode>
                <c:ptCount val="4"/>
                <c:pt idx="0">
                  <c:v>0.355212355212355</c:v>
                </c:pt>
                <c:pt idx="1">
                  <c:v>0.352331606217617</c:v>
                </c:pt>
                <c:pt idx="2">
                  <c:v>0.36363636363636398</c:v>
                </c:pt>
                <c:pt idx="3">
                  <c:v>0.18181818181818199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76-4944-B2AB-FA7392648C74}"/>
            </c:ext>
          </c:extLst>
        </c:ser>
        <c:ser>
          <c:idx val="2"/>
          <c:order val="2"/>
          <c:tx>
            <c:strRef>
              <c:f>'3章_7災害・意見'!E15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'3章_7災害・意見'!$B$16:$B$19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'3章_7災害・意見'!$E$16:$E$19</c:f>
              <c:numCache>
                <c:formatCode>0.0%</c:formatCode>
                <c:ptCount val="4"/>
                <c:pt idx="0">
                  <c:v>0.20077220077220101</c:v>
                </c:pt>
                <c:pt idx="1">
                  <c:v>0.170984455958549</c:v>
                </c:pt>
                <c:pt idx="2">
                  <c:v>0.24242424242424199</c:v>
                </c:pt>
                <c:pt idx="3">
                  <c:v>0.40909090909090901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C76-4944-B2AB-FA7392648C74}"/>
            </c:ext>
          </c:extLst>
        </c:ser>
        <c:ser>
          <c:idx val="3"/>
          <c:order val="3"/>
          <c:tx>
            <c:strRef>
              <c:f>'3章_7災害・意見'!F15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'3章_7災害・意見'!$B$16:$B$19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'3章_7災害・意見'!$F$16:$F$19</c:f>
              <c:numCache>
                <c:formatCode>0.0%</c:formatCode>
                <c:ptCount val="4"/>
                <c:pt idx="0">
                  <c:v>5.7915057915057903E-2</c:v>
                </c:pt>
                <c:pt idx="1">
                  <c:v>6.7357512953367907E-2</c:v>
                </c:pt>
                <c:pt idx="2">
                  <c:v>6.0606060606060601E-2</c:v>
                </c:pt>
                <c:pt idx="3">
                  <c:v>0.11363636363636399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C76-4944-B2AB-FA7392648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'3章_7災害・意見'!$B$31</c:f>
              <c:strCache>
                <c:ptCount val="1"/>
                <c:pt idx="0">
                  <c:v>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'3章_7災害・意見'!$D$31</c:f>
              <c:numCache>
                <c:formatCode>0.0%</c:formatCode>
                <c:ptCount val="1"/>
                <c:pt idx="0">
                  <c:v>0.31660231660231702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6B-48B1-A1D2-9D0DEA02473A}"/>
            </c:ext>
          </c:extLst>
        </c:ser>
        <c:ser>
          <c:idx val="1"/>
          <c:order val="1"/>
          <c:tx>
            <c:strRef>
              <c:f>'3章_7災害・意見'!$B$32</c:f>
              <c:strCache>
                <c:ptCount val="1"/>
                <c:pt idx="0">
                  <c:v>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'3章_7災害・意見'!$D$32</c:f>
              <c:numCache>
                <c:formatCode>0.0%</c:formatCode>
                <c:ptCount val="1"/>
                <c:pt idx="0">
                  <c:v>0.231660231660232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6B-48B1-A1D2-9D0DEA02473A}"/>
            </c:ext>
          </c:extLst>
        </c:ser>
        <c:ser>
          <c:idx val="2"/>
          <c:order val="2"/>
          <c:tx>
            <c:strRef>
              <c:f>'3章_7災害・意見'!$B$33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'3章_7災害・意見'!$D$33</c:f>
              <c:numCache>
                <c:formatCode>0.0%</c:formatCode>
                <c:ptCount val="1"/>
                <c:pt idx="0">
                  <c:v>0.36293436293436299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46B-48B1-A1D2-9D0DEA02473A}"/>
            </c:ext>
          </c:extLst>
        </c:ser>
        <c:ser>
          <c:idx val="3"/>
          <c:order val="3"/>
          <c:tx>
            <c:strRef>
              <c:f>'3章_7災害・意見'!$B$34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'3章_7災害・意見'!$D$34</c:f>
              <c:numCache>
                <c:formatCode>0.0%</c:formatCode>
                <c:ptCount val="1"/>
                <c:pt idx="0">
                  <c:v>8.8803088803088806E-2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46B-48B1-A1D2-9D0DEA024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'3章_7災害・意見'!C41</c:f>
              <c:strCache>
                <c:ptCount val="1"/>
                <c:pt idx="0">
                  <c:v>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'3章_7災害・意見'!$B$42:$B$45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'3章_7災害・意見'!$C$42:$C$45</c:f>
              <c:numCache>
                <c:formatCode>0.0%</c:formatCode>
                <c:ptCount val="4"/>
                <c:pt idx="0">
                  <c:v>0.31660231660231702</c:v>
                </c:pt>
                <c:pt idx="1">
                  <c:v>0.37305699481865301</c:v>
                </c:pt>
                <c:pt idx="2">
                  <c:v>0.18181818181818199</c:v>
                </c:pt>
                <c:pt idx="3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76-4A07-837E-CA494206A7D1}"/>
            </c:ext>
          </c:extLst>
        </c:ser>
        <c:ser>
          <c:idx val="1"/>
          <c:order val="1"/>
          <c:tx>
            <c:strRef>
              <c:f>'3章_7災害・意見'!D41</c:f>
              <c:strCache>
                <c:ptCount val="1"/>
                <c:pt idx="0">
                  <c:v>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'3章_7災害・意見'!$B$42:$B$45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'3章_7災害・意見'!$D$42:$D$45</c:f>
              <c:numCache>
                <c:formatCode>0.0%</c:formatCode>
                <c:ptCount val="4"/>
                <c:pt idx="0">
                  <c:v>0.231660231660232</c:v>
                </c:pt>
                <c:pt idx="1">
                  <c:v>0.19170984455958501</c:v>
                </c:pt>
                <c:pt idx="2">
                  <c:v>0.27272727272727298</c:v>
                </c:pt>
                <c:pt idx="3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76-4A07-837E-CA494206A7D1}"/>
            </c:ext>
          </c:extLst>
        </c:ser>
        <c:ser>
          <c:idx val="2"/>
          <c:order val="2"/>
          <c:tx>
            <c:strRef>
              <c:f>'3章_7災害・意見'!E41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'3章_7災害・意見'!$B$42:$B$45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'3章_7災害・意見'!$E$42:$E$45</c:f>
              <c:numCache>
                <c:formatCode>0.0%</c:formatCode>
                <c:ptCount val="4"/>
                <c:pt idx="0">
                  <c:v>0.36293436293436299</c:v>
                </c:pt>
                <c:pt idx="1">
                  <c:v>0.34715025906735802</c:v>
                </c:pt>
                <c:pt idx="2">
                  <c:v>0.36363636363636398</c:v>
                </c:pt>
                <c:pt idx="3">
                  <c:v>0.45454545454545497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B76-4A07-837E-CA494206A7D1}"/>
            </c:ext>
          </c:extLst>
        </c:ser>
        <c:ser>
          <c:idx val="3"/>
          <c:order val="3"/>
          <c:tx>
            <c:strRef>
              <c:f>'3章_7災害・意見'!F41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'3章_7災害・意見'!$B$42:$B$45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'3章_7災害・意見'!$F$42:$F$45</c:f>
              <c:numCache>
                <c:formatCode>0.0%</c:formatCode>
                <c:ptCount val="4"/>
                <c:pt idx="0">
                  <c:v>8.8803088803088806E-2</c:v>
                </c:pt>
                <c:pt idx="1">
                  <c:v>8.8082901554404097E-2</c:v>
                </c:pt>
                <c:pt idx="2">
                  <c:v>0.18181818181818199</c:v>
                </c:pt>
                <c:pt idx="3">
                  <c:v>0.15909090909090901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B76-4A07-837E-CA494206A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F8-40E4-87A9-3654CE2675D6}"/>
              </c:ext>
            </c:extLst>
          </c:dPt>
          <c:dPt>
            <c:idx val="10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F8-40E4-87A9-3654CE2675D6}"/>
              </c:ext>
            </c:extLst>
          </c:dPt>
          <c:dPt>
            <c:idx val="11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F8-40E4-87A9-3654CE2675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'3章_7災害・意見'!$B$57:$B$68</c:f>
              <c:strCache>
                <c:ptCount val="12"/>
                <c:pt idx="0">
                  <c:v>投薬や治療が受けられない</c:v>
                </c:pt>
                <c:pt idx="1">
                  <c:v>避難場所の設備（トイレ等）や生活環境が不安</c:v>
                </c:pt>
                <c:pt idx="2">
                  <c:v>安全なところまで、迅速に避難することができない</c:v>
                </c:pt>
                <c:pt idx="3">
                  <c:v>救助を求めることができない</c:v>
                </c:pt>
                <c:pt idx="4">
                  <c:v>周囲とのコミュニケーションがとれない</c:v>
                </c:pt>
                <c:pt idx="5">
                  <c:v>被害状況、避難場所などの情報が入手できない</c:v>
                </c:pt>
                <c:pt idx="6">
                  <c:v>医療機器の電源確保</c:v>
                </c:pt>
                <c:pt idx="7">
                  <c:v>補装具や日常生活用具の入手ができなくなる</c:v>
                </c:pt>
                <c:pt idx="8">
                  <c:v>補装具の使用が困難になる</c:v>
                </c:pt>
                <c:pt idx="9">
                  <c:v>その他</c:v>
                </c:pt>
                <c:pt idx="10">
                  <c:v>特にない</c:v>
                </c:pt>
                <c:pt idx="11">
                  <c:v>無回答</c:v>
                </c:pt>
              </c:strCache>
            </c:strRef>
          </c:cat>
          <c:val>
            <c:numRef>
              <c:f>'3章_7災害・意見'!$D$57:$D$68</c:f>
              <c:numCache>
                <c:formatCode>0.0%</c:formatCode>
                <c:ptCount val="12"/>
                <c:pt idx="0">
                  <c:v>0.51737451737451701</c:v>
                </c:pt>
                <c:pt idx="1">
                  <c:v>0.46718146718146703</c:v>
                </c:pt>
                <c:pt idx="2">
                  <c:v>0.37451737451737499</c:v>
                </c:pt>
                <c:pt idx="3">
                  <c:v>0.20077220077220101</c:v>
                </c:pt>
                <c:pt idx="4">
                  <c:v>0.166023166023166</c:v>
                </c:pt>
                <c:pt idx="5">
                  <c:v>0.15830115830115801</c:v>
                </c:pt>
                <c:pt idx="6">
                  <c:v>0.15444015444015399</c:v>
                </c:pt>
                <c:pt idx="7">
                  <c:v>0.11969111969111999</c:v>
                </c:pt>
                <c:pt idx="8">
                  <c:v>9.6525096525096499E-2</c:v>
                </c:pt>
                <c:pt idx="9">
                  <c:v>1.9305019305019301E-2</c:v>
                </c:pt>
                <c:pt idx="10">
                  <c:v>0.13127413127413101</c:v>
                </c:pt>
                <c:pt idx="11">
                  <c:v>8.1081081081081099E-2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8F8-40E4-87A9-3654CE267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8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'3章_7災害・意見'!C75</c:f>
              <c:strCache>
                <c:ptCount val="1"/>
                <c:pt idx="0">
                  <c:v>身体障がい（n=193）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'3章_7災害・意見'!$B$76:$B$87</c:f>
              <c:strCache>
                <c:ptCount val="12"/>
                <c:pt idx="0">
                  <c:v>投薬や治療が受けられない</c:v>
                </c:pt>
                <c:pt idx="1">
                  <c:v>避難場所の設備（トイレ等）や生活環境が不安</c:v>
                </c:pt>
                <c:pt idx="2">
                  <c:v>安全なところまで、迅速に避難することができない</c:v>
                </c:pt>
                <c:pt idx="3">
                  <c:v>救助を求めることができない</c:v>
                </c:pt>
                <c:pt idx="4">
                  <c:v>周囲とのコミュニケーションがとれない</c:v>
                </c:pt>
                <c:pt idx="5">
                  <c:v>被害状況、避難場所などの情報が入手できない</c:v>
                </c:pt>
                <c:pt idx="6">
                  <c:v>医療機器の電源確保</c:v>
                </c:pt>
                <c:pt idx="7">
                  <c:v>補装具や日常生活用具の入手ができなくなる</c:v>
                </c:pt>
                <c:pt idx="8">
                  <c:v>補装具の使用が困難になる</c:v>
                </c:pt>
                <c:pt idx="9">
                  <c:v>その他</c:v>
                </c:pt>
                <c:pt idx="10">
                  <c:v>特にない</c:v>
                </c:pt>
                <c:pt idx="11">
                  <c:v>無回答</c:v>
                </c:pt>
              </c:strCache>
            </c:strRef>
          </c:cat>
          <c:val>
            <c:numRef>
              <c:f>'3章_7災害・意見'!$C$76:$C$87</c:f>
              <c:numCache>
                <c:formatCode>0.0%</c:formatCode>
                <c:ptCount val="12"/>
                <c:pt idx="0">
                  <c:v>0.55958549222797904</c:v>
                </c:pt>
                <c:pt idx="1">
                  <c:v>0.47150259067357497</c:v>
                </c:pt>
                <c:pt idx="2">
                  <c:v>0.39378238341968902</c:v>
                </c:pt>
                <c:pt idx="3">
                  <c:v>0.19170984455958501</c:v>
                </c:pt>
                <c:pt idx="4">
                  <c:v>0.124352331606218</c:v>
                </c:pt>
                <c:pt idx="5">
                  <c:v>0.170984455958549</c:v>
                </c:pt>
                <c:pt idx="6">
                  <c:v>0.176165803108808</c:v>
                </c:pt>
                <c:pt idx="7">
                  <c:v>0.13471502590673601</c:v>
                </c:pt>
                <c:pt idx="8">
                  <c:v>9.8445595854922296E-2</c:v>
                </c:pt>
                <c:pt idx="9">
                  <c:v>1.55440414507772E-2</c:v>
                </c:pt>
                <c:pt idx="10">
                  <c:v>0.119170984455959</c:v>
                </c:pt>
                <c:pt idx="11">
                  <c:v>8.8082901554404097E-2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F1-4013-929C-59406C97FF7C}"/>
            </c:ext>
          </c:extLst>
        </c:ser>
        <c:ser>
          <c:idx val="1"/>
          <c:order val="1"/>
          <c:tx>
            <c:strRef>
              <c:f>'3章_7災害・意見'!D75</c:f>
              <c:strCache>
                <c:ptCount val="1"/>
                <c:pt idx="0">
                  <c:v>知的障がい（n=33）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'3章_7災害・意見'!$B$76:$B$87</c:f>
              <c:strCache>
                <c:ptCount val="12"/>
                <c:pt idx="0">
                  <c:v>投薬や治療が受けられない</c:v>
                </c:pt>
                <c:pt idx="1">
                  <c:v>避難場所の設備（トイレ等）や生活環境が不安</c:v>
                </c:pt>
                <c:pt idx="2">
                  <c:v>安全なところまで、迅速に避難することができない</c:v>
                </c:pt>
                <c:pt idx="3">
                  <c:v>救助を求めることができない</c:v>
                </c:pt>
                <c:pt idx="4">
                  <c:v>周囲とのコミュニケーションがとれない</c:v>
                </c:pt>
                <c:pt idx="5">
                  <c:v>被害状況、避難場所などの情報が入手できない</c:v>
                </c:pt>
                <c:pt idx="6">
                  <c:v>医療機器の電源確保</c:v>
                </c:pt>
                <c:pt idx="7">
                  <c:v>補装具や日常生活用具の入手ができなくなる</c:v>
                </c:pt>
                <c:pt idx="8">
                  <c:v>補装具の使用が困難になる</c:v>
                </c:pt>
                <c:pt idx="9">
                  <c:v>その他</c:v>
                </c:pt>
                <c:pt idx="10">
                  <c:v>特にない</c:v>
                </c:pt>
                <c:pt idx="11">
                  <c:v>無回答</c:v>
                </c:pt>
              </c:strCache>
            </c:strRef>
          </c:cat>
          <c:val>
            <c:numRef>
              <c:f>'3章_7災害・意見'!$D$76:$D$87</c:f>
              <c:numCache>
                <c:formatCode>0.0%</c:formatCode>
                <c:ptCount val="12"/>
                <c:pt idx="0">
                  <c:v>0.24242424242424199</c:v>
                </c:pt>
                <c:pt idx="1">
                  <c:v>0.30303030303030298</c:v>
                </c:pt>
                <c:pt idx="2">
                  <c:v>0.30303030303030298</c:v>
                </c:pt>
                <c:pt idx="3">
                  <c:v>0.21212121212121199</c:v>
                </c:pt>
                <c:pt idx="4">
                  <c:v>0.24242424242424199</c:v>
                </c:pt>
                <c:pt idx="5">
                  <c:v>0.15151515151515199</c:v>
                </c:pt>
                <c:pt idx="6">
                  <c:v>6.0606060606060601E-2</c:v>
                </c:pt>
                <c:pt idx="7">
                  <c:v>9.0909090909090898E-2</c:v>
                </c:pt>
                <c:pt idx="8">
                  <c:v>6.0606060606060601E-2</c:v>
                </c:pt>
                <c:pt idx="9">
                  <c:v>0</c:v>
                </c:pt>
                <c:pt idx="10">
                  <c:v>0.27272727272727298</c:v>
                </c:pt>
                <c:pt idx="11">
                  <c:v>0.12121212121212099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3F1-4013-929C-59406C97FF7C}"/>
            </c:ext>
          </c:extLst>
        </c:ser>
        <c:ser>
          <c:idx val="2"/>
          <c:order val="2"/>
          <c:tx>
            <c:strRef>
              <c:f>'3章_7災害・意見'!E75</c:f>
              <c:strCache>
                <c:ptCount val="1"/>
                <c:pt idx="0">
                  <c:v>精神障がい（n=44）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'3章_7災害・意見'!$B$76:$B$87</c:f>
              <c:strCache>
                <c:ptCount val="12"/>
                <c:pt idx="0">
                  <c:v>投薬や治療が受けられない</c:v>
                </c:pt>
                <c:pt idx="1">
                  <c:v>避難場所の設備（トイレ等）や生活環境が不安</c:v>
                </c:pt>
                <c:pt idx="2">
                  <c:v>安全なところまで、迅速に避難することができない</c:v>
                </c:pt>
                <c:pt idx="3">
                  <c:v>救助を求めることができない</c:v>
                </c:pt>
                <c:pt idx="4">
                  <c:v>周囲とのコミュニケーションがとれない</c:v>
                </c:pt>
                <c:pt idx="5">
                  <c:v>被害状況、避難場所などの情報が入手できない</c:v>
                </c:pt>
                <c:pt idx="6">
                  <c:v>医療機器の電源確保</c:v>
                </c:pt>
                <c:pt idx="7">
                  <c:v>補装具や日常生活用具の入手ができなくなる</c:v>
                </c:pt>
                <c:pt idx="8">
                  <c:v>補装具の使用が困難になる</c:v>
                </c:pt>
                <c:pt idx="9">
                  <c:v>その他</c:v>
                </c:pt>
                <c:pt idx="10">
                  <c:v>特にない</c:v>
                </c:pt>
                <c:pt idx="11">
                  <c:v>無回答</c:v>
                </c:pt>
              </c:strCache>
            </c:strRef>
          </c:cat>
          <c:val>
            <c:numRef>
              <c:f>'3章_7災害・意見'!$E$76:$E$87</c:f>
              <c:numCache>
                <c:formatCode>0.0%</c:formatCode>
                <c:ptCount val="12"/>
                <c:pt idx="0">
                  <c:v>0.47727272727272702</c:v>
                </c:pt>
                <c:pt idx="1">
                  <c:v>0.45454545454545497</c:v>
                </c:pt>
                <c:pt idx="2">
                  <c:v>0.31818181818181801</c:v>
                </c:pt>
                <c:pt idx="3">
                  <c:v>0.22727272727272699</c:v>
                </c:pt>
                <c:pt idx="4">
                  <c:v>0.36363636363636398</c:v>
                </c:pt>
                <c:pt idx="5">
                  <c:v>0.18181818181818199</c:v>
                </c:pt>
                <c:pt idx="6">
                  <c:v>6.8181818181818205E-2</c:v>
                </c:pt>
                <c:pt idx="7">
                  <c:v>9.0909090909090898E-2</c:v>
                </c:pt>
                <c:pt idx="8">
                  <c:v>0.11363636363636399</c:v>
                </c:pt>
                <c:pt idx="9">
                  <c:v>4.5454545454545497E-2</c:v>
                </c:pt>
                <c:pt idx="10">
                  <c:v>6.8181818181818205E-2</c:v>
                </c:pt>
                <c:pt idx="11">
                  <c:v>0.13636363636363599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3F1-4013-929C-59406C97F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'3章_7災害・意見'!$B$114</c:f>
              <c:strCache>
                <c:ptCount val="1"/>
                <c:pt idx="0">
                  <c:v>希望する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'3章_7災害・意見'!$D$114</c:f>
              <c:numCache>
                <c:formatCode>0.0%</c:formatCode>
                <c:ptCount val="1"/>
                <c:pt idx="0">
                  <c:v>0.27799227799227799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A9-44BF-8338-0D728F122C6F}"/>
            </c:ext>
          </c:extLst>
        </c:ser>
        <c:ser>
          <c:idx val="1"/>
          <c:order val="1"/>
          <c:tx>
            <c:strRef>
              <c:f>'3章_7災害・意見'!$B$115</c:f>
              <c:strCache>
                <c:ptCount val="1"/>
                <c:pt idx="0">
                  <c:v>希望しない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'3章_7災害・意見'!$D$115</c:f>
              <c:numCache>
                <c:formatCode>0.0%</c:formatCode>
                <c:ptCount val="1"/>
                <c:pt idx="0">
                  <c:v>0.61003861003861004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A9-44BF-8338-0D728F122C6F}"/>
            </c:ext>
          </c:extLst>
        </c:ser>
        <c:ser>
          <c:idx val="2"/>
          <c:order val="2"/>
          <c:tx>
            <c:strRef>
              <c:f>'3章_7災害・意見'!$B$116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'3章_7災害・意見'!$D$116</c:f>
              <c:numCache>
                <c:formatCode>0.0%</c:formatCode>
                <c:ptCount val="1"/>
                <c:pt idx="0">
                  <c:v>0.111969111969112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2A9-44BF-8338-0D728F12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'3章_7災害・意見'!C125</c:f>
              <c:strCache>
                <c:ptCount val="1"/>
                <c:pt idx="0">
                  <c:v>希望する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'3章_7災害・意見'!$C$126:$C$129</c:f>
              <c:numCache>
                <c:formatCode>0.0%</c:formatCode>
                <c:ptCount val="4"/>
                <c:pt idx="0">
                  <c:v>0.27799227799227799</c:v>
                </c:pt>
                <c:pt idx="1">
                  <c:v>0.27461139896373099</c:v>
                </c:pt>
                <c:pt idx="2">
                  <c:v>0.30303030303030298</c:v>
                </c:pt>
                <c:pt idx="3">
                  <c:v>0.31818181818181801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C6-444B-AD43-C28E47755939}"/>
            </c:ext>
          </c:extLst>
        </c:ser>
        <c:ser>
          <c:idx val="1"/>
          <c:order val="1"/>
          <c:tx>
            <c:strRef>
              <c:f>'3章_7災害・意見'!D125</c:f>
              <c:strCache>
                <c:ptCount val="1"/>
                <c:pt idx="0">
                  <c:v>希望しない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'3章_7災害・意見'!$D$126:$D$129</c:f>
              <c:numCache>
                <c:formatCode>0.0%</c:formatCode>
                <c:ptCount val="4"/>
                <c:pt idx="0">
                  <c:v>0.61003861003861004</c:v>
                </c:pt>
                <c:pt idx="1">
                  <c:v>0.62176165803108796</c:v>
                </c:pt>
                <c:pt idx="2">
                  <c:v>0.54545454545454497</c:v>
                </c:pt>
                <c:pt idx="3">
                  <c:v>0.59090909090909105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2C6-444B-AD43-C28E47755939}"/>
            </c:ext>
          </c:extLst>
        </c:ser>
        <c:ser>
          <c:idx val="2"/>
          <c:order val="2"/>
          <c:tx>
            <c:strRef>
              <c:f>'3章_7災害・意見'!E125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'3章_7災害・意見'!$B$126:$B$129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'3章_7災害・意見'!$E$126:$E$129</c:f>
              <c:numCache>
                <c:formatCode>0.0%</c:formatCode>
                <c:ptCount val="4"/>
                <c:pt idx="0">
                  <c:v>0.111969111969112</c:v>
                </c:pt>
                <c:pt idx="1">
                  <c:v>0.10362694300518099</c:v>
                </c:pt>
                <c:pt idx="2">
                  <c:v>0.15151515151515199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2C6-444B-AD43-C28E4775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'3章_7災害・意見'!$B$141</c:f>
              <c:strCache>
                <c:ptCount val="1"/>
                <c:pt idx="0">
                  <c:v>希望する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'3章_7災害・意見'!$D$141</c:f>
              <c:numCache>
                <c:formatCode>0.0%</c:formatCode>
                <c:ptCount val="1"/>
                <c:pt idx="0">
                  <c:v>0.25482625482625498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D9-4F36-BEE8-AD86E7EFC155}"/>
            </c:ext>
          </c:extLst>
        </c:ser>
        <c:ser>
          <c:idx val="1"/>
          <c:order val="1"/>
          <c:tx>
            <c:strRef>
              <c:f>'3章_7災害・意見'!$B$142</c:f>
              <c:strCache>
                <c:ptCount val="1"/>
                <c:pt idx="0">
                  <c:v>希望しない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'3章_7災害・意見'!$D$142</c:f>
              <c:numCache>
                <c:formatCode>0.0%</c:formatCode>
                <c:ptCount val="1"/>
                <c:pt idx="0">
                  <c:v>0.62548262548262601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D9-4F36-BEE8-AD86E7EFC155}"/>
            </c:ext>
          </c:extLst>
        </c:ser>
        <c:ser>
          <c:idx val="2"/>
          <c:order val="2"/>
          <c:tx>
            <c:strRef>
              <c:f>'3章_7災害・意見'!$B$143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'3章_7災害・意見'!$D$143</c:f>
              <c:numCache>
                <c:formatCode>0.0%</c:formatCode>
                <c:ptCount val="1"/>
                <c:pt idx="0">
                  <c:v>0.11969111969111999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9D9-4F36-BEE8-AD86E7EFC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'3章_7災害・意見'!C152</c:f>
              <c:strCache>
                <c:ptCount val="1"/>
                <c:pt idx="0">
                  <c:v>希望する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'3章_7災害・意見'!$B$153:$B$156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'3章_7災害・意見'!$C$153:$C$156</c:f>
              <c:numCache>
                <c:formatCode>0.0%</c:formatCode>
                <c:ptCount val="4"/>
                <c:pt idx="0">
                  <c:v>0.25482625482625498</c:v>
                </c:pt>
                <c:pt idx="1">
                  <c:v>0.24870466321243501</c:v>
                </c:pt>
                <c:pt idx="2">
                  <c:v>0.21212121212121199</c:v>
                </c:pt>
                <c:pt idx="3">
                  <c:v>0.29545454545454503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60-438E-BEFD-D4FF44AF2E31}"/>
            </c:ext>
          </c:extLst>
        </c:ser>
        <c:ser>
          <c:idx val="1"/>
          <c:order val="1"/>
          <c:tx>
            <c:strRef>
              <c:f>'3章_7災害・意見'!D152</c:f>
              <c:strCache>
                <c:ptCount val="1"/>
                <c:pt idx="0">
                  <c:v>希望しない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'3章_7災害・意見'!$B$153:$B$156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'3章_7災害・意見'!$D$153:$D$156</c:f>
              <c:numCache>
                <c:formatCode>0.0%</c:formatCode>
                <c:ptCount val="4"/>
                <c:pt idx="0">
                  <c:v>0.62548262548262601</c:v>
                </c:pt>
                <c:pt idx="1">
                  <c:v>0.63212435233160602</c:v>
                </c:pt>
                <c:pt idx="2">
                  <c:v>0.60606060606060597</c:v>
                </c:pt>
                <c:pt idx="3">
                  <c:v>0.61363636363636398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60-438E-BEFD-D4FF44AF2E31}"/>
            </c:ext>
          </c:extLst>
        </c:ser>
        <c:ser>
          <c:idx val="2"/>
          <c:order val="2"/>
          <c:tx>
            <c:strRef>
              <c:f>'3章_7災害・意見'!E152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'3章_7災害・意見'!$B$153:$B$156</c:f>
              <c:strCache>
                <c:ptCount val="4"/>
                <c:pt idx="0">
                  <c:v>全体</c:v>
                </c:pt>
                <c:pt idx="1">
                  <c:v>身体障がい（n=193）</c:v>
                </c:pt>
                <c:pt idx="2">
                  <c:v>知的障がい（n=33）</c:v>
                </c:pt>
                <c:pt idx="3">
                  <c:v>精神障がい（n=44）</c:v>
                </c:pt>
              </c:strCache>
            </c:strRef>
          </c:cat>
          <c:val>
            <c:numRef>
              <c:f>'3章_7災害・意見'!$E$153:$E$156</c:f>
              <c:numCache>
                <c:formatCode>0.0%</c:formatCode>
                <c:ptCount val="4"/>
                <c:pt idx="0">
                  <c:v>0.11969111969111999</c:v>
                </c:pt>
                <c:pt idx="1">
                  <c:v>0.119170984455959</c:v>
                </c:pt>
                <c:pt idx="2">
                  <c:v>0.18181818181818199</c:v>
                </c:pt>
                <c:pt idx="3">
                  <c:v>9.0909090909090898E-2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D60-438E-BEFD-D4FF44AF2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'4章_クロス集計'!C25</c:f>
              <c:strCache>
                <c:ptCount val="1"/>
                <c:pt idx="0">
                  <c:v>家族と一緒に生活したい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'4章_クロス集計'!$B$26:$B$30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'4章_クロス集計'!$C$26:$C$30</c:f>
              <c:numCache>
                <c:formatCode>0.0%</c:formatCode>
                <c:ptCount val="5"/>
                <c:pt idx="0">
                  <c:v>0.66666666666666696</c:v>
                </c:pt>
                <c:pt idx="1">
                  <c:v>0.5</c:v>
                </c:pt>
                <c:pt idx="2">
                  <c:v>0.625</c:v>
                </c:pt>
                <c:pt idx="3">
                  <c:v>0.5</c:v>
                </c:pt>
                <c:pt idx="4">
                  <c:v>0.61581920903954801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1A-4E84-A4C4-00225BDBC698}"/>
            </c:ext>
          </c:extLst>
        </c:ser>
        <c:ser>
          <c:idx val="1"/>
          <c:order val="1"/>
          <c:tx>
            <c:strRef>
              <c:f>'4章_クロス集計'!D25</c:f>
              <c:strCache>
                <c:ptCount val="1"/>
                <c:pt idx="0">
                  <c:v>一般の住宅でひとり暮らしをしたい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'4章_クロス集計'!$B$26:$B$30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'4章_クロス集計'!$D$26:$D$30</c:f>
              <c:numCache>
                <c:formatCode>0.0%</c:formatCode>
                <c:ptCount val="5"/>
                <c:pt idx="0">
                  <c:v>0.16666666666666699</c:v>
                </c:pt>
                <c:pt idx="1">
                  <c:v>0.33333333333333298</c:v>
                </c:pt>
                <c:pt idx="2">
                  <c:v>6.25E-2</c:v>
                </c:pt>
                <c:pt idx="3">
                  <c:v>9.375E-2</c:v>
                </c:pt>
                <c:pt idx="4">
                  <c:v>7.3446327683615795E-2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11A-4E84-A4C4-00225BDBC698}"/>
            </c:ext>
          </c:extLst>
        </c:ser>
        <c:ser>
          <c:idx val="2"/>
          <c:order val="2"/>
          <c:tx>
            <c:strRef>
              <c:f>'4章_クロス集計'!E25</c:f>
              <c:strCache>
                <c:ptCount val="1"/>
                <c:pt idx="0">
                  <c:v>グループホームなどを利用したい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'4章_クロス集計'!$B$26:$B$30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'4章_クロス集計'!$E$26:$E$30</c:f>
              <c:numCache>
                <c:formatCode>0.0%</c:formatCode>
                <c:ptCount val="5"/>
                <c:pt idx="0">
                  <c:v>0.16666666666666699</c:v>
                </c:pt>
                <c:pt idx="1">
                  <c:v>0.16666666666666699</c:v>
                </c:pt>
                <c:pt idx="2">
                  <c:v>6.25E-2</c:v>
                </c:pt>
                <c:pt idx="3">
                  <c:v>9.375E-2</c:v>
                </c:pt>
                <c:pt idx="4">
                  <c:v>5.0847457627118703E-2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11A-4E84-A4C4-00225BDBC698}"/>
            </c:ext>
          </c:extLst>
        </c:ser>
        <c:ser>
          <c:idx val="3"/>
          <c:order val="3"/>
          <c:tx>
            <c:strRef>
              <c:f>'4章_クロス集計'!F25</c:f>
              <c:strCache>
                <c:ptCount val="1"/>
                <c:pt idx="0">
                  <c:v>福祉施設で暮らしたい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'4章_クロス集計'!$B$26:$B$30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'4章_クロス集計'!$F$26:$F$30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6.25E-2</c:v>
                </c:pt>
                <c:pt idx="4">
                  <c:v>0.18079096045197701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11A-4E84-A4C4-00225BDBC698}"/>
            </c:ext>
          </c:extLst>
        </c:ser>
        <c:ser>
          <c:idx val="4"/>
          <c:order val="4"/>
          <c:tx>
            <c:strRef>
              <c:f>'4章_クロス集計'!G25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'4章_クロス集計'!$B$26:$B$30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'4章_クロス集計'!$G$26:$G$30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9.375E-2</c:v>
                </c:pt>
                <c:pt idx="4">
                  <c:v>2.2598870056497199E-2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11A-4E84-A4C4-00225BDBC698}"/>
            </c:ext>
          </c:extLst>
        </c:ser>
        <c:ser>
          <c:idx val="5"/>
          <c:order val="5"/>
          <c:tx>
            <c:strRef>
              <c:f>'4章_クロス集計'!H25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'4章_クロス集計'!$B$26:$B$30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'4章_クロス集計'!$H$26:$H$30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0.15625</c:v>
                </c:pt>
                <c:pt idx="4">
                  <c:v>5.6497175141242903E-2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11A-4E84-A4C4-00225BDBC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'4章_クロス集計'!C61</c:f>
              <c:strCache>
                <c:ptCount val="1"/>
                <c:pt idx="0">
                  <c:v>家族と一緒に生活したい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'4章_クロス集計'!$B$62:$B$67</c:f>
              <c:strCache>
                <c:ptCount val="6"/>
                <c:pt idx="0">
                  <c:v>自宅（アパート・町営住宅等も含む）でひとり暮らし</c:v>
                </c:pt>
                <c:pt idx="1">
                  <c:v>自宅（アパート・町営住宅等も含む）で家族等と一緒に住んでいる</c:v>
                </c:pt>
                <c:pt idx="2">
                  <c:v>グループホームで暮らしている</c:v>
                </c:pt>
                <c:pt idx="3">
                  <c:v>福祉施設（障がい者支援施設、高齢者支援施設）で暮らしている</c:v>
                </c:pt>
                <c:pt idx="4">
                  <c:v>病院に入院している</c:v>
                </c:pt>
                <c:pt idx="5">
                  <c:v>その他</c:v>
                </c:pt>
              </c:strCache>
            </c:strRef>
          </c:cat>
          <c:val>
            <c:numRef>
              <c:f>'4章_クロス集計'!$C$62:$C$67</c:f>
              <c:numCache>
                <c:formatCode>0.0%</c:formatCode>
                <c:ptCount val="6"/>
                <c:pt idx="0">
                  <c:v>0.292682926829268</c:v>
                </c:pt>
                <c:pt idx="1">
                  <c:v>0.781065088757396</c:v>
                </c:pt>
                <c:pt idx="2">
                  <c:v>0.18181818181818199</c:v>
                </c:pt>
                <c:pt idx="3">
                  <c:v>0.125</c:v>
                </c:pt>
                <c:pt idx="4">
                  <c:v>0.5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7F-428C-A542-0853DA09B7C2}"/>
            </c:ext>
          </c:extLst>
        </c:ser>
        <c:ser>
          <c:idx val="1"/>
          <c:order val="1"/>
          <c:tx>
            <c:strRef>
              <c:f>'4章_クロス集計'!D61</c:f>
              <c:strCache>
                <c:ptCount val="1"/>
                <c:pt idx="0">
                  <c:v>一般の住宅でひとり暮らしをしたい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'4章_クロス集計'!$B$62:$B$67</c:f>
              <c:strCache>
                <c:ptCount val="6"/>
                <c:pt idx="0">
                  <c:v>自宅（アパート・町営住宅等も含む）でひとり暮らし</c:v>
                </c:pt>
                <c:pt idx="1">
                  <c:v>自宅（アパート・町営住宅等も含む）で家族等と一緒に住んでいる</c:v>
                </c:pt>
                <c:pt idx="2">
                  <c:v>グループホームで暮らしている</c:v>
                </c:pt>
                <c:pt idx="3">
                  <c:v>福祉施設（障がい者支援施設、高齢者支援施設）で暮らしている</c:v>
                </c:pt>
                <c:pt idx="4">
                  <c:v>病院に入院している</c:v>
                </c:pt>
                <c:pt idx="5">
                  <c:v>その他</c:v>
                </c:pt>
              </c:strCache>
            </c:strRef>
          </c:cat>
          <c:val>
            <c:numRef>
              <c:f>'4章_クロス集計'!$D$62:$D$67</c:f>
              <c:numCache>
                <c:formatCode>0.0%</c:formatCode>
                <c:ptCount val="6"/>
                <c:pt idx="0">
                  <c:v>0.24390243902438999</c:v>
                </c:pt>
                <c:pt idx="1">
                  <c:v>6.5088757396449703E-2</c:v>
                </c:pt>
                <c:pt idx="2">
                  <c:v>9.0909090909090898E-2</c:v>
                </c:pt>
                <c:pt idx="3">
                  <c:v>4.1666666666666699E-2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37F-428C-A542-0853DA09B7C2}"/>
            </c:ext>
          </c:extLst>
        </c:ser>
        <c:ser>
          <c:idx val="2"/>
          <c:order val="2"/>
          <c:tx>
            <c:strRef>
              <c:f>'4章_クロス集計'!E61</c:f>
              <c:strCache>
                <c:ptCount val="1"/>
                <c:pt idx="0">
                  <c:v>グループホームなどを利用したい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'4章_クロス集計'!$B$62:$B$67</c:f>
              <c:strCache>
                <c:ptCount val="6"/>
                <c:pt idx="0">
                  <c:v>自宅（アパート・町営住宅等も含む）でひとり暮らし</c:v>
                </c:pt>
                <c:pt idx="1">
                  <c:v>自宅（アパート・町営住宅等も含む）で家族等と一緒に住んでいる</c:v>
                </c:pt>
                <c:pt idx="2">
                  <c:v>グループホームで暮らしている</c:v>
                </c:pt>
                <c:pt idx="3">
                  <c:v>福祉施設（障がい者支援施設、高齢者支援施設）で暮らしている</c:v>
                </c:pt>
                <c:pt idx="4">
                  <c:v>病院に入院している</c:v>
                </c:pt>
                <c:pt idx="5">
                  <c:v>その他</c:v>
                </c:pt>
              </c:strCache>
            </c:strRef>
          </c:cat>
          <c:val>
            <c:numRef>
              <c:f>'4章_クロス集計'!$E$62:$E$67</c:f>
              <c:numCache>
                <c:formatCode>0.0%</c:formatCode>
                <c:ptCount val="6"/>
                <c:pt idx="0">
                  <c:v>0.12195121951219499</c:v>
                </c:pt>
                <c:pt idx="1">
                  <c:v>2.9585798816568001E-2</c:v>
                </c:pt>
                <c:pt idx="2">
                  <c:v>0.45454545454545497</c:v>
                </c:pt>
                <c:pt idx="3">
                  <c:v>4.1666666666666699E-2</c:v>
                </c:pt>
                <c:pt idx="4">
                  <c:v>0.16666666666666699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37F-428C-A542-0853DA09B7C2}"/>
            </c:ext>
          </c:extLst>
        </c:ser>
        <c:ser>
          <c:idx val="3"/>
          <c:order val="3"/>
          <c:tx>
            <c:strRef>
              <c:f>'4章_クロス集計'!F61</c:f>
              <c:strCache>
                <c:ptCount val="1"/>
                <c:pt idx="0">
                  <c:v>福祉施設で暮らしたい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'4章_クロス集計'!$B$62:$B$67</c:f>
              <c:strCache>
                <c:ptCount val="6"/>
                <c:pt idx="0">
                  <c:v>自宅（アパート・町営住宅等も含む）でひとり暮らし</c:v>
                </c:pt>
                <c:pt idx="1">
                  <c:v>自宅（アパート・町営住宅等も含む）で家族等と一緒に住んでいる</c:v>
                </c:pt>
                <c:pt idx="2">
                  <c:v>グループホームで暮らしている</c:v>
                </c:pt>
                <c:pt idx="3">
                  <c:v>福祉施設（障がい者支援施設、高齢者支援施設）で暮らしている</c:v>
                </c:pt>
                <c:pt idx="4">
                  <c:v>病院に入院している</c:v>
                </c:pt>
                <c:pt idx="5">
                  <c:v>その他</c:v>
                </c:pt>
              </c:strCache>
            </c:strRef>
          </c:cat>
          <c:val>
            <c:numRef>
              <c:f>'4章_クロス集計'!$F$62:$F$67</c:f>
              <c:numCache>
                <c:formatCode>0.0%</c:formatCode>
                <c:ptCount val="6"/>
                <c:pt idx="0">
                  <c:v>0.19512195121951201</c:v>
                </c:pt>
                <c:pt idx="1">
                  <c:v>5.32544378698225E-2</c:v>
                </c:pt>
                <c:pt idx="2">
                  <c:v>9.0909090909090898E-2</c:v>
                </c:pt>
                <c:pt idx="3">
                  <c:v>0.66666666666666696</c:v>
                </c:pt>
                <c:pt idx="4">
                  <c:v>0.33333333333333298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37F-428C-A542-0853DA09B7C2}"/>
            </c:ext>
          </c:extLst>
        </c:ser>
        <c:ser>
          <c:idx val="4"/>
          <c:order val="4"/>
          <c:tx>
            <c:strRef>
              <c:f>'4章_クロス集計'!G61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'4章_クロス集計'!$B$62:$B$67</c:f>
              <c:strCache>
                <c:ptCount val="6"/>
                <c:pt idx="0">
                  <c:v>自宅（アパート・町営住宅等も含む）でひとり暮らし</c:v>
                </c:pt>
                <c:pt idx="1">
                  <c:v>自宅（アパート・町営住宅等も含む）で家族等と一緒に住んでいる</c:v>
                </c:pt>
                <c:pt idx="2">
                  <c:v>グループホームで暮らしている</c:v>
                </c:pt>
                <c:pt idx="3">
                  <c:v>福祉施設（障がい者支援施設、高齢者支援施設）で暮らしている</c:v>
                </c:pt>
                <c:pt idx="4">
                  <c:v>病院に入院している</c:v>
                </c:pt>
                <c:pt idx="5">
                  <c:v>その他</c:v>
                </c:pt>
              </c:strCache>
            </c:strRef>
          </c:cat>
          <c:val>
            <c:numRef>
              <c:f>'4章_クロス集計'!$G$62:$G$67</c:f>
              <c:numCache>
                <c:formatCode>0.0%</c:formatCode>
                <c:ptCount val="6"/>
                <c:pt idx="0">
                  <c:v>7.3170731707317097E-2</c:v>
                </c:pt>
                <c:pt idx="1">
                  <c:v>2.9585798816568001E-2</c:v>
                </c:pt>
                <c:pt idx="2">
                  <c:v>0</c:v>
                </c:pt>
                <c:pt idx="3">
                  <c:v>4.1666666666666699E-2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37F-428C-A542-0853DA09B7C2}"/>
            </c:ext>
          </c:extLst>
        </c:ser>
        <c:ser>
          <c:idx val="5"/>
          <c:order val="5"/>
          <c:tx>
            <c:strRef>
              <c:f>'4章_クロス集計'!H61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'4章_クロス集計'!$B$62:$B$67</c:f>
              <c:strCache>
                <c:ptCount val="6"/>
                <c:pt idx="0">
                  <c:v>自宅（アパート・町営住宅等も含む）でひとり暮らし</c:v>
                </c:pt>
                <c:pt idx="1">
                  <c:v>自宅（アパート・町営住宅等も含む）で家族等と一緒に住んでいる</c:v>
                </c:pt>
                <c:pt idx="2">
                  <c:v>グループホームで暮らしている</c:v>
                </c:pt>
                <c:pt idx="3">
                  <c:v>福祉施設（障がい者支援施設、高齢者支援施設）で暮らしている</c:v>
                </c:pt>
                <c:pt idx="4">
                  <c:v>病院に入院している</c:v>
                </c:pt>
                <c:pt idx="5">
                  <c:v>その他</c:v>
                </c:pt>
              </c:strCache>
            </c:strRef>
          </c:cat>
          <c:val>
            <c:numRef>
              <c:f>'4章_クロス集計'!$H$62:$H$67</c:f>
              <c:numCache>
                <c:formatCode>0.0%</c:formatCode>
                <c:ptCount val="6"/>
                <c:pt idx="0">
                  <c:v>7.3170731707317097E-2</c:v>
                </c:pt>
                <c:pt idx="1">
                  <c:v>4.1420118343195297E-2</c:v>
                </c:pt>
                <c:pt idx="2">
                  <c:v>0.18181818181818199</c:v>
                </c:pt>
                <c:pt idx="3">
                  <c:v>8.3333333333333301E-2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37F-428C-A542-0853DA09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'4章_クロス集計'!C92</c:f>
              <c:strCache>
                <c:ptCount val="1"/>
                <c:pt idx="0">
                  <c:v>できる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'4章_クロス集計'!$B$93:$B$97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'4章_クロス集計'!$C$93:$C$97</c:f>
              <c:numCache>
                <c:formatCode>0.0%</c:formatCode>
                <c:ptCount val="5"/>
                <c:pt idx="0">
                  <c:v>0.41666666666666702</c:v>
                </c:pt>
                <c:pt idx="1">
                  <c:v>0.5</c:v>
                </c:pt>
                <c:pt idx="2">
                  <c:v>0.3125</c:v>
                </c:pt>
                <c:pt idx="3">
                  <c:v>0.34375</c:v>
                </c:pt>
                <c:pt idx="4">
                  <c:v>0.39548022598870097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4E-4E57-82F0-E8EA3E3B87AC}"/>
            </c:ext>
          </c:extLst>
        </c:ser>
        <c:ser>
          <c:idx val="1"/>
          <c:order val="1"/>
          <c:tx>
            <c:strRef>
              <c:f>'4章_クロス集計'!D92</c:f>
              <c:strCache>
                <c:ptCount val="1"/>
                <c:pt idx="0">
                  <c:v>できない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'4章_クロス集計'!$B$93:$B$97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'4章_クロス集計'!$D$93:$D$97</c:f>
              <c:numCache>
                <c:formatCode>0.0%</c:formatCode>
                <c:ptCount val="5"/>
                <c:pt idx="0">
                  <c:v>0.25</c:v>
                </c:pt>
                <c:pt idx="1">
                  <c:v>0.16666666666666699</c:v>
                </c:pt>
                <c:pt idx="2">
                  <c:v>0.375</c:v>
                </c:pt>
                <c:pt idx="3">
                  <c:v>0.125</c:v>
                </c:pt>
                <c:pt idx="4">
                  <c:v>0.41242937853107298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A4E-4E57-82F0-E8EA3E3B87AC}"/>
            </c:ext>
          </c:extLst>
        </c:ser>
        <c:ser>
          <c:idx val="2"/>
          <c:order val="2"/>
          <c:tx>
            <c:strRef>
              <c:f>'4章_クロス集計'!E92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'4章_クロス集計'!$B$93:$B$97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'4章_クロス集計'!$E$93:$E$97</c:f>
              <c:numCache>
                <c:formatCode>0.0%</c:formatCode>
                <c:ptCount val="5"/>
                <c:pt idx="0">
                  <c:v>0.33333333333333298</c:v>
                </c:pt>
                <c:pt idx="1">
                  <c:v>0.33333333333333298</c:v>
                </c:pt>
                <c:pt idx="2">
                  <c:v>0.3125</c:v>
                </c:pt>
                <c:pt idx="3">
                  <c:v>0.40625</c:v>
                </c:pt>
                <c:pt idx="4">
                  <c:v>0.14124293785310699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A4E-4E57-82F0-E8EA3E3B87AC}"/>
            </c:ext>
          </c:extLst>
        </c:ser>
        <c:ser>
          <c:idx val="3"/>
          <c:order val="3"/>
          <c:tx>
            <c:strRef>
              <c:f>'4章_クロス集計'!F92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'4章_クロス集計'!$B$93:$B$97</c:f>
              <c:strCache>
                <c:ptCount val="5"/>
                <c:pt idx="0">
                  <c:v>18～29歳</c:v>
                </c:pt>
                <c:pt idx="1">
                  <c:v>30～39歳</c:v>
                </c:pt>
                <c:pt idx="2">
                  <c:v>40～49歳</c:v>
                </c:pt>
                <c:pt idx="3">
                  <c:v>50～64歳</c:v>
                </c:pt>
                <c:pt idx="4">
                  <c:v>65歳以上</c:v>
                </c:pt>
              </c:strCache>
            </c:strRef>
          </c:cat>
          <c:val>
            <c:numRef>
              <c:f>'4章_クロス集計'!$F$93:$F$97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0.125</c:v>
                </c:pt>
                <c:pt idx="4">
                  <c:v>5.0847457627118703E-2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A4E-4E57-82F0-E8EA3E3B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'4章_クロス集計'!C150</c:f>
              <c:strCache>
                <c:ptCount val="1"/>
                <c:pt idx="0">
                  <c:v>18～29歳（n=12）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'4章_クロス集計'!$B$151:$B$156</c:f>
              <c:strCache>
                <c:ptCount val="6"/>
                <c:pt idx="0">
                  <c:v>相談支援</c:v>
                </c:pt>
                <c:pt idx="1">
                  <c:v>居宅介護</c:v>
                </c:pt>
                <c:pt idx="2">
                  <c:v>生活介護</c:v>
                </c:pt>
                <c:pt idx="3">
                  <c:v>短期入所</c:v>
                </c:pt>
                <c:pt idx="4">
                  <c:v>施設入所</c:v>
                </c:pt>
                <c:pt idx="5">
                  <c:v>共同生活援助</c:v>
                </c:pt>
              </c:strCache>
            </c:strRef>
          </c:cat>
          <c:val>
            <c:numRef>
              <c:f>'4章_クロス集計'!$C$151:$C$156</c:f>
              <c:numCache>
                <c:formatCode>0.0%</c:formatCode>
                <c:ptCount val="6"/>
                <c:pt idx="0">
                  <c:v>0.41666666666666702</c:v>
                </c:pt>
                <c:pt idx="1">
                  <c:v>0.33333333333333298</c:v>
                </c:pt>
                <c:pt idx="2">
                  <c:v>0.16666666666666699</c:v>
                </c:pt>
                <c:pt idx="3">
                  <c:v>0.33333333333333298</c:v>
                </c:pt>
                <c:pt idx="4">
                  <c:v>0.16666666666666699</c:v>
                </c:pt>
                <c:pt idx="5">
                  <c:v>0.41666666666666702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CB-463E-8B3B-979728443FE6}"/>
            </c:ext>
          </c:extLst>
        </c:ser>
        <c:ser>
          <c:idx val="1"/>
          <c:order val="1"/>
          <c:tx>
            <c:strRef>
              <c:f>'4章_クロス集計'!D150</c:f>
              <c:strCache>
                <c:ptCount val="1"/>
                <c:pt idx="0">
                  <c:v>30～39歳（n=12）</c:v>
                </c:pt>
              </c:strCache>
            </c:strRef>
          </c:tx>
          <c:spPr>
            <a:solidFill>
              <a:srgbClr val="E07B3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'4章_クロス集計'!$B$151:$B$156</c:f>
              <c:strCache>
                <c:ptCount val="6"/>
                <c:pt idx="0">
                  <c:v>相談支援</c:v>
                </c:pt>
                <c:pt idx="1">
                  <c:v>居宅介護</c:v>
                </c:pt>
                <c:pt idx="2">
                  <c:v>生活介護</c:v>
                </c:pt>
                <c:pt idx="3">
                  <c:v>短期入所</c:v>
                </c:pt>
                <c:pt idx="4">
                  <c:v>施設入所</c:v>
                </c:pt>
                <c:pt idx="5">
                  <c:v>共同生活援助</c:v>
                </c:pt>
              </c:strCache>
            </c:strRef>
          </c:cat>
          <c:val>
            <c:numRef>
              <c:f>'4章_クロス集計'!$D$151:$D$156</c:f>
              <c:numCache>
                <c:formatCode>0.0%</c:formatCode>
                <c:ptCount val="6"/>
                <c:pt idx="0">
                  <c:v>0.33333333333333298</c:v>
                </c:pt>
                <c:pt idx="1">
                  <c:v>8.3333333333333301E-2</c:v>
                </c:pt>
                <c:pt idx="2">
                  <c:v>8.3333333333333301E-2</c:v>
                </c:pt>
                <c:pt idx="3">
                  <c:v>0.16666666666666699</c:v>
                </c:pt>
                <c:pt idx="4">
                  <c:v>8.3333333333333301E-2</c:v>
                </c:pt>
                <c:pt idx="5">
                  <c:v>0.33333333333333298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CB-463E-8B3B-979728443FE6}"/>
            </c:ext>
          </c:extLst>
        </c:ser>
        <c:ser>
          <c:idx val="2"/>
          <c:order val="2"/>
          <c:tx>
            <c:strRef>
              <c:f>'4章_クロス集計'!E150</c:f>
              <c:strCache>
                <c:ptCount val="1"/>
                <c:pt idx="0">
                  <c:v>40～49歳（n=16）</c:v>
                </c:pt>
              </c:strCache>
            </c:strRef>
          </c:tx>
          <c:spPr>
            <a:solidFill>
              <a:srgbClr val="4E9F6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'4章_クロス集計'!$B$151:$B$156</c:f>
              <c:strCache>
                <c:ptCount val="6"/>
                <c:pt idx="0">
                  <c:v>相談支援</c:v>
                </c:pt>
                <c:pt idx="1">
                  <c:v>居宅介護</c:v>
                </c:pt>
                <c:pt idx="2">
                  <c:v>生活介護</c:v>
                </c:pt>
                <c:pt idx="3">
                  <c:v>短期入所</c:v>
                </c:pt>
                <c:pt idx="4">
                  <c:v>施設入所</c:v>
                </c:pt>
                <c:pt idx="5">
                  <c:v>共同生活援助</c:v>
                </c:pt>
              </c:strCache>
            </c:strRef>
          </c:cat>
          <c:val>
            <c:numRef>
              <c:f>'4章_クロス集計'!$E$151:$E$156</c:f>
              <c:numCache>
                <c:formatCode>0.0%</c:formatCode>
                <c:ptCount val="6"/>
                <c:pt idx="0">
                  <c:v>0.5</c:v>
                </c:pt>
                <c:pt idx="1">
                  <c:v>0.25</c:v>
                </c:pt>
                <c:pt idx="2">
                  <c:v>0.1875</c:v>
                </c:pt>
                <c:pt idx="3">
                  <c:v>0.1875</c:v>
                </c:pt>
                <c:pt idx="4">
                  <c:v>0.125</c:v>
                </c:pt>
                <c:pt idx="5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7CB-463E-8B3B-979728443FE6}"/>
            </c:ext>
          </c:extLst>
        </c:ser>
        <c:ser>
          <c:idx val="3"/>
          <c:order val="3"/>
          <c:tx>
            <c:strRef>
              <c:f>'4章_クロス集計'!F150</c:f>
              <c:strCache>
                <c:ptCount val="1"/>
                <c:pt idx="0">
                  <c:v>50～64歳（n=32）</c:v>
                </c:pt>
              </c:strCache>
            </c:strRef>
          </c:tx>
          <c:spPr>
            <a:solidFill>
              <a:srgbClr val="8E6CB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'4章_クロス集計'!$B$151:$B$156</c:f>
              <c:strCache>
                <c:ptCount val="6"/>
                <c:pt idx="0">
                  <c:v>相談支援</c:v>
                </c:pt>
                <c:pt idx="1">
                  <c:v>居宅介護</c:v>
                </c:pt>
                <c:pt idx="2">
                  <c:v>生活介護</c:v>
                </c:pt>
                <c:pt idx="3">
                  <c:v>短期入所</c:v>
                </c:pt>
                <c:pt idx="4">
                  <c:v>施設入所</c:v>
                </c:pt>
                <c:pt idx="5">
                  <c:v>共同生活援助</c:v>
                </c:pt>
              </c:strCache>
            </c:strRef>
          </c:cat>
          <c:val>
            <c:numRef>
              <c:f>'4章_クロス集計'!$F$151:$F$156</c:f>
              <c:numCache>
                <c:formatCode>0.0%</c:formatCode>
                <c:ptCount val="6"/>
                <c:pt idx="0">
                  <c:v>0.40625</c:v>
                </c:pt>
                <c:pt idx="1">
                  <c:v>0.25</c:v>
                </c:pt>
                <c:pt idx="2">
                  <c:v>0.25</c:v>
                </c:pt>
                <c:pt idx="3">
                  <c:v>0.21875</c:v>
                </c:pt>
                <c:pt idx="4">
                  <c:v>0.15625</c:v>
                </c:pt>
                <c:pt idx="5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7CB-463E-8B3B-979728443FE6}"/>
            </c:ext>
          </c:extLst>
        </c:ser>
        <c:ser>
          <c:idx val="4"/>
          <c:order val="4"/>
          <c:tx>
            <c:strRef>
              <c:f>'4章_クロス集計'!G150</c:f>
              <c:strCache>
                <c:ptCount val="1"/>
                <c:pt idx="0">
                  <c:v>65歳以上（n=177）</c:v>
                </c:pt>
              </c:strCache>
            </c:strRef>
          </c:tx>
          <c:spPr>
            <a:solidFill>
              <a:srgbClr val="C9A227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'4章_クロス集計'!$B$151:$B$156</c:f>
              <c:strCache>
                <c:ptCount val="6"/>
                <c:pt idx="0">
                  <c:v>相談支援</c:v>
                </c:pt>
                <c:pt idx="1">
                  <c:v>居宅介護</c:v>
                </c:pt>
                <c:pt idx="2">
                  <c:v>生活介護</c:v>
                </c:pt>
                <c:pt idx="3">
                  <c:v>短期入所</c:v>
                </c:pt>
                <c:pt idx="4">
                  <c:v>施設入所</c:v>
                </c:pt>
                <c:pt idx="5">
                  <c:v>共同生活援助</c:v>
                </c:pt>
              </c:strCache>
            </c:strRef>
          </c:cat>
          <c:val>
            <c:numRef>
              <c:f>'4章_クロス集計'!$G$151:$G$156</c:f>
              <c:numCache>
                <c:formatCode>0.0%</c:formatCode>
                <c:ptCount val="6"/>
                <c:pt idx="0">
                  <c:v>0.28248587570621497</c:v>
                </c:pt>
                <c:pt idx="1">
                  <c:v>0.35028248587570598</c:v>
                </c:pt>
                <c:pt idx="2">
                  <c:v>0.322033898305085</c:v>
                </c:pt>
                <c:pt idx="3">
                  <c:v>0.27683615819209001</c:v>
                </c:pt>
                <c:pt idx="4">
                  <c:v>0.242937853107345</c:v>
                </c:pt>
                <c:pt idx="5">
                  <c:v>0.15819209039547999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7CB-463E-8B3B-97972844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28-4349-ABE4-5BB56685BA89}"/>
              </c:ext>
            </c:extLst>
          </c:dPt>
          <c:dPt>
            <c:idx val="6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28-4349-ABE4-5BB56685BA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'5章_障がい児'!$B$5:$B$11</c:f>
              <c:strCache>
                <c:ptCount val="7"/>
                <c:pt idx="0">
                  <c:v>ご本人が自分で記入</c:v>
                </c:pt>
                <c:pt idx="1">
                  <c:v>ご本人が回答し、家族の方が記入</c:v>
                </c:pt>
                <c:pt idx="2">
                  <c:v>家族の方が代理で回答・記入</c:v>
                </c:pt>
                <c:pt idx="3">
                  <c:v>ご本人が回答し、施設職員が記入</c:v>
                </c:pt>
                <c:pt idx="4">
                  <c:v>施設職員が代理で回答・記入</c:v>
                </c:pt>
                <c:pt idx="5">
                  <c:v>その他</c:v>
                </c:pt>
                <c:pt idx="6">
                  <c:v>無回答</c:v>
                </c:pt>
              </c:strCache>
            </c:strRef>
          </c:cat>
          <c:val>
            <c:numRef>
              <c:f>'5章_障がい児'!$D$5:$D$11</c:f>
              <c:numCache>
                <c:formatCode>0.0%</c:formatCode>
                <c:ptCount val="7"/>
                <c:pt idx="0">
                  <c:v>0.2</c:v>
                </c:pt>
                <c:pt idx="1">
                  <c:v>0.32</c:v>
                </c:pt>
                <c:pt idx="2">
                  <c:v>0.16</c:v>
                </c:pt>
                <c:pt idx="3">
                  <c:v>0.04</c:v>
                </c:pt>
                <c:pt idx="4">
                  <c:v>0.2</c:v>
                </c:pt>
                <c:pt idx="5">
                  <c:v>0.04</c:v>
                </c:pt>
                <c:pt idx="6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228-4349-ABE4-5BB56685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5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'5章_障がい児'!$B$18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'5章_障がい児'!$D$18</c:f>
              <c:numCache>
                <c:formatCode>0.0%</c:formatCode>
                <c:ptCount val="1"/>
                <c:pt idx="0">
                  <c:v>0.52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FB-445B-AB2B-09733F7A1442}"/>
            </c:ext>
          </c:extLst>
        </c:ser>
        <c:ser>
          <c:idx val="1"/>
          <c:order val="1"/>
          <c:tx>
            <c:strRef>
              <c:f>'5章_障がい児'!$B$19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'5章_障がい児'!$D$19</c:f>
              <c:numCache>
                <c:formatCode>0.0%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FB-445B-AB2B-09733F7A1442}"/>
            </c:ext>
          </c:extLst>
        </c:ser>
        <c:ser>
          <c:idx val="2"/>
          <c:order val="2"/>
          <c:tx>
            <c:strRef>
              <c:f>'5章_障がい児'!$B$20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'5章_障がい児'!$D$20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AFB-445B-AB2B-09733F7A1442}"/>
            </c:ext>
          </c:extLst>
        </c:ser>
        <c:ser>
          <c:idx val="3"/>
          <c:order val="3"/>
          <c:tx>
            <c:strRef>
              <c:f>'5章_障がい児'!$B$21</c:f>
              <c:strCache>
                <c:ptCount val="1"/>
                <c:pt idx="0">
                  <c:v>答えたくない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'5章_障がい児'!$D$21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AFB-445B-AB2B-09733F7A1442}"/>
            </c:ext>
          </c:extLst>
        </c:ser>
        <c:ser>
          <c:idx val="4"/>
          <c:order val="4"/>
          <c:tx>
            <c:strRef>
              <c:f>'5章_障がい児'!$B$22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'5章_障がい児'!$D$22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AFB-445B-AB2B-09733F7A1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'5章_障がい児'!$B$29</c:f>
              <c:strCache>
                <c:ptCount val="1"/>
                <c:pt idx="0">
                  <c:v>0～5歳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'5章_障がい児'!$D$29</c:f>
              <c:numCache>
                <c:formatCode>0.0%</c:formatCode>
                <c:ptCount val="1"/>
                <c:pt idx="0">
                  <c:v>0.12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8F-4097-BDA5-0ABC64AE7CC5}"/>
            </c:ext>
          </c:extLst>
        </c:ser>
        <c:ser>
          <c:idx val="1"/>
          <c:order val="1"/>
          <c:tx>
            <c:strRef>
              <c:f>'5章_障がい児'!$B$30</c:f>
              <c:strCache>
                <c:ptCount val="1"/>
                <c:pt idx="0">
                  <c:v>6～11歳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'5章_障がい児'!$D$30</c:f>
              <c:numCache>
                <c:formatCode>0.0%</c:formatCode>
                <c:ptCount val="1"/>
                <c:pt idx="0">
                  <c:v>0.24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8F-4097-BDA5-0ABC64AE7CC5}"/>
            </c:ext>
          </c:extLst>
        </c:ser>
        <c:ser>
          <c:idx val="2"/>
          <c:order val="2"/>
          <c:tx>
            <c:strRef>
              <c:f>'5章_障がい児'!$B$31</c:f>
              <c:strCache>
                <c:ptCount val="1"/>
                <c:pt idx="0">
                  <c:v>12～14歳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'5章_障がい児'!$D$31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28F-4097-BDA5-0ABC64AE7CC5}"/>
            </c:ext>
          </c:extLst>
        </c:ser>
        <c:ser>
          <c:idx val="3"/>
          <c:order val="3"/>
          <c:tx>
            <c:strRef>
              <c:f>'5章_障がい児'!$B$32</c:f>
              <c:strCache>
                <c:ptCount val="1"/>
                <c:pt idx="0">
                  <c:v>15～17歳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'5章_障がい児'!$D$32</c:f>
              <c:numCache>
                <c:formatCode>0.0%</c:formatCode>
                <c:ptCount val="1"/>
                <c:pt idx="0">
                  <c:v>0.16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28F-4097-BDA5-0ABC64AE7CC5}"/>
            </c:ext>
          </c:extLst>
        </c:ser>
        <c:ser>
          <c:idx val="4"/>
          <c:order val="4"/>
          <c:tx>
            <c:strRef>
              <c:f>'5章_障がい児'!$B$33</c:f>
              <c:strCache>
                <c:ptCount val="1"/>
                <c:pt idx="0">
                  <c:v>18歳以上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28F-4097-BDA5-0ABC64AE7CC5}"/>
            </c:ext>
          </c:extLst>
        </c:ser>
        <c:ser>
          <c:idx val="5"/>
          <c:order val="5"/>
          <c:tx>
            <c:strRef>
              <c:f>'5章_障がい児'!$B$34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'5章_障がい児'!$D$34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28F-4097-BDA5-0ABC64AE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A0-4F09-987B-D718253A4E4A}"/>
              </c:ext>
            </c:extLst>
          </c:dPt>
          <c:dPt>
            <c:idx val="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A0-4F09-987B-D718253A4E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'5章_障がい児'!$B$40:$B$45</c:f>
              <c:strCache>
                <c:ptCount val="6"/>
                <c:pt idx="0">
                  <c:v>家族と暮らしている</c:v>
                </c:pt>
                <c:pt idx="1">
                  <c:v>支援学校の寄宿舎で暮らしている</c:v>
                </c:pt>
                <c:pt idx="2">
                  <c:v>施設（障がい児入所施設）で暮らしている</c:v>
                </c:pt>
                <c:pt idx="3">
                  <c:v>病院に入院している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'5章_障がい児'!$D$40:$D$45</c:f>
              <c:numCache>
                <c:formatCode>0.0%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DA0-4F09-987B-D718253A4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B2-44FA-B003-74025E080144}"/>
              </c:ext>
            </c:extLst>
          </c:dPt>
          <c:dPt>
            <c:idx val="4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B2-44FA-B003-74025E0801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'5章_障がい児'!$B$52:$B$56</c:f>
              <c:strCache>
                <c:ptCount val="5"/>
                <c:pt idx="0">
                  <c:v>父母</c:v>
                </c:pt>
                <c:pt idx="1">
                  <c:v>兄弟姉妹</c:v>
                </c:pt>
                <c:pt idx="2">
                  <c:v>祖父母</c:v>
                </c:pt>
                <c:pt idx="3">
                  <c:v>その他</c:v>
                </c:pt>
                <c:pt idx="4">
                  <c:v>無回答</c:v>
                </c:pt>
              </c:strCache>
            </c:strRef>
          </c:cat>
          <c:val>
            <c:numRef>
              <c:f>'5章_障がい児'!$D$52:$D$56</c:f>
              <c:numCache>
                <c:formatCode>0.0%</c:formatCode>
                <c:ptCount val="5"/>
                <c:pt idx="0">
                  <c:v>1</c:v>
                </c:pt>
                <c:pt idx="1">
                  <c:v>0.8</c:v>
                </c:pt>
                <c:pt idx="2">
                  <c:v>0.44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EB2-44FA-B003-74025E080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'5章_障がい児'!C62</c:f>
              <c:strCache>
                <c:ptCount val="1"/>
                <c:pt idx="0">
                  <c:v>ひとりでできる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'5章_障がい児'!$B$63:$B$72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'5章_障がい児'!$C$63:$C$72</c:f>
              <c:numCache>
                <c:formatCode>0.0%</c:formatCode>
                <c:ptCount val="10"/>
                <c:pt idx="0">
                  <c:v>0.96</c:v>
                </c:pt>
                <c:pt idx="1">
                  <c:v>0.96</c:v>
                </c:pt>
                <c:pt idx="2">
                  <c:v>0.8</c:v>
                </c:pt>
                <c:pt idx="3">
                  <c:v>0.96</c:v>
                </c:pt>
                <c:pt idx="4">
                  <c:v>0.68</c:v>
                </c:pt>
                <c:pt idx="5">
                  <c:v>0.96</c:v>
                </c:pt>
                <c:pt idx="6">
                  <c:v>0.52</c:v>
                </c:pt>
                <c:pt idx="7">
                  <c:v>0.6</c:v>
                </c:pt>
                <c:pt idx="8">
                  <c:v>0.28000000000000003</c:v>
                </c:pt>
                <c:pt idx="9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53-4496-B055-FC607075A636}"/>
            </c:ext>
          </c:extLst>
        </c:ser>
        <c:ser>
          <c:idx val="1"/>
          <c:order val="1"/>
          <c:tx>
            <c:strRef>
              <c:f>'5章_障がい児'!D62</c:f>
              <c:strCache>
                <c:ptCount val="1"/>
                <c:pt idx="0">
                  <c:v>一部介助が必要</c:v>
                </c:pt>
              </c:strCache>
            </c:strRef>
          </c:tx>
          <c:spPr>
            <a:solidFill>
              <a:srgbClr val="8DB8E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'5章_障がい児'!$B$63:$B$72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'5章_障がい児'!$D$63:$D$72</c:f>
              <c:numCache>
                <c:formatCode>0.0%</c:formatCode>
                <c:ptCount val="10"/>
                <c:pt idx="0">
                  <c:v>0.04</c:v>
                </c:pt>
                <c:pt idx="1">
                  <c:v>0</c:v>
                </c:pt>
                <c:pt idx="2">
                  <c:v>0.08</c:v>
                </c:pt>
                <c:pt idx="3">
                  <c:v>0.04</c:v>
                </c:pt>
                <c:pt idx="4">
                  <c:v>0.32</c:v>
                </c:pt>
                <c:pt idx="5">
                  <c:v>0.04</c:v>
                </c:pt>
                <c:pt idx="6">
                  <c:v>0.44</c:v>
                </c:pt>
                <c:pt idx="7">
                  <c:v>0.4</c:v>
                </c:pt>
                <c:pt idx="8">
                  <c:v>0.52</c:v>
                </c:pt>
                <c:pt idx="9">
                  <c:v>0.56000000000000005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E53-4496-B055-FC607075A636}"/>
            </c:ext>
          </c:extLst>
        </c:ser>
        <c:ser>
          <c:idx val="2"/>
          <c:order val="2"/>
          <c:tx>
            <c:strRef>
              <c:f>'5章_障がい児'!E62</c:f>
              <c:strCache>
                <c:ptCount val="1"/>
                <c:pt idx="0">
                  <c:v>全部介助が必要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'5章_障がい児'!$B$63:$B$72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'5章_障がい児'!$E$63:$E$72</c:f>
              <c:numCache>
                <c:formatCode>0.0%</c:formatCode>
                <c:ptCount val="10"/>
                <c:pt idx="0">
                  <c:v>0</c:v>
                </c:pt>
                <c:pt idx="1">
                  <c:v>0.04</c:v>
                </c:pt>
                <c:pt idx="2">
                  <c:v>0.12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0.04</c:v>
                </c:pt>
                <c:pt idx="7">
                  <c:v>0</c:v>
                </c:pt>
                <c:pt idx="8">
                  <c:v>0.2</c:v>
                </c:pt>
                <c:pt idx="9">
                  <c:v>0.16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E53-4496-B055-FC607075A636}"/>
            </c:ext>
          </c:extLst>
        </c:ser>
        <c:ser>
          <c:idx val="3"/>
          <c:order val="3"/>
          <c:tx>
            <c:strRef>
              <c:f>'5章_障がい児'!F62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'5章_障がい児'!$B$63:$B$72</c:f>
              <c:strCache>
                <c:ptCount val="10"/>
                <c:pt idx="0">
                  <c:v>食事</c:v>
                </c:pt>
                <c:pt idx="1">
                  <c:v>トイレ</c:v>
                </c:pt>
                <c:pt idx="2">
                  <c:v>入浴</c:v>
                </c:pt>
                <c:pt idx="3">
                  <c:v>衣服の着脱</c:v>
                </c:pt>
                <c:pt idx="4">
                  <c:v>身だしなみ</c:v>
                </c:pt>
                <c:pt idx="5">
                  <c:v>家の中の移動</c:v>
                </c:pt>
                <c:pt idx="6">
                  <c:v>外出</c:v>
                </c:pt>
                <c:pt idx="7">
                  <c:v>意思疎通</c:v>
                </c:pt>
                <c:pt idx="8">
                  <c:v>お金の管理</c:v>
                </c:pt>
                <c:pt idx="9">
                  <c:v>薬の管理</c:v>
                </c:pt>
              </c:strCache>
            </c:strRef>
          </c:cat>
          <c:val>
            <c:numRef>
              <c:f>'5章_障がい児'!$F$63:$F$72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E53-4496-B055-FC607075A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57-4A7A-9B70-6B52639696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'5章_障がい児'!$B$87:$B$90</c:f>
              <c:strCache>
                <c:ptCount val="4"/>
                <c:pt idx="0">
                  <c:v>父母・祖父母・兄弟姉妹</c:v>
                </c:pt>
                <c:pt idx="1">
                  <c:v>ホームヘルパーや施設の職員</c:v>
                </c:pt>
                <c:pt idx="2">
                  <c:v>その他の人（ボランティア等）</c:v>
                </c:pt>
                <c:pt idx="3">
                  <c:v>無回答</c:v>
                </c:pt>
              </c:strCache>
            </c:strRef>
          </c:cat>
          <c:val>
            <c:numRef>
              <c:f>'5章_障がい児'!$D$87:$D$90</c:f>
              <c:numCache>
                <c:formatCode>0.0%</c:formatCode>
                <c:ptCount val="4"/>
                <c:pt idx="0">
                  <c:v>0.92</c:v>
                </c:pt>
                <c:pt idx="1">
                  <c:v>0</c:v>
                </c:pt>
                <c:pt idx="2">
                  <c:v>0</c:v>
                </c:pt>
                <c:pt idx="3">
                  <c:v>0.08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857-4A7A-9B70-6B5263969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'5章_障がい児'!$B$97</c:f>
              <c:strCache>
                <c:ptCount val="1"/>
                <c:pt idx="0">
                  <c:v>29歳以下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'5章_障がい児'!$D$97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16-4A41-9AC2-8B02F36B68FD}"/>
            </c:ext>
          </c:extLst>
        </c:ser>
        <c:ser>
          <c:idx val="1"/>
          <c:order val="1"/>
          <c:tx>
            <c:strRef>
              <c:f>'5章_障がい児'!$B$98</c:f>
              <c:strCache>
                <c:ptCount val="1"/>
                <c:pt idx="0">
                  <c:v>30～39歳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'5章_障がい児'!$D$98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16-4A41-9AC2-8B02F36B68FD}"/>
            </c:ext>
          </c:extLst>
        </c:ser>
        <c:ser>
          <c:idx val="2"/>
          <c:order val="2"/>
          <c:tx>
            <c:strRef>
              <c:f>'5章_障がい児'!$B$99</c:f>
              <c:strCache>
                <c:ptCount val="1"/>
                <c:pt idx="0">
                  <c:v>40～49歳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'5章_障がい児'!$D$99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316-4A41-9AC2-8B02F36B68FD}"/>
            </c:ext>
          </c:extLst>
        </c:ser>
        <c:ser>
          <c:idx val="3"/>
          <c:order val="3"/>
          <c:tx>
            <c:strRef>
              <c:f>'5章_障がい児'!$B$100</c:f>
              <c:strCache>
                <c:ptCount val="1"/>
                <c:pt idx="0">
                  <c:v>50～59歳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'5章_障がい児'!$D$100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316-4A41-9AC2-8B02F36B68FD}"/>
            </c:ext>
          </c:extLst>
        </c:ser>
        <c:ser>
          <c:idx val="4"/>
          <c:order val="4"/>
          <c:tx>
            <c:strRef>
              <c:f>'5章_障がい児'!$B$101</c:f>
              <c:strCache>
                <c:ptCount val="1"/>
                <c:pt idx="0">
                  <c:v>60歳以上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'5章_障がい児'!$D$101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316-4A41-9AC2-8B02F36B68FD}"/>
            </c:ext>
          </c:extLst>
        </c:ser>
        <c:ser>
          <c:idx val="5"/>
          <c:order val="5"/>
          <c:tx>
            <c:strRef>
              <c:f>'5章_障がい児'!$B$102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'5章_障がい児'!$D$102</c:f>
              <c:numCache>
                <c:formatCode>0.0%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C316-4A41-9AC2-8B02F36B6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'5章_障がい児'!$B$108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'5章_障がい児'!$D$108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CC-44D7-9FBB-B4915CCE11C6}"/>
            </c:ext>
          </c:extLst>
        </c:ser>
        <c:ser>
          <c:idx val="1"/>
          <c:order val="1"/>
          <c:tx>
            <c:strRef>
              <c:f>'5章_障がい児'!$B$109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'5章_障がい児'!$D$109</c:f>
              <c:numCache>
                <c:formatCode>0.0%</c:formatCode>
                <c:ptCount val="1"/>
                <c:pt idx="0">
                  <c:v>0.88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CC-44D7-9FBB-B4915CCE11C6}"/>
            </c:ext>
          </c:extLst>
        </c:ser>
        <c:ser>
          <c:idx val="2"/>
          <c:order val="2"/>
          <c:tx>
            <c:strRef>
              <c:f>'5章_障がい児'!$B$110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'5章_障がい児'!$D$110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ACC-44D7-9FBB-B4915CCE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'5章_障がい児'!$B$120</c:f>
              <c:strCache>
                <c:ptCount val="1"/>
                <c:pt idx="0">
                  <c:v>よい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'5章_障がい児'!$D$120</c:f>
              <c:numCache>
                <c:formatCode>0.0%</c:formatCode>
                <c:ptCount val="1"/>
                <c:pt idx="0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37-4239-8EB1-27F3DEC474EE}"/>
            </c:ext>
          </c:extLst>
        </c:ser>
        <c:ser>
          <c:idx val="1"/>
          <c:order val="1"/>
          <c:tx>
            <c:strRef>
              <c:f>'5章_障がい児'!$B$121</c:f>
              <c:strCache>
                <c:ptCount val="1"/>
                <c:pt idx="0">
                  <c:v>ふつう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'5章_障がい児'!$D$121</c:f>
              <c:numCache>
                <c:formatCode>0.0%</c:formatCode>
                <c:ptCount val="1"/>
                <c:pt idx="0">
                  <c:v>0.64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737-4239-8EB1-27F3DEC474EE}"/>
            </c:ext>
          </c:extLst>
        </c:ser>
        <c:ser>
          <c:idx val="2"/>
          <c:order val="2"/>
          <c:tx>
            <c:strRef>
              <c:f>'5章_障がい児'!$B$122</c:f>
              <c:strCache>
                <c:ptCount val="1"/>
                <c:pt idx="0">
                  <c:v>よくない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737-4239-8EB1-27F3DEC474EE}"/>
            </c:ext>
          </c:extLst>
        </c:ser>
        <c:ser>
          <c:idx val="3"/>
          <c:order val="3"/>
          <c:tx>
            <c:strRef>
              <c:f>'5章_障がい児'!$B$123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'5章_障がい児'!$D$123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737-4239-8EB1-27F3DEC4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B0-4A32-8EBA-8A94240EFF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'5章_障がい児'!$B$131:$B$138</c:f>
              <c:strCache>
                <c:ptCount val="8"/>
                <c:pt idx="0">
                  <c:v>１級</c:v>
                </c:pt>
                <c:pt idx="1">
                  <c:v>２級</c:v>
                </c:pt>
                <c:pt idx="2">
                  <c:v>３級</c:v>
                </c:pt>
                <c:pt idx="3">
                  <c:v>４級</c:v>
                </c:pt>
                <c:pt idx="4">
                  <c:v>５級</c:v>
                </c:pt>
                <c:pt idx="5">
                  <c:v>６級</c:v>
                </c:pt>
                <c:pt idx="6">
                  <c:v>持っていない</c:v>
                </c:pt>
                <c:pt idx="7">
                  <c:v>無回答</c:v>
                </c:pt>
              </c:strCache>
            </c:strRef>
          </c:cat>
          <c:val>
            <c:numRef>
              <c:f>'5章_障がい児'!$D$131:$D$138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CB0-4A32-8EBA-8A94240EF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25-4166-BD25-CDBF41838F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'5章_障がい児'!$B$145:$B$152</c:f>
              <c:strCache>
                <c:ptCount val="8"/>
                <c:pt idx="0">
                  <c:v>視覚障がい</c:v>
                </c:pt>
                <c:pt idx="1">
                  <c:v>聴覚・平衡機能障がい</c:v>
                </c:pt>
                <c:pt idx="2">
                  <c:v>音声・言語・そしゃく機能障がい</c:v>
                </c:pt>
                <c:pt idx="3">
                  <c:v>肢体不自由（上肢）</c:v>
                </c:pt>
                <c:pt idx="4">
                  <c:v>肢体不自由（下肢）</c:v>
                </c:pt>
                <c:pt idx="5">
                  <c:v>肢体不自由（体幹）</c:v>
                </c:pt>
                <c:pt idx="6">
                  <c:v>内部障がい（１～６以外）</c:v>
                </c:pt>
                <c:pt idx="7">
                  <c:v>無回答</c:v>
                </c:pt>
              </c:strCache>
            </c:strRef>
          </c:cat>
          <c:val>
            <c:numRef>
              <c:f>'5章_障がい児'!$D$145:$D$152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C25-4166-BD25-CDBF41838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'5章_障がい児'!$B$159</c:f>
              <c:strCache>
                <c:ptCount val="1"/>
                <c:pt idx="0">
                  <c:v>Ａ判定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'5章_障がい児'!$D$159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C6-4107-B26C-7ACC4E76FF3B}"/>
            </c:ext>
          </c:extLst>
        </c:ser>
        <c:ser>
          <c:idx val="1"/>
          <c:order val="1"/>
          <c:tx>
            <c:strRef>
              <c:f>'5章_障がい児'!$B$160</c:f>
              <c:strCache>
                <c:ptCount val="1"/>
                <c:pt idx="0">
                  <c:v>Ｂ判定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'5章_障がい児'!$D$160</c:f>
              <c:numCache>
                <c:formatCode>0.0%</c:formatCode>
                <c:ptCount val="1"/>
                <c:pt idx="0">
                  <c:v>0.64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5C6-4107-B26C-7ACC4E76FF3B}"/>
            </c:ext>
          </c:extLst>
        </c:ser>
        <c:ser>
          <c:idx val="2"/>
          <c:order val="2"/>
          <c:tx>
            <c:strRef>
              <c:f>'5章_障がい児'!$B$161</c:f>
              <c:strCache>
                <c:ptCount val="1"/>
                <c:pt idx="0">
                  <c:v>持っていない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'5章_障がい児'!$D$161</c:f>
              <c:numCache>
                <c:formatCode>0.0%</c:formatCode>
                <c:ptCount val="1"/>
                <c:pt idx="0">
                  <c:v>0.32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5C6-4107-B26C-7ACC4E76FF3B}"/>
            </c:ext>
          </c:extLst>
        </c:ser>
        <c:ser>
          <c:idx val="3"/>
          <c:order val="3"/>
          <c:tx>
            <c:strRef>
              <c:f>'5章_障がい児'!$B$162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'5章_障がい児'!$D$162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5C6-4107-B26C-7ACC4E76F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'5章_障がい児'!$B$170</c:f>
              <c:strCache>
                <c:ptCount val="1"/>
                <c:pt idx="0">
                  <c:v>１級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'5章_障がい児'!$D$170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F7-4E75-8993-3E24582DEDE7}"/>
            </c:ext>
          </c:extLst>
        </c:ser>
        <c:ser>
          <c:idx val="1"/>
          <c:order val="1"/>
          <c:tx>
            <c:strRef>
              <c:f>'5章_障がい児'!$B$171</c:f>
              <c:strCache>
                <c:ptCount val="1"/>
                <c:pt idx="0">
                  <c:v>２級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'5章_障がい児'!$D$171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EF7-4E75-8993-3E24582DEDE7}"/>
            </c:ext>
          </c:extLst>
        </c:ser>
        <c:ser>
          <c:idx val="2"/>
          <c:order val="2"/>
          <c:tx>
            <c:strRef>
              <c:f>'5章_障がい児'!$B$172</c:f>
              <c:strCache>
                <c:ptCount val="1"/>
                <c:pt idx="0">
                  <c:v>３級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'5章_障がい児'!$D$172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EF7-4E75-8993-3E24582DEDE7}"/>
            </c:ext>
          </c:extLst>
        </c:ser>
        <c:ser>
          <c:idx val="3"/>
          <c:order val="3"/>
          <c:tx>
            <c:strRef>
              <c:f>'5章_障がい児'!$B$173</c:f>
              <c:strCache>
                <c:ptCount val="1"/>
                <c:pt idx="0">
                  <c:v>持っていない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'5章_障がい児'!$D$173</c:f>
              <c:numCache>
                <c:formatCode>0.0%</c:formatCode>
                <c:ptCount val="1"/>
                <c:pt idx="0">
                  <c:v>0.96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EF7-4E75-8993-3E24582DEDE7}"/>
            </c:ext>
          </c:extLst>
        </c:ser>
        <c:ser>
          <c:idx val="4"/>
          <c:order val="4"/>
          <c:tx>
            <c:strRef>
              <c:f>'5章_障がい児'!$B$174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'5章_障がい児'!$D$174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EF7-4E75-8993-3E24582D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'5章_障がい児'!$B$181</c:f>
              <c:strCache>
                <c:ptCount val="1"/>
                <c:pt idx="0">
                  <c:v>受給している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'5章_障がい児'!$D$181</c:f>
              <c:numCache>
                <c:formatCode>0.0%</c:formatCode>
                <c:ptCount val="1"/>
                <c:pt idx="0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17-449D-85E0-F2DFFE5EDD4B}"/>
            </c:ext>
          </c:extLst>
        </c:ser>
        <c:ser>
          <c:idx val="1"/>
          <c:order val="1"/>
          <c:tx>
            <c:strRef>
              <c:f>'5章_障がい児'!$B$182</c:f>
              <c:strCache>
                <c:ptCount val="1"/>
                <c:pt idx="0">
                  <c:v>受給していない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'5章_障がい児'!$D$182</c:f>
              <c:numCache>
                <c:formatCode>0.0%</c:formatCode>
                <c:ptCount val="1"/>
                <c:pt idx="0">
                  <c:v>0.36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817-449D-85E0-F2DFFE5EDD4B}"/>
            </c:ext>
          </c:extLst>
        </c:ser>
        <c:ser>
          <c:idx val="2"/>
          <c:order val="2"/>
          <c:tx>
            <c:strRef>
              <c:f>'5章_障がい児'!$B$183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'5章_障がい児'!$D$183</c:f>
              <c:numCache>
                <c:formatCode>0.0%</c:formatCode>
                <c:ptCount val="1"/>
                <c:pt idx="0">
                  <c:v>0.36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817-449D-85E0-F2DFFE5ED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'5章_障がい児'!$B$193</c:f>
              <c:strCache>
                <c:ptCount val="1"/>
                <c:pt idx="0">
                  <c:v>受けている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'5章_障がい児'!$D$193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23-40B3-8590-A7EE70602F07}"/>
            </c:ext>
          </c:extLst>
        </c:ser>
        <c:ser>
          <c:idx val="1"/>
          <c:order val="1"/>
          <c:tx>
            <c:strRef>
              <c:f>'5章_障がい児'!$B$194</c:f>
              <c:strCache>
                <c:ptCount val="1"/>
                <c:pt idx="0">
                  <c:v>受けていない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'5章_障がい児'!$D$194</c:f>
              <c:numCache>
                <c:formatCode>0.0%</c:formatCode>
                <c:ptCount val="1"/>
                <c:pt idx="0">
                  <c:v>0.96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E23-40B3-8590-A7EE70602F07}"/>
            </c:ext>
          </c:extLst>
        </c:ser>
        <c:ser>
          <c:idx val="2"/>
          <c:order val="2"/>
          <c:tx>
            <c:strRef>
              <c:f>'5章_障がい児'!$B$195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'5章_障がい児'!$D$195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E23-40B3-8590-A7EE70602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'5章_障がい児'!$B$205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'5章_障がい児'!$D$205</c:f>
              <c:numCache>
                <c:formatCode>0.0%</c:formatCode>
                <c:ptCount val="1"/>
                <c:pt idx="0">
                  <c:v>0.52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73-4570-B33D-7B14BFD6F22E}"/>
            </c:ext>
          </c:extLst>
        </c:ser>
        <c:ser>
          <c:idx val="1"/>
          <c:order val="1"/>
          <c:tx>
            <c:strRef>
              <c:f>'5章_障がい児'!$B$206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'5章_障がい児'!$D$206</c:f>
              <c:numCache>
                <c:formatCode>0.0%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373-4570-B33D-7B14BFD6F22E}"/>
            </c:ext>
          </c:extLst>
        </c:ser>
        <c:ser>
          <c:idx val="2"/>
          <c:order val="2"/>
          <c:tx>
            <c:strRef>
              <c:f>'5章_障がい児'!$B$207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'5章_障がい児'!$D$207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373-4570-B33D-7B14BFD6F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'5章_障がい児'!$B$217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'5章_障がい児'!$D$217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6C-4948-BC72-64359AE490CB}"/>
            </c:ext>
          </c:extLst>
        </c:ser>
        <c:ser>
          <c:idx val="1"/>
          <c:order val="1"/>
          <c:tx>
            <c:strRef>
              <c:f>'5章_障がい児'!$B$218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'5章_障がい児'!$D$218</c:f>
              <c:numCache>
                <c:formatCode>0.0%</c:formatCode>
                <c:ptCount val="1"/>
                <c:pt idx="0">
                  <c:v>0.96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46C-4948-BC72-64359AE490CB}"/>
            </c:ext>
          </c:extLst>
        </c:ser>
        <c:ser>
          <c:idx val="2"/>
          <c:order val="2"/>
          <c:tx>
            <c:strRef>
              <c:f>'5章_障がい児'!$B$219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'5章_障がい児'!$D$219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46C-4948-BC72-64359AE49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6F-49A2-9D2F-5A562A3BE4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'5章_障がい児'!$B$229:$B$236</c:f>
              <c:strCache>
                <c:ptCount val="8"/>
                <c:pt idx="0">
                  <c:v>視覚障がい</c:v>
                </c:pt>
                <c:pt idx="1">
                  <c:v>聴覚・平衡機能障がい</c:v>
                </c:pt>
                <c:pt idx="2">
                  <c:v>音声・言語・そしゃく機能障がい</c:v>
                </c:pt>
                <c:pt idx="3">
                  <c:v>肢体不自由（上肢）</c:v>
                </c:pt>
                <c:pt idx="4">
                  <c:v>肢体不自由（下肢）</c:v>
                </c:pt>
                <c:pt idx="5">
                  <c:v>肢体不自由（体幹）</c:v>
                </c:pt>
                <c:pt idx="6">
                  <c:v>内部障がい（１～６以外）</c:v>
                </c:pt>
                <c:pt idx="7">
                  <c:v>無回答</c:v>
                </c:pt>
              </c:strCache>
            </c:strRef>
          </c:cat>
          <c:val>
            <c:numRef>
              <c:f>'5章_障がい児'!$D$229:$D$236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B6F-49A2-9D2F-5A562A3BE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F4-43AF-9E79-565580EF4B80}"/>
              </c:ext>
            </c:extLst>
          </c:dPt>
          <c:dPt>
            <c:idx val="12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F4-43AF-9E79-565580EF4B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'5章_障がい児'!$B$243:$B$255</c:f>
              <c:strCache>
                <c:ptCount val="13"/>
                <c:pt idx="0">
                  <c:v>服薬</c:v>
                </c:pt>
                <c:pt idx="1">
                  <c:v>吸入</c:v>
                </c:pt>
                <c:pt idx="2">
                  <c:v>気管切開</c:v>
                </c:pt>
                <c:pt idx="3">
                  <c:v>人工呼吸器（レスピレーター）</c:v>
                </c:pt>
                <c:pt idx="4">
                  <c:v>吸引</c:v>
                </c:pt>
                <c:pt idx="5">
                  <c:v>胃ろう・腸ろう</c:v>
                </c:pt>
                <c:pt idx="6">
                  <c:v>鼻腔経管栄養</c:v>
                </c:pt>
                <c:pt idx="7">
                  <c:v>中心静脈栄養（ＩＶＨ）</c:v>
                </c:pt>
                <c:pt idx="8">
                  <c:v>透析</c:v>
                </c:pt>
                <c:pt idx="9">
                  <c:v>カテーテル留置</c:v>
                </c:pt>
                <c:pt idx="10">
                  <c:v>ストマ（人工肛門・人工膀胱）</c:v>
                </c:pt>
                <c:pt idx="11">
                  <c:v>その他</c:v>
                </c:pt>
                <c:pt idx="12">
                  <c:v>無回答</c:v>
                </c:pt>
              </c:strCache>
            </c:strRef>
          </c:cat>
          <c:val>
            <c:numRef>
              <c:f>'5章_障がい児'!$D$243:$D$255</c:f>
              <c:numCache>
                <c:formatCode>0.0%</c:formatCode>
                <c:ptCount val="13"/>
                <c:pt idx="0">
                  <c:v>0.16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0.04</c:v>
                </c:pt>
                <c:pt idx="12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4F4-43AF-9E79-565580EF4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100000000000000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8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C8-4B99-B65C-33684B8DD4DA}"/>
              </c:ext>
            </c:extLst>
          </c:dPt>
          <c:dPt>
            <c:idx val="9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C8-4B99-B65C-33684B8DD4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'5章_障がい児'!$B$262:$B$271</c:f>
              <c:strCache>
                <c:ptCount val="10"/>
                <c:pt idx="0">
                  <c:v>幼稚園、保育所、障がい児通園施設などに通っている</c:v>
                </c:pt>
                <c:pt idx="1">
                  <c:v>一般の小中学校、高校に通っている</c:v>
                </c:pt>
                <c:pt idx="2">
                  <c:v>一般の小中学校の支援学級に通っている</c:v>
                </c:pt>
                <c:pt idx="3">
                  <c:v>特別支援学校（小中高等部）に通っている</c:v>
                </c:pt>
                <c:pt idx="4">
                  <c:v>自宅で過ごしている</c:v>
                </c:pt>
                <c:pt idx="5">
                  <c:v>入所している施設や病院等で過ごしている</c:v>
                </c:pt>
                <c:pt idx="6">
                  <c:v>病院などのデイケアに通っている</c:v>
                </c:pt>
                <c:pt idx="7">
                  <c:v>リハビリテーションを受けている</c:v>
                </c:pt>
                <c:pt idx="8">
                  <c:v>その他</c:v>
                </c:pt>
                <c:pt idx="9">
                  <c:v>無回答</c:v>
                </c:pt>
              </c:strCache>
            </c:strRef>
          </c:cat>
          <c:val>
            <c:numRef>
              <c:f>'5章_障がい児'!$D$262:$D$271</c:f>
              <c:numCache>
                <c:formatCode>0.0%</c:formatCode>
                <c:ptCount val="10"/>
                <c:pt idx="0">
                  <c:v>0.12</c:v>
                </c:pt>
                <c:pt idx="1">
                  <c:v>0.4</c:v>
                </c:pt>
                <c:pt idx="2">
                  <c:v>0.16</c:v>
                </c:pt>
                <c:pt idx="3">
                  <c:v>0.04</c:v>
                </c:pt>
                <c:pt idx="4">
                  <c:v>0.04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0.04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4C8-4B99-B65C-33684B8DD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6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5B-47FC-8A00-9C3FE7A1CEE5}"/>
              </c:ext>
            </c:extLst>
          </c:dPt>
          <c:dPt>
            <c:idx val="7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5B-47FC-8A00-9C3FE7A1CEE5}"/>
              </c:ext>
            </c:extLst>
          </c:dPt>
          <c:dPt>
            <c:idx val="8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5B-47FC-8A00-9C3FE7A1CE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'5章_障がい児'!$B$278:$B$286</c:f>
              <c:strCache>
                <c:ptCount val="9"/>
                <c:pt idx="0">
                  <c:v>就学相談や進路相談などの相談体制</c:v>
                </c:pt>
                <c:pt idx="1">
                  <c:v>能力や障がいの状況にあった個別支援</c:v>
                </c:pt>
                <c:pt idx="2">
                  <c:v>通常の学級での学習や交流の機会</c:v>
                </c:pt>
                <c:pt idx="3">
                  <c:v>施設・設備・教材</c:v>
                </c:pt>
                <c:pt idx="4">
                  <c:v>特別支援教育の啓発</c:v>
                </c:pt>
                <c:pt idx="5">
                  <c:v>地域との交流の機会</c:v>
                </c:pt>
                <c:pt idx="6">
                  <c:v>その他</c:v>
                </c:pt>
                <c:pt idx="7">
                  <c:v>特にない</c:v>
                </c:pt>
                <c:pt idx="8">
                  <c:v>無回答</c:v>
                </c:pt>
              </c:strCache>
            </c:strRef>
          </c:cat>
          <c:val>
            <c:numRef>
              <c:f>'5章_障がい児'!$D$278:$D$286</c:f>
              <c:numCache>
                <c:formatCode>0.0%</c:formatCode>
                <c:ptCount val="9"/>
                <c:pt idx="0">
                  <c:v>0.64</c:v>
                </c:pt>
                <c:pt idx="1">
                  <c:v>0.4</c:v>
                </c:pt>
                <c:pt idx="2">
                  <c:v>0.16</c:v>
                </c:pt>
                <c:pt idx="3">
                  <c:v>0.08</c:v>
                </c:pt>
                <c:pt idx="4">
                  <c:v>0.04</c:v>
                </c:pt>
                <c:pt idx="5">
                  <c:v>0.04</c:v>
                </c:pt>
                <c:pt idx="6">
                  <c:v>0</c:v>
                </c:pt>
                <c:pt idx="7">
                  <c:v>0.04</c:v>
                </c:pt>
                <c:pt idx="8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05B-47FC-8A00-9C3FE7A1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9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8E5-4467-AF0E-83A8161707A8}"/>
              </c:ext>
            </c:extLst>
          </c:dPt>
          <c:dPt>
            <c:idx val="6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8E5-4467-AF0E-83A8161707A8}"/>
              </c:ext>
            </c:extLst>
          </c:dPt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8E5-4467-AF0E-83A8161707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'5章_障がい児'!$B$293:$B$300</c:f>
              <c:strCache>
                <c:ptCount val="8"/>
                <c:pt idx="0">
                  <c:v>高等学校</c:v>
                </c:pt>
                <c:pt idx="1">
                  <c:v>特別支援学校の高等部</c:v>
                </c:pt>
                <c:pt idx="2">
                  <c:v>その他の学校</c:v>
                </c:pt>
                <c:pt idx="3">
                  <c:v>企業等で就労したい</c:v>
                </c:pt>
                <c:pt idx="4">
                  <c:v>就学・就労はしないで過ごしたい</c:v>
                </c:pt>
                <c:pt idx="5">
                  <c:v>その他</c:v>
                </c:pt>
                <c:pt idx="6">
                  <c:v>わからない</c:v>
                </c:pt>
                <c:pt idx="7">
                  <c:v>無回答</c:v>
                </c:pt>
              </c:strCache>
            </c:strRef>
          </c:cat>
          <c:val>
            <c:numRef>
              <c:f>'5章_障がい児'!$D$293:$D$300</c:f>
              <c:numCache>
                <c:formatCode>0.0%</c:formatCode>
                <c:ptCount val="8"/>
                <c:pt idx="0">
                  <c:v>0.52</c:v>
                </c:pt>
                <c:pt idx="1">
                  <c:v>0.08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</c:v>
                </c:pt>
                <c:pt idx="6">
                  <c:v>0.04</c:v>
                </c:pt>
                <c:pt idx="7">
                  <c:v>0.32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8E5-4467-AF0E-83A816170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8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7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AF-42D5-96EB-D09DA561F1B8}"/>
              </c:ext>
            </c:extLst>
          </c:dPt>
          <c:dPt>
            <c:idx val="8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AF-42D5-96EB-D09DA561F1B8}"/>
              </c:ext>
            </c:extLst>
          </c:dPt>
          <c:dPt>
            <c:idx val="9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DAF-42D5-96EB-D09DA561F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'5章_障がい児'!$B$307:$B$316</c:f>
              <c:strCache>
                <c:ptCount val="10"/>
                <c:pt idx="0">
                  <c:v>大学・短大に進学したい</c:v>
                </c:pt>
                <c:pt idx="1">
                  <c:v>専門学校等に通いたい</c:v>
                </c:pt>
                <c:pt idx="2">
                  <c:v>障がい者高等技術専門学校に通いたい</c:v>
                </c:pt>
                <c:pt idx="3">
                  <c:v>障がい福祉サービス事業所（作業所等）に通いたい</c:v>
                </c:pt>
                <c:pt idx="4">
                  <c:v>企業等に就職したい</c:v>
                </c:pt>
                <c:pt idx="5">
                  <c:v>自宅で就労したい（収入のある仕事）</c:v>
                </c:pt>
                <c:pt idx="6">
                  <c:v>就学・就労はしないで過ごしたい</c:v>
                </c:pt>
                <c:pt idx="7">
                  <c:v>その他</c:v>
                </c:pt>
                <c:pt idx="8">
                  <c:v>わからない</c:v>
                </c:pt>
                <c:pt idx="9">
                  <c:v>無回答</c:v>
                </c:pt>
              </c:strCache>
            </c:strRef>
          </c:cat>
          <c:val>
            <c:numRef>
              <c:f>'5章_障がい児'!$D$307:$D$316</c:f>
              <c:numCache>
                <c:formatCode>0.0%</c:formatCode>
                <c:ptCount val="10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0.36</c:v>
                </c:pt>
                <c:pt idx="4">
                  <c:v>0</c:v>
                </c:pt>
                <c:pt idx="5">
                  <c:v>0.04</c:v>
                </c:pt>
                <c:pt idx="6">
                  <c:v>0</c:v>
                </c:pt>
                <c:pt idx="7">
                  <c:v>0</c:v>
                </c:pt>
                <c:pt idx="8">
                  <c:v>0.32</c:v>
                </c:pt>
                <c:pt idx="9">
                  <c:v>0.24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DAF-42D5-96EB-D09DA561F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6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'5章_障がい児'!$B$323</c:f>
              <c:strCache>
                <c:ptCount val="1"/>
                <c:pt idx="0">
                  <c:v>仕事をしたい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'5章_障がい児'!$D$323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BD-4BED-AE5E-86E73ABD480A}"/>
            </c:ext>
          </c:extLst>
        </c:ser>
        <c:ser>
          <c:idx val="1"/>
          <c:order val="1"/>
          <c:tx>
            <c:strRef>
              <c:f>'5章_障がい児'!$B$324</c:f>
              <c:strCache>
                <c:ptCount val="1"/>
                <c:pt idx="0">
                  <c:v>仕事はしたくない、できない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'5章_障がい児'!$D$324</c:f>
              <c:numCache>
                <c:formatCode>0.0%</c:formatCode>
                <c:ptCount val="1"/>
                <c:pt idx="0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BD-4BED-AE5E-86E73ABD480A}"/>
            </c:ext>
          </c:extLst>
        </c:ser>
        <c:ser>
          <c:idx val="2"/>
          <c:order val="2"/>
          <c:tx>
            <c:strRef>
              <c:f>'5章_障がい児'!$B$325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'5章_障がい児'!$D$325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7BD-4BED-AE5E-86E73ABD480A}"/>
            </c:ext>
          </c:extLst>
        </c:ser>
        <c:ser>
          <c:idx val="3"/>
          <c:order val="3"/>
          <c:tx>
            <c:strRef>
              <c:f>'5章_障がい児'!$B$326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'5章_障がい児'!$D$326</c:f>
              <c:numCache>
                <c:formatCode>0.0%</c:formatCode>
                <c:ptCount val="1"/>
                <c:pt idx="0">
                  <c:v>0.72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7BD-4BED-AE5E-86E73ABD4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94-4507-962A-AF1011163D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'5章_障がい児'!$B$334:$B$336</c:f>
              <c:strCache>
                <c:ptCount val="3"/>
                <c:pt idx="0">
                  <c:v>職業訓練を受けたい</c:v>
                </c:pt>
                <c:pt idx="1">
                  <c:v>職業訓練を受けたくない、受ける必要はない</c:v>
                </c:pt>
                <c:pt idx="2">
                  <c:v>無回答</c:v>
                </c:pt>
              </c:strCache>
            </c:strRef>
          </c:cat>
          <c:val>
            <c:numRef>
              <c:f>'5章_障がい児'!$D$334:$D$336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D94-4507-962A-AF101116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90-432D-BB31-719A26C9A038}"/>
              </c:ext>
            </c:extLst>
          </c:dPt>
          <c:dPt>
            <c:idx val="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90-432D-BB31-719A26C9A0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'5章_障がい児'!$B$343:$B$348</c:f>
              <c:strCache>
                <c:ptCount val="6"/>
                <c:pt idx="0">
                  <c:v>家族と一緒に生活したい</c:v>
                </c:pt>
                <c:pt idx="1">
                  <c:v>一般の住宅でひとり暮らしをしたい</c:v>
                </c:pt>
                <c:pt idx="2">
                  <c:v>グループホームなどを利用したい</c:v>
                </c:pt>
                <c:pt idx="3">
                  <c:v>福祉施設で暮らしたい</c:v>
                </c:pt>
                <c:pt idx="4">
                  <c:v>その他</c:v>
                </c:pt>
                <c:pt idx="5">
                  <c:v>無回答</c:v>
                </c:pt>
              </c:strCache>
            </c:strRef>
          </c:cat>
          <c:val>
            <c:numRef>
              <c:f>'5章_障がい児'!$D$343:$D$348</c:f>
              <c:numCache>
                <c:formatCode>0.0%</c:formatCode>
                <c:ptCount val="6"/>
                <c:pt idx="0">
                  <c:v>0.88</c:v>
                </c:pt>
                <c:pt idx="1">
                  <c:v>0.12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390-432D-BB31-719A26C9A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0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ED-4E04-8364-547FA79B8BB0}"/>
              </c:ext>
            </c:extLst>
          </c:dPt>
          <c:dPt>
            <c:idx val="11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ED-4E04-8364-547FA79B8B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'5章_障がい児'!$B$355:$B$366</c:f>
              <c:strCache>
                <c:ptCount val="12"/>
                <c:pt idx="0">
                  <c:v>経済的な負担の軽減</c:v>
                </c:pt>
                <c:pt idx="1">
                  <c:v>必要な在宅サービスが適切に利用できること</c:v>
                </c:pt>
                <c:pt idx="2">
                  <c:v>障がい者に適した住居の確保</c:v>
                </c:pt>
                <c:pt idx="3">
                  <c:v>相談対応等の充実</c:v>
                </c:pt>
                <c:pt idx="4">
                  <c:v>在宅で医療ケアなどが適切に得られること</c:v>
                </c:pt>
                <c:pt idx="5">
                  <c:v>町外サービス利用時の送迎支援</c:v>
                </c:pt>
                <c:pt idx="6">
                  <c:v>コミュニケーションについての支援</c:v>
                </c:pt>
                <c:pt idx="7">
                  <c:v>生活訓練等の充実</c:v>
                </c:pt>
                <c:pt idx="8">
                  <c:v>地域住民等の理解</c:v>
                </c:pt>
                <c:pt idx="9">
                  <c:v>意思決定への支援</c:v>
                </c:pt>
                <c:pt idx="10">
                  <c:v>その他</c:v>
                </c:pt>
                <c:pt idx="11">
                  <c:v>無回答</c:v>
                </c:pt>
              </c:strCache>
            </c:strRef>
          </c:cat>
          <c:val>
            <c:numRef>
              <c:f>'5章_障がい児'!$D$355:$D$366</c:f>
              <c:numCache>
                <c:formatCode>0.0%</c:formatCode>
                <c:ptCount val="12"/>
                <c:pt idx="0">
                  <c:v>0.48</c:v>
                </c:pt>
                <c:pt idx="1">
                  <c:v>0.44</c:v>
                </c:pt>
                <c:pt idx="2">
                  <c:v>0.4</c:v>
                </c:pt>
                <c:pt idx="3">
                  <c:v>0.36</c:v>
                </c:pt>
                <c:pt idx="4">
                  <c:v>0.32</c:v>
                </c:pt>
                <c:pt idx="5">
                  <c:v>0.28000000000000003</c:v>
                </c:pt>
                <c:pt idx="6">
                  <c:v>0.24</c:v>
                </c:pt>
                <c:pt idx="7">
                  <c:v>0.16</c:v>
                </c:pt>
                <c:pt idx="8">
                  <c:v>0.16</c:v>
                </c:pt>
                <c:pt idx="9">
                  <c:v>0.04</c:v>
                </c:pt>
                <c:pt idx="10">
                  <c:v>0</c:v>
                </c:pt>
                <c:pt idx="11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DED-4E04-8364-547FA79B8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7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'5章_障がい児'!$B$373</c:f>
              <c:strCache>
                <c:ptCount val="1"/>
                <c:pt idx="0">
                  <c:v>毎日外出する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'5章_障がい児'!$D$373</c:f>
              <c:numCache>
                <c:formatCode>0.0%</c:formatCode>
                <c:ptCount val="1"/>
                <c:pt idx="0">
                  <c:v>0.64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B2-4060-AEF7-A4881364B00A}"/>
            </c:ext>
          </c:extLst>
        </c:ser>
        <c:ser>
          <c:idx val="1"/>
          <c:order val="1"/>
          <c:tx>
            <c:strRef>
              <c:f>'5章_障がい児'!$B$374</c:f>
              <c:strCache>
                <c:ptCount val="1"/>
                <c:pt idx="0">
                  <c:v>１週間に数回外出する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'5章_障がい児'!$D$374</c:f>
              <c:numCache>
                <c:formatCode>0.0%</c:formatCode>
                <c:ptCount val="1"/>
                <c:pt idx="0">
                  <c:v>0.32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8B2-4060-AEF7-A4881364B00A}"/>
            </c:ext>
          </c:extLst>
        </c:ser>
        <c:ser>
          <c:idx val="2"/>
          <c:order val="2"/>
          <c:tx>
            <c:strRef>
              <c:f>'5章_障がい児'!$B$375</c:f>
              <c:strCache>
                <c:ptCount val="1"/>
                <c:pt idx="0">
                  <c:v>めったに外出しない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'5章_障がい児'!$D$375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8B2-4060-AEF7-A4881364B00A}"/>
            </c:ext>
          </c:extLst>
        </c:ser>
        <c:ser>
          <c:idx val="3"/>
          <c:order val="3"/>
          <c:tx>
            <c:strRef>
              <c:f>'5章_障がい児'!$B$376</c:f>
              <c:strCache>
                <c:ptCount val="1"/>
                <c:pt idx="0">
                  <c:v>まったく外出しない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'5章_障がい児'!$D$376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8B2-4060-AEF7-A4881364B00A}"/>
            </c:ext>
          </c:extLst>
        </c:ser>
        <c:ser>
          <c:idx val="4"/>
          <c:order val="4"/>
          <c:tx>
            <c:strRef>
              <c:f>'5章_障がい児'!$B$377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'5章_障がい児'!$D$377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8B2-4060-AEF7-A4881364B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8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CD-40BC-87E4-742019473E44}"/>
              </c:ext>
            </c:extLst>
          </c:dPt>
          <c:dPt>
            <c:idx val="9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CD-40BC-87E4-742019473E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'5章_障がい児'!$B$384:$B$393</c:f>
              <c:strCache>
                <c:ptCount val="10"/>
                <c:pt idx="0">
                  <c:v>通勤・通学・通所</c:v>
                </c:pt>
                <c:pt idx="1">
                  <c:v>買い物に行く</c:v>
                </c:pt>
                <c:pt idx="2">
                  <c:v>友人・知人に会う</c:v>
                </c:pt>
                <c:pt idx="3">
                  <c:v>医療機関へ受診</c:v>
                </c:pt>
                <c:pt idx="4">
                  <c:v>散歩に行く</c:v>
                </c:pt>
                <c:pt idx="5">
                  <c:v>趣味やスポーツをする</c:v>
                </c:pt>
                <c:pt idx="6">
                  <c:v>訓練やリハビリに行く</c:v>
                </c:pt>
                <c:pt idx="7">
                  <c:v>グループ活動に参加する</c:v>
                </c:pt>
                <c:pt idx="8">
                  <c:v>その他</c:v>
                </c:pt>
                <c:pt idx="9">
                  <c:v>無回答</c:v>
                </c:pt>
              </c:strCache>
            </c:strRef>
          </c:cat>
          <c:val>
            <c:numRef>
              <c:f>'5章_障がい児'!$D$384:$D$393</c:f>
              <c:numCache>
                <c:formatCode>0.0%</c:formatCode>
                <c:ptCount val="10"/>
                <c:pt idx="0">
                  <c:v>0.92</c:v>
                </c:pt>
                <c:pt idx="1">
                  <c:v>0.56000000000000005</c:v>
                </c:pt>
                <c:pt idx="2">
                  <c:v>0.2</c:v>
                </c:pt>
                <c:pt idx="3">
                  <c:v>0.16</c:v>
                </c:pt>
                <c:pt idx="4">
                  <c:v>0.08</c:v>
                </c:pt>
                <c:pt idx="5">
                  <c:v>0.04</c:v>
                </c:pt>
                <c:pt idx="6">
                  <c:v>0</c:v>
                </c:pt>
                <c:pt idx="7">
                  <c:v>0</c:v>
                </c:pt>
                <c:pt idx="8">
                  <c:v>0.04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1CD-40BC-87E4-742019473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0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DF-475D-99E3-63F22BEADF93}"/>
              </c:ext>
            </c:extLst>
          </c:dPt>
          <c:dPt>
            <c:idx val="11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DF-475D-99E3-63F22BEADF93}"/>
              </c:ext>
            </c:extLst>
          </c:dPt>
          <c:dPt>
            <c:idx val="12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DF-475D-99E3-63F22BEADF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'5章_障がい児'!$B$400:$B$412</c:f>
              <c:strCache>
                <c:ptCount val="13"/>
                <c:pt idx="0">
                  <c:v>困ったときにどうすればいいのか心配</c:v>
                </c:pt>
                <c:pt idx="1">
                  <c:v>外出にお金がかかる</c:v>
                </c:pt>
                <c:pt idx="2">
                  <c:v>公共交通機関が少ない（公共交通機関が通っていない）</c:v>
                </c:pt>
                <c:pt idx="3">
                  <c:v>列車やバスの乗り降りが困難</c:v>
                </c:pt>
                <c:pt idx="4">
                  <c:v>切符の買い方や乗り換えの方法がわかりにくい</c:v>
                </c:pt>
                <c:pt idx="5">
                  <c:v>介助者を確保できない</c:v>
                </c:pt>
                <c:pt idx="6">
                  <c:v>外出先の建物の設備が不便（通路、トイレ、エレベーターなど）</c:v>
                </c:pt>
                <c:pt idx="7">
                  <c:v>周囲の目が気になる</c:v>
                </c:pt>
                <c:pt idx="8">
                  <c:v>道路や駅に階段や段差が多い</c:v>
                </c:pt>
                <c:pt idx="9">
                  <c:v>発作など突然の身体の変化が心配</c:v>
                </c:pt>
                <c:pt idx="10">
                  <c:v>その他</c:v>
                </c:pt>
                <c:pt idx="11">
                  <c:v>特にない</c:v>
                </c:pt>
                <c:pt idx="12">
                  <c:v>無回答</c:v>
                </c:pt>
              </c:strCache>
            </c:strRef>
          </c:cat>
          <c:val>
            <c:numRef>
              <c:f>'5章_障がい児'!$D$400:$D$412</c:f>
              <c:numCache>
                <c:formatCode>0.0%</c:formatCode>
                <c:ptCount val="13"/>
                <c:pt idx="0">
                  <c:v>0.44</c:v>
                </c:pt>
                <c:pt idx="1">
                  <c:v>0.36</c:v>
                </c:pt>
                <c:pt idx="2">
                  <c:v>0.32</c:v>
                </c:pt>
                <c:pt idx="3">
                  <c:v>0.2</c:v>
                </c:pt>
                <c:pt idx="4">
                  <c:v>0.12</c:v>
                </c:pt>
                <c:pt idx="5">
                  <c:v>0.08</c:v>
                </c:pt>
                <c:pt idx="6">
                  <c:v>0.04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</c:v>
                </c:pt>
                <c:pt idx="12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1DF-475D-99E3-63F22BEA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7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'5章_障がい児'!C443</c:f>
              <c:strCache>
                <c:ptCount val="1"/>
                <c:pt idx="0">
                  <c:v>利用している（割合）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'5章_障がい児'!$B$444:$B$464</c:f>
              <c:strCache>
                <c:ptCount val="21"/>
                <c:pt idx="0">
                  <c:v>就労継続</c:v>
                </c:pt>
                <c:pt idx="1">
                  <c:v>児童発達支援</c:v>
                </c:pt>
                <c:pt idx="2">
                  <c:v>療養介護</c:v>
                </c:pt>
                <c:pt idx="3">
                  <c:v>相談支援</c:v>
                </c:pt>
                <c:pt idx="4">
                  <c:v>放課後等デイ</c:v>
                </c:pt>
                <c:pt idx="5">
                  <c:v>居宅介護</c:v>
                </c:pt>
                <c:pt idx="6">
                  <c:v>重度訪問介護</c:v>
                </c:pt>
                <c:pt idx="7">
                  <c:v>同行援護</c:v>
                </c:pt>
                <c:pt idx="8">
                  <c:v>行動援護</c:v>
                </c:pt>
                <c:pt idx="9">
                  <c:v>重度包括</c:v>
                </c:pt>
                <c:pt idx="10">
                  <c:v>生活介護</c:v>
                </c:pt>
                <c:pt idx="11">
                  <c:v>宿泊型自立訓練</c:v>
                </c:pt>
                <c:pt idx="12">
                  <c:v>就労移行</c:v>
                </c:pt>
                <c:pt idx="13">
                  <c:v>就労選択</c:v>
                </c:pt>
                <c:pt idx="14">
                  <c:v>短期入所</c:v>
                </c:pt>
                <c:pt idx="15">
                  <c:v>共同生活援助</c:v>
                </c:pt>
                <c:pt idx="16">
                  <c:v>施設入所</c:v>
                </c:pt>
                <c:pt idx="17">
                  <c:v>保育所等訪問</c:v>
                </c:pt>
                <c:pt idx="18">
                  <c:v>医療型児発</c:v>
                </c:pt>
                <c:pt idx="19">
                  <c:v>福祉型入所</c:v>
                </c:pt>
                <c:pt idx="20">
                  <c:v>医療型入所</c:v>
                </c:pt>
              </c:strCache>
            </c:strRef>
          </c:cat>
          <c:val>
            <c:numRef>
              <c:f>'5章_障がい児'!$C$444:$C$464</c:f>
              <c:numCache>
                <c:formatCode>0.0%</c:formatCode>
                <c:ptCount val="21"/>
                <c:pt idx="0">
                  <c:v>0.2</c:v>
                </c:pt>
                <c:pt idx="1">
                  <c:v>0.08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FB-446B-8BB0-2A118C82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'5章_障がい児'!C475</c:f>
              <c:strCache>
                <c:ptCount val="1"/>
                <c:pt idx="0">
                  <c:v>利用したい（割合）</c:v>
                </c:pt>
              </c:strCache>
            </c:strRef>
          </c:tx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'5章_障がい児'!$B$476:$B$496</c:f>
              <c:strCache>
                <c:ptCount val="21"/>
                <c:pt idx="0">
                  <c:v>就労継続</c:v>
                </c:pt>
                <c:pt idx="1">
                  <c:v>児童発達支援</c:v>
                </c:pt>
                <c:pt idx="2">
                  <c:v>行動援護</c:v>
                </c:pt>
                <c:pt idx="3">
                  <c:v>就労移行</c:v>
                </c:pt>
                <c:pt idx="4">
                  <c:v>就労選択</c:v>
                </c:pt>
                <c:pt idx="5">
                  <c:v>相談支援</c:v>
                </c:pt>
                <c:pt idx="6">
                  <c:v>医療型児発</c:v>
                </c:pt>
                <c:pt idx="7">
                  <c:v>居宅介護</c:v>
                </c:pt>
                <c:pt idx="8">
                  <c:v>宿泊型自立訓練</c:v>
                </c:pt>
                <c:pt idx="9">
                  <c:v>共同生活援助</c:v>
                </c:pt>
                <c:pt idx="10">
                  <c:v>放課後等デイ</c:v>
                </c:pt>
                <c:pt idx="11">
                  <c:v>保育所等訪問</c:v>
                </c:pt>
                <c:pt idx="12">
                  <c:v>重度訪問介護</c:v>
                </c:pt>
                <c:pt idx="13">
                  <c:v>同行援護</c:v>
                </c:pt>
                <c:pt idx="14">
                  <c:v>重度包括</c:v>
                </c:pt>
                <c:pt idx="15">
                  <c:v>生活介護</c:v>
                </c:pt>
                <c:pt idx="16">
                  <c:v>療養介護</c:v>
                </c:pt>
                <c:pt idx="17">
                  <c:v>短期入所</c:v>
                </c:pt>
                <c:pt idx="18">
                  <c:v>施設入所</c:v>
                </c:pt>
                <c:pt idx="19">
                  <c:v>福祉型入所</c:v>
                </c:pt>
                <c:pt idx="20">
                  <c:v>医療型入所</c:v>
                </c:pt>
              </c:strCache>
            </c:strRef>
          </c:cat>
          <c:val>
            <c:numRef>
              <c:f>'5章_障がい児'!$C$476:$C$496</c:f>
              <c:numCache>
                <c:formatCode>0.0%</c:formatCode>
                <c:ptCount val="21"/>
                <c:pt idx="0">
                  <c:v>0.32</c:v>
                </c:pt>
                <c:pt idx="1">
                  <c:v>0.24</c:v>
                </c:pt>
                <c:pt idx="2">
                  <c:v>0.16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A5-4032-BBE5-A581D889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3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4B-40FC-AD36-58B78CBA59E3}"/>
              </c:ext>
            </c:extLst>
          </c:dPt>
          <c:dPt>
            <c:idx val="14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4B-40FC-AD36-58B78CBA59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'5章_障がい児'!$B$508:$B$522</c:f>
              <c:strCache>
                <c:ptCount val="15"/>
                <c:pt idx="0">
                  <c:v>家族や親せき</c:v>
                </c:pt>
                <c:pt idx="1">
                  <c:v>通院施設や保育所、幼稚園、学校の先生</c:v>
                </c:pt>
                <c:pt idx="2">
                  <c:v>友人・知人</c:v>
                </c:pt>
                <c:pt idx="3">
                  <c:v>施設の指導員など</c:v>
                </c:pt>
                <c:pt idx="4">
                  <c:v>近所の人</c:v>
                </c:pt>
                <c:pt idx="5">
                  <c:v>ホームヘルパーなどサービス事業所の人</c:v>
                </c:pt>
                <c:pt idx="6">
                  <c:v>障がい者団体や家族会</c:v>
                </c:pt>
                <c:pt idx="7">
                  <c:v>かかりつけの医師や看護師</c:v>
                </c:pt>
                <c:pt idx="8">
                  <c:v>病院のケースワーカーや介護保険のケアマネージャー</c:v>
                </c:pt>
                <c:pt idx="9">
                  <c:v>民生委員・児童委員</c:v>
                </c:pt>
                <c:pt idx="10">
                  <c:v>相談支援事業所などの民間の相談窓口</c:v>
                </c:pt>
                <c:pt idx="11">
                  <c:v>行政機関の相談窓口</c:v>
                </c:pt>
                <c:pt idx="12">
                  <c:v>相談する相手がいない</c:v>
                </c:pt>
                <c:pt idx="13">
                  <c:v>その他</c:v>
                </c:pt>
                <c:pt idx="14">
                  <c:v>無回答</c:v>
                </c:pt>
              </c:strCache>
            </c:strRef>
          </c:cat>
          <c:val>
            <c:numRef>
              <c:f>'5章_障がい児'!$D$508:$D$522</c:f>
              <c:numCache>
                <c:formatCode>0.0%</c:formatCode>
                <c:ptCount val="15"/>
                <c:pt idx="0">
                  <c:v>1</c:v>
                </c:pt>
                <c:pt idx="1">
                  <c:v>0.64</c:v>
                </c:pt>
                <c:pt idx="2">
                  <c:v>0.44</c:v>
                </c:pt>
                <c:pt idx="3">
                  <c:v>0.16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34B-40FC-AD36-58B78CBA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2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13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89A-48C9-AF68-FCF1564F1A63}"/>
              </c:ext>
            </c:extLst>
          </c:dPt>
          <c:dPt>
            <c:idx val="14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89A-48C9-AF68-FCF1564F1A63}"/>
              </c:ext>
            </c:extLst>
          </c:dPt>
          <c:dPt>
            <c:idx val="15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89A-48C9-AF68-FCF1564F1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'5章_障がい児'!$B$529:$B$544</c:f>
              <c:strCache>
                <c:ptCount val="16"/>
                <c:pt idx="0">
                  <c:v>インターネット</c:v>
                </c:pt>
                <c:pt idx="1">
                  <c:v>家族や親せき、友人・知人</c:v>
                </c:pt>
                <c:pt idx="2">
                  <c:v>学校の先生</c:v>
                </c:pt>
                <c:pt idx="3">
                  <c:v>サービス事業所の人や施設職員</c:v>
                </c:pt>
                <c:pt idx="4">
                  <c:v>本や新聞、雑誌の記事、テレビやラジオのニュース</c:v>
                </c:pt>
                <c:pt idx="5">
                  <c:v>かかりつけの医師や看護師</c:v>
                </c:pt>
                <c:pt idx="6">
                  <c:v>相談支援事業所などの民間の相談窓口</c:v>
                </c:pt>
                <c:pt idx="7">
                  <c:v>行政機関の相談窓口</c:v>
                </c:pt>
                <c:pt idx="8">
                  <c:v>行政機関の広報誌</c:v>
                </c:pt>
                <c:pt idx="9">
                  <c:v>障がい者団体や家族会（団体の機関誌など）</c:v>
                </c:pt>
                <c:pt idx="10">
                  <c:v>病院のケースワーカーや介護保険のケアマネージャー</c:v>
                </c:pt>
                <c:pt idx="11">
                  <c:v>民生委員・児童委員</c:v>
                </c:pt>
                <c:pt idx="12">
                  <c:v>どこで情報を入手したらよいかわからない</c:v>
                </c:pt>
                <c:pt idx="13">
                  <c:v>その他</c:v>
                </c:pt>
                <c:pt idx="14">
                  <c:v>情報は必要ない</c:v>
                </c:pt>
                <c:pt idx="15">
                  <c:v>無回答</c:v>
                </c:pt>
              </c:strCache>
            </c:strRef>
          </c:cat>
          <c:val>
            <c:numRef>
              <c:f>'5章_障がい児'!$D$529:$D$544</c:f>
              <c:numCache>
                <c:formatCode>0.0%</c:formatCode>
                <c:ptCount val="16"/>
                <c:pt idx="0">
                  <c:v>0.72</c:v>
                </c:pt>
                <c:pt idx="1">
                  <c:v>0.36</c:v>
                </c:pt>
                <c:pt idx="2">
                  <c:v>0.28000000000000003</c:v>
                </c:pt>
                <c:pt idx="3">
                  <c:v>0.2</c:v>
                </c:pt>
                <c:pt idx="4">
                  <c:v>0.12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89A-48C9-AF68-FCF1564F1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'5章_障がい児'!$B$551</c:f>
              <c:strCache>
                <c:ptCount val="1"/>
                <c:pt idx="0">
                  <c:v>ある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'5章_障がい児'!$D$551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DB-49E7-8544-21DB11CFA235}"/>
            </c:ext>
          </c:extLst>
        </c:ser>
        <c:ser>
          <c:idx val="1"/>
          <c:order val="1"/>
          <c:tx>
            <c:strRef>
              <c:f>'5章_障がい児'!$B$552</c:f>
              <c:strCache>
                <c:ptCount val="1"/>
                <c:pt idx="0">
                  <c:v>少しある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'5章_障がい児'!$D$552</c:f>
              <c:numCache>
                <c:formatCode>0.0%</c:formatCode>
                <c:ptCount val="1"/>
                <c:pt idx="0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2DB-49E7-8544-21DB11CFA235}"/>
            </c:ext>
          </c:extLst>
        </c:ser>
        <c:ser>
          <c:idx val="2"/>
          <c:order val="2"/>
          <c:tx>
            <c:strRef>
              <c:f>'5章_障がい児'!$B$553</c:f>
              <c:strCache>
                <c:ptCount val="1"/>
                <c:pt idx="0">
                  <c:v>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'5章_障がい児'!$D$553</c:f>
              <c:numCache>
                <c:formatCode>0.0%</c:formatCode>
                <c:ptCount val="1"/>
                <c:pt idx="0">
                  <c:v>0.72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2DB-49E7-8544-21DB11CFA235}"/>
            </c:ext>
          </c:extLst>
        </c:ser>
        <c:ser>
          <c:idx val="3"/>
          <c:order val="3"/>
          <c:tx>
            <c:strRef>
              <c:f>'5章_障がい児'!$B$554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'5章_障がい児'!$D$554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2DB-49E7-8544-21DB11CFA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6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EB-4F50-A74D-F8941E6A0274}"/>
              </c:ext>
            </c:extLst>
          </c:dPt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EB-4F50-A74D-F8941E6A02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'5章_障がい児'!$B$562:$B$569</c:f>
              <c:strCache>
                <c:ptCount val="8"/>
                <c:pt idx="0">
                  <c:v>学校・仕事場</c:v>
                </c:pt>
                <c:pt idx="1">
                  <c:v>外出先</c:v>
                </c:pt>
                <c:pt idx="2">
                  <c:v>住んでいる地域</c:v>
                </c:pt>
                <c:pt idx="3">
                  <c:v>余暇を楽しむとき</c:v>
                </c:pt>
                <c:pt idx="4">
                  <c:v>病院などの医療機関</c:v>
                </c:pt>
                <c:pt idx="5">
                  <c:v>自宅</c:v>
                </c:pt>
                <c:pt idx="6">
                  <c:v>その他</c:v>
                </c:pt>
                <c:pt idx="7">
                  <c:v>無回答</c:v>
                </c:pt>
              </c:strCache>
            </c:strRef>
          </c:cat>
          <c:val>
            <c:numRef>
              <c:f>'5章_障がい児'!$D$562:$D$569</c:f>
              <c:numCache>
                <c:formatCode>0.0%</c:formatCode>
                <c:ptCount val="8"/>
                <c:pt idx="0">
                  <c:v>0.24</c:v>
                </c:pt>
                <c:pt idx="1">
                  <c:v>0.08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7EB-4F50-A74D-F8941E6A0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96-43B6-9A6F-A01538AE93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'5章_障がい児'!$B$576:$B$579</c:f>
              <c:strCache>
                <c:ptCount val="4"/>
                <c:pt idx="0">
                  <c:v>名前も内容も知っている</c:v>
                </c:pt>
                <c:pt idx="1">
                  <c:v>名前は聞いたことあるが、内容は知らない</c:v>
                </c:pt>
                <c:pt idx="2">
                  <c:v>名前も内容も知らない</c:v>
                </c:pt>
                <c:pt idx="3">
                  <c:v>無回答</c:v>
                </c:pt>
              </c:strCache>
            </c:strRef>
          </c:cat>
          <c:val>
            <c:numRef>
              <c:f>'5章_障がい児'!$D$576:$D$579</c:f>
              <c:numCache>
                <c:formatCode>0.0%</c:formatCode>
                <c:ptCount val="4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796-43B6-9A6F-A01538AE9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100000000000000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6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2D-4E1F-93D1-E0927D2B3163}"/>
              </c:ext>
            </c:extLst>
          </c:dPt>
          <c:dPt>
            <c:idx val="7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2D-4E1F-93D1-E0927D2B3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'5章_障がい児'!$B$586:$B$593</c:f>
              <c:strCache>
                <c:ptCount val="8"/>
                <c:pt idx="0">
                  <c:v>町役場</c:v>
                </c:pt>
                <c:pt idx="1">
                  <c:v>社会福祉協議会</c:v>
                </c:pt>
                <c:pt idx="2">
                  <c:v>家庭裁判所</c:v>
                </c:pt>
                <c:pt idx="3">
                  <c:v>法テラス</c:v>
                </c:pt>
                <c:pt idx="4">
                  <c:v>専門職（弁護士、司法書士）</c:v>
                </c:pt>
                <c:pt idx="5">
                  <c:v>消費者生活センター</c:v>
                </c:pt>
                <c:pt idx="6">
                  <c:v>その他</c:v>
                </c:pt>
                <c:pt idx="7">
                  <c:v>無回答</c:v>
                </c:pt>
              </c:strCache>
            </c:strRef>
          </c:cat>
          <c:val>
            <c:numRef>
              <c:f>'5章_障がい児'!$D$586:$D$593</c:f>
              <c:numCache>
                <c:formatCode>0.0%</c:formatCode>
                <c:ptCount val="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0.08</c:v>
                </c:pt>
                <c:pt idx="7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F2D-4E1F-93D1-E0927D2B3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.100000000000000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'5章_障がい児'!$B$600</c:f>
              <c:strCache>
                <c:ptCount val="1"/>
                <c:pt idx="0">
                  <c:v>知っている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'5章_障がい児'!$D$600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BD-4475-BFE8-FDA9809FA31C}"/>
            </c:ext>
          </c:extLst>
        </c:ser>
        <c:ser>
          <c:idx val="1"/>
          <c:order val="1"/>
          <c:tx>
            <c:strRef>
              <c:f>'5章_障がい児'!$B$601</c:f>
              <c:strCache>
                <c:ptCount val="1"/>
                <c:pt idx="0">
                  <c:v>知らない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'5章_障がい児'!$D$601</c:f>
              <c:numCache>
                <c:formatCode>0.0%</c:formatCode>
                <c:ptCount val="1"/>
                <c:pt idx="0">
                  <c:v>0.96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1BD-4475-BFE8-FDA9809FA31C}"/>
            </c:ext>
          </c:extLst>
        </c:ser>
        <c:ser>
          <c:idx val="2"/>
          <c:order val="2"/>
          <c:tx>
            <c:strRef>
              <c:f>'5章_障がい児'!$B$602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'5章_障がい児'!$D$602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1BD-4475-BFE8-FDA9809FA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'5章_障がい児'!$B$612</c:f>
              <c:strCache>
                <c:ptCount val="1"/>
                <c:pt idx="0">
                  <c:v>知っている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'5章_障がい児'!$D$612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6E-423D-B70F-C7085BCB66EB}"/>
            </c:ext>
          </c:extLst>
        </c:ser>
        <c:ser>
          <c:idx val="1"/>
          <c:order val="1"/>
          <c:tx>
            <c:strRef>
              <c:f>'5章_障がい児'!$B$613</c:f>
              <c:strCache>
                <c:ptCount val="1"/>
                <c:pt idx="0">
                  <c:v>知らない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'5章_障がい児'!$D$613</c:f>
              <c:numCache>
                <c:formatCode>0.0%</c:formatCode>
                <c:ptCount val="1"/>
                <c:pt idx="0">
                  <c:v>0.96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E6E-423D-B70F-C7085BCB66EB}"/>
            </c:ext>
          </c:extLst>
        </c:ser>
        <c:ser>
          <c:idx val="2"/>
          <c:order val="2"/>
          <c:tx>
            <c:strRef>
              <c:f>'5章_障がい児'!$B$614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'5章_障がい児'!$D$614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E6E-423D-B70F-C7085BCB6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'5章_障がい児'!$B$624</c:f>
              <c:strCache>
                <c:ptCount val="1"/>
                <c:pt idx="0">
                  <c:v>できる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'5章_障がい児'!$D$624</c:f>
              <c:numCache>
                <c:formatCode>0.0%</c:formatCode>
                <c:ptCount val="1"/>
                <c:pt idx="0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09-4864-B269-F797FD478F77}"/>
            </c:ext>
          </c:extLst>
        </c:ser>
        <c:ser>
          <c:idx val="1"/>
          <c:order val="1"/>
          <c:tx>
            <c:strRef>
              <c:f>'5章_障がい児'!$B$625</c:f>
              <c:strCache>
                <c:ptCount val="1"/>
                <c:pt idx="0">
                  <c:v>できない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'5章_障がい児'!$D$625</c:f>
              <c:numCache>
                <c:formatCode>0.0%</c:formatCode>
                <c:ptCount val="1"/>
                <c:pt idx="0">
                  <c:v>0.44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609-4864-B269-F797FD478F77}"/>
            </c:ext>
          </c:extLst>
        </c:ser>
        <c:ser>
          <c:idx val="2"/>
          <c:order val="2"/>
          <c:tx>
            <c:strRef>
              <c:f>'5章_障がい児'!$B$626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'5章_障がい児'!$D$626</c:f>
              <c:numCache>
                <c:formatCode>0.0%</c:formatCode>
                <c:ptCount val="1"/>
                <c:pt idx="0">
                  <c:v>0.28000000000000003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609-4864-B269-F797FD478F77}"/>
            </c:ext>
          </c:extLst>
        </c:ser>
        <c:ser>
          <c:idx val="3"/>
          <c:order val="3"/>
          <c:tx>
            <c:strRef>
              <c:f>'5章_障がい児'!$B$627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'5章_障がい児'!$D$627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609-4864-B269-F797FD478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'5章_障がい児'!$B$635</c:f>
              <c:strCache>
                <c:ptCount val="1"/>
                <c:pt idx="0">
                  <c:v>いる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'5章_障がい児'!$D$635</c:f>
              <c:numCache>
                <c:formatCode>0.0%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37-4C62-B5FD-8B457A2B26D1}"/>
            </c:ext>
          </c:extLst>
        </c:ser>
        <c:ser>
          <c:idx val="1"/>
          <c:order val="1"/>
          <c:tx>
            <c:strRef>
              <c:f>'5章_障がい児'!$B$636</c:f>
              <c:strCache>
                <c:ptCount val="1"/>
                <c:pt idx="0">
                  <c:v>いない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'5章_障がい児'!$D$636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437-4C62-B5FD-8B457A2B26D1}"/>
            </c:ext>
          </c:extLst>
        </c:ser>
        <c:ser>
          <c:idx val="2"/>
          <c:order val="2"/>
          <c:tx>
            <c:strRef>
              <c:f>'5章_障がい児'!$B$637</c:f>
              <c:strCache>
                <c:ptCount val="1"/>
                <c:pt idx="0">
                  <c:v>わからない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'5章_障がい児'!$D$637</c:f>
              <c:numCache>
                <c:formatCode>0.0%</c:formatCode>
                <c:ptCount val="1"/>
                <c:pt idx="0">
                  <c:v>0.32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437-4C62-B5FD-8B457A2B26D1}"/>
            </c:ext>
          </c:extLst>
        </c:ser>
        <c:ser>
          <c:idx val="3"/>
          <c:order val="3"/>
          <c:tx>
            <c:strRef>
              <c:f>'5章_障がい児'!$B$638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'5章_障がい児'!$D$638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437-4C62-B5FD-8B457A2B2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B6CB0"/>
            </a:solidFill>
            <a:ln>
              <a:noFill/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9D-4815-91BB-340ABD0E0709}"/>
              </c:ext>
            </c:extLst>
          </c:dPt>
          <c:dPt>
            <c:idx val="10"/>
            <c:invertIfNegative val="1"/>
            <c:bubble3D val="0"/>
            <c:spPr>
              <a:solidFill>
                <a:srgbClr val="A3AAB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9D-4815-91BB-340ABD0E0709}"/>
              </c:ext>
            </c:extLst>
          </c:dPt>
          <c:dPt>
            <c:idx val="11"/>
            <c:invertIfNegative val="1"/>
            <c:bubble3D val="0"/>
            <c:spPr>
              <a:solidFill>
                <a:srgbClr val="CDD2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9D-4815-91BB-340ABD0E07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'5章_障がい児'!$B$646:$B$657</c:f>
              <c:strCache>
                <c:ptCount val="12"/>
                <c:pt idx="0">
                  <c:v>周囲とのコミュニケーションがとれない</c:v>
                </c:pt>
                <c:pt idx="1">
                  <c:v>避難場所の設備（トイレ等）や生活環境が不安</c:v>
                </c:pt>
                <c:pt idx="2">
                  <c:v>救助を求めることができない</c:v>
                </c:pt>
                <c:pt idx="3">
                  <c:v>安全なところまで、迅速に避難することができない</c:v>
                </c:pt>
                <c:pt idx="4">
                  <c:v>被害状況、避難場所などの情報が入手できない</c:v>
                </c:pt>
                <c:pt idx="5">
                  <c:v>投薬や治療が受けられない</c:v>
                </c:pt>
                <c:pt idx="6">
                  <c:v>補装具の使用が困難になる</c:v>
                </c:pt>
                <c:pt idx="7">
                  <c:v>補装具や日常生活用具の入手ができなくなる</c:v>
                </c:pt>
                <c:pt idx="8">
                  <c:v>医療機器の電源確保</c:v>
                </c:pt>
                <c:pt idx="9">
                  <c:v>その他</c:v>
                </c:pt>
                <c:pt idx="10">
                  <c:v>特にない</c:v>
                </c:pt>
                <c:pt idx="11">
                  <c:v>無回答</c:v>
                </c:pt>
              </c:strCache>
            </c:strRef>
          </c:cat>
          <c:val>
            <c:numRef>
              <c:f>'5章_障がい児'!$D$646:$D$657</c:f>
              <c:numCache>
                <c:formatCode>0.0%</c:formatCode>
                <c:ptCount val="12"/>
                <c:pt idx="0">
                  <c:v>0.44</c:v>
                </c:pt>
                <c:pt idx="1">
                  <c:v>0.4</c:v>
                </c:pt>
                <c:pt idx="2">
                  <c:v>0.24</c:v>
                </c:pt>
                <c:pt idx="3">
                  <c:v>0.24</c:v>
                </c:pt>
                <c:pt idx="4">
                  <c:v>0.12</c:v>
                </c:pt>
                <c:pt idx="5">
                  <c:v>0.08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0.28000000000000003</c:v>
                </c:pt>
                <c:pt idx="11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C89D-4815-91BB-340ABD0E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0.7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'5章_障がい児'!$B$665</c:f>
              <c:strCache>
                <c:ptCount val="1"/>
                <c:pt idx="0">
                  <c:v>希望する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'5章_障がい児'!$D$665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28-4B51-BC61-2C51D12CFFD2}"/>
            </c:ext>
          </c:extLst>
        </c:ser>
        <c:ser>
          <c:idx val="1"/>
          <c:order val="1"/>
          <c:tx>
            <c:strRef>
              <c:f>'5章_障がい児'!$B$666</c:f>
              <c:strCache>
                <c:ptCount val="1"/>
                <c:pt idx="0">
                  <c:v>希望しない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'5章_障がい児'!$D$666</c:f>
              <c:numCache>
                <c:formatCode>0.0%</c:formatCode>
                <c:ptCount val="1"/>
                <c:pt idx="0">
                  <c:v>0.96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28-4B51-BC61-2C51D12CFFD2}"/>
            </c:ext>
          </c:extLst>
        </c:ser>
        <c:ser>
          <c:idx val="2"/>
          <c:order val="2"/>
          <c:tx>
            <c:strRef>
              <c:f>'5章_障がい児'!$B$667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'5章_障がい児'!$D$667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928-4B51-BC61-2C51D12CF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'5章_障がい児'!$B$677</c:f>
              <c:strCache>
                <c:ptCount val="1"/>
                <c:pt idx="0">
                  <c:v>希望する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'5章_障がい児'!$D$677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3C-42CF-BE22-FD562D2CD8E0}"/>
            </c:ext>
          </c:extLst>
        </c:ser>
        <c:ser>
          <c:idx val="1"/>
          <c:order val="1"/>
          <c:tx>
            <c:strRef>
              <c:f>'5章_障がい児'!$B$678</c:f>
              <c:strCache>
                <c:ptCount val="1"/>
                <c:pt idx="0">
                  <c:v>希望しない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'5章_障がい児'!$D$678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43C-42CF-BE22-FD562D2CD8E0}"/>
            </c:ext>
          </c:extLst>
        </c:ser>
        <c:ser>
          <c:idx val="2"/>
          <c:order val="2"/>
          <c:tx>
            <c:strRef>
              <c:f>'5章_障がい児'!$B$679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'5章_障がい児'!$D$679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43C-42CF-BE22-FD562D2CD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catAx>
        <c:axId val="10"/>
        <c:scaling>
          <c:orientation val="maxMin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'5章_障がい児'!C721</c:f>
              <c:strCache>
                <c:ptCount val="1"/>
                <c:pt idx="0">
                  <c:v>家族と一緒に生活したい</c:v>
                </c:pt>
              </c:strCache>
            </c:strRef>
          </c:tx>
          <c:spPr>
            <a:solidFill>
              <a:srgbClr val="1F4E7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'5章_障がい児'!$B$722:$B$726</c:f>
              <c:strCache>
                <c:ptCount val="5"/>
                <c:pt idx="0">
                  <c:v>0～5歳</c:v>
                </c:pt>
                <c:pt idx="1">
                  <c:v>6～11歳</c:v>
                </c:pt>
                <c:pt idx="2">
                  <c:v>12～14歳</c:v>
                </c:pt>
                <c:pt idx="3">
                  <c:v>15～17歳</c:v>
                </c:pt>
                <c:pt idx="4">
                  <c:v>18歳以上</c:v>
                </c:pt>
              </c:strCache>
            </c:strRef>
          </c:cat>
          <c:val>
            <c:numRef>
              <c:f>'5章_障がい児'!$C$722:$C$726</c:f>
              <c:numCache>
                <c:formatCode>0.0%</c:formatCode>
                <c:ptCount val="5"/>
                <c:pt idx="0">
                  <c:v>1</c:v>
                </c:pt>
                <c:pt idx="1">
                  <c:v>0.83333333333333304</c:v>
                </c:pt>
                <c:pt idx="2">
                  <c:v>0.8</c:v>
                </c:pt>
                <c:pt idx="3">
                  <c:v>0.75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8D1-48E1-AE8A-1F2AC7305372}"/>
            </c:ext>
          </c:extLst>
        </c:ser>
        <c:ser>
          <c:idx val="1"/>
          <c:order val="1"/>
          <c:tx>
            <c:strRef>
              <c:f>'5章_障がい児'!D721</c:f>
              <c:strCache>
                <c:ptCount val="1"/>
                <c:pt idx="0">
                  <c:v>一般の住宅でひとり暮らしをしたい</c:v>
                </c:pt>
              </c:strCache>
            </c:strRef>
          </c:tx>
          <c:spPr>
            <a:solidFill>
              <a:srgbClr val="2B6CB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FFFFFF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'5章_障がい児'!$B$722:$B$726</c:f>
              <c:strCache>
                <c:ptCount val="5"/>
                <c:pt idx="0">
                  <c:v>0～5歳</c:v>
                </c:pt>
                <c:pt idx="1">
                  <c:v>6～11歳</c:v>
                </c:pt>
                <c:pt idx="2">
                  <c:v>12～14歳</c:v>
                </c:pt>
                <c:pt idx="3">
                  <c:v>15～17歳</c:v>
                </c:pt>
                <c:pt idx="4">
                  <c:v>18歳以上</c:v>
                </c:pt>
              </c:strCache>
            </c:strRef>
          </c:cat>
          <c:val>
            <c:numRef>
              <c:f>'5章_障がい児'!$D$722:$D$726</c:f>
              <c:numCache>
                <c:formatCode>0.0%</c:formatCode>
                <c:ptCount val="5"/>
                <c:pt idx="0">
                  <c:v>0</c:v>
                </c:pt>
                <c:pt idx="1">
                  <c:v>0.16666666666666699</c:v>
                </c:pt>
                <c:pt idx="2">
                  <c:v>0.2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8D1-48E1-AE8A-1F2AC7305372}"/>
            </c:ext>
          </c:extLst>
        </c:ser>
        <c:ser>
          <c:idx val="2"/>
          <c:order val="2"/>
          <c:tx>
            <c:strRef>
              <c:f>'5章_障がい児'!E721</c:f>
              <c:strCache>
                <c:ptCount val="1"/>
                <c:pt idx="0">
                  <c:v>グループホームなどを利用したい</c:v>
                </c:pt>
              </c:strCache>
            </c:strRef>
          </c:tx>
          <c:spPr>
            <a:solidFill>
              <a:srgbClr val="6FA0D8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'5章_障がい児'!$B$722:$B$726</c:f>
              <c:strCache>
                <c:ptCount val="5"/>
                <c:pt idx="0">
                  <c:v>0～5歳</c:v>
                </c:pt>
                <c:pt idx="1">
                  <c:v>6～11歳</c:v>
                </c:pt>
                <c:pt idx="2">
                  <c:v>12～14歳</c:v>
                </c:pt>
                <c:pt idx="3">
                  <c:v>15～17歳</c:v>
                </c:pt>
                <c:pt idx="4">
                  <c:v>18歳以上</c:v>
                </c:pt>
              </c:strCache>
            </c:strRef>
          </c:cat>
          <c:val>
            <c:numRef>
              <c:f>'5章_障がい児'!$E$722:$E$726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8D1-48E1-AE8A-1F2AC7305372}"/>
            </c:ext>
          </c:extLst>
        </c:ser>
        <c:ser>
          <c:idx val="3"/>
          <c:order val="3"/>
          <c:tx>
            <c:strRef>
              <c:f>'5章_障がい児'!F721</c:f>
              <c:strCache>
                <c:ptCount val="1"/>
                <c:pt idx="0">
                  <c:v>福祉施設で暮らしたい</c:v>
                </c:pt>
              </c:strCache>
            </c:strRef>
          </c:tx>
          <c:spPr>
            <a:solidFill>
              <a:srgbClr val="B4CFE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'5章_障がい児'!$B$722:$B$726</c:f>
              <c:strCache>
                <c:ptCount val="5"/>
                <c:pt idx="0">
                  <c:v>0～5歳</c:v>
                </c:pt>
                <c:pt idx="1">
                  <c:v>6～11歳</c:v>
                </c:pt>
                <c:pt idx="2">
                  <c:v>12～14歳</c:v>
                </c:pt>
                <c:pt idx="3">
                  <c:v>15～17歳</c:v>
                </c:pt>
                <c:pt idx="4">
                  <c:v>18歳以上</c:v>
                </c:pt>
              </c:strCache>
            </c:strRef>
          </c:cat>
          <c:val>
            <c:numRef>
              <c:f>'5章_障がい児'!$F$722:$F$726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8D1-48E1-AE8A-1F2AC7305372}"/>
            </c:ext>
          </c:extLst>
        </c:ser>
        <c:ser>
          <c:idx val="4"/>
          <c:order val="4"/>
          <c:tx>
            <c:strRef>
              <c:f>'5章_障がい児'!G721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'5章_障がい児'!$B$722:$B$726</c:f>
              <c:strCache>
                <c:ptCount val="5"/>
                <c:pt idx="0">
                  <c:v>0～5歳</c:v>
                </c:pt>
                <c:pt idx="1">
                  <c:v>6～11歳</c:v>
                </c:pt>
                <c:pt idx="2">
                  <c:v>12～14歳</c:v>
                </c:pt>
                <c:pt idx="3">
                  <c:v>15～17歳</c:v>
                </c:pt>
                <c:pt idx="4">
                  <c:v>18歳以上</c:v>
                </c:pt>
              </c:strCache>
            </c:strRef>
          </c:cat>
          <c:val>
            <c:numRef>
              <c:f>'5章_障がい児'!$G$722:$G$726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8D1-48E1-AE8A-1F2AC7305372}"/>
            </c:ext>
          </c:extLst>
        </c:ser>
        <c:ser>
          <c:idx val="5"/>
          <c:order val="5"/>
          <c:tx>
            <c:strRef>
              <c:f>'5章_障がい児'!H721</c:f>
              <c:strCache>
                <c:ptCount val="1"/>
                <c:pt idx="0">
                  <c:v>無回答</c:v>
                </c:pt>
              </c:strCache>
            </c:strRef>
          </c:tx>
          <c:spPr>
            <a:solidFill>
              <a:srgbClr val="E3E3E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262626"/>
                    </a:solidFill>
                    <a:latin typeface="BIZ UDPゴシック"/>
                    <a:ea typeface="BIZ UDPゴシック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'5章_障がい児'!$B$722:$B$726</c:f>
              <c:strCache>
                <c:ptCount val="5"/>
                <c:pt idx="0">
                  <c:v>0～5歳</c:v>
                </c:pt>
                <c:pt idx="1">
                  <c:v>6～11歳</c:v>
                </c:pt>
                <c:pt idx="2">
                  <c:v>12～14歳</c:v>
                </c:pt>
                <c:pt idx="3">
                  <c:v>15～17歳</c:v>
                </c:pt>
                <c:pt idx="4">
                  <c:v>18歳以上</c:v>
                </c:pt>
              </c:strCache>
            </c:strRef>
          </c:cat>
          <c:val>
            <c:numRef>
              <c:f>'5章_障がい児'!$H$722:$H$726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8D1-48E1-AE8A-1F2AC7305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BIZ UDPゴシック"/>
                <a:ea typeface="BIZ UDPゴシック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50" b="0">
              <a:latin typeface="BIZ UDPゴシック"/>
              <a:ea typeface="BIZ UDPゴシック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6" Type="http://schemas.openxmlformats.org/officeDocument/2006/relationships/chart" Target="../charts/chart35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5" Type="http://schemas.openxmlformats.org/officeDocument/2006/relationships/chart" Target="../charts/chart3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12" Type="http://schemas.openxmlformats.org/officeDocument/2006/relationships/chart" Target="../charts/chart47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11" Type="http://schemas.openxmlformats.org/officeDocument/2006/relationships/chart" Target="../charts/chart46.xml"/><Relationship Id="rId5" Type="http://schemas.openxmlformats.org/officeDocument/2006/relationships/chart" Target="../charts/chart40.xml"/><Relationship Id="rId10" Type="http://schemas.openxmlformats.org/officeDocument/2006/relationships/chart" Target="../charts/chart45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10" Type="http://schemas.openxmlformats.org/officeDocument/2006/relationships/chart" Target="../charts/chart57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5" Type="http://schemas.openxmlformats.org/officeDocument/2006/relationships/chart" Target="../charts/chart62.xml"/><Relationship Id="rId4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6" Type="http://schemas.openxmlformats.org/officeDocument/2006/relationships/chart" Target="../charts/chart81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5" Type="http://schemas.openxmlformats.org/officeDocument/2006/relationships/chart" Target="../charts/chart8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Relationship Id="rId14" Type="http://schemas.openxmlformats.org/officeDocument/2006/relationships/chart" Target="../charts/chart7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9.xml"/><Relationship Id="rId3" Type="http://schemas.openxmlformats.org/officeDocument/2006/relationships/chart" Target="../charts/chart84.xml"/><Relationship Id="rId7" Type="http://schemas.openxmlformats.org/officeDocument/2006/relationships/chart" Target="../charts/chart88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6" Type="http://schemas.openxmlformats.org/officeDocument/2006/relationships/chart" Target="../charts/chart87.xml"/><Relationship Id="rId5" Type="http://schemas.openxmlformats.org/officeDocument/2006/relationships/chart" Target="../charts/chart86.xml"/><Relationship Id="rId10" Type="http://schemas.openxmlformats.org/officeDocument/2006/relationships/chart" Target="../charts/chart91.xml"/><Relationship Id="rId4" Type="http://schemas.openxmlformats.org/officeDocument/2006/relationships/chart" Target="../charts/chart85.xml"/><Relationship Id="rId9" Type="http://schemas.openxmlformats.org/officeDocument/2006/relationships/chart" Target="../charts/chart9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4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4" Type="http://schemas.openxmlformats.org/officeDocument/2006/relationships/chart" Target="../charts/chart95.xml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08.xml"/><Relationship Id="rId18" Type="http://schemas.openxmlformats.org/officeDocument/2006/relationships/chart" Target="../charts/chart113.xml"/><Relationship Id="rId26" Type="http://schemas.openxmlformats.org/officeDocument/2006/relationships/chart" Target="../charts/chart121.xml"/><Relationship Id="rId39" Type="http://schemas.openxmlformats.org/officeDocument/2006/relationships/chart" Target="../charts/chart134.xml"/><Relationship Id="rId21" Type="http://schemas.openxmlformats.org/officeDocument/2006/relationships/chart" Target="../charts/chart116.xml"/><Relationship Id="rId34" Type="http://schemas.openxmlformats.org/officeDocument/2006/relationships/chart" Target="../charts/chart129.xml"/><Relationship Id="rId42" Type="http://schemas.openxmlformats.org/officeDocument/2006/relationships/chart" Target="../charts/chart137.xml"/><Relationship Id="rId47" Type="http://schemas.openxmlformats.org/officeDocument/2006/relationships/chart" Target="../charts/chart142.xml"/><Relationship Id="rId7" Type="http://schemas.openxmlformats.org/officeDocument/2006/relationships/chart" Target="../charts/chart102.xml"/><Relationship Id="rId2" Type="http://schemas.openxmlformats.org/officeDocument/2006/relationships/chart" Target="../charts/chart97.xml"/><Relationship Id="rId16" Type="http://schemas.openxmlformats.org/officeDocument/2006/relationships/chart" Target="../charts/chart111.xml"/><Relationship Id="rId29" Type="http://schemas.openxmlformats.org/officeDocument/2006/relationships/chart" Target="../charts/chart124.xml"/><Relationship Id="rId1" Type="http://schemas.openxmlformats.org/officeDocument/2006/relationships/chart" Target="../charts/chart96.xml"/><Relationship Id="rId6" Type="http://schemas.openxmlformats.org/officeDocument/2006/relationships/chart" Target="../charts/chart101.xml"/><Relationship Id="rId11" Type="http://schemas.openxmlformats.org/officeDocument/2006/relationships/chart" Target="../charts/chart106.xml"/><Relationship Id="rId24" Type="http://schemas.openxmlformats.org/officeDocument/2006/relationships/chart" Target="../charts/chart119.xml"/><Relationship Id="rId32" Type="http://schemas.openxmlformats.org/officeDocument/2006/relationships/chart" Target="../charts/chart127.xml"/><Relationship Id="rId37" Type="http://schemas.openxmlformats.org/officeDocument/2006/relationships/chart" Target="../charts/chart132.xml"/><Relationship Id="rId40" Type="http://schemas.openxmlformats.org/officeDocument/2006/relationships/chart" Target="../charts/chart135.xml"/><Relationship Id="rId45" Type="http://schemas.openxmlformats.org/officeDocument/2006/relationships/chart" Target="../charts/chart140.xml"/><Relationship Id="rId5" Type="http://schemas.openxmlformats.org/officeDocument/2006/relationships/chart" Target="../charts/chart100.xml"/><Relationship Id="rId15" Type="http://schemas.openxmlformats.org/officeDocument/2006/relationships/chart" Target="../charts/chart110.xml"/><Relationship Id="rId23" Type="http://schemas.openxmlformats.org/officeDocument/2006/relationships/chart" Target="../charts/chart118.xml"/><Relationship Id="rId28" Type="http://schemas.openxmlformats.org/officeDocument/2006/relationships/chart" Target="../charts/chart123.xml"/><Relationship Id="rId36" Type="http://schemas.openxmlformats.org/officeDocument/2006/relationships/chart" Target="../charts/chart131.xml"/><Relationship Id="rId10" Type="http://schemas.openxmlformats.org/officeDocument/2006/relationships/chart" Target="../charts/chart105.xml"/><Relationship Id="rId19" Type="http://schemas.openxmlformats.org/officeDocument/2006/relationships/chart" Target="../charts/chart114.xml"/><Relationship Id="rId31" Type="http://schemas.openxmlformats.org/officeDocument/2006/relationships/chart" Target="../charts/chart126.xml"/><Relationship Id="rId44" Type="http://schemas.openxmlformats.org/officeDocument/2006/relationships/chart" Target="../charts/chart139.xml"/><Relationship Id="rId4" Type="http://schemas.openxmlformats.org/officeDocument/2006/relationships/chart" Target="../charts/chart99.xml"/><Relationship Id="rId9" Type="http://schemas.openxmlformats.org/officeDocument/2006/relationships/chart" Target="../charts/chart104.xml"/><Relationship Id="rId14" Type="http://schemas.openxmlformats.org/officeDocument/2006/relationships/chart" Target="../charts/chart109.xml"/><Relationship Id="rId22" Type="http://schemas.openxmlformats.org/officeDocument/2006/relationships/chart" Target="../charts/chart117.xml"/><Relationship Id="rId27" Type="http://schemas.openxmlformats.org/officeDocument/2006/relationships/chart" Target="../charts/chart122.xml"/><Relationship Id="rId30" Type="http://schemas.openxmlformats.org/officeDocument/2006/relationships/chart" Target="../charts/chart125.xml"/><Relationship Id="rId35" Type="http://schemas.openxmlformats.org/officeDocument/2006/relationships/chart" Target="../charts/chart130.xml"/><Relationship Id="rId43" Type="http://schemas.openxmlformats.org/officeDocument/2006/relationships/chart" Target="../charts/chart138.xml"/><Relationship Id="rId8" Type="http://schemas.openxmlformats.org/officeDocument/2006/relationships/chart" Target="../charts/chart103.xml"/><Relationship Id="rId3" Type="http://schemas.openxmlformats.org/officeDocument/2006/relationships/chart" Target="../charts/chart98.xml"/><Relationship Id="rId12" Type="http://schemas.openxmlformats.org/officeDocument/2006/relationships/chart" Target="../charts/chart107.xml"/><Relationship Id="rId17" Type="http://schemas.openxmlformats.org/officeDocument/2006/relationships/chart" Target="../charts/chart112.xml"/><Relationship Id="rId25" Type="http://schemas.openxmlformats.org/officeDocument/2006/relationships/chart" Target="../charts/chart120.xml"/><Relationship Id="rId33" Type="http://schemas.openxmlformats.org/officeDocument/2006/relationships/chart" Target="../charts/chart128.xml"/><Relationship Id="rId38" Type="http://schemas.openxmlformats.org/officeDocument/2006/relationships/chart" Target="../charts/chart133.xml"/><Relationship Id="rId46" Type="http://schemas.openxmlformats.org/officeDocument/2006/relationships/chart" Target="../charts/chart141.xml"/><Relationship Id="rId20" Type="http://schemas.openxmlformats.org/officeDocument/2006/relationships/chart" Target="../charts/chart115.xml"/><Relationship Id="rId41" Type="http://schemas.openxmlformats.org/officeDocument/2006/relationships/chart" Target="../charts/chart13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1994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5940000" cy="1655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26</xdr:row>
      <xdr:rowOff>0</xdr:rowOff>
    </xdr:from>
    <xdr:ext cx="6120000" cy="230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40</xdr:row>
      <xdr:rowOff>0</xdr:rowOff>
    </xdr:from>
    <xdr:ext cx="5940000" cy="1655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51</xdr:row>
      <xdr:rowOff>0</xdr:rowOff>
    </xdr:from>
    <xdr:ext cx="6120000" cy="2304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66</xdr:row>
      <xdr:rowOff>0</xdr:rowOff>
    </xdr:from>
    <xdr:ext cx="5940000" cy="23184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10</xdr:col>
      <xdr:colOff>0</xdr:colOff>
      <xdr:row>78</xdr:row>
      <xdr:rowOff>0</xdr:rowOff>
    </xdr:from>
    <xdr:ext cx="6120000" cy="2304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89</xdr:row>
      <xdr:rowOff>0</xdr:rowOff>
    </xdr:from>
    <xdr:ext cx="5940000" cy="1771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</xdr:col>
      <xdr:colOff>0</xdr:colOff>
      <xdr:row>101</xdr:row>
      <xdr:rowOff>0</xdr:rowOff>
    </xdr:from>
    <xdr:ext cx="6120000" cy="400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</xdr:col>
      <xdr:colOff>0</xdr:colOff>
      <xdr:row>124</xdr:row>
      <xdr:rowOff>0</xdr:rowOff>
    </xdr:from>
    <xdr:ext cx="6120000" cy="4356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6</xdr:col>
      <xdr:colOff>0</xdr:colOff>
      <xdr:row>148</xdr:row>
      <xdr:rowOff>0</xdr:rowOff>
    </xdr:from>
    <xdr:ext cx="6120000" cy="6192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181</xdr:row>
      <xdr:rowOff>0</xdr:rowOff>
    </xdr:from>
    <xdr:ext cx="5940000" cy="1771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6</xdr:col>
      <xdr:colOff>0</xdr:colOff>
      <xdr:row>193</xdr:row>
      <xdr:rowOff>0</xdr:rowOff>
    </xdr:from>
    <xdr:ext cx="6120000" cy="400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216</xdr:row>
      <xdr:rowOff>0</xdr:rowOff>
    </xdr:from>
    <xdr:ext cx="5940000" cy="1655999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9</xdr:col>
      <xdr:colOff>0</xdr:colOff>
      <xdr:row>227</xdr:row>
      <xdr:rowOff>0</xdr:rowOff>
    </xdr:from>
    <xdr:ext cx="6120000" cy="2304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242</xdr:row>
      <xdr:rowOff>0</xdr:rowOff>
    </xdr:from>
    <xdr:ext cx="5940000" cy="1655999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6</xdr:col>
      <xdr:colOff>0</xdr:colOff>
      <xdr:row>254</xdr:row>
      <xdr:rowOff>0</xdr:rowOff>
    </xdr:from>
    <xdr:ext cx="6120000" cy="2304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269</xdr:row>
      <xdr:rowOff>0</xdr:rowOff>
    </xdr:from>
    <xdr:ext cx="5940000" cy="1655999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7</xdr:col>
      <xdr:colOff>0</xdr:colOff>
      <xdr:row>280</xdr:row>
      <xdr:rowOff>0</xdr:rowOff>
    </xdr:from>
    <xdr:ext cx="6120000" cy="2304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2217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16</xdr:row>
      <xdr:rowOff>0</xdr:rowOff>
    </xdr:from>
    <xdr:ext cx="5940000" cy="2217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30</xdr:row>
      <xdr:rowOff>0</xdr:rowOff>
    </xdr:from>
    <xdr:ext cx="5940000" cy="1655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41</xdr:row>
      <xdr:rowOff>0</xdr:rowOff>
    </xdr:from>
    <xdr:ext cx="5940000" cy="1655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52</xdr:row>
      <xdr:rowOff>0</xdr:rowOff>
    </xdr:from>
    <xdr:ext cx="5940000" cy="1655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64</xdr:row>
      <xdr:rowOff>0</xdr:rowOff>
    </xdr:from>
    <xdr:ext cx="6120000" cy="230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78</xdr:row>
      <xdr:rowOff>0</xdr:rowOff>
    </xdr:from>
    <xdr:ext cx="5940000" cy="1655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</xdr:col>
      <xdr:colOff>0</xdr:colOff>
      <xdr:row>90</xdr:row>
      <xdr:rowOff>0</xdr:rowOff>
    </xdr:from>
    <xdr:ext cx="6120000" cy="2304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104</xdr:row>
      <xdr:rowOff>0</xdr:rowOff>
    </xdr:from>
    <xdr:ext cx="5940000" cy="1655999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0</xdr:colOff>
      <xdr:row>116</xdr:row>
      <xdr:rowOff>0</xdr:rowOff>
    </xdr:from>
    <xdr:ext cx="6120000" cy="2304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131</xdr:row>
      <xdr:rowOff>0</xdr:rowOff>
    </xdr:from>
    <xdr:ext cx="5940000" cy="1655999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6</xdr:col>
      <xdr:colOff>0</xdr:colOff>
      <xdr:row>143</xdr:row>
      <xdr:rowOff>0</xdr:rowOff>
    </xdr:from>
    <xdr:ext cx="6120000" cy="2304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158</xdr:row>
      <xdr:rowOff>0</xdr:rowOff>
    </xdr:from>
    <xdr:ext cx="5940000" cy="22176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6</xdr:col>
      <xdr:colOff>0</xdr:colOff>
      <xdr:row>172</xdr:row>
      <xdr:rowOff>0</xdr:rowOff>
    </xdr:from>
    <xdr:ext cx="6120000" cy="40032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195</xdr:row>
      <xdr:rowOff>0</xdr:rowOff>
    </xdr:from>
    <xdr:ext cx="5940000" cy="33336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6</xdr:col>
      <xdr:colOff>0</xdr:colOff>
      <xdr:row>214</xdr:row>
      <xdr:rowOff>0</xdr:rowOff>
    </xdr:from>
    <xdr:ext cx="6120000" cy="72864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1771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14</xdr:row>
      <xdr:rowOff>0</xdr:rowOff>
    </xdr:from>
    <xdr:ext cx="6120000" cy="230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26</xdr:row>
      <xdr:rowOff>0</xdr:rowOff>
    </xdr:from>
    <xdr:ext cx="5940000" cy="34416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45</xdr:row>
      <xdr:rowOff>0</xdr:rowOff>
    </xdr:from>
    <xdr:ext cx="6120000" cy="78336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86</xdr:row>
      <xdr:rowOff>0</xdr:rowOff>
    </xdr:from>
    <xdr:ext cx="5940000" cy="1655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0</xdr:colOff>
      <xdr:row>97</xdr:row>
      <xdr:rowOff>0</xdr:rowOff>
    </xdr:from>
    <xdr:ext cx="6120000" cy="230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111</xdr:row>
      <xdr:rowOff>0</xdr:rowOff>
    </xdr:from>
    <xdr:ext cx="5940000" cy="1871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10</xdr:col>
      <xdr:colOff>0</xdr:colOff>
      <xdr:row>123</xdr:row>
      <xdr:rowOff>0</xdr:rowOff>
    </xdr:from>
    <xdr:ext cx="6120000" cy="2304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136</xdr:row>
      <xdr:rowOff>0</xdr:rowOff>
    </xdr:from>
    <xdr:ext cx="5940000" cy="2664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0</xdr:colOff>
      <xdr:row>152</xdr:row>
      <xdr:rowOff>0</xdr:rowOff>
    </xdr:from>
    <xdr:ext cx="6120000" cy="6192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186</xdr:row>
      <xdr:rowOff>0</xdr:rowOff>
    </xdr:from>
    <xdr:ext cx="5940000" cy="36576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6</xdr:col>
      <xdr:colOff>0</xdr:colOff>
      <xdr:row>205</xdr:row>
      <xdr:rowOff>0</xdr:rowOff>
    </xdr:from>
    <xdr:ext cx="6120000" cy="78336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33191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6120000" cy="6739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53</xdr:row>
      <xdr:rowOff>0</xdr:rowOff>
    </xdr:from>
    <xdr:ext cx="5940000" cy="19871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66</xdr:row>
      <xdr:rowOff>0</xdr:rowOff>
    </xdr:from>
    <xdr:ext cx="6120000" cy="230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77</xdr:row>
      <xdr:rowOff>0</xdr:rowOff>
    </xdr:from>
    <xdr:ext cx="5940000" cy="1655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88</xdr:row>
      <xdr:rowOff>0</xdr:rowOff>
    </xdr:from>
    <xdr:ext cx="6120000" cy="230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101</xdr:row>
      <xdr:rowOff>0</xdr:rowOff>
    </xdr:from>
    <xdr:ext cx="5940000" cy="13248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7</xdr:col>
      <xdr:colOff>0</xdr:colOff>
      <xdr:row>111</xdr:row>
      <xdr:rowOff>0</xdr:rowOff>
    </xdr:from>
    <xdr:ext cx="6120000" cy="2304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123</xdr:row>
      <xdr:rowOff>0</xdr:rowOff>
    </xdr:from>
    <xdr:ext cx="5940000" cy="2887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0</xdr:colOff>
      <xdr:row>140</xdr:row>
      <xdr:rowOff>0</xdr:rowOff>
    </xdr:from>
    <xdr:ext cx="6120000" cy="6739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2217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16</xdr:row>
      <xdr:rowOff>0</xdr:rowOff>
    </xdr:from>
    <xdr:ext cx="6120000" cy="230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30</xdr:row>
      <xdr:rowOff>0</xdr:rowOff>
    </xdr:from>
    <xdr:ext cx="5940000" cy="1655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42</xdr:row>
      <xdr:rowOff>0</xdr:rowOff>
    </xdr:from>
    <xdr:ext cx="6120000" cy="230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56</xdr:row>
      <xdr:rowOff>0</xdr:rowOff>
    </xdr:from>
    <xdr:ext cx="5940000" cy="22176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70</xdr:row>
      <xdr:rowOff>0</xdr:rowOff>
    </xdr:from>
    <xdr:ext cx="6120000" cy="230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104</xdr:row>
      <xdr:rowOff>0</xdr:rowOff>
    </xdr:from>
    <xdr:ext cx="6120000" cy="4608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</xdr:col>
      <xdr:colOff>0</xdr:colOff>
      <xdr:row>129</xdr:row>
      <xdr:rowOff>0</xdr:rowOff>
    </xdr:from>
    <xdr:ext cx="6120000" cy="4608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4111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6120000" cy="9475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73</xdr:row>
      <xdr:rowOff>0</xdr:rowOff>
    </xdr:from>
    <xdr:ext cx="5940000" cy="4219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95</xdr:row>
      <xdr:rowOff>0</xdr:rowOff>
    </xdr:from>
    <xdr:ext cx="6120000" cy="9475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143</xdr:row>
      <xdr:rowOff>0</xdr:rowOff>
    </xdr:from>
    <xdr:ext cx="5940000" cy="1655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154</xdr:row>
      <xdr:rowOff>0</xdr:rowOff>
    </xdr:from>
    <xdr:ext cx="6120000" cy="230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169</xdr:row>
      <xdr:rowOff>0</xdr:rowOff>
    </xdr:from>
    <xdr:ext cx="5940000" cy="24408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</xdr:col>
      <xdr:colOff>0</xdr:colOff>
      <xdr:row>184</xdr:row>
      <xdr:rowOff>0</xdr:rowOff>
    </xdr:from>
    <xdr:ext cx="6120000" cy="56448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215</xdr:row>
      <xdr:rowOff>0</xdr:rowOff>
    </xdr:from>
    <xdr:ext cx="5940000" cy="13248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</xdr:col>
      <xdr:colOff>0</xdr:colOff>
      <xdr:row>225</xdr:row>
      <xdr:rowOff>0</xdr:rowOff>
    </xdr:from>
    <xdr:ext cx="6120000" cy="2304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237</xdr:row>
      <xdr:rowOff>0</xdr:rowOff>
    </xdr:from>
    <xdr:ext cx="5940000" cy="22176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6</xdr:col>
      <xdr:colOff>0</xdr:colOff>
      <xdr:row>251</xdr:row>
      <xdr:rowOff>0</xdr:rowOff>
    </xdr:from>
    <xdr:ext cx="6120000" cy="50976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279</xdr:row>
      <xdr:rowOff>0</xdr:rowOff>
    </xdr:from>
    <xdr:ext cx="5940000" cy="1655999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6</xdr:col>
      <xdr:colOff>0</xdr:colOff>
      <xdr:row>291</xdr:row>
      <xdr:rowOff>0</xdr:rowOff>
    </xdr:from>
    <xdr:ext cx="6120000" cy="2304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306</xdr:row>
      <xdr:rowOff>0</xdr:rowOff>
    </xdr:from>
    <xdr:ext cx="5940000" cy="1655999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6</xdr:col>
      <xdr:colOff>0</xdr:colOff>
      <xdr:row>318</xdr:row>
      <xdr:rowOff>0</xdr:rowOff>
    </xdr:from>
    <xdr:ext cx="6120000" cy="2304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1655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13</xdr:row>
      <xdr:rowOff>0</xdr:rowOff>
    </xdr:from>
    <xdr:ext cx="6120000" cy="230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28</xdr:row>
      <xdr:rowOff>0</xdr:rowOff>
    </xdr:from>
    <xdr:ext cx="5940000" cy="1655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39</xdr:row>
      <xdr:rowOff>0</xdr:rowOff>
    </xdr:from>
    <xdr:ext cx="6120000" cy="230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54</xdr:row>
      <xdr:rowOff>0</xdr:rowOff>
    </xdr:from>
    <xdr:ext cx="5940000" cy="34343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73</xdr:row>
      <xdr:rowOff>0</xdr:rowOff>
    </xdr:from>
    <xdr:ext cx="6120000" cy="72864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111</xdr:row>
      <xdr:rowOff>0</xdr:rowOff>
    </xdr:from>
    <xdr:ext cx="5940000" cy="1655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</xdr:col>
      <xdr:colOff>0</xdr:colOff>
      <xdr:row>123</xdr:row>
      <xdr:rowOff>0</xdr:rowOff>
    </xdr:from>
    <xdr:ext cx="6120000" cy="2304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138</xdr:row>
      <xdr:rowOff>0</xdr:rowOff>
    </xdr:from>
    <xdr:ext cx="5940000" cy="1655999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0</xdr:colOff>
      <xdr:row>150</xdr:row>
      <xdr:rowOff>0</xdr:rowOff>
    </xdr:from>
    <xdr:ext cx="6120000" cy="2304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23</xdr:row>
      <xdr:rowOff>0</xdr:rowOff>
    </xdr:from>
    <xdr:ext cx="6120000" cy="264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59</xdr:row>
      <xdr:rowOff>0</xdr:rowOff>
    </xdr:from>
    <xdr:ext cx="6120000" cy="2987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90</xdr:row>
      <xdr:rowOff>0</xdr:rowOff>
    </xdr:from>
    <xdr:ext cx="6120000" cy="264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148</xdr:row>
      <xdr:rowOff>0</xdr:rowOff>
    </xdr:from>
    <xdr:ext cx="6120000" cy="57311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0000" cy="1994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5940000" cy="1655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26</xdr:row>
      <xdr:rowOff>0</xdr:rowOff>
    </xdr:from>
    <xdr:ext cx="5940000" cy="1655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37</xdr:row>
      <xdr:rowOff>0</xdr:rowOff>
    </xdr:from>
    <xdr:ext cx="5940000" cy="1771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5940000" cy="154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60</xdr:row>
      <xdr:rowOff>0</xdr:rowOff>
    </xdr:from>
    <xdr:ext cx="6120000" cy="435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84</xdr:row>
      <xdr:rowOff>0</xdr:rowOff>
    </xdr:from>
    <xdr:ext cx="5940000" cy="13248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94</xdr:row>
      <xdr:rowOff>0</xdr:rowOff>
    </xdr:from>
    <xdr:ext cx="5940000" cy="1655999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105</xdr:row>
      <xdr:rowOff>0</xdr:rowOff>
    </xdr:from>
    <xdr:ext cx="5940000" cy="1655999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117</xdr:row>
      <xdr:rowOff>0</xdr:rowOff>
    </xdr:from>
    <xdr:ext cx="5940000" cy="1655999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128</xdr:row>
      <xdr:rowOff>0</xdr:rowOff>
    </xdr:from>
    <xdr:ext cx="5940000" cy="22176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142</xdr:row>
      <xdr:rowOff>0</xdr:rowOff>
    </xdr:from>
    <xdr:ext cx="5940000" cy="22176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156</xdr:row>
      <xdr:rowOff>0</xdr:rowOff>
    </xdr:from>
    <xdr:ext cx="5940000" cy="1655999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167</xdr:row>
      <xdr:rowOff>0</xdr:rowOff>
    </xdr:from>
    <xdr:ext cx="5940000" cy="1655999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178</xdr:row>
      <xdr:rowOff>0</xdr:rowOff>
    </xdr:from>
    <xdr:ext cx="5940000" cy="1655999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190</xdr:row>
      <xdr:rowOff>0</xdr:rowOff>
    </xdr:from>
    <xdr:ext cx="5940000" cy="1655999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202</xdr:row>
      <xdr:rowOff>0</xdr:rowOff>
    </xdr:from>
    <xdr:ext cx="5940000" cy="1655999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214</xdr:row>
      <xdr:rowOff>0</xdr:rowOff>
    </xdr:from>
    <xdr:ext cx="5940000" cy="1655999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226</xdr:row>
      <xdr:rowOff>0</xdr:rowOff>
    </xdr:from>
    <xdr:ext cx="5940000" cy="22176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240</xdr:row>
      <xdr:rowOff>0</xdr:rowOff>
    </xdr:from>
    <xdr:ext cx="5940000" cy="33336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259</xdr:row>
      <xdr:rowOff>0</xdr:rowOff>
    </xdr:from>
    <xdr:ext cx="5940000" cy="2772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275</xdr:row>
      <xdr:rowOff>0</xdr:rowOff>
    </xdr:from>
    <xdr:ext cx="5940000" cy="24408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290</xdr:row>
      <xdr:rowOff>0</xdr:rowOff>
    </xdr:from>
    <xdr:ext cx="5940000" cy="22176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304</xdr:row>
      <xdr:rowOff>0</xdr:rowOff>
    </xdr:from>
    <xdr:ext cx="5940000" cy="2772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5</xdr:col>
      <xdr:colOff>0</xdr:colOff>
      <xdr:row>320</xdr:row>
      <xdr:rowOff>0</xdr:rowOff>
    </xdr:from>
    <xdr:ext cx="5940000" cy="1655999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5</xdr:col>
      <xdr:colOff>0</xdr:colOff>
      <xdr:row>331</xdr:row>
      <xdr:rowOff>0</xdr:rowOff>
    </xdr:from>
    <xdr:ext cx="5940000" cy="1101599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5</xdr:col>
      <xdr:colOff>0</xdr:colOff>
      <xdr:row>340</xdr:row>
      <xdr:rowOff>0</xdr:rowOff>
    </xdr:from>
    <xdr:ext cx="5940000" cy="177120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5</xdr:col>
      <xdr:colOff>0</xdr:colOff>
      <xdr:row>352</xdr:row>
      <xdr:rowOff>0</xdr:rowOff>
    </xdr:from>
    <xdr:ext cx="5940000" cy="3110399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5</xdr:col>
      <xdr:colOff>0</xdr:colOff>
      <xdr:row>370</xdr:row>
      <xdr:rowOff>0</xdr:rowOff>
    </xdr:from>
    <xdr:ext cx="5940000" cy="1655999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5</xdr:col>
      <xdr:colOff>0</xdr:colOff>
      <xdr:row>381</xdr:row>
      <xdr:rowOff>0</xdr:rowOff>
    </xdr:from>
    <xdr:ext cx="5940000" cy="266400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5</xdr:col>
      <xdr:colOff>0</xdr:colOff>
      <xdr:row>397</xdr:row>
      <xdr:rowOff>0</xdr:rowOff>
    </xdr:from>
    <xdr:ext cx="5940000" cy="365760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4</xdr:col>
      <xdr:colOff>0</xdr:colOff>
      <xdr:row>441</xdr:row>
      <xdr:rowOff>0</xdr:rowOff>
    </xdr:from>
    <xdr:ext cx="6120000" cy="6163199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4</xdr:col>
      <xdr:colOff>0</xdr:colOff>
      <xdr:row>473</xdr:row>
      <xdr:rowOff>0</xdr:rowOff>
    </xdr:from>
    <xdr:ext cx="6120000" cy="6163199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5</xdr:col>
      <xdr:colOff>0</xdr:colOff>
      <xdr:row>505</xdr:row>
      <xdr:rowOff>0</xdr:rowOff>
    </xdr:from>
    <xdr:ext cx="5940000" cy="388800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5</xdr:col>
      <xdr:colOff>0</xdr:colOff>
      <xdr:row>526</xdr:row>
      <xdr:rowOff>0</xdr:rowOff>
    </xdr:from>
    <xdr:ext cx="5940000" cy="421920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5</xdr:col>
      <xdr:colOff>0</xdr:colOff>
      <xdr:row>548</xdr:row>
      <xdr:rowOff>0</xdr:rowOff>
    </xdr:from>
    <xdr:ext cx="5940000" cy="1655999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5</xdr:col>
      <xdr:colOff>0</xdr:colOff>
      <xdr:row>559</xdr:row>
      <xdr:rowOff>0</xdr:rowOff>
    </xdr:from>
    <xdr:ext cx="5940000" cy="2217600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5</xdr:col>
      <xdr:colOff>0</xdr:colOff>
      <xdr:row>573</xdr:row>
      <xdr:rowOff>0</xdr:rowOff>
    </xdr:from>
    <xdr:ext cx="5940000" cy="1324800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5</xdr:col>
      <xdr:colOff>0</xdr:colOff>
      <xdr:row>583</xdr:row>
      <xdr:rowOff>0</xdr:rowOff>
    </xdr:from>
    <xdr:ext cx="5940000" cy="2217600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5</xdr:col>
      <xdr:colOff>0</xdr:colOff>
      <xdr:row>597</xdr:row>
      <xdr:rowOff>0</xdr:rowOff>
    </xdr:from>
    <xdr:ext cx="5940000" cy="1655999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5</xdr:col>
      <xdr:colOff>0</xdr:colOff>
      <xdr:row>609</xdr:row>
      <xdr:rowOff>0</xdr:rowOff>
    </xdr:from>
    <xdr:ext cx="5940000" cy="1655999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5</xdr:col>
      <xdr:colOff>0</xdr:colOff>
      <xdr:row>621</xdr:row>
      <xdr:rowOff>0</xdr:rowOff>
    </xdr:from>
    <xdr:ext cx="5940000" cy="1655999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5</xdr:col>
      <xdr:colOff>0</xdr:colOff>
      <xdr:row>632</xdr:row>
      <xdr:rowOff>0</xdr:rowOff>
    </xdr:from>
    <xdr:ext cx="5940000" cy="1655999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5</xdr:col>
      <xdr:colOff>0</xdr:colOff>
      <xdr:row>643</xdr:row>
      <xdr:rowOff>0</xdr:rowOff>
    </xdr:from>
    <xdr:ext cx="5940000" cy="3434399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5</xdr:col>
      <xdr:colOff>0</xdr:colOff>
      <xdr:row>662</xdr:row>
      <xdr:rowOff>0</xdr:rowOff>
    </xdr:from>
    <xdr:ext cx="5940000" cy="1655999"/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5</xdr:col>
      <xdr:colOff>0</xdr:colOff>
      <xdr:row>674</xdr:row>
      <xdr:rowOff>0</xdr:rowOff>
    </xdr:from>
    <xdr:ext cx="5940000" cy="1655999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9</xdr:col>
      <xdr:colOff>0</xdr:colOff>
      <xdr:row>719</xdr:row>
      <xdr:rowOff>0</xdr:rowOff>
    </xdr:from>
    <xdr:ext cx="6120000" cy="2646000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#'5&#31456;_&#38556;&#12364;&#12356;&#20816;'!B156" TargetMode="External"/><Relationship Id="rId21" Type="http://schemas.openxmlformats.org/officeDocument/2006/relationships/hyperlink" Target="#'3&#31456;_1&#23646;&#24615;'!B269" TargetMode="External"/><Relationship Id="rId42" Type="http://schemas.openxmlformats.org/officeDocument/2006/relationships/hyperlink" Target="#'3&#31456;_3&#26286;&#12425;&#12375;&#12539;&#22806;&#20986;'!B45" TargetMode="External"/><Relationship Id="rId63" Type="http://schemas.openxmlformats.org/officeDocument/2006/relationships/hyperlink" Target="#'3&#31456;_5&#12469;&#12540;&#12499;&#12473;'!B30" TargetMode="External"/><Relationship Id="rId84" Type="http://schemas.openxmlformats.org/officeDocument/2006/relationships/hyperlink" Target="#'3&#31456;_6&#30456;&#35527;&#12539;&#27177;&#21033;'!B291" TargetMode="External"/><Relationship Id="rId138" Type="http://schemas.openxmlformats.org/officeDocument/2006/relationships/hyperlink" Target="#'5&#31456;_&#38556;&#12364;&#12356;&#20816;'!B473" TargetMode="External"/><Relationship Id="rId159" Type="http://schemas.openxmlformats.org/officeDocument/2006/relationships/hyperlink" Target="#'7&#31456;_&#36861;&#21152;&#20998;&#26512;'!B28" TargetMode="External"/><Relationship Id="rId107" Type="http://schemas.openxmlformats.org/officeDocument/2006/relationships/hyperlink" Target="#'5&#31456;_&#38556;&#12364;&#12356;&#20816;'!B26" TargetMode="External"/><Relationship Id="rId11" Type="http://schemas.openxmlformats.org/officeDocument/2006/relationships/hyperlink" Target="#'3&#31456;_1&#23646;&#24615;'!B89" TargetMode="External"/><Relationship Id="rId32" Type="http://schemas.openxmlformats.org/officeDocument/2006/relationships/hyperlink" Target="#'3&#31456;_2&#38556;&#12364;&#12356;&#12539;&#21307;&#30274;'!B116" TargetMode="External"/><Relationship Id="rId53" Type="http://schemas.openxmlformats.org/officeDocument/2006/relationships/hyperlink" Target="#'3&#31456;_4&#26085;&#20013;&#12539;&#23601;&#21172;'!B53" TargetMode="External"/><Relationship Id="rId74" Type="http://schemas.openxmlformats.org/officeDocument/2006/relationships/hyperlink" Target="#'3&#31456;_6&#30456;&#35527;&#12539;&#27177;&#21033;'!B95" TargetMode="External"/><Relationship Id="rId128" Type="http://schemas.openxmlformats.org/officeDocument/2006/relationships/hyperlink" Target="#'5&#31456;_&#38556;&#12364;&#12356;&#20816;'!B304" TargetMode="External"/><Relationship Id="rId149" Type="http://schemas.openxmlformats.org/officeDocument/2006/relationships/hyperlink" Target="#'5&#31456;_&#38556;&#12364;&#12356;&#20816;'!B643" TargetMode="External"/><Relationship Id="rId5" Type="http://schemas.openxmlformats.org/officeDocument/2006/relationships/hyperlink" Target="#'3&#31456;_1&#23646;&#24615;'!B15" TargetMode="External"/><Relationship Id="rId95" Type="http://schemas.openxmlformats.org/officeDocument/2006/relationships/hyperlink" Target="#'3&#31456;_7&#28797;&#23475;&#12539;&#24847;&#35211;'!B138" TargetMode="External"/><Relationship Id="rId160" Type="http://schemas.openxmlformats.org/officeDocument/2006/relationships/hyperlink" Target="#'7&#31456;_&#36861;&#21152;&#20998;&#26512;'!B35" TargetMode="External"/><Relationship Id="rId22" Type="http://schemas.openxmlformats.org/officeDocument/2006/relationships/hyperlink" Target="#'3&#31456;_1&#23646;&#24615;'!B280" TargetMode="External"/><Relationship Id="rId43" Type="http://schemas.openxmlformats.org/officeDocument/2006/relationships/hyperlink" Target="#'3&#31456;_3&#26286;&#12425;&#12375;&#12539;&#22806;&#20986;'!B86" TargetMode="External"/><Relationship Id="rId64" Type="http://schemas.openxmlformats.org/officeDocument/2006/relationships/hyperlink" Target="#'3&#31456;_5&#12469;&#12540;&#12499;&#12473;'!B42" TargetMode="External"/><Relationship Id="rId118" Type="http://schemas.openxmlformats.org/officeDocument/2006/relationships/hyperlink" Target="#'5&#31456;_&#38556;&#12364;&#12356;&#20816;'!B167" TargetMode="External"/><Relationship Id="rId139" Type="http://schemas.openxmlformats.org/officeDocument/2006/relationships/hyperlink" Target="#'5&#31456;_&#38556;&#12364;&#12356;&#20816;'!B505" TargetMode="External"/><Relationship Id="rId85" Type="http://schemas.openxmlformats.org/officeDocument/2006/relationships/hyperlink" Target="#'3&#31456;_6&#30456;&#35527;&#12539;&#27177;&#21033;'!B306" TargetMode="External"/><Relationship Id="rId150" Type="http://schemas.openxmlformats.org/officeDocument/2006/relationships/hyperlink" Target="#'5&#31456;_&#38556;&#12364;&#12356;&#20816;'!B662" TargetMode="External"/><Relationship Id="rId12" Type="http://schemas.openxmlformats.org/officeDocument/2006/relationships/hyperlink" Target="#'3&#31456;_1&#23646;&#24615;'!B101" TargetMode="External"/><Relationship Id="rId17" Type="http://schemas.openxmlformats.org/officeDocument/2006/relationships/hyperlink" Target="#'3&#31456;_1&#23646;&#24615;'!B216" TargetMode="External"/><Relationship Id="rId33" Type="http://schemas.openxmlformats.org/officeDocument/2006/relationships/hyperlink" Target="#'3&#31456;_2&#38556;&#12364;&#12356;&#12539;&#21307;&#30274;'!B131" TargetMode="External"/><Relationship Id="rId38" Type="http://schemas.openxmlformats.org/officeDocument/2006/relationships/hyperlink" Target="#'3&#31456;_2&#38556;&#12364;&#12356;&#12539;&#21307;&#30274;'!B214" TargetMode="External"/><Relationship Id="rId59" Type="http://schemas.openxmlformats.org/officeDocument/2006/relationships/hyperlink" Target="#'3&#31456;_4&#26085;&#20013;&#12539;&#23601;&#21172;'!B123" TargetMode="External"/><Relationship Id="rId103" Type="http://schemas.openxmlformats.org/officeDocument/2006/relationships/hyperlink" Target="#'4&#31456;_&#12463;&#12525;&#12473;&#38598;&#35336;'!B107" TargetMode="External"/><Relationship Id="rId108" Type="http://schemas.openxmlformats.org/officeDocument/2006/relationships/hyperlink" Target="#'5&#31456;_&#38556;&#12364;&#12356;&#20816;'!B37" TargetMode="External"/><Relationship Id="rId124" Type="http://schemas.openxmlformats.org/officeDocument/2006/relationships/hyperlink" Target="#'5&#31456;_&#38556;&#12364;&#12356;&#20816;'!B240" TargetMode="External"/><Relationship Id="rId129" Type="http://schemas.openxmlformats.org/officeDocument/2006/relationships/hyperlink" Target="#'5&#31456;_&#38556;&#12364;&#12356;&#20816;'!B320" TargetMode="External"/><Relationship Id="rId54" Type="http://schemas.openxmlformats.org/officeDocument/2006/relationships/hyperlink" Target="#'3&#31456;_4&#26085;&#20013;&#12539;&#23601;&#21172;'!B66" TargetMode="External"/><Relationship Id="rId70" Type="http://schemas.openxmlformats.org/officeDocument/2006/relationships/hyperlink" Target="#'3&#31456;_5&#12469;&#12540;&#12499;&#12473;'!B154" TargetMode="External"/><Relationship Id="rId75" Type="http://schemas.openxmlformats.org/officeDocument/2006/relationships/hyperlink" Target="#'3&#31456;_6&#30456;&#35527;&#12539;&#27177;&#21033;'!B143" TargetMode="External"/><Relationship Id="rId91" Type="http://schemas.openxmlformats.org/officeDocument/2006/relationships/hyperlink" Target="#'3&#31456;_7&#28797;&#23475;&#12539;&#24847;&#35211;'!B54" TargetMode="External"/><Relationship Id="rId96" Type="http://schemas.openxmlformats.org/officeDocument/2006/relationships/hyperlink" Target="#'3&#31456;_7&#28797;&#23475;&#12539;&#24847;&#35211;'!B150" TargetMode="External"/><Relationship Id="rId140" Type="http://schemas.openxmlformats.org/officeDocument/2006/relationships/hyperlink" Target="#'5&#31456;_&#38556;&#12364;&#12356;&#20816;'!B526" TargetMode="External"/><Relationship Id="rId145" Type="http://schemas.openxmlformats.org/officeDocument/2006/relationships/hyperlink" Target="#'5&#31456;_&#38556;&#12364;&#12356;&#20816;'!B597" TargetMode="External"/><Relationship Id="rId161" Type="http://schemas.openxmlformats.org/officeDocument/2006/relationships/hyperlink" Target="#'7&#31456;_&#36861;&#21152;&#20998;&#26512;'!B42" TargetMode="External"/><Relationship Id="rId166" Type="http://schemas.openxmlformats.org/officeDocument/2006/relationships/hyperlink" Target="#'&#38598;&#35336;_&#38556;&#12364;&#12356;&#32773;'!B4" TargetMode="External"/><Relationship Id="rId1" Type="http://schemas.openxmlformats.org/officeDocument/2006/relationships/hyperlink" Target="#'1-2&#31456;_&#27010;&#35201;&#12539;&#35201;&#28857;'!B2" TargetMode="External"/><Relationship Id="rId6" Type="http://schemas.openxmlformats.org/officeDocument/2006/relationships/hyperlink" Target="#'3&#31456;_1&#23646;&#24615;'!B26" TargetMode="External"/><Relationship Id="rId23" Type="http://schemas.openxmlformats.org/officeDocument/2006/relationships/hyperlink" Target="#'3&#31456;_2&#38556;&#12364;&#12356;&#12539;&#21307;&#30274;'!B2" TargetMode="External"/><Relationship Id="rId28" Type="http://schemas.openxmlformats.org/officeDocument/2006/relationships/hyperlink" Target="#'3&#31456;_2&#38556;&#12364;&#12356;&#12539;&#21307;&#30274;'!B64" TargetMode="External"/><Relationship Id="rId49" Type="http://schemas.openxmlformats.org/officeDocument/2006/relationships/hyperlink" Target="#'3&#31456;_3&#26286;&#12425;&#12375;&#12539;&#22806;&#20986;'!B186" TargetMode="External"/><Relationship Id="rId114" Type="http://schemas.openxmlformats.org/officeDocument/2006/relationships/hyperlink" Target="#'5&#31456;_&#38556;&#12364;&#12356;&#20816;'!B117" TargetMode="External"/><Relationship Id="rId119" Type="http://schemas.openxmlformats.org/officeDocument/2006/relationships/hyperlink" Target="#'5&#31456;_&#38556;&#12364;&#12356;&#20816;'!B178" TargetMode="External"/><Relationship Id="rId44" Type="http://schemas.openxmlformats.org/officeDocument/2006/relationships/hyperlink" Target="#'3&#31456;_3&#26286;&#12425;&#12375;&#12539;&#22806;&#20986;'!B97" TargetMode="External"/><Relationship Id="rId60" Type="http://schemas.openxmlformats.org/officeDocument/2006/relationships/hyperlink" Target="#'3&#31456;_4&#26085;&#20013;&#12539;&#23601;&#21172;'!B140" TargetMode="External"/><Relationship Id="rId65" Type="http://schemas.openxmlformats.org/officeDocument/2006/relationships/hyperlink" Target="#'3&#31456;_5&#12469;&#12540;&#12499;&#12473;'!B56" TargetMode="External"/><Relationship Id="rId81" Type="http://schemas.openxmlformats.org/officeDocument/2006/relationships/hyperlink" Target="#'3&#31456;_6&#30456;&#35527;&#12539;&#27177;&#21033;'!B237" TargetMode="External"/><Relationship Id="rId86" Type="http://schemas.openxmlformats.org/officeDocument/2006/relationships/hyperlink" Target="#'3&#31456;_6&#30456;&#35527;&#12539;&#27177;&#21033;'!B318" TargetMode="External"/><Relationship Id="rId130" Type="http://schemas.openxmlformats.org/officeDocument/2006/relationships/hyperlink" Target="#'5&#31456;_&#38556;&#12364;&#12356;&#20816;'!B331" TargetMode="External"/><Relationship Id="rId135" Type="http://schemas.openxmlformats.org/officeDocument/2006/relationships/hyperlink" Target="#'5&#31456;_&#38556;&#12364;&#12356;&#20816;'!B397" TargetMode="External"/><Relationship Id="rId151" Type="http://schemas.openxmlformats.org/officeDocument/2006/relationships/hyperlink" Target="#'5&#31456;_&#38556;&#12364;&#12356;&#20816;'!B674" TargetMode="External"/><Relationship Id="rId156" Type="http://schemas.openxmlformats.org/officeDocument/2006/relationships/hyperlink" Target="#'7&#31456;_&#36861;&#21152;&#20998;&#26512;'!B2" TargetMode="External"/><Relationship Id="rId13" Type="http://schemas.openxmlformats.org/officeDocument/2006/relationships/hyperlink" Target="#'3&#31456;_1&#23646;&#24615;'!B124" TargetMode="External"/><Relationship Id="rId18" Type="http://schemas.openxmlformats.org/officeDocument/2006/relationships/hyperlink" Target="#'3&#31456;_1&#23646;&#24615;'!B227" TargetMode="External"/><Relationship Id="rId39" Type="http://schemas.openxmlformats.org/officeDocument/2006/relationships/hyperlink" Target="#'3&#31456;_3&#26286;&#12425;&#12375;&#12539;&#22806;&#20986;'!B2" TargetMode="External"/><Relationship Id="rId109" Type="http://schemas.openxmlformats.org/officeDocument/2006/relationships/hyperlink" Target="#'5&#31456;_&#38556;&#12364;&#12356;&#20816;'!B49" TargetMode="External"/><Relationship Id="rId34" Type="http://schemas.openxmlformats.org/officeDocument/2006/relationships/hyperlink" Target="#'3&#31456;_2&#38556;&#12364;&#12356;&#12539;&#21307;&#30274;'!B143" TargetMode="External"/><Relationship Id="rId50" Type="http://schemas.openxmlformats.org/officeDocument/2006/relationships/hyperlink" Target="#'3&#31456;_3&#26286;&#12425;&#12375;&#12539;&#22806;&#20986;'!B205" TargetMode="External"/><Relationship Id="rId55" Type="http://schemas.openxmlformats.org/officeDocument/2006/relationships/hyperlink" Target="#'3&#31456;_4&#26085;&#20013;&#12539;&#23601;&#21172;'!B77" TargetMode="External"/><Relationship Id="rId76" Type="http://schemas.openxmlformats.org/officeDocument/2006/relationships/hyperlink" Target="#'3&#31456;_6&#30456;&#35527;&#12539;&#27177;&#21033;'!B154" TargetMode="External"/><Relationship Id="rId97" Type="http://schemas.openxmlformats.org/officeDocument/2006/relationships/hyperlink" Target="#'4&#31456;_&#12463;&#12525;&#12473;&#38598;&#35336;'!B2" TargetMode="External"/><Relationship Id="rId104" Type="http://schemas.openxmlformats.org/officeDocument/2006/relationships/hyperlink" Target="#'4&#31456;_&#12463;&#12525;&#12473;&#38598;&#35336;'!B148" TargetMode="External"/><Relationship Id="rId120" Type="http://schemas.openxmlformats.org/officeDocument/2006/relationships/hyperlink" Target="#'5&#31456;_&#38556;&#12364;&#12356;&#20816;'!B190" TargetMode="External"/><Relationship Id="rId125" Type="http://schemas.openxmlformats.org/officeDocument/2006/relationships/hyperlink" Target="#'5&#31456;_&#38556;&#12364;&#12356;&#20816;'!B259" TargetMode="External"/><Relationship Id="rId141" Type="http://schemas.openxmlformats.org/officeDocument/2006/relationships/hyperlink" Target="#'5&#31456;_&#38556;&#12364;&#12356;&#20816;'!B548" TargetMode="External"/><Relationship Id="rId146" Type="http://schemas.openxmlformats.org/officeDocument/2006/relationships/hyperlink" Target="#'5&#31456;_&#38556;&#12364;&#12356;&#20816;'!B609" TargetMode="External"/><Relationship Id="rId167" Type="http://schemas.openxmlformats.org/officeDocument/2006/relationships/hyperlink" Target="#'&#38598;&#35336;_&#38556;&#12364;&#12356;&#20816;'!B4" TargetMode="External"/><Relationship Id="rId7" Type="http://schemas.openxmlformats.org/officeDocument/2006/relationships/hyperlink" Target="#'3&#31456;_1&#23646;&#24615;'!B40" TargetMode="External"/><Relationship Id="rId71" Type="http://schemas.openxmlformats.org/officeDocument/2006/relationships/hyperlink" Target="#'3&#31456;_6&#30456;&#35527;&#12539;&#27177;&#21033;'!B2" TargetMode="External"/><Relationship Id="rId92" Type="http://schemas.openxmlformats.org/officeDocument/2006/relationships/hyperlink" Target="#'3&#31456;_7&#28797;&#23475;&#12539;&#24847;&#35211;'!B73" TargetMode="External"/><Relationship Id="rId162" Type="http://schemas.openxmlformats.org/officeDocument/2006/relationships/hyperlink" Target="#'7&#31456;_&#36861;&#21152;&#20998;&#26512;'!B48" TargetMode="External"/><Relationship Id="rId2" Type="http://schemas.openxmlformats.org/officeDocument/2006/relationships/hyperlink" Target="#'1-2&#31456;_&#27010;&#35201;&#12539;&#35201;&#28857;'!B12" TargetMode="External"/><Relationship Id="rId29" Type="http://schemas.openxmlformats.org/officeDocument/2006/relationships/hyperlink" Target="#'3&#31456;_2&#38556;&#12364;&#12356;&#12539;&#21307;&#30274;'!B78" TargetMode="External"/><Relationship Id="rId24" Type="http://schemas.openxmlformats.org/officeDocument/2006/relationships/hyperlink" Target="#'3&#31456;_2&#38556;&#12364;&#12356;&#12539;&#21307;&#30274;'!B16" TargetMode="External"/><Relationship Id="rId40" Type="http://schemas.openxmlformats.org/officeDocument/2006/relationships/hyperlink" Target="#'3&#31456;_3&#26286;&#12425;&#12375;&#12539;&#22806;&#20986;'!B14" TargetMode="External"/><Relationship Id="rId45" Type="http://schemas.openxmlformats.org/officeDocument/2006/relationships/hyperlink" Target="#'3&#31456;_3&#26286;&#12425;&#12375;&#12539;&#22806;&#20986;'!B111" TargetMode="External"/><Relationship Id="rId66" Type="http://schemas.openxmlformats.org/officeDocument/2006/relationships/hyperlink" Target="#'3&#31456;_5&#12469;&#12540;&#12499;&#12473;'!B70" TargetMode="External"/><Relationship Id="rId87" Type="http://schemas.openxmlformats.org/officeDocument/2006/relationships/hyperlink" Target="#'3&#31456;_7&#28797;&#23475;&#12539;&#24847;&#35211;'!B2" TargetMode="External"/><Relationship Id="rId110" Type="http://schemas.openxmlformats.org/officeDocument/2006/relationships/hyperlink" Target="#'5&#31456;_&#38556;&#12364;&#12356;&#20816;'!B60" TargetMode="External"/><Relationship Id="rId115" Type="http://schemas.openxmlformats.org/officeDocument/2006/relationships/hyperlink" Target="#'5&#31456;_&#38556;&#12364;&#12356;&#20816;'!B128" TargetMode="External"/><Relationship Id="rId131" Type="http://schemas.openxmlformats.org/officeDocument/2006/relationships/hyperlink" Target="#'5&#31456;_&#38556;&#12364;&#12356;&#20816;'!B340" TargetMode="External"/><Relationship Id="rId136" Type="http://schemas.openxmlformats.org/officeDocument/2006/relationships/hyperlink" Target="#'5&#31456;_&#38556;&#12364;&#12356;&#20816;'!B416" TargetMode="External"/><Relationship Id="rId157" Type="http://schemas.openxmlformats.org/officeDocument/2006/relationships/hyperlink" Target="#'7&#31456;_&#36861;&#21152;&#20998;&#26512;'!B13" TargetMode="External"/><Relationship Id="rId61" Type="http://schemas.openxmlformats.org/officeDocument/2006/relationships/hyperlink" Target="#'3&#31456;_5&#12469;&#12540;&#12499;&#12473;'!B2" TargetMode="External"/><Relationship Id="rId82" Type="http://schemas.openxmlformats.org/officeDocument/2006/relationships/hyperlink" Target="#'3&#31456;_6&#30456;&#35527;&#12539;&#27177;&#21033;'!B251" TargetMode="External"/><Relationship Id="rId152" Type="http://schemas.openxmlformats.org/officeDocument/2006/relationships/hyperlink" Target="#'5&#31456;_&#38556;&#12364;&#12356;&#20816;'!B686" TargetMode="External"/><Relationship Id="rId19" Type="http://schemas.openxmlformats.org/officeDocument/2006/relationships/hyperlink" Target="#'3&#31456;_1&#23646;&#24615;'!B242" TargetMode="External"/><Relationship Id="rId14" Type="http://schemas.openxmlformats.org/officeDocument/2006/relationships/hyperlink" Target="#'3&#31456;_1&#23646;&#24615;'!B148" TargetMode="External"/><Relationship Id="rId30" Type="http://schemas.openxmlformats.org/officeDocument/2006/relationships/hyperlink" Target="#'3&#31456;_2&#38556;&#12364;&#12356;&#12539;&#21307;&#30274;'!B90" TargetMode="External"/><Relationship Id="rId35" Type="http://schemas.openxmlformats.org/officeDocument/2006/relationships/hyperlink" Target="#'3&#31456;_2&#38556;&#12364;&#12356;&#12539;&#21307;&#30274;'!B158" TargetMode="External"/><Relationship Id="rId56" Type="http://schemas.openxmlformats.org/officeDocument/2006/relationships/hyperlink" Target="#'3&#31456;_4&#26085;&#20013;&#12539;&#23601;&#21172;'!B88" TargetMode="External"/><Relationship Id="rId77" Type="http://schemas.openxmlformats.org/officeDocument/2006/relationships/hyperlink" Target="#'3&#31456;_6&#30456;&#35527;&#12539;&#27177;&#21033;'!B169" TargetMode="External"/><Relationship Id="rId100" Type="http://schemas.openxmlformats.org/officeDocument/2006/relationships/hyperlink" Target="#'4&#31456;_&#12463;&#12525;&#12473;&#38598;&#35336;'!B59" TargetMode="External"/><Relationship Id="rId105" Type="http://schemas.openxmlformats.org/officeDocument/2006/relationships/hyperlink" Target="#'5&#31456;_&#38556;&#12364;&#12356;&#20816;'!B2" TargetMode="External"/><Relationship Id="rId126" Type="http://schemas.openxmlformats.org/officeDocument/2006/relationships/hyperlink" Target="#'5&#31456;_&#38556;&#12364;&#12356;&#20816;'!B275" TargetMode="External"/><Relationship Id="rId147" Type="http://schemas.openxmlformats.org/officeDocument/2006/relationships/hyperlink" Target="#'5&#31456;_&#38556;&#12364;&#12356;&#20816;'!B621" TargetMode="External"/><Relationship Id="rId168" Type="http://schemas.openxmlformats.org/officeDocument/2006/relationships/hyperlink" Target="#'&#38598;&#35336;_&#38556;&#12364;&#12356;&#21029;'!B4" TargetMode="External"/><Relationship Id="rId8" Type="http://schemas.openxmlformats.org/officeDocument/2006/relationships/hyperlink" Target="#'3&#31456;_1&#23646;&#24615;'!B51" TargetMode="External"/><Relationship Id="rId51" Type="http://schemas.openxmlformats.org/officeDocument/2006/relationships/hyperlink" Target="#'3&#31456;_4&#26085;&#20013;&#12539;&#23601;&#21172;'!B2" TargetMode="External"/><Relationship Id="rId72" Type="http://schemas.openxmlformats.org/officeDocument/2006/relationships/hyperlink" Target="#'3&#31456;_6&#30456;&#35527;&#12539;&#27177;&#21033;'!B24" TargetMode="External"/><Relationship Id="rId93" Type="http://schemas.openxmlformats.org/officeDocument/2006/relationships/hyperlink" Target="#'3&#31456;_7&#28797;&#23475;&#12539;&#24847;&#35211;'!B111" TargetMode="External"/><Relationship Id="rId98" Type="http://schemas.openxmlformats.org/officeDocument/2006/relationships/hyperlink" Target="#'4&#31456;_&#12463;&#12525;&#12473;&#38598;&#35336;'!B23" TargetMode="External"/><Relationship Id="rId121" Type="http://schemas.openxmlformats.org/officeDocument/2006/relationships/hyperlink" Target="#'5&#31456;_&#38556;&#12364;&#12356;&#20816;'!B202" TargetMode="External"/><Relationship Id="rId142" Type="http://schemas.openxmlformats.org/officeDocument/2006/relationships/hyperlink" Target="#'5&#31456;_&#38556;&#12364;&#12356;&#20816;'!B559" TargetMode="External"/><Relationship Id="rId163" Type="http://schemas.openxmlformats.org/officeDocument/2006/relationships/hyperlink" Target="#'7&#31456;_&#36861;&#21152;&#20998;&#26512;'!B57" TargetMode="External"/><Relationship Id="rId3" Type="http://schemas.openxmlformats.org/officeDocument/2006/relationships/hyperlink" Target="#'1-2&#31456;_&#27010;&#35201;&#12539;&#35201;&#28857;'!B24" TargetMode="External"/><Relationship Id="rId25" Type="http://schemas.openxmlformats.org/officeDocument/2006/relationships/hyperlink" Target="#'3&#31456;_2&#38556;&#12364;&#12356;&#12539;&#21307;&#30274;'!B30" TargetMode="External"/><Relationship Id="rId46" Type="http://schemas.openxmlformats.org/officeDocument/2006/relationships/hyperlink" Target="#'3&#31456;_3&#26286;&#12425;&#12375;&#12539;&#22806;&#20986;'!B123" TargetMode="External"/><Relationship Id="rId67" Type="http://schemas.openxmlformats.org/officeDocument/2006/relationships/hyperlink" Target="#'3&#31456;_5&#12469;&#12540;&#12499;&#12473;'!B85" TargetMode="External"/><Relationship Id="rId116" Type="http://schemas.openxmlformats.org/officeDocument/2006/relationships/hyperlink" Target="#'5&#31456;_&#38556;&#12364;&#12356;&#20816;'!B142" TargetMode="External"/><Relationship Id="rId137" Type="http://schemas.openxmlformats.org/officeDocument/2006/relationships/hyperlink" Target="#'5&#31456;_&#38556;&#12364;&#12356;&#20816;'!B441" TargetMode="External"/><Relationship Id="rId158" Type="http://schemas.openxmlformats.org/officeDocument/2006/relationships/hyperlink" Target="#'7&#31456;_&#36861;&#21152;&#20998;&#26512;'!B22" TargetMode="External"/><Relationship Id="rId20" Type="http://schemas.openxmlformats.org/officeDocument/2006/relationships/hyperlink" Target="#'3&#31456;_1&#23646;&#24615;'!B254" TargetMode="External"/><Relationship Id="rId41" Type="http://schemas.openxmlformats.org/officeDocument/2006/relationships/hyperlink" Target="#'3&#31456;_3&#26286;&#12425;&#12375;&#12539;&#22806;&#20986;'!B26" TargetMode="External"/><Relationship Id="rId62" Type="http://schemas.openxmlformats.org/officeDocument/2006/relationships/hyperlink" Target="#'3&#31456;_5&#12469;&#12540;&#12499;&#12473;'!B16" TargetMode="External"/><Relationship Id="rId83" Type="http://schemas.openxmlformats.org/officeDocument/2006/relationships/hyperlink" Target="#'3&#31456;_6&#30456;&#35527;&#12539;&#27177;&#21033;'!B279" TargetMode="External"/><Relationship Id="rId88" Type="http://schemas.openxmlformats.org/officeDocument/2006/relationships/hyperlink" Target="#'3&#31456;_7&#28797;&#23475;&#12539;&#24847;&#35211;'!B13" TargetMode="External"/><Relationship Id="rId111" Type="http://schemas.openxmlformats.org/officeDocument/2006/relationships/hyperlink" Target="#'5&#31456;_&#38556;&#12364;&#12356;&#20816;'!B84" TargetMode="External"/><Relationship Id="rId132" Type="http://schemas.openxmlformats.org/officeDocument/2006/relationships/hyperlink" Target="#'5&#31456;_&#38556;&#12364;&#12356;&#20816;'!B352" TargetMode="External"/><Relationship Id="rId153" Type="http://schemas.openxmlformats.org/officeDocument/2006/relationships/hyperlink" Target="#'5&#31456;_&#38556;&#12364;&#12356;&#20816;'!B698" TargetMode="External"/><Relationship Id="rId15" Type="http://schemas.openxmlformats.org/officeDocument/2006/relationships/hyperlink" Target="#'3&#31456;_1&#23646;&#24615;'!B181" TargetMode="External"/><Relationship Id="rId36" Type="http://schemas.openxmlformats.org/officeDocument/2006/relationships/hyperlink" Target="#'3&#31456;_2&#38556;&#12364;&#12356;&#12539;&#21307;&#30274;'!B172" TargetMode="External"/><Relationship Id="rId57" Type="http://schemas.openxmlformats.org/officeDocument/2006/relationships/hyperlink" Target="#'3&#31456;_4&#26085;&#20013;&#12539;&#23601;&#21172;'!B101" TargetMode="External"/><Relationship Id="rId106" Type="http://schemas.openxmlformats.org/officeDocument/2006/relationships/hyperlink" Target="#'5&#31456;_&#38556;&#12364;&#12356;&#20816;'!B15" TargetMode="External"/><Relationship Id="rId127" Type="http://schemas.openxmlformats.org/officeDocument/2006/relationships/hyperlink" Target="#'5&#31456;_&#38556;&#12364;&#12356;&#20816;'!B290" TargetMode="External"/><Relationship Id="rId10" Type="http://schemas.openxmlformats.org/officeDocument/2006/relationships/hyperlink" Target="#'3&#31456;_1&#23646;&#24615;'!B78" TargetMode="External"/><Relationship Id="rId31" Type="http://schemas.openxmlformats.org/officeDocument/2006/relationships/hyperlink" Target="#'3&#31456;_2&#38556;&#12364;&#12356;&#12539;&#21307;&#30274;'!B104" TargetMode="External"/><Relationship Id="rId52" Type="http://schemas.openxmlformats.org/officeDocument/2006/relationships/hyperlink" Target="#'3&#31456;_4&#26085;&#20013;&#12539;&#23601;&#21172;'!B19" TargetMode="External"/><Relationship Id="rId73" Type="http://schemas.openxmlformats.org/officeDocument/2006/relationships/hyperlink" Target="#'3&#31456;_6&#30456;&#35527;&#12539;&#27177;&#21033;'!B73" TargetMode="External"/><Relationship Id="rId78" Type="http://schemas.openxmlformats.org/officeDocument/2006/relationships/hyperlink" Target="#'3&#31456;_6&#30456;&#35527;&#12539;&#27177;&#21033;'!B184" TargetMode="External"/><Relationship Id="rId94" Type="http://schemas.openxmlformats.org/officeDocument/2006/relationships/hyperlink" Target="#'3&#31456;_7&#28797;&#23475;&#12539;&#24847;&#35211;'!B123" TargetMode="External"/><Relationship Id="rId99" Type="http://schemas.openxmlformats.org/officeDocument/2006/relationships/hyperlink" Target="#'4&#31456;_&#12463;&#12525;&#12473;&#38598;&#35336;'!B38" TargetMode="External"/><Relationship Id="rId101" Type="http://schemas.openxmlformats.org/officeDocument/2006/relationships/hyperlink" Target="#'4&#31456;_&#12463;&#12525;&#12473;&#38598;&#35336;'!B73" TargetMode="External"/><Relationship Id="rId122" Type="http://schemas.openxmlformats.org/officeDocument/2006/relationships/hyperlink" Target="#'5&#31456;_&#38556;&#12364;&#12356;&#20816;'!B214" TargetMode="External"/><Relationship Id="rId143" Type="http://schemas.openxmlformats.org/officeDocument/2006/relationships/hyperlink" Target="#'5&#31456;_&#38556;&#12364;&#12356;&#20816;'!B573" TargetMode="External"/><Relationship Id="rId148" Type="http://schemas.openxmlformats.org/officeDocument/2006/relationships/hyperlink" Target="#'5&#31456;_&#38556;&#12364;&#12356;&#20816;'!B632" TargetMode="External"/><Relationship Id="rId164" Type="http://schemas.openxmlformats.org/officeDocument/2006/relationships/hyperlink" Target="#'7&#31456;_&#36861;&#21152;&#20998;&#26512;'!B64" TargetMode="External"/><Relationship Id="rId4" Type="http://schemas.openxmlformats.org/officeDocument/2006/relationships/hyperlink" Target="#'3&#31456;_1&#23646;&#24615;'!B2" TargetMode="External"/><Relationship Id="rId9" Type="http://schemas.openxmlformats.org/officeDocument/2006/relationships/hyperlink" Target="#'3&#31456;_1&#23646;&#24615;'!B66" TargetMode="External"/><Relationship Id="rId26" Type="http://schemas.openxmlformats.org/officeDocument/2006/relationships/hyperlink" Target="#'3&#31456;_2&#38556;&#12364;&#12356;&#12539;&#21307;&#30274;'!B41" TargetMode="External"/><Relationship Id="rId47" Type="http://schemas.openxmlformats.org/officeDocument/2006/relationships/hyperlink" Target="#'3&#31456;_3&#26286;&#12425;&#12375;&#12539;&#22806;&#20986;'!B136" TargetMode="External"/><Relationship Id="rId68" Type="http://schemas.openxmlformats.org/officeDocument/2006/relationships/hyperlink" Target="#'3&#31456;_5&#12469;&#12540;&#12499;&#12473;'!B104" TargetMode="External"/><Relationship Id="rId89" Type="http://schemas.openxmlformats.org/officeDocument/2006/relationships/hyperlink" Target="#'3&#31456;_7&#28797;&#23475;&#12539;&#24847;&#35211;'!B28" TargetMode="External"/><Relationship Id="rId112" Type="http://schemas.openxmlformats.org/officeDocument/2006/relationships/hyperlink" Target="#'5&#31456;_&#38556;&#12364;&#12356;&#20816;'!B94" TargetMode="External"/><Relationship Id="rId133" Type="http://schemas.openxmlformats.org/officeDocument/2006/relationships/hyperlink" Target="#'5&#31456;_&#38556;&#12364;&#12356;&#20816;'!B370" TargetMode="External"/><Relationship Id="rId154" Type="http://schemas.openxmlformats.org/officeDocument/2006/relationships/hyperlink" Target="#'5&#31456;_&#38556;&#12364;&#12356;&#20816;'!B719" TargetMode="External"/><Relationship Id="rId16" Type="http://schemas.openxmlformats.org/officeDocument/2006/relationships/hyperlink" Target="#'3&#31456;_1&#23646;&#24615;'!B193" TargetMode="External"/><Relationship Id="rId37" Type="http://schemas.openxmlformats.org/officeDocument/2006/relationships/hyperlink" Target="#'3&#31456;_2&#38556;&#12364;&#12356;&#12539;&#21307;&#30274;'!B195" TargetMode="External"/><Relationship Id="rId58" Type="http://schemas.openxmlformats.org/officeDocument/2006/relationships/hyperlink" Target="#'3&#31456;_4&#26085;&#20013;&#12539;&#23601;&#21172;'!B111" TargetMode="External"/><Relationship Id="rId79" Type="http://schemas.openxmlformats.org/officeDocument/2006/relationships/hyperlink" Target="#'3&#31456;_6&#30456;&#35527;&#12539;&#27177;&#21033;'!B215" TargetMode="External"/><Relationship Id="rId102" Type="http://schemas.openxmlformats.org/officeDocument/2006/relationships/hyperlink" Target="#'4&#31456;_&#12463;&#12525;&#12473;&#38598;&#35336;'!B90" TargetMode="External"/><Relationship Id="rId123" Type="http://schemas.openxmlformats.org/officeDocument/2006/relationships/hyperlink" Target="#'5&#31456;_&#38556;&#12364;&#12356;&#20816;'!B226" TargetMode="External"/><Relationship Id="rId144" Type="http://schemas.openxmlformats.org/officeDocument/2006/relationships/hyperlink" Target="#'5&#31456;_&#38556;&#12364;&#12356;&#20816;'!B583" TargetMode="External"/><Relationship Id="rId90" Type="http://schemas.openxmlformats.org/officeDocument/2006/relationships/hyperlink" Target="#'3&#31456;_7&#28797;&#23475;&#12539;&#24847;&#35211;'!B39" TargetMode="External"/><Relationship Id="rId165" Type="http://schemas.openxmlformats.org/officeDocument/2006/relationships/hyperlink" Target="#'7&#31456;_&#36861;&#21152;&#20998;&#26512;'!B69" TargetMode="External"/><Relationship Id="rId27" Type="http://schemas.openxmlformats.org/officeDocument/2006/relationships/hyperlink" Target="#'3&#31456;_2&#38556;&#12364;&#12356;&#12539;&#21307;&#30274;'!B52" TargetMode="External"/><Relationship Id="rId48" Type="http://schemas.openxmlformats.org/officeDocument/2006/relationships/hyperlink" Target="#'3&#31456;_3&#26286;&#12425;&#12375;&#12539;&#22806;&#20986;'!B152" TargetMode="External"/><Relationship Id="rId69" Type="http://schemas.openxmlformats.org/officeDocument/2006/relationships/hyperlink" Target="#'3&#31456;_5&#12469;&#12540;&#12499;&#12473;'!B129" TargetMode="External"/><Relationship Id="rId113" Type="http://schemas.openxmlformats.org/officeDocument/2006/relationships/hyperlink" Target="#'5&#31456;_&#38556;&#12364;&#12356;&#20816;'!B105" TargetMode="External"/><Relationship Id="rId134" Type="http://schemas.openxmlformats.org/officeDocument/2006/relationships/hyperlink" Target="#'5&#31456;_&#38556;&#12364;&#12356;&#20816;'!B381" TargetMode="External"/><Relationship Id="rId80" Type="http://schemas.openxmlformats.org/officeDocument/2006/relationships/hyperlink" Target="#'3&#31456;_6&#30456;&#35527;&#12539;&#27177;&#21033;'!B225" TargetMode="External"/><Relationship Id="rId155" Type="http://schemas.openxmlformats.org/officeDocument/2006/relationships/hyperlink" Target="#'6&#31456;_&#35506;&#38988;'!B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79"/>
  <sheetViews>
    <sheetView showGridLines="0" tabSelected="1" workbookViewId="0"/>
  </sheetViews>
  <sheetFormatPr defaultRowHeight="15"/>
  <cols>
    <col min="1" max="1" width="2" customWidth="1"/>
    <col min="2" max="2" width="12" customWidth="1"/>
    <col min="3" max="3" width="70" customWidth="1"/>
    <col min="4" max="4" width="22" customWidth="1"/>
    <col min="5" max="5" width="10" customWidth="1"/>
    <col min="6" max="6" width="2" customWidth="1"/>
  </cols>
  <sheetData>
    <row r="1" spans="2:5" ht="26.1" customHeight="1">
      <c r="B1" s="1" t="s">
        <v>0</v>
      </c>
    </row>
    <row r="3" spans="2:5" ht="17.45" customHeight="1">
      <c r="B3" s="22" t="s">
        <v>1</v>
      </c>
      <c r="C3" s="32"/>
      <c r="D3" s="32"/>
      <c r="E3" s="32"/>
    </row>
    <row r="4" spans="2:5" ht="30.95" customHeight="1">
      <c r="B4" s="22" t="s">
        <v>2</v>
      </c>
      <c r="C4" s="32"/>
      <c r="D4" s="32"/>
      <c r="E4" s="32"/>
    </row>
    <row r="5" spans="2:5" ht="30.95" customHeight="1">
      <c r="B5" s="22" t="s">
        <v>3</v>
      </c>
      <c r="C5" s="32"/>
      <c r="D5" s="32"/>
      <c r="E5" s="32"/>
    </row>
    <row r="6" spans="2:5" ht="17.45" customHeight="1">
      <c r="B6" s="22" t="s">
        <v>4</v>
      </c>
      <c r="C6" s="32"/>
      <c r="D6" s="32"/>
      <c r="E6" s="32"/>
    </row>
    <row r="7" spans="2:5" ht="30.95" customHeight="1">
      <c r="B7" s="22" t="s">
        <v>5</v>
      </c>
      <c r="C7" s="32"/>
      <c r="D7" s="32"/>
      <c r="E7" s="32"/>
    </row>
    <row r="8" spans="2:5" ht="30.95" customHeight="1">
      <c r="B8" s="22" t="s">
        <v>6</v>
      </c>
      <c r="C8" s="32"/>
      <c r="D8" s="32"/>
      <c r="E8" s="32"/>
    </row>
    <row r="9" spans="2:5" ht="30.95" customHeight="1">
      <c r="B9" s="22" t="s">
        <v>7</v>
      </c>
      <c r="C9" s="32"/>
      <c r="D9" s="32"/>
      <c r="E9" s="32"/>
    </row>
    <row r="11" spans="2:5">
      <c r="B11" s="2" t="s">
        <v>8</v>
      </c>
      <c r="C11" s="2" t="s">
        <v>9</v>
      </c>
      <c r="D11" s="2" t="s">
        <v>10</v>
      </c>
      <c r="E11" s="2" t="s">
        <v>11</v>
      </c>
    </row>
    <row r="12" spans="2:5" ht="17.100000000000001" customHeight="1">
      <c r="B12" s="3" t="s">
        <v>12</v>
      </c>
      <c r="C12" s="4" t="s">
        <v>13</v>
      </c>
      <c r="D12" s="3" t="s">
        <v>14</v>
      </c>
      <c r="E12" s="5" t="s">
        <v>15</v>
      </c>
    </row>
    <row r="13" spans="2:5" ht="17.100000000000001" customHeight="1">
      <c r="B13" s="3" t="s">
        <v>16</v>
      </c>
      <c r="C13" s="4" t="s">
        <v>17</v>
      </c>
      <c r="D13" s="3" t="s">
        <v>14</v>
      </c>
      <c r="E13" s="5" t="s">
        <v>15</v>
      </c>
    </row>
    <row r="14" spans="2:5" ht="17.100000000000001" customHeight="1">
      <c r="B14" s="3" t="s">
        <v>18</v>
      </c>
      <c r="C14" s="4" t="s">
        <v>19</v>
      </c>
      <c r="D14" s="3" t="s">
        <v>14</v>
      </c>
      <c r="E14" s="5" t="s">
        <v>15</v>
      </c>
    </row>
    <row r="15" spans="2:5" ht="17.100000000000001" customHeight="1">
      <c r="B15" s="3" t="s">
        <v>20</v>
      </c>
      <c r="C15" s="4" t="s">
        <v>21</v>
      </c>
      <c r="D15" s="3" t="s">
        <v>22</v>
      </c>
      <c r="E15" s="5" t="s">
        <v>15</v>
      </c>
    </row>
    <row r="16" spans="2:5" ht="17.100000000000001" customHeight="1">
      <c r="B16" s="3" t="s">
        <v>23</v>
      </c>
      <c r="C16" s="4" t="s">
        <v>24</v>
      </c>
      <c r="D16" s="3" t="s">
        <v>22</v>
      </c>
      <c r="E16" s="5" t="s">
        <v>15</v>
      </c>
    </row>
    <row r="17" spans="2:5" ht="17.100000000000001" customHeight="1">
      <c r="B17" s="3" t="s">
        <v>25</v>
      </c>
      <c r="C17" s="4" t="s">
        <v>26</v>
      </c>
      <c r="D17" s="3" t="s">
        <v>22</v>
      </c>
      <c r="E17" s="5" t="s">
        <v>15</v>
      </c>
    </row>
    <row r="18" spans="2:5" ht="17.100000000000001" customHeight="1">
      <c r="B18" s="3" t="s">
        <v>27</v>
      </c>
      <c r="C18" s="4" t="s">
        <v>28</v>
      </c>
      <c r="D18" s="3" t="s">
        <v>22</v>
      </c>
      <c r="E18" s="5" t="s">
        <v>15</v>
      </c>
    </row>
    <row r="19" spans="2:5" ht="17.100000000000001" customHeight="1">
      <c r="B19" s="3" t="s">
        <v>29</v>
      </c>
      <c r="C19" s="4" t="s">
        <v>30</v>
      </c>
      <c r="D19" s="3" t="s">
        <v>22</v>
      </c>
      <c r="E19" s="5" t="s">
        <v>15</v>
      </c>
    </row>
    <row r="20" spans="2:5" ht="17.100000000000001" customHeight="1">
      <c r="B20" s="3" t="s">
        <v>31</v>
      </c>
      <c r="C20" s="4" t="s">
        <v>32</v>
      </c>
      <c r="D20" s="3" t="s">
        <v>22</v>
      </c>
      <c r="E20" s="5" t="s">
        <v>15</v>
      </c>
    </row>
    <row r="21" spans="2:5" ht="17.100000000000001" customHeight="1">
      <c r="B21" s="3" t="s">
        <v>33</v>
      </c>
      <c r="C21" s="4" t="s">
        <v>34</v>
      </c>
      <c r="D21" s="3" t="s">
        <v>22</v>
      </c>
      <c r="E21" s="5" t="s">
        <v>15</v>
      </c>
    </row>
    <row r="22" spans="2:5" ht="17.100000000000001" customHeight="1">
      <c r="B22" s="3" t="s">
        <v>35</v>
      </c>
      <c r="C22" s="4" t="s">
        <v>36</v>
      </c>
      <c r="D22" s="3" t="s">
        <v>22</v>
      </c>
      <c r="E22" s="5" t="s">
        <v>15</v>
      </c>
    </row>
    <row r="23" spans="2:5" ht="17.100000000000001" customHeight="1">
      <c r="B23" s="3" t="s">
        <v>37</v>
      </c>
      <c r="C23" s="4" t="s">
        <v>38</v>
      </c>
      <c r="D23" s="3" t="s">
        <v>22</v>
      </c>
      <c r="E23" s="5" t="s">
        <v>15</v>
      </c>
    </row>
    <row r="24" spans="2:5" ht="17.100000000000001" customHeight="1">
      <c r="B24" s="3" t="s">
        <v>39</v>
      </c>
      <c r="C24" s="4" t="s">
        <v>40</v>
      </c>
      <c r="D24" s="3" t="s">
        <v>22</v>
      </c>
      <c r="E24" s="5" t="s">
        <v>15</v>
      </c>
    </row>
    <row r="25" spans="2:5" ht="17.100000000000001" customHeight="1">
      <c r="B25" s="3" t="s">
        <v>41</v>
      </c>
      <c r="C25" s="4" t="s">
        <v>42</v>
      </c>
      <c r="D25" s="3" t="s">
        <v>22</v>
      </c>
      <c r="E25" s="5" t="s">
        <v>15</v>
      </c>
    </row>
    <row r="26" spans="2:5" ht="17.100000000000001" customHeight="1">
      <c r="B26" s="3" t="s">
        <v>43</v>
      </c>
      <c r="C26" s="4" t="s">
        <v>44</v>
      </c>
      <c r="D26" s="3" t="s">
        <v>22</v>
      </c>
      <c r="E26" s="5" t="s">
        <v>15</v>
      </c>
    </row>
    <row r="27" spans="2:5" ht="17.100000000000001" customHeight="1">
      <c r="B27" s="3" t="s">
        <v>45</v>
      </c>
      <c r="C27" s="4" t="s">
        <v>46</v>
      </c>
      <c r="D27" s="3" t="s">
        <v>22</v>
      </c>
      <c r="E27" s="5" t="s">
        <v>15</v>
      </c>
    </row>
    <row r="28" spans="2:5" ht="17.100000000000001" customHeight="1">
      <c r="B28" s="3" t="s">
        <v>47</v>
      </c>
      <c r="C28" s="4" t="s">
        <v>48</v>
      </c>
      <c r="D28" s="3" t="s">
        <v>22</v>
      </c>
      <c r="E28" s="5" t="s">
        <v>15</v>
      </c>
    </row>
    <row r="29" spans="2:5" ht="17.100000000000001" customHeight="1">
      <c r="B29" s="3" t="s">
        <v>49</v>
      </c>
      <c r="C29" s="4" t="s">
        <v>50</v>
      </c>
      <c r="D29" s="3" t="s">
        <v>22</v>
      </c>
      <c r="E29" s="5" t="s">
        <v>15</v>
      </c>
    </row>
    <row r="30" spans="2:5" ht="17.100000000000001" customHeight="1">
      <c r="B30" s="3" t="s">
        <v>51</v>
      </c>
      <c r="C30" s="4" t="s">
        <v>52</v>
      </c>
      <c r="D30" s="3" t="s">
        <v>22</v>
      </c>
      <c r="E30" s="5" t="s">
        <v>15</v>
      </c>
    </row>
    <row r="31" spans="2:5" ht="17.100000000000001" customHeight="1">
      <c r="B31" s="3" t="s">
        <v>53</v>
      </c>
      <c r="C31" s="4" t="s">
        <v>54</v>
      </c>
      <c r="D31" s="3" t="s">
        <v>22</v>
      </c>
      <c r="E31" s="5" t="s">
        <v>15</v>
      </c>
    </row>
    <row r="32" spans="2:5" ht="17.100000000000001" customHeight="1">
      <c r="B32" s="3" t="s">
        <v>55</v>
      </c>
      <c r="C32" s="4" t="s">
        <v>56</v>
      </c>
      <c r="D32" s="3" t="s">
        <v>22</v>
      </c>
      <c r="E32" s="5" t="s">
        <v>15</v>
      </c>
    </row>
    <row r="33" spans="2:5" ht="17.100000000000001" customHeight="1">
      <c r="B33" s="3" t="s">
        <v>57</v>
      </c>
      <c r="C33" s="4" t="s">
        <v>58</v>
      </c>
      <c r="D33" s="3" t="s">
        <v>22</v>
      </c>
      <c r="E33" s="5" t="s">
        <v>15</v>
      </c>
    </row>
    <row r="34" spans="2:5" ht="17.100000000000001" customHeight="1">
      <c r="B34" s="3" t="s">
        <v>59</v>
      </c>
      <c r="C34" s="4" t="s">
        <v>60</v>
      </c>
      <c r="D34" s="3" t="s">
        <v>61</v>
      </c>
      <c r="E34" s="5" t="s">
        <v>15</v>
      </c>
    </row>
    <row r="35" spans="2:5" ht="17.100000000000001" customHeight="1">
      <c r="B35" s="3" t="s">
        <v>62</v>
      </c>
      <c r="C35" s="4" t="s">
        <v>63</v>
      </c>
      <c r="D35" s="3" t="s">
        <v>61</v>
      </c>
      <c r="E35" s="5" t="s">
        <v>15</v>
      </c>
    </row>
    <row r="36" spans="2:5" ht="17.100000000000001" customHeight="1">
      <c r="B36" s="3" t="s">
        <v>64</v>
      </c>
      <c r="C36" s="4" t="s">
        <v>65</v>
      </c>
      <c r="D36" s="3" t="s">
        <v>61</v>
      </c>
      <c r="E36" s="5" t="s">
        <v>15</v>
      </c>
    </row>
    <row r="37" spans="2:5" ht="17.100000000000001" customHeight="1">
      <c r="B37" s="3" t="s">
        <v>66</v>
      </c>
      <c r="C37" s="4" t="s">
        <v>67</v>
      </c>
      <c r="D37" s="3" t="s">
        <v>61</v>
      </c>
      <c r="E37" s="5" t="s">
        <v>15</v>
      </c>
    </row>
    <row r="38" spans="2:5" ht="17.100000000000001" customHeight="1">
      <c r="B38" s="3" t="s">
        <v>68</v>
      </c>
      <c r="C38" s="4" t="s">
        <v>69</v>
      </c>
      <c r="D38" s="3" t="s">
        <v>61</v>
      </c>
      <c r="E38" s="5" t="s">
        <v>15</v>
      </c>
    </row>
    <row r="39" spans="2:5" ht="17.100000000000001" customHeight="1">
      <c r="B39" s="3" t="s">
        <v>70</v>
      </c>
      <c r="C39" s="4" t="s">
        <v>71</v>
      </c>
      <c r="D39" s="3" t="s">
        <v>61</v>
      </c>
      <c r="E39" s="5" t="s">
        <v>15</v>
      </c>
    </row>
    <row r="40" spans="2:5" ht="17.100000000000001" customHeight="1">
      <c r="B40" s="3" t="s">
        <v>72</v>
      </c>
      <c r="C40" s="4" t="s">
        <v>73</v>
      </c>
      <c r="D40" s="3" t="s">
        <v>61</v>
      </c>
      <c r="E40" s="5" t="s">
        <v>15</v>
      </c>
    </row>
    <row r="41" spans="2:5" ht="17.100000000000001" customHeight="1">
      <c r="B41" s="3" t="s">
        <v>74</v>
      </c>
      <c r="C41" s="4" t="s">
        <v>75</v>
      </c>
      <c r="D41" s="3" t="s">
        <v>61</v>
      </c>
      <c r="E41" s="5" t="s">
        <v>15</v>
      </c>
    </row>
    <row r="42" spans="2:5" ht="17.100000000000001" customHeight="1">
      <c r="B42" s="3" t="s">
        <v>76</v>
      </c>
      <c r="C42" s="4" t="s">
        <v>77</v>
      </c>
      <c r="D42" s="3" t="s">
        <v>61</v>
      </c>
      <c r="E42" s="5" t="s">
        <v>15</v>
      </c>
    </row>
    <row r="43" spans="2:5" ht="17.100000000000001" customHeight="1">
      <c r="B43" s="3" t="s">
        <v>78</v>
      </c>
      <c r="C43" s="4" t="s">
        <v>79</v>
      </c>
      <c r="D43" s="3" t="s">
        <v>61</v>
      </c>
      <c r="E43" s="5" t="s">
        <v>15</v>
      </c>
    </row>
    <row r="44" spans="2:5" ht="17.100000000000001" customHeight="1">
      <c r="B44" s="3" t="s">
        <v>80</v>
      </c>
      <c r="C44" s="4" t="s">
        <v>81</v>
      </c>
      <c r="D44" s="3" t="s">
        <v>61</v>
      </c>
      <c r="E44" s="5" t="s">
        <v>15</v>
      </c>
    </row>
    <row r="45" spans="2:5" ht="17.100000000000001" customHeight="1">
      <c r="B45" s="3" t="s">
        <v>82</v>
      </c>
      <c r="C45" s="4" t="s">
        <v>83</v>
      </c>
      <c r="D45" s="3" t="s">
        <v>61</v>
      </c>
      <c r="E45" s="5" t="s">
        <v>15</v>
      </c>
    </row>
    <row r="46" spans="2:5" ht="17.100000000000001" customHeight="1">
      <c r="B46" s="3" t="s">
        <v>84</v>
      </c>
      <c r="C46" s="4" t="s">
        <v>85</v>
      </c>
      <c r="D46" s="3" t="s">
        <v>61</v>
      </c>
      <c r="E46" s="5" t="s">
        <v>15</v>
      </c>
    </row>
    <row r="47" spans="2:5" ht="17.100000000000001" customHeight="1">
      <c r="B47" s="3" t="s">
        <v>86</v>
      </c>
      <c r="C47" s="4" t="s">
        <v>87</v>
      </c>
      <c r="D47" s="3" t="s">
        <v>61</v>
      </c>
      <c r="E47" s="5" t="s">
        <v>15</v>
      </c>
    </row>
    <row r="48" spans="2:5" ht="17.100000000000001" customHeight="1">
      <c r="B48" s="3" t="s">
        <v>88</v>
      </c>
      <c r="C48" s="4" t="s">
        <v>89</v>
      </c>
      <c r="D48" s="3" t="s">
        <v>61</v>
      </c>
      <c r="E48" s="5" t="s">
        <v>15</v>
      </c>
    </row>
    <row r="49" spans="2:5" ht="17.100000000000001" customHeight="1">
      <c r="B49" s="3" t="s">
        <v>90</v>
      </c>
      <c r="C49" s="4" t="s">
        <v>91</v>
      </c>
      <c r="D49" s="3" t="s">
        <v>61</v>
      </c>
      <c r="E49" s="5" t="s">
        <v>15</v>
      </c>
    </row>
    <row r="50" spans="2:5" ht="17.100000000000001" customHeight="1">
      <c r="B50" s="3" t="s">
        <v>92</v>
      </c>
      <c r="C50" s="4" t="s">
        <v>93</v>
      </c>
      <c r="D50" s="3" t="s">
        <v>94</v>
      </c>
      <c r="E50" s="5" t="s">
        <v>15</v>
      </c>
    </row>
    <row r="51" spans="2:5" ht="17.100000000000001" customHeight="1">
      <c r="B51" s="3" t="s">
        <v>95</v>
      </c>
      <c r="C51" s="4" t="s">
        <v>96</v>
      </c>
      <c r="D51" s="3" t="s">
        <v>94</v>
      </c>
      <c r="E51" s="5" t="s">
        <v>15</v>
      </c>
    </row>
    <row r="52" spans="2:5" ht="17.100000000000001" customHeight="1">
      <c r="B52" s="3" t="s">
        <v>97</v>
      </c>
      <c r="C52" s="4" t="s">
        <v>98</v>
      </c>
      <c r="D52" s="3" t="s">
        <v>94</v>
      </c>
      <c r="E52" s="5" t="s">
        <v>15</v>
      </c>
    </row>
    <row r="53" spans="2:5" ht="17.100000000000001" customHeight="1">
      <c r="B53" s="3" t="s">
        <v>99</v>
      </c>
      <c r="C53" s="4" t="s">
        <v>100</v>
      </c>
      <c r="D53" s="3" t="s">
        <v>94</v>
      </c>
      <c r="E53" s="5" t="s">
        <v>15</v>
      </c>
    </row>
    <row r="54" spans="2:5" ht="17.100000000000001" customHeight="1">
      <c r="B54" s="3" t="s">
        <v>101</v>
      </c>
      <c r="C54" s="4" t="s">
        <v>102</v>
      </c>
      <c r="D54" s="3" t="s">
        <v>94</v>
      </c>
      <c r="E54" s="5" t="s">
        <v>15</v>
      </c>
    </row>
    <row r="55" spans="2:5" ht="17.100000000000001" customHeight="1">
      <c r="B55" s="3" t="s">
        <v>103</v>
      </c>
      <c r="C55" s="4" t="s">
        <v>104</v>
      </c>
      <c r="D55" s="3" t="s">
        <v>94</v>
      </c>
      <c r="E55" s="5" t="s">
        <v>15</v>
      </c>
    </row>
    <row r="56" spans="2:5" ht="17.100000000000001" customHeight="1">
      <c r="B56" s="3" t="s">
        <v>105</v>
      </c>
      <c r="C56" s="4" t="s">
        <v>106</v>
      </c>
      <c r="D56" s="3" t="s">
        <v>94</v>
      </c>
      <c r="E56" s="5" t="s">
        <v>15</v>
      </c>
    </row>
    <row r="57" spans="2:5" ht="17.100000000000001" customHeight="1">
      <c r="B57" s="3" t="s">
        <v>107</v>
      </c>
      <c r="C57" s="4" t="s">
        <v>108</v>
      </c>
      <c r="D57" s="3" t="s">
        <v>94</v>
      </c>
      <c r="E57" s="5" t="s">
        <v>15</v>
      </c>
    </row>
    <row r="58" spans="2:5" ht="17.100000000000001" customHeight="1">
      <c r="B58" s="3" t="s">
        <v>109</v>
      </c>
      <c r="C58" s="4" t="s">
        <v>110</v>
      </c>
      <c r="D58" s="3" t="s">
        <v>94</v>
      </c>
      <c r="E58" s="5" t="s">
        <v>15</v>
      </c>
    </row>
    <row r="59" spans="2:5" ht="17.100000000000001" customHeight="1">
      <c r="B59" s="3" t="s">
        <v>111</v>
      </c>
      <c r="C59" s="4" t="s">
        <v>112</v>
      </c>
      <c r="D59" s="3" t="s">
        <v>94</v>
      </c>
      <c r="E59" s="5" t="s">
        <v>15</v>
      </c>
    </row>
    <row r="60" spans="2:5" ht="17.100000000000001" customHeight="1">
      <c r="B60" s="3" t="s">
        <v>113</v>
      </c>
      <c r="C60" s="4" t="s">
        <v>114</v>
      </c>
      <c r="D60" s="3" t="s">
        <v>94</v>
      </c>
      <c r="E60" s="5" t="s">
        <v>15</v>
      </c>
    </row>
    <row r="61" spans="2:5" ht="17.100000000000001" customHeight="1">
      <c r="B61" s="3" t="s">
        <v>115</v>
      </c>
      <c r="C61" s="4" t="s">
        <v>116</v>
      </c>
      <c r="D61" s="3" t="s">
        <v>94</v>
      </c>
      <c r="E61" s="5" t="s">
        <v>15</v>
      </c>
    </row>
    <row r="62" spans="2:5" ht="17.100000000000001" customHeight="1">
      <c r="B62" s="3" t="s">
        <v>117</v>
      </c>
      <c r="C62" s="4" t="s">
        <v>118</v>
      </c>
      <c r="D62" s="3" t="s">
        <v>119</v>
      </c>
      <c r="E62" s="5" t="s">
        <v>15</v>
      </c>
    </row>
    <row r="63" spans="2:5" ht="17.100000000000001" customHeight="1">
      <c r="B63" s="3" t="s">
        <v>120</v>
      </c>
      <c r="C63" s="4" t="s">
        <v>121</v>
      </c>
      <c r="D63" s="3" t="s">
        <v>119</v>
      </c>
      <c r="E63" s="5" t="s">
        <v>15</v>
      </c>
    </row>
    <row r="64" spans="2:5" ht="17.100000000000001" customHeight="1">
      <c r="B64" s="3" t="s">
        <v>122</v>
      </c>
      <c r="C64" s="4" t="s">
        <v>123</v>
      </c>
      <c r="D64" s="3" t="s">
        <v>119</v>
      </c>
      <c r="E64" s="5" t="s">
        <v>15</v>
      </c>
    </row>
    <row r="65" spans="2:5" ht="17.100000000000001" customHeight="1">
      <c r="B65" s="3" t="s">
        <v>124</v>
      </c>
      <c r="C65" s="4" t="s">
        <v>125</v>
      </c>
      <c r="D65" s="3" t="s">
        <v>119</v>
      </c>
      <c r="E65" s="5" t="s">
        <v>15</v>
      </c>
    </row>
    <row r="66" spans="2:5" ht="17.100000000000001" customHeight="1">
      <c r="B66" s="3" t="s">
        <v>126</v>
      </c>
      <c r="C66" s="4" t="s">
        <v>127</v>
      </c>
      <c r="D66" s="3" t="s">
        <v>119</v>
      </c>
      <c r="E66" s="5" t="s">
        <v>15</v>
      </c>
    </row>
    <row r="67" spans="2:5" ht="17.100000000000001" customHeight="1">
      <c r="B67" s="3" t="s">
        <v>128</v>
      </c>
      <c r="C67" s="4" t="s">
        <v>129</v>
      </c>
      <c r="D67" s="3" t="s">
        <v>119</v>
      </c>
      <c r="E67" s="5" t="s">
        <v>15</v>
      </c>
    </row>
    <row r="68" spans="2:5" ht="17.100000000000001" customHeight="1">
      <c r="B68" s="3" t="s">
        <v>130</v>
      </c>
      <c r="C68" s="4" t="s">
        <v>131</v>
      </c>
      <c r="D68" s="3" t="s">
        <v>119</v>
      </c>
      <c r="E68" s="5" t="s">
        <v>15</v>
      </c>
    </row>
    <row r="69" spans="2:5" ht="17.100000000000001" customHeight="1">
      <c r="B69" s="3" t="s">
        <v>132</v>
      </c>
      <c r="C69" s="4" t="s">
        <v>133</v>
      </c>
      <c r="D69" s="3" t="s">
        <v>119</v>
      </c>
      <c r="E69" s="5" t="s">
        <v>15</v>
      </c>
    </row>
    <row r="70" spans="2:5" ht="17.100000000000001" customHeight="1">
      <c r="B70" s="3" t="s">
        <v>134</v>
      </c>
      <c r="C70" s="4" t="s">
        <v>135</v>
      </c>
      <c r="D70" s="3" t="s">
        <v>119</v>
      </c>
      <c r="E70" s="5" t="s">
        <v>15</v>
      </c>
    </row>
    <row r="71" spans="2:5" ht="17.100000000000001" customHeight="1">
      <c r="B71" s="3" t="s">
        <v>136</v>
      </c>
      <c r="C71" s="4" t="s">
        <v>137</v>
      </c>
      <c r="D71" s="3" t="s">
        <v>119</v>
      </c>
      <c r="E71" s="5" t="s">
        <v>15</v>
      </c>
    </row>
    <row r="72" spans="2:5" ht="17.100000000000001" customHeight="1">
      <c r="B72" s="3" t="s">
        <v>138</v>
      </c>
      <c r="C72" s="4" t="s">
        <v>139</v>
      </c>
      <c r="D72" s="3" t="s">
        <v>140</v>
      </c>
      <c r="E72" s="5" t="s">
        <v>15</v>
      </c>
    </row>
    <row r="73" spans="2:5" ht="17.100000000000001" customHeight="1">
      <c r="B73" s="3" t="s">
        <v>141</v>
      </c>
      <c r="C73" s="4" t="s">
        <v>142</v>
      </c>
      <c r="D73" s="3" t="s">
        <v>140</v>
      </c>
      <c r="E73" s="5" t="s">
        <v>15</v>
      </c>
    </row>
    <row r="74" spans="2:5" ht="17.100000000000001" customHeight="1">
      <c r="B74" s="3" t="s">
        <v>143</v>
      </c>
      <c r="C74" s="4" t="s">
        <v>144</v>
      </c>
      <c r="D74" s="3" t="s">
        <v>140</v>
      </c>
      <c r="E74" s="5" t="s">
        <v>15</v>
      </c>
    </row>
    <row r="75" spans="2:5" ht="17.100000000000001" customHeight="1">
      <c r="B75" s="3" t="s">
        <v>145</v>
      </c>
      <c r="C75" s="4" t="s">
        <v>146</v>
      </c>
      <c r="D75" s="3" t="s">
        <v>140</v>
      </c>
      <c r="E75" s="5" t="s">
        <v>15</v>
      </c>
    </row>
    <row r="76" spans="2:5" ht="17.100000000000001" customHeight="1">
      <c r="B76" s="3" t="s">
        <v>147</v>
      </c>
      <c r="C76" s="4" t="s">
        <v>148</v>
      </c>
      <c r="D76" s="3" t="s">
        <v>140</v>
      </c>
      <c r="E76" s="5" t="s">
        <v>15</v>
      </c>
    </row>
    <row r="77" spans="2:5" ht="17.100000000000001" customHeight="1">
      <c r="B77" s="3" t="s">
        <v>149</v>
      </c>
      <c r="C77" s="4" t="s">
        <v>150</v>
      </c>
      <c r="D77" s="3" t="s">
        <v>140</v>
      </c>
      <c r="E77" s="5" t="s">
        <v>15</v>
      </c>
    </row>
    <row r="78" spans="2:5" ht="17.100000000000001" customHeight="1">
      <c r="B78" s="3" t="s">
        <v>151</v>
      </c>
      <c r="C78" s="4" t="s">
        <v>152</v>
      </c>
      <c r="D78" s="3" t="s">
        <v>140</v>
      </c>
      <c r="E78" s="5" t="s">
        <v>15</v>
      </c>
    </row>
    <row r="79" spans="2:5" ht="17.100000000000001" customHeight="1">
      <c r="B79" s="3" t="s">
        <v>153</v>
      </c>
      <c r="C79" s="4" t="s">
        <v>154</v>
      </c>
      <c r="D79" s="3" t="s">
        <v>140</v>
      </c>
      <c r="E79" s="5" t="s">
        <v>15</v>
      </c>
    </row>
    <row r="80" spans="2:5" ht="17.100000000000001" customHeight="1">
      <c r="B80" s="3" t="s">
        <v>155</v>
      </c>
      <c r="C80" s="4" t="s">
        <v>156</v>
      </c>
      <c r="D80" s="3" t="s">
        <v>140</v>
      </c>
      <c r="E80" s="5" t="s">
        <v>15</v>
      </c>
    </row>
    <row r="81" spans="2:5" ht="17.100000000000001" customHeight="1">
      <c r="B81" s="3" t="s">
        <v>157</v>
      </c>
      <c r="C81" s="4" t="s">
        <v>158</v>
      </c>
      <c r="D81" s="3" t="s">
        <v>140</v>
      </c>
      <c r="E81" s="5" t="s">
        <v>15</v>
      </c>
    </row>
    <row r="82" spans="2:5" ht="17.100000000000001" customHeight="1">
      <c r="B82" s="3" t="s">
        <v>159</v>
      </c>
      <c r="C82" s="4" t="s">
        <v>160</v>
      </c>
      <c r="D82" s="3" t="s">
        <v>161</v>
      </c>
      <c r="E82" s="5" t="s">
        <v>15</v>
      </c>
    </row>
    <row r="83" spans="2:5" ht="17.100000000000001" customHeight="1">
      <c r="B83" s="3" t="s">
        <v>162</v>
      </c>
      <c r="C83" s="4" t="s">
        <v>163</v>
      </c>
      <c r="D83" s="3" t="s">
        <v>161</v>
      </c>
      <c r="E83" s="5" t="s">
        <v>15</v>
      </c>
    </row>
    <row r="84" spans="2:5" ht="17.100000000000001" customHeight="1">
      <c r="B84" s="3" t="s">
        <v>164</v>
      </c>
      <c r="C84" s="4" t="s">
        <v>165</v>
      </c>
      <c r="D84" s="3" t="s">
        <v>161</v>
      </c>
      <c r="E84" s="5" t="s">
        <v>15</v>
      </c>
    </row>
    <row r="85" spans="2:5" ht="17.100000000000001" customHeight="1">
      <c r="B85" s="3" t="s">
        <v>166</v>
      </c>
      <c r="C85" s="4" t="s">
        <v>167</v>
      </c>
      <c r="D85" s="3" t="s">
        <v>161</v>
      </c>
      <c r="E85" s="5" t="s">
        <v>15</v>
      </c>
    </row>
    <row r="86" spans="2:5" ht="17.100000000000001" customHeight="1">
      <c r="B86" s="3" t="s">
        <v>168</v>
      </c>
      <c r="C86" s="4" t="s">
        <v>169</v>
      </c>
      <c r="D86" s="3" t="s">
        <v>161</v>
      </c>
      <c r="E86" s="5" t="s">
        <v>15</v>
      </c>
    </row>
    <row r="87" spans="2:5" ht="17.100000000000001" customHeight="1">
      <c r="B87" s="3" t="s">
        <v>170</v>
      </c>
      <c r="C87" s="4" t="s">
        <v>171</v>
      </c>
      <c r="D87" s="3" t="s">
        <v>161</v>
      </c>
      <c r="E87" s="5" t="s">
        <v>15</v>
      </c>
    </row>
    <row r="88" spans="2:5" ht="17.100000000000001" customHeight="1">
      <c r="B88" s="3" t="s">
        <v>172</v>
      </c>
      <c r="C88" s="4" t="s">
        <v>173</v>
      </c>
      <c r="D88" s="3" t="s">
        <v>161</v>
      </c>
      <c r="E88" s="5" t="s">
        <v>15</v>
      </c>
    </row>
    <row r="89" spans="2:5" ht="17.100000000000001" customHeight="1">
      <c r="B89" s="3" t="s">
        <v>174</v>
      </c>
      <c r="C89" s="4" t="s">
        <v>175</v>
      </c>
      <c r="D89" s="3" t="s">
        <v>161</v>
      </c>
      <c r="E89" s="5" t="s">
        <v>15</v>
      </c>
    </row>
    <row r="90" spans="2:5" ht="17.100000000000001" customHeight="1">
      <c r="B90" s="3" t="s">
        <v>176</v>
      </c>
      <c r="C90" s="4" t="s">
        <v>177</v>
      </c>
      <c r="D90" s="3" t="s">
        <v>161</v>
      </c>
      <c r="E90" s="5" t="s">
        <v>15</v>
      </c>
    </row>
    <row r="91" spans="2:5" ht="17.100000000000001" customHeight="1">
      <c r="B91" s="3" t="s">
        <v>178</v>
      </c>
      <c r="C91" s="4" t="s">
        <v>179</v>
      </c>
      <c r="D91" s="3" t="s">
        <v>161</v>
      </c>
      <c r="E91" s="5" t="s">
        <v>15</v>
      </c>
    </row>
    <row r="92" spans="2:5" ht="17.100000000000001" customHeight="1">
      <c r="B92" s="3" t="s">
        <v>180</v>
      </c>
      <c r="C92" s="4" t="s">
        <v>181</v>
      </c>
      <c r="D92" s="3" t="s">
        <v>161</v>
      </c>
      <c r="E92" s="5" t="s">
        <v>15</v>
      </c>
    </row>
    <row r="93" spans="2:5" ht="17.100000000000001" customHeight="1">
      <c r="B93" s="3" t="s">
        <v>182</v>
      </c>
      <c r="C93" s="4" t="s">
        <v>183</v>
      </c>
      <c r="D93" s="3" t="s">
        <v>161</v>
      </c>
      <c r="E93" s="5" t="s">
        <v>15</v>
      </c>
    </row>
    <row r="94" spans="2:5" ht="17.100000000000001" customHeight="1">
      <c r="B94" s="3" t="s">
        <v>184</v>
      </c>
      <c r="C94" s="4" t="s">
        <v>185</v>
      </c>
      <c r="D94" s="3" t="s">
        <v>161</v>
      </c>
      <c r="E94" s="5" t="s">
        <v>15</v>
      </c>
    </row>
    <row r="95" spans="2:5" ht="17.100000000000001" customHeight="1">
      <c r="B95" s="3" t="s">
        <v>186</v>
      </c>
      <c r="C95" s="4" t="s">
        <v>187</v>
      </c>
      <c r="D95" s="3" t="s">
        <v>161</v>
      </c>
      <c r="E95" s="5" t="s">
        <v>15</v>
      </c>
    </row>
    <row r="96" spans="2:5" ht="17.100000000000001" customHeight="1">
      <c r="B96" s="3" t="s">
        <v>188</v>
      </c>
      <c r="C96" s="4" t="s">
        <v>189</v>
      </c>
      <c r="D96" s="3" t="s">
        <v>161</v>
      </c>
      <c r="E96" s="5" t="s">
        <v>15</v>
      </c>
    </row>
    <row r="97" spans="2:5" ht="17.100000000000001" customHeight="1">
      <c r="B97" s="3" t="s">
        <v>190</v>
      </c>
      <c r="C97" s="4" t="s">
        <v>191</v>
      </c>
      <c r="D97" s="3" t="s">
        <v>161</v>
      </c>
      <c r="E97" s="5" t="s">
        <v>15</v>
      </c>
    </row>
    <row r="98" spans="2:5" ht="17.100000000000001" customHeight="1">
      <c r="B98" s="3" t="s">
        <v>192</v>
      </c>
      <c r="C98" s="4" t="s">
        <v>193</v>
      </c>
      <c r="D98" s="3" t="s">
        <v>194</v>
      </c>
      <c r="E98" s="5" t="s">
        <v>15</v>
      </c>
    </row>
    <row r="99" spans="2:5" ht="17.100000000000001" customHeight="1">
      <c r="B99" s="3" t="s">
        <v>195</v>
      </c>
      <c r="C99" s="4" t="s">
        <v>196</v>
      </c>
      <c r="D99" s="3" t="s">
        <v>194</v>
      </c>
      <c r="E99" s="5" t="s">
        <v>15</v>
      </c>
    </row>
    <row r="100" spans="2:5" ht="17.100000000000001" customHeight="1">
      <c r="B100" s="3" t="s">
        <v>197</v>
      </c>
      <c r="C100" s="4" t="s">
        <v>198</v>
      </c>
      <c r="D100" s="3" t="s">
        <v>194</v>
      </c>
      <c r="E100" s="5" t="s">
        <v>15</v>
      </c>
    </row>
    <row r="101" spans="2:5" ht="17.100000000000001" customHeight="1">
      <c r="B101" s="3" t="s">
        <v>199</v>
      </c>
      <c r="C101" s="4" t="s">
        <v>200</v>
      </c>
      <c r="D101" s="3" t="s">
        <v>194</v>
      </c>
      <c r="E101" s="5" t="s">
        <v>15</v>
      </c>
    </row>
    <row r="102" spans="2:5" ht="17.100000000000001" customHeight="1">
      <c r="B102" s="3" t="s">
        <v>201</v>
      </c>
      <c r="C102" s="4" t="s">
        <v>202</v>
      </c>
      <c r="D102" s="3" t="s">
        <v>194</v>
      </c>
      <c r="E102" s="5" t="s">
        <v>15</v>
      </c>
    </row>
    <row r="103" spans="2:5" ht="17.100000000000001" customHeight="1">
      <c r="B103" s="3" t="s">
        <v>203</v>
      </c>
      <c r="C103" s="4" t="s">
        <v>204</v>
      </c>
      <c r="D103" s="3" t="s">
        <v>194</v>
      </c>
      <c r="E103" s="5" t="s">
        <v>15</v>
      </c>
    </row>
    <row r="104" spans="2:5" ht="17.100000000000001" customHeight="1">
      <c r="B104" s="3" t="s">
        <v>205</v>
      </c>
      <c r="C104" s="4" t="s">
        <v>206</v>
      </c>
      <c r="D104" s="3" t="s">
        <v>194</v>
      </c>
      <c r="E104" s="5" t="s">
        <v>15</v>
      </c>
    </row>
    <row r="105" spans="2:5" ht="17.100000000000001" customHeight="1">
      <c r="B105" s="3" t="s">
        <v>207</v>
      </c>
      <c r="C105" s="4" t="s">
        <v>208</v>
      </c>
      <c r="D105" s="3" t="s">
        <v>194</v>
      </c>
      <c r="E105" s="5" t="s">
        <v>15</v>
      </c>
    </row>
    <row r="106" spans="2:5" ht="17.100000000000001" customHeight="1">
      <c r="B106" s="3" t="s">
        <v>209</v>
      </c>
      <c r="C106" s="4" t="s">
        <v>210</v>
      </c>
      <c r="D106" s="3" t="s">
        <v>194</v>
      </c>
      <c r="E106" s="5" t="s">
        <v>15</v>
      </c>
    </row>
    <row r="107" spans="2:5" ht="17.100000000000001" customHeight="1">
      <c r="B107" s="3" t="s">
        <v>211</v>
      </c>
      <c r="C107" s="4" t="s">
        <v>212</v>
      </c>
      <c r="D107" s="3" t="s">
        <v>194</v>
      </c>
      <c r="E107" s="5" t="s">
        <v>15</v>
      </c>
    </row>
    <row r="108" spans="2:5" ht="17.100000000000001" customHeight="1">
      <c r="B108" s="3" t="s">
        <v>213</v>
      </c>
      <c r="C108" s="4" t="s">
        <v>214</v>
      </c>
      <c r="D108" s="3" t="s">
        <v>215</v>
      </c>
      <c r="E108" s="5" t="s">
        <v>15</v>
      </c>
    </row>
    <row r="109" spans="2:5" ht="17.100000000000001" customHeight="1">
      <c r="B109" s="3" t="s">
        <v>216</v>
      </c>
      <c r="C109" s="4" t="s">
        <v>214</v>
      </c>
      <c r="D109" s="3" t="s">
        <v>215</v>
      </c>
      <c r="E109" s="5" t="s">
        <v>15</v>
      </c>
    </row>
    <row r="110" spans="2:5" ht="17.100000000000001" customHeight="1">
      <c r="B110" s="3" t="s">
        <v>217</v>
      </c>
      <c r="C110" s="4" t="s">
        <v>218</v>
      </c>
      <c r="D110" s="3" t="s">
        <v>215</v>
      </c>
      <c r="E110" s="5" t="s">
        <v>15</v>
      </c>
    </row>
    <row r="111" spans="2:5" ht="17.100000000000001" customHeight="1">
      <c r="B111" s="3" t="s">
        <v>219</v>
      </c>
      <c r="C111" s="4" t="s">
        <v>218</v>
      </c>
      <c r="D111" s="3" t="s">
        <v>215</v>
      </c>
      <c r="E111" s="5" t="s">
        <v>15</v>
      </c>
    </row>
    <row r="112" spans="2:5" ht="17.100000000000001" customHeight="1">
      <c r="B112" s="3" t="s">
        <v>220</v>
      </c>
      <c r="C112" s="4" t="s">
        <v>221</v>
      </c>
      <c r="D112" s="3" t="s">
        <v>215</v>
      </c>
      <c r="E112" s="5" t="s">
        <v>15</v>
      </c>
    </row>
    <row r="113" spans="2:5" ht="17.100000000000001" customHeight="1">
      <c r="B113" s="3" t="s">
        <v>222</v>
      </c>
      <c r="C113" s="4" t="s">
        <v>221</v>
      </c>
      <c r="D113" s="3" t="s">
        <v>215</v>
      </c>
      <c r="E113" s="5" t="s">
        <v>15</v>
      </c>
    </row>
    <row r="114" spans="2:5" ht="17.100000000000001" customHeight="1">
      <c r="B114" s="3" t="s">
        <v>223</v>
      </c>
      <c r="C114" s="4" t="s">
        <v>224</v>
      </c>
      <c r="D114" s="3" t="s">
        <v>215</v>
      </c>
      <c r="E114" s="5" t="s">
        <v>15</v>
      </c>
    </row>
    <row r="115" spans="2:5" ht="17.100000000000001" customHeight="1">
      <c r="B115" s="3" t="s">
        <v>225</v>
      </c>
      <c r="C115" s="4" t="s">
        <v>226</v>
      </c>
      <c r="D115" s="3" t="s">
        <v>215</v>
      </c>
      <c r="E115" s="5" t="s">
        <v>15</v>
      </c>
    </row>
    <row r="116" spans="2:5" ht="17.100000000000001" customHeight="1">
      <c r="B116" s="3" t="s">
        <v>227</v>
      </c>
      <c r="C116" s="4" t="s">
        <v>21</v>
      </c>
      <c r="D116" s="3" t="s">
        <v>228</v>
      </c>
      <c r="E116" s="5" t="s">
        <v>15</v>
      </c>
    </row>
    <row r="117" spans="2:5" ht="17.100000000000001" customHeight="1">
      <c r="B117" s="3" t="s">
        <v>229</v>
      </c>
      <c r="C117" s="4" t="s">
        <v>24</v>
      </c>
      <c r="D117" s="3" t="s">
        <v>228</v>
      </c>
      <c r="E117" s="5" t="s">
        <v>15</v>
      </c>
    </row>
    <row r="118" spans="2:5" ht="17.100000000000001" customHeight="1">
      <c r="B118" s="3" t="s">
        <v>230</v>
      </c>
      <c r="C118" s="4" t="s">
        <v>28</v>
      </c>
      <c r="D118" s="3" t="s">
        <v>228</v>
      </c>
      <c r="E118" s="5" t="s">
        <v>15</v>
      </c>
    </row>
    <row r="119" spans="2:5" ht="17.100000000000001" customHeight="1">
      <c r="B119" s="3" t="s">
        <v>231</v>
      </c>
      <c r="C119" s="4" t="s">
        <v>32</v>
      </c>
      <c r="D119" s="3" t="s">
        <v>228</v>
      </c>
      <c r="E119" s="5" t="s">
        <v>15</v>
      </c>
    </row>
    <row r="120" spans="2:5" ht="17.100000000000001" customHeight="1">
      <c r="B120" s="3" t="s">
        <v>232</v>
      </c>
      <c r="C120" s="4" t="s">
        <v>36</v>
      </c>
      <c r="D120" s="3" t="s">
        <v>228</v>
      </c>
      <c r="E120" s="5" t="s">
        <v>15</v>
      </c>
    </row>
    <row r="121" spans="2:5" ht="17.100000000000001" customHeight="1">
      <c r="B121" s="3" t="s">
        <v>233</v>
      </c>
      <c r="C121" s="4" t="s">
        <v>40</v>
      </c>
      <c r="D121" s="3" t="s">
        <v>228</v>
      </c>
      <c r="E121" s="5" t="s">
        <v>15</v>
      </c>
    </row>
    <row r="122" spans="2:5" ht="17.100000000000001" customHeight="1">
      <c r="B122" s="3" t="s">
        <v>234</v>
      </c>
      <c r="C122" s="4" t="s">
        <v>44</v>
      </c>
      <c r="D122" s="3" t="s">
        <v>228</v>
      </c>
      <c r="E122" s="5" t="s">
        <v>15</v>
      </c>
    </row>
    <row r="123" spans="2:5" ht="17.100000000000001" customHeight="1">
      <c r="B123" s="3" t="s">
        <v>235</v>
      </c>
      <c r="C123" s="4" t="s">
        <v>48</v>
      </c>
      <c r="D123" s="3" t="s">
        <v>228</v>
      </c>
      <c r="E123" s="5" t="s">
        <v>15</v>
      </c>
    </row>
    <row r="124" spans="2:5" ht="17.100000000000001" customHeight="1">
      <c r="B124" s="3" t="s">
        <v>236</v>
      </c>
      <c r="C124" s="4" t="s">
        <v>52</v>
      </c>
      <c r="D124" s="3" t="s">
        <v>228</v>
      </c>
      <c r="E124" s="5" t="s">
        <v>15</v>
      </c>
    </row>
    <row r="125" spans="2:5" ht="17.100000000000001" customHeight="1">
      <c r="B125" s="3" t="s">
        <v>237</v>
      </c>
      <c r="C125" s="4" t="s">
        <v>56</v>
      </c>
      <c r="D125" s="3" t="s">
        <v>228</v>
      </c>
      <c r="E125" s="5" t="s">
        <v>15</v>
      </c>
    </row>
    <row r="126" spans="2:5" ht="17.100000000000001" customHeight="1">
      <c r="B126" s="3" t="s">
        <v>238</v>
      </c>
      <c r="C126" s="4" t="s">
        <v>60</v>
      </c>
      <c r="D126" s="3" t="s">
        <v>228</v>
      </c>
      <c r="E126" s="5" t="s">
        <v>15</v>
      </c>
    </row>
    <row r="127" spans="2:5" ht="17.100000000000001" customHeight="1">
      <c r="B127" s="3" t="s">
        <v>239</v>
      </c>
      <c r="C127" s="4" t="s">
        <v>63</v>
      </c>
      <c r="D127" s="3" t="s">
        <v>228</v>
      </c>
      <c r="E127" s="5" t="s">
        <v>15</v>
      </c>
    </row>
    <row r="128" spans="2:5" ht="17.100000000000001" customHeight="1">
      <c r="B128" s="3" t="s">
        <v>240</v>
      </c>
      <c r="C128" s="4" t="s">
        <v>65</v>
      </c>
      <c r="D128" s="3" t="s">
        <v>228</v>
      </c>
      <c r="E128" s="5" t="s">
        <v>15</v>
      </c>
    </row>
    <row r="129" spans="2:5" ht="17.100000000000001" customHeight="1">
      <c r="B129" s="3" t="s">
        <v>241</v>
      </c>
      <c r="C129" s="4" t="s">
        <v>67</v>
      </c>
      <c r="D129" s="3" t="s">
        <v>228</v>
      </c>
      <c r="E129" s="5" t="s">
        <v>15</v>
      </c>
    </row>
    <row r="130" spans="2:5" ht="17.100000000000001" customHeight="1">
      <c r="B130" s="3" t="s">
        <v>242</v>
      </c>
      <c r="C130" s="4" t="s">
        <v>69</v>
      </c>
      <c r="D130" s="3" t="s">
        <v>228</v>
      </c>
      <c r="E130" s="5" t="s">
        <v>15</v>
      </c>
    </row>
    <row r="131" spans="2:5" ht="17.100000000000001" customHeight="1">
      <c r="B131" s="3" t="s">
        <v>243</v>
      </c>
      <c r="C131" s="4" t="s">
        <v>73</v>
      </c>
      <c r="D131" s="3" t="s">
        <v>228</v>
      </c>
      <c r="E131" s="5" t="s">
        <v>15</v>
      </c>
    </row>
    <row r="132" spans="2:5" ht="17.100000000000001" customHeight="1">
      <c r="B132" s="3" t="s">
        <v>244</v>
      </c>
      <c r="C132" s="4" t="s">
        <v>77</v>
      </c>
      <c r="D132" s="3" t="s">
        <v>228</v>
      </c>
      <c r="E132" s="5" t="s">
        <v>15</v>
      </c>
    </row>
    <row r="133" spans="2:5" ht="17.100000000000001" customHeight="1">
      <c r="B133" s="3" t="s">
        <v>245</v>
      </c>
      <c r="C133" s="4" t="s">
        <v>81</v>
      </c>
      <c r="D133" s="3" t="s">
        <v>228</v>
      </c>
      <c r="E133" s="5" t="s">
        <v>15</v>
      </c>
    </row>
    <row r="134" spans="2:5" ht="17.100000000000001" customHeight="1">
      <c r="B134" s="3" t="s">
        <v>246</v>
      </c>
      <c r="C134" s="4" t="s">
        <v>85</v>
      </c>
      <c r="D134" s="3" t="s">
        <v>228</v>
      </c>
      <c r="E134" s="5" t="s">
        <v>15</v>
      </c>
    </row>
    <row r="135" spans="2:5" ht="17.100000000000001" customHeight="1">
      <c r="B135" s="3" t="s">
        <v>247</v>
      </c>
      <c r="C135" s="4" t="s">
        <v>89</v>
      </c>
      <c r="D135" s="3" t="s">
        <v>228</v>
      </c>
      <c r="E135" s="5" t="s">
        <v>15</v>
      </c>
    </row>
    <row r="136" spans="2:5" ht="17.100000000000001" customHeight="1">
      <c r="B136" s="3" t="s">
        <v>248</v>
      </c>
      <c r="C136" s="4" t="s">
        <v>249</v>
      </c>
      <c r="D136" s="3" t="s">
        <v>228</v>
      </c>
      <c r="E136" s="5" t="s">
        <v>15</v>
      </c>
    </row>
    <row r="137" spans="2:5" ht="17.100000000000001" customHeight="1">
      <c r="B137" s="3" t="s">
        <v>250</v>
      </c>
      <c r="C137" s="4" t="s">
        <v>251</v>
      </c>
      <c r="D137" s="3" t="s">
        <v>228</v>
      </c>
      <c r="E137" s="5" t="s">
        <v>15</v>
      </c>
    </row>
    <row r="138" spans="2:5" ht="17.100000000000001" customHeight="1">
      <c r="B138" s="3" t="s">
        <v>252</v>
      </c>
      <c r="C138" s="4" t="s">
        <v>253</v>
      </c>
      <c r="D138" s="3" t="s">
        <v>228</v>
      </c>
      <c r="E138" s="5" t="s">
        <v>15</v>
      </c>
    </row>
    <row r="139" spans="2:5" ht="17.100000000000001" customHeight="1">
      <c r="B139" s="3" t="s">
        <v>254</v>
      </c>
      <c r="C139" s="4" t="s">
        <v>255</v>
      </c>
      <c r="D139" s="3" t="s">
        <v>228</v>
      </c>
      <c r="E139" s="5" t="s">
        <v>15</v>
      </c>
    </row>
    <row r="140" spans="2:5" ht="17.100000000000001" customHeight="1">
      <c r="B140" s="3" t="s">
        <v>256</v>
      </c>
      <c r="C140" s="4" t="s">
        <v>257</v>
      </c>
      <c r="D140" s="3" t="s">
        <v>228</v>
      </c>
      <c r="E140" s="5" t="s">
        <v>15</v>
      </c>
    </row>
    <row r="141" spans="2:5" ht="17.100000000000001" customHeight="1">
      <c r="B141" s="3" t="s">
        <v>258</v>
      </c>
      <c r="C141" s="4" t="s">
        <v>259</v>
      </c>
      <c r="D141" s="3" t="s">
        <v>228</v>
      </c>
      <c r="E141" s="5" t="s">
        <v>15</v>
      </c>
    </row>
    <row r="142" spans="2:5" ht="17.100000000000001" customHeight="1">
      <c r="B142" s="3" t="s">
        <v>260</v>
      </c>
      <c r="C142" s="4" t="s">
        <v>261</v>
      </c>
      <c r="D142" s="3" t="s">
        <v>228</v>
      </c>
      <c r="E142" s="5" t="s">
        <v>15</v>
      </c>
    </row>
    <row r="143" spans="2:5" ht="17.100000000000001" customHeight="1">
      <c r="B143" s="3" t="s">
        <v>262</v>
      </c>
      <c r="C143" s="4" t="s">
        <v>263</v>
      </c>
      <c r="D143" s="3" t="s">
        <v>228</v>
      </c>
      <c r="E143" s="5" t="s">
        <v>15</v>
      </c>
    </row>
    <row r="144" spans="2:5" ht="17.100000000000001" customHeight="1">
      <c r="B144" s="3" t="s">
        <v>264</v>
      </c>
      <c r="C144" s="4" t="s">
        <v>265</v>
      </c>
      <c r="D144" s="3" t="s">
        <v>228</v>
      </c>
      <c r="E144" s="5" t="s">
        <v>15</v>
      </c>
    </row>
    <row r="145" spans="2:5" ht="17.100000000000001" customHeight="1">
      <c r="B145" s="3" t="s">
        <v>266</v>
      </c>
      <c r="C145" s="4" t="s">
        <v>267</v>
      </c>
      <c r="D145" s="3" t="s">
        <v>228</v>
      </c>
      <c r="E145" s="5" t="s">
        <v>15</v>
      </c>
    </row>
    <row r="146" spans="2:5" ht="17.100000000000001" customHeight="1">
      <c r="B146" s="3" t="s">
        <v>268</v>
      </c>
      <c r="C146" s="4" t="s">
        <v>269</v>
      </c>
      <c r="D146" s="3" t="s">
        <v>228</v>
      </c>
      <c r="E146" s="5" t="s">
        <v>15</v>
      </c>
    </row>
    <row r="147" spans="2:5" ht="17.100000000000001" customHeight="1">
      <c r="B147" s="3" t="s">
        <v>270</v>
      </c>
      <c r="C147" s="4" t="s">
        <v>271</v>
      </c>
      <c r="D147" s="3" t="s">
        <v>228</v>
      </c>
      <c r="E147" s="5" t="s">
        <v>15</v>
      </c>
    </row>
    <row r="148" spans="2:5" ht="17.100000000000001" customHeight="1">
      <c r="B148" s="3" t="s">
        <v>272</v>
      </c>
      <c r="C148" s="4" t="s">
        <v>273</v>
      </c>
      <c r="D148" s="3" t="s">
        <v>228</v>
      </c>
      <c r="E148" s="5" t="s">
        <v>15</v>
      </c>
    </row>
    <row r="149" spans="2:5" ht="17.100000000000001" customHeight="1">
      <c r="B149" s="3" t="s">
        <v>274</v>
      </c>
      <c r="C149" s="4" t="s">
        <v>275</v>
      </c>
      <c r="D149" s="3" t="s">
        <v>228</v>
      </c>
      <c r="E149" s="5" t="s">
        <v>15</v>
      </c>
    </row>
    <row r="150" spans="2:5" ht="17.100000000000001" customHeight="1">
      <c r="B150" s="3" t="s">
        <v>276</v>
      </c>
      <c r="C150" s="4" t="s">
        <v>277</v>
      </c>
      <c r="D150" s="3" t="s">
        <v>228</v>
      </c>
      <c r="E150" s="5" t="s">
        <v>15</v>
      </c>
    </row>
    <row r="151" spans="2:5" ht="17.100000000000001" customHeight="1">
      <c r="B151" s="3" t="s">
        <v>278</v>
      </c>
      <c r="C151" s="4" t="s">
        <v>279</v>
      </c>
      <c r="D151" s="3" t="s">
        <v>228</v>
      </c>
      <c r="E151" s="5" t="s">
        <v>15</v>
      </c>
    </row>
    <row r="152" spans="2:5" ht="17.100000000000001" customHeight="1">
      <c r="B152" s="3" t="s">
        <v>280</v>
      </c>
      <c r="C152" s="4" t="s">
        <v>281</v>
      </c>
      <c r="D152" s="3" t="s">
        <v>228</v>
      </c>
      <c r="E152" s="5" t="s">
        <v>15</v>
      </c>
    </row>
    <row r="153" spans="2:5" ht="17.100000000000001" customHeight="1">
      <c r="B153" s="3" t="s">
        <v>282</v>
      </c>
      <c r="C153" s="4" t="s">
        <v>283</v>
      </c>
      <c r="D153" s="3" t="s">
        <v>228</v>
      </c>
      <c r="E153" s="5" t="s">
        <v>15</v>
      </c>
    </row>
    <row r="154" spans="2:5" ht="17.100000000000001" customHeight="1">
      <c r="B154" s="3" t="s">
        <v>284</v>
      </c>
      <c r="C154" s="4" t="s">
        <v>285</v>
      </c>
      <c r="D154" s="3" t="s">
        <v>228</v>
      </c>
      <c r="E154" s="5" t="s">
        <v>15</v>
      </c>
    </row>
    <row r="155" spans="2:5" ht="17.100000000000001" customHeight="1">
      <c r="B155" s="3" t="s">
        <v>286</v>
      </c>
      <c r="C155" s="4" t="s">
        <v>287</v>
      </c>
      <c r="D155" s="3" t="s">
        <v>228</v>
      </c>
      <c r="E155" s="5" t="s">
        <v>15</v>
      </c>
    </row>
    <row r="156" spans="2:5" ht="17.100000000000001" customHeight="1">
      <c r="B156" s="3" t="s">
        <v>288</v>
      </c>
      <c r="C156" s="4" t="s">
        <v>289</v>
      </c>
      <c r="D156" s="3" t="s">
        <v>228</v>
      </c>
      <c r="E156" s="5" t="s">
        <v>15</v>
      </c>
    </row>
    <row r="157" spans="2:5" ht="17.100000000000001" customHeight="1">
      <c r="B157" s="3" t="s">
        <v>290</v>
      </c>
      <c r="C157" s="4" t="s">
        <v>291</v>
      </c>
      <c r="D157" s="3" t="s">
        <v>228</v>
      </c>
      <c r="E157" s="5" t="s">
        <v>15</v>
      </c>
    </row>
    <row r="158" spans="2:5" ht="17.100000000000001" customHeight="1">
      <c r="B158" s="3" t="s">
        <v>292</v>
      </c>
      <c r="C158" s="4" t="s">
        <v>293</v>
      </c>
      <c r="D158" s="3" t="s">
        <v>228</v>
      </c>
      <c r="E158" s="5" t="s">
        <v>15</v>
      </c>
    </row>
    <row r="159" spans="2:5" ht="17.100000000000001" customHeight="1">
      <c r="B159" s="3" t="s">
        <v>294</v>
      </c>
      <c r="C159" s="4" t="s">
        <v>295</v>
      </c>
      <c r="D159" s="3" t="s">
        <v>228</v>
      </c>
      <c r="E159" s="5" t="s">
        <v>15</v>
      </c>
    </row>
    <row r="160" spans="2:5" ht="17.100000000000001" customHeight="1">
      <c r="B160" s="3" t="s">
        <v>296</v>
      </c>
      <c r="C160" s="4" t="s">
        <v>297</v>
      </c>
      <c r="D160" s="3" t="s">
        <v>228</v>
      </c>
      <c r="E160" s="5" t="s">
        <v>15</v>
      </c>
    </row>
    <row r="161" spans="2:5" ht="17.100000000000001" customHeight="1">
      <c r="B161" s="3" t="s">
        <v>298</v>
      </c>
      <c r="C161" s="4" t="s">
        <v>299</v>
      </c>
      <c r="D161" s="3" t="s">
        <v>228</v>
      </c>
      <c r="E161" s="5" t="s">
        <v>15</v>
      </c>
    </row>
    <row r="162" spans="2:5" ht="17.100000000000001" customHeight="1">
      <c r="B162" s="3" t="s">
        <v>300</v>
      </c>
      <c r="C162" s="4" t="s">
        <v>301</v>
      </c>
      <c r="D162" s="3" t="s">
        <v>228</v>
      </c>
      <c r="E162" s="5" t="s">
        <v>15</v>
      </c>
    </row>
    <row r="163" spans="2:5" ht="17.100000000000001" customHeight="1">
      <c r="B163" s="3" t="s">
        <v>302</v>
      </c>
      <c r="C163" s="4" t="s">
        <v>303</v>
      </c>
      <c r="D163" s="3" t="s">
        <v>228</v>
      </c>
      <c r="E163" s="5" t="s">
        <v>15</v>
      </c>
    </row>
    <row r="164" spans="2:5" ht="17.100000000000001" customHeight="1">
      <c r="B164" s="3" t="s">
        <v>304</v>
      </c>
      <c r="C164" s="4" t="s">
        <v>305</v>
      </c>
      <c r="D164" s="3" t="s">
        <v>228</v>
      </c>
      <c r="E164" s="5" t="s">
        <v>15</v>
      </c>
    </row>
    <row r="165" spans="2:5" ht="17.100000000000001" customHeight="1">
      <c r="B165" s="3" t="s">
        <v>306</v>
      </c>
      <c r="C165" s="4" t="s">
        <v>305</v>
      </c>
      <c r="D165" s="3" t="s">
        <v>228</v>
      </c>
      <c r="E165" s="5" t="s">
        <v>15</v>
      </c>
    </row>
    <row r="166" spans="2:5" ht="17.100000000000001" customHeight="1">
      <c r="B166" s="3" t="s">
        <v>307</v>
      </c>
      <c r="C166" s="4" t="s">
        <v>308</v>
      </c>
      <c r="D166" s="3" t="s">
        <v>309</v>
      </c>
      <c r="E166" s="5" t="s">
        <v>15</v>
      </c>
    </row>
    <row r="167" spans="2:5" ht="17.100000000000001" customHeight="1">
      <c r="B167" s="3" t="s">
        <v>310</v>
      </c>
      <c r="C167" s="4" t="s">
        <v>311</v>
      </c>
      <c r="D167" s="3" t="s">
        <v>312</v>
      </c>
      <c r="E167" s="5" t="s">
        <v>15</v>
      </c>
    </row>
    <row r="168" spans="2:5" ht="17.100000000000001" customHeight="1">
      <c r="B168" s="3" t="s">
        <v>313</v>
      </c>
      <c r="C168" s="4" t="s">
        <v>314</v>
      </c>
      <c r="D168" s="3" t="s">
        <v>312</v>
      </c>
      <c r="E168" s="5" t="s">
        <v>15</v>
      </c>
    </row>
    <row r="169" spans="2:5" ht="17.100000000000001" customHeight="1">
      <c r="B169" s="3" t="s">
        <v>315</v>
      </c>
      <c r="C169" s="4" t="s">
        <v>316</v>
      </c>
      <c r="D169" s="3" t="s">
        <v>312</v>
      </c>
      <c r="E169" s="5" t="s">
        <v>15</v>
      </c>
    </row>
    <row r="170" spans="2:5" ht="17.100000000000001" customHeight="1">
      <c r="B170" s="3" t="s">
        <v>317</v>
      </c>
      <c r="C170" s="4" t="s">
        <v>318</v>
      </c>
      <c r="D170" s="3" t="s">
        <v>312</v>
      </c>
      <c r="E170" s="5" t="s">
        <v>15</v>
      </c>
    </row>
    <row r="171" spans="2:5" ht="17.100000000000001" customHeight="1">
      <c r="B171" s="3" t="s">
        <v>319</v>
      </c>
      <c r="C171" s="4" t="s">
        <v>320</v>
      </c>
      <c r="D171" s="3" t="s">
        <v>312</v>
      </c>
      <c r="E171" s="5" t="s">
        <v>15</v>
      </c>
    </row>
    <row r="172" spans="2:5" ht="17.100000000000001" customHeight="1">
      <c r="B172" s="3" t="s">
        <v>321</v>
      </c>
      <c r="C172" s="4" t="s">
        <v>322</v>
      </c>
      <c r="D172" s="3" t="s">
        <v>312</v>
      </c>
      <c r="E172" s="5" t="s">
        <v>15</v>
      </c>
    </row>
    <row r="173" spans="2:5" ht="17.100000000000001" customHeight="1">
      <c r="B173" s="3" t="s">
        <v>323</v>
      </c>
      <c r="C173" s="4" t="s">
        <v>324</v>
      </c>
      <c r="D173" s="3" t="s">
        <v>312</v>
      </c>
      <c r="E173" s="5" t="s">
        <v>15</v>
      </c>
    </row>
    <row r="174" spans="2:5" ht="17.100000000000001" customHeight="1">
      <c r="B174" s="3" t="s">
        <v>325</v>
      </c>
      <c r="C174" s="4" t="s">
        <v>326</v>
      </c>
      <c r="D174" s="3" t="s">
        <v>312</v>
      </c>
      <c r="E174" s="5" t="s">
        <v>15</v>
      </c>
    </row>
    <row r="175" spans="2:5" ht="17.100000000000001" customHeight="1">
      <c r="B175" s="3" t="s">
        <v>327</v>
      </c>
      <c r="C175" s="4" t="s">
        <v>328</v>
      </c>
      <c r="D175" s="3" t="s">
        <v>312</v>
      </c>
      <c r="E175" s="5" t="s">
        <v>15</v>
      </c>
    </row>
    <row r="176" spans="2:5" ht="17.100000000000001" customHeight="1">
      <c r="B176" s="3" t="s">
        <v>329</v>
      </c>
      <c r="C176" s="4" t="s">
        <v>330</v>
      </c>
      <c r="D176" s="3" t="s">
        <v>312</v>
      </c>
      <c r="E176" s="5" t="s">
        <v>15</v>
      </c>
    </row>
    <row r="177" spans="2:5" ht="17.100000000000001" customHeight="1">
      <c r="B177" s="3" t="s">
        <v>331</v>
      </c>
      <c r="C177" s="4" t="s">
        <v>332</v>
      </c>
      <c r="D177" s="3" t="s">
        <v>333</v>
      </c>
      <c r="E177" s="5" t="s">
        <v>15</v>
      </c>
    </row>
    <row r="178" spans="2:5" ht="17.100000000000001" customHeight="1">
      <c r="B178" s="3" t="s">
        <v>331</v>
      </c>
      <c r="C178" s="4" t="s">
        <v>334</v>
      </c>
      <c r="D178" s="3" t="s">
        <v>335</v>
      </c>
      <c r="E178" s="5" t="s">
        <v>15</v>
      </c>
    </row>
    <row r="179" spans="2:5" ht="17.100000000000001" customHeight="1">
      <c r="B179" s="3" t="s">
        <v>331</v>
      </c>
      <c r="C179" s="4" t="s">
        <v>336</v>
      </c>
      <c r="D179" s="3" t="s">
        <v>337</v>
      </c>
      <c r="E179" s="5" t="s">
        <v>15</v>
      </c>
    </row>
  </sheetData>
  <mergeCells count="7">
    <mergeCell ref="B3:E3"/>
    <mergeCell ref="B5:E5"/>
    <mergeCell ref="B9:E9"/>
    <mergeCell ref="B8:E8"/>
    <mergeCell ref="B4:E4"/>
    <mergeCell ref="B6:E6"/>
    <mergeCell ref="B7:E7"/>
  </mergeCells>
  <hyperlinks>
    <hyperlink ref="E12" r:id="rId1" xr:uid="{00000000-0004-0000-0000-000000000000}"/>
    <hyperlink ref="E13" r:id="rId2" xr:uid="{00000000-0004-0000-0000-000001000000}"/>
    <hyperlink ref="E14" r:id="rId3" xr:uid="{00000000-0004-0000-0000-000002000000}"/>
    <hyperlink ref="E15" r:id="rId4" xr:uid="{00000000-0004-0000-0000-000003000000}"/>
    <hyperlink ref="E16" r:id="rId5" xr:uid="{00000000-0004-0000-0000-000004000000}"/>
    <hyperlink ref="E17" r:id="rId6" xr:uid="{00000000-0004-0000-0000-000005000000}"/>
    <hyperlink ref="E18" r:id="rId7" xr:uid="{00000000-0004-0000-0000-000006000000}"/>
    <hyperlink ref="E19" r:id="rId8" xr:uid="{00000000-0004-0000-0000-000007000000}"/>
    <hyperlink ref="E20" r:id="rId9" xr:uid="{00000000-0004-0000-0000-000008000000}"/>
    <hyperlink ref="E21" r:id="rId10" xr:uid="{00000000-0004-0000-0000-000009000000}"/>
    <hyperlink ref="E22" r:id="rId11" xr:uid="{00000000-0004-0000-0000-00000A000000}"/>
    <hyperlink ref="E23" r:id="rId12" xr:uid="{00000000-0004-0000-0000-00000B000000}"/>
    <hyperlink ref="E24" r:id="rId13" xr:uid="{00000000-0004-0000-0000-00000C000000}"/>
    <hyperlink ref="E25" r:id="rId14" xr:uid="{00000000-0004-0000-0000-00000D000000}"/>
    <hyperlink ref="E26" r:id="rId15" xr:uid="{00000000-0004-0000-0000-00000E000000}"/>
    <hyperlink ref="E27" r:id="rId16" xr:uid="{00000000-0004-0000-0000-00000F000000}"/>
    <hyperlink ref="E28" r:id="rId17" xr:uid="{00000000-0004-0000-0000-000010000000}"/>
    <hyperlink ref="E29" r:id="rId18" xr:uid="{00000000-0004-0000-0000-000011000000}"/>
    <hyperlink ref="E30" r:id="rId19" xr:uid="{00000000-0004-0000-0000-000012000000}"/>
    <hyperlink ref="E31" r:id="rId20" xr:uid="{00000000-0004-0000-0000-000013000000}"/>
    <hyperlink ref="E32" r:id="rId21" xr:uid="{00000000-0004-0000-0000-000014000000}"/>
    <hyperlink ref="E33" r:id="rId22" xr:uid="{00000000-0004-0000-0000-000015000000}"/>
    <hyperlink ref="E34" r:id="rId23" xr:uid="{00000000-0004-0000-0000-000016000000}"/>
    <hyperlink ref="E35" r:id="rId24" xr:uid="{00000000-0004-0000-0000-000017000000}"/>
    <hyperlink ref="E36" r:id="rId25" xr:uid="{00000000-0004-0000-0000-000018000000}"/>
    <hyperlink ref="E37" r:id="rId26" xr:uid="{00000000-0004-0000-0000-000019000000}"/>
    <hyperlink ref="E38" r:id="rId27" xr:uid="{00000000-0004-0000-0000-00001A000000}"/>
    <hyperlink ref="E39" r:id="rId28" xr:uid="{00000000-0004-0000-0000-00001B000000}"/>
    <hyperlink ref="E40" r:id="rId29" xr:uid="{00000000-0004-0000-0000-00001C000000}"/>
    <hyperlink ref="E41" r:id="rId30" xr:uid="{00000000-0004-0000-0000-00001D000000}"/>
    <hyperlink ref="E42" r:id="rId31" xr:uid="{00000000-0004-0000-0000-00001E000000}"/>
    <hyperlink ref="E43" r:id="rId32" xr:uid="{00000000-0004-0000-0000-00001F000000}"/>
    <hyperlink ref="E44" r:id="rId33" xr:uid="{00000000-0004-0000-0000-000020000000}"/>
    <hyperlink ref="E45" r:id="rId34" xr:uid="{00000000-0004-0000-0000-000021000000}"/>
    <hyperlink ref="E46" r:id="rId35" xr:uid="{00000000-0004-0000-0000-000022000000}"/>
    <hyperlink ref="E47" r:id="rId36" xr:uid="{00000000-0004-0000-0000-000023000000}"/>
    <hyperlink ref="E48" r:id="rId37" xr:uid="{00000000-0004-0000-0000-000024000000}"/>
    <hyperlink ref="E49" r:id="rId38" xr:uid="{00000000-0004-0000-0000-000025000000}"/>
    <hyperlink ref="E50" r:id="rId39" xr:uid="{00000000-0004-0000-0000-000026000000}"/>
    <hyperlink ref="E51" r:id="rId40" xr:uid="{00000000-0004-0000-0000-000027000000}"/>
    <hyperlink ref="E52" r:id="rId41" xr:uid="{00000000-0004-0000-0000-000028000000}"/>
    <hyperlink ref="E53" r:id="rId42" xr:uid="{00000000-0004-0000-0000-000029000000}"/>
    <hyperlink ref="E54" r:id="rId43" xr:uid="{00000000-0004-0000-0000-00002A000000}"/>
    <hyperlink ref="E55" r:id="rId44" xr:uid="{00000000-0004-0000-0000-00002B000000}"/>
    <hyperlink ref="E56" r:id="rId45" xr:uid="{00000000-0004-0000-0000-00002C000000}"/>
    <hyperlink ref="E57" r:id="rId46" xr:uid="{00000000-0004-0000-0000-00002D000000}"/>
    <hyperlink ref="E58" r:id="rId47" xr:uid="{00000000-0004-0000-0000-00002E000000}"/>
    <hyperlink ref="E59" r:id="rId48" xr:uid="{00000000-0004-0000-0000-00002F000000}"/>
    <hyperlink ref="E60" r:id="rId49" xr:uid="{00000000-0004-0000-0000-000030000000}"/>
    <hyperlink ref="E61" r:id="rId50" xr:uid="{00000000-0004-0000-0000-000031000000}"/>
    <hyperlink ref="E62" r:id="rId51" xr:uid="{00000000-0004-0000-0000-000032000000}"/>
    <hyperlink ref="E63" r:id="rId52" xr:uid="{00000000-0004-0000-0000-000033000000}"/>
    <hyperlink ref="E64" r:id="rId53" xr:uid="{00000000-0004-0000-0000-000034000000}"/>
    <hyperlink ref="E65" r:id="rId54" xr:uid="{00000000-0004-0000-0000-000035000000}"/>
    <hyperlink ref="E66" r:id="rId55" xr:uid="{00000000-0004-0000-0000-000036000000}"/>
    <hyperlink ref="E67" r:id="rId56" xr:uid="{00000000-0004-0000-0000-000037000000}"/>
    <hyperlink ref="E68" r:id="rId57" xr:uid="{00000000-0004-0000-0000-000038000000}"/>
    <hyperlink ref="E69" r:id="rId58" xr:uid="{00000000-0004-0000-0000-000039000000}"/>
    <hyperlink ref="E70" r:id="rId59" xr:uid="{00000000-0004-0000-0000-00003A000000}"/>
    <hyperlink ref="E71" r:id="rId60" xr:uid="{00000000-0004-0000-0000-00003B000000}"/>
    <hyperlink ref="E72" r:id="rId61" xr:uid="{00000000-0004-0000-0000-00003C000000}"/>
    <hyperlink ref="E73" r:id="rId62" xr:uid="{00000000-0004-0000-0000-00003D000000}"/>
    <hyperlink ref="E74" r:id="rId63" xr:uid="{00000000-0004-0000-0000-00003E000000}"/>
    <hyperlink ref="E75" r:id="rId64" xr:uid="{00000000-0004-0000-0000-00003F000000}"/>
    <hyperlink ref="E76" r:id="rId65" xr:uid="{00000000-0004-0000-0000-000040000000}"/>
    <hyperlink ref="E77" r:id="rId66" xr:uid="{00000000-0004-0000-0000-000041000000}"/>
    <hyperlink ref="E78" r:id="rId67" xr:uid="{00000000-0004-0000-0000-000042000000}"/>
    <hyperlink ref="E79" r:id="rId68" xr:uid="{00000000-0004-0000-0000-000043000000}"/>
    <hyperlink ref="E80" r:id="rId69" xr:uid="{00000000-0004-0000-0000-000044000000}"/>
    <hyperlink ref="E81" r:id="rId70" xr:uid="{00000000-0004-0000-0000-000045000000}"/>
    <hyperlink ref="E82" r:id="rId71" xr:uid="{00000000-0004-0000-0000-000046000000}"/>
    <hyperlink ref="E83" r:id="rId72" xr:uid="{00000000-0004-0000-0000-000047000000}"/>
    <hyperlink ref="E84" r:id="rId73" xr:uid="{00000000-0004-0000-0000-000048000000}"/>
    <hyperlink ref="E85" r:id="rId74" xr:uid="{00000000-0004-0000-0000-000049000000}"/>
    <hyperlink ref="E86" r:id="rId75" xr:uid="{00000000-0004-0000-0000-00004A000000}"/>
    <hyperlink ref="E87" r:id="rId76" xr:uid="{00000000-0004-0000-0000-00004B000000}"/>
    <hyperlink ref="E88" r:id="rId77" xr:uid="{00000000-0004-0000-0000-00004C000000}"/>
    <hyperlink ref="E89" r:id="rId78" xr:uid="{00000000-0004-0000-0000-00004D000000}"/>
    <hyperlink ref="E90" r:id="rId79" xr:uid="{00000000-0004-0000-0000-00004E000000}"/>
    <hyperlink ref="E91" r:id="rId80" xr:uid="{00000000-0004-0000-0000-00004F000000}"/>
    <hyperlink ref="E92" r:id="rId81" xr:uid="{00000000-0004-0000-0000-000050000000}"/>
    <hyperlink ref="E93" r:id="rId82" xr:uid="{00000000-0004-0000-0000-000051000000}"/>
    <hyperlink ref="E94" r:id="rId83" xr:uid="{00000000-0004-0000-0000-000052000000}"/>
    <hyperlink ref="E95" r:id="rId84" xr:uid="{00000000-0004-0000-0000-000053000000}"/>
    <hyperlink ref="E96" r:id="rId85" xr:uid="{00000000-0004-0000-0000-000054000000}"/>
    <hyperlink ref="E97" r:id="rId86" xr:uid="{00000000-0004-0000-0000-000055000000}"/>
    <hyperlink ref="E98" r:id="rId87" xr:uid="{00000000-0004-0000-0000-000056000000}"/>
    <hyperlink ref="E99" r:id="rId88" xr:uid="{00000000-0004-0000-0000-000057000000}"/>
    <hyperlink ref="E100" r:id="rId89" xr:uid="{00000000-0004-0000-0000-000058000000}"/>
    <hyperlink ref="E101" r:id="rId90" xr:uid="{00000000-0004-0000-0000-000059000000}"/>
    <hyperlink ref="E102" r:id="rId91" xr:uid="{00000000-0004-0000-0000-00005A000000}"/>
    <hyperlink ref="E103" r:id="rId92" xr:uid="{00000000-0004-0000-0000-00005B000000}"/>
    <hyperlink ref="E104" r:id="rId93" xr:uid="{00000000-0004-0000-0000-00005C000000}"/>
    <hyperlink ref="E105" r:id="rId94" xr:uid="{00000000-0004-0000-0000-00005D000000}"/>
    <hyperlink ref="E106" r:id="rId95" xr:uid="{00000000-0004-0000-0000-00005E000000}"/>
    <hyperlink ref="E107" r:id="rId96" xr:uid="{00000000-0004-0000-0000-00005F000000}"/>
    <hyperlink ref="E108" r:id="rId97" xr:uid="{00000000-0004-0000-0000-000060000000}"/>
    <hyperlink ref="E109" r:id="rId98" xr:uid="{00000000-0004-0000-0000-000061000000}"/>
    <hyperlink ref="E110" r:id="rId99" xr:uid="{00000000-0004-0000-0000-000062000000}"/>
    <hyperlink ref="E111" r:id="rId100" xr:uid="{00000000-0004-0000-0000-000063000000}"/>
    <hyperlink ref="E112" r:id="rId101" xr:uid="{00000000-0004-0000-0000-000064000000}"/>
    <hyperlink ref="E113" r:id="rId102" xr:uid="{00000000-0004-0000-0000-000065000000}"/>
    <hyperlink ref="E114" r:id="rId103" xr:uid="{00000000-0004-0000-0000-000066000000}"/>
    <hyperlink ref="E115" r:id="rId104" xr:uid="{00000000-0004-0000-0000-000067000000}"/>
    <hyperlink ref="E116" r:id="rId105" xr:uid="{00000000-0004-0000-0000-000068000000}"/>
    <hyperlink ref="E117" r:id="rId106" xr:uid="{00000000-0004-0000-0000-000069000000}"/>
    <hyperlink ref="E118" r:id="rId107" xr:uid="{00000000-0004-0000-0000-00006A000000}"/>
    <hyperlink ref="E119" r:id="rId108" xr:uid="{00000000-0004-0000-0000-00006B000000}"/>
    <hyperlink ref="E120" r:id="rId109" xr:uid="{00000000-0004-0000-0000-00006C000000}"/>
    <hyperlink ref="E121" r:id="rId110" xr:uid="{00000000-0004-0000-0000-00006D000000}"/>
    <hyperlink ref="E122" r:id="rId111" xr:uid="{00000000-0004-0000-0000-00006E000000}"/>
    <hyperlink ref="E123" r:id="rId112" xr:uid="{00000000-0004-0000-0000-00006F000000}"/>
    <hyperlink ref="E124" r:id="rId113" xr:uid="{00000000-0004-0000-0000-000070000000}"/>
    <hyperlink ref="E125" r:id="rId114" xr:uid="{00000000-0004-0000-0000-000071000000}"/>
    <hyperlink ref="E126" r:id="rId115" xr:uid="{00000000-0004-0000-0000-000072000000}"/>
    <hyperlink ref="E127" r:id="rId116" xr:uid="{00000000-0004-0000-0000-000073000000}"/>
    <hyperlink ref="E128" r:id="rId117" xr:uid="{00000000-0004-0000-0000-000074000000}"/>
    <hyperlink ref="E129" r:id="rId118" xr:uid="{00000000-0004-0000-0000-000075000000}"/>
    <hyperlink ref="E130" r:id="rId119" xr:uid="{00000000-0004-0000-0000-000076000000}"/>
    <hyperlink ref="E131" r:id="rId120" xr:uid="{00000000-0004-0000-0000-000077000000}"/>
    <hyperlink ref="E132" r:id="rId121" xr:uid="{00000000-0004-0000-0000-000078000000}"/>
    <hyperlink ref="E133" r:id="rId122" xr:uid="{00000000-0004-0000-0000-000079000000}"/>
    <hyperlink ref="E134" r:id="rId123" xr:uid="{00000000-0004-0000-0000-00007A000000}"/>
    <hyperlink ref="E135" r:id="rId124" xr:uid="{00000000-0004-0000-0000-00007B000000}"/>
    <hyperlink ref="E136" r:id="rId125" xr:uid="{00000000-0004-0000-0000-00007C000000}"/>
    <hyperlink ref="E137" r:id="rId126" xr:uid="{00000000-0004-0000-0000-00007D000000}"/>
    <hyperlink ref="E138" r:id="rId127" xr:uid="{00000000-0004-0000-0000-00007E000000}"/>
    <hyperlink ref="E139" r:id="rId128" xr:uid="{00000000-0004-0000-0000-00007F000000}"/>
    <hyperlink ref="E140" r:id="rId129" xr:uid="{00000000-0004-0000-0000-000080000000}"/>
    <hyperlink ref="E141" r:id="rId130" xr:uid="{00000000-0004-0000-0000-000081000000}"/>
    <hyperlink ref="E142" r:id="rId131" xr:uid="{00000000-0004-0000-0000-000082000000}"/>
    <hyperlink ref="E143" r:id="rId132" xr:uid="{00000000-0004-0000-0000-000083000000}"/>
    <hyperlink ref="E144" r:id="rId133" xr:uid="{00000000-0004-0000-0000-000084000000}"/>
    <hyperlink ref="E145" r:id="rId134" xr:uid="{00000000-0004-0000-0000-000085000000}"/>
    <hyperlink ref="E146" r:id="rId135" xr:uid="{00000000-0004-0000-0000-000086000000}"/>
    <hyperlink ref="E147" r:id="rId136" xr:uid="{00000000-0004-0000-0000-000087000000}"/>
    <hyperlink ref="E148" r:id="rId137" xr:uid="{00000000-0004-0000-0000-000088000000}"/>
    <hyperlink ref="E149" r:id="rId138" xr:uid="{00000000-0004-0000-0000-000089000000}"/>
    <hyperlink ref="E150" r:id="rId139" xr:uid="{00000000-0004-0000-0000-00008A000000}"/>
    <hyperlink ref="E151" r:id="rId140" xr:uid="{00000000-0004-0000-0000-00008B000000}"/>
    <hyperlink ref="E152" r:id="rId141" xr:uid="{00000000-0004-0000-0000-00008C000000}"/>
    <hyperlink ref="E153" r:id="rId142" xr:uid="{00000000-0004-0000-0000-00008D000000}"/>
    <hyperlink ref="E154" r:id="rId143" xr:uid="{00000000-0004-0000-0000-00008E000000}"/>
    <hyperlink ref="E155" r:id="rId144" xr:uid="{00000000-0004-0000-0000-00008F000000}"/>
    <hyperlink ref="E156" r:id="rId145" xr:uid="{00000000-0004-0000-0000-000090000000}"/>
    <hyperlink ref="E157" r:id="rId146" xr:uid="{00000000-0004-0000-0000-000091000000}"/>
    <hyperlink ref="E158" r:id="rId147" xr:uid="{00000000-0004-0000-0000-000092000000}"/>
    <hyperlink ref="E159" r:id="rId148" xr:uid="{00000000-0004-0000-0000-000093000000}"/>
    <hyperlink ref="E160" r:id="rId149" xr:uid="{00000000-0004-0000-0000-000094000000}"/>
    <hyperlink ref="E161" r:id="rId150" xr:uid="{00000000-0004-0000-0000-000095000000}"/>
    <hyperlink ref="E162" r:id="rId151" xr:uid="{00000000-0004-0000-0000-000096000000}"/>
    <hyperlink ref="E163" r:id="rId152" xr:uid="{00000000-0004-0000-0000-000097000000}"/>
    <hyperlink ref="E164" r:id="rId153" xr:uid="{00000000-0004-0000-0000-000098000000}"/>
    <hyperlink ref="E165" r:id="rId154" xr:uid="{00000000-0004-0000-0000-000099000000}"/>
    <hyperlink ref="E166" r:id="rId155" xr:uid="{00000000-0004-0000-0000-00009A000000}"/>
    <hyperlink ref="E167" r:id="rId156" xr:uid="{00000000-0004-0000-0000-00009B000000}"/>
    <hyperlink ref="E168" r:id="rId157" xr:uid="{00000000-0004-0000-0000-00009C000000}"/>
    <hyperlink ref="E169" r:id="rId158" xr:uid="{00000000-0004-0000-0000-00009D000000}"/>
    <hyperlink ref="E170" r:id="rId159" xr:uid="{00000000-0004-0000-0000-00009E000000}"/>
    <hyperlink ref="E171" r:id="rId160" xr:uid="{00000000-0004-0000-0000-00009F000000}"/>
    <hyperlink ref="E172" r:id="rId161" xr:uid="{00000000-0004-0000-0000-0000A0000000}"/>
    <hyperlink ref="E173" r:id="rId162" xr:uid="{00000000-0004-0000-0000-0000A1000000}"/>
    <hyperlink ref="E174" r:id="rId163" xr:uid="{00000000-0004-0000-0000-0000A2000000}"/>
    <hyperlink ref="E175" r:id="rId164" xr:uid="{00000000-0004-0000-0000-0000A3000000}"/>
    <hyperlink ref="E176" r:id="rId165" xr:uid="{00000000-0004-0000-0000-0000A4000000}"/>
    <hyperlink ref="E177" r:id="rId166" xr:uid="{00000000-0004-0000-0000-0000A5000000}"/>
    <hyperlink ref="E178" r:id="rId167" xr:uid="{00000000-0004-0000-0000-0000A6000000}"/>
    <hyperlink ref="E179" r:id="rId168" xr:uid="{00000000-0004-0000-0000-0000A7000000}"/>
  </hyperlinks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42"/>
  <sheetViews>
    <sheetView showGridLines="0" workbookViewId="0"/>
  </sheetViews>
  <sheetFormatPr defaultRowHeight="15"/>
  <cols>
    <col min="1" max="1" width="2" customWidth="1"/>
    <col min="2" max="2" width="30" customWidth="1"/>
    <col min="3" max="26" width="11" customWidth="1"/>
  </cols>
  <sheetData>
    <row r="2" spans="2:10" ht="21" customHeight="1">
      <c r="B2" s="6" t="s">
        <v>338</v>
      </c>
    </row>
    <row r="3" spans="2:10" ht="17.100000000000001" customHeight="1">
      <c r="B3" s="2" t="s">
        <v>339</v>
      </c>
      <c r="C3" s="29" t="s">
        <v>340</v>
      </c>
      <c r="D3" s="33"/>
      <c r="E3" s="33"/>
      <c r="F3" s="34"/>
      <c r="G3" s="29" t="s">
        <v>341</v>
      </c>
      <c r="H3" s="33"/>
      <c r="I3" s="33"/>
      <c r="J3" s="34"/>
    </row>
    <row r="4" spans="2:10" ht="17.100000000000001" customHeight="1">
      <c r="B4" s="7" t="s">
        <v>342</v>
      </c>
      <c r="C4" s="24" t="s">
        <v>343</v>
      </c>
      <c r="D4" s="33"/>
      <c r="E4" s="33"/>
      <c r="F4" s="34"/>
      <c r="G4" s="24" t="s">
        <v>344</v>
      </c>
      <c r="H4" s="33"/>
      <c r="I4" s="33"/>
      <c r="J4" s="34"/>
    </row>
    <row r="5" spans="2:10" ht="17.100000000000001" customHeight="1">
      <c r="B5" s="7" t="s">
        <v>345</v>
      </c>
      <c r="C5" s="24" t="s">
        <v>346</v>
      </c>
      <c r="D5" s="33"/>
      <c r="E5" s="33"/>
      <c r="F5" s="34"/>
      <c r="G5" s="24" t="s">
        <v>346</v>
      </c>
      <c r="H5" s="33"/>
      <c r="I5" s="33"/>
      <c r="J5" s="34"/>
    </row>
    <row r="6" spans="2:10" ht="17.100000000000001" customHeight="1">
      <c r="B6" s="7" t="s">
        <v>347</v>
      </c>
      <c r="C6" s="24" t="s">
        <v>348</v>
      </c>
      <c r="D6" s="33"/>
      <c r="E6" s="33"/>
      <c r="F6" s="34"/>
      <c r="G6" s="24" t="s">
        <v>348</v>
      </c>
      <c r="H6" s="33"/>
      <c r="I6" s="33"/>
      <c r="J6" s="34"/>
    </row>
    <row r="7" spans="2:10" ht="17.100000000000001" customHeight="1">
      <c r="B7" s="7" t="s">
        <v>349</v>
      </c>
      <c r="C7" s="27"/>
      <c r="D7" s="33"/>
      <c r="E7" s="33"/>
      <c r="F7" s="34"/>
      <c r="G7" s="27"/>
      <c r="H7" s="33"/>
      <c r="I7" s="33"/>
      <c r="J7" s="34"/>
    </row>
    <row r="8" spans="2:10" ht="17.100000000000001" customHeight="1">
      <c r="B8" s="7" t="s">
        <v>350</v>
      </c>
      <c r="C8" s="26">
        <f>集計_障がい者!$F$5</f>
        <v>259</v>
      </c>
      <c r="D8" s="33"/>
      <c r="E8" s="33"/>
      <c r="F8" s="34"/>
      <c r="G8" s="26">
        <f>集計_障がい児!$F$5</f>
        <v>25</v>
      </c>
      <c r="H8" s="33"/>
      <c r="I8" s="33"/>
      <c r="J8" s="34"/>
    </row>
    <row r="9" spans="2:10" ht="17.100000000000001" customHeight="1">
      <c r="B9" s="7" t="s">
        <v>351</v>
      </c>
      <c r="C9" s="28" t="str">
        <f>IF(C7="","",C8/C7)</f>
        <v/>
      </c>
      <c r="D9" s="33"/>
      <c r="E9" s="33"/>
      <c r="F9" s="34"/>
      <c r="G9" s="28" t="str">
        <f>IF(G7="","",G8/G7)</f>
        <v/>
      </c>
      <c r="H9" s="33"/>
      <c r="I9" s="33"/>
      <c r="J9" s="34"/>
    </row>
    <row r="10" spans="2:10" ht="27" customHeight="1">
      <c r="B10" s="30" t="s">
        <v>352</v>
      </c>
      <c r="C10" s="32"/>
      <c r="D10" s="32"/>
      <c r="E10" s="32"/>
      <c r="F10" s="32"/>
      <c r="G10" s="32"/>
      <c r="H10" s="32"/>
      <c r="I10" s="32"/>
      <c r="J10" s="32"/>
    </row>
    <row r="12" spans="2:10" ht="21" customHeight="1">
      <c r="B12" s="6" t="s">
        <v>353</v>
      </c>
    </row>
    <row r="13" spans="2:10" ht="17.100000000000001" customHeight="1">
      <c r="B13" s="2" t="s">
        <v>354</v>
      </c>
      <c r="C13" s="29" t="s">
        <v>340</v>
      </c>
      <c r="D13" s="33"/>
      <c r="E13" s="34"/>
      <c r="F13" s="29" t="s">
        <v>341</v>
      </c>
      <c r="G13" s="33"/>
      <c r="H13" s="34"/>
    </row>
    <row r="14" spans="2:10" ht="17.100000000000001" customHeight="1">
      <c r="B14" s="8" t="s">
        <v>355</v>
      </c>
      <c r="C14" s="23" t="s">
        <v>356</v>
      </c>
      <c r="D14" s="33"/>
      <c r="E14" s="34"/>
      <c r="F14" s="23" t="s">
        <v>356</v>
      </c>
      <c r="G14" s="33"/>
      <c r="H14" s="34"/>
    </row>
    <row r="15" spans="2:10" ht="17.100000000000001" customHeight="1">
      <c r="B15" s="9" t="s">
        <v>357</v>
      </c>
      <c r="C15" s="25" t="s">
        <v>358</v>
      </c>
      <c r="D15" s="33"/>
      <c r="E15" s="34"/>
      <c r="F15" s="25" t="s">
        <v>358</v>
      </c>
      <c r="G15" s="33"/>
      <c r="H15" s="34"/>
    </row>
    <row r="16" spans="2:10" ht="17.100000000000001" customHeight="1">
      <c r="B16" s="8" t="s">
        <v>359</v>
      </c>
      <c r="C16" s="23" t="s">
        <v>360</v>
      </c>
      <c r="D16" s="33"/>
      <c r="E16" s="34"/>
      <c r="F16" s="23" t="s">
        <v>361</v>
      </c>
      <c r="G16" s="33"/>
      <c r="H16" s="34"/>
    </row>
    <row r="17" spans="2:9" ht="17.100000000000001" customHeight="1">
      <c r="B17" s="9" t="s">
        <v>362</v>
      </c>
      <c r="C17" s="25" t="s">
        <v>361</v>
      </c>
      <c r="D17" s="33"/>
      <c r="E17" s="34"/>
      <c r="F17" s="25" t="s">
        <v>360</v>
      </c>
      <c r="G17" s="33"/>
      <c r="H17" s="34"/>
    </row>
    <row r="18" spans="2:9" ht="17.100000000000001" customHeight="1">
      <c r="B18" s="8" t="s">
        <v>363</v>
      </c>
      <c r="C18" s="23" t="s">
        <v>364</v>
      </c>
      <c r="D18" s="33"/>
      <c r="E18" s="34"/>
      <c r="F18" s="23" t="s">
        <v>365</v>
      </c>
      <c r="G18" s="33"/>
      <c r="H18" s="34"/>
    </row>
    <row r="19" spans="2:9" ht="17.100000000000001" customHeight="1">
      <c r="B19" s="9" t="s">
        <v>366</v>
      </c>
      <c r="C19" s="25" t="s">
        <v>367</v>
      </c>
      <c r="D19" s="33"/>
      <c r="E19" s="34"/>
      <c r="F19" s="25" t="s">
        <v>368</v>
      </c>
      <c r="G19" s="33"/>
      <c r="H19" s="34"/>
    </row>
    <row r="20" spans="2:9" ht="17.100000000000001" customHeight="1">
      <c r="B20" s="8" t="s">
        <v>369</v>
      </c>
      <c r="C20" s="23" t="s">
        <v>370</v>
      </c>
      <c r="D20" s="33"/>
      <c r="E20" s="34"/>
      <c r="F20" s="23" t="s">
        <v>371</v>
      </c>
      <c r="G20" s="33"/>
      <c r="H20" s="34"/>
    </row>
    <row r="21" spans="2:9" ht="17.100000000000001" customHeight="1">
      <c r="B21" s="9" t="s">
        <v>372</v>
      </c>
      <c r="C21" s="25" t="s">
        <v>373</v>
      </c>
      <c r="D21" s="33"/>
      <c r="E21" s="34"/>
      <c r="F21" s="25" t="s">
        <v>374</v>
      </c>
      <c r="G21" s="33"/>
      <c r="H21" s="34"/>
    </row>
    <row r="22" spans="2:9" ht="17.100000000000001" customHeight="1">
      <c r="B22" s="8" t="s">
        <v>375</v>
      </c>
      <c r="C22" s="23" t="s">
        <v>376</v>
      </c>
      <c r="D22" s="33"/>
      <c r="E22" s="34"/>
      <c r="F22" s="23" t="s">
        <v>377</v>
      </c>
      <c r="G22" s="33"/>
      <c r="H22" s="34"/>
    </row>
    <row r="24" spans="2:9" ht="21" customHeight="1">
      <c r="B24" s="6" t="s">
        <v>378</v>
      </c>
    </row>
    <row r="25" spans="2:9" ht="18" customHeight="1">
      <c r="B25" s="2" t="s">
        <v>354</v>
      </c>
      <c r="C25" s="29" t="s">
        <v>379</v>
      </c>
      <c r="D25" s="33"/>
      <c r="E25" s="33"/>
      <c r="F25" s="33"/>
      <c r="G25" s="34"/>
      <c r="H25" s="2" t="s">
        <v>380</v>
      </c>
      <c r="I25" s="2" t="s">
        <v>381</v>
      </c>
    </row>
    <row r="26" spans="2:9" ht="17.100000000000001" customHeight="1">
      <c r="B26" s="3" t="s">
        <v>382</v>
      </c>
      <c r="C26" s="24" t="s">
        <v>383</v>
      </c>
      <c r="D26" s="33"/>
      <c r="E26" s="33"/>
      <c r="F26" s="33"/>
      <c r="G26" s="34"/>
      <c r="H26" s="10">
        <f>IF(集計_障がい者!$F$21=0,0,SUM(集計_障がい者!$D$21)/集計_障がい者!$F$21)</f>
        <v>0.68339768339768303</v>
      </c>
      <c r="I26" s="3" t="s">
        <v>384</v>
      </c>
    </row>
    <row r="27" spans="2:9" ht="17.100000000000001" customHeight="1">
      <c r="B27" s="3" t="s">
        <v>385</v>
      </c>
      <c r="C27" s="24" t="s">
        <v>386</v>
      </c>
      <c r="D27" s="33"/>
      <c r="E27" s="33"/>
      <c r="F27" s="33"/>
      <c r="G27" s="34"/>
      <c r="H27" s="10">
        <f>IF(集計_障がい者!$F$24=0,0,SUM(集計_障がい者!$D$24)/集計_障がい者!$F$24)</f>
        <v>0.65250965250965298</v>
      </c>
      <c r="I27" s="3" t="s">
        <v>387</v>
      </c>
    </row>
    <row r="28" spans="2:9" ht="17.100000000000001" customHeight="1">
      <c r="B28" s="3" t="s">
        <v>388</v>
      </c>
      <c r="C28" s="24" t="s">
        <v>389</v>
      </c>
      <c r="D28" s="33"/>
      <c r="E28" s="33"/>
      <c r="F28" s="33"/>
      <c r="G28" s="34"/>
      <c r="H28" s="10">
        <f>IF(集計_障がい者!$F$85=0,0,SUM(集計_障がい者!$D$85,集計_障がい者!$D$86)/集計_障がい者!$F$85)</f>
        <v>0.26254826254826302</v>
      </c>
      <c r="I28" s="3" t="s">
        <v>390</v>
      </c>
    </row>
    <row r="29" spans="2:9" ht="17.100000000000001" customHeight="1">
      <c r="B29" s="3" t="s">
        <v>391</v>
      </c>
      <c r="C29" s="24" t="s">
        <v>392</v>
      </c>
      <c r="D29" s="33"/>
      <c r="E29" s="33"/>
      <c r="F29" s="33"/>
      <c r="G29" s="34"/>
      <c r="H29" s="10">
        <f>IF(集計_障がい者!$F$153=0,0,SUM(集計_障がい者!$D$153)/集計_障がい者!$F$153)</f>
        <v>0.61003861003861004</v>
      </c>
      <c r="I29" s="3" t="s">
        <v>393</v>
      </c>
    </row>
    <row r="30" spans="2:9" ht="17.100000000000001" customHeight="1">
      <c r="B30" s="3" t="s">
        <v>394</v>
      </c>
      <c r="C30" s="24" t="s">
        <v>395</v>
      </c>
      <c r="D30" s="33"/>
      <c r="E30" s="33"/>
      <c r="F30" s="33"/>
      <c r="G30" s="34"/>
      <c r="H30" s="10">
        <f>IF(集計_障がい者!$F$163=0,0,SUM(集計_障がい者!$D$163)/集計_障がい者!$F$163)</f>
        <v>0.48262548262548299</v>
      </c>
      <c r="I30" s="3" t="s">
        <v>396</v>
      </c>
    </row>
    <row r="31" spans="2:9" ht="17.100000000000001" customHeight="1">
      <c r="B31" s="3" t="s">
        <v>397</v>
      </c>
      <c r="C31" s="24" t="s">
        <v>398</v>
      </c>
      <c r="D31" s="33"/>
      <c r="E31" s="33"/>
      <c r="F31" s="33"/>
      <c r="G31" s="34"/>
      <c r="H31" s="10">
        <f>IF(集計_障がい者!$F$200=0,0,SUM(集計_障がい者!$D$200)/集計_障がい者!$F$200)</f>
        <v>0.25096525096525102</v>
      </c>
      <c r="I31" s="3" t="s">
        <v>399</v>
      </c>
    </row>
    <row r="32" spans="2:9" ht="17.100000000000001" customHeight="1">
      <c r="B32" s="3" t="s">
        <v>400</v>
      </c>
      <c r="C32" s="24" t="s">
        <v>401</v>
      </c>
      <c r="D32" s="33"/>
      <c r="E32" s="33"/>
      <c r="F32" s="33"/>
      <c r="G32" s="34"/>
      <c r="H32" s="10">
        <f>IF(集計_障がい者!$F$213=0,0,SUM(集計_障がい者!$D$213)/集計_障がい者!$F$213)</f>
        <v>0.44015444015444</v>
      </c>
      <c r="I32" s="3" t="s">
        <v>402</v>
      </c>
    </row>
    <row r="33" spans="2:9" ht="30" customHeight="1">
      <c r="B33" s="3" t="s">
        <v>403</v>
      </c>
      <c r="C33" s="24" t="s">
        <v>404</v>
      </c>
      <c r="D33" s="33"/>
      <c r="E33" s="33"/>
      <c r="F33" s="33"/>
      <c r="G33" s="34"/>
      <c r="H33" s="10">
        <f>IF(集計_障がい者!$F$236=0,0,SUM(集計_障がい者!$D$236)/集計_障がい者!$F$236)</f>
        <v>0.35907335907335902</v>
      </c>
      <c r="I33" s="3" t="s">
        <v>405</v>
      </c>
    </row>
    <row r="34" spans="2:9" ht="17.100000000000001" customHeight="1">
      <c r="B34" s="3" t="s">
        <v>406</v>
      </c>
      <c r="C34" s="24" t="s">
        <v>407</v>
      </c>
      <c r="D34" s="33"/>
      <c r="E34" s="33"/>
      <c r="F34" s="33"/>
      <c r="G34" s="34"/>
      <c r="H34" s="10">
        <f>IF(集計_障がい者!$F$251=0,0,SUM(集計_障がい者!$D$251)/集計_障がい者!$F$251)</f>
        <v>0.29729729729729698</v>
      </c>
      <c r="I34" s="3" t="s">
        <v>408</v>
      </c>
    </row>
    <row r="35" spans="2:9" ht="17.100000000000001" customHeight="1">
      <c r="B35" s="3" t="s">
        <v>409</v>
      </c>
      <c r="C35" s="24" t="s">
        <v>410</v>
      </c>
      <c r="D35" s="33"/>
      <c r="E35" s="33"/>
      <c r="F35" s="33"/>
      <c r="G35" s="34"/>
      <c r="H35" s="10">
        <f>IF(集計_障がい者!$F$352=0,0,SUM(集計_障がい者!$D$352)/集計_障がい者!$F$352)</f>
        <v>0.73745173745173698</v>
      </c>
      <c r="I35" s="3" t="s">
        <v>411</v>
      </c>
    </row>
    <row r="36" spans="2:9" ht="30" customHeight="1">
      <c r="B36" s="3" t="s">
        <v>412</v>
      </c>
      <c r="C36" s="24" t="s">
        <v>413</v>
      </c>
      <c r="D36" s="33"/>
      <c r="E36" s="33"/>
      <c r="F36" s="33"/>
      <c r="G36" s="34"/>
      <c r="H36" s="10">
        <f>IF(集計_障がい者!$F$368=0,0,SUM(集計_障がい者!$D$368)/集計_障がい者!$F$368)</f>
        <v>0.37837837837837801</v>
      </c>
      <c r="I36" s="3" t="s">
        <v>414</v>
      </c>
    </row>
    <row r="37" spans="2:9" ht="17.100000000000001" customHeight="1">
      <c r="B37" s="3" t="s">
        <v>415</v>
      </c>
      <c r="C37" s="24" t="s">
        <v>416</v>
      </c>
      <c r="D37" s="33"/>
      <c r="E37" s="33"/>
      <c r="F37" s="33"/>
      <c r="G37" s="34"/>
      <c r="H37" s="10">
        <f>IF(集計_障がい者!$F$384=0,0,SUM(集計_障がい者!$D$384,集計_障がい者!$D$385)/集計_障がい者!$F$384)</f>
        <v>0.258687258687259</v>
      </c>
      <c r="I37" s="3" t="s">
        <v>417</v>
      </c>
    </row>
    <row r="38" spans="2:9" ht="17.100000000000001" customHeight="1">
      <c r="B38" s="3" t="s">
        <v>415</v>
      </c>
      <c r="C38" s="24" t="s">
        <v>418</v>
      </c>
      <c r="D38" s="33"/>
      <c r="E38" s="33"/>
      <c r="F38" s="33"/>
      <c r="G38" s="34"/>
      <c r="H38" s="10">
        <f>IF(集計_障がい者!$F$399=0,0,SUM(集計_障がい者!$D$399)/集計_障がい者!$F$399)</f>
        <v>0.36679536679536701</v>
      </c>
      <c r="I38" s="3" t="s">
        <v>419</v>
      </c>
    </row>
    <row r="39" spans="2:9" ht="17.100000000000001" customHeight="1">
      <c r="B39" s="3" t="s">
        <v>420</v>
      </c>
      <c r="C39" s="24" t="s">
        <v>421</v>
      </c>
      <c r="D39" s="33"/>
      <c r="E39" s="33"/>
      <c r="F39" s="33"/>
      <c r="G39" s="34"/>
      <c r="H39" s="10">
        <f>IF(集計_障がい者!$F$416=0,0,SUM(集計_障がい者!$D$416,集計_障がい者!$D$417)/集計_障がい者!$F$416)</f>
        <v>0.55598455598455598</v>
      </c>
      <c r="I39" s="3" t="s">
        <v>422</v>
      </c>
    </row>
    <row r="40" spans="2:9" ht="17.100000000000001" customHeight="1">
      <c r="B40" s="3" t="s">
        <v>420</v>
      </c>
      <c r="C40" s="24" t="s">
        <v>423</v>
      </c>
      <c r="D40" s="33"/>
      <c r="E40" s="33"/>
      <c r="F40" s="33"/>
      <c r="G40" s="34"/>
      <c r="H40" s="10">
        <f>IF(集計_障がい者!$F$420=0,0,SUM(集計_障がい者!$D$420)/集計_障がい者!$F$420)</f>
        <v>0.231660231660232</v>
      </c>
      <c r="I40" s="3" t="s">
        <v>424</v>
      </c>
    </row>
    <row r="41" spans="2:9" ht="17.100000000000001" customHeight="1">
      <c r="B41" s="3" t="s">
        <v>420</v>
      </c>
      <c r="C41" s="24" t="s">
        <v>425</v>
      </c>
      <c r="D41" s="33"/>
      <c r="E41" s="33"/>
      <c r="F41" s="33"/>
      <c r="G41" s="34"/>
      <c r="H41" s="10">
        <f>IF(集計_障がい者!$F$438=0,0,SUM(集計_障がい者!$D$438)/集計_障がい者!$F$438)</f>
        <v>0.25482625482625498</v>
      </c>
      <c r="I41" s="3" t="s">
        <v>426</v>
      </c>
    </row>
    <row r="42" spans="2:9" ht="15" customHeight="1">
      <c r="B42" s="30" t="s">
        <v>427</v>
      </c>
      <c r="C42" s="32"/>
      <c r="D42" s="32"/>
      <c r="E42" s="32"/>
      <c r="F42" s="32"/>
      <c r="G42" s="32"/>
      <c r="H42" s="32"/>
      <c r="I42" s="32"/>
    </row>
  </sheetData>
  <mergeCells count="53">
    <mergeCell ref="C38:G38"/>
    <mergeCell ref="C28:G28"/>
    <mergeCell ref="C37:G37"/>
    <mergeCell ref="F15:H15"/>
    <mergeCell ref="G5:J5"/>
    <mergeCell ref="C41:G41"/>
    <mergeCell ref="B42:I42"/>
    <mergeCell ref="C17:E17"/>
    <mergeCell ref="C31:G31"/>
    <mergeCell ref="C5:F5"/>
    <mergeCell ref="C40:G40"/>
    <mergeCell ref="C13:E13"/>
    <mergeCell ref="F14:H14"/>
    <mergeCell ref="C19:E19"/>
    <mergeCell ref="G8:J8"/>
    <mergeCell ref="C18:E18"/>
    <mergeCell ref="C27:G27"/>
    <mergeCell ref="G7:J7"/>
    <mergeCell ref="C36:G36"/>
    <mergeCell ref="C39:G39"/>
    <mergeCell ref="C15:E15"/>
    <mergeCell ref="C35:G35"/>
    <mergeCell ref="G9:J9"/>
    <mergeCell ref="C3:F3"/>
    <mergeCell ref="F22:H22"/>
    <mergeCell ref="B10:J10"/>
    <mergeCell ref="F13:H13"/>
    <mergeCell ref="C25:G25"/>
    <mergeCell ref="C6:F6"/>
    <mergeCell ref="C4:F4"/>
    <mergeCell ref="G6:J6"/>
    <mergeCell ref="C9:F9"/>
    <mergeCell ref="F16:H16"/>
    <mergeCell ref="C14:E14"/>
    <mergeCell ref="F19:H19"/>
    <mergeCell ref="G3:J3"/>
    <mergeCell ref="C32:G32"/>
    <mergeCell ref="C8:F8"/>
    <mergeCell ref="F18:H18"/>
    <mergeCell ref="G4:J4"/>
    <mergeCell ref="C22:E22"/>
    <mergeCell ref="C33:G33"/>
    <mergeCell ref="C7:F7"/>
    <mergeCell ref="F17:H17"/>
    <mergeCell ref="C21:E21"/>
    <mergeCell ref="C26:G26"/>
    <mergeCell ref="C29:G29"/>
    <mergeCell ref="C16:E16"/>
    <mergeCell ref="F20:H20"/>
    <mergeCell ref="C30:G30"/>
    <mergeCell ref="C34:G34"/>
    <mergeCell ref="C20:E20"/>
    <mergeCell ref="F21:H2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286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4" ht="21" customHeight="1">
      <c r="B2" s="6" t="s">
        <v>428</v>
      </c>
    </row>
    <row r="3" spans="2:4">
      <c r="B3" s="11" t="str">
        <f>"n="&amp;集計_障がい者!$F$5&amp;"（単一回答）"</f>
        <v>n=259（単一回答）</v>
      </c>
    </row>
    <row r="4" spans="2:4" ht="18" customHeight="1">
      <c r="B4" s="2" t="s">
        <v>429</v>
      </c>
      <c r="C4" s="2" t="s">
        <v>430</v>
      </c>
      <c r="D4" s="2" t="s">
        <v>431</v>
      </c>
    </row>
    <row r="5" spans="2:4" ht="17.100000000000001" customHeight="1">
      <c r="B5" s="4" t="s">
        <v>432</v>
      </c>
      <c r="C5" s="12">
        <f>集計_障がい者!$D$5</f>
        <v>144</v>
      </c>
      <c r="D5" s="13">
        <f>集計_障がい者!$E$5</f>
        <v>0.55598455598455598</v>
      </c>
    </row>
    <row r="6" spans="2:4" ht="17.100000000000001" customHeight="1">
      <c r="B6" s="4" t="s">
        <v>433</v>
      </c>
      <c r="C6" s="12">
        <f>集計_障がい者!$D$6</f>
        <v>37</v>
      </c>
      <c r="D6" s="13">
        <f>集計_障がい者!$E$6</f>
        <v>0.14285714285714299</v>
      </c>
    </row>
    <row r="7" spans="2:4" ht="17.100000000000001" customHeight="1">
      <c r="B7" s="4" t="s">
        <v>434</v>
      </c>
      <c r="C7" s="12">
        <f>集計_障がい者!$D$7</f>
        <v>48</v>
      </c>
      <c r="D7" s="13">
        <f>集計_障がい者!$E$7</f>
        <v>0.18532818532818501</v>
      </c>
    </row>
    <row r="8" spans="2:4" ht="17.100000000000001" customHeight="1">
      <c r="B8" s="4" t="s">
        <v>435</v>
      </c>
      <c r="C8" s="12">
        <f>集計_障がい者!$D$8</f>
        <v>9</v>
      </c>
      <c r="D8" s="13">
        <f>集計_障がい者!$E$8</f>
        <v>3.4749034749034798E-2</v>
      </c>
    </row>
    <row r="9" spans="2:4" ht="17.100000000000001" customHeight="1">
      <c r="B9" s="4" t="s">
        <v>436</v>
      </c>
      <c r="C9" s="12">
        <f>集計_障がい者!$D$9</f>
        <v>10</v>
      </c>
      <c r="D9" s="13">
        <f>集計_障がい者!$E$9</f>
        <v>3.8610038610038602E-2</v>
      </c>
    </row>
    <row r="10" spans="2:4" ht="17.100000000000001" customHeight="1">
      <c r="B10" s="4" t="s">
        <v>437</v>
      </c>
      <c r="C10" s="12">
        <f>集計_障がい者!$D$10</f>
        <v>3</v>
      </c>
      <c r="D10" s="13">
        <f>集計_障がい者!$E$10</f>
        <v>1.15830115830116E-2</v>
      </c>
    </row>
    <row r="11" spans="2:4" ht="17.100000000000001" customHeight="1">
      <c r="B11" s="4" t="s">
        <v>438</v>
      </c>
      <c r="C11" s="12">
        <f>集計_障がい者!$D$11</f>
        <v>8</v>
      </c>
      <c r="D11" s="13">
        <f>集計_障がい者!$E$11</f>
        <v>3.0888030888030899E-2</v>
      </c>
    </row>
    <row r="15" spans="2:4" ht="21" customHeight="1">
      <c r="B15" s="6" t="s">
        <v>439</v>
      </c>
    </row>
    <row r="16" spans="2:4">
      <c r="B16" s="11" t="str">
        <f>"n="&amp;集計_障がい者!$F$12&amp;"（単一回答）"</f>
        <v>n=259（単一回答）</v>
      </c>
    </row>
    <row r="17" spans="2:7" ht="18" customHeight="1">
      <c r="B17" s="2" t="s">
        <v>429</v>
      </c>
      <c r="C17" s="2" t="s">
        <v>430</v>
      </c>
      <c r="D17" s="2" t="s">
        <v>431</v>
      </c>
    </row>
    <row r="18" spans="2:7" ht="17.100000000000001" customHeight="1">
      <c r="B18" s="4" t="s">
        <v>440</v>
      </c>
      <c r="C18" s="12">
        <f>集計_障がい者!$D$12</f>
        <v>144</v>
      </c>
      <c r="D18" s="13">
        <f>集計_障がい者!$E$12</f>
        <v>0.55598455598455598</v>
      </c>
    </row>
    <row r="19" spans="2:7" ht="17.100000000000001" customHeight="1">
      <c r="B19" s="4" t="s">
        <v>441</v>
      </c>
      <c r="C19" s="12">
        <f>集計_障がい者!$D$13</f>
        <v>109</v>
      </c>
      <c r="D19" s="13">
        <f>集計_障がい者!$E$13</f>
        <v>0.42084942084942101</v>
      </c>
    </row>
    <row r="20" spans="2:7" ht="17.100000000000001" customHeight="1">
      <c r="B20" s="4" t="s">
        <v>442</v>
      </c>
      <c r="C20" s="12">
        <f>集計_障がい者!$D$14</f>
        <v>0</v>
      </c>
      <c r="D20" s="13">
        <f>集計_障がい者!$E$14</f>
        <v>0</v>
      </c>
    </row>
    <row r="21" spans="2:7" ht="17.100000000000001" customHeight="1">
      <c r="B21" s="4" t="s">
        <v>443</v>
      </c>
      <c r="C21" s="12">
        <f>集計_障がい者!$D$15</f>
        <v>0</v>
      </c>
      <c r="D21" s="13">
        <f>集計_障がい者!$E$15</f>
        <v>0</v>
      </c>
    </row>
    <row r="22" spans="2:7" ht="17.100000000000001" customHeight="1">
      <c r="B22" s="4" t="s">
        <v>438</v>
      </c>
      <c r="C22" s="12">
        <f>集計_障がい者!$D$16</f>
        <v>6</v>
      </c>
      <c r="D22" s="13">
        <f>集計_障がい者!$E$16</f>
        <v>2.31660231660232E-2</v>
      </c>
    </row>
    <row r="26" spans="2:7" ht="21" customHeight="1">
      <c r="B26" s="6" t="s">
        <v>444</v>
      </c>
    </row>
    <row r="28" spans="2:7" ht="30.95" customHeight="1">
      <c r="B28" s="2" t="s">
        <v>445</v>
      </c>
      <c r="C28" s="2" t="s">
        <v>440</v>
      </c>
      <c r="D28" s="2" t="s">
        <v>441</v>
      </c>
      <c r="E28" s="2" t="s">
        <v>442</v>
      </c>
      <c r="F28" s="2" t="s">
        <v>443</v>
      </c>
      <c r="G28" s="2" t="s">
        <v>438</v>
      </c>
    </row>
    <row r="29" spans="2:7" ht="17.100000000000001" customHeight="1">
      <c r="B29" s="4" t="s">
        <v>446</v>
      </c>
      <c r="C29" s="13">
        <f>集計_障がい者!$E$12</f>
        <v>0.55598455598455598</v>
      </c>
      <c r="D29" s="13">
        <f>集計_障がい者!$E$13</f>
        <v>0.42084942084942101</v>
      </c>
      <c r="E29" s="13">
        <f>集計_障がい者!$E$14</f>
        <v>0</v>
      </c>
      <c r="F29" s="13">
        <f>集計_障がい者!$E$15</f>
        <v>0</v>
      </c>
      <c r="G29" s="13">
        <f>集計_障がい者!$E$16</f>
        <v>2.31660231660232E-2</v>
      </c>
    </row>
    <row r="30" spans="2:7" ht="17.100000000000001" customHeight="1">
      <c r="B30" s="4" t="s">
        <v>447</v>
      </c>
      <c r="C30" s="13">
        <f>集計_障がい別!$G$13</f>
        <v>0.56994818652849699</v>
      </c>
      <c r="D30" s="13">
        <f>集計_障がい別!$G$14</f>
        <v>0.40414507772020702</v>
      </c>
      <c r="E30" s="13">
        <f>集計_障がい別!$G$15</f>
        <v>0</v>
      </c>
      <c r="F30" s="13">
        <f>集計_障がい別!$G$16</f>
        <v>0</v>
      </c>
      <c r="G30" s="13">
        <f>集計_障がい別!$G$17</f>
        <v>2.59067357512953E-2</v>
      </c>
    </row>
    <row r="31" spans="2:7" ht="17.100000000000001" customHeight="1">
      <c r="B31" s="4" t="s">
        <v>448</v>
      </c>
      <c r="C31" s="13">
        <f>集計_障がい別!$H$13</f>
        <v>0.60606060606060597</v>
      </c>
      <c r="D31" s="13">
        <f>集計_障がい別!$H$14</f>
        <v>0.36363636363636398</v>
      </c>
      <c r="E31" s="13">
        <f>集計_障がい別!$H$15</f>
        <v>0</v>
      </c>
      <c r="F31" s="13">
        <f>集計_障がい別!$H$16</f>
        <v>0</v>
      </c>
      <c r="G31" s="13">
        <f>集計_障がい別!$H$17</f>
        <v>3.03030303030303E-2</v>
      </c>
    </row>
    <row r="32" spans="2:7" ht="17.100000000000001" customHeight="1">
      <c r="B32" s="4" t="s">
        <v>449</v>
      </c>
      <c r="C32" s="13">
        <f>集計_障がい別!$I$13</f>
        <v>0.54545454545454497</v>
      </c>
      <c r="D32" s="13">
        <f>集計_障がい別!$I$14</f>
        <v>0.40909090909090901</v>
      </c>
      <c r="E32" s="13">
        <f>集計_障がい別!$I$15</f>
        <v>0</v>
      </c>
      <c r="F32" s="13">
        <f>集計_障がい別!$I$16</f>
        <v>0</v>
      </c>
      <c r="G32" s="13">
        <f>集計_障がい別!$I$17</f>
        <v>4.5454545454545497E-2</v>
      </c>
    </row>
    <row r="40" spans="2:4" ht="21" customHeight="1">
      <c r="B40" s="6" t="s">
        <v>450</v>
      </c>
    </row>
    <row r="41" spans="2:4">
      <c r="B41" s="11" t="str">
        <f>"n="&amp;集計_障がい者!$F$17&amp;"（単一回答）"</f>
        <v>n=259（単一回答）</v>
      </c>
    </row>
    <row r="42" spans="2:4" ht="18" customHeight="1">
      <c r="B42" s="2" t="s">
        <v>429</v>
      </c>
      <c r="C42" s="2" t="s">
        <v>430</v>
      </c>
      <c r="D42" s="2" t="s">
        <v>431</v>
      </c>
    </row>
    <row r="43" spans="2:4" ht="17.100000000000001" customHeight="1">
      <c r="B43" s="4" t="s">
        <v>451</v>
      </c>
      <c r="C43" s="12">
        <f>集計_障がい者!$D$17</f>
        <v>12</v>
      </c>
      <c r="D43" s="13">
        <f>集計_障がい者!$E$17</f>
        <v>4.6332046332046302E-2</v>
      </c>
    </row>
    <row r="44" spans="2:4" ht="17.100000000000001" customHeight="1">
      <c r="B44" s="4" t="s">
        <v>452</v>
      </c>
      <c r="C44" s="12">
        <f>集計_障がい者!$D$18</f>
        <v>12</v>
      </c>
      <c r="D44" s="13">
        <f>集計_障がい者!$E$18</f>
        <v>4.6332046332046302E-2</v>
      </c>
    </row>
    <row r="45" spans="2:4" ht="17.100000000000001" customHeight="1">
      <c r="B45" s="4" t="s">
        <v>453</v>
      </c>
      <c r="C45" s="12">
        <f>集計_障がい者!$D$19</f>
        <v>16</v>
      </c>
      <c r="D45" s="13">
        <f>集計_障がい者!$E$19</f>
        <v>6.1776061776061798E-2</v>
      </c>
    </row>
    <row r="46" spans="2:4" ht="17.100000000000001" customHeight="1">
      <c r="B46" s="4" t="s">
        <v>454</v>
      </c>
      <c r="C46" s="12">
        <f>集計_障がい者!$D$20</f>
        <v>32</v>
      </c>
      <c r="D46" s="13">
        <f>集計_障がい者!$E$20</f>
        <v>0.123552123552124</v>
      </c>
    </row>
    <row r="47" spans="2:4" ht="17.100000000000001" customHeight="1">
      <c r="B47" s="4" t="s">
        <v>455</v>
      </c>
      <c r="C47" s="12">
        <f>集計_障がい者!$D$21</f>
        <v>177</v>
      </c>
      <c r="D47" s="13">
        <f>集計_障がい者!$E$21</f>
        <v>0.68339768339768303</v>
      </c>
    </row>
    <row r="48" spans="2:4" ht="17.100000000000001" customHeight="1">
      <c r="B48" s="4" t="s">
        <v>438</v>
      </c>
      <c r="C48" s="12">
        <f>集計_障がい者!$D$22</f>
        <v>10</v>
      </c>
      <c r="D48" s="13">
        <f>集計_障がい者!$E$22</f>
        <v>3.8610038610038602E-2</v>
      </c>
    </row>
    <row r="51" spans="2:8" ht="21" customHeight="1">
      <c r="B51" s="6" t="s">
        <v>456</v>
      </c>
    </row>
    <row r="53" spans="2:8" ht="18" customHeight="1">
      <c r="B53" s="2" t="s">
        <v>445</v>
      </c>
      <c r="C53" s="2" t="s">
        <v>451</v>
      </c>
      <c r="D53" s="2" t="s">
        <v>452</v>
      </c>
      <c r="E53" s="2" t="s">
        <v>453</v>
      </c>
      <c r="F53" s="2" t="s">
        <v>454</v>
      </c>
      <c r="G53" s="2" t="s">
        <v>455</v>
      </c>
      <c r="H53" s="2" t="s">
        <v>438</v>
      </c>
    </row>
    <row r="54" spans="2:8" ht="17.100000000000001" customHeight="1">
      <c r="B54" s="4" t="s">
        <v>446</v>
      </c>
      <c r="C54" s="13">
        <f>集計_障がい者!$E$17</f>
        <v>4.6332046332046302E-2</v>
      </c>
      <c r="D54" s="13">
        <f>集計_障がい者!$E$18</f>
        <v>4.6332046332046302E-2</v>
      </c>
      <c r="E54" s="13">
        <f>集計_障がい者!$E$19</f>
        <v>6.1776061776061798E-2</v>
      </c>
      <c r="F54" s="13">
        <f>集計_障がい者!$E$20</f>
        <v>0.123552123552124</v>
      </c>
      <c r="G54" s="13">
        <f>集計_障がい者!$E$21</f>
        <v>0.68339768339768303</v>
      </c>
      <c r="H54" s="13">
        <f>集計_障がい者!$E$22</f>
        <v>3.8610038610038602E-2</v>
      </c>
    </row>
    <row r="55" spans="2:8" ht="17.100000000000001" customHeight="1">
      <c r="B55" s="4" t="s">
        <v>447</v>
      </c>
      <c r="C55" s="13">
        <f>集計_障がい別!$G$18</f>
        <v>5.1813471502590702E-3</v>
      </c>
      <c r="D55" s="13">
        <f>集計_障がい別!$G$19</f>
        <v>1.55440414507772E-2</v>
      </c>
      <c r="E55" s="13">
        <f>集計_障がい別!$G$20</f>
        <v>2.59067357512953E-2</v>
      </c>
      <c r="F55" s="13">
        <f>集計_障がい別!$G$21</f>
        <v>9.3264248704663197E-2</v>
      </c>
      <c r="G55" s="13">
        <f>集計_障がい別!$G$22</f>
        <v>0.82383419689119197</v>
      </c>
      <c r="H55" s="13">
        <f>集計_障がい別!$G$23</f>
        <v>3.6269430051813503E-2</v>
      </c>
    </row>
    <row r="56" spans="2:8" ht="17.100000000000001" customHeight="1">
      <c r="B56" s="4" t="s">
        <v>448</v>
      </c>
      <c r="C56" s="13">
        <f>集計_障がい別!$H$18</f>
        <v>0.21212121212121199</v>
      </c>
      <c r="D56" s="13">
        <f>集計_障がい別!$H$19</f>
        <v>0.12121212121212099</v>
      </c>
      <c r="E56" s="13">
        <f>集計_障がい別!$H$20</f>
        <v>6.0606060606060601E-2</v>
      </c>
      <c r="F56" s="13">
        <f>集計_障がい別!$H$21</f>
        <v>0.30303030303030298</v>
      </c>
      <c r="G56" s="13">
        <f>集計_障がい別!$H$22</f>
        <v>0.27272727272727298</v>
      </c>
      <c r="H56" s="13">
        <f>集計_障がい別!$H$23</f>
        <v>3.03030303030303E-2</v>
      </c>
    </row>
    <row r="57" spans="2:8" ht="17.100000000000001" customHeight="1">
      <c r="B57" s="4" t="s">
        <v>449</v>
      </c>
      <c r="C57" s="13">
        <f>集計_障がい別!$I$18</f>
        <v>0.13636363636363599</v>
      </c>
      <c r="D57" s="13">
        <f>集計_障がい別!$I$19</f>
        <v>0.13636363636363599</v>
      </c>
      <c r="E57" s="13">
        <f>集計_障がい別!$I$20</f>
        <v>0.204545454545455</v>
      </c>
      <c r="F57" s="13">
        <f>集計_障がい別!$I$21</f>
        <v>0.22727272727272699</v>
      </c>
      <c r="G57" s="13">
        <f>集計_障がい別!$I$22</f>
        <v>0.25</v>
      </c>
      <c r="H57" s="13">
        <f>集計_障がい別!$I$23</f>
        <v>4.5454545454545497E-2</v>
      </c>
    </row>
    <row r="66" spans="2:9" ht="21" customHeight="1">
      <c r="B66" s="6" t="s">
        <v>457</v>
      </c>
    </row>
    <row r="67" spans="2:9">
      <c r="B67" s="11" t="str">
        <f>"n="&amp;集計_障がい者!$F$23&amp;"（単一回答）"</f>
        <v>n=259（単一回答）</v>
      </c>
    </row>
    <row r="68" spans="2:9" ht="18" customHeight="1">
      <c r="B68" s="2" t="s">
        <v>429</v>
      </c>
      <c r="C68" s="2" t="s">
        <v>430</v>
      </c>
      <c r="D68" s="2" t="s">
        <v>431</v>
      </c>
    </row>
    <row r="69" spans="2:9" ht="30" customHeight="1">
      <c r="B69" s="4" t="s">
        <v>458</v>
      </c>
      <c r="C69" s="12">
        <f>集計_障がい者!$D$23</f>
        <v>41</v>
      </c>
      <c r="D69" s="13">
        <f>集計_障がい者!$E$23</f>
        <v>0.15830115830115801</v>
      </c>
    </row>
    <row r="70" spans="2:9" ht="30" customHeight="1">
      <c r="B70" s="4" t="s">
        <v>459</v>
      </c>
      <c r="C70" s="12">
        <f>集計_障がい者!$D$24</f>
        <v>169</v>
      </c>
      <c r="D70" s="13">
        <f>集計_障がい者!$E$24</f>
        <v>0.65250965250965298</v>
      </c>
    </row>
    <row r="71" spans="2:9" ht="17.100000000000001" customHeight="1">
      <c r="B71" s="4" t="s">
        <v>460</v>
      </c>
      <c r="C71" s="12">
        <f>集計_障がい者!$D$25</f>
        <v>11</v>
      </c>
      <c r="D71" s="13">
        <f>集計_障がい者!$E$25</f>
        <v>4.2471042471042497E-2</v>
      </c>
    </row>
    <row r="72" spans="2:9" ht="30" customHeight="1">
      <c r="B72" s="4" t="s">
        <v>461</v>
      </c>
      <c r="C72" s="12">
        <f>集計_障がい者!$D$26</f>
        <v>24</v>
      </c>
      <c r="D72" s="13">
        <f>集計_障がい者!$E$26</f>
        <v>9.2664092664092701E-2</v>
      </c>
    </row>
    <row r="73" spans="2:9" ht="17.100000000000001" customHeight="1">
      <c r="B73" s="4" t="s">
        <v>462</v>
      </c>
      <c r="C73" s="12">
        <f>集計_障がい者!$D$27</f>
        <v>6</v>
      </c>
      <c r="D73" s="13">
        <f>集計_障がい者!$E$27</f>
        <v>2.31660231660232E-2</v>
      </c>
    </row>
    <row r="74" spans="2:9" ht="17.100000000000001" customHeight="1">
      <c r="B74" s="4" t="s">
        <v>437</v>
      </c>
      <c r="C74" s="12">
        <f>集計_障がい者!$D$28</f>
        <v>1</v>
      </c>
      <c r="D74" s="13">
        <f>集計_障がい者!$E$28</f>
        <v>3.8610038610038598E-3</v>
      </c>
    </row>
    <row r="75" spans="2:9" ht="17.100000000000001" customHeight="1">
      <c r="B75" s="4" t="s">
        <v>438</v>
      </c>
      <c r="C75" s="12">
        <f>集計_障がい者!$D$29</f>
        <v>7</v>
      </c>
      <c r="D75" s="13">
        <f>集計_障がい者!$E$29</f>
        <v>2.7027027027027001E-2</v>
      </c>
    </row>
    <row r="78" spans="2:9" ht="21" customHeight="1">
      <c r="B78" s="6" t="s">
        <v>463</v>
      </c>
    </row>
    <row r="80" spans="2:9" ht="83.1" customHeight="1">
      <c r="B80" s="2" t="s">
        <v>445</v>
      </c>
      <c r="C80" s="2" t="s">
        <v>458</v>
      </c>
      <c r="D80" s="2" t="s">
        <v>459</v>
      </c>
      <c r="E80" s="2" t="s">
        <v>460</v>
      </c>
      <c r="F80" s="2" t="s">
        <v>461</v>
      </c>
      <c r="G80" s="2" t="s">
        <v>462</v>
      </c>
      <c r="H80" s="2" t="s">
        <v>437</v>
      </c>
      <c r="I80" s="2" t="s">
        <v>438</v>
      </c>
    </row>
    <row r="81" spans="2:9" ht="17.100000000000001" customHeight="1">
      <c r="B81" s="4" t="s">
        <v>446</v>
      </c>
      <c r="C81" s="13">
        <f>集計_障がい者!$E$23</f>
        <v>0.15830115830115801</v>
      </c>
      <c r="D81" s="13">
        <f>集計_障がい者!$E$24</f>
        <v>0.65250965250965298</v>
      </c>
      <c r="E81" s="13">
        <f>集計_障がい者!$E$25</f>
        <v>4.2471042471042497E-2</v>
      </c>
      <c r="F81" s="13">
        <f>集計_障がい者!$E$26</f>
        <v>9.2664092664092701E-2</v>
      </c>
      <c r="G81" s="13">
        <f>集計_障がい者!$E$27</f>
        <v>2.31660231660232E-2</v>
      </c>
      <c r="H81" s="13">
        <f>集計_障がい者!$E$28</f>
        <v>3.8610038610038598E-3</v>
      </c>
      <c r="I81" s="13">
        <f>集計_障がい者!$E$29</f>
        <v>2.7027027027027001E-2</v>
      </c>
    </row>
    <row r="82" spans="2:9" ht="17.100000000000001" customHeight="1">
      <c r="B82" s="4" t="s">
        <v>447</v>
      </c>
      <c r="C82" s="13">
        <f>集計_障がい別!$G$24</f>
        <v>0.181347150259067</v>
      </c>
      <c r="D82" s="13">
        <f>集計_障がい別!$G$25</f>
        <v>0.637305699481865</v>
      </c>
      <c r="E82" s="13">
        <f>集計_障がい別!$G$26</f>
        <v>3.6269430051813503E-2</v>
      </c>
      <c r="F82" s="13">
        <f>集計_障がい別!$G$27</f>
        <v>8.2901554404145095E-2</v>
      </c>
      <c r="G82" s="13">
        <f>集計_障がい別!$G$28</f>
        <v>2.59067357512953E-2</v>
      </c>
      <c r="H82" s="13">
        <f>集計_障がい別!$G$29</f>
        <v>5.1813471502590702E-3</v>
      </c>
      <c r="I82" s="13">
        <f>集計_障がい別!$G$30</f>
        <v>3.10880829015544E-2</v>
      </c>
    </row>
    <row r="83" spans="2:9" ht="17.100000000000001" customHeight="1">
      <c r="B83" s="4" t="s">
        <v>448</v>
      </c>
      <c r="C83" s="13">
        <f>集計_障がい別!$H$24</f>
        <v>0.12121212121212099</v>
      </c>
      <c r="D83" s="13">
        <f>集計_障がい別!$H$25</f>
        <v>0.51515151515151503</v>
      </c>
      <c r="E83" s="13">
        <f>集計_障がい別!$H$26</f>
        <v>9.0909090909090898E-2</v>
      </c>
      <c r="F83" s="13">
        <f>集計_障がい別!$H$27</f>
        <v>0.24242424242424199</v>
      </c>
      <c r="G83" s="13">
        <f>集計_障がい別!$H$28</f>
        <v>0</v>
      </c>
      <c r="H83" s="13">
        <f>集計_障がい別!$H$29</f>
        <v>0</v>
      </c>
      <c r="I83" s="13">
        <f>集計_障がい別!$H$30</f>
        <v>3.03030303030303E-2</v>
      </c>
    </row>
    <row r="84" spans="2:9" ht="17.100000000000001" customHeight="1">
      <c r="B84" s="4" t="s">
        <v>449</v>
      </c>
      <c r="C84" s="13">
        <f>集計_障がい別!$I$24</f>
        <v>0.18181818181818199</v>
      </c>
      <c r="D84" s="13">
        <f>集計_障がい別!$I$25</f>
        <v>0.61363636363636398</v>
      </c>
      <c r="E84" s="13">
        <f>集計_障がい別!$I$26</f>
        <v>4.5454545454545497E-2</v>
      </c>
      <c r="F84" s="13">
        <f>集計_障がい別!$I$27</f>
        <v>0.11363636363636399</v>
      </c>
      <c r="G84" s="13">
        <f>集計_障がい別!$I$28</f>
        <v>0</v>
      </c>
      <c r="H84" s="13">
        <f>集計_障がい別!$I$29</f>
        <v>0</v>
      </c>
      <c r="I84" s="13">
        <f>集計_障がい別!$I$30</f>
        <v>4.5454545454545497E-2</v>
      </c>
    </row>
    <row r="89" spans="2:9" ht="21" customHeight="1">
      <c r="B89" s="6" t="s">
        <v>464</v>
      </c>
    </row>
    <row r="90" spans="2:9">
      <c r="B90" s="11" t="str">
        <f>"n="&amp;集計_障がい者!$F$33&amp;"（複数回答）"</f>
        <v>n=259（複数回答）</v>
      </c>
    </row>
    <row r="91" spans="2:9" ht="18" customHeight="1">
      <c r="B91" s="2" t="s">
        <v>429</v>
      </c>
      <c r="C91" s="2" t="s">
        <v>430</v>
      </c>
      <c r="D91" s="2" t="s">
        <v>431</v>
      </c>
    </row>
    <row r="92" spans="2:9" ht="17.100000000000001" customHeight="1">
      <c r="B92" s="4" t="s">
        <v>465</v>
      </c>
      <c r="C92" s="12">
        <f>集計_障がい者!$D$33</f>
        <v>95</v>
      </c>
      <c r="D92" s="13">
        <f>集計_障がい者!$E$33</f>
        <v>0.36679536679536701</v>
      </c>
    </row>
    <row r="93" spans="2:9" ht="17.100000000000001" customHeight="1">
      <c r="B93" s="4" t="s">
        <v>466</v>
      </c>
      <c r="C93" s="12">
        <f>集計_障がい者!$D$30</f>
        <v>46</v>
      </c>
      <c r="D93" s="13">
        <f>集計_障がい者!$E$30</f>
        <v>0.177606177606178</v>
      </c>
    </row>
    <row r="94" spans="2:9" ht="17.100000000000001" customHeight="1">
      <c r="B94" s="4" t="s">
        <v>467</v>
      </c>
      <c r="C94" s="12">
        <f>集計_障がい者!$D$32</f>
        <v>24</v>
      </c>
      <c r="D94" s="13">
        <f>集計_障がい者!$E$32</f>
        <v>9.2664092664092701E-2</v>
      </c>
    </row>
    <row r="95" spans="2:9" ht="17.100000000000001" customHeight="1">
      <c r="B95" s="4" t="s">
        <v>468</v>
      </c>
      <c r="C95" s="12">
        <f>集計_障がい者!$D$31</f>
        <v>7</v>
      </c>
      <c r="D95" s="13">
        <f>集計_障がい者!$E$31</f>
        <v>2.7027027027027001E-2</v>
      </c>
    </row>
    <row r="96" spans="2:9" ht="17.100000000000001" customHeight="1">
      <c r="B96" s="4" t="s">
        <v>437</v>
      </c>
      <c r="C96" s="12">
        <f>集計_障がい者!$D$34</f>
        <v>64</v>
      </c>
      <c r="D96" s="13">
        <f>集計_障がい者!$E$34</f>
        <v>0.247104247104247</v>
      </c>
    </row>
    <row r="97" spans="2:5" ht="17.100000000000001" customHeight="1">
      <c r="B97" s="4" t="s">
        <v>438</v>
      </c>
      <c r="C97" s="12">
        <f>集計_障がい者!$D$35</f>
        <v>90</v>
      </c>
      <c r="D97" s="13">
        <f>集計_障がい者!$E$35</f>
        <v>0.34749034749034802</v>
      </c>
    </row>
    <row r="101" spans="2:5" ht="21" customHeight="1">
      <c r="B101" s="6" t="s">
        <v>469</v>
      </c>
    </row>
    <row r="103" spans="2:5" ht="30.95" customHeight="1">
      <c r="B103" s="2" t="s">
        <v>429</v>
      </c>
      <c r="C103" s="2" t="s">
        <v>447</v>
      </c>
      <c r="D103" s="2" t="s">
        <v>448</v>
      </c>
      <c r="E103" s="2" t="s">
        <v>449</v>
      </c>
    </row>
    <row r="104" spans="2:5" ht="17.100000000000001" customHeight="1">
      <c r="B104" s="4" t="s">
        <v>465</v>
      </c>
      <c r="C104" s="13">
        <f>集計_障がい別!$G$34</f>
        <v>0.42487046632124398</v>
      </c>
      <c r="D104" s="13">
        <f>集計_障がい別!$H$34</f>
        <v>6.0606060606060601E-2</v>
      </c>
      <c r="E104" s="13">
        <f>集計_障がい別!$I$34</f>
        <v>0.11363636363636399</v>
      </c>
    </row>
    <row r="105" spans="2:5" ht="17.100000000000001" customHeight="1">
      <c r="B105" s="4" t="s">
        <v>466</v>
      </c>
      <c r="C105" s="13">
        <f>集計_障がい別!$G$31</f>
        <v>8.2901554404145095E-2</v>
      </c>
      <c r="D105" s="13">
        <f>集計_障がい別!$H$31</f>
        <v>0.36363636363636398</v>
      </c>
      <c r="E105" s="13">
        <f>集計_障がい別!$I$31</f>
        <v>0.5</v>
      </c>
    </row>
    <row r="106" spans="2:5" ht="17.100000000000001" customHeight="1">
      <c r="B106" s="4" t="s">
        <v>467</v>
      </c>
      <c r="C106" s="13">
        <f>集計_障がい別!$G$33</f>
        <v>4.1450777202072499E-2</v>
      </c>
      <c r="D106" s="13">
        <f>集計_障がい別!$H$33</f>
        <v>0.18181818181818199</v>
      </c>
      <c r="E106" s="13">
        <f>集計_障がい別!$I$33</f>
        <v>0.29545454545454503</v>
      </c>
    </row>
    <row r="107" spans="2:5" ht="17.100000000000001" customHeight="1">
      <c r="B107" s="4" t="s">
        <v>468</v>
      </c>
      <c r="C107" s="13">
        <f>集計_障がい別!$G$32</f>
        <v>1.55440414507772E-2</v>
      </c>
      <c r="D107" s="13">
        <f>集計_障がい別!$H$32</f>
        <v>0.12121212121212099</v>
      </c>
      <c r="E107" s="13">
        <f>集計_障がい別!$I$32</f>
        <v>4.5454545454545497E-2</v>
      </c>
    </row>
    <row r="108" spans="2:5" ht="17.100000000000001" customHeight="1">
      <c r="B108" s="4" t="s">
        <v>437</v>
      </c>
      <c r="C108" s="13">
        <f>集計_障がい別!$G$35</f>
        <v>0.26943005181347202</v>
      </c>
      <c r="D108" s="13">
        <f>集計_障がい別!$H$35</f>
        <v>0.12121212121212099</v>
      </c>
      <c r="E108" s="13">
        <f>集計_障がい別!$I$35</f>
        <v>9.0909090909090898E-2</v>
      </c>
    </row>
    <row r="109" spans="2:5" ht="17.100000000000001" customHeight="1">
      <c r="B109" s="4" t="s">
        <v>438</v>
      </c>
      <c r="C109" s="13">
        <f>集計_障がい別!$G$36</f>
        <v>0.362694300518135</v>
      </c>
      <c r="D109" s="13">
        <f>集計_障がい別!$H$36</f>
        <v>0.48484848484848497</v>
      </c>
      <c r="E109" s="13">
        <f>集計_障がい別!$I$36</f>
        <v>0.38636363636363602</v>
      </c>
    </row>
    <row r="124" spans="2:6" ht="21" customHeight="1">
      <c r="B124" s="6" t="s">
        <v>470</v>
      </c>
    </row>
    <row r="126" spans="2:6" ht="30.95" customHeight="1">
      <c r="B126" s="2" t="s">
        <v>339</v>
      </c>
      <c r="C126" s="2" t="s">
        <v>471</v>
      </c>
      <c r="D126" s="2" t="s">
        <v>472</v>
      </c>
      <c r="E126" s="2" t="s">
        <v>473</v>
      </c>
      <c r="F126" s="2" t="s">
        <v>438</v>
      </c>
    </row>
    <row r="127" spans="2:6" ht="17.100000000000001" customHeight="1">
      <c r="B127" s="4" t="s">
        <v>474</v>
      </c>
      <c r="C127" s="13">
        <f>集計_障がい者!$E$36</f>
        <v>0.81853281853281901</v>
      </c>
      <c r="D127" s="13">
        <f>集計_障がい者!$E$37</f>
        <v>9.2664092664092701E-2</v>
      </c>
      <c r="E127" s="13">
        <f>集計_障がい者!$E$38</f>
        <v>4.6332046332046302E-2</v>
      </c>
      <c r="F127" s="13">
        <f>集計_障がい者!$E$39</f>
        <v>4.2471042471042497E-2</v>
      </c>
    </row>
    <row r="128" spans="2:6" ht="17.100000000000001" customHeight="1">
      <c r="B128" s="4" t="s">
        <v>475</v>
      </c>
      <c r="C128" s="13">
        <f>集計_障がい者!$E$40</f>
        <v>0.795366795366795</v>
      </c>
      <c r="D128" s="13">
        <f>集計_障がい者!$E$41</f>
        <v>9.2664092664092701E-2</v>
      </c>
      <c r="E128" s="13">
        <f>集計_障がい者!$E$42</f>
        <v>7.3359073359073407E-2</v>
      </c>
      <c r="F128" s="13">
        <f>集計_障がい者!$E$43</f>
        <v>3.8610038610038602E-2</v>
      </c>
    </row>
    <row r="129" spans="2:6" ht="17.100000000000001" customHeight="1">
      <c r="B129" s="4" t="s">
        <v>476</v>
      </c>
      <c r="C129" s="13">
        <f>集計_障がい者!$E$44</f>
        <v>0.71814671814671804</v>
      </c>
      <c r="D129" s="13">
        <f>集計_障がい者!$E$45</f>
        <v>0.115830115830116</v>
      </c>
      <c r="E129" s="13">
        <f>集計_障がい者!$E$46</f>
        <v>0.123552123552124</v>
      </c>
      <c r="F129" s="13">
        <f>集計_障がい者!$E$47</f>
        <v>4.2471042471042497E-2</v>
      </c>
    </row>
    <row r="130" spans="2:6" ht="17.100000000000001" customHeight="1">
      <c r="B130" s="4" t="s">
        <v>477</v>
      </c>
      <c r="C130" s="13">
        <f>集計_障がい者!$E$48</f>
        <v>0.76061776061776099</v>
      </c>
      <c r="D130" s="13">
        <f>集計_障がい者!$E$49</f>
        <v>0.123552123552124</v>
      </c>
      <c r="E130" s="13">
        <f>集計_障がい者!$E$50</f>
        <v>7.7220077220077205E-2</v>
      </c>
      <c r="F130" s="13">
        <f>集計_障がい者!$E$51</f>
        <v>3.8610038610038602E-2</v>
      </c>
    </row>
    <row r="131" spans="2:6" ht="17.100000000000001" customHeight="1">
      <c r="B131" s="4" t="s">
        <v>478</v>
      </c>
      <c r="C131" s="13">
        <f>集計_障がい者!$E$52</f>
        <v>0.72972972972973005</v>
      </c>
      <c r="D131" s="13">
        <f>集計_障がい者!$E$53</f>
        <v>0.150579150579151</v>
      </c>
      <c r="E131" s="13">
        <f>集計_障がい者!$E$54</f>
        <v>7.3359073359073407E-2</v>
      </c>
      <c r="F131" s="13">
        <f>集計_障がい者!$E$55</f>
        <v>4.6332046332046302E-2</v>
      </c>
    </row>
    <row r="132" spans="2:6" ht="17.100000000000001" customHeight="1">
      <c r="B132" s="4" t="s">
        <v>479</v>
      </c>
      <c r="C132" s="13">
        <f>集計_障がい者!$E$56</f>
        <v>0.80308880308880304</v>
      </c>
      <c r="D132" s="13">
        <f>集計_障がい者!$E$57</f>
        <v>5.4054054054054099E-2</v>
      </c>
      <c r="E132" s="13">
        <f>集計_障がい者!$E$58</f>
        <v>9.6525096525096499E-2</v>
      </c>
      <c r="F132" s="13">
        <f>集計_障がい者!$E$59</f>
        <v>4.6332046332046302E-2</v>
      </c>
    </row>
    <row r="133" spans="2:6" ht="17.100000000000001" customHeight="1">
      <c r="B133" s="4" t="s">
        <v>397</v>
      </c>
      <c r="C133" s="13">
        <f>集計_障がい者!$E$60</f>
        <v>0.53667953667953705</v>
      </c>
      <c r="D133" s="13">
        <f>集計_障がい者!$E$61</f>
        <v>0.25482625482625498</v>
      </c>
      <c r="E133" s="13">
        <f>集計_障がい者!$E$62</f>
        <v>0.150579150579151</v>
      </c>
      <c r="F133" s="13">
        <f>集計_障がい者!$E$63</f>
        <v>5.7915057915057903E-2</v>
      </c>
    </row>
    <row r="134" spans="2:6" ht="17.100000000000001" customHeight="1">
      <c r="B134" s="4" t="s">
        <v>480</v>
      </c>
      <c r="C134" s="13">
        <f>集計_障がい者!$E$64</f>
        <v>0.72200772200772201</v>
      </c>
      <c r="D134" s="13">
        <f>集計_障がい者!$E$65</f>
        <v>0.162162162162162</v>
      </c>
      <c r="E134" s="13">
        <f>集計_障がい者!$E$66</f>
        <v>4.6332046332046302E-2</v>
      </c>
      <c r="F134" s="13">
        <f>集計_障がい者!$E$67</f>
        <v>6.9498069498069498E-2</v>
      </c>
    </row>
    <row r="135" spans="2:6" ht="17.100000000000001" customHeight="1">
      <c r="B135" s="4" t="s">
        <v>481</v>
      </c>
      <c r="C135" s="13">
        <f>集計_障がい者!$E$68</f>
        <v>0.59459459459459496</v>
      </c>
      <c r="D135" s="13">
        <f>集計_障がい者!$E$69</f>
        <v>0.18146718146718099</v>
      </c>
      <c r="E135" s="13">
        <f>集計_障がい者!$E$70</f>
        <v>0.166023166023166</v>
      </c>
      <c r="F135" s="13">
        <f>集計_障がい者!$E$71</f>
        <v>5.7915057915057903E-2</v>
      </c>
    </row>
    <row r="136" spans="2:6" ht="17.100000000000001" customHeight="1">
      <c r="B136" s="4" t="s">
        <v>482</v>
      </c>
      <c r="C136" s="13">
        <f>集計_障がい者!$E$72</f>
        <v>0.65637065637065595</v>
      </c>
      <c r="D136" s="13">
        <f>集計_障がい者!$E$73</f>
        <v>0.150579150579151</v>
      </c>
      <c r="E136" s="13">
        <f>集計_障がい者!$E$74</f>
        <v>0.14285714285714299</v>
      </c>
      <c r="F136" s="13">
        <f>集計_障がい者!$E$75</f>
        <v>5.0193050193050197E-2</v>
      </c>
    </row>
    <row r="148" spans="2:5" ht="21" customHeight="1">
      <c r="B148" s="6" t="s">
        <v>483</v>
      </c>
    </row>
    <row r="150" spans="2:5" ht="30.95" customHeight="1">
      <c r="B150" s="2" t="s">
        <v>339</v>
      </c>
      <c r="C150" s="2" t="s">
        <v>447</v>
      </c>
      <c r="D150" s="2" t="s">
        <v>448</v>
      </c>
      <c r="E150" s="2" t="s">
        <v>449</v>
      </c>
    </row>
    <row r="151" spans="2:5" ht="17.100000000000001" customHeight="1">
      <c r="B151" s="4" t="s">
        <v>474</v>
      </c>
      <c r="C151" s="13">
        <f>IF(集計_障がい別!$D$5=0,0,(集計_障がい別!$D$38+集計_障がい別!$D$39)/集計_障がい別!$D$5)</f>
        <v>0.13471502590673601</v>
      </c>
      <c r="D151" s="13">
        <f>IF(集計_障がい別!$E$5=0,0,(集計_障がい別!$E$38+集計_障がい別!$E$39)/集計_障がい別!$E$5)</f>
        <v>9.0909090909090898E-2</v>
      </c>
      <c r="E151" s="13">
        <f>IF(集計_障がい別!$F$5=0,0,(集計_障がい別!$F$38+集計_障がい別!$F$39)/集計_障がい別!$F$5)</f>
        <v>0.11363636363636399</v>
      </c>
    </row>
    <row r="152" spans="2:5" ht="17.100000000000001" customHeight="1">
      <c r="B152" s="4" t="s">
        <v>475</v>
      </c>
      <c r="C152" s="13">
        <f>IF(集計_障がい別!$D$5=0,0,(集計_障がい別!$D$42+集計_障がい別!$D$43)/集計_障がい別!$D$5)</f>
        <v>0.16580310880829</v>
      </c>
      <c r="D152" s="13">
        <f>IF(集計_障がい別!$E$5=0,0,(集計_障がい別!$E$42+集計_障がい別!$E$43)/集計_障がい別!$E$5)</f>
        <v>0.15151515151515199</v>
      </c>
      <c r="E152" s="13">
        <f>IF(集計_障がい別!$F$5=0,0,(集計_障がい別!$F$42+集計_障がい別!$F$43)/集計_障がい別!$F$5)</f>
        <v>4.5454545454545497E-2</v>
      </c>
    </row>
    <row r="153" spans="2:5" ht="17.100000000000001" customHeight="1">
      <c r="B153" s="4" t="s">
        <v>476</v>
      </c>
      <c r="C153" s="13">
        <f>IF(集計_障がい別!$D$5=0,0,(集計_障がい別!$D$46+集計_障がい別!$D$47)/集計_障がい別!$D$5)</f>
        <v>0.233160621761658</v>
      </c>
      <c r="D153" s="13">
        <f>IF(集計_障がい別!$E$5=0,0,(集計_障がい別!$E$46+集計_障がい別!$E$47)/集計_障がい別!$E$5)</f>
        <v>0.24242424242424199</v>
      </c>
      <c r="E153" s="13">
        <f>IF(集計_障がい別!$F$5=0,0,(集計_障がい別!$F$46+集計_障がい別!$F$47)/集計_障がい別!$F$5)</f>
        <v>0.15909090909090901</v>
      </c>
    </row>
    <row r="154" spans="2:5" ht="17.100000000000001" customHeight="1">
      <c r="B154" s="4" t="s">
        <v>477</v>
      </c>
      <c r="C154" s="13">
        <f>IF(集計_障がい別!$D$5=0,0,(集計_障がい別!$D$50+集計_障がい別!$D$51)/集計_障がい別!$D$5)</f>
        <v>0.18652849740932601</v>
      </c>
      <c r="D154" s="13">
        <f>IF(集計_障がい別!$E$5=0,0,(集計_障がい別!$E$50+集計_障がい別!$E$51)/集計_障がい別!$E$5)</f>
        <v>0.21212121212121199</v>
      </c>
      <c r="E154" s="13">
        <f>IF(集計_障がい別!$F$5=0,0,(集計_障がい別!$F$50+集計_障がい別!$F$51)/集計_障がい別!$F$5)</f>
        <v>0.13636363636363599</v>
      </c>
    </row>
    <row r="155" spans="2:5" ht="17.100000000000001" customHeight="1">
      <c r="B155" s="4" t="s">
        <v>478</v>
      </c>
      <c r="C155" s="13">
        <f>IF(集計_障がい別!$D$5=0,0,(集計_障がい別!$D$54+集計_障がい別!$D$55)/集計_障がい別!$D$5)</f>
        <v>0.20725388601036299</v>
      </c>
      <c r="D155" s="13">
        <f>IF(集計_障がい別!$E$5=0,0,(集計_障がい別!$E$54+集計_障がい別!$E$55)/集計_障がい別!$E$5)</f>
        <v>0.30303030303030298</v>
      </c>
      <c r="E155" s="13">
        <f>IF(集計_障がい別!$F$5=0,0,(集計_障がい別!$F$54+集計_障がい別!$F$55)/集計_障がい別!$F$5)</f>
        <v>0.13636363636363599</v>
      </c>
    </row>
    <row r="156" spans="2:5" ht="17.100000000000001" customHeight="1">
      <c r="B156" s="4" t="s">
        <v>479</v>
      </c>
      <c r="C156" s="13">
        <f>IF(集計_障がい別!$D$5=0,0,(集計_障がい別!$D$58+集計_障がい別!$D$59)/集計_障がい別!$D$5)</f>
        <v>0.16062176165803099</v>
      </c>
      <c r="D156" s="13">
        <f>IF(集計_障がい別!$E$5=0,0,(集計_障がい別!$E$58+集計_障がい別!$E$59)/集計_障がい別!$E$5)</f>
        <v>0.12121212121212099</v>
      </c>
      <c r="E156" s="13">
        <f>IF(集計_障がい別!$F$5=0,0,(集計_障がい別!$F$58+集計_障がい別!$F$59)/集計_障がい別!$F$5)</f>
        <v>9.0909090909090898E-2</v>
      </c>
    </row>
    <row r="157" spans="2:5" ht="17.100000000000001" customHeight="1">
      <c r="B157" s="4" t="s">
        <v>397</v>
      </c>
      <c r="C157" s="13">
        <f>IF(集計_障がい別!$D$5=0,0,(集計_障がい別!$D$62+集計_障がい別!$D$63)/集計_障がい別!$D$5)</f>
        <v>0.37823834196891198</v>
      </c>
      <c r="D157" s="13">
        <f>IF(集計_障がい別!$E$5=0,0,(集計_障がい別!$E$62+集計_障がい別!$E$63)/集計_障がい別!$E$5)</f>
        <v>0.45454545454545497</v>
      </c>
      <c r="E157" s="13">
        <f>IF(集計_障がい別!$F$5=0,0,(集計_障がい別!$F$62+集計_障がい別!$F$63)/集計_障がい別!$F$5)</f>
        <v>0.34090909090909099</v>
      </c>
    </row>
    <row r="158" spans="2:5" ht="17.100000000000001" customHeight="1">
      <c r="B158" s="4" t="s">
        <v>480</v>
      </c>
      <c r="C158" s="13">
        <f>IF(集計_障がい別!$D$5=0,0,(集計_障がい別!$D$66+集計_障がい別!$D$67)/集計_障がい別!$D$5)</f>
        <v>0.15544041450777199</v>
      </c>
      <c r="D158" s="13">
        <f>IF(集計_障がい別!$E$5=0,0,(集計_障がい別!$E$66+集計_障がい別!$E$67)/集計_障がい別!$E$5)</f>
        <v>0.45454545454545497</v>
      </c>
      <c r="E158" s="13">
        <f>IF(集計_障がい別!$F$5=0,0,(集計_障がい別!$F$66+集計_障がい別!$F$67)/集計_障がい別!$F$5)</f>
        <v>0.34090909090909099</v>
      </c>
    </row>
    <row r="159" spans="2:5" ht="17.100000000000001" customHeight="1">
      <c r="B159" s="4" t="s">
        <v>481</v>
      </c>
      <c r="C159" s="13">
        <f>IF(集計_障がい別!$D$5=0,0,(集計_障がい別!$D$70+集計_障がい別!$D$71)/集計_障がい別!$D$5)</f>
        <v>0.31606217616580301</v>
      </c>
      <c r="D159" s="13">
        <f>IF(集計_障がい別!$E$5=0,0,(集計_障がい別!$E$70+集計_障がい別!$E$71)/集計_障がい別!$E$5)</f>
        <v>0.66666666666666696</v>
      </c>
      <c r="E159" s="13">
        <f>IF(集計_障がい別!$F$5=0,0,(集計_障がい別!$F$70+集計_障がい別!$F$71)/集計_障がい別!$F$5)</f>
        <v>0.34090909090909099</v>
      </c>
    </row>
    <row r="160" spans="2:5" ht="17.100000000000001" customHeight="1">
      <c r="B160" s="4" t="s">
        <v>482</v>
      </c>
      <c r="C160" s="13">
        <f>IF(集計_障がい別!$D$5=0,0,(集計_障がい別!$D$74+集計_障がい別!$D$75)/集計_障がい別!$D$5)</f>
        <v>0.26424870466321199</v>
      </c>
      <c r="D160" s="13">
        <f>IF(集計_障がい別!$E$5=0,0,(集計_障がい別!$E$74+集計_障がい別!$E$75)/集計_障がい別!$E$5)</f>
        <v>0.54545454545454497</v>
      </c>
      <c r="E160" s="13">
        <f>IF(集計_障がい別!$F$5=0,0,(集計_障がい別!$F$74+集計_障がい別!$F$75)/集計_障がい別!$F$5)</f>
        <v>0.25</v>
      </c>
    </row>
    <row r="161" spans="2:5" ht="27" customHeight="1">
      <c r="B161" s="30" t="s">
        <v>484</v>
      </c>
      <c r="C161" s="32"/>
      <c r="D161" s="32"/>
      <c r="E161" s="32"/>
    </row>
    <row r="181" spans="2:4" ht="21" customHeight="1">
      <c r="B181" s="6" t="s">
        <v>485</v>
      </c>
    </row>
    <row r="182" spans="2:4">
      <c r="B182" s="11" t="str">
        <f>"n="&amp;集計_障がい者!$F$78&amp;"（複数回答）"</f>
        <v>n=259（複数回答）</v>
      </c>
    </row>
    <row r="183" spans="2:4" ht="18" customHeight="1">
      <c r="B183" s="2" t="s">
        <v>429</v>
      </c>
      <c r="C183" s="2" t="s">
        <v>430</v>
      </c>
      <c r="D183" s="2" t="s">
        <v>431</v>
      </c>
    </row>
    <row r="184" spans="2:4" ht="17.100000000000001" customHeight="1">
      <c r="B184" s="4" t="s">
        <v>486</v>
      </c>
      <c r="C184" s="12">
        <f>集計_障がい者!$D$78</f>
        <v>48</v>
      </c>
      <c r="D184" s="13">
        <f>集計_障がい者!$E$78</f>
        <v>0.18532818532818501</v>
      </c>
    </row>
    <row r="185" spans="2:4" ht="17.100000000000001" customHeight="1">
      <c r="B185" s="4" t="s">
        <v>487</v>
      </c>
      <c r="C185" s="12">
        <f>集計_障がい者!$D$77</f>
        <v>47</v>
      </c>
      <c r="D185" s="13">
        <f>集計_障がい者!$E$77</f>
        <v>0.18146718146718099</v>
      </c>
    </row>
    <row r="186" spans="2:4" ht="17.100000000000001" customHeight="1">
      <c r="B186" s="4" t="s">
        <v>488</v>
      </c>
      <c r="C186" s="12">
        <f>集計_障がい者!$D$79</f>
        <v>47</v>
      </c>
      <c r="D186" s="13">
        <f>集計_障がい者!$E$79</f>
        <v>0.18146718146718099</v>
      </c>
    </row>
    <row r="187" spans="2:4" ht="17.100000000000001" customHeight="1">
      <c r="B187" s="4" t="s">
        <v>489</v>
      </c>
      <c r="C187" s="12">
        <f>集計_障がい者!$D$76</f>
        <v>24</v>
      </c>
      <c r="D187" s="13">
        <f>集計_障がい者!$E$76</f>
        <v>9.2664092664092701E-2</v>
      </c>
    </row>
    <row r="188" spans="2:4" ht="17.100000000000001" customHeight="1">
      <c r="B188" s="4" t="s">
        <v>490</v>
      </c>
      <c r="C188" s="12">
        <f>集計_障がい者!$D$80</f>
        <v>8</v>
      </c>
      <c r="D188" s="13">
        <f>集計_障がい者!$E$80</f>
        <v>3.0888030888030899E-2</v>
      </c>
    </row>
    <row r="189" spans="2:4" ht="17.100000000000001" customHeight="1">
      <c r="B189" s="4" t="s">
        <v>438</v>
      </c>
      <c r="C189" s="12">
        <f>集計_障がい者!$D$81</f>
        <v>109</v>
      </c>
      <c r="D189" s="13">
        <f>集計_障がい者!$E$81</f>
        <v>0.42084942084942101</v>
      </c>
    </row>
    <row r="193" spans="2:5" ht="21" customHeight="1">
      <c r="B193" s="6" t="s">
        <v>491</v>
      </c>
    </row>
    <row r="195" spans="2:5" ht="30.95" customHeight="1">
      <c r="B195" s="2" t="s">
        <v>429</v>
      </c>
      <c r="C195" s="2" t="s">
        <v>447</v>
      </c>
      <c r="D195" s="2" t="s">
        <v>448</v>
      </c>
      <c r="E195" s="2" t="s">
        <v>449</v>
      </c>
    </row>
    <row r="196" spans="2:5" ht="17.100000000000001" customHeight="1">
      <c r="B196" s="4" t="s">
        <v>486</v>
      </c>
      <c r="C196" s="13">
        <f>集計_障がい別!$G$79</f>
        <v>0.22279792746113999</v>
      </c>
      <c r="D196" s="13">
        <f>集計_障がい別!$H$79</f>
        <v>0</v>
      </c>
      <c r="E196" s="13">
        <f>集計_障がい別!$I$79</f>
        <v>2.27272727272727E-2</v>
      </c>
    </row>
    <row r="197" spans="2:5" ht="17.100000000000001" customHeight="1">
      <c r="B197" s="4" t="s">
        <v>487</v>
      </c>
      <c r="C197" s="13">
        <f>集計_障がい別!$G$78</f>
        <v>0.20207253886010401</v>
      </c>
      <c r="D197" s="13">
        <f>集計_障がい別!$H$78</f>
        <v>3.03030303030303E-2</v>
      </c>
      <c r="E197" s="13">
        <f>集計_障がい別!$I$78</f>
        <v>0.13636363636363599</v>
      </c>
    </row>
    <row r="198" spans="2:5" ht="17.100000000000001" customHeight="1">
      <c r="B198" s="4" t="s">
        <v>488</v>
      </c>
      <c r="C198" s="13">
        <f>集計_障がい別!$G$80</f>
        <v>0.170984455958549</v>
      </c>
      <c r="D198" s="13">
        <f>集計_障がい別!$H$80</f>
        <v>0.33333333333333298</v>
      </c>
      <c r="E198" s="13">
        <f>集計_障がい別!$I$80</f>
        <v>0.25</v>
      </c>
    </row>
    <row r="199" spans="2:5" ht="17.100000000000001" customHeight="1">
      <c r="B199" s="4" t="s">
        <v>489</v>
      </c>
      <c r="C199" s="13">
        <f>集計_障がい別!$G$77</f>
        <v>2.59067357512953E-2</v>
      </c>
      <c r="D199" s="13">
        <f>集計_障がい別!$H$77</f>
        <v>0.27272727272727298</v>
      </c>
      <c r="E199" s="13">
        <f>集計_障がい別!$I$77</f>
        <v>0.22727272727272699</v>
      </c>
    </row>
    <row r="200" spans="2:5" ht="17.100000000000001" customHeight="1">
      <c r="B200" s="4" t="s">
        <v>490</v>
      </c>
      <c r="C200" s="13">
        <f>集計_障がい別!$G$81</f>
        <v>3.6269430051813503E-2</v>
      </c>
      <c r="D200" s="13">
        <f>集計_障がい別!$H$81</f>
        <v>3.03030303030303E-2</v>
      </c>
      <c r="E200" s="13">
        <f>集計_障がい別!$I$81</f>
        <v>0</v>
      </c>
    </row>
    <row r="201" spans="2:5" ht="17.100000000000001" customHeight="1">
      <c r="B201" s="4" t="s">
        <v>438</v>
      </c>
      <c r="C201" s="13">
        <f>集計_障がい別!$G$82</f>
        <v>0.45077720207253902</v>
      </c>
      <c r="D201" s="13">
        <f>集計_障がい別!$H$82</f>
        <v>0.33333333333333298</v>
      </c>
      <c r="E201" s="13">
        <f>集計_障がい別!$I$82</f>
        <v>0.43181818181818199</v>
      </c>
    </row>
    <row r="216" spans="2:4" ht="21" customHeight="1">
      <c r="B216" s="6" t="s">
        <v>492</v>
      </c>
    </row>
    <row r="217" spans="2:4">
      <c r="B217" s="11" t="str">
        <f>"n="&amp;集計_障がい者!$F$82&amp;"（単一回答）"</f>
        <v>n=259（単一回答）</v>
      </c>
    </row>
    <row r="218" spans="2:4" ht="18" customHeight="1">
      <c r="B218" s="2" t="s">
        <v>429</v>
      </c>
      <c r="C218" s="2" t="s">
        <v>430</v>
      </c>
      <c r="D218" s="2" t="s">
        <v>431</v>
      </c>
    </row>
    <row r="219" spans="2:4" ht="17.100000000000001" customHeight="1">
      <c r="B219" s="4" t="s">
        <v>493</v>
      </c>
      <c r="C219" s="12">
        <f>集計_障がい者!$D$82</f>
        <v>5</v>
      </c>
      <c r="D219" s="13">
        <f>集計_障がい者!$E$82</f>
        <v>1.9305019305019301E-2</v>
      </c>
    </row>
    <row r="220" spans="2:4" ht="17.100000000000001" customHeight="1">
      <c r="B220" s="4" t="s">
        <v>453</v>
      </c>
      <c r="C220" s="12">
        <f>集計_障がい者!$D$83</f>
        <v>7</v>
      </c>
      <c r="D220" s="13">
        <f>集計_障がい者!$E$83</f>
        <v>2.7027027027027001E-2</v>
      </c>
    </row>
    <row r="221" spans="2:4" ht="17.100000000000001" customHeight="1">
      <c r="B221" s="4" t="s">
        <v>494</v>
      </c>
      <c r="C221" s="12">
        <f>集計_障がい者!$D$84</f>
        <v>25</v>
      </c>
      <c r="D221" s="13">
        <f>集計_障がい者!$E$84</f>
        <v>9.6525096525096499E-2</v>
      </c>
    </row>
    <row r="222" spans="2:4" ht="17.100000000000001" customHeight="1">
      <c r="B222" s="4" t="s">
        <v>495</v>
      </c>
      <c r="C222" s="12">
        <f>集計_障がい者!$D$85</f>
        <v>32</v>
      </c>
      <c r="D222" s="13">
        <f>集計_障がい者!$E$85</f>
        <v>0.123552123552124</v>
      </c>
    </row>
    <row r="223" spans="2:4" ht="17.100000000000001" customHeight="1">
      <c r="B223" s="4" t="s">
        <v>496</v>
      </c>
      <c r="C223" s="12">
        <f>集計_障がい者!$D$86</f>
        <v>36</v>
      </c>
      <c r="D223" s="13">
        <f>集計_障がい者!$E$86</f>
        <v>0.138996138996139</v>
      </c>
    </row>
    <row r="224" spans="2:4" ht="17.100000000000001" customHeight="1">
      <c r="B224" s="4" t="s">
        <v>438</v>
      </c>
      <c r="C224" s="12">
        <f>集計_障がい者!$D$87</f>
        <v>154</v>
      </c>
      <c r="D224" s="13">
        <f>集計_障がい者!$E$87</f>
        <v>0.59459459459459496</v>
      </c>
    </row>
    <row r="227" spans="2:8" ht="21" customHeight="1">
      <c r="B227" s="6" t="s">
        <v>497</v>
      </c>
    </row>
    <row r="229" spans="2:8" ht="18" customHeight="1">
      <c r="B229" s="2" t="s">
        <v>445</v>
      </c>
      <c r="C229" s="2" t="s">
        <v>493</v>
      </c>
      <c r="D229" s="2" t="s">
        <v>453</v>
      </c>
      <c r="E229" s="2" t="s">
        <v>494</v>
      </c>
      <c r="F229" s="2" t="s">
        <v>495</v>
      </c>
      <c r="G229" s="2" t="s">
        <v>496</v>
      </c>
      <c r="H229" s="2" t="s">
        <v>438</v>
      </c>
    </row>
    <row r="230" spans="2:8" ht="17.100000000000001" customHeight="1">
      <c r="B230" s="4" t="s">
        <v>446</v>
      </c>
      <c r="C230" s="13">
        <f>集計_障がい者!$E$82</f>
        <v>1.9305019305019301E-2</v>
      </c>
      <c r="D230" s="13">
        <f>集計_障がい者!$E$83</f>
        <v>2.7027027027027001E-2</v>
      </c>
      <c r="E230" s="13">
        <f>集計_障がい者!$E$84</f>
        <v>9.6525096525096499E-2</v>
      </c>
      <c r="F230" s="13">
        <f>集計_障がい者!$E$85</f>
        <v>0.123552123552124</v>
      </c>
      <c r="G230" s="13">
        <f>集計_障がい者!$E$86</f>
        <v>0.138996138996139</v>
      </c>
      <c r="H230" s="13">
        <f>集計_障がい者!$E$87</f>
        <v>0.59459459459459496</v>
      </c>
    </row>
    <row r="231" spans="2:8" ht="17.100000000000001" customHeight="1">
      <c r="B231" s="4" t="s">
        <v>447</v>
      </c>
      <c r="C231" s="13">
        <f>集計_障がい別!$G$83</f>
        <v>1.55440414507772E-2</v>
      </c>
      <c r="D231" s="13">
        <f>集計_障がい別!$G$84</f>
        <v>2.0725388601036301E-2</v>
      </c>
      <c r="E231" s="13">
        <f>集計_障がい別!$G$85</f>
        <v>8.8082901554404097E-2</v>
      </c>
      <c r="F231" s="13">
        <f>集計_障がい別!$G$86</f>
        <v>0.13471502590673601</v>
      </c>
      <c r="G231" s="13">
        <f>集計_障がい別!$G$87</f>
        <v>0.13989637305699501</v>
      </c>
      <c r="H231" s="13">
        <f>集計_障がい別!$G$88</f>
        <v>0.60103626943005195</v>
      </c>
    </row>
    <row r="232" spans="2:8" ht="17.100000000000001" customHeight="1">
      <c r="B232" s="4" t="s">
        <v>448</v>
      </c>
      <c r="C232" s="13">
        <f>集計_障がい別!$H$83</f>
        <v>3.03030303030303E-2</v>
      </c>
      <c r="D232" s="13">
        <f>集計_障がい別!$H$84</f>
        <v>0</v>
      </c>
      <c r="E232" s="13">
        <f>集計_障がい別!$H$85</f>
        <v>0.12121212121212099</v>
      </c>
      <c r="F232" s="13">
        <f>集計_障がい別!$H$86</f>
        <v>6.0606060606060601E-2</v>
      </c>
      <c r="G232" s="13">
        <f>集計_障がい別!$H$87</f>
        <v>9.0909090909090898E-2</v>
      </c>
      <c r="H232" s="13">
        <f>集計_障がい別!$H$88</f>
        <v>0.69696969696969702</v>
      </c>
    </row>
    <row r="233" spans="2:8" ht="17.100000000000001" customHeight="1">
      <c r="B233" s="4" t="s">
        <v>449</v>
      </c>
      <c r="C233" s="13">
        <f>集計_障がい別!$I$83</f>
        <v>2.27272727272727E-2</v>
      </c>
      <c r="D233" s="13">
        <f>集計_障がい別!$I$84</f>
        <v>2.27272727272727E-2</v>
      </c>
      <c r="E233" s="13">
        <f>集計_障がい別!$I$85</f>
        <v>0.11363636363636399</v>
      </c>
      <c r="F233" s="13">
        <f>集計_障がい別!$I$86</f>
        <v>0.11363636363636399</v>
      </c>
      <c r="G233" s="13">
        <f>集計_障がい別!$I$87</f>
        <v>9.0909090909090898E-2</v>
      </c>
      <c r="H233" s="13">
        <f>集計_障がい別!$I$88</f>
        <v>0.63636363636363602</v>
      </c>
    </row>
    <row r="242" spans="2:5" ht="21" customHeight="1">
      <c r="B242" s="6" t="s">
        <v>498</v>
      </c>
    </row>
    <row r="243" spans="2:5">
      <c r="B243" s="11" t="str">
        <f>"n="&amp;集計_障がい者!$F$88&amp;"（単一回答）"</f>
        <v>n=259（単一回答）</v>
      </c>
    </row>
    <row r="244" spans="2:5" ht="18" customHeight="1">
      <c r="B244" s="2" t="s">
        <v>429</v>
      </c>
      <c r="C244" s="2" t="s">
        <v>430</v>
      </c>
      <c r="D244" s="2" t="s">
        <v>431</v>
      </c>
    </row>
    <row r="245" spans="2:5" ht="17.100000000000001" customHeight="1">
      <c r="B245" s="4" t="s">
        <v>440</v>
      </c>
      <c r="C245" s="12">
        <f>集計_障がい者!$D$88</f>
        <v>34</v>
      </c>
      <c r="D245" s="13">
        <f>集計_障がい者!$E$88</f>
        <v>0.13127413127413101</v>
      </c>
    </row>
    <row r="246" spans="2:5" ht="17.100000000000001" customHeight="1">
      <c r="B246" s="4" t="s">
        <v>441</v>
      </c>
      <c r="C246" s="12">
        <f>集計_障がい者!$D$89</f>
        <v>75</v>
      </c>
      <c r="D246" s="13">
        <f>集計_障がい者!$E$89</f>
        <v>0.28957528957529</v>
      </c>
    </row>
    <row r="247" spans="2:5" ht="17.100000000000001" customHeight="1">
      <c r="B247" s="4" t="s">
        <v>438</v>
      </c>
      <c r="C247" s="12">
        <f>集計_障がい者!$D$90</f>
        <v>150</v>
      </c>
      <c r="D247" s="13">
        <f>集計_障がい者!$E$90</f>
        <v>0.57915057915057899</v>
      </c>
    </row>
    <row r="254" spans="2:5" ht="21" customHeight="1">
      <c r="B254" s="6" t="s">
        <v>499</v>
      </c>
    </row>
    <row r="256" spans="2:5" ht="18" customHeight="1">
      <c r="B256" s="2" t="s">
        <v>445</v>
      </c>
      <c r="C256" s="2" t="s">
        <v>440</v>
      </c>
      <c r="D256" s="2" t="s">
        <v>441</v>
      </c>
      <c r="E256" s="2" t="s">
        <v>438</v>
      </c>
    </row>
    <row r="257" spans="2:5" ht="17.100000000000001" customHeight="1">
      <c r="B257" s="4" t="s">
        <v>446</v>
      </c>
      <c r="C257" s="13">
        <f>集計_障がい者!$E$88</f>
        <v>0.13127413127413101</v>
      </c>
      <c r="D257" s="13">
        <f>集計_障がい者!$E$89</f>
        <v>0.28957528957529</v>
      </c>
      <c r="E257" s="13">
        <f>集計_障がい者!$E$90</f>
        <v>0.57915057915057899</v>
      </c>
    </row>
    <row r="258" spans="2:5" ht="17.100000000000001" customHeight="1">
      <c r="B258" s="4" t="s">
        <v>447</v>
      </c>
      <c r="C258" s="13">
        <f>集計_障がい別!$G$89</f>
        <v>0.124352331606218</v>
      </c>
      <c r="D258" s="13">
        <f>集計_障がい別!$G$90</f>
        <v>0.284974093264249</v>
      </c>
      <c r="E258" s="13">
        <f>集計_障がい別!$G$91</f>
        <v>0.590673575129534</v>
      </c>
    </row>
    <row r="259" spans="2:5" ht="17.100000000000001" customHeight="1">
      <c r="B259" s="4" t="s">
        <v>448</v>
      </c>
      <c r="C259" s="13">
        <f>集計_障がい別!$H$89</f>
        <v>0.12121212121212099</v>
      </c>
      <c r="D259" s="13">
        <f>集計_障がい別!$H$90</f>
        <v>0.18181818181818199</v>
      </c>
      <c r="E259" s="13">
        <f>集計_障がい別!$H$91</f>
        <v>0.69696969696969702</v>
      </c>
    </row>
    <row r="260" spans="2:5" ht="17.100000000000001" customHeight="1">
      <c r="B260" s="4" t="s">
        <v>449</v>
      </c>
      <c r="C260" s="13">
        <f>集計_障がい別!$I$89</f>
        <v>0.11363636363636399</v>
      </c>
      <c r="D260" s="13">
        <f>集計_障がい別!$I$90</f>
        <v>0.25</v>
      </c>
      <c r="E260" s="13">
        <f>集計_障がい別!$I$91</f>
        <v>0.63636363636363602</v>
      </c>
    </row>
    <row r="269" spans="2:5" ht="21" customHeight="1">
      <c r="B269" s="6" t="s">
        <v>500</v>
      </c>
    </row>
    <row r="270" spans="2:5">
      <c r="B270" s="11" t="str">
        <f>"n="&amp;集計_障がい者!$F$91&amp;"（単一回答）"</f>
        <v>n=259（単一回答）</v>
      </c>
    </row>
    <row r="271" spans="2:5" ht="18" customHeight="1">
      <c r="B271" s="2" t="s">
        <v>429</v>
      </c>
      <c r="C271" s="2" t="s">
        <v>430</v>
      </c>
      <c r="D271" s="2" t="s">
        <v>431</v>
      </c>
    </row>
    <row r="272" spans="2:5" ht="17.100000000000001" customHeight="1">
      <c r="B272" s="4" t="s">
        <v>501</v>
      </c>
      <c r="C272" s="12">
        <f>集計_障がい者!$D$91</f>
        <v>22</v>
      </c>
      <c r="D272" s="13">
        <f>集計_障がい者!$E$91</f>
        <v>8.4942084942084897E-2</v>
      </c>
    </row>
    <row r="273" spans="2:6" ht="17.100000000000001" customHeight="1">
      <c r="B273" s="4" t="s">
        <v>502</v>
      </c>
      <c r="C273" s="12">
        <f>集計_障がい者!$D$92</f>
        <v>71</v>
      </c>
      <c r="D273" s="13">
        <f>集計_障がい者!$E$92</f>
        <v>0.27413127413127403</v>
      </c>
    </row>
    <row r="274" spans="2:6" ht="17.100000000000001" customHeight="1">
      <c r="B274" s="4" t="s">
        <v>503</v>
      </c>
      <c r="C274" s="12">
        <f>集計_障がい者!$D$93</f>
        <v>16</v>
      </c>
      <c r="D274" s="13">
        <f>集計_障がい者!$E$93</f>
        <v>6.1776061776061798E-2</v>
      </c>
    </row>
    <row r="275" spans="2:6" ht="17.100000000000001" customHeight="1">
      <c r="B275" s="4" t="s">
        <v>438</v>
      </c>
      <c r="C275" s="12">
        <f>集計_障がい者!$D$94</f>
        <v>150</v>
      </c>
      <c r="D275" s="13">
        <f>集計_障がい者!$E$94</f>
        <v>0.57915057915057899</v>
      </c>
    </row>
    <row r="280" spans="2:6" ht="21" customHeight="1">
      <c r="B280" s="6" t="s">
        <v>504</v>
      </c>
    </row>
    <row r="282" spans="2:6" ht="18" customHeight="1">
      <c r="B282" s="2" t="s">
        <v>445</v>
      </c>
      <c r="C282" s="2" t="s">
        <v>501</v>
      </c>
      <c r="D282" s="2" t="s">
        <v>502</v>
      </c>
      <c r="E282" s="2" t="s">
        <v>503</v>
      </c>
      <c r="F282" s="2" t="s">
        <v>438</v>
      </c>
    </row>
    <row r="283" spans="2:6" ht="17.100000000000001" customHeight="1">
      <c r="B283" s="4" t="s">
        <v>446</v>
      </c>
      <c r="C283" s="13">
        <f>集計_障がい者!$E$91</f>
        <v>8.4942084942084897E-2</v>
      </c>
      <c r="D283" s="13">
        <f>集計_障がい者!$E$92</f>
        <v>0.27413127413127403</v>
      </c>
      <c r="E283" s="13">
        <f>集計_障がい者!$E$93</f>
        <v>6.1776061776061798E-2</v>
      </c>
      <c r="F283" s="13">
        <f>集計_障がい者!$E$94</f>
        <v>0.57915057915057899</v>
      </c>
    </row>
    <row r="284" spans="2:6" ht="17.100000000000001" customHeight="1">
      <c r="B284" s="4" t="s">
        <v>447</v>
      </c>
      <c r="C284" s="13">
        <f>集計_障がい別!$G$92</f>
        <v>8.2901554404145095E-2</v>
      </c>
      <c r="D284" s="13">
        <f>集計_障がい別!$G$93</f>
        <v>0.27461139896373099</v>
      </c>
      <c r="E284" s="13">
        <f>集計_障がい別!$G$94</f>
        <v>4.6632124352331598E-2</v>
      </c>
      <c r="F284" s="13">
        <f>集計_障がい別!$G$95</f>
        <v>0.59585492227979298</v>
      </c>
    </row>
    <row r="285" spans="2:6" ht="17.100000000000001" customHeight="1">
      <c r="B285" s="4" t="s">
        <v>448</v>
      </c>
      <c r="C285" s="13">
        <f>集計_障がい別!$H$92</f>
        <v>3.03030303030303E-2</v>
      </c>
      <c r="D285" s="13">
        <f>集計_障がい別!$H$93</f>
        <v>0.24242424242424199</v>
      </c>
      <c r="E285" s="13">
        <f>集計_障がい別!$H$94</f>
        <v>3.03030303030303E-2</v>
      </c>
      <c r="F285" s="13">
        <f>集計_障がい別!$H$95</f>
        <v>0.69696969696969702</v>
      </c>
    </row>
    <row r="286" spans="2:6" ht="17.100000000000001" customHeight="1">
      <c r="B286" s="4" t="s">
        <v>449</v>
      </c>
      <c r="C286" s="13">
        <f>集計_障がい別!$I$92</f>
        <v>2.27272727272727E-2</v>
      </c>
      <c r="D286" s="13">
        <f>集計_障がい別!$I$93</f>
        <v>0.25</v>
      </c>
      <c r="E286" s="13">
        <f>集計_障がい別!$I$94</f>
        <v>9.0909090909090898E-2</v>
      </c>
      <c r="F286" s="13">
        <f>集計_障がい別!$I$95</f>
        <v>0.63636363636363602</v>
      </c>
    </row>
  </sheetData>
  <mergeCells count="1">
    <mergeCell ref="B161:E161"/>
  </mergeCells>
  <pageMargins left="0.75" right="0.75" top="1" bottom="1" header="0.5" footer="0.5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E229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4" ht="21" customHeight="1">
      <c r="B2" s="6" t="s">
        <v>505</v>
      </c>
    </row>
    <row r="3" spans="2:4">
      <c r="B3" s="11" t="str">
        <f>"n="&amp;集計_障がい者!$F$95&amp;"（単一回答）"</f>
        <v>n=259（単一回答）</v>
      </c>
    </row>
    <row r="4" spans="2:4" ht="18" customHeight="1">
      <c r="B4" s="2" t="s">
        <v>429</v>
      </c>
      <c r="C4" s="2" t="s">
        <v>430</v>
      </c>
      <c r="D4" s="2" t="s">
        <v>431</v>
      </c>
    </row>
    <row r="5" spans="2:4" ht="17.100000000000001" customHeight="1">
      <c r="B5" s="4" t="s">
        <v>506</v>
      </c>
      <c r="C5" s="12">
        <f>集計_障がい者!$D$95</f>
        <v>72</v>
      </c>
      <c r="D5" s="13">
        <f>集計_障がい者!$E$95</f>
        <v>0.27799227799227799</v>
      </c>
    </row>
    <row r="6" spans="2:4" ht="17.100000000000001" customHeight="1">
      <c r="B6" s="4" t="s">
        <v>507</v>
      </c>
      <c r="C6" s="12">
        <f>集計_障がい者!$D$96</f>
        <v>34</v>
      </c>
      <c r="D6" s="13">
        <f>集計_障がい者!$E$96</f>
        <v>0.13127413127413101</v>
      </c>
    </row>
    <row r="7" spans="2:4" ht="17.100000000000001" customHeight="1">
      <c r="B7" s="4" t="s">
        <v>508</v>
      </c>
      <c r="C7" s="12">
        <f>集計_障がい者!$D$97</f>
        <v>28</v>
      </c>
      <c r="D7" s="13">
        <f>集計_障がい者!$E$97</f>
        <v>0.108108108108108</v>
      </c>
    </row>
    <row r="8" spans="2:4" ht="17.100000000000001" customHeight="1">
      <c r="B8" s="4" t="s">
        <v>509</v>
      </c>
      <c r="C8" s="12">
        <f>集計_障がい者!$D$98</f>
        <v>33</v>
      </c>
      <c r="D8" s="13">
        <f>集計_障がい者!$E$98</f>
        <v>0.12741312741312699</v>
      </c>
    </row>
    <row r="9" spans="2:4" ht="17.100000000000001" customHeight="1">
      <c r="B9" s="4" t="s">
        <v>510</v>
      </c>
      <c r="C9" s="12">
        <f>集計_障がい者!$D$99</f>
        <v>16</v>
      </c>
      <c r="D9" s="13">
        <f>集計_障がい者!$E$99</f>
        <v>6.1776061776061798E-2</v>
      </c>
    </row>
    <row r="10" spans="2:4" ht="17.100000000000001" customHeight="1">
      <c r="B10" s="4" t="s">
        <v>511</v>
      </c>
      <c r="C10" s="12">
        <f>集計_障がい者!$D$100</f>
        <v>10</v>
      </c>
      <c r="D10" s="13">
        <f>集計_障がい者!$E$100</f>
        <v>3.8610038610038602E-2</v>
      </c>
    </row>
    <row r="11" spans="2:4" ht="17.100000000000001" customHeight="1">
      <c r="B11" s="4" t="s">
        <v>512</v>
      </c>
      <c r="C11" s="12">
        <f>集計_障がい者!$D$101</f>
        <v>49</v>
      </c>
      <c r="D11" s="13">
        <f>集計_障がい者!$E$101</f>
        <v>0.18918918918918901</v>
      </c>
    </row>
    <row r="12" spans="2:4" ht="17.100000000000001" customHeight="1">
      <c r="B12" s="4" t="s">
        <v>438</v>
      </c>
      <c r="C12" s="12">
        <f>集計_障がい者!$D$102</f>
        <v>17</v>
      </c>
      <c r="D12" s="13">
        <f>集計_障がい者!$E$102</f>
        <v>6.5637065637065603E-2</v>
      </c>
    </row>
    <row r="16" spans="2:4" ht="21" customHeight="1">
      <c r="B16" s="6" t="s">
        <v>513</v>
      </c>
    </row>
    <row r="17" spans="2:4">
      <c r="B17" s="11" t="str">
        <f>"n="&amp;集計_障がい者!$F$103&amp;"（単一回答）"</f>
        <v>n=259（単一回答）</v>
      </c>
    </row>
    <row r="18" spans="2:4" ht="18" customHeight="1">
      <c r="B18" s="2" t="s">
        <v>429</v>
      </c>
      <c r="C18" s="2" t="s">
        <v>430</v>
      </c>
      <c r="D18" s="2" t="s">
        <v>431</v>
      </c>
    </row>
    <row r="19" spans="2:4" ht="17.100000000000001" customHeight="1">
      <c r="B19" s="4" t="s">
        <v>514</v>
      </c>
      <c r="C19" s="12">
        <f>集計_障がい者!$D$103</f>
        <v>14</v>
      </c>
      <c r="D19" s="13">
        <f>集計_障がい者!$E$103</f>
        <v>5.4054054054054099E-2</v>
      </c>
    </row>
    <row r="20" spans="2:4" ht="17.100000000000001" customHeight="1">
      <c r="B20" s="4" t="s">
        <v>515</v>
      </c>
      <c r="C20" s="12">
        <f>集計_障がい者!$D$104</f>
        <v>18</v>
      </c>
      <c r="D20" s="13">
        <f>集計_障がい者!$E$104</f>
        <v>6.9498069498069498E-2</v>
      </c>
    </row>
    <row r="21" spans="2:4" ht="17.100000000000001" customHeight="1">
      <c r="B21" s="4" t="s">
        <v>516</v>
      </c>
      <c r="C21" s="12">
        <f>集計_障がい者!$D$105</f>
        <v>4</v>
      </c>
      <c r="D21" s="13">
        <f>集計_障がい者!$E$105</f>
        <v>1.5444015444015399E-2</v>
      </c>
    </row>
    <row r="22" spans="2:4" ht="17.100000000000001" customHeight="1">
      <c r="B22" s="4" t="s">
        <v>517</v>
      </c>
      <c r="C22" s="12">
        <f>集計_障がい者!$D$106</f>
        <v>12</v>
      </c>
      <c r="D22" s="13">
        <f>集計_障がい者!$E$106</f>
        <v>4.6332046332046302E-2</v>
      </c>
    </row>
    <row r="23" spans="2:4" ht="17.100000000000001" customHeight="1">
      <c r="B23" s="4" t="s">
        <v>518</v>
      </c>
      <c r="C23" s="12">
        <f>集計_障がい者!$D$107</f>
        <v>39</v>
      </c>
      <c r="D23" s="13">
        <f>集計_障がい者!$E$107</f>
        <v>0.150579150579151</v>
      </c>
    </row>
    <row r="24" spans="2:4" ht="17.100000000000001" customHeight="1">
      <c r="B24" s="4" t="s">
        <v>519</v>
      </c>
      <c r="C24" s="12">
        <f>集計_障がい者!$D$108</f>
        <v>11</v>
      </c>
      <c r="D24" s="13">
        <f>集計_障がい者!$E$108</f>
        <v>4.2471042471042497E-2</v>
      </c>
    </row>
    <row r="25" spans="2:4" ht="17.100000000000001" customHeight="1">
      <c r="B25" s="4" t="s">
        <v>520</v>
      </c>
      <c r="C25" s="12">
        <f>集計_障がい者!$D$109</f>
        <v>81</v>
      </c>
      <c r="D25" s="13">
        <f>集計_障がい者!$E$109</f>
        <v>0.312741312741313</v>
      </c>
    </row>
    <row r="26" spans="2:4" ht="17.100000000000001" customHeight="1">
      <c r="B26" s="4" t="s">
        <v>438</v>
      </c>
      <c r="C26" s="12">
        <f>集計_障がい者!$D$110</f>
        <v>80</v>
      </c>
      <c r="D26" s="13">
        <f>集計_障がい者!$E$110</f>
        <v>0.30888030888030898</v>
      </c>
    </row>
    <row r="30" spans="2:4" ht="21" customHeight="1">
      <c r="B30" s="6" t="s">
        <v>521</v>
      </c>
    </row>
    <row r="31" spans="2:4">
      <c r="B31" s="11" t="str">
        <f>"n="&amp;集計_障がい者!$F$111&amp;"（単一回答）"</f>
        <v>n=259（単一回答）</v>
      </c>
    </row>
    <row r="32" spans="2:4" ht="18" customHeight="1">
      <c r="B32" s="2" t="s">
        <v>429</v>
      </c>
      <c r="C32" s="2" t="s">
        <v>430</v>
      </c>
      <c r="D32" s="2" t="s">
        <v>431</v>
      </c>
    </row>
    <row r="33" spans="2:4" ht="17.100000000000001" customHeight="1">
      <c r="B33" s="4" t="s">
        <v>522</v>
      </c>
      <c r="C33" s="12">
        <f>集計_障がい者!$D$111</f>
        <v>10</v>
      </c>
      <c r="D33" s="13">
        <f>集計_障がい者!$E$111</f>
        <v>3.8610038610038602E-2</v>
      </c>
    </row>
    <row r="34" spans="2:4" ht="17.100000000000001" customHeight="1">
      <c r="B34" s="4" t="s">
        <v>523</v>
      </c>
      <c r="C34" s="12">
        <f>集計_障がい者!$D$112</f>
        <v>23</v>
      </c>
      <c r="D34" s="13">
        <f>集計_障がい者!$E$112</f>
        <v>8.8803088803088806E-2</v>
      </c>
    </row>
    <row r="35" spans="2:4" ht="17.100000000000001" customHeight="1">
      <c r="B35" s="4" t="s">
        <v>512</v>
      </c>
      <c r="C35" s="12">
        <f>集計_障がい者!$D$113</f>
        <v>199</v>
      </c>
      <c r="D35" s="13">
        <f>集計_障がい者!$E$113</f>
        <v>0.76833976833976803</v>
      </c>
    </row>
    <row r="36" spans="2:4" ht="17.100000000000001" customHeight="1">
      <c r="B36" s="4" t="s">
        <v>438</v>
      </c>
      <c r="C36" s="12">
        <f>集計_障がい者!$D$114</f>
        <v>27</v>
      </c>
      <c r="D36" s="13">
        <f>集計_障がい者!$E$114</f>
        <v>0.104247104247104</v>
      </c>
    </row>
    <row r="41" spans="2:4" ht="21" customHeight="1">
      <c r="B41" s="6" t="s">
        <v>524</v>
      </c>
    </row>
    <row r="42" spans="2:4">
      <c r="B42" s="11" t="str">
        <f>"n="&amp;集計_障がい者!$F$115&amp;"（単一回答）"</f>
        <v>n=259（単一回答）</v>
      </c>
    </row>
    <row r="43" spans="2:4" ht="18" customHeight="1">
      <c r="B43" s="2" t="s">
        <v>429</v>
      </c>
      <c r="C43" s="2" t="s">
        <v>430</v>
      </c>
      <c r="D43" s="2" t="s">
        <v>431</v>
      </c>
    </row>
    <row r="44" spans="2:4" ht="17.100000000000001" customHeight="1">
      <c r="B44" s="4" t="s">
        <v>506</v>
      </c>
      <c r="C44" s="12">
        <f>集計_障がい者!$D$115</f>
        <v>13</v>
      </c>
      <c r="D44" s="13">
        <f>集計_障がい者!$E$115</f>
        <v>5.0193050193050197E-2</v>
      </c>
    </row>
    <row r="45" spans="2:4" ht="17.100000000000001" customHeight="1">
      <c r="B45" s="4" t="s">
        <v>507</v>
      </c>
      <c r="C45" s="12">
        <f>集計_障がい者!$D$116</f>
        <v>23</v>
      </c>
      <c r="D45" s="13">
        <f>集計_障がい者!$E$116</f>
        <v>8.8803088803088806E-2</v>
      </c>
    </row>
    <row r="46" spans="2:4" ht="17.100000000000001" customHeight="1">
      <c r="B46" s="4" t="s">
        <v>508</v>
      </c>
      <c r="C46" s="12">
        <f>集計_障がい者!$D$117</f>
        <v>8</v>
      </c>
      <c r="D46" s="13">
        <f>集計_障がい者!$E$117</f>
        <v>3.0888030888030899E-2</v>
      </c>
    </row>
    <row r="47" spans="2:4" ht="17.100000000000001" customHeight="1">
      <c r="B47" s="4" t="s">
        <v>512</v>
      </c>
      <c r="C47" s="12">
        <f>集計_障がい者!$D$118</f>
        <v>196</v>
      </c>
      <c r="D47" s="13">
        <f>集計_障がい者!$E$118</f>
        <v>0.75675675675675702</v>
      </c>
    </row>
    <row r="48" spans="2:4" ht="17.100000000000001" customHeight="1">
      <c r="B48" s="4" t="s">
        <v>438</v>
      </c>
      <c r="C48" s="12">
        <f>集計_障がい者!$D$119</f>
        <v>19</v>
      </c>
      <c r="D48" s="13">
        <f>集計_障がい者!$E$119</f>
        <v>7.3359073359073407E-2</v>
      </c>
    </row>
    <row r="52" spans="2:4" ht="21" customHeight="1">
      <c r="B52" s="6" t="s">
        <v>525</v>
      </c>
    </row>
    <row r="53" spans="2:4">
      <c r="B53" s="11" t="str">
        <f>"n="&amp;集計_障がい者!$F$120&amp;"（単一回答）"</f>
        <v>n=259（単一回答）</v>
      </c>
    </row>
    <row r="54" spans="2:4" ht="18" customHeight="1">
      <c r="B54" s="2" t="s">
        <v>429</v>
      </c>
      <c r="C54" s="2" t="s">
        <v>430</v>
      </c>
      <c r="D54" s="2" t="s">
        <v>431</v>
      </c>
    </row>
    <row r="55" spans="2:4" ht="17.100000000000001" customHeight="1">
      <c r="B55" s="4" t="s">
        <v>526</v>
      </c>
      <c r="C55" s="12">
        <f>集計_障がい者!$D$120</f>
        <v>8</v>
      </c>
      <c r="D55" s="13">
        <f>集計_障がい者!$E$120</f>
        <v>3.0888030888030899E-2</v>
      </c>
    </row>
    <row r="56" spans="2:4" ht="17.100000000000001" customHeight="1">
      <c r="B56" s="4" t="s">
        <v>527</v>
      </c>
      <c r="C56" s="12">
        <f>集計_障がい者!$D$121</f>
        <v>220</v>
      </c>
      <c r="D56" s="13">
        <f>集計_障がい者!$E$121</f>
        <v>0.84942084942084894</v>
      </c>
    </row>
    <row r="57" spans="2:4" ht="17.100000000000001" customHeight="1">
      <c r="B57" s="4" t="s">
        <v>438</v>
      </c>
      <c r="C57" s="12">
        <f>集計_障がい者!$D$122</f>
        <v>31</v>
      </c>
      <c r="D57" s="13">
        <f>集計_障がい者!$E$122</f>
        <v>0.11969111969111999</v>
      </c>
    </row>
    <row r="64" spans="2:4" ht="21" customHeight="1">
      <c r="B64" s="6" t="s">
        <v>528</v>
      </c>
    </row>
    <row r="66" spans="2:5" ht="30.95" customHeight="1">
      <c r="B66" s="2" t="s">
        <v>445</v>
      </c>
      <c r="C66" s="2" t="s">
        <v>526</v>
      </c>
      <c r="D66" s="2" t="s">
        <v>527</v>
      </c>
      <c r="E66" s="2" t="s">
        <v>438</v>
      </c>
    </row>
    <row r="67" spans="2:5" ht="17.100000000000001" customHeight="1">
      <c r="B67" s="4" t="s">
        <v>446</v>
      </c>
      <c r="C67" s="13">
        <f>集計_障がい者!$E$120</f>
        <v>3.0888030888030899E-2</v>
      </c>
      <c r="D67" s="13">
        <f>集計_障がい者!$E$121</f>
        <v>0.84942084942084894</v>
      </c>
      <c r="E67" s="13">
        <f>集計_障がい者!$E$122</f>
        <v>0.11969111969111999</v>
      </c>
    </row>
    <row r="68" spans="2:5" ht="17.100000000000001" customHeight="1">
      <c r="B68" s="4" t="s">
        <v>447</v>
      </c>
      <c r="C68" s="13">
        <f>集計_障がい別!$G$121</f>
        <v>2.59067357512953E-2</v>
      </c>
      <c r="D68" s="13">
        <f>集計_障がい別!$G$122</f>
        <v>0.85492227979274604</v>
      </c>
      <c r="E68" s="13">
        <f>集計_障がい別!$G$123</f>
        <v>0.119170984455959</v>
      </c>
    </row>
    <row r="69" spans="2:5" ht="17.100000000000001" customHeight="1">
      <c r="B69" s="4" t="s">
        <v>448</v>
      </c>
      <c r="C69" s="13">
        <f>集計_障がい別!$H$121</f>
        <v>0.15151515151515199</v>
      </c>
      <c r="D69" s="13">
        <f>集計_障がい別!$H$122</f>
        <v>0.72727272727272696</v>
      </c>
      <c r="E69" s="13">
        <f>集計_障がい別!$H$123</f>
        <v>0.12121212121212099</v>
      </c>
    </row>
    <row r="70" spans="2:5" ht="17.100000000000001" customHeight="1">
      <c r="B70" s="4" t="s">
        <v>449</v>
      </c>
      <c r="C70" s="13">
        <f>集計_障がい別!$I$121</f>
        <v>0.11363636363636399</v>
      </c>
      <c r="D70" s="13">
        <f>集計_障がい別!$I$122</f>
        <v>0.75</v>
      </c>
      <c r="E70" s="13">
        <f>集計_障がい別!$I$123</f>
        <v>0.13636363636363599</v>
      </c>
    </row>
    <row r="78" spans="2:5" ht="21" customHeight="1">
      <c r="B78" s="6" t="s">
        <v>529</v>
      </c>
    </row>
    <row r="79" spans="2:5">
      <c r="B79" s="11" t="str">
        <f>"n="&amp;集計_障がい者!$F$123&amp;"（単一回答）"</f>
        <v>n=259（単一回答）</v>
      </c>
    </row>
    <row r="80" spans="2:5" ht="18" customHeight="1">
      <c r="B80" s="2" t="s">
        <v>429</v>
      </c>
      <c r="C80" s="2" t="s">
        <v>430</v>
      </c>
      <c r="D80" s="2" t="s">
        <v>431</v>
      </c>
    </row>
    <row r="81" spans="2:5" ht="17.100000000000001" customHeight="1">
      <c r="B81" s="4" t="s">
        <v>530</v>
      </c>
      <c r="C81" s="12">
        <f>集計_障がい者!$D$123</f>
        <v>17</v>
      </c>
      <c r="D81" s="13">
        <f>集計_障がい者!$E$123</f>
        <v>6.5637065637065603E-2</v>
      </c>
    </row>
    <row r="82" spans="2:5" ht="17.100000000000001" customHeight="1">
      <c r="B82" s="4" t="s">
        <v>531</v>
      </c>
      <c r="C82" s="12">
        <f>集計_障がい者!$D$124</f>
        <v>221</v>
      </c>
      <c r="D82" s="13">
        <f>集計_障がい者!$E$124</f>
        <v>0.85328185328185302</v>
      </c>
    </row>
    <row r="83" spans="2:5" ht="17.100000000000001" customHeight="1">
      <c r="B83" s="4" t="s">
        <v>438</v>
      </c>
      <c r="C83" s="12">
        <f>集計_障がい者!$D$125</f>
        <v>21</v>
      </c>
      <c r="D83" s="13">
        <f>集計_障がい者!$E$125</f>
        <v>8.1081081081081099E-2</v>
      </c>
    </row>
    <row r="90" spans="2:5" ht="21" customHeight="1">
      <c r="B90" s="6" t="s">
        <v>532</v>
      </c>
    </row>
    <row r="92" spans="2:5" ht="30.95" customHeight="1">
      <c r="B92" s="2" t="s">
        <v>445</v>
      </c>
      <c r="C92" s="2" t="s">
        <v>530</v>
      </c>
      <c r="D92" s="2" t="s">
        <v>531</v>
      </c>
      <c r="E92" s="2" t="s">
        <v>438</v>
      </c>
    </row>
    <row r="93" spans="2:5" ht="17.100000000000001" customHeight="1">
      <c r="B93" s="4" t="s">
        <v>446</v>
      </c>
      <c r="C93" s="13">
        <f>集計_障がい者!$E$123</f>
        <v>6.5637065637065603E-2</v>
      </c>
      <c r="D93" s="13">
        <f>集計_障がい者!$E$124</f>
        <v>0.85328185328185302</v>
      </c>
      <c r="E93" s="13">
        <f>集計_障がい者!$E$125</f>
        <v>8.1081081081081099E-2</v>
      </c>
    </row>
    <row r="94" spans="2:5" ht="17.100000000000001" customHeight="1">
      <c r="B94" s="4" t="s">
        <v>447</v>
      </c>
      <c r="C94" s="13">
        <f>集計_障がい別!$G$124</f>
        <v>6.7357512953367907E-2</v>
      </c>
      <c r="D94" s="13">
        <f>集計_障がい別!$G$125</f>
        <v>0.84974093264248696</v>
      </c>
      <c r="E94" s="13">
        <f>集計_障がい別!$G$126</f>
        <v>8.2901554404145095E-2</v>
      </c>
    </row>
    <row r="95" spans="2:5" ht="17.100000000000001" customHeight="1">
      <c r="B95" s="4" t="s">
        <v>448</v>
      </c>
      <c r="C95" s="13">
        <f>集計_障がい別!$H$124</f>
        <v>6.0606060606060601E-2</v>
      </c>
      <c r="D95" s="13">
        <f>集計_障がい別!$H$125</f>
        <v>0.84848484848484895</v>
      </c>
      <c r="E95" s="13">
        <f>集計_障がい別!$H$126</f>
        <v>9.0909090909090898E-2</v>
      </c>
    </row>
    <row r="96" spans="2:5" ht="17.100000000000001" customHeight="1">
      <c r="B96" s="4" t="s">
        <v>449</v>
      </c>
      <c r="C96" s="13">
        <f>集計_障がい別!$I$124</f>
        <v>4.5454545454545497E-2</v>
      </c>
      <c r="D96" s="13">
        <f>集計_障がい別!$I$125</f>
        <v>0.88636363636363602</v>
      </c>
      <c r="E96" s="13">
        <f>集計_障がい別!$I$126</f>
        <v>6.8181818181818205E-2</v>
      </c>
    </row>
    <row r="104" spans="2:4" ht="21" customHeight="1">
      <c r="B104" s="6" t="s">
        <v>533</v>
      </c>
    </row>
    <row r="105" spans="2:4">
      <c r="B105" s="11" t="str">
        <f>"n="&amp;集計_障がい者!$F$126&amp;"（単一回答）"</f>
        <v>n=259（単一回答）</v>
      </c>
    </row>
    <row r="106" spans="2:4" ht="18" customHeight="1">
      <c r="B106" s="2" t="s">
        <v>429</v>
      </c>
      <c r="C106" s="2" t="s">
        <v>430</v>
      </c>
      <c r="D106" s="2" t="s">
        <v>431</v>
      </c>
    </row>
    <row r="107" spans="2:4" ht="17.100000000000001" customHeight="1">
      <c r="B107" s="4" t="s">
        <v>534</v>
      </c>
      <c r="C107" s="12">
        <f>集計_障がい者!$D$126</f>
        <v>31</v>
      </c>
      <c r="D107" s="13">
        <f>集計_障がい者!$E$126</f>
        <v>0.11969111969111999</v>
      </c>
    </row>
    <row r="108" spans="2:4" ht="17.100000000000001" customHeight="1">
      <c r="B108" s="4" t="s">
        <v>535</v>
      </c>
      <c r="C108" s="12">
        <f>集計_障がい者!$D$127</f>
        <v>208</v>
      </c>
      <c r="D108" s="13">
        <f>集計_障がい者!$E$127</f>
        <v>0.80308880308880304</v>
      </c>
    </row>
    <row r="109" spans="2:4" ht="17.100000000000001" customHeight="1">
      <c r="B109" s="4" t="s">
        <v>438</v>
      </c>
      <c r="C109" s="12">
        <f>集計_障がい者!$D$128</f>
        <v>20</v>
      </c>
      <c r="D109" s="13">
        <f>集計_障がい者!$E$128</f>
        <v>7.7220077220077205E-2</v>
      </c>
    </row>
    <row r="116" spans="2:5" ht="21" customHeight="1">
      <c r="B116" s="6" t="s">
        <v>536</v>
      </c>
    </row>
    <row r="118" spans="2:5" ht="18" customHeight="1">
      <c r="B118" s="2" t="s">
        <v>445</v>
      </c>
      <c r="C118" s="2" t="s">
        <v>534</v>
      </c>
      <c r="D118" s="2" t="s">
        <v>535</v>
      </c>
      <c r="E118" s="2" t="s">
        <v>438</v>
      </c>
    </row>
    <row r="119" spans="2:5" ht="17.100000000000001" customHeight="1">
      <c r="B119" s="4" t="s">
        <v>446</v>
      </c>
      <c r="C119" s="13">
        <f>集計_障がい者!$E$126</f>
        <v>0.11969111969111999</v>
      </c>
      <c r="D119" s="13">
        <f>集計_障がい者!$E$127</f>
        <v>0.80308880308880304</v>
      </c>
      <c r="E119" s="13">
        <f>集計_障がい者!$E$128</f>
        <v>7.7220077220077205E-2</v>
      </c>
    </row>
    <row r="120" spans="2:5" ht="17.100000000000001" customHeight="1">
      <c r="B120" s="4" t="s">
        <v>447</v>
      </c>
      <c r="C120" s="13">
        <f>集計_障がい別!$G$127</f>
        <v>2.59067357512953E-2</v>
      </c>
      <c r="D120" s="13">
        <f>集計_障がい別!$G$128</f>
        <v>0.90155440414507804</v>
      </c>
      <c r="E120" s="13">
        <f>集計_障がい別!$G$129</f>
        <v>7.2538860103626895E-2</v>
      </c>
    </row>
    <row r="121" spans="2:5" ht="17.100000000000001" customHeight="1">
      <c r="B121" s="4" t="s">
        <v>448</v>
      </c>
      <c r="C121" s="13">
        <f>集計_障がい別!$H$127</f>
        <v>0.42424242424242398</v>
      </c>
      <c r="D121" s="13">
        <f>集計_障がい別!$H$128</f>
        <v>0.51515151515151503</v>
      </c>
      <c r="E121" s="13">
        <f>集計_障がい別!$H$129</f>
        <v>6.0606060606060601E-2</v>
      </c>
    </row>
    <row r="122" spans="2:5" ht="17.100000000000001" customHeight="1">
      <c r="B122" s="4" t="s">
        <v>449</v>
      </c>
      <c r="C122" s="13">
        <f>集計_障がい別!$I$127</f>
        <v>0.43181818181818199</v>
      </c>
      <c r="D122" s="13">
        <f>集計_障がい別!$I$128</f>
        <v>0.5</v>
      </c>
      <c r="E122" s="13">
        <f>集計_障がい別!$I$129</f>
        <v>6.8181818181818205E-2</v>
      </c>
    </row>
    <row r="131" spans="2:4" ht="21" customHeight="1">
      <c r="B131" s="6" t="s">
        <v>537</v>
      </c>
    </row>
    <row r="132" spans="2:4">
      <c r="B132" s="11" t="str">
        <f>"n="&amp;集計_障がい者!$F$129&amp;"（単一回答）"</f>
        <v>n=259（単一回答）</v>
      </c>
    </row>
    <row r="133" spans="2:4" ht="18" customHeight="1">
      <c r="B133" s="2" t="s">
        <v>429</v>
      </c>
      <c r="C133" s="2" t="s">
        <v>430</v>
      </c>
      <c r="D133" s="2" t="s">
        <v>431</v>
      </c>
    </row>
    <row r="134" spans="2:4" ht="17.100000000000001" customHeight="1">
      <c r="B134" s="4" t="s">
        <v>534</v>
      </c>
      <c r="C134" s="12">
        <f>集計_障がい者!$D$129</f>
        <v>8</v>
      </c>
      <c r="D134" s="13">
        <f>集計_障がい者!$E$129</f>
        <v>3.0888030888030899E-2</v>
      </c>
    </row>
    <row r="135" spans="2:4" ht="17.100000000000001" customHeight="1">
      <c r="B135" s="4" t="s">
        <v>535</v>
      </c>
      <c r="C135" s="12">
        <f>集計_障がい者!$D$130</f>
        <v>217</v>
      </c>
      <c r="D135" s="13">
        <f>集計_障がい者!$E$130</f>
        <v>0.83783783783783805</v>
      </c>
    </row>
    <row r="136" spans="2:4" ht="17.100000000000001" customHeight="1">
      <c r="B136" s="4" t="s">
        <v>438</v>
      </c>
      <c r="C136" s="12">
        <f>集計_障がい者!$D$131</f>
        <v>34</v>
      </c>
      <c r="D136" s="13">
        <f>集計_障がい者!$E$131</f>
        <v>0.13127413127413101</v>
      </c>
    </row>
    <row r="143" spans="2:4" ht="21" customHeight="1">
      <c r="B143" s="6" t="s">
        <v>538</v>
      </c>
    </row>
    <row r="145" spans="2:5" ht="18" customHeight="1">
      <c r="B145" s="2" t="s">
        <v>445</v>
      </c>
      <c r="C145" s="2" t="s">
        <v>534</v>
      </c>
      <c r="D145" s="2" t="s">
        <v>535</v>
      </c>
      <c r="E145" s="2" t="s">
        <v>438</v>
      </c>
    </row>
    <row r="146" spans="2:5" ht="17.100000000000001" customHeight="1">
      <c r="B146" s="4" t="s">
        <v>446</v>
      </c>
      <c r="C146" s="13">
        <f>集計_障がい者!$E$129</f>
        <v>3.0888030888030899E-2</v>
      </c>
      <c r="D146" s="13">
        <f>集計_障がい者!$E$130</f>
        <v>0.83783783783783805</v>
      </c>
      <c r="E146" s="13">
        <f>集計_障がい者!$E$131</f>
        <v>0.13127413127413101</v>
      </c>
    </row>
    <row r="147" spans="2:5" ht="17.100000000000001" customHeight="1">
      <c r="B147" s="4" t="s">
        <v>447</v>
      </c>
      <c r="C147" s="13">
        <f>集計_障がい別!$G$130</f>
        <v>4.1450777202072499E-2</v>
      </c>
      <c r="D147" s="13">
        <f>集計_障がい別!$G$131</f>
        <v>0.818652849740933</v>
      </c>
      <c r="E147" s="13">
        <f>集計_障がい別!$G$132</f>
        <v>0.13989637305699501</v>
      </c>
    </row>
    <row r="148" spans="2:5" ht="17.100000000000001" customHeight="1">
      <c r="B148" s="4" t="s">
        <v>448</v>
      </c>
      <c r="C148" s="13">
        <f>集計_障がい別!$H$130</f>
        <v>3.03030303030303E-2</v>
      </c>
      <c r="D148" s="13">
        <f>集計_障がい別!$H$131</f>
        <v>0.78787878787878796</v>
      </c>
      <c r="E148" s="13">
        <f>集計_障がい別!$H$132</f>
        <v>0.18181818181818199</v>
      </c>
    </row>
    <row r="149" spans="2:5" ht="17.100000000000001" customHeight="1">
      <c r="B149" s="4" t="s">
        <v>449</v>
      </c>
      <c r="C149" s="13">
        <f>集計_障がい別!$I$130</f>
        <v>6.8181818181818205E-2</v>
      </c>
      <c r="D149" s="13">
        <f>集計_障がい別!$I$131</f>
        <v>0.79545454545454497</v>
      </c>
      <c r="E149" s="13">
        <f>集計_障がい別!$I$132</f>
        <v>0.13636363636363599</v>
      </c>
    </row>
    <row r="158" spans="2:5" ht="21" customHeight="1">
      <c r="B158" s="6" t="s">
        <v>539</v>
      </c>
    </row>
    <row r="159" spans="2:5">
      <c r="B159" s="11" t="str">
        <f>"n="&amp;集計_障がい者!$F$136&amp;"（複数回答）"</f>
        <v>n=259（複数回答）</v>
      </c>
    </row>
    <row r="160" spans="2:5" ht="18" customHeight="1">
      <c r="B160" s="2" t="s">
        <v>429</v>
      </c>
      <c r="C160" s="2" t="s">
        <v>430</v>
      </c>
      <c r="D160" s="2" t="s">
        <v>431</v>
      </c>
    </row>
    <row r="161" spans="2:5" ht="17.100000000000001" customHeight="1">
      <c r="B161" s="4" t="s">
        <v>518</v>
      </c>
      <c r="C161" s="12">
        <f>集計_障がい者!$D$136</f>
        <v>5</v>
      </c>
      <c r="D161" s="13">
        <f>集計_障がい者!$E$136</f>
        <v>1.9305019305019301E-2</v>
      </c>
    </row>
    <row r="162" spans="2:5" ht="17.100000000000001" customHeight="1">
      <c r="B162" s="4" t="s">
        <v>516</v>
      </c>
      <c r="C162" s="12">
        <f>集計_障がい者!$D$134</f>
        <v>3</v>
      </c>
      <c r="D162" s="13">
        <f>集計_障がい者!$E$134</f>
        <v>1.15830115830116E-2</v>
      </c>
    </row>
    <row r="163" spans="2:5" ht="17.100000000000001" customHeight="1">
      <c r="B163" s="4" t="s">
        <v>517</v>
      </c>
      <c r="C163" s="12">
        <f>集計_障がい者!$D$135</f>
        <v>3</v>
      </c>
      <c r="D163" s="13">
        <f>集計_障がい者!$E$135</f>
        <v>1.15830115830116E-2</v>
      </c>
    </row>
    <row r="164" spans="2:5" ht="17.100000000000001" customHeight="1">
      <c r="B164" s="4" t="s">
        <v>519</v>
      </c>
      <c r="C164" s="12">
        <f>集計_障がい者!$D$137</f>
        <v>3</v>
      </c>
      <c r="D164" s="13">
        <f>集計_障がい者!$E$137</f>
        <v>1.15830115830116E-2</v>
      </c>
    </row>
    <row r="165" spans="2:5" ht="17.100000000000001" customHeight="1">
      <c r="B165" s="4" t="s">
        <v>520</v>
      </c>
      <c r="C165" s="12">
        <f>集計_障がい者!$D$138</f>
        <v>1</v>
      </c>
      <c r="D165" s="13">
        <f>集計_障がい者!$E$138</f>
        <v>3.8610038610038598E-3</v>
      </c>
    </row>
    <row r="166" spans="2:5" ht="17.100000000000001" customHeight="1">
      <c r="B166" s="4" t="s">
        <v>514</v>
      </c>
      <c r="C166" s="12">
        <f>集計_障がい者!$D$132</f>
        <v>0</v>
      </c>
      <c r="D166" s="13">
        <f>集計_障がい者!$E$132</f>
        <v>0</v>
      </c>
    </row>
    <row r="167" spans="2:5" ht="17.100000000000001" customHeight="1">
      <c r="B167" s="4" t="s">
        <v>515</v>
      </c>
      <c r="C167" s="12">
        <f>集計_障がい者!$D$133</f>
        <v>0</v>
      </c>
      <c r="D167" s="13">
        <f>集計_障がい者!$E$133</f>
        <v>0</v>
      </c>
    </row>
    <row r="168" spans="2:5" ht="17.100000000000001" customHeight="1">
      <c r="B168" s="4" t="s">
        <v>438</v>
      </c>
      <c r="C168" s="12">
        <f>集計_障がい者!$D$139</f>
        <v>251</v>
      </c>
      <c r="D168" s="13">
        <f>集計_障がい者!$E$139</f>
        <v>0.96911196911196895</v>
      </c>
    </row>
    <row r="172" spans="2:5" ht="21" customHeight="1">
      <c r="B172" s="6" t="s">
        <v>540</v>
      </c>
    </row>
    <row r="174" spans="2:5" ht="30.95" customHeight="1">
      <c r="B174" s="2" t="s">
        <v>429</v>
      </c>
      <c r="C174" s="2" t="s">
        <v>447</v>
      </c>
      <c r="D174" s="2" t="s">
        <v>448</v>
      </c>
      <c r="E174" s="2" t="s">
        <v>449</v>
      </c>
    </row>
    <row r="175" spans="2:5" ht="17.100000000000001" customHeight="1">
      <c r="B175" s="4" t="s">
        <v>518</v>
      </c>
      <c r="C175" s="13">
        <f>集計_障がい別!$G$137</f>
        <v>2.59067357512953E-2</v>
      </c>
      <c r="D175" s="13">
        <f>集計_障がい別!$H$137</f>
        <v>3.03030303030303E-2</v>
      </c>
      <c r="E175" s="13">
        <f>集計_障がい別!$I$137</f>
        <v>4.5454545454545497E-2</v>
      </c>
    </row>
    <row r="176" spans="2:5" ht="17.100000000000001" customHeight="1">
      <c r="B176" s="4" t="s">
        <v>516</v>
      </c>
      <c r="C176" s="13">
        <f>集計_障がい別!$G$135</f>
        <v>1.55440414507772E-2</v>
      </c>
      <c r="D176" s="13">
        <f>集計_障がい別!$H$135</f>
        <v>0</v>
      </c>
      <c r="E176" s="13">
        <f>集計_障がい別!$I$135</f>
        <v>2.27272727272727E-2</v>
      </c>
    </row>
    <row r="177" spans="2:5" ht="17.100000000000001" customHeight="1">
      <c r="B177" s="4" t="s">
        <v>517</v>
      </c>
      <c r="C177" s="13">
        <f>集計_障がい別!$G$136</f>
        <v>1.55440414507772E-2</v>
      </c>
      <c r="D177" s="13">
        <f>集計_障がい別!$H$136</f>
        <v>0</v>
      </c>
      <c r="E177" s="13">
        <f>集計_障がい別!$I$136</f>
        <v>2.27272727272727E-2</v>
      </c>
    </row>
    <row r="178" spans="2:5" ht="17.100000000000001" customHeight="1">
      <c r="B178" s="4" t="s">
        <v>519</v>
      </c>
      <c r="C178" s="13">
        <f>集計_障がい別!$G$138</f>
        <v>1.55440414507772E-2</v>
      </c>
      <c r="D178" s="13">
        <f>集計_障がい別!$H$138</f>
        <v>0</v>
      </c>
      <c r="E178" s="13">
        <f>集計_障がい別!$I$138</f>
        <v>2.27272727272727E-2</v>
      </c>
    </row>
    <row r="179" spans="2:5" ht="17.100000000000001" customHeight="1">
      <c r="B179" s="4" t="s">
        <v>520</v>
      </c>
      <c r="C179" s="13">
        <f>集計_障がい別!$G$139</f>
        <v>5.1813471502590702E-3</v>
      </c>
      <c r="D179" s="13">
        <f>集計_障がい別!$H$139</f>
        <v>0</v>
      </c>
      <c r="E179" s="13">
        <f>集計_障がい別!$I$139</f>
        <v>2.27272727272727E-2</v>
      </c>
    </row>
    <row r="180" spans="2:5" ht="17.100000000000001" customHeight="1">
      <c r="B180" s="4" t="s">
        <v>438</v>
      </c>
      <c r="C180" s="13">
        <f>集計_障がい別!$G$140</f>
        <v>0.95854922279792698</v>
      </c>
      <c r="D180" s="13">
        <f>集計_障がい別!$H$140</f>
        <v>0.96969696969696995</v>
      </c>
      <c r="E180" s="13">
        <f>集計_障がい別!$I$140</f>
        <v>0.93181818181818199</v>
      </c>
    </row>
    <row r="181" spans="2:5" ht="15" customHeight="1">
      <c r="B181" s="30" t="s">
        <v>541</v>
      </c>
      <c r="C181" s="32"/>
      <c r="D181" s="32"/>
      <c r="E181" s="32"/>
    </row>
    <row r="195" spans="2:4" ht="21" customHeight="1">
      <c r="B195" s="6" t="s">
        <v>542</v>
      </c>
    </row>
    <row r="196" spans="2:4">
      <c r="B196" s="11" t="str">
        <f>"n="&amp;集計_障がい者!$F$150&amp;"（複数回答）"</f>
        <v>n=259（複数回答）</v>
      </c>
    </row>
    <row r="197" spans="2:4" ht="18" customHeight="1">
      <c r="B197" s="2" t="s">
        <v>429</v>
      </c>
      <c r="C197" s="2" t="s">
        <v>430</v>
      </c>
      <c r="D197" s="2" t="s">
        <v>431</v>
      </c>
    </row>
    <row r="198" spans="2:4" ht="17.100000000000001" customHeight="1">
      <c r="B198" s="4" t="s">
        <v>543</v>
      </c>
      <c r="C198" s="12">
        <f>集計_障がい者!$D$150</f>
        <v>110</v>
      </c>
      <c r="D198" s="13">
        <f>集計_障がい者!$E$150</f>
        <v>0.42471042471042503</v>
      </c>
    </row>
    <row r="199" spans="2:4" ht="17.100000000000001" customHeight="1">
      <c r="B199" s="4" t="s">
        <v>544</v>
      </c>
      <c r="C199" s="12">
        <f>集計_障がい者!$D$147</f>
        <v>21</v>
      </c>
      <c r="D199" s="13">
        <f>集計_障がい者!$E$147</f>
        <v>8.1081081081081099E-2</v>
      </c>
    </row>
    <row r="200" spans="2:4" ht="17.100000000000001" customHeight="1">
      <c r="B200" s="4" t="s">
        <v>545</v>
      </c>
      <c r="C200" s="12">
        <f>集計_障がい者!$D$149</f>
        <v>15</v>
      </c>
      <c r="D200" s="13">
        <f>集計_障がい者!$E$149</f>
        <v>5.7915057915057903E-2</v>
      </c>
    </row>
    <row r="201" spans="2:4" ht="17.100000000000001" customHeight="1">
      <c r="B201" s="4" t="s">
        <v>546</v>
      </c>
      <c r="C201" s="12">
        <f>集計_障がい者!$D$148</f>
        <v>7</v>
      </c>
      <c r="D201" s="13">
        <f>集計_障がい者!$E$148</f>
        <v>2.7027027027027001E-2</v>
      </c>
    </row>
    <row r="202" spans="2:4" ht="17.100000000000001" customHeight="1">
      <c r="B202" s="4" t="s">
        <v>547</v>
      </c>
      <c r="C202" s="12">
        <f>集計_障がい者!$D$141</f>
        <v>4</v>
      </c>
      <c r="D202" s="13">
        <f>集計_障がい者!$E$141</f>
        <v>1.5444015444015399E-2</v>
      </c>
    </row>
    <row r="203" spans="2:4" ht="17.100000000000001" customHeight="1">
      <c r="B203" s="4" t="s">
        <v>548</v>
      </c>
      <c r="C203" s="12">
        <f>集計_障がい者!$D$144</f>
        <v>4</v>
      </c>
      <c r="D203" s="13">
        <f>集計_障がい者!$E$144</f>
        <v>1.5444015444015399E-2</v>
      </c>
    </row>
    <row r="204" spans="2:4" ht="17.100000000000001" customHeight="1">
      <c r="B204" s="4" t="s">
        <v>549</v>
      </c>
      <c r="C204" s="12">
        <f>集計_障がい者!$D$142</f>
        <v>3</v>
      </c>
      <c r="D204" s="13">
        <f>集計_障がい者!$E$142</f>
        <v>1.15830115830116E-2</v>
      </c>
    </row>
    <row r="205" spans="2:4" ht="17.100000000000001" customHeight="1">
      <c r="B205" s="4" t="s">
        <v>550</v>
      </c>
      <c r="C205" s="12">
        <f>集計_障がい者!$D$145</f>
        <v>3</v>
      </c>
      <c r="D205" s="13">
        <f>集計_障がい者!$E$145</f>
        <v>1.15830115830116E-2</v>
      </c>
    </row>
    <row r="206" spans="2:4" ht="17.100000000000001" customHeight="1">
      <c r="B206" s="4" t="s">
        <v>551</v>
      </c>
      <c r="C206" s="12">
        <f>集計_障がい者!$D$143</f>
        <v>2</v>
      </c>
      <c r="D206" s="13">
        <f>集計_障がい者!$E$143</f>
        <v>7.7220077220077196E-3</v>
      </c>
    </row>
    <row r="207" spans="2:4" ht="17.100000000000001" customHeight="1">
      <c r="B207" s="4" t="s">
        <v>552</v>
      </c>
      <c r="C207" s="12">
        <f>集計_障がい者!$D$140</f>
        <v>1</v>
      </c>
      <c r="D207" s="13">
        <f>集計_障がい者!$E$140</f>
        <v>3.8610038610038598E-3</v>
      </c>
    </row>
    <row r="208" spans="2:4" ht="17.100000000000001" customHeight="1">
      <c r="B208" s="4" t="s">
        <v>553</v>
      </c>
      <c r="C208" s="12">
        <f>集計_障がい者!$D$146</f>
        <v>0</v>
      </c>
      <c r="D208" s="13">
        <f>集計_障がい者!$E$146</f>
        <v>0</v>
      </c>
    </row>
    <row r="209" spans="2:5" ht="17.100000000000001" customHeight="1">
      <c r="B209" s="4" t="s">
        <v>437</v>
      </c>
      <c r="C209" s="12">
        <f>集計_障がい者!$D$151</f>
        <v>29</v>
      </c>
      <c r="D209" s="13">
        <f>集計_障がい者!$E$151</f>
        <v>0.111969111969112</v>
      </c>
    </row>
    <row r="210" spans="2:5" ht="17.100000000000001" customHeight="1">
      <c r="B210" s="4" t="s">
        <v>438</v>
      </c>
      <c r="C210" s="12">
        <f>集計_障がい者!$D$152</f>
        <v>91</v>
      </c>
      <c r="D210" s="13">
        <f>集計_障がい者!$E$152</f>
        <v>0.35135135135135098</v>
      </c>
    </row>
    <row r="214" spans="2:5" ht="21" customHeight="1">
      <c r="B214" s="6" t="s">
        <v>554</v>
      </c>
    </row>
    <row r="216" spans="2:5" ht="30.95" customHeight="1">
      <c r="B216" s="2" t="s">
        <v>429</v>
      </c>
      <c r="C216" s="2" t="s">
        <v>447</v>
      </c>
      <c r="D216" s="2" t="s">
        <v>448</v>
      </c>
      <c r="E216" s="2" t="s">
        <v>449</v>
      </c>
    </row>
    <row r="217" spans="2:5" ht="17.100000000000001" customHeight="1">
      <c r="B217" s="4" t="s">
        <v>543</v>
      </c>
      <c r="C217" s="13">
        <f>集計_障がい別!$G$151</f>
        <v>0.419689119170984</v>
      </c>
      <c r="D217" s="13">
        <f>集計_障がい別!$H$151</f>
        <v>0.36363636363636398</v>
      </c>
      <c r="E217" s="13">
        <f>集計_障がい別!$I$151</f>
        <v>0.45454545454545497</v>
      </c>
    </row>
    <row r="218" spans="2:5" ht="17.100000000000001" customHeight="1">
      <c r="B218" s="4" t="s">
        <v>544</v>
      </c>
      <c r="C218" s="13">
        <f>集計_障がい別!$G$148</f>
        <v>9.8445595854922296E-2</v>
      </c>
      <c r="D218" s="13">
        <f>集計_障がい別!$H$148</f>
        <v>3.03030303030303E-2</v>
      </c>
      <c r="E218" s="13">
        <f>集計_障がい別!$I$148</f>
        <v>2.27272727272727E-2</v>
      </c>
    </row>
    <row r="219" spans="2:5" ht="17.100000000000001" customHeight="1">
      <c r="B219" s="4" t="s">
        <v>545</v>
      </c>
      <c r="C219" s="13">
        <f>集計_障がい別!$G$150</f>
        <v>7.7720207253885995E-2</v>
      </c>
      <c r="D219" s="13">
        <f>集計_障がい別!$H$150</f>
        <v>0</v>
      </c>
      <c r="E219" s="13">
        <f>集計_障がい別!$I$150</f>
        <v>2.27272727272727E-2</v>
      </c>
    </row>
    <row r="220" spans="2:5" ht="17.100000000000001" customHeight="1">
      <c r="B220" s="4" t="s">
        <v>546</v>
      </c>
      <c r="C220" s="13">
        <f>集計_障がい別!$G$149</f>
        <v>2.59067357512953E-2</v>
      </c>
      <c r="D220" s="13">
        <f>集計_障がい別!$H$149</f>
        <v>3.03030303030303E-2</v>
      </c>
      <c r="E220" s="13">
        <f>集計_障がい別!$I$149</f>
        <v>2.27272727272727E-2</v>
      </c>
    </row>
    <row r="221" spans="2:5" ht="17.100000000000001" customHeight="1">
      <c r="B221" s="4" t="s">
        <v>547</v>
      </c>
      <c r="C221" s="13">
        <f>集計_障がい別!$G$142</f>
        <v>2.0725388601036301E-2</v>
      </c>
      <c r="D221" s="13">
        <f>集計_障がい別!$H$142</f>
        <v>0</v>
      </c>
      <c r="E221" s="13">
        <f>集計_障がい別!$I$142</f>
        <v>0</v>
      </c>
    </row>
    <row r="222" spans="2:5" ht="17.100000000000001" customHeight="1">
      <c r="B222" s="4" t="s">
        <v>548</v>
      </c>
      <c r="C222" s="13">
        <f>集計_障がい別!$G$145</f>
        <v>2.0725388601036301E-2</v>
      </c>
      <c r="D222" s="13">
        <f>集計_障がい別!$H$145</f>
        <v>0</v>
      </c>
      <c r="E222" s="13">
        <f>集計_障がい別!$I$145</f>
        <v>2.27272727272727E-2</v>
      </c>
    </row>
    <row r="223" spans="2:5" ht="17.100000000000001" customHeight="1">
      <c r="B223" s="4" t="s">
        <v>549</v>
      </c>
      <c r="C223" s="13">
        <f>集計_障がい別!$G$143</f>
        <v>1.55440414507772E-2</v>
      </c>
      <c r="D223" s="13">
        <f>集計_障がい別!$H$143</f>
        <v>0</v>
      </c>
      <c r="E223" s="13">
        <f>集計_障がい別!$I$143</f>
        <v>0</v>
      </c>
    </row>
    <row r="224" spans="2:5" ht="17.100000000000001" customHeight="1">
      <c r="B224" s="4" t="s">
        <v>550</v>
      </c>
      <c r="C224" s="13">
        <f>集計_障がい別!$G$146</f>
        <v>1.55440414507772E-2</v>
      </c>
      <c r="D224" s="13">
        <f>集計_障がい別!$H$146</f>
        <v>0</v>
      </c>
      <c r="E224" s="13">
        <f>集計_障がい別!$I$146</f>
        <v>0</v>
      </c>
    </row>
    <row r="225" spans="2:5" ht="17.100000000000001" customHeight="1">
      <c r="B225" s="4" t="s">
        <v>551</v>
      </c>
      <c r="C225" s="13">
        <f>集計_障がい別!$G$144</f>
        <v>1.03626943005181E-2</v>
      </c>
      <c r="D225" s="13">
        <f>集計_障がい別!$H$144</f>
        <v>0</v>
      </c>
      <c r="E225" s="13">
        <f>集計_障がい別!$I$144</f>
        <v>0</v>
      </c>
    </row>
    <row r="226" spans="2:5" ht="17.100000000000001" customHeight="1">
      <c r="B226" s="4" t="s">
        <v>552</v>
      </c>
      <c r="C226" s="13">
        <f>集計_障がい別!$G$141</f>
        <v>5.1813471502590702E-3</v>
      </c>
      <c r="D226" s="13">
        <f>集計_障がい別!$H$141</f>
        <v>0</v>
      </c>
      <c r="E226" s="13">
        <f>集計_障がい別!$I$141</f>
        <v>0</v>
      </c>
    </row>
    <row r="227" spans="2:5" ht="17.100000000000001" customHeight="1">
      <c r="B227" s="4" t="s">
        <v>437</v>
      </c>
      <c r="C227" s="13">
        <f>集計_障がい別!$G$152</f>
        <v>0.13989637305699501</v>
      </c>
      <c r="D227" s="13">
        <f>集計_障がい別!$H$152</f>
        <v>6.0606060606060601E-2</v>
      </c>
      <c r="E227" s="13">
        <f>集計_障がい別!$I$152</f>
        <v>0.13636363636363599</v>
      </c>
    </row>
    <row r="228" spans="2:5" ht="17.100000000000001" customHeight="1">
      <c r="B228" s="4" t="s">
        <v>438</v>
      </c>
      <c r="C228" s="13">
        <f>集計_障がい別!$G$153</f>
        <v>0.30051813471502598</v>
      </c>
      <c r="D228" s="13">
        <f>集計_障がい別!$H$153</f>
        <v>0.51515151515151503</v>
      </c>
      <c r="E228" s="13">
        <f>集計_障がい別!$I$153</f>
        <v>0.34090909090909099</v>
      </c>
    </row>
    <row r="229" spans="2:5" ht="15" customHeight="1">
      <c r="B229" s="30" t="s">
        <v>541</v>
      </c>
      <c r="C229" s="32"/>
      <c r="D229" s="32"/>
      <c r="E229" s="32"/>
    </row>
  </sheetData>
  <mergeCells count="2">
    <mergeCell ref="B181:E181"/>
    <mergeCell ref="B229:E229"/>
  </mergeCells>
  <pageMargins left="0.75" right="0.75" top="1" bottom="1" header="0.5" footer="0.5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220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8" ht="21" customHeight="1">
      <c r="B2" s="6" t="s">
        <v>555</v>
      </c>
    </row>
    <row r="3" spans="2:8">
      <c r="B3" s="11" t="str">
        <f>"n="&amp;集計_障がい者!$F$153&amp;"（単一回答）"</f>
        <v>n=259（単一回答）</v>
      </c>
    </row>
    <row r="4" spans="2:8" ht="18" customHeight="1">
      <c r="B4" s="2" t="s">
        <v>429</v>
      </c>
      <c r="C4" s="2" t="s">
        <v>430</v>
      </c>
      <c r="D4" s="2" t="s">
        <v>431</v>
      </c>
    </row>
    <row r="5" spans="2:8" ht="17.100000000000001" customHeight="1">
      <c r="B5" s="4" t="s">
        <v>556</v>
      </c>
      <c r="C5" s="12">
        <f>集計_障がい者!$D$153</f>
        <v>158</v>
      </c>
      <c r="D5" s="13">
        <f>集計_障がい者!$E$153</f>
        <v>0.61003861003861004</v>
      </c>
    </row>
    <row r="6" spans="2:8" ht="17.100000000000001" customHeight="1">
      <c r="B6" s="4" t="s">
        <v>557</v>
      </c>
      <c r="C6" s="12">
        <f>集計_障がい者!$D$154</f>
        <v>23</v>
      </c>
      <c r="D6" s="13">
        <f>集計_障がい者!$E$154</f>
        <v>8.8803088803088806E-2</v>
      </c>
    </row>
    <row r="7" spans="2:8" ht="17.100000000000001" customHeight="1">
      <c r="B7" s="4" t="s">
        <v>558</v>
      </c>
      <c r="C7" s="12">
        <f>集計_障がい者!$D$155</f>
        <v>17</v>
      </c>
      <c r="D7" s="13">
        <f>集計_障がい者!$E$155</f>
        <v>6.5637065637065603E-2</v>
      </c>
    </row>
    <row r="8" spans="2:8" ht="17.100000000000001" customHeight="1">
      <c r="B8" s="4" t="s">
        <v>559</v>
      </c>
      <c r="C8" s="12">
        <f>集計_障がい者!$D$156</f>
        <v>37</v>
      </c>
      <c r="D8" s="13">
        <f>集計_障がい者!$E$156</f>
        <v>0.14285714285714299</v>
      </c>
    </row>
    <row r="9" spans="2:8" ht="17.100000000000001" customHeight="1">
      <c r="B9" s="4" t="s">
        <v>437</v>
      </c>
      <c r="C9" s="12">
        <f>集計_障がい者!$D$157</f>
        <v>9</v>
      </c>
      <c r="D9" s="13">
        <f>集計_障がい者!$E$157</f>
        <v>3.4749034749034798E-2</v>
      </c>
    </row>
    <row r="10" spans="2:8" ht="17.100000000000001" customHeight="1">
      <c r="B10" s="4" t="s">
        <v>438</v>
      </c>
      <c r="C10" s="12">
        <f>集計_障がい者!$D$158</f>
        <v>15</v>
      </c>
      <c r="D10" s="13">
        <f>集計_障がい者!$E$158</f>
        <v>5.7915057915057903E-2</v>
      </c>
    </row>
    <row r="14" spans="2:8" ht="21" customHeight="1">
      <c r="B14" s="6" t="s">
        <v>560</v>
      </c>
    </row>
    <row r="16" spans="2:8" ht="57" customHeight="1">
      <c r="B16" s="2" t="s">
        <v>445</v>
      </c>
      <c r="C16" s="2" t="s">
        <v>556</v>
      </c>
      <c r="D16" s="2" t="s">
        <v>557</v>
      </c>
      <c r="E16" s="2" t="s">
        <v>558</v>
      </c>
      <c r="F16" s="2" t="s">
        <v>559</v>
      </c>
      <c r="G16" s="2" t="s">
        <v>437</v>
      </c>
      <c r="H16" s="2" t="s">
        <v>438</v>
      </c>
    </row>
    <row r="17" spans="2:8" ht="17.100000000000001" customHeight="1">
      <c r="B17" s="4" t="s">
        <v>446</v>
      </c>
      <c r="C17" s="13">
        <f>集計_障がい者!$E$153</f>
        <v>0.61003861003861004</v>
      </c>
      <c r="D17" s="13">
        <f>集計_障がい者!$E$154</f>
        <v>8.8803088803088806E-2</v>
      </c>
      <c r="E17" s="13">
        <f>集計_障がい者!$E$155</f>
        <v>6.5637065637065603E-2</v>
      </c>
      <c r="F17" s="13">
        <f>集計_障がい者!$E$156</f>
        <v>0.14285714285714299</v>
      </c>
      <c r="G17" s="13">
        <f>集計_障がい者!$E$157</f>
        <v>3.4749034749034798E-2</v>
      </c>
      <c r="H17" s="13">
        <f>集計_障がい者!$E$158</f>
        <v>5.7915057915057903E-2</v>
      </c>
    </row>
    <row r="18" spans="2:8" ht="17.100000000000001" customHeight="1">
      <c r="B18" s="4" t="s">
        <v>447</v>
      </c>
      <c r="C18" s="13">
        <f>集計_障がい別!$G$154</f>
        <v>0.658031088082902</v>
      </c>
      <c r="D18" s="13">
        <f>集計_障がい別!$G$155</f>
        <v>6.21761658031088E-2</v>
      </c>
      <c r="E18" s="13">
        <f>集計_障がい別!$G$156</f>
        <v>6.21761658031088E-2</v>
      </c>
      <c r="F18" s="13">
        <f>集計_障がい別!$G$157</f>
        <v>0.13989637305699501</v>
      </c>
      <c r="G18" s="13">
        <f>集計_障がい別!$G$158</f>
        <v>2.59067357512953E-2</v>
      </c>
      <c r="H18" s="13">
        <f>集計_障がい別!$G$159</f>
        <v>5.1813471502590698E-2</v>
      </c>
    </row>
    <row r="19" spans="2:8" ht="17.100000000000001" customHeight="1">
      <c r="B19" s="4" t="s">
        <v>448</v>
      </c>
      <c r="C19" s="13">
        <f>集計_障がい別!$H$154</f>
        <v>0.33333333333333298</v>
      </c>
      <c r="D19" s="13">
        <f>集計_障がい別!$H$155</f>
        <v>0.18181818181818199</v>
      </c>
      <c r="E19" s="13">
        <f>集計_障がい別!$H$156</f>
        <v>0.15151515151515199</v>
      </c>
      <c r="F19" s="13">
        <f>集計_障がい別!$H$157</f>
        <v>0.21212121212121199</v>
      </c>
      <c r="G19" s="13">
        <f>集計_障がい別!$H$158</f>
        <v>6.0606060606060601E-2</v>
      </c>
      <c r="H19" s="13">
        <f>集計_障がい別!$H$159</f>
        <v>6.0606060606060601E-2</v>
      </c>
    </row>
    <row r="20" spans="2:8" ht="17.100000000000001" customHeight="1">
      <c r="B20" s="4" t="s">
        <v>449</v>
      </c>
      <c r="C20" s="13">
        <f>集計_障がい別!$I$154</f>
        <v>0.52272727272727304</v>
      </c>
      <c r="D20" s="13">
        <f>集計_障がい別!$I$155</f>
        <v>0.18181818181818199</v>
      </c>
      <c r="E20" s="13">
        <f>集計_障がい別!$I$156</f>
        <v>4.5454545454545497E-2</v>
      </c>
      <c r="F20" s="13">
        <f>集計_障がい別!$I$157</f>
        <v>0.11363636363636399</v>
      </c>
      <c r="G20" s="13">
        <f>集計_障がい別!$I$158</f>
        <v>0.11363636363636399</v>
      </c>
      <c r="H20" s="13">
        <f>集計_障がい別!$I$159</f>
        <v>2.27272727272727E-2</v>
      </c>
    </row>
    <row r="26" spans="2:8" ht="21" customHeight="1">
      <c r="B26" s="6" t="s">
        <v>561</v>
      </c>
    </row>
    <row r="27" spans="2:8">
      <c r="B27" s="11" t="str">
        <f>"n="&amp;集計_障がい者!$F$163&amp;"（複数回答）"</f>
        <v>n=259（複数回答）</v>
      </c>
    </row>
    <row r="28" spans="2:8" ht="18" customHeight="1">
      <c r="B28" s="2" t="s">
        <v>429</v>
      </c>
      <c r="C28" s="2" t="s">
        <v>430</v>
      </c>
      <c r="D28" s="2" t="s">
        <v>431</v>
      </c>
    </row>
    <row r="29" spans="2:8" ht="17.100000000000001" customHeight="1">
      <c r="B29" s="4" t="s">
        <v>562</v>
      </c>
      <c r="C29" s="12">
        <f>集計_障がい者!$D$163</f>
        <v>125</v>
      </c>
      <c r="D29" s="13">
        <f>集計_障がい者!$E$163</f>
        <v>0.48262548262548299</v>
      </c>
    </row>
    <row r="30" spans="2:8" ht="17.100000000000001" customHeight="1">
      <c r="B30" s="4" t="s">
        <v>563</v>
      </c>
      <c r="C30" s="12">
        <f>集計_障がい者!$D$161</f>
        <v>117</v>
      </c>
      <c r="D30" s="13">
        <f>集計_障がい者!$E$161</f>
        <v>0.451737451737452</v>
      </c>
    </row>
    <row r="31" spans="2:8" ht="17.100000000000001" customHeight="1">
      <c r="B31" s="4" t="s">
        <v>564</v>
      </c>
      <c r="C31" s="12">
        <f>集計_障がい者!$D$159</f>
        <v>113</v>
      </c>
      <c r="D31" s="13">
        <f>集計_障がい者!$E$159</f>
        <v>0.43629343629343598</v>
      </c>
    </row>
    <row r="32" spans="2:8" ht="17.100000000000001" customHeight="1">
      <c r="B32" s="4" t="s">
        <v>565</v>
      </c>
      <c r="C32" s="12">
        <f>集計_障がい者!$D$160</f>
        <v>75</v>
      </c>
      <c r="D32" s="13">
        <f>集計_障がい者!$E$160</f>
        <v>0.28957528957529</v>
      </c>
    </row>
    <row r="33" spans="2:5" ht="17.100000000000001" customHeight="1">
      <c r="B33" s="4" t="s">
        <v>566</v>
      </c>
      <c r="C33" s="12">
        <f>集計_障がい者!$D$169</f>
        <v>63</v>
      </c>
      <c r="D33" s="13">
        <f>集計_障がい者!$E$169</f>
        <v>0.24324324324324301</v>
      </c>
    </row>
    <row r="34" spans="2:5" ht="17.100000000000001" customHeight="1">
      <c r="B34" s="4" t="s">
        <v>567</v>
      </c>
      <c r="C34" s="12">
        <f>集計_障がい者!$D$164</f>
        <v>57</v>
      </c>
      <c r="D34" s="13">
        <f>集計_障がい者!$E$164</f>
        <v>0.22007722007722</v>
      </c>
    </row>
    <row r="35" spans="2:5" ht="17.100000000000001" customHeight="1">
      <c r="B35" s="4" t="s">
        <v>568</v>
      </c>
      <c r="C35" s="12">
        <f>集計_障がい者!$D$165</f>
        <v>38</v>
      </c>
      <c r="D35" s="13">
        <f>集計_障がい者!$E$165</f>
        <v>0.14671814671814701</v>
      </c>
    </row>
    <row r="36" spans="2:5" ht="17.100000000000001" customHeight="1">
      <c r="B36" s="4" t="s">
        <v>569</v>
      </c>
      <c r="C36" s="12">
        <f>集計_障がい者!$D$166</f>
        <v>33</v>
      </c>
      <c r="D36" s="13">
        <f>集計_障がい者!$E$166</f>
        <v>0.12741312741312699</v>
      </c>
    </row>
    <row r="37" spans="2:5" ht="17.100000000000001" customHeight="1">
      <c r="B37" s="4" t="s">
        <v>570</v>
      </c>
      <c r="C37" s="12">
        <f>集計_障がい者!$D$162</f>
        <v>30</v>
      </c>
      <c r="D37" s="13">
        <f>集計_障がい者!$E$162</f>
        <v>0.115830115830116</v>
      </c>
    </row>
    <row r="38" spans="2:5" ht="30" customHeight="1">
      <c r="B38" s="4" t="s">
        <v>571</v>
      </c>
      <c r="C38" s="12">
        <f>集計_障がい者!$D$168</f>
        <v>25</v>
      </c>
      <c r="D38" s="13">
        <f>集計_障がい者!$E$168</f>
        <v>9.6525096525096499E-2</v>
      </c>
    </row>
    <row r="39" spans="2:5" ht="17.100000000000001" customHeight="1">
      <c r="B39" s="4" t="s">
        <v>572</v>
      </c>
      <c r="C39" s="12">
        <f>集計_障がい者!$D$167</f>
        <v>22</v>
      </c>
      <c r="D39" s="13">
        <f>集計_障がい者!$E$167</f>
        <v>8.4942084942084897E-2</v>
      </c>
    </row>
    <row r="40" spans="2:5" ht="17.100000000000001" customHeight="1">
      <c r="B40" s="4" t="s">
        <v>437</v>
      </c>
      <c r="C40" s="12">
        <f>集計_障がい者!$D$170</f>
        <v>10</v>
      </c>
      <c r="D40" s="13">
        <f>集計_障がい者!$E$170</f>
        <v>3.8610038610038602E-2</v>
      </c>
    </row>
    <row r="41" spans="2:5" ht="17.100000000000001" customHeight="1">
      <c r="B41" s="4" t="s">
        <v>438</v>
      </c>
      <c r="C41" s="12">
        <f>集計_障がい者!$D$171</f>
        <v>35</v>
      </c>
      <c r="D41" s="13">
        <f>集計_障がい者!$E$171</f>
        <v>0.135135135135135</v>
      </c>
    </row>
    <row r="45" spans="2:5" ht="21" customHeight="1">
      <c r="B45" s="6" t="s">
        <v>573</v>
      </c>
    </row>
    <row r="47" spans="2:5" ht="30.95" customHeight="1">
      <c r="B47" s="2" t="s">
        <v>429</v>
      </c>
      <c r="C47" s="2" t="s">
        <v>447</v>
      </c>
      <c r="D47" s="2" t="s">
        <v>448</v>
      </c>
      <c r="E47" s="2" t="s">
        <v>449</v>
      </c>
    </row>
    <row r="48" spans="2:5" ht="17.100000000000001" customHeight="1">
      <c r="B48" s="4" t="s">
        <v>562</v>
      </c>
      <c r="C48" s="13">
        <f>集計_障がい別!$G$164</f>
        <v>0.45595854922279799</v>
      </c>
      <c r="D48" s="13">
        <f>集計_障がい別!$H$164</f>
        <v>0.33333333333333298</v>
      </c>
      <c r="E48" s="13">
        <f>集計_障がい別!$I$164</f>
        <v>0.56818181818181801</v>
      </c>
    </row>
    <row r="49" spans="2:5" ht="17.100000000000001" customHeight="1">
      <c r="B49" s="4" t="s">
        <v>563</v>
      </c>
      <c r="C49" s="13">
        <f>集計_障がい別!$G$162</f>
        <v>0.47150259067357497</v>
      </c>
      <c r="D49" s="13">
        <f>集計_障がい別!$H$162</f>
        <v>0.24242424242424199</v>
      </c>
      <c r="E49" s="13">
        <f>集計_障がい別!$I$162</f>
        <v>0.34090909090909099</v>
      </c>
    </row>
    <row r="50" spans="2:5" ht="17.100000000000001" customHeight="1">
      <c r="B50" s="4" t="s">
        <v>564</v>
      </c>
      <c r="C50" s="13">
        <f>集計_障がい別!$G$160</f>
        <v>0.466321243523316</v>
      </c>
      <c r="D50" s="13">
        <f>集計_障がい別!$H$160</f>
        <v>0.15151515151515199</v>
      </c>
      <c r="E50" s="13">
        <f>集計_障がい別!$I$160</f>
        <v>0.27272727272727298</v>
      </c>
    </row>
    <row r="51" spans="2:5" ht="17.100000000000001" customHeight="1">
      <c r="B51" s="4" t="s">
        <v>565</v>
      </c>
      <c r="C51" s="13">
        <f>集計_障がい別!$G$161</f>
        <v>0.27979274611399002</v>
      </c>
      <c r="D51" s="13">
        <f>集計_障がい別!$H$161</f>
        <v>0.45454545454545497</v>
      </c>
      <c r="E51" s="13">
        <f>集計_障がい別!$I$161</f>
        <v>0.40909090909090901</v>
      </c>
    </row>
    <row r="52" spans="2:5" ht="17.100000000000001" customHeight="1">
      <c r="B52" s="4" t="s">
        <v>566</v>
      </c>
      <c r="C52" s="13">
        <f>集計_障がい別!$G$170</f>
        <v>0.238341968911917</v>
      </c>
      <c r="D52" s="13">
        <f>集計_障がい別!$H$170</f>
        <v>0.27272727272727298</v>
      </c>
      <c r="E52" s="13">
        <f>集計_障がい別!$I$170</f>
        <v>0.204545454545455</v>
      </c>
    </row>
    <row r="53" spans="2:5" ht="17.100000000000001" customHeight="1">
      <c r="B53" s="4" t="s">
        <v>567</v>
      </c>
      <c r="C53" s="13">
        <f>集計_障がい別!$G$165</f>
        <v>0.176165803108808</v>
      </c>
      <c r="D53" s="13">
        <f>集計_障がい別!$H$165</f>
        <v>0.27272727272727298</v>
      </c>
      <c r="E53" s="13">
        <f>集計_障がい別!$I$165</f>
        <v>0.43181818181818199</v>
      </c>
    </row>
    <row r="54" spans="2:5" ht="17.100000000000001" customHeight="1">
      <c r="B54" s="4" t="s">
        <v>568</v>
      </c>
      <c r="C54" s="13">
        <f>集計_障がい別!$G$166</f>
        <v>0.119170984455959</v>
      </c>
      <c r="D54" s="13">
        <f>集計_障がい別!$H$166</f>
        <v>0.30303030303030298</v>
      </c>
      <c r="E54" s="13">
        <f>集計_障がい別!$I$166</f>
        <v>0.34090909090909099</v>
      </c>
    </row>
    <row r="55" spans="2:5" ht="17.100000000000001" customHeight="1">
      <c r="B55" s="4" t="s">
        <v>569</v>
      </c>
      <c r="C55" s="13">
        <f>集計_障がい別!$G$167</f>
        <v>8.8082901554404097E-2</v>
      </c>
      <c r="D55" s="13">
        <f>集計_障がい別!$H$167</f>
        <v>0.24242424242424199</v>
      </c>
      <c r="E55" s="13">
        <f>集計_障がい別!$I$167</f>
        <v>0.29545454545454503</v>
      </c>
    </row>
    <row r="56" spans="2:5" ht="17.100000000000001" customHeight="1">
      <c r="B56" s="4" t="s">
        <v>570</v>
      </c>
      <c r="C56" s="13">
        <f>集計_障がい別!$G$163</f>
        <v>9.3264248704663197E-2</v>
      </c>
      <c r="D56" s="13">
        <f>集計_障がい別!$H$163</f>
        <v>0.18181818181818199</v>
      </c>
      <c r="E56" s="13">
        <f>集計_障がい別!$I$163</f>
        <v>0.204545454545455</v>
      </c>
    </row>
    <row r="57" spans="2:5" ht="30" customHeight="1">
      <c r="B57" s="4" t="s">
        <v>571</v>
      </c>
      <c r="C57" s="13">
        <f>集計_障がい別!$G$169</f>
        <v>6.7357512953367907E-2</v>
      </c>
      <c r="D57" s="13">
        <f>集計_障がい別!$H$169</f>
        <v>0.18181818181818199</v>
      </c>
      <c r="E57" s="13">
        <f>集計_障がい別!$I$169</f>
        <v>0.25</v>
      </c>
    </row>
    <row r="58" spans="2:5" ht="17.100000000000001" customHeight="1">
      <c r="B58" s="4" t="s">
        <v>572</v>
      </c>
      <c r="C58" s="13">
        <f>集計_障がい別!$G$168</f>
        <v>6.21761658031088E-2</v>
      </c>
      <c r="D58" s="13">
        <f>集計_障がい別!$H$168</f>
        <v>0.18181818181818199</v>
      </c>
      <c r="E58" s="13">
        <f>集計_障がい別!$I$168</f>
        <v>0.204545454545455</v>
      </c>
    </row>
    <row r="59" spans="2:5" ht="17.100000000000001" customHeight="1">
      <c r="B59" s="4" t="s">
        <v>437</v>
      </c>
      <c r="C59" s="13">
        <f>集計_障がい別!$G$171</f>
        <v>4.6632124352331598E-2</v>
      </c>
      <c r="D59" s="13">
        <f>集計_障がい別!$H$171</f>
        <v>3.03030303030303E-2</v>
      </c>
      <c r="E59" s="13">
        <f>集計_障がい別!$I$171</f>
        <v>6.8181818181818205E-2</v>
      </c>
    </row>
    <row r="60" spans="2:5" ht="17.100000000000001" customHeight="1">
      <c r="B60" s="4" t="s">
        <v>438</v>
      </c>
      <c r="C60" s="13">
        <f>集計_障がい別!$G$172</f>
        <v>0.124352331606218</v>
      </c>
      <c r="D60" s="13">
        <f>集計_障がい別!$H$172</f>
        <v>0.21212121212121199</v>
      </c>
      <c r="E60" s="13">
        <f>集計_障がい別!$I$172</f>
        <v>9.0909090909090898E-2</v>
      </c>
    </row>
    <row r="86" spans="2:4" ht="21" customHeight="1">
      <c r="B86" s="6" t="s">
        <v>574</v>
      </c>
    </row>
    <row r="87" spans="2:4">
      <c r="B87" s="11" t="str">
        <f>"n="&amp;集計_障がい者!$F$172&amp;"（単一回答）"</f>
        <v>n=259（単一回答）</v>
      </c>
    </row>
    <row r="88" spans="2:4" ht="18" customHeight="1">
      <c r="B88" s="2" t="s">
        <v>429</v>
      </c>
      <c r="C88" s="2" t="s">
        <v>430</v>
      </c>
      <c r="D88" s="2" t="s">
        <v>431</v>
      </c>
    </row>
    <row r="89" spans="2:4" ht="17.100000000000001" customHeight="1">
      <c r="B89" s="4" t="s">
        <v>575</v>
      </c>
      <c r="C89" s="12">
        <f>集計_障がい者!$D$172</f>
        <v>62</v>
      </c>
      <c r="D89" s="13">
        <f>集計_障がい者!$E$172</f>
        <v>0.23938223938223899</v>
      </c>
    </row>
    <row r="90" spans="2:4" ht="17.100000000000001" customHeight="1">
      <c r="B90" s="4" t="s">
        <v>576</v>
      </c>
      <c r="C90" s="12">
        <f>集計_障がい者!$D$173</f>
        <v>116</v>
      </c>
      <c r="D90" s="13">
        <f>集計_障がい者!$E$173</f>
        <v>0.44787644787644798</v>
      </c>
    </row>
    <row r="91" spans="2:4" ht="17.100000000000001" customHeight="1">
      <c r="B91" s="4" t="s">
        <v>577</v>
      </c>
      <c r="C91" s="12">
        <f>集計_障がい者!$D$174</f>
        <v>48</v>
      </c>
      <c r="D91" s="13">
        <f>集計_障がい者!$E$174</f>
        <v>0.18532818532818501</v>
      </c>
    </row>
    <row r="92" spans="2:4" ht="17.100000000000001" customHeight="1">
      <c r="B92" s="4" t="s">
        <v>578</v>
      </c>
      <c r="C92" s="12">
        <f>集計_障がい者!$D$175</f>
        <v>23</v>
      </c>
      <c r="D92" s="13">
        <f>集計_障がい者!$E$175</f>
        <v>8.8803088803088806E-2</v>
      </c>
    </row>
    <row r="93" spans="2:4" ht="17.100000000000001" customHeight="1">
      <c r="B93" s="4" t="s">
        <v>438</v>
      </c>
      <c r="C93" s="12">
        <f>集計_障がい者!$D$176</f>
        <v>10</v>
      </c>
      <c r="D93" s="13">
        <f>集計_障がい者!$E$176</f>
        <v>3.8610038610038602E-2</v>
      </c>
    </row>
    <row r="97" spans="2:7" ht="21" customHeight="1">
      <c r="B97" s="6" t="s">
        <v>579</v>
      </c>
    </row>
    <row r="99" spans="2:7" ht="30.95" customHeight="1">
      <c r="B99" s="2" t="s">
        <v>445</v>
      </c>
      <c r="C99" s="2" t="s">
        <v>575</v>
      </c>
      <c r="D99" s="2" t="s">
        <v>576</v>
      </c>
      <c r="E99" s="2" t="s">
        <v>577</v>
      </c>
      <c r="F99" s="2" t="s">
        <v>578</v>
      </c>
      <c r="G99" s="2" t="s">
        <v>438</v>
      </c>
    </row>
    <row r="100" spans="2:7" ht="17.100000000000001" customHeight="1">
      <c r="B100" s="4" t="s">
        <v>446</v>
      </c>
      <c r="C100" s="13">
        <f>集計_障がい者!$E$172</f>
        <v>0.23938223938223899</v>
      </c>
      <c r="D100" s="13">
        <f>集計_障がい者!$E$173</f>
        <v>0.44787644787644798</v>
      </c>
      <c r="E100" s="13">
        <f>集計_障がい者!$E$174</f>
        <v>0.18532818532818501</v>
      </c>
      <c r="F100" s="13">
        <f>集計_障がい者!$E$175</f>
        <v>8.8803088803088806E-2</v>
      </c>
      <c r="G100" s="13">
        <f>集計_障がい者!$E$176</f>
        <v>3.8610038610038602E-2</v>
      </c>
    </row>
    <row r="101" spans="2:7" ht="17.100000000000001" customHeight="1">
      <c r="B101" s="4" t="s">
        <v>447</v>
      </c>
      <c r="C101" s="13">
        <f>集計_障がい別!$G$173</f>
        <v>0.20207253886010401</v>
      </c>
      <c r="D101" s="13">
        <f>集計_障がい別!$G$174</f>
        <v>0.46113989637305702</v>
      </c>
      <c r="E101" s="13">
        <f>集計_障がい別!$G$175</f>
        <v>0.20207253886010401</v>
      </c>
      <c r="F101" s="13">
        <f>集計_障がい別!$G$176</f>
        <v>9.8445595854922296E-2</v>
      </c>
      <c r="G101" s="13">
        <f>集計_障がい別!$G$177</f>
        <v>3.6269430051813503E-2</v>
      </c>
    </row>
    <row r="102" spans="2:7" ht="17.100000000000001" customHeight="1">
      <c r="B102" s="4" t="s">
        <v>448</v>
      </c>
      <c r="C102" s="13">
        <f>集計_障がい別!$H$173</f>
        <v>0.30303030303030298</v>
      </c>
      <c r="D102" s="13">
        <f>集計_障がい別!$H$174</f>
        <v>0.39393939393939398</v>
      </c>
      <c r="E102" s="13">
        <f>集計_障がい別!$H$175</f>
        <v>9.0909090909090898E-2</v>
      </c>
      <c r="F102" s="13">
        <f>集計_障がい別!$H$176</f>
        <v>0.12121212121212099</v>
      </c>
      <c r="G102" s="13">
        <f>集計_障がい別!$H$177</f>
        <v>9.0909090909090898E-2</v>
      </c>
    </row>
    <row r="103" spans="2:7" ht="17.100000000000001" customHeight="1">
      <c r="B103" s="4" t="s">
        <v>449</v>
      </c>
      <c r="C103" s="13">
        <f>集計_障がい別!$I$173</f>
        <v>0.36363636363636398</v>
      </c>
      <c r="D103" s="13">
        <f>集計_障がい別!$I$174</f>
        <v>0.36363636363636398</v>
      </c>
      <c r="E103" s="13">
        <f>集計_障がい別!$I$175</f>
        <v>0.13636363636363599</v>
      </c>
      <c r="F103" s="13">
        <f>集計_障がい別!$I$176</f>
        <v>6.8181818181818205E-2</v>
      </c>
      <c r="G103" s="13">
        <f>集計_障がい別!$I$177</f>
        <v>6.8181818181818205E-2</v>
      </c>
    </row>
    <row r="111" spans="2:7" ht="21" customHeight="1">
      <c r="B111" s="6" t="s">
        <v>580</v>
      </c>
    </row>
    <row r="112" spans="2:7">
      <c r="B112" s="11" t="str">
        <f>"n="&amp;集計_障がい者!$F$177&amp;"（単一回答）"</f>
        <v>n=259（単一回答）</v>
      </c>
    </row>
    <row r="113" spans="2:9" ht="18" customHeight="1">
      <c r="B113" s="2" t="s">
        <v>429</v>
      </c>
      <c r="C113" s="2" t="s">
        <v>430</v>
      </c>
      <c r="D113" s="2" t="s">
        <v>431</v>
      </c>
    </row>
    <row r="114" spans="2:9" ht="17.100000000000001" customHeight="1">
      <c r="B114" s="4" t="s">
        <v>489</v>
      </c>
      <c r="C114" s="12">
        <f>集計_障がい者!$D$177</f>
        <v>24</v>
      </c>
      <c r="D114" s="13">
        <f>集計_障がい者!$E$177</f>
        <v>9.2664092664092701E-2</v>
      </c>
    </row>
    <row r="115" spans="2:9" ht="17.100000000000001" customHeight="1">
      <c r="B115" s="4" t="s">
        <v>487</v>
      </c>
      <c r="C115" s="12">
        <f>集計_障がい者!$D$178</f>
        <v>44</v>
      </c>
      <c r="D115" s="13">
        <f>集計_障がい者!$E$178</f>
        <v>0.16988416988416999</v>
      </c>
    </row>
    <row r="116" spans="2:9" ht="17.100000000000001" customHeight="1">
      <c r="B116" s="4" t="s">
        <v>486</v>
      </c>
      <c r="C116" s="12">
        <f>集計_障がい者!$D$179</f>
        <v>35</v>
      </c>
      <c r="D116" s="13">
        <f>集計_障がい者!$E$179</f>
        <v>0.135135135135135</v>
      </c>
    </row>
    <row r="117" spans="2:9" ht="17.100000000000001" customHeight="1">
      <c r="B117" s="4" t="s">
        <v>488</v>
      </c>
      <c r="C117" s="12">
        <f>集計_障がい者!$D$180</f>
        <v>27</v>
      </c>
      <c r="D117" s="13">
        <f>集計_障がい者!$E$180</f>
        <v>0.104247104247104</v>
      </c>
    </row>
    <row r="118" spans="2:9" ht="17.100000000000001" customHeight="1">
      <c r="B118" s="4" t="s">
        <v>490</v>
      </c>
      <c r="C118" s="12">
        <f>集計_障がい者!$D$181</f>
        <v>4</v>
      </c>
      <c r="D118" s="13">
        <f>集計_障がい者!$E$181</f>
        <v>1.5444015444015399E-2</v>
      </c>
    </row>
    <row r="119" spans="2:9" ht="17.100000000000001" customHeight="1">
      <c r="B119" s="4" t="s">
        <v>581</v>
      </c>
      <c r="C119" s="12">
        <f>集計_障がい者!$D$182</f>
        <v>86</v>
      </c>
      <c r="D119" s="13">
        <f>集計_障がい者!$E$182</f>
        <v>0.33204633204633199</v>
      </c>
    </row>
    <row r="120" spans="2:9" ht="17.100000000000001" customHeight="1">
      <c r="B120" s="4" t="s">
        <v>438</v>
      </c>
      <c r="C120" s="12">
        <f>集計_障がい者!$D$183</f>
        <v>39</v>
      </c>
      <c r="D120" s="13">
        <f>集計_障がい者!$E$183</f>
        <v>0.150579150579151</v>
      </c>
    </row>
    <row r="123" spans="2:9" ht="21" customHeight="1">
      <c r="B123" s="6" t="s">
        <v>582</v>
      </c>
    </row>
    <row r="125" spans="2:9" ht="44.1" customHeight="1">
      <c r="B125" s="2" t="s">
        <v>445</v>
      </c>
      <c r="C125" s="2" t="s">
        <v>489</v>
      </c>
      <c r="D125" s="2" t="s">
        <v>487</v>
      </c>
      <c r="E125" s="2" t="s">
        <v>486</v>
      </c>
      <c r="F125" s="2" t="s">
        <v>488</v>
      </c>
      <c r="G125" s="2" t="s">
        <v>490</v>
      </c>
      <c r="H125" s="2" t="s">
        <v>581</v>
      </c>
      <c r="I125" s="2" t="s">
        <v>438</v>
      </c>
    </row>
    <row r="126" spans="2:9" ht="17.100000000000001" customHeight="1">
      <c r="B126" s="4" t="s">
        <v>446</v>
      </c>
      <c r="C126" s="13">
        <f>集計_障がい者!$E$177</f>
        <v>9.2664092664092701E-2</v>
      </c>
      <c r="D126" s="13">
        <f>集計_障がい者!$E$178</f>
        <v>0.16988416988416999</v>
      </c>
      <c r="E126" s="13">
        <f>集計_障がい者!$E$179</f>
        <v>0.135135135135135</v>
      </c>
      <c r="F126" s="13">
        <f>集計_障がい者!$E$180</f>
        <v>0.104247104247104</v>
      </c>
      <c r="G126" s="13">
        <f>集計_障がい者!$E$181</f>
        <v>1.5444015444015399E-2</v>
      </c>
      <c r="H126" s="13">
        <f>集計_障がい者!$E$182</f>
        <v>0.33204633204633199</v>
      </c>
      <c r="I126" s="13">
        <f>集計_障がい者!$E$183</f>
        <v>0.150579150579151</v>
      </c>
    </row>
    <row r="127" spans="2:9" ht="17.100000000000001" customHeight="1">
      <c r="B127" s="4" t="s">
        <v>447</v>
      </c>
      <c r="C127" s="13">
        <f>集計_障がい別!$G$178</f>
        <v>3.6269430051813503E-2</v>
      </c>
      <c r="D127" s="13">
        <f>集計_障がい別!$G$179</f>
        <v>0.21243523316062199</v>
      </c>
      <c r="E127" s="13">
        <f>集計_障がい別!$G$180</f>
        <v>0.14507772020725401</v>
      </c>
      <c r="F127" s="13">
        <f>集計_障がい別!$G$181</f>
        <v>9.8445595854922296E-2</v>
      </c>
      <c r="G127" s="13">
        <f>集計_障がい別!$G$182</f>
        <v>1.55440414507772E-2</v>
      </c>
      <c r="H127" s="13">
        <f>集計_障がい別!$G$183</f>
        <v>0.33160621761657999</v>
      </c>
      <c r="I127" s="13">
        <f>集計_障がい別!$G$184</f>
        <v>0.16062176165803099</v>
      </c>
    </row>
    <row r="128" spans="2:9" ht="17.100000000000001" customHeight="1">
      <c r="B128" s="4" t="s">
        <v>448</v>
      </c>
      <c r="C128" s="13">
        <f>集計_障がい別!$H$178</f>
        <v>0.30303030303030298</v>
      </c>
      <c r="D128" s="13">
        <f>集計_障がい別!$H$179</f>
        <v>0</v>
      </c>
      <c r="E128" s="13">
        <f>集計_障がい別!$H$180</f>
        <v>0</v>
      </c>
      <c r="F128" s="13">
        <f>集計_障がい別!$H$181</f>
        <v>0.18181818181818199</v>
      </c>
      <c r="G128" s="13">
        <f>集計_障がい別!$H$182</f>
        <v>3.03030303030303E-2</v>
      </c>
      <c r="H128" s="13">
        <f>集計_障がい別!$H$183</f>
        <v>0.24242424242424199</v>
      </c>
      <c r="I128" s="13">
        <f>集計_障がい別!$H$184</f>
        <v>0.24242424242424199</v>
      </c>
    </row>
    <row r="129" spans="2:9" ht="17.100000000000001" customHeight="1">
      <c r="B129" s="4" t="s">
        <v>449</v>
      </c>
      <c r="C129" s="13">
        <f>集計_障がい別!$I$178</f>
        <v>0.204545454545455</v>
      </c>
      <c r="D129" s="13">
        <f>集計_障がい別!$I$179</f>
        <v>6.8181818181818205E-2</v>
      </c>
      <c r="E129" s="13">
        <f>集計_障がい別!$I$180</f>
        <v>2.27272727272727E-2</v>
      </c>
      <c r="F129" s="13">
        <f>集計_障がい別!$I$181</f>
        <v>9.0909090909090898E-2</v>
      </c>
      <c r="G129" s="13">
        <f>集計_障がい別!$I$182</f>
        <v>2.27272727272727E-2</v>
      </c>
      <c r="H129" s="13">
        <f>集計_障がい別!$I$183</f>
        <v>0.45454545454545497</v>
      </c>
      <c r="I129" s="13">
        <f>集計_障がい別!$I$184</f>
        <v>0.13636363636363599</v>
      </c>
    </row>
    <row r="136" spans="2:9" ht="21" customHeight="1">
      <c r="B136" s="6" t="s">
        <v>583</v>
      </c>
    </row>
    <row r="137" spans="2:9">
      <c r="B137" s="11" t="str">
        <f>"n="&amp;集計_障がい者!$F$186&amp;"（複数回答）"</f>
        <v>n=259（複数回答）</v>
      </c>
    </row>
    <row r="138" spans="2:9" ht="18" customHeight="1">
      <c r="B138" s="2" t="s">
        <v>429</v>
      </c>
      <c r="C138" s="2" t="s">
        <v>430</v>
      </c>
      <c r="D138" s="2" t="s">
        <v>431</v>
      </c>
    </row>
    <row r="139" spans="2:9" ht="17.100000000000001" customHeight="1">
      <c r="B139" s="4" t="s">
        <v>584</v>
      </c>
      <c r="C139" s="12">
        <f>集計_障がい者!$D$186</f>
        <v>161</v>
      </c>
      <c r="D139" s="13">
        <f>集計_障がい者!$E$186</f>
        <v>0.62162162162162204</v>
      </c>
    </row>
    <row r="140" spans="2:9" ht="17.100000000000001" customHeight="1">
      <c r="B140" s="4" t="s">
        <v>585</v>
      </c>
      <c r="C140" s="12">
        <f>集計_障がい者!$D$187</f>
        <v>141</v>
      </c>
      <c r="D140" s="13">
        <f>集計_障がい者!$E$187</f>
        <v>0.54440154440154398</v>
      </c>
    </row>
    <row r="141" spans="2:9" ht="17.100000000000001" customHeight="1">
      <c r="B141" s="4" t="s">
        <v>586</v>
      </c>
      <c r="C141" s="12">
        <f>集計_障がい者!$D$184</f>
        <v>56</v>
      </c>
      <c r="D141" s="13">
        <f>集計_障がい者!$E$184</f>
        <v>0.21621621621621601</v>
      </c>
    </row>
    <row r="142" spans="2:9" ht="17.100000000000001" customHeight="1">
      <c r="B142" s="4" t="s">
        <v>587</v>
      </c>
      <c r="C142" s="12">
        <f>集計_障がい者!$D$191</f>
        <v>53</v>
      </c>
      <c r="D142" s="13">
        <f>集計_障がい者!$E$191</f>
        <v>0.204633204633205</v>
      </c>
    </row>
    <row r="143" spans="2:9" ht="17.100000000000001" customHeight="1">
      <c r="B143" s="4" t="s">
        <v>588</v>
      </c>
      <c r="C143" s="12">
        <f>集計_障がい者!$D$188</f>
        <v>51</v>
      </c>
      <c r="D143" s="13">
        <f>集計_障がい者!$E$188</f>
        <v>0.19691119691119699</v>
      </c>
    </row>
    <row r="144" spans="2:9" ht="17.100000000000001" customHeight="1">
      <c r="B144" s="4" t="s">
        <v>589</v>
      </c>
      <c r="C144" s="12">
        <f>集計_障がい者!$D$189</f>
        <v>38</v>
      </c>
      <c r="D144" s="13">
        <f>集計_障がい者!$E$189</f>
        <v>0.14671814671814701</v>
      </c>
    </row>
    <row r="145" spans="2:5" ht="17.100000000000001" customHeight="1">
      <c r="B145" s="4" t="s">
        <v>590</v>
      </c>
      <c r="C145" s="12">
        <f>集計_障がい者!$D$185</f>
        <v>25</v>
      </c>
      <c r="D145" s="13">
        <f>集計_障がい者!$E$185</f>
        <v>9.6525096525096499E-2</v>
      </c>
    </row>
    <row r="146" spans="2:5" ht="17.100000000000001" customHeight="1">
      <c r="B146" s="4" t="s">
        <v>591</v>
      </c>
      <c r="C146" s="12">
        <f>集計_障がい者!$D$190</f>
        <v>22</v>
      </c>
      <c r="D146" s="13">
        <f>集計_障がい者!$E$190</f>
        <v>8.4942084942084897E-2</v>
      </c>
    </row>
    <row r="147" spans="2:5" ht="17.100000000000001" customHeight="1">
      <c r="B147" s="4" t="s">
        <v>437</v>
      </c>
      <c r="C147" s="12">
        <f>集計_障がい者!$D$192</f>
        <v>13</v>
      </c>
      <c r="D147" s="13">
        <f>集計_障がい者!$E$192</f>
        <v>5.0193050193050197E-2</v>
      </c>
    </row>
    <row r="148" spans="2:5" ht="17.100000000000001" customHeight="1">
      <c r="B148" s="4" t="s">
        <v>438</v>
      </c>
      <c r="C148" s="12">
        <f>集計_障がい者!$D$193</f>
        <v>36</v>
      </c>
      <c r="D148" s="13">
        <f>集計_障がい者!$E$193</f>
        <v>0.138996138996139</v>
      </c>
    </row>
    <row r="152" spans="2:5" ht="21" customHeight="1">
      <c r="B152" s="6" t="s">
        <v>592</v>
      </c>
    </row>
    <row r="154" spans="2:5" ht="30.95" customHeight="1">
      <c r="B154" s="2" t="s">
        <v>429</v>
      </c>
      <c r="C154" s="2" t="s">
        <v>447</v>
      </c>
      <c r="D154" s="2" t="s">
        <v>448</v>
      </c>
      <c r="E154" s="2" t="s">
        <v>449</v>
      </c>
    </row>
    <row r="155" spans="2:5" ht="17.100000000000001" customHeight="1">
      <c r="B155" s="4" t="s">
        <v>584</v>
      </c>
      <c r="C155" s="13">
        <f>集計_障がい別!$G$187</f>
        <v>0.64248704663212397</v>
      </c>
      <c r="D155" s="13">
        <f>集計_障がい別!$H$187</f>
        <v>0.33333333333333298</v>
      </c>
      <c r="E155" s="13">
        <f>集計_障がい別!$I$187</f>
        <v>0.59090909090909105</v>
      </c>
    </row>
    <row r="156" spans="2:5" ht="17.100000000000001" customHeight="1">
      <c r="B156" s="4" t="s">
        <v>585</v>
      </c>
      <c r="C156" s="13">
        <f>集計_障がい別!$G$188</f>
        <v>0.50777202072538896</v>
      </c>
      <c r="D156" s="13">
        <f>集計_障がい別!$H$188</f>
        <v>0.57575757575757602</v>
      </c>
      <c r="E156" s="13">
        <f>集計_障がい別!$I$188</f>
        <v>0.63636363636363602</v>
      </c>
    </row>
    <row r="157" spans="2:5" ht="17.100000000000001" customHeight="1">
      <c r="B157" s="4" t="s">
        <v>586</v>
      </c>
      <c r="C157" s="13">
        <f>集計_障がい別!$G$185</f>
        <v>0.124352331606218</v>
      </c>
      <c r="D157" s="13">
        <f>集計_障がい別!$H$185</f>
        <v>0.45454545454545497</v>
      </c>
      <c r="E157" s="13">
        <f>集計_障がい別!$I$185</f>
        <v>0.43181818181818199</v>
      </c>
    </row>
    <row r="158" spans="2:5" ht="17.100000000000001" customHeight="1">
      <c r="B158" s="4" t="s">
        <v>587</v>
      </c>
      <c r="C158" s="13">
        <f>集計_障がい別!$G$192</f>
        <v>0.20725388601036299</v>
      </c>
      <c r="D158" s="13">
        <f>集計_障がい別!$H$192</f>
        <v>0.24242424242424199</v>
      </c>
      <c r="E158" s="13">
        <f>集計_障がい別!$I$192</f>
        <v>0.22727272727272699</v>
      </c>
    </row>
    <row r="159" spans="2:5" ht="17.100000000000001" customHeight="1">
      <c r="B159" s="4" t="s">
        <v>588</v>
      </c>
      <c r="C159" s="13">
        <f>集計_障がい別!$G$189</f>
        <v>0.21243523316062199</v>
      </c>
      <c r="D159" s="13">
        <f>集計_障がい別!$H$189</f>
        <v>6.0606060606060601E-2</v>
      </c>
      <c r="E159" s="13">
        <f>集計_障がい別!$I$189</f>
        <v>0.18181818181818199</v>
      </c>
    </row>
    <row r="160" spans="2:5" ht="17.100000000000001" customHeight="1">
      <c r="B160" s="4" t="s">
        <v>589</v>
      </c>
      <c r="C160" s="13">
        <f>集計_障がい別!$G$190</f>
        <v>0.14507772020725401</v>
      </c>
      <c r="D160" s="13">
        <f>集計_障がい別!$H$190</f>
        <v>9.0909090909090898E-2</v>
      </c>
      <c r="E160" s="13">
        <f>集計_障がい別!$I$190</f>
        <v>0.204545454545455</v>
      </c>
    </row>
    <row r="161" spans="2:5" ht="17.100000000000001" customHeight="1">
      <c r="B161" s="4" t="s">
        <v>590</v>
      </c>
      <c r="C161" s="13">
        <f>集計_障がい別!$G$186</f>
        <v>8.2901554404145095E-2</v>
      </c>
      <c r="D161" s="13">
        <f>集計_障がい別!$H$186</f>
        <v>0</v>
      </c>
      <c r="E161" s="13">
        <f>集計_障がい別!$I$186</f>
        <v>0.11363636363636399</v>
      </c>
    </row>
    <row r="162" spans="2:5" ht="17.100000000000001" customHeight="1">
      <c r="B162" s="4" t="s">
        <v>591</v>
      </c>
      <c r="C162" s="13">
        <f>集計_障がい別!$G$191</f>
        <v>9.8445595854922296E-2</v>
      </c>
      <c r="D162" s="13">
        <f>集計_障がい別!$H$191</f>
        <v>6.0606060606060601E-2</v>
      </c>
      <c r="E162" s="13">
        <f>集計_障がい別!$I$191</f>
        <v>6.8181818181818205E-2</v>
      </c>
    </row>
    <row r="163" spans="2:5" ht="17.100000000000001" customHeight="1">
      <c r="B163" s="4" t="s">
        <v>437</v>
      </c>
      <c r="C163" s="13">
        <f>集計_障がい別!$G$193</f>
        <v>5.6994818652849701E-2</v>
      </c>
      <c r="D163" s="13">
        <f>集計_障がい別!$H$193</f>
        <v>0</v>
      </c>
      <c r="E163" s="13">
        <f>集計_障がい別!$I$193</f>
        <v>0</v>
      </c>
    </row>
    <row r="164" spans="2:5" ht="17.100000000000001" customHeight="1">
      <c r="B164" s="4" t="s">
        <v>438</v>
      </c>
      <c r="C164" s="13">
        <f>集計_障がい別!$G$194</f>
        <v>0.15025906735751299</v>
      </c>
      <c r="D164" s="13">
        <f>集計_障がい別!$H$194</f>
        <v>0.21212121212121199</v>
      </c>
      <c r="E164" s="13">
        <f>集計_障がい別!$I$194</f>
        <v>0.13636363636363599</v>
      </c>
    </row>
    <row r="186" spans="2:4" ht="21" customHeight="1">
      <c r="B186" s="6" t="s">
        <v>593</v>
      </c>
    </row>
    <row r="187" spans="2:4">
      <c r="B187" s="11" t="str">
        <f>"n="&amp;集計_障がい者!$F$200&amp;"（複数回答）"</f>
        <v>n=259（複数回答）</v>
      </c>
    </row>
    <row r="188" spans="2:4" ht="18" customHeight="1">
      <c r="B188" s="2" t="s">
        <v>429</v>
      </c>
      <c r="C188" s="2" t="s">
        <v>430</v>
      </c>
      <c r="D188" s="2" t="s">
        <v>431</v>
      </c>
    </row>
    <row r="189" spans="2:4" ht="17.100000000000001" customHeight="1">
      <c r="B189" s="4" t="s">
        <v>594</v>
      </c>
      <c r="C189" s="12">
        <f>集計_障がい者!$D$200</f>
        <v>65</v>
      </c>
      <c r="D189" s="13">
        <f>集計_障がい者!$E$200</f>
        <v>0.25096525096525102</v>
      </c>
    </row>
    <row r="190" spans="2:4" ht="17.100000000000001" customHeight="1">
      <c r="B190" s="4" t="s">
        <v>595</v>
      </c>
      <c r="C190" s="12">
        <f>集計_障がい者!$D$203</f>
        <v>60</v>
      </c>
      <c r="D190" s="13">
        <f>集計_障がい者!$E$203</f>
        <v>0.231660231660232</v>
      </c>
    </row>
    <row r="191" spans="2:4" ht="30" customHeight="1">
      <c r="B191" s="4" t="s">
        <v>596</v>
      </c>
      <c r="C191" s="12">
        <f>集計_障がい者!$D$194</f>
        <v>51</v>
      </c>
      <c r="D191" s="13">
        <f>集計_障がい者!$E$194</f>
        <v>0.19691119691119699</v>
      </c>
    </row>
    <row r="192" spans="2:4" ht="17.100000000000001" customHeight="1">
      <c r="B192" s="4" t="s">
        <v>597</v>
      </c>
      <c r="C192" s="12">
        <f>集計_障がい者!$D$196</f>
        <v>39</v>
      </c>
      <c r="D192" s="13">
        <f>集計_障がい者!$E$196</f>
        <v>0.150579150579151</v>
      </c>
    </row>
    <row r="193" spans="2:5" ht="17.100000000000001" customHeight="1">
      <c r="B193" s="4" t="s">
        <v>598</v>
      </c>
      <c r="C193" s="12">
        <f>集計_障がい者!$D$202</f>
        <v>36</v>
      </c>
      <c r="D193" s="13">
        <f>集計_障がい者!$E$202</f>
        <v>0.138996138996139</v>
      </c>
    </row>
    <row r="194" spans="2:5" ht="17.100000000000001" customHeight="1">
      <c r="B194" s="4" t="s">
        <v>599</v>
      </c>
      <c r="C194" s="12">
        <f>集計_障がい者!$D$195</f>
        <v>34</v>
      </c>
      <c r="D194" s="13">
        <f>集計_障がい者!$E$195</f>
        <v>0.13127413127413101</v>
      </c>
    </row>
    <row r="195" spans="2:5" ht="17.100000000000001" customHeight="1">
      <c r="B195" s="4" t="s">
        <v>600</v>
      </c>
      <c r="C195" s="12">
        <f>集計_障がい者!$D$199</f>
        <v>30</v>
      </c>
      <c r="D195" s="13">
        <f>集計_障がい者!$E$199</f>
        <v>0.115830115830116</v>
      </c>
    </row>
    <row r="196" spans="2:5" ht="17.100000000000001" customHeight="1">
      <c r="B196" s="4" t="s">
        <v>601</v>
      </c>
      <c r="C196" s="12">
        <f>集計_障がい者!$D$197</f>
        <v>22</v>
      </c>
      <c r="D196" s="13">
        <f>集計_障がい者!$E$197</f>
        <v>8.4942084942084897E-2</v>
      </c>
    </row>
    <row r="197" spans="2:5" ht="30" customHeight="1">
      <c r="B197" s="4" t="s">
        <v>602</v>
      </c>
      <c r="C197" s="12">
        <f>集計_障がい者!$D$198</f>
        <v>22</v>
      </c>
      <c r="D197" s="13">
        <f>集計_障がい者!$E$198</f>
        <v>8.4942084942084897E-2</v>
      </c>
    </row>
    <row r="198" spans="2:5" ht="17.100000000000001" customHeight="1">
      <c r="B198" s="4" t="s">
        <v>603</v>
      </c>
      <c r="C198" s="12">
        <f>集計_障がい者!$D$201</f>
        <v>16</v>
      </c>
      <c r="D198" s="13">
        <f>集計_障がい者!$E$201</f>
        <v>6.1776061776061798E-2</v>
      </c>
    </row>
    <row r="199" spans="2:5" ht="17.100000000000001" customHeight="1">
      <c r="B199" s="4" t="s">
        <v>437</v>
      </c>
      <c r="C199" s="12">
        <f>集計_障がい者!$D$204</f>
        <v>11</v>
      </c>
      <c r="D199" s="13">
        <f>集計_障がい者!$E$204</f>
        <v>4.2471042471042497E-2</v>
      </c>
    </row>
    <row r="200" spans="2:5" ht="17.100000000000001" customHeight="1">
      <c r="B200" s="4" t="s">
        <v>604</v>
      </c>
      <c r="C200" s="12">
        <f>集計_障がい者!$D$205</f>
        <v>63</v>
      </c>
      <c r="D200" s="13">
        <f>集計_障がい者!$E$205</f>
        <v>0.24324324324324301</v>
      </c>
    </row>
    <row r="201" spans="2:5" ht="17.100000000000001" customHeight="1">
      <c r="B201" s="4" t="s">
        <v>438</v>
      </c>
      <c r="C201" s="12">
        <f>集計_障がい者!$D$206</f>
        <v>45</v>
      </c>
      <c r="D201" s="13">
        <f>集計_障がい者!$E$206</f>
        <v>0.17374517374517401</v>
      </c>
    </row>
    <row r="205" spans="2:5" ht="21" customHeight="1">
      <c r="B205" s="6" t="s">
        <v>605</v>
      </c>
    </row>
    <row r="207" spans="2:5" ht="30.95" customHeight="1">
      <c r="B207" s="2" t="s">
        <v>429</v>
      </c>
      <c r="C207" s="2" t="s">
        <v>447</v>
      </c>
      <c r="D207" s="2" t="s">
        <v>448</v>
      </c>
      <c r="E207" s="2" t="s">
        <v>449</v>
      </c>
    </row>
    <row r="208" spans="2:5" ht="17.100000000000001" customHeight="1">
      <c r="B208" s="4" t="s">
        <v>594</v>
      </c>
      <c r="C208" s="13">
        <f>集計_障がい別!$G$201</f>
        <v>0.227979274611399</v>
      </c>
      <c r="D208" s="13">
        <f>集計_障がい別!$H$201</f>
        <v>0.27272727272727298</v>
      </c>
      <c r="E208" s="13">
        <f>集計_障がい別!$I$201</f>
        <v>0.34090909090909099</v>
      </c>
    </row>
    <row r="209" spans="2:5" ht="17.100000000000001" customHeight="1">
      <c r="B209" s="4" t="s">
        <v>595</v>
      </c>
      <c r="C209" s="13">
        <f>集計_障がい別!$G$204</f>
        <v>0.19170984455958501</v>
      </c>
      <c r="D209" s="13">
        <f>集計_障がい別!$H$204</f>
        <v>0.39393939393939398</v>
      </c>
      <c r="E209" s="13">
        <f>集計_障がい別!$I$204</f>
        <v>0.38636363636363602</v>
      </c>
    </row>
    <row r="210" spans="2:5" ht="30" customHeight="1">
      <c r="B210" s="4" t="s">
        <v>596</v>
      </c>
      <c r="C210" s="13">
        <f>集計_障がい別!$G$195</f>
        <v>0.19689119170984501</v>
      </c>
      <c r="D210" s="13">
        <f>集計_障がい別!$H$195</f>
        <v>0.18181818181818199</v>
      </c>
      <c r="E210" s="13">
        <f>集計_障がい別!$I$195</f>
        <v>0.15909090909090901</v>
      </c>
    </row>
    <row r="211" spans="2:5" ht="17.100000000000001" customHeight="1">
      <c r="B211" s="4" t="s">
        <v>597</v>
      </c>
      <c r="C211" s="13">
        <f>集計_障がい別!$G$197</f>
        <v>0.181347150259067</v>
      </c>
      <c r="D211" s="13">
        <f>集計_障がい別!$H$197</f>
        <v>6.0606060606060601E-2</v>
      </c>
      <c r="E211" s="13">
        <f>集計_障がい別!$I$197</f>
        <v>0.13636363636363599</v>
      </c>
    </row>
    <row r="212" spans="2:5" ht="17.100000000000001" customHeight="1">
      <c r="B212" s="4" t="s">
        <v>598</v>
      </c>
      <c r="C212" s="13">
        <f>集計_障がい別!$G$203</f>
        <v>0.15025906735751299</v>
      </c>
      <c r="D212" s="13">
        <f>集計_障がい別!$H$203</f>
        <v>3.03030303030303E-2</v>
      </c>
      <c r="E212" s="13">
        <f>集計_障がい別!$I$203</f>
        <v>0.22727272727272699</v>
      </c>
    </row>
    <row r="213" spans="2:5" ht="17.100000000000001" customHeight="1">
      <c r="B213" s="4" t="s">
        <v>599</v>
      </c>
      <c r="C213" s="13">
        <f>集計_障がい別!$G$196</f>
        <v>0.14507772020725401</v>
      </c>
      <c r="D213" s="13">
        <f>集計_障がい別!$H$196</f>
        <v>3.03030303030303E-2</v>
      </c>
      <c r="E213" s="13">
        <f>集計_障がい別!$I$196</f>
        <v>6.8181818181818205E-2</v>
      </c>
    </row>
    <row r="214" spans="2:5" ht="17.100000000000001" customHeight="1">
      <c r="B214" s="4" t="s">
        <v>600</v>
      </c>
      <c r="C214" s="13">
        <f>集計_障がい別!$G$200</f>
        <v>0.124352331606218</v>
      </c>
      <c r="D214" s="13">
        <f>集計_障がい別!$H$200</f>
        <v>0.12121212121212099</v>
      </c>
      <c r="E214" s="13">
        <f>集計_障がい別!$I$200</f>
        <v>4.5454545454545497E-2</v>
      </c>
    </row>
    <row r="215" spans="2:5" ht="17.100000000000001" customHeight="1">
      <c r="B215" s="4" t="s">
        <v>601</v>
      </c>
      <c r="C215" s="13">
        <f>集計_障がい別!$G$198</f>
        <v>5.6994818652849701E-2</v>
      </c>
      <c r="D215" s="13">
        <f>集計_障がい別!$H$198</f>
        <v>0.18181818181818199</v>
      </c>
      <c r="E215" s="13">
        <f>集計_障がい別!$I$198</f>
        <v>0.18181818181818199</v>
      </c>
    </row>
    <row r="216" spans="2:5" ht="30" customHeight="1">
      <c r="B216" s="4" t="s">
        <v>602</v>
      </c>
      <c r="C216" s="13">
        <f>集計_障がい別!$G$199</f>
        <v>8.8082901554404097E-2</v>
      </c>
      <c r="D216" s="13">
        <f>集計_障がい別!$H$199</f>
        <v>0</v>
      </c>
      <c r="E216" s="13">
        <f>集計_障がい別!$I$199</f>
        <v>6.8181818181818205E-2</v>
      </c>
    </row>
    <row r="217" spans="2:5" ht="17.100000000000001" customHeight="1">
      <c r="B217" s="4" t="s">
        <v>603</v>
      </c>
      <c r="C217" s="13">
        <f>集計_障がい別!$G$202</f>
        <v>4.6632124352331598E-2</v>
      </c>
      <c r="D217" s="13">
        <f>集計_障がい別!$H$202</f>
        <v>0</v>
      </c>
      <c r="E217" s="13">
        <f>集計_障がい別!$I$202</f>
        <v>0.18181818181818199</v>
      </c>
    </row>
    <row r="218" spans="2:5" ht="17.100000000000001" customHeight="1">
      <c r="B218" s="4" t="s">
        <v>437</v>
      </c>
      <c r="C218" s="13">
        <f>集計_障がい別!$G$205</f>
        <v>4.1450777202072499E-2</v>
      </c>
      <c r="D218" s="13">
        <f>集計_障がい別!$H$205</f>
        <v>3.03030303030303E-2</v>
      </c>
      <c r="E218" s="13">
        <f>集計_障がい別!$I$205</f>
        <v>6.8181818181818205E-2</v>
      </c>
    </row>
    <row r="219" spans="2:5" ht="17.100000000000001" customHeight="1">
      <c r="B219" s="4" t="s">
        <v>604</v>
      </c>
      <c r="C219" s="13">
        <f>集計_障がい別!$G$206</f>
        <v>0.25906735751295301</v>
      </c>
      <c r="D219" s="13">
        <f>集計_障がい別!$H$206</f>
        <v>0.21212121212121199</v>
      </c>
      <c r="E219" s="13">
        <f>集計_障がい別!$I$206</f>
        <v>0.15909090909090901</v>
      </c>
    </row>
    <row r="220" spans="2:5" ht="17.100000000000001" customHeight="1">
      <c r="B220" s="4" t="s">
        <v>438</v>
      </c>
      <c r="C220" s="13">
        <f>集計_障がい別!$G$207</f>
        <v>0.181347150259067</v>
      </c>
      <c r="D220" s="13">
        <f>集計_障がい別!$H$207</f>
        <v>0.27272727272727298</v>
      </c>
      <c r="E220" s="13">
        <f>集計_障がい別!$I$207</f>
        <v>0.15909090909090901</v>
      </c>
    </row>
  </sheetData>
  <pageMargins left="0.75" right="0.75" top="1" bottom="1" header="0.5" footer="0.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153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4" ht="21" customHeight="1">
      <c r="B2" s="6" t="s">
        <v>606</v>
      </c>
    </row>
    <row r="3" spans="2:4">
      <c r="B3" s="11" t="str">
        <f>"n="&amp;集計_障がい者!$F$207&amp;"（単一回答）"</f>
        <v>n=259（単一回答）</v>
      </c>
    </row>
    <row r="4" spans="2:4" ht="18" customHeight="1">
      <c r="B4" s="2" t="s">
        <v>429</v>
      </c>
      <c r="C4" s="2" t="s">
        <v>430</v>
      </c>
      <c r="D4" s="2" t="s">
        <v>431</v>
      </c>
    </row>
    <row r="5" spans="2:4" ht="30" customHeight="1">
      <c r="B5" s="4" t="s">
        <v>607</v>
      </c>
      <c r="C5" s="12">
        <f>集計_障がい者!$D$207</f>
        <v>41</v>
      </c>
      <c r="D5" s="13">
        <f>集計_障がい者!$E$207</f>
        <v>0.15830115830115801</v>
      </c>
    </row>
    <row r="6" spans="2:4" ht="30" customHeight="1">
      <c r="B6" s="4" t="s">
        <v>608</v>
      </c>
      <c r="C6" s="12">
        <f>集計_障がい者!$D$208</f>
        <v>2</v>
      </c>
      <c r="D6" s="13">
        <f>集計_障がい者!$E$208</f>
        <v>7.7220077220077196E-3</v>
      </c>
    </row>
    <row r="7" spans="2:4" ht="17.100000000000001" customHeight="1">
      <c r="B7" s="4" t="s">
        <v>609</v>
      </c>
      <c r="C7" s="12">
        <f>集計_障がい者!$D$209</f>
        <v>8</v>
      </c>
      <c r="D7" s="13">
        <f>集計_障がい者!$E$209</f>
        <v>3.0888030888030899E-2</v>
      </c>
    </row>
    <row r="8" spans="2:4" ht="30" customHeight="1">
      <c r="B8" s="4" t="s">
        <v>610</v>
      </c>
      <c r="C8" s="12">
        <f>集計_障がい者!$D$210</f>
        <v>26</v>
      </c>
      <c r="D8" s="13">
        <f>集計_障がい者!$E$210</f>
        <v>0.10038610038610001</v>
      </c>
    </row>
    <row r="9" spans="2:4" ht="17.100000000000001" customHeight="1">
      <c r="B9" s="4" t="s">
        <v>611</v>
      </c>
      <c r="C9" s="12">
        <f>集計_障がい者!$D$211</f>
        <v>3</v>
      </c>
      <c r="D9" s="13">
        <f>集計_障がい者!$E$211</f>
        <v>1.15830115830116E-2</v>
      </c>
    </row>
    <row r="10" spans="2:4" ht="17.100000000000001" customHeight="1">
      <c r="B10" s="4" t="s">
        <v>612</v>
      </c>
      <c r="C10" s="12">
        <f>集計_障がい者!$D$212</f>
        <v>3</v>
      </c>
      <c r="D10" s="13">
        <f>集計_障がい者!$E$212</f>
        <v>1.15830115830116E-2</v>
      </c>
    </row>
    <row r="11" spans="2:4" ht="17.100000000000001" customHeight="1">
      <c r="B11" s="4" t="s">
        <v>613</v>
      </c>
      <c r="C11" s="12">
        <f>集計_障がい者!$D$213</f>
        <v>114</v>
      </c>
      <c r="D11" s="13">
        <f>集計_障がい者!$E$213</f>
        <v>0.44015444015444</v>
      </c>
    </row>
    <row r="12" spans="2:4" ht="17.100000000000001" customHeight="1">
      <c r="B12" s="4" t="s">
        <v>614</v>
      </c>
      <c r="C12" s="12">
        <f>集計_障がい者!$D$214</f>
        <v>24</v>
      </c>
      <c r="D12" s="13">
        <f>集計_障がい者!$E$214</f>
        <v>9.2664092664092701E-2</v>
      </c>
    </row>
    <row r="13" spans="2:4" ht="17.100000000000001" customHeight="1">
      <c r="B13" s="4" t="s">
        <v>615</v>
      </c>
      <c r="C13" s="12">
        <f>集計_障がい者!$D$215</f>
        <v>3</v>
      </c>
      <c r="D13" s="13">
        <f>集計_障がい者!$E$215</f>
        <v>1.15830115830116E-2</v>
      </c>
    </row>
    <row r="14" spans="2:4" ht="17.100000000000001" customHeight="1">
      <c r="B14" s="4" t="s">
        <v>437</v>
      </c>
      <c r="C14" s="12">
        <f>集計_障がい者!$D$216</f>
        <v>7</v>
      </c>
      <c r="D14" s="13">
        <f>集計_障がい者!$E$216</f>
        <v>2.7027027027027001E-2</v>
      </c>
    </row>
    <row r="15" spans="2:4" ht="17.100000000000001" customHeight="1">
      <c r="B15" s="4" t="s">
        <v>438</v>
      </c>
      <c r="C15" s="12">
        <f>集計_障がい者!$D$217</f>
        <v>28</v>
      </c>
      <c r="D15" s="13">
        <f>集計_障がい者!$E$217</f>
        <v>0.108108108108108</v>
      </c>
    </row>
    <row r="19" spans="2:5" ht="21" customHeight="1">
      <c r="B19" s="6" t="s">
        <v>616</v>
      </c>
    </row>
    <row r="21" spans="2:5" ht="30.95" customHeight="1">
      <c r="B21" s="2" t="s">
        <v>429</v>
      </c>
      <c r="C21" s="2" t="s">
        <v>447</v>
      </c>
      <c r="D21" s="2" t="s">
        <v>448</v>
      </c>
      <c r="E21" s="2" t="s">
        <v>449</v>
      </c>
    </row>
    <row r="22" spans="2:5" ht="30" customHeight="1">
      <c r="B22" s="4" t="s">
        <v>607</v>
      </c>
      <c r="C22" s="13">
        <f>集計_障がい別!$G$208</f>
        <v>0.15025906735751299</v>
      </c>
      <c r="D22" s="13">
        <f>集計_障がい別!$H$208</f>
        <v>0.15151515151515199</v>
      </c>
      <c r="E22" s="13">
        <f>集計_障がい別!$I$208</f>
        <v>0.18181818181818199</v>
      </c>
    </row>
    <row r="23" spans="2:5" ht="30" customHeight="1">
      <c r="B23" s="4" t="s">
        <v>608</v>
      </c>
      <c r="C23" s="13">
        <f>集計_障がい別!$G$209</f>
        <v>1.03626943005181E-2</v>
      </c>
      <c r="D23" s="13">
        <f>集計_障がい別!$H$209</f>
        <v>0</v>
      </c>
      <c r="E23" s="13">
        <f>集計_障がい別!$I$209</f>
        <v>0</v>
      </c>
    </row>
    <row r="24" spans="2:5" ht="17.100000000000001" customHeight="1">
      <c r="B24" s="4" t="s">
        <v>609</v>
      </c>
      <c r="C24" s="13">
        <f>集計_障がい別!$G$210</f>
        <v>4.1450777202072499E-2</v>
      </c>
      <c r="D24" s="13">
        <f>集計_障がい別!$H$210</f>
        <v>0</v>
      </c>
      <c r="E24" s="13">
        <f>集計_障がい別!$I$210</f>
        <v>0</v>
      </c>
    </row>
    <row r="25" spans="2:5" ht="30" customHeight="1">
      <c r="B25" s="4" t="s">
        <v>610</v>
      </c>
      <c r="C25" s="13">
        <f>集計_障がい別!$G$211</f>
        <v>3.6269430051813503E-2</v>
      </c>
      <c r="D25" s="13">
        <f>集計_障がい別!$H$211</f>
        <v>0.42424242424242398</v>
      </c>
      <c r="E25" s="13">
        <f>集計_障がい別!$I$211</f>
        <v>0.29545454545454503</v>
      </c>
    </row>
    <row r="26" spans="2:5" ht="17.100000000000001" customHeight="1">
      <c r="B26" s="4" t="s">
        <v>611</v>
      </c>
      <c r="C26" s="13">
        <f>集計_障がい別!$G$212</f>
        <v>1.55440414507772E-2</v>
      </c>
      <c r="D26" s="13">
        <f>集計_障がい別!$H$212</f>
        <v>0</v>
      </c>
      <c r="E26" s="13">
        <f>集計_障がい別!$I$212</f>
        <v>2.27272727272727E-2</v>
      </c>
    </row>
    <row r="27" spans="2:5" ht="17.100000000000001" customHeight="1">
      <c r="B27" s="4" t="s">
        <v>612</v>
      </c>
      <c r="C27" s="13">
        <f>集計_障がい別!$G$213</f>
        <v>1.03626943005181E-2</v>
      </c>
      <c r="D27" s="13">
        <f>集計_障がい別!$H$213</f>
        <v>0</v>
      </c>
      <c r="E27" s="13">
        <f>集計_障がい別!$I$213</f>
        <v>2.27272727272727E-2</v>
      </c>
    </row>
    <row r="28" spans="2:5" ht="17.100000000000001" customHeight="1">
      <c r="B28" s="4" t="s">
        <v>613</v>
      </c>
      <c r="C28" s="13">
        <f>集計_障がい別!$G$214</f>
        <v>0.49740932642487001</v>
      </c>
      <c r="D28" s="13">
        <f>集計_障がい別!$H$214</f>
        <v>0.18181818181818199</v>
      </c>
      <c r="E28" s="13">
        <f>集計_障がい別!$I$214</f>
        <v>0.36363636363636398</v>
      </c>
    </row>
    <row r="29" spans="2:5" ht="17.100000000000001" customHeight="1">
      <c r="B29" s="4" t="s">
        <v>614</v>
      </c>
      <c r="C29" s="13">
        <f>集計_障がい別!$G$215</f>
        <v>8.8082901554404097E-2</v>
      </c>
      <c r="D29" s="13">
        <f>集計_障がい別!$H$215</f>
        <v>0.15151515151515199</v>
      </c>
      <c r="E29" s="13">
        <f>集計_障がい別!$I$215</f>
        <v>4.5454545454545497E-2</v>
      </c>
    </row>
    <row r="30" spans="2:5" ht="17.100000000000001" customHeight="1">
      <c r="B30" s="4" t="s">
        <v>615</v>
      </c>
      <c r="C30" s="13">
        <f>集計_障がい別!$G$216</f>
        <v>5.1813471502590702E-3</v>
      </c>
      <c r="D30" s="13">
        <f>集計_障がい別!$H$216</f>
        <v>3.03030303030303E-2</v>
      </c>
      <c r="E30" s="13">
        <f>集計_障がい別!$I$216</f>
        <v>2.27272727272727E-2</v>
      </c>
    </row>
    <row r="31" spans="2:5" ht="17.100000000000001" customHeight="1">
      <c r="B31" s="4" t="s">
        <v>437</v>
      </c>
      <c r="C31" s="13">
        <f>集計_障がい別!$G$217</f>
        <v>3.10880829015544E-2</v>
      </c>
      <c r="D31" s="13">
        <f>集計_障がい別!$H$217</f>
        <v>3.03030303030303E-2</v>
      </c>
      <c r="E31" s="13">
        <f>集計_障がい別!$I$217</f>
        <v>2.27272727272727E-2</v>
      </c>
    </row>
    <row r="32" spans="2:5" ht="17.100000000000001" customHeight="1">
      <c r="B32" s="4" t="s">
        <v>438</v>
      </c>
      <c r="C32" s="13">
        <f>集計_障がい別!$G$218</f>
        <v>0.113989637305699</v>
      </c>
      <c r="D32" s="13">
        <f>集計_障がい別!$H$218</f>
        <v>3.03030303030303E-2</v>
      </c>
      <c r="E32" s="13">
        <f>集計_障がい別!$I$218</f>
        <v>2.27272727272727E-2</v>
      </c>
    </row>
    <row r="53" spans="2:4" ht="21" customHeight="1">
      <c r="B53" s="6" t="s">
        <v>617</v>
      </c>
    </row>
    <row r="54" spans="2:4">
      <c r="B54" s="11" t="str">
        <f>"n="&amp;集計_障がい者!$F$218&amp;"（単一回答）"</f>
        <v>n=259（単一回答）</v>
      </c>
    </row>
    <row r="55" spans="2:4" ht="18" customHeight="1">
      <c r="B55" s="2" t="s">
        <v>429</v>
      </c>
      <c r="C55" s="2" t="s">
        <v>430</v>
      </c>
      <c r="D55" s="2" t="s">
        <v>431</v>
      </c>
    </row>
    <row r="56" spans="2:4" ht="17.100000000000001" customHeight="1">
      <c r="B56" s="4" t="s">
        <v>618</v>
      </c>
      <c r="C56" s="12">
        <f>集計_障がい者!$D$218</f>
        <v>10</v>
      </c>
      <c r="D56" s="13">
        <f>集計_障がい者!$E$218</f>
        <v>3.8610038610038602E-2</v>
      </c>
    </row>
    <row r="57" spans="2:4" ht="17.100000000000001" customHeight="1">
      <c r="B57" s="4" t="s">
        <v>619</v>
      </c>
      <c r="C57" s="12">
        <f>集計_障がい者!$D$219</f>
        <v>8</v>
      </c>
      <c r="D57" s="13">
        <f>集計_障がい者!$E$219</f>
        <v>3.0888030888030899E-2</v>
      </c>
    </row>
    <row r="58" spans="2:4" ht="17.100000000000001" customHeight="1">
      <c r="B58" s="4" t="s">
        <v>620</v>
      </c>
      <c r="C58" s="12">
        <f>集計_障がい者!$D$220</f>
        <v>14</v>
      </c>
      <c r="D58" s="13">
        <f>集計_障がい者!$E$220</f>
        <v>5.4054054054054099E-2</v>
      </c>
    </row>
    <row r="59" spans="2:4" ht="17.100000000000001" customHeight="1">
      <c r="B59" s="4" t="s">
        <v>621</v>
      </c>
      <c r="C59" s="12">
        <f>集計_障がい者!$D$221</f>
        <v>7</v>
      </c>
      <c r="D59" s="13">
        <f>集計_障がい者!$E$221</f>
        <v>2.7027027027027001E-2</v>
      </c>
    </row>
    <row r="60" spans="2:4" ht="17.100000000000001" customHeight="1">
      <c r="B60" s="4" t="s">
        <v>437</v>
      </c>
      <c r="C60" s="12">
        <f>集計_障がい者!$D$222</f>
        <v>2</v>
      </c>
      <c r="D60" s="13">
        <f>集計_障がい者!$E$222</f>
        <v>7.7220077220077196E-3</v>
      </c>
    </row>
    <row r="61" spans="2:4" ht="17.100000000000001" customHeight="1">
      <c r="B61" s="4" t="s">
        <v>438</v>
      </c>
      <c r="C61" s="12">
        <f>集計_障がい者!$D$223</f>
        <v>218</v>
      </c>
      <c r="D61" s="13">
        <f>集計_障がい者!$E$223</f>
        <v>0.84169884169884202</v>
      </c>
    </row>
    <row r="66" spans="2:8" ht="21" customHeight="1">
      <c r="B66" s="6" t="s">
        <v>622</v>
      </c>
    </row>
    <row r="68" spans="2:8" ht="69.95" customHeight="1">
      <c r="B68" s="2" t="s">
        <v>445</v>
      </c>
      <c r="C68" s="2" t="s">
        <v>618</v>
      </c>
      <c r="D68" s="2" t="s">
        <v>619</v>
      </c>
      <c r="E68" s="2" t="s">
        <v>620</v>
      </c>
      <c r="F68" s="2" t="s">
        <v>621</v>
      </c>
      <c r="G68" s="2" t="s">
        <v>437</v>
      </c>
      <c r="H68" s="2" t="s">
        <v>438</v>
      </c>
    </row>
    <row r="69" spans="2:8" ht="17.100000000000001" customHeight="1">
      <c r="B69" s="4" t="s">
        <v>446</v>
      </c>
      <c r="C69" s="13">
        <f>集計_障がい者!$E$218</f>
        <v>3.8610038610038602E-2</v>
      </c>
      <c r="D69" s="13">
        <f>集計_障がい者!$E$219</f>
        <v>3.0888030888030899E-2</v>
      </c>
      <c r="E69" s="13">
        <f>集計_障がい者!$E$220</f>
        <v>5.4054054054054099E-2</v>
      </c>
      <c r="F69" s="13">
        <f>集計_障がい者!$E$221</f>
        <v>2.7027027027027001E-2</v>
      </c>
      <c r="G69" s="13">
        <f>集計_障がい者!$E$222</f>
        <v>7.7220077220077196E-3</v>
      </c>
      <c r="H69" s="13">
        <f>集計_障がい者!$E$223</f>
        <v>0.84169884169884202</v>
      </c>
    </row>
    <row r="70" spans="2:8" ht="17.100000000000001" customHeight="1">
      <c r="B70" s="4" t="s">
        <v>447</v>
      </c>
      <c r="C70" s="13">
        <f>集計_障がい別!$G$219</f>
        <v>4.1450777202072499E-2</v>
      </c>
      <c r="D70" s="13">
        <f>集計_障がい別!$G$220</f>
        <v>2.0725388601036301E-2</v>
      </c>
      <c r="E70" s="13">
        <f>集計_障がい別!$G$221</f>
        <v>4.6632124352331598E-2</v>
      </c>
      <c r="F70" s="13">
        <f>集計_障がい別!$G$222</f>
        <v>3.6269430051813503E-2</v>
      </c>
      <c r="G70" s="13">
        <f>集計_障がい別!$G$223</f>
        <v>5.1813471502590702E-3</v>
      </c>
      <c r="H70" s="13">
        <f>集計_障がい別!$G$224</f>
        <v>0.84974093264248696</v>
      </c>
    </row>
    <row r="71" spans="2:8" ht="17.100000000000001" customHeight="1">
      <c r="B71" s="4" t="s">
        <v>448</v>
      </c>
      <c r="C71" s="13">
        <f>集計_障がい別!$H$219</f>
        <v>3.03030303030303E-2</v>
      </c>
      <c r="D71" s="13">
        <f>集計_障がい別!$H$220</f>
        <v>3.03030303030303E-2</v>
      </c>
      <c r="E71" s="13">
        <f>集計_障がい別!$H$221</f>
        <v>9.0909090909090898E-2</v>
      </c>
      <c r="F71" s="13">
        <f>集計_障がい別!$H$222</f>
        <v>0</v>
      </c>
      <c r="G71" s="13">
        <f>集計_障がい別!$H$223</f>
        <v>0</v>
      </c>
      <c r="H71" s="13">
        <f>集計_障がい別!$H$224</f>
        <v>0.84848484848484895</v>
      </c>
    </row>
    <row r="72" spans="2:8" ht="17.100000000000001" customHeight="1">
      <c r="B72" s="4" t="s">
        <v>449</v>
      </c>
      <c r="C72" s="13">
        <f>集計_障がい別!$I$219</f>
        <v>2.27272727272727E-2</v>
      </c>
      <c r="D72" s="13">
        <f>集計_障がい別!$I$220</f>
        <v>4.5454545454545497E-2</v>
      </c>
      <c r="E72" s="13">
        <f>集計_障がい別!$I$221</f>
        <v>9.0909090909090898E-2</v>
      </c>
      <c r="F72" s="13">
        <f>集計_障がい別!$I$222</f>
        <v>0</v>
      </c>
      <c r="G72" s="13">
        <f>集計_障がい別!$I$223</f>
        <v>2.27272727272727E-2</v>
      </c>
      <c r="H72" s="13">
        <f>集計_障がい別!$I$224</f>
        <v>0.81818181818181801</v>
      </c>
    </row>
    <row r="77" spans="2:8" ht="21" customHeight="1">
      <c r="B77" s="6" t="s">
        <v>623</v>
      </c>
    </row>
    <row r="78" spans="2:8">
      <c r="B78" s="11" t="str">
        <f>"n="&amp;集計_障がい者!$F$224&amp;"（単一回答）"</f>
        <v>n=259（単一回答）</v>
      </c>
    </row>
    <row r="79" spans="2:8" ht="18" customHeight="1">
      <c r="B79" s="2" t="s">
        <v>429</v>
      </c>
      <c r="C79" s="2" t="s">
        <v>430</v>
      </c>
      <c r="D79" s="2" t="s">
        <v>431</v>
      </c>
    </row>
    <row r="80" spans="2:8" ht="17.100000000000001" customHeight="1">
      <c r="B80" s="4" t="s">
        <v>624</v>
      </c>
      <c r="C80" s="12">
        <f>集計_障がい者!$D$224</f>
        <v>20</v>
      </c>
      <c r="D80" s="13">
        <f>集計_障がい者!$E$224</f>
        <v>7.7220077220077205E-2</v>
      </c>
    </row>
    <row r="81" spans="2:6" ht="17.100000000000001" customHeight="1">
      <c r="B81" s="4" t="s">
        <v>625</v>
      </c>
      <c r="C81" s="12">
        <f>集計_障がい者!$D$225</f>
        <v>57</v>
      </c>
      <c r="D81" s="13">
        <f>集計_障がい者!$E$225</f>
        <v>0.22007722007722</v>
      </c>
    </row>
    <row r="82" spans="2:6" ht="17.100000000000001" customHeight="1">
      <c r="B82" s="4" t="s">
        <v>442</v>
      </c>
      <c r="C82" s="12">
        <f>集計_障がい者!$D$226</f>
        <v>16</v>
      </c>
      <c r="D82" s="13">
        <f>集計_障がい者!$E$226</f>
        <v>6.1776061776061798E-2</v>
      </c>
    </row>
    <row r="83" spans="2:6" ht="17.100000000000001" customHeight="1">
      <c r="B83" s="4" t="s">
        <v>438</v>
      </c>
      <c r="C83" s="12">
        <f>集計_障がい者!$D$227</f>
        <v>166</v>
      </c>
      <c r="D83" s="13">
        <f>集計_障がい者!$E$227</f>
        <v>0.64092664092664098</v>
      </c>
    </row>
    <row r="88" spans="2:6" ht="21" customHeight="1">
      <c r="B88" s="6" t="s">
        <v>626</v>
      </c>
    </row>
    <row r="90" spans="2:6" ht="44.1" customHeight="1">
      <c r="B90" s="2" t="s">
        <v>445</v>
      </c>
      <c r="C90" s="2" t="s">
        <v>624</v>
      </c>
      <c r="D90" s="2" t="s">
        <v>625</v>
      </c>
      <c r="E90" s="2" t="s">
        <v>442</v>
      </c>
      <c r="F90" s="2" t="s">
        <v>438</v>
      </c>
    </row>
    <row r="91" spans="2:6" ht="17.100000000000001" customHeight="1">
      <c r="B91" s="4" t="s">
        <v>446</v>
      </c>
      <c r="C91" s="13">
        <f>集計_障がい者!$E$224</f>
        <v>7.7220077220077205E-2</v>
      </c>
      <c r="D91" s="13">
        <f>集計_障がい者!$E$225</f>
        <v>0.22007722007722</v>
      </c>
      <c r="E91" s="13">
        <f>集計_障がい者!$E$226</f>
        <v>6.1776061776061798E-2</v>
      </c>
      <c r="F91" s="13">
        <f>集計_障がい者!$E$227</f>
        <v>0.64092664092664098</v>
      </c>
    </row>
    <row r="92" spans="2:6" ht="17.100000000000001" customHeight="1">
      <c r="B92" s="4" t="s">
        <v>447</v>
      </c>
      <c r="C92" s="13">
        <f>集計_障がい別!$G$225</f>
        <v>2.59067357512953E-2</v>
      </c>
      <c r="D92" s="13">
        <f>集計_障がい別!$G$226</f>
        <v>0.238341968911917</v>
      </c>
      <c r="E92" s="13">
        <f>集計_障がい別!$G$227</f>
        <v>4.1450777202072499E-2</v>
      </c>
      <c r="F92" s="13">
        <f>集計_障がい別!$G$228</f>
        <v>0.69430051813471505</v>
      </c>
    </row>
    <row r="93" spans="2:6" ht="17.100000000000001" customHeight="1">
      <c r="B93" s="4" t="s">
        <v>448</v>
      </c>
      <c r="C93" s="13">
        <f>集計_障がい別!$H$225</f>
        <v>0.24242424242424199</v>
      </c>
      <c r="D93" s="13">
        <f>集計_障がい別!$H$226</f>
        <v>0.15151515151515199</v>
      </c>
      <c r="E93" s="13">
        <f>集計_障がい別!$H$227</f>
        <v>0.18181818181818199</v>
      </c>
      <c r="F93" s="13">
        <f>集計_障がい別!$H$228</f>
        <v>0.42424242424242398</v>
      </c>
    </row>
    <row r="94" spans="2:6" ht="17.100000000000001" customHeight="1">
      <c r="B94" s="4" t="s">
        <v>449</v>
      </c>
      <c r="C94" s="13">
        <f>集計_障がい別!$I$225</f>
        <v>0.29545454545454503</v>
      </c>
      <c r="D94" s="13">
        <f>集計_障がい別!$I$226</f>
        <v>0.204545454545455</v>
      </c>
      <c r="E94" s="13">
        <f>集計_障がい別!$I$227</f>
        <v>0.13636363636363599</v>
      </c>
      <c r="F94" s="13">
        <f>集計_障がい別!$I$228</f>
        <v>0.36363636363636398</v>
      </c>
    </row>
    <row r="101" spans="2:4" ht="21" customHeight="1">
      <c r="B101" s="6" t="s">
        <v>627</v>
      </c>
    </row>
    <row r="102" spans="2:4">
      <c r="B102" s="11" t="str">
        <f>"n="&amp;集計_障がい者!$F$228&amp;"（単一回答）"</f>
        <v>n=259（単一回答）</v>
      </c>
    </row>
    <row r="103" spans="2:4" ht="18" customHeight="1">
      <c r="B103" s="2" t="s">
        <v>429</v>
      </c>
      <c r="C103" s="2" t="s">
        <v>430</v>
      </c>
      <c r="D103" s="2" t="s">
        <v>431</v>
      </c>
    </row>
    <row r="104" spans="2:4" ht="17.100000000000001" customHeight="1">
      <c r="B104" s="4" t="s">
        <v>628</v>
      </c>
      <c r="C104" s="12">
        <f>集計_障がい者!$D$228</f>
        <v>4</v>
      </c>
      <c r="D104" s="13">
        <f>集計_障がい者!$E$228</f>
        <v>1.5444015444015399E-2</v>
      </c>
    </row>
    <row r="105" spans="2:4" ht="17.100000000000001" customHeight="1">
      <c r="B105" s="4" t="s">
        <v>629</v>
      </c>
      <c r="C105" s="12">
        <f>集計_障がい者!$D$229</f>
        <v>14</v>
      </c>
      <c r="D105" s="13">
        <f>集計_障がい者!$E$229</f>
        <v>5.4054054054054099E-2</v>
      </c>
    </row>
    <row r="106" spans="2:4" ht="17.100000000000001" customHeight="1">
      <c r="B106" s="4" t="s">
        <v>630</v>
      </c>
      <c r="C106" s="12">
        <f>集計_障がい者!$D$230</f>
        <v>12</v>
      </c>
      <c r="D106" s="13">
        <f>集計_障がい者!$E$230</f>
        <v>4.6332046332046302E-2</v>
      </c>
    </row>
    <row r="107" spans="2:4" ht="17.100000000000001" customHeight="1">
      <c r="B107" s="4" t="s">
        <v>438</v>
      </c>
      <c r="C107" s="12">
        <f>集計_障がい者!$D$231</f>
        <v>229</v>
      </c>
      <c r="D107" s="13">
        <f>集計_障がい者!$E$231</f>
        <v>0.88416988416988396</v>
      </c>
    </row>
    <row r="111" spans="2:4" ht="21" customHeight="1">
      <c r="B111" s="6" t="s">
        <v>631</v>
      </c>
    </row>
    <row r="113" spans="2:6" ht="57" customHeight="1">
      <c r="B113" s="2" t="s">
        <v>445</v>
      </c>
      <c r="C113" s="2" t="s">
        <v>628</v>
      </c>
      <c r="D113" s="2" t="s">
        <v>629</v>
      </c>
      <c r="E113" s="2" t="s">
        <v>630</v>
      </c>
      <c r="F113" s="2" t="s">
        <v>438</v>
      </c>
    </row>
    <row r="114" spans="2:6" ht="17.100000000000001" customHeight="1">
      <c r="B114" s="4" t="s">
        <v>446</v>
      </c>
      <c r="C114" s="13">
        <f>集計_障がい者!$E$228</f>
        <v>1.5444015444015399E-2</v>
      </c>
      <c r="D114" s="13">
        <f>集計_障がい者!$E$229</f>
        <v>5.4054054054054099E-2</v>
      </c>
      <c r="E114" s="13">
        <f>集計_障がい者!$E$230</f>
        <v>4.6332046332046302E-2</v>
      </c>
      <c r="F114" s="13">
        <f>集計_障がい者!$E$231</f>
        <v>0.88416988416988396</v>
      </c>
    </row>
    <row r="115" spans="2:6" ht="17.100000000000001" customHeight="1">
      <c r="B115" s="4" t="s">
        <v>447</v>
      </c>
      <c r="C115" s="13">
        <f>集計_障がい別!$G$229</f>
        <v>5.1813471502590702E-3</v>
      </c>
      <c r="D115" s="13">
        <f>集計_障がい別!$G$230</f>
        <v>2.0725388601036301E-2</v>
      </c>
      <c r="E115" s="13">
        <f>集計_障がい別!$G$231</f>
        <v>3.10880829015544E-2</v>
      </c>
      <c r="F115" s="13">
        <f>集計_障がい別!$G$232</f>
        <v>0.94300518134714995</v>
      </c>
    </row>
    <row r="116" spans="2:6" ht="17.100000000000001" customHeight="1">
      <c r="B116" s="4" t="s">
        <v>448</v>
      </c>
      <c r="C116" s="13">
        <f>集計_障がい別!$H$229</f>
        <v>9.0909090909090898E-2</v>
      </c>
      <c r="D116" s="13">
        <f>集計_障がい別!$H$230</f>
        <v>0.12121212121212099</v>
      </c>
      <c r="E116" s="13">
        <f>集計_障がい別!$H$231</f>
        <v>0.15151515151515199</v>
      </c>
      <c r="F116" s="13">
        <f>集計_障がい別!$H$232</f>
        <v>0.63636363636363602</v>
      </c>
    </row>
    <row r="117" spans="2:6" ht="17.100000000000001" customHeight="1">
      <c r="B117" s="4" t="s">
        <v>449</v>
      </c>
      <c r="C117" s="13">
        <f>集計_障がい別!$I$229</f>
        <v>2.27272727272727E-2</v>
      </c>
      <c r="D117" s="13">
        <f>集計_障がい別!$I$230</f>
        <v>0.204545454545455</v>
      </c>
      <c r="E117" s="13">
        <f>集計_障がい別!$I$231</f>
        <v>0.13636363636363599</v>
      </c>
      <c r="F117" s="13">
        <f>集計_障がい別!$I$232</f>
        <v>0.63636363636363602</v>
      </c>
    </row>
    <row r="123" spans="2:6" ht="21" customHeight="1">
      <c r="B123" s="6" t="s">
        <v>632</v>
      </c>
    </row>
    <row r="124" spans="2:6">
      <c r="B124" s="11" t="str">
        <f>"n="&amp;集計_障がい者!$F$236&amp;"（複数回答）"</f>
        <v>n=259（複数回答）</v>
      </c>
    </row>
    <row r="125" spans="2:6" ht="18" customHeight="1">
      <c r="B125" s="2" t="s">
        <v>429</v>
      </c>
      <c r="C125" s="2" t="s">
        <v>430</v>
      </c>
      <c r="D125" s="2" t="s">
        <v>431</v>
      </c>
    </row>
    <row r="126" spans="2:6" ht="17.100000000000001" customHeight="1">
      <c r="B126" s="4" t="s">
        <v>633</v>
      </c>
      <c r="C126" s="12">
        <f>集計_障がい者!$D$236</f>
        <v>93</v>
      </c>
      <c r="D126" s="13">
        <f>集計_障がい者!$E$236</f>
        <v>0.35907335907335902</v>
      </c>
    </row>
    <row r="127" spans="2:6" ht="17.100000000000001" customHeight="1">
      <c r="B127" s="4" t="s">
        <v>634</v>
      </c>
      <c r="C127" s="12">
        <f>集計_障がい者!$D$232</f>
        <v>85</v>
      </c>
      <c r="D127" s="13">
        <f>集計_障がい者!$E$232</f>
        <v>0.32818532818532797</v>
      </c>
    </row>
    <row r="128" spans="2:6" ht="17.100000000000001" customHeight="1">
      <c r="B128" s="4" t="s">
        <v>635</v>
      </c>
      <c r="C128" s="12">
        <f>集計_障がい者!$D$234</f>
        <v>81</v>
      </c>
      <c r="D128" s="13">
        <f>集計_障がい者!$E$234</f>
        <v>0.312741312741313</v>
      </c>
    </row>
    <row r="129" spans="2:5" ht="17.100000000000001" customHeight="1">
      <c r="B129" s="4" t="s">
        <v>636</v>
      </c>
      <c r="C129" s="12">
        <f>集計_障がい者!$D$233</f>
        <v>61</v>
      </c>
      <c r="D129" s="13">
        <f>集計_障がい者!$E$233</f>
        <v>0.23552123552123599</v>
      </c>
    </row>
    <row r="130" spans="2:5" ht="17.100000000000001" customHeight="1">
      <c r="B130" s="4" t="s">
        <v>637</v>
      </c>
      <c r="C130" s="12">
        <f>集計_障がい者!$D$237</f>
        <v>52</v>
      </c>
      <c r="D130" s="13">
        <f>集計_障がい者!$E$237</f>
        <v>0.20077220077220101</v>
      </c>
    </row>
    <row r="131" spans="2:5" ht="17.100000000000001" customHeight="1">
      <c r="B131" s="4" t="s">
        <v>638</v>
      </c>
      <c r="C131" s="12">
        <f>集計_障がい者!$D$238</f>
        <v>49</v>
      </c>
      <c r="D131" s="13">
        <f>集計_障がい者!$E$238</f>
        <v>0.18918918918918901</v>
      </c>
    </row>
    <row r="132" spans="2:5" ht="17.100000000000001" customHeight="1">
      <c r="B132" s="4" t="s">
        <v>639</v>
      </c>
      <c r="C132" s="12">
        <f>集計_障がい者!$D$240</f>
        <v>49</v>
      </c>
      <c r="D132" s="13">
        <f>集計_障がい者!$E$240</f>
        <v>0.18918918918918901</v>
      </c>
    </row>
    <row r="133" spans="2:5" ht="17.100000000000001" customHeight="1">
      <c r="B133" s="4" t="s">
        <v>640</v>
      </c>
      <c r="C133" s="12">
        <f>集計_障がい者!$D$235</f>
        <v>48</v>
      </c>
      <c r="D133" s="13">
        <f>集計_障がい者!$E$235</f>
        <v>0.18532818532818501</v>
      </c>
    </row>
    <row r="134" spans="2:5" ht="17.100000000000001" customHeight="1">
      <c r="B134" s="4" t="s">
        <v>641</v>
      </c>
      <c r="C134" s="12">
        <f>集計_障がい者!$D$239</f>
        <v>24</v>
      </c>
      <c r="D134" s="13">
        <f>集計_障がい者!$E$239</f>
        <v>9.2664092664092701E-2</v>
      </c>
    </row>
    <row r="135" spans="2:5" ht="17.100000000000001" customHeight="1">
      <c r="B135" s="4" t="s">
        <v>437</v>
      </c>
      <c r="C135" s="12">
        <f>集計_障がい者!$D$241</f>
        <v>11</v>
      </c>
      <c r="D135" s="13">
        <f>集計_障がい者!$E$241</f>
        <v>4.2471042471042497E-2</v>
      </c>
    </row>
    <row r="136" spans="2:5" ht="17.100000000000001" customHeight="1">
      <c r="B136" s="4" t="s">
        <v>438</v>
      </c>
      <c r="C136" s="12">
        <f>集計_障がい者!$D$242</f>
        <v>91</v>
      </c>
      <c r="D136" s="13">
        <f>集計_障がい者!$E$242</f>
        <v>0.35135135135135098</v>
      </c>
    </row>
    <row r="140" spans="2:5" ht="21" customHeight="1">
      <c r="B140" s="6" t="s">
        <v>642</v>
      </c>
    </row>
    <row r="142" spans="2:5" ht="30.95" customHeight="1">
      <c r="B142" s="2" t="s">
        <v>429</v>
      </c>
      <c r="C142" s="2" t="s">
        <v>447</v>
      </c>
      <c r="D142" s="2" t="s">
        <v>448</v>
      </c>
      <c r="E142" s="2" t="s">
        <v>449</v>
      </c>
    </row>
    <row r="143" spans="2:5" ht="17.100000000000001" customHeight="1">
      <c r="B143" s="4" t="s">
        <v>633</v>
      </c>
      <c r="C143" s="13">
        <f>集計_障がい別!$G$237</f>
        <v>0.30051813471502598</v>
      </c>
      <c r="D143" s="13">
        <f>集計_障がい別!$H$237</f>
        <v>0.33333333333333298</v>
      </c>
      <c r="E143" s="13">
        <f>集計_障がい別!$I$237</f>
        <v>0.65909090909090895</v>
      </c>
    </row>
    <row r="144" spans="2:5" ht="17.100000000000001" customHeight="1">
      <c r="B144" s="4" t="s">
        <v>634</v>
      </c>
      <c r="C144" s="13">
        <f>集計_障がい別!$G$233</f>
        <v>0.32124352331606199</v>
      </c>
      <c r="D144" s="13">
        <f>集計_障がい別!$H$233</f>
        <v>0.33333333333333298</v>
      </c>
      <c r="E144" s="13">
        <f>集計_障がい別!$I$233</f>
        <v>0.43181818181818199</v>
      </c>
    </row>
    <row r="145" spans="2:5" ht="17.100000000000001" customHeight="1">
      <c r="B145" s="4" t="s">
        <v>635</v>
      </c>
      <c r="C145" s="13">
        <f>集計_障がい別!$G$235</f>
        <v>0.30569948186528501</v>
      </c>
      <c r="D145" s="13">
        <f>集計_障がい別!$H$235</f>
        <v>0.21212121212121199</v>
      </c>
      <c r="E145" s="13">
        <f>集計_障がい別!$I$235</f>
        <v>0.45454545454545497</v>
      </c>
    </row>
    <row r="146" spans="2:5" ht="17.100000000000001" customHeight="1">
      <c r="B146" s="4" t="s">
        <v>636</v>
      </c>
      <c r="C146" s="13">
        <f>集計_障がい別!$G$234</f>
        <v>0.26943005181347202</v>
      </c>
      <c r="D146" s="13">
        <f>集計_障がい別!$H$234</f>
        <v>0.18181818181818199</v>
      </c>
      <c r="E146" s="13">
        <f>集計_障がい別!$I$234</f>
        <v>0.15909090909090901</v>
      </c>
    </row>
    <row r="147" spans="2:5" ht="17.100000000000001" customHeight="1">
      <c r="B147" s="4" t="s">
        <v>637</v>
      </c>
      <c r="C147" s="13">
        <f>集計_障がい別!$G$238</f>
        <v>0.20207253886010401</v>
      </c>
      <c r="D147" s="13">
        <f>集計_障がい別!$H$238</f>
        <v>0.21212121212121199</v>
      </c>
      <c r="E147" s="13">
        <f>集計_障がい別!$I$238</f>
        <v>0.22727272727272699</v>
      </c>
    </row>
    <row r="148" spans="2:5" ht="17.100000000000001" customHeight="1">
      <c r="B148" s="4" t="s">
        <v>638</v>
      </c>
      <c r="C148" s="13">
        <f>集計_障がい別!$G$239</f>
        <v>0.15025906735751299</v>
      </c>
      <c r="D148" s="13">
        <f>集計_障がい別!$H$239</f>
        <v>0.24242424242424199</v>
      </c>
      <c r="E148" s="13">
        <f>集計_障がい別!$I$239</f>
        <v>0.43181818181818199</v>
      </c>
    </row>
    <row r="149" spans="2:5" ht="17.100000000000001" customHeight="1">
      <c r="B149" s="4" t="s">
        <v>639</v>
      </c>
      <c r="C149" s="13">
        <f>集計_障がい別!$G$241</f>
        <v>0.12953367875647701</v>
      </c>
      <c r="D149" s="13">
        <f>集計_障がい別!$H$241</f>
        <v>0.24242424242424199</v>
      </c>
      <c r="E149" s="13">
        <f>集計_障がい別!$I$241</f>
        <v>0.43181818181818199</v>
      </c>
    </row>
    <row r="150" spans="2:5" ht="17.100000000000001" customHeight="1">
      <c r="B150" s="4" t="s">
        <v>640</v>
      </c>
      <c r="C150" s="13">
        <f>集計_障がい別!$G$236</f>
        <v>0.181347150259067</v>
      </c>
      <c r="D150" s="13">
        <f>集計_障がい別!$H$236</f>
        <v>0.12121212121212099</v>
      </c>
      <c r="E150" s="13">
        <f>集計_障がい別!$I$236</f>
        <v>0.25</v>
      </c>
    </row>
    <row r="151" spans="2:5" ht="17.100000000000001" customHeight="1">
      <c r="B151" s="4" t="s">
        <v>641</v>
      </c>
      <c r="C151" s="13">
        <f>集計_障がい別!$G$240</f>
        <v>8.2901554404145095E-2</v>
      </c>
      <c r="D151" s="13">
        <f>集計_障がい別!$H$240</f>
        <v>9.0909090909090898E-2</v>
      </c>
      <c r="E151" s="13">
        <f>集計_障がい別!$I$240</f>
        <v>0.204545454545455</v>
      </c>
    </row>
    <row r="152" spans="2:5" ht="17.100000000000001" customHeight="1">
      <c r="B152" s="4" t="s">
        <v>437</v>
      </c>
      <c r="C152" s="13">
        <f>集計_障がい別!$G$242</f>
        <v>4.6632124352331598E-2</v>
      </c>
      <c r="D152" s="13">
        <f>集計_障がい別!$H$242</f>
        <v>9.0909090909090898E-2</v>
      </c>
      <c r="E152" s="13">
        <f>集計_障がい別!$I$242</f>
        <v>9.0909090909090898E-2</v>
      </c>
    </row>
    <row r="153" spans="2:5" ht="17.100000000000001" customHeight="1">
      <c r="B153" s="4" t="s">
        <v>438</v>
      </c>
      <c r="C153" s="13">
        <f>集計_障がい別!$G$243</f>
        <v>0.38860103626942999</v>
      </c>
      <c r="D153" s="13">
        <f>集計_障がい別!$H$243</f>
        <v>0.24242424242424199</v>
      </c>
      <c r="E153" s="13">
        <f>集計_障がい別!$I$243</f>
        <v>0.15909090909090901</v>
      </c>
    </row>
  </sheetData>
  <pageMargins left="0.75" right="0.75" top="1" bottom="1" header="0.5" footer="0.5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J171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4" ht="21" customHeight="1">
      <c r="B2" s="6" t="s">
        <v>643</v>
      </c>
    </row>
    <row r="3" spans="2:4">
      <c r="B3" s="11" t="str">
        <f>"n="&amp;集計_障がい者!$F$243&amp;"（単一回答）"</f>
        <v>n=259（単一回答）</v>
      </c>
    </row>
    <row r="4" spans="2:4" ht="18" customHeight="1">
      <c r="B4" s="2" t="s">
        <v>429</v>
      </c>
      <c r="C4" s="2" t="s">
        <v>430</v>
      </c>
      <c r="D4" s="2" t="s">
        <v>431</v>
      </c>
    </row>
    <row r="5" spans="2:4" ht="17.100000000000001" customHeight="1">
      <c r="B5" s="4" t="s">
        <v>644</v>
      </c>
      <c r="C5" s="12">
        <f>集計_障がい者!$D$243</f>
        <v>8</v>
      </c>
      <c r="D5" s="13">
        <f>集計_障がい者!$E$243</f>
        <v>3.0888030888030899E-2</v>
      </c>
    </row>
    <row r="6" spans="2:4" ht="17.100000000000001" customHeight="1">
      <c r="B6" s="4" t="s">
        <v>645</v>
      </c>
      <c r="C6" s="12">
        <f>集計_障がい者!$D$244</f>
        <v>8</v>
      </c>
      <c r="D6" s="13">
        <f>集計_障がい者!$E$244</f>
        <v>3.0888030888030899E-2</v>
      </c>
    </row>
    <row r="7" spans="2:4" ht="17.100000000000001" customHeight="1">
      <c r="B7" s="4" t="s">
        <v>646</v>
      </c>
      <c r="C7" s="12">
        <f>集計_障がい者!$D$245</f>
        <v>5</v>
      </c>
      <c r="D7" s="13">
        <f>集計_障がい者!$E$245</f>
        <v>1.9305019305019301E-2</v>
      </c>
    </row>
    <row r="8" spans="2:4" ht="17.100000000000001" customHeight="1">
      <c r="B8" s="4" t="s">
        <v>647</v>
      </c>
      <c r="C8" s="12">
        <f>集計_障がい者!$D$246</f>
        <v>4</v>
      </c>
      <c r="D8" s="13">
        <f>集計_障がい者!$E$246</f>
        <v>1.5444015444015399E-2</v>
      </c>
    </row>
    <row r="9" spans="2:4" ht="17.100000000000001" customHeight="1">
      <c r="B9" s="4" t="s">
        <v>648</v>
      </c>
      <c r="C9" s="12">
        <f>集計_障がい者!$D$247</f>
        <v>5</v>
      </c>
      <c r="D9" s="13">
        <f>集計_障がい者!$E$247</f>
        <v>1.9305019305019301E-2</v>
      </c>
    </row>
    <row r="10" spans="2:4" ht="17.100000000000001" customHeight="1">
      <c r="B10" s="4" t="s">
        <v>649</v>
      </c>
      <c r="C10" s="12">
        <f>集計_障がい者!$D$248</f>
        <v>3</v>
      </c>
      <c r="D10" s="13">
        <f>集計_障がい者!$E$248</f>
        <v>1.15830115830116E-2</v>
      </c>
    </row>
    <row r="11" spans="2:4" ht="17.100000000000001" customHeight="1">
      <c r="B11" s="4" t="s">
        <v>531</v>
      </c>
      <c r="C11" s="12">
        <f>集計_障がい者!$D$249</f>
        <v>149</v>
      </c>
      <c r="D11" s="13">
        <f>集計_障がい者!$E$249</f>
        <v>0.57528957528957503</v>
      </c>
    </row>
    <row r="12" spans="2:4" ht="17.100000000000001" customHeight="1">
      <c r="B12" s="4" t="s">
        <v>438</v>
      </c>
      <c r="C12" s="12">
        <f>集計_障がい者!$D$250</f>
        <v>77</v>
      </c>
      <c r="D12" s="13">
        <f>集計_障がい者!$E$250</f>
        <v>0.29729729729729698</v>
      </c>
    </row>
    <row r="16" spans="2:4" ht="21" customHeight="1">
      <c r="B16" s="6" t="s">
        <v>650</v>
      </c>
    </row>
    <row r="18" spans="2:10" ht="30.95" customHeight="1">
      <c r="B18" s="2" t="s">
        <v>445</v>
      </c>
      <c r="C18" s="2" t="s">
        <v>644</v>
      </c>
      <c r="D18" s="2" t="s">
        <v>645</v>
      </c>
      <c r="E18" s="2" t="s">
        <v>646</v>
      </c>
      <c r="F18" s="2" t="s">
        <v>647</v>
      </c>
      <c r="G18" s="2" t="s">
        <v>648</v>
      </c>
      <c r="H18" s="2" t="s">
        <v>649</v>
      </c>
      <c r="I18" s="2" t="s">
        <v>531</v>
      </c>
      <c r="J18" s="2" t="s">
        <v>438</v>
      </c>
    </row>
    <row r="19" spans="2:10" ht="17.100000000000001" customHeight="1">
      <c r="B19" s="4" t="s">
        <v>446</v>
      </c>
      <c r="C19" s="13">
        <f>集計_障がい者!$E$243</f>
        <v>3.0888030888030899E-2</v>
      </c>
      <c r="D19" s="13">
        <f>集計_障がい者!$E$244</f>
        <v>3.0888030888030899E-2</v>
      </c>
      <c r="E19" s="13">
        <f>集計_障がい者!$E$245</f>
        <v>1.9305019305019301E-2</v>
      </c>
      <c r="F19" s="13">
        <f>集計_障がい者!$E$246</f>
        <v>1.5444015444015399E-2</v>
      </c>
      <c r="G19" s="13">
        <f>集計_障がい者!$E$247</f>
        <v>1.9305019305019301E-2</v>
      </c>
      <c r="H19" s="13">
        <f>集計_障がい者!$E$248</f>
        <v>1.15830115830116E-2</v>
      </c>
      <c r="I19" s="13">
        <f>集計_障がい者!$E$249</f>
        <v>0.57528957528957503</v>
      </c>
      <c r="J19" s="13">
        <f>集計_障がい者!$E$250</f>
        <v>0.29729729729729698</v>
      </c>
    </row>
    <row r="20" spans="2:10" ht="17.100000000000001" customHeight="1">
      <c r="B20" s="4" t="s">
        <v>447</v>
      </c>
      <c r="C20" s="13">
        <f>集計_障がい別!$G$244</f>
        <v>3.6269430051813503E-2</v>
      </c>
      <c r="D20" s="13">
        <f>集計_障がい別!$G$245</f>
        <v>2.59067357512953E-2</v>
      </c>
      <c r="E20" s="13">
        <f>集計_障がい別!$G$246</f>
        <v>5.1813471502590702E-3</v>
      </c>
      <c r="F20" s="13">
        <f>集計_障がい別!$G$247</f>
        <v>5.1813471502590702E-3</v>
      </c>
      <c r="G20" s="13">
        <f>集計_障がい別!$G$248</f>
        <v>1.03626943005181E-2</v>
      </c>
      <c r="H20" s="13">
        <f>集計_障がい別!$G$249</f>
        <v>1.03626943005181E-2</v>
      </c>
      <c r="I20" s="13">
        <f>集計_障がい別!$G$250</f>
        <v>0.60103626943005195</v>
      </c>
      <c r="J20" s="13">
        <f>集計_障がい別!$G$251</f>
        <v>0.30569948186528501</v>
      </c>
    </row>
    <row r="21" spans="2:10" ht="17.100000000000001" customHeight="1">
      <c r="B21" s="4" t="s">
        <v>448</v>
      </c>
      <c r="C21" s="13">
        <f>集計_障がい別!$H$244</f>
        <v>6.0606060606060601E-2</v>
      </c>
      <c r="D21" s="13">
        <f>集計_障がい別!$H$245</f>
        <v>6.0606060606060601E-2</v>
      </c>
      <c r="E21" s="13">
        <f>集計_障がい別!$H$246</f>
        <v>0.12121212121212099</v>
      </c>
      <c r="F21" s="13">
        <f>集計_障がい別!$H$247</f>
        <v>3.03030303030303E-2</v>
      </c>
      <c r="G21" s="13">
        <f>集計_障がい別!$H$248</f>
        <v>6.0606060606060601E-2</v>
      </c>
      <c r="H21" s="13">
        <f>集計_障がい別!$H$249</f>
        <v>6.0606060606060601E-2</v>
      </c>
      <c r="I21" s="13">
        <f>集計_障がい別!$H$250</f>
        <v>0.45454545454545497</v>
      </c>
      <c r="J21" s="13">
        <f>集計_障がい別!$H$251</f>
        <v>0.15151515151515199</v>
      </c>
    </row>
    <row r="22" spans="2:10" ht="17.100000000000001" customHeight="1">
      <c r="B22" s="4" t="s">
        <v>449</v>
      </c>
      <c r="C22" s="13">
        <f>集計_障がい別!$I$244</f>
        <v>6.8181818181818205E-2</v>
      </c>
      <c r="D22" s="13">
        <f>集計_障がい別!$I$245</f>
        <v>6.8181818181818205E-2</v>
      </c>
      <c r="E22" s="13">
        <f>集計_障がい別!$I$246</f>
        <v>6.8181818181818205E-2</v>
      </c>
      <c r="F22" s="13">
        <f>集計_障がい別!$I$247</f>
        <v>0</v>
      </c>
      <c r="G22" s="13">
        <f>集計_障がい別!$I$248</f>
        <v>4.5454545454545497E-2</v>
      </c>
      <c r="H22" s="13">
        <f>集計_障がい別!$I$249</f>
        <v>2.27272727272727E-2</v>
      </c>
      <c r="I22" s="13">
        <f>集計_障がい別!$I$250</f>
        <v>0.47727272727272702</v>
      </c>
      <c r="J22" s="13">
        <f>集計_障がい別!$I$251</f>
        <v>0.25</v>
      </c>
    </row>
    <row r="30" spans="2:10" ht="21" customHeight="1">
      <c r="B30" s="6" t="s">
        <v>651</v>
      </c>
    </row>
    <row r="31" spans="2:10">
      <c r="B31" s="11" t="str">
        <f>"n="&amp;集計_障がい者!$F$251&amp;"（単一回答）"</f>
        <v>n=259（単一回答）</v>
      </c>
    </row>
    <row r="32" spans="2:10" ht="18" customHeight="1">
      <c r="B32" s="2" t="s">
        <v>429</v>
      </c>
      <c r="C32" s="2" t="s">
        <v>430</v>
      </c>
      <c r="D32" s="2" t="s">
        <v>431</v>
      </c>
    </row>
    <row r="33" spans="2:5" ht="17.100000000000001" customHeight="1">
      <c r="B33" s="4" t="s">
        <v>652</v>
      </c>
      <c r="C33" s="12">
        <f>集計_障がい者!$D$251</f>
        <v>77</v>
      </c>
      <c r="D33" s="13">
        <f>集計_障がい者!$E$251</f>
        <v>0.29729729729729698</v>
      </c>
    </row>
    <row r="34" spans="2:5" ht="17.100000000000001" customHeight="1">
      <c r="B34" s="4" t="s">
        <v>653</v>
      </c>
      <c r="C34" s="12">
        <f>集計_障がい者!$D$252</f>
        <v>161</v>
      </c>
      <c r="D34" s="13">
        <f>集計_障がい者!$E$252</f>
        <v>0.62162162162162204</v>
      </c>
    </row>
    <row r="35" spans="2:5" ht="17.100000000000001" customHeight="1">
      <c r="B35" s="4" t="s">
        <v>438</v>
      </c>
      <c r="C35" s="12">
        <f>集計_障がい者!$D$253</f>
        <v>21</v>
      </c>
      <c r="D35" s="13">
        <f>集計_障がい者!$E$253</f>
        <v>8.1081081081081099E-2</v>
      </c>
    </row>
    <row r="42" spans="2:5" ht="21" customHeight="1">
      <c r="B42" s="6" t="s">
        <v>654</v>
      </c>
    </row>
    <row r="44" spans="2:5" ht="30.95" customHeight="1">
      <c r="B44" s="2" t="s">
        <v>445</v>
      </c>
      <c r="C44" s="2" t="s">
        <v>652</v>
      </c>
      <c r="D44" s="2" t="s">
        <v>653</v>
      </c>
      <c r="E44" s="2" t="s">
        <v>438</v>
      </c>
    </row>
    <row r="45" spans="2:5" ht="17.100000000000001" customHeight="1">
      <c r="B45" s="4" t="s">
        <v>446</v>
      </c>
      <c r="C45" s="13">
        <f>集計_障がい者!$E$251</f>
        <v>0.29729729729729698</v>
      </c>
      <c r="D45" s="13">
        <f>集計_障がい者!$E$252</f>
        <v>0.62162162162162204</v>
      </c>
      <c r="E45" s="13">
        <f>集計_障がい者!$E$253</f>
        <v>8.1081081081081099E-2</v>
      </c>
    </row>
    <row r="46" spans="2:5" ht="17.100000000000001" customHeight="1">
      <c r="B46" s="4" t="s">
        <v>447</v>
      </c>
      <c r="C46" s="13">
        <f>集計_障がい別!$G$252</f>
        <v>0.33678756476683902</v>
      </c>
      <c r="D46" s="13">
        <f>集計_障がい別!$G$253</f>
        <v>0.59585492227979298</v>
      </c>
      <c r="E46" s="13">
        <f>集計_障がい別!$G$254</f>
        <v>6.7357512953367907E-2</v>
      </c>
    </row>
    <row r="47" spans="2:5" ht="17.100000000000001" customHeight="1">
      <c r="B47" s="4" t="s">
        <v>448</v>
      </c>
      <c r="C47" s="13">
        <f>集計_障がい別!$H$252</f>
        <v>0.12121212121212099</v>
      </c>
      <c r="D47" s="13">
        <f>集計_障がい別!$H$253</f>
        <v>0.72727272727272696</v>
      </c>
      <c r="E47" s="13">
        <f>集計_障がい別!$H$254</f>
        <v>0.15151515151515199</v>
      </c>
    </row>
    <row r="48" spans="2:5" ht="17.100000000000001" customHeight="1">
      <c r="B48" s="4" t="s">
        <v>449</v>
      </c>
      <c r="C48" s="13">
        <f>集計_障がい別!$I$252</f>
        <v>0.15909090909090901</v>
      </c>
      <c r="D48" s="13">
        <f>集計_障がい別!$I$253</f>
        <v>0.70454545454545503</v>
      </c>
      <c r="E48" s="13">
        <f>集計_障がい別!$I$254</f>
        <v>0.13636363636363599</v>
      </c>
    </row>
    <row r="56" spans="2:4" ht="21" customHeight="1">
      <c r="B56" s="6" t="s">
        <v>655</v>
      </c>
    </row>
    <row r="57" spans="2:4">
      <c r="B57" s="11" t="str">
        <f>"n="&amp;集計_障がい者!$F$254&amp;"（単一回答）"</f>
        <v>n=259（単一回答）</v>
      </c>
    </row>
    <row r="58" spans="2:4" ht="18" customHeight="1">
      <c r="B58" s="2" t="s">
        <v>429</v>
      </c>
      <c r="C58" s="2" t="s">
        <v>430</v>
      </c>
      <c r="D58" s="2" t="s">
        <v>431</v>
      </c>
    </row>
    <row r="59" spans="2:4" ht="17.100000000000001" customHeight="1">
      <c r="B59" s="4" t="s">
        <v>656</v>
      </c>
      <c r="C59" s="12">
        <f>集計_障がい者!$D$254</f>
        <v>6</v>
      </c>
      <c r="D59" s="13">
        <f>集計_障がい者!$E$254</f>
        <v>2.31660231660232E-2</v>
      </c>
    </row>
    <row r="60" spans="2:4" ht="17.100000000000001" customHeight="1">
      <c r="B60" s="4" t="s">
        <v>657</v>
      </c>
      <c r="C60" s="12">
        <f>集計_障がい者!$D$255</f>
        <v>15</v>
      </c>
      <c r="D60" s="13">
        <f>集計_障がい者!$E$255</f>
        <v>5.7915057915057903E-2</v>
      </c>
    </row>
    <row r="61" spans="2:4" ht="17.100000000000001" customHeight="1">
      <c r="B61" s="4" t="s">
        <v>658</v>
      </c>
      <c r="C61" s="12">
        <f>集計_障がい者!$D$256</f>
        <v>5</v>
      </c>
      <c r="D61" s="13">
        <f>集計_障がい者!$E$256</f>
        <v>1.9305019305019301E-2</v>
      </c>
    </row>
    <row r="62" spans="2:4" ht="17.100000000000001" customHeight="1">
      <c r="B62" s="4" t="s">
        <v>659</v>
      </c>
      <c r="C62" s="12">
        <f>集計_障がい者!$D$257</f>
        <v>20</v>
      </c>
      <c r="D62" s="13">
        <f>集計_障がい者!$E$257</f>
        <v>7.7220077220077205E-2</v>
      </c>
    </row>
    <row r="63" spans="2:4" ht="17.100000000000001" customHeight="1">
      <c r="B63" s="4" t="s">
        <v>660</v>
      </c>
      <c r="C63" s="12">
        <f>集計_障がい者!$D$258</f>
        <v>8</v>
      </c>
      <c r="D63" s="13">
        <f>集計_障がい者!$E$258</f>
        <v>3.0888030888030899E-2</v>
      </c>
    </row>
    <row r="64" spans="2:4" ht="17.100000000000001" customHeight="1">
      <c r="B64" s="4" t="s">
        <v>661</v>
      </c>
      <c r="C64" s="12">
        <f>集計_障がい者!$D$259</f>
        <v>13</v>
      </c>
      <c r="D64" s="13">
        <f>集計_障がい者!$E$259</f>
        <v>5.0193050193050197E-2</v>
      </c>
    </row>
    <row r="65" spans="2:10" ht="17.100000000000001" customHeight="1">
      <c r="B65" s="4" t="s">
        <v>662</v>
      </c>
      <c r="C65" s="12">
        <f>集計_障がい者!$D$260</f>
        <v>8</v>
      </c>
      <c r="D65" s="13">
        <f>集計_障がい者!$E$260</f>
        <v>3.0888030888030899E-2</v>
      </c>
    </row>
    <row r="66" spans="2:10" ht="17.100000000000001" customHeight="1">
      <c r="B66" s="4" t="s">
        <v>438</v>
      </c>
      <c r="C66" s="12">
        <f>集計_障がい者!$D$261</f>
        <v>184</v>
      </c>
      <c r="D66" s="13">
        <f>集計_障がい者!$E$261</f>
        <v>0.71042471042471</v>
      </c>
    </row>
    <row r="70" spans="2:10" ht="21" customHeight="1">
      <c r="B70" s="6" t="s">
        <v>663</v>
      </c>
    </row>
    <row r="72" spans="2:10" ht="18" customHeight="1">
      <c r="B72" s="2" t="s">
        <v>445</v>
      </c>
      <c r="C72" s="2" t="s">
        <v>656</v>
      </c>
      <c r="D72" s="2" t="s">
        <v>657</v>
      </c>
      <c r="E72" s="2" t="s">
        <v>658</v>
      </c>
      <c r="F72" s="2" t="s">
        <v>659</v>
      </c>
      <c r="G72" s="2" t="s">
        <v>660</v>
      </c>
      <c r="H72" s="2" t="s">
        <v>661</v>
      </c>
      <c r="I72" s="2" t="s">
        <v>662</v>
      </c>
      <c r="J72" s="2" t="s">
        <v>438</v>
      </c>
    </row>
    <row r="73" spans="2:10" ht="17.100000000000001" customHeight="1">
      <c r="B73" s="4" t="s">
        <v>446</v>
      </c>
      <c r="C73" s="13">
        <f>集計_障がい者!$E$254</f>
        <v>2.31660231660232E-2</v>
      </c>
      <c r="D73" s="13">
        <f>集計_障がい者!$E$255</f>
        <v>5.7915057915057903E-2</v>
      </c>
      <c r="E73" s="13">
        <f>集計_障がい者!$E$256</f>
        <v>1.9305019305019301E-2</v>
      </c>
      <c r="F73" s="13">
        <f>集計_障がい者!$E$257</f>
        <v>7.7220077220077205E-2</v>
      </c>
      <c r="G73" s="13">
        <f>集計_障がい者!$E$258</f>
        <v>3.0888030888030899E-2</v>
      </c>
      <c r="H73" s="13">
        <f>集計_障がい者!$E$259</f>
        <v>5.0193050193050197E-2</v>
      </c>
      <c r="I73" s="13">
        <f>集計_障がい者!$E$260</f>
        <v>3.0888030888030899E-2</v>
      </c>
      <c r="J73" s="13">
        <f>集計_障がい者!$E$261</f>
        <v>0.71042471042471</v>
      </c>
    </row>
    <row r="74" spans="2:10" ht="17.100000000000001" customHeight="1">
      <c r="B74" s="4" t="s">
        <v>447</v>
      </c>
      <c r="C74" s="13">
        <f>集計_障がい別!$G$255</f>
        <v>3.10880829015544E-2</v>
      </c>
      <c r="D74" s="13">
        <f>集計_障がい別!$G$256</f>
        <v>7.2538860103626895E-2</v>
      </c>
      <c r="E74" s="13">
        <f>集計_障がい別!$G$257</f>
        <v>2.0725388601036301E-2</v>
      </c>
      <c r="F74" s="13">
        <f>集計_障がい別!$G$258</f>
        <v>9.3264248704663197E-2</v>
      </c>
      <c r="G74" s="13">
        <f>集計_障がい別!$G$259</f>
        <v>3.10880829015544E-2</v>
      </c>
      <c r="H74" s="13">
        <f>集計_障がい別!$G$260</f>
        <v>5.1813471502590698E-2</v>
      </c>
      <c r="I74" s="13">
        <f>集計_障がい別!$G$261</f>
        <v>3.6269430051813503E-2</v>
      </c>
      <c r="J74" s="13">
        <f>集計_障がい別!$G$262</f>
        <v>0.66321243523316098</v>
      </c>
    </row>
    <row r="75" spans="2:10" ht="17.100000000000001" customHeight="1">
      <c r="B75" s="4" t="s">
        <v>448</v>
      </c>
      <c r="C75" s="13">
        <f>集計_障がい別!$H$255</f>
        <v>0</v>
      </c>
      <c r="D75" s="13">
        <f>集計_障がい別!$H$256</f>
        <v>6.0606060606060601E-2</v>
      </c>
      <c r="E75" s="13">
        <f>集計_障がい別!$H$257</f>
        <v>0</v>
      </c>
      <c r="F75" s="13">
        <f>集計_障がい別!$H$258</f>
        <v>0</v>
      </c>
      <c r="G75" s="13">
        <f>集計_障がい別!$H$259</f>
        <v>0</v>
      </c>
      <c r="H75" s="13">
        <f>集計_障がい別!$H$260</f>
        <v>3.03030303030303E-2</v>
      </c>
      <c r="I75" s="13">
        <f>集計_障がい別!$H$261</f>
        <v>0</v>
      </c>
      <c r="J75" s="13">
        <f>集計_障がい別!$H$262</f>
        <v>0.90909090909090895</v>
      </c>
    </row>
    <row r="76" spans="2:10" ht="17.100000000000001" customHeight="1">
      <c r="B76" s="4" t="s">
        <v>449</v>
      </c>
      <c r="C76" s="13">
        <f>集計_障がい別!$I$255</f>
        <v>2.27272727272727E-2</v>
      </c>
      <c r="D76" s="13">
        <f>集計_障がい別!$I$256</f>
        <v>6.8181818181818205E-2</v>
      </c>
      <c r="E76" s="13">
        <f>集計_障がい別!$I$257</f>
        <v>0</v>
      </c>
      <c r="F76" s="13">
        <f>集計_障がい別!$I$258</f>
        <v>0</v>
      </c>
      <c r="G76" s="13">
        <f>集計_障がい別!$I$259</f>
        <v>2.27272727272727E-2</v>
      </c>
      <c r="H76" s="13">
        <f>集計_障がい別!$I$260</f>
        <v>2.27272727272727E-2</v>
      </c>
      <c r="I76" s="13">
        <f>集計_障がい別!$I$261</f>
        <v>2.27272727272727E-2</v>
      </c>
      <c r="J76" s="13">
        <f>集計_障がい別!$I$262</f>
        <v>0.84090909090909105</v>
      </c>
    </row>
    <row r="85" spans="2:5" ht="21" customHeight="1">
      <c r="B85" s="6" t="s">
        <v>664</v>
      </c>
    </row>
    <row r="86" spans="2:5" ht="57" customHeight="1">
      <c r="B86" s="2" t="s">
        <v>406</v>
      </c>
      <c r="C86" s="2" t="s">
        <v>665</v>
      </c>
      <c r="D86" s="2" t="s">
        <v>666</v>
      </c>
      <c r="E86" s="2" t="s">
        <v>667</v>
      </c>
    </row>
    <row r="87" spans="2:5" ht="17.100000000000001" customHeight="1">
      <c r="B87" s="4" t="s">
        <v>668</v>
      </c>
      <c r="C87" s="13">
        <f>集計_障がい者!$E$262</f>
        <v>7.3359073359073407E-2</v>
      </c>
      <c r="D87" s="13">
        <f>集計_障がい者!$E$307</f>
        <v>0.32046332046332099</v>
      </c>
      <c r="E87" s="14">
        <f>ROUND(D87*100,1)-ROUND(C87*100,1)</f>
        <v>24.7</v>
      </c>
    </row>
    <row r="88" spans="2:5" ht="17.100000000000001" customHeight="1">
      <c r="B88" s="4" t="s">
        <v>669</v>
      </c>
      <c r="C88" s="13">
        <f>集計_障がい者!$E$265</f>
        <v>2.31660231660232E-2</v>
      </c>
      <c r="D88" s="13">
        <f>集計_障がい者!$E$310</f>
        <v>0.15830115830115801</v>
      </c>
      <c r="E88" s="14">
        <f>ROUND(D88*100,1)-ROUND(C88*100,1)</f>
        <v>13.5</v>
      </c>
    </row>
    <row r="89" spans="2:5" ht="17.100000000000001" customHeight="1">
      <c r="B89" s="4" t="s">
        <v>670</v>
      </c>
      <c r="C89" s="13">
        <f>集計_障がい者!$E$268</f>
        <v>3.8610038610038598E-3</v>
      </c>
      <c r="D89" s="13">
        <f>集計_障がい者!$E$313</f>
        <v>8.4942084942084897E-2</v>
      </c>
      <c r="E89" s="14">
        <f>ROUND(D89*100,1)-ROUND(C89*100,1)</f>
        <v>8.1</v>
      </c>
    </row>
    <row r="90" spans="2:5" ht="17.100000000000001" customHeight="1">
      <c r="B90" s="4" t="s">
        <v>671</v>
      </c>
      <c r="C90" s="13">
        <f>集計_障がい者!$E$271</f>
        <v>0</v>
      </c>
      <c r="D90" s="13">
        <f>集計_障がい者!$E$316</f>
        <v>0.123552123552124</v>
      </c>
      <c r="E90" s="14">
        <f>ROUND(D90*100,1)-ROUND(C90*100,1)</f>
        <v>12.4</v>
      </c>
    </row>
    <row r="91" spans="2:5" ht="17.100000000000001" customHeight="1">
      <c r="B91" s="4" t="s">
        <v>672</v>
      </c>
      <c r="C91" s="13">
        <f>集計_障がい者!$E$274</f>
        <v>1.9305019305019301E-2</v>
      </c>
      <c r="D91" s="13">
        <f>集計_障がい者!$E$319</f>
        <v>0.14671814671814701</v>
      </c>
      <c r="E91" s="14">
        <f>ROUND(D91*100,1)-ROUND(C91*100,1)</f>
        <v>12.8</v>
      </c>
    </row>
    <row r="92" spans="2:5" ht="17.100000000000001" customHeight="1">
      <c r="B92" s="4" t="s">
        <v>673</v>
      </c>
      <c r="C92" s="13">
        <f>集計_障がい者!$E$277</f>
        <v>9.6525096525096499E-2</v>
      </c>
      <c r="D92" s="13">
        <f>集計_障がい者!$E$322</f>
        <v>0.28185328185328201</v>
      </c>
      <c r="E92" s="14">
        <f>ROUND(D92*100,1)-ROUND(C92*100,1)</f>
        <v>18.5</v>
      </c>
    </row>
    <row r="93" spans="2:5" ht="17.100000000000001" customHeight="1">
      <c r="B93" s="4" t="s">
        <v>674</v>
      </c>
      <c r="C93" s="13">
        <f>集計_障がい者!$E$280</f>
        <v>3.8610038610038598E-3</v>
      </c>
      <c r="D93" s="13">
        <f>集計_障がい者!$E$325</f>
        <v>9.2664092664092701E-2</v>
      </c>
      <c r="E93" s="14">
        <f>ROUND(D93*100,1)-ROUND(C93*100,1)</f>
        <v>8.9</v>
      </c>
    </row>
    <row r="94" spans="2:5" ht="17.100000000000001" customHeight="1">
      <c r="B94" s="4" t="s">
        <v>675</v>
      </c>
      <c r="C94" s="13">
        <f>集計_障がい者!$E$283</f>
        <v>3.8610038610038598E-3</v>
      </c>
      <c r="D94" s="13">
        <f>集計_障がい者!$E$328</f>
        <v>0.10038610038610001</v>
      </c>
      <c r="E94" s="14">
        <f>ROUND(D94*100,1)-ROUND(C94*100,1)</f>
        <v>9.6</v>
      </c>
    </row>
    <row r="95" spans="2:5" ht="17.100000000000001" customHeight="1">
      <c r="B95" s="4" t="s">
        <v>676</v>
      </c>
      <c r="C95" s="13">
        <f>集計_障がい者!$E$286</f>
        <v>5.4054054054054099E-2</v>
      </c>
      <c r="D95" s="13">
        <f>集計_障がい者!$E$331</f>
        <v>0.104247104247104</v>
      </c>
      <c r="E95" s="14">
        <f>ROUND(D95*100,1)-ROUND(C95*100,1)</f>
        <v>5</v>
      </c>
    </row>
    <row r="96" spans="2:5" ht="17.100000000000001" customHeight="1">
      <c r="B96" s="4" t="s">
        <v>677</v>
      </c>
      <c r="C96" s="13">
        <f>集計_障がい者!$E$289</f>
        <v>1.15830115830116E-2</v>
      </c>
      <c r="D96" s="13">
        <f>集計_障がい者!$E$334</f>
        <v>0.111969111969112</v>
      </c>
      <c r="E96" s="14">
        <f>ROUND(D96*100,1)-ROUND(C96*100,1)</f>
        <v>10</v>
      </c>
    </row>
    <row r="97" spans="2:5" ht="17.100000000000001" customHeight="1">
      <c r="B97" s="4" t="s">
        <v>678</v>
      </c>
      <c r="C97" s="13">
        <f>集計_障がい者!$E$292</f>
        <v>3.4749034749034798E-2</v>
      </c>
      <c r="D97" s="13">
        <f>集計_障がい者!$E$337</f>
        <v>0.258687258687259</v>
      </c>
      <c r="E97" s="14">
        <f>ROUND(D97*100,1)-ROUND(C97*100,1)</f>
        <v>22.4</v>
      </c>
    </row>
    <row r="98" spans="2:5" ht="17.100000000000001" customHeight="1">
      <c r="B98" s="4" t="s">
        <v>679</v>
      </c>
      <c r="C98" s="13">
        <f>集計_障がい者!$E$295</f>
        <v>3.0888030888030899E-2</v>
      </c>
      <c r="D98" s="13">
        <f>集計_障がい者!$E$340</f>
        <v>0.18918918918918901</v>
      </c>
      <c r="E98" s="14">
        <f>ROUND(D98*100,1)-ROUND(C98*100,1)</f>
        <v>15.8</v>
      </c>
    </row>
    <row r="99" spans="2:5" ht="17.100000000000001" customHeight="1">
      <c r="B99" s="4" t="s">
        <v>680</v>
      </c>
      <c r="C99" s="13">
        <f>集計_障がい者!$E$298</f>
        <v>6.9498069498069498E-2</v>
      </c>
      <c r="D99" s="13">
        <f>集計_障がい者!$E$343</f>
        <v>0.20849420849420899</v>
      </c>
      <c r="E99" s="14">
        <f>ROUND(D99*100,1)-ROUND(C99*100,1)</f>
        <v>13.9</v>
      </c>
    </row>
    <row r="100" spans="2:5" ht="17.100000000000001" customHeight="1">
      <c r="B100" s="4" t="s">
        <v>681</v>
      </c>
      <c r="C100" s="13">
        <f>集計_障がい者!$E$301</f>
        <v>0.14285714285714299</v>
      </c>
      <c r="D100" s="13">
        <f>集計_障がい者!$E$346</f>
        <v>0.32432432432432401</v>
      </c>
      <c r="E100" s="14">
        <f>ROUND(D100*100,1)-ROUND(C100*100,1)</f>
        <v>18.100000000000001</v>
      </c>
    </row>
    <row r="101" spans="2:5" ht="17.100000000000001" customHeight="1">
      <c r="B101" s="4" t="s">
        <v>682</v>
      </c>
      <c r="C101" s="13">
        <f>集計_障がい者!$E$304</f>
        <v>7.7220077220077196E-3</v>
      </c>
      <c r="D101" s="13">
        <f>集計_障がい者!$E$349</f>
        <v>0.135135135135135</v>
      </c>
      <c r="E101" s="14">
        <f>ROUND(D101*100,1)-ROUND(C101*100,1)</f>
        <v>12.7</v>
      </c>
    </row>
    <row r="102" spans="2:5" ht="27" customHeight="1">
      <c r="B102" s="30" t="s">
        <v>683</v>
      </c>
      <c r="C102" s="32"/>
      <c r="D102" s="32"/>
      <c r="E102" s="32"/>
    </row>
    <row r="104" spans="2:5" ht="21" customHeight="1">
      <c r="B104" s="6" t="s">
        <v>684</v>
      </c>
    </row>
    <row r="106" spans="2:5" ht="30.95" customHeight="1">
      <c r="B106" s="2" t="s">
        <v>406</v>
      </c>
      <c r="C106" s="2" t="s">
        <v>685</v>
      </c>
    </row>
    <row r="107" spans="2:5" ht="17.100000000000001" customHeight="1">
      <c r="B107" s="4" t="s">
        <v>681</v>
      </c>
      <c r="C107" s="13">
        <f>集計_障がい者!$E$301</f>
        <v>0.14285714285714299</v>
      </c>
    </row>
    <row r="108" spans="2:5" ht="17.100000000000001" customHeight="1">
      <c r="B108" s="4" t="s">
        <v>673</v>
      </c>
      <c r="C108" s="13">
        <f>集計_障がい者!$E$277</f>
        <v>9.6525096525096499E-2</v>
      </c>
    </row>
    <row r="109" spans="2:5" ht="17.100000000000001" customHeight="1">
      <c r="B109" s="4" t="s">
        <v>668</v>
      </c>
      <c r="C109" s="13">
        <f>集計_障がい者!$E$262</f>
        <v>7.3359073359073407E-2</v>
      </c>
    </row>
    <row r="110" spans="2:5" ht="17.100000000000001" customHeight="1">
      <c r="B110" s="4" t="s">
        <v>680</v>
      </c>
      <c r="C110" s="13">
        <f>集計_障がい者!$E$298</f>
        <v>6.9498069498069498E-2</v>
      </c>
    </row>
    <row r="111" spans="2:5" ht="17.100000000000001" customHeight="1">
      <c r="B111" s="4" t="s">
        <v>676</v>
      </c>
      <c r="C111" s="13">
        <f>集計_障がい者!$E$286</f>
        <v>5.4054054054054099E-2</v>
      </c>
    </row>
    <row r="112" spans="2:5" ht="17.100000000000001" customHeight="1">
      <c r="B112" s="4" t="s">
        <v>678</v>
      </c>
      <c r="C112" s="13">
        <f>集計_障がい者!$E$292</f>
        <v>3.4749034749034798E-2</v>
      </c>
    </row>
    <row r="113" spans="2:3" ht="17.100000000000001" customHeight="1">
      <c r="B113" s="4" t="s">
        <v>679</v>
      </c>
      <c r="C113" s="13">
        <f>集計_障がい者!$E$295</f>
        <v>3.0888030888030899E-2</v>
      </c>
    </row>
    <row r="114" spans="2:3" ht="17.100000000000001" customHeight="1">
      <c r="B114" s="4" t="s">
        <v>669</v>
      </c>
      <c r="C114" s="13">
        <f>集計_障がい者!$E$265</f>
        <v>2.31660231660232E-2</v>
      </c>
    </row>
    <row r="115" spans="2:3" ht="17.100000000000001" customHeight="1">
      <c r="B115" s="4" t="s">
        <v>672</v>
      </c>
      <c r="C115" s="13">
        <f>集計_障がい者!$E$274</f>
        <v>1.9305019305019301E-2</v>
      </c>
    </row>
    <row r="116" spans="2:3" ht="17.100000000000001" customHeight="1">
      <c r="B116" s="4" t="s">
        <v>677</v>
      </c>
      <c r="C116" s="13">
        <f>集計_障がい者!$E$289</f>
        <v>1.15830115830116E-2</v>
      </c>
    </row>
    <row r="117" spans="2:3" ht="17.100000000000001" customHeight="1">
      <c r="B117" s="4" t="s">
        <v>682</v>
      </c>
      <c r="C117" s="13">
        <f>集計_障がい者!$E$304</f>
        <v>7.7220077220077196E-3</v>
      </c>
    </row>
    <row r="118" spans="2:3" ht="17.100000000000001" customHeight="1">
      <c r="B118" s="4" t="s">
        <v>670</v>
      </c>
      <c r="C118" s="13">
        <f>集計_障がい者!$E$268</f>
        <v>3.8610038610038598E-3</v>
      </c>
    </row>
    <row r="119" spans="2:3" ht="17.100000000000001" customHeight="1">
      <c r="B119" s="4" t="s">
        <v>674</v>
      </c>
      <c r="C119" s="13">
        <f>集計_障がい者!$E$280</f>
        <v>3.8610038610038598E-3</v>
      </c>
    </row>
    <row r="120" spans="2:3" ht="17.100000000000001" customHeight="1">
      <c r="B120" s="4" t="s">
        <v>675</v>
      </c>
      <c r="C120" s="13">
        <f>集計_障がい者!$E$283</f>
        <v>3.8610038610038598E-3</v>
      </c>
    </row>
    <row r="121" spans="2:3" ht="17.100000000000001" customHeight="1">
      <c r="B121" s="4" t="s">
        <v>671</v>
      </c>
      <c r="C121" s="13">
        <f>集計_障がい者!$E$271</f>
        <v>0</v>
      </c>
    </row>
    <row r="129" spans="2:3" ht="21" customHeight="1">
      <c r="B129" s="6" t="s">
        <v>686</v>
      </c>
    </row>
    <row r="131" spans="2:3" ht="30.95" customHeight="1">
      <c r="B131" s="2" t="s">
        <v>406</v>
      </c>
      <c r="C131" s="2" t="s">
        <v>687</v>
      </c>
    </row>
    <row r="132" spans="2:3" ht="17.100000000000001" customHeight="1">
      <c r="B132" s="4" t="s">
        <v>681</v>
      </c>
      <c r="C132" s="13">
        <f>集計_障がい者!$E$346</f>
        <v>0.32432432432432401</v>
      </c>
    </row>
    <row r="133" spans="2:3" ht="17.100000000000001" customHeight="1">
      <c r="B133" s="4" t="s">
        <v>668</v>
      </c>
      <c r="C133" s="13">
        <f>集計_障がい者!$E$307</f>
        <v>0.32046332046332099</v>
      </c>
    </row>
    <row r="134" spans="2:3" ht="17.100000000000001" customHeight="1">
      <c r="B134" s="4" t="s">
        <v>673</v>
      </c>
      <c r="C134" s="13">
        <f>集計_障がい者!$E$322</f>
        <v>0.28185328185328201</v>
      </c>
    </row>
    <row r="135" spans="2:3" ht="17.100000000000001" customHeight="1">
      <c r="B135" s="4" t="s">
        <v>678</v>
      </c>
      <c r="C135" s="13">
        <f>集計_障がい者!$E$337</f>
        <v>0.258687258687259</v>
      </c>
    </row>
    <row r="136" spans="2:3" ht="17.100000000000001" customHeight="1">
      <c r="B136" s="4" t="s">
        <v>680</v>
      </c>
      <c r="C136" s="13">
        <f>集計_障がい者!$E$343</f>
        <v>0.20849420849420899</v>
      </c>
    </row>
    <row r="137" spans="2:3" ht="17.100000000000001" customHeight="1">
      <c r="B137" s="4" t="s">
        <v>679</v>
      </c>
      <c r="C137" s="13">
        <f>集計_障がい者!$E$340</f>
        <v>0.18918918918918901</v>
      </c>
    </row>
    <row r="138" spans="2:3" ht="17.100000000000001" customHeight="1">
      <c r="B138" s="4" t="s">
        <v>669</v>
      </c>
      <c r="C138" s="13">
        <f>集計_障がい者!$E$310</f>
        <v>0.15830115830115801</v>
      </c>
    </row>
    <row r="139" spans="2:3" ht="17.100000000000001" customHeight="1">
      <c r="B139" s="4" t="s">
        <v>672</v>
      </c>
      <c r="C139" s="13">
        <f>集計_障がい者!$E$319</f>
        <v>0.14671814671814701</v>
      </c>
    </row>
    <row r="140" spans="2:3" ht="17.100000000000001" customHeight="1">
      <c r="B140" s="4" t="s">
        <v>682</v>
      </c>
      <c r="C140" s="13">
        <f>集計_障がい者!$E$349</f>
        <v>0.135135135135135</v>
      </c>
    </row>
    <row r="141" spans="2:3" ht="17.100000000000001" customHeight="1">
      <c r="B141" s="4" t="s">
        <v>671</v>
      </c>
      <c r="C141" s="13">
        <f>集計_障がい者!$E$316</f>
        <v>0.123552123552124</v>
      </c>
    </row>
    <row r="142" spans="2:3" ht="17.100000000000001" customHeight="1">
      <c r="B142" s="4" t="s">
        <v>677</v>
      </c>
      <c r="C142" s="13">
        <f>集計_障がい者!$E$334</f>
        <v>0.111969111969112</v>
      </c>
    </row>
    <row r="143" spans="2:3" ht="17.100000000000001" customHeight="1">
      <c r="B143" s="4" t="s">
        <v>676</v>
      </c>
      <c r="C143" s="13">
        <f>集計_障がい者!$E$331</f>
        <v>0.104247104247104</v>
      </c>
    </row>
    <row r="144" spans="2:3" ht="17.100000000000001" customHeight="1">
      <c r="B144" s="4" t="s">
        <v>675</v>
      </c>
      <c r="C144" s="13">
        <f>集計_障がい者!$E$328</f>
        <v>0.10038610038610001</v>
      </c>
    </row>
    <row r="145" spans="2:8" ht="17.100000000000001" customHeight="1">
      <c r="B145" s="4" t="s">
        <v>674</v>
      </c>
      <c r="C145" s="13">
        <f>集計_障がい者!$E$325</f>
        <v>9.2664092664092701E-2</v>
      </c>
    </row>
    <row r="146" spans="2:8" ht="17.100000000000001" customHeight="1">
      <c r="B146" s="4" t="s">
        <v>670</v>
      </c>
      <c r="C146" s="13">
        <f>集計_障がい者!$E$313</f>
        <v>8.4942084942084897E-2</v>
      </c>
    </row>
    <row r="154" spans="2:8" ht="21" customHeight="1">
      <c r="B154" s="6" t="s">
        <v>688</v>
      </c>
    </row>
    <row r="155" spans="2:8" ht="44.1" customHeight="1">
      <c r="B155" s="2" t="s">
        <v>406</v>
      </c>
      <c r="C155" s="2" t="s">
        <v>689</v>
      </c>
      <c r="D155" s="2" t="s">
        <v>690</v>
      </c>
      <c r="E155" s="2" t="s">
        <v>691</v>
      </c>
      <c r="F155" s="2" t="s">
        <v>692</v>
      </c>
      <c r="G155" s="2" t="s">
        <v>693</v>
      </c>
      <c r="H155" s="2" t="s">
        <v>694</v>
      </c>
    </row>
    <row r="156" spans="2:8" ht="17.100000000000001" customHeight="1">
      <c r="B156" s="4" t="s">
        <v>668</v>
      </c>
      <c r="C156" s="15">
        <f>集計_障がい別!$G$263</f>
        <v>7.7720207253885995E-2</v>
      </c>
      <c r="D156" s="15">
        <f>集計_障がい別!$H$263</f>
        <v>9.0909090909090898E-2</v>
      </c>
      <c r="E156" s="15">
        <f>集計_障がい別!$I$263</f>
        <v>6.8181818181818205E-2</v>
      </c>
      <c r="F156" s="15">
        <f>集計_障がい別!$G$308</f>
        <v>0.341968911917098</v>
      </c>
      <c r="G156" s="15">
        <f>集計_障がい別!$H$308</f>
        <v>0.18181818181818199</v>
      </c>
      <c r="H156" s="15">
        <f>集計_障がい別!$I$308</f>
        <v>0.13636363636363599</v>
      </c>
    </row>
    <row r="157" spans="2:8" ht="17.100000000000001" customHeight="1">
      <c r="B157" s="4" t="s">
        <v>669</v>
      </c>
      <c r="C157" s="15">
        <f>集計_障がい別!$G$266</f>
        <v>2.59067357512953E-2</v>
      </c>
      <c r="D157" s="15">
        <f>集計_障がい別!$H$266</f>
        <v>3.03030303030303E-2</v>
      </c>
      <c r="E157" s="15">
        <f>集計_障がい別!$I$266</f>
        <v>2.27272727272727E-2</v>
      </c>
      <c r="F157" s="15">
        <f>集計_障がい別!$G$311</f>
        <v>0.176165803108808</v>
      </c>
      <c r="G157" s="15">
        <f>集計_障がい別!$H$311</f>
        <v>9.0909090909090898E-2</v>
      </c>
      <c r="H157" s="15">
        <f>集計_障がい別!$I$311</f>
        <v>6.8181818181818205E-2</v>
      </c>
    </row>
    <row r="158" spans="2:8" ht="17.100000000000001" customHeight="1">
      <c r="B158" s="4" t="s">
        <v>670</v>
      </c>
      <c r="C158" s="15">
        <f>集計_障がい別!$G$269</f>
        <v>5.1813471502590702E-3</v>
      </c>
      <c r="D158" s="15">
        <f>集計_障がい別!$H$269</f>
        <v>0</v>
      </c>
      <c r="E158" s="15">
        <f>集計_障がい別!$I$269</f>
        <v>0</v>
      </c>
      <c r="F158" s="15">
        <f>集計_障がい別!$G$314</f>
        <v>7.7720207253885995E-2</v>
      </c>
      <c r="G158" s="15">
        <f>集計_障がい別!$H$314</f>
        <v>9.0909090909090898E-2</v>
      </c>
      <c r="H158" s="15">
        <f>集計_障がい別!$I$314</f>
        <v>6.8181818181818205E-2</v>
      </c>
    </row>
    <row r="159" spans="2:8" ht="17.100000000000001" customHeight="1">
      <c r="B159" s="4" t="s">
        <v>671</v>
      </c>
      <c r="C159" s="15">
        <f>集計_障がい別!$G$272</f>
        <v>0</v>
      </c>
      <c r="D159" s="15">
        <f>集計_障がい別!$H$272</f>
        <v>0</v>
      </c>
      <c r="E159" s="15">
        <f>集計_障がい別!$I$272</f>
        <v>0</v>
      </c>
      <c r="F159" s="15">
        <f>集計_障がい別!$G$317</f>
        <v>9.3264248704663197E-2</v>
      </c>
      <c r="G159" s="15">
        <f>集計_障がい別!$H$317</f>
        <v>0.18181818181818199</v>
      </c>
      <c r="H159" s="15">
        <f>集計_障がい別!$I$317</f>
        <v>0.15909090909090901</v>
      </c>
    </row>
    <row r="160" spans="2:8" ht="17.100000000000001" customHeight="1">
      <c r="B160" s="4" t="s">
        <v>672</v>
      </c>
      <c r="C160" s="15">
        <f>集計_障がい別!$G$275</f>
        <v>2.59067357512953E-2</v>
      </c>
      <c r="D160" s="15">
        <f>集計_障がい別!$H$275</f>
        <v>3.03030303030303E-2</v>
      </c>
      <c r="E160" s="15">
        <f>集計_障がい別!$I$275</f>
        <v>2.27272727272727E-2</v>
      </c>
      <c r="F160" s="15">
        <f>集計_障がい別!$G$320</f>
        <v>0.16580310880829</v>
      </c>
      <c r="G160" s="15">
        <f>集計_障がい別!$H$320</f>
        <v>9.0909090909090898E-2</v>
      </c>
      <c r="H160" s="15">
        <f>集計_障がい別!$I$320</f>
        <v>4.5454545454545497E-2</v>
      </c>
    </row>
    <row r="161" spans="2:8" ht="17.100000000000001" customHeight="1">
      <c r="B161" s="4" t="s">
        <v>673</v>
      </c>
      <c r="C161" s="15">
        <f>集計_障がい別!$G$278</f>
        <v>9.3264248704663197E-2</v>
      </c>
      <c r="D161" s="15">
        <f>集計_障がい別!$H$278</f>
        <v>0.21212121212121199</v>
      </c>
      <c r="E161" s="15">
        <f>集計_障がい別!$I$278</f>
        <v>9.0909090909090898E-2</v>
      </c>
      <c r="F161" s="15">
        <f>集計_障がい別!$G$323</f>
        <v>0.295336787564767</v>
      </c>
      <c r="G161" s="15">
        <f>集計_障がい別!$H$323</f>
        <v>0.27272727272727298</v>
      </c>
      <c r="H161" s="15">
        <f>集計_障がい別!$I$323</f>
        <v>0.11363636363636399</v>
      </c>
    </row>
    <row r="162" spans="2:8" ht="17.100000000000001" customHeight="1">
      <c r="B162" s="4" t="s">
        <v>674</v>
      </c>
      <c r="C162" s="15">
        <f>集計_障がい別!$G$281</f>
        <v>5.1813471502590702E-3</v>
      </c>
      <c r="D162" s="15">
        <f>集計_障がい別!$H$281</f>
        <v>0</v>
      </c>
      <c r="E162" s="15">
        <f>集計_障がい別!$I$281</f>
        <v>0</v>
      </c>
      <c r="F162" s="15">
        <f>集計_障がい別!$G$326</f>
        <v>7.2538860103626895E-2</v>
      </c>
      <c r="G162" s="15">
        <f>集計_障がい別!$H$326</f>
        <v>0.12121212121212099</v>
      </c>
      <c r="H162" s="15">
        <f>集計_障がい別!$I$326</f>
        <v>9.0909090909090898E-2</v>
      </c>
    </row>
    <row r="163" spans="2:8" ht="17.100000000000001" customHeight="1">
      <c r="B163" s="4" t="s">
        <v>675</v>
      </c>
      <c r="C163" s="15">
        <f>集計_障がい別!$G$284</f>
        <v>0</v>
      </c>
      <c r="D163" s="15">
        <f>集計_障がい別!$H$284</f>
        <v>0</v>
      </c>
      <c r="E163" s="15">
        <f>集計_障がい別!$I$284</f>
        <v>2.27272727272727E-2</v>
      </c>
      <c r="F163" s="15">
        <f>集計_障がい別!$G$329</f>
        <v>4.6632124352331598E-2</v>
      </c>
      <c r="G163" s="15">
        <f>集計_障がい別!$H$329</f>
        <v>0.15151515151515199</v>
      </c>
      <c r="H163" s="15">
        <f>集計_障がい別!$I$329</f>
        <v>0.25</v>
      </c>
    </row>
    <row r="164" spans="2:8" ht="17.100000000000001" customHeight="1">
      <c r="B164" s="4" t="s">
        <v>676</v>
      </c>
      <c r="C164" s="15">
        <f>集計_障がい別!$G$287</f>
        <v>1.55440414507772E-2</v>
      </c>
      <c r="D164" s="15">
        <f>集計_障がい別!$H$287</f>
        <v>0.21212121212121199</v>
      </c>
      <c r="E164" s="15">
        <f>集計_障がい別!$I$287</f>
        <v>0.204545454545455</v>
      </c>
      <c r="F164" s="15">
        <f>集計_障がい別!$G$332</f>
        <v>4.6632124352331598E-2</v>
      </c>
      <c r="G164" s="15">
        <f>集計_障がい別!$H$332</f>
        <v>0.15151515151515199</v>
      </c>
      <c r="H164" s="15">
        <f>集計_障がい別!$I$332</f>
        <v>0.29545454545454503</v>
      </c>
    </row>
    <row r="165" spans="2:8" ht="17.100000000000001" customHeight="1">
      <c r="B165" s="4" t="s">
        <v>677</v>
      </c>
      <c r="C165" s="15">
        <f>集計_障がい別!$G$290</f>
        <v>1.03626943005181E-2</v>
      </c>
      <c r="D165" s="15">
        <f>集計_障がい別!$H$290</f>
        <v>6.0606060606060601E-2</v>
      </c>
      <c r="E165" s="15">
        <f>集計_障がい別!$I$290</f>
        <v>6.8181818181818205E-2</v>
      </c>
      <c r="F165" s="15">
        <f>集計_障がい別!$G$335</f>
        <v>0.119170984455959</v>
      </c>
      <c r="G165" s="15">
        <f>集計_障がい別!$H$335</f>
        <v>9.0909090909090898E-2</v>
      </c>
      <c r="H165" s="15">
        <f>集計_障がい別!$I$335</f>
        <v>4.5454545454545497E-2</v>
      </c>
    </row>
    <row r="166" spans="2:8" ht="17.100000000000001" customHeight="1">
      <c r="B166" s="4" t="s">
        <v>678</v>
      </c>
      <c r="C166" s="15">
        <f>集計_障がい別!$G$293</f>
        <v>3.10880829015544E-2</v>
      </c>
      <c r="D166" s="15">
        <f>集計_障がい別!$H$293</f>
        <v>0</v>
      </c>
      <c r="E166" s="15">
        <f>集計_障がい別!$I$293</f>
        <v>2.27272727272727E-2</v>
      </c>
      <c r="F166" s="15">
        <f>集計_障がい別!$G$338</f>
        <v>0.25388601036269398</v>
      </c>
      <c r="G166" s="15">
        <f>集計_障がい別!$H$338</f>
        <v>0.21212121212121199</v>
      </c>
      <c r="H166" s="15">
        <f>集計_障がい別!$I$338</f>
        <v>0.11363636363636399</v>
      </c>
    </row>
    <row r="167" spans="2:8" ht="17.100000000000001" customHeight="1">
      <c r="B167" s="4" t="s">
        <v>679</v>
      </c>
      <c r="C167" s="15">
        <f>集計_障がい別!$G$296</f>
        <v>2.59067357512953E-2</v>
      </c>
      <c r="D167" s="15">
        <f>集計_障がい別!$H$296</f>
        <v>9.0909090909090898E-2</v>
      </c>
      <c r="E167" s="15">
        <f>集計_障がい別!$I$296</f>
        <v>4.5454545454545497E-2</v>
      </c>
      <c r="F167" s="15">
        <f>集計_障がい別!$G$341</f>
        <v>0.16062176165803099</v>
      </c>
      <c r="G167" s="15">
        <f>集計_障がい別!$H$341</f>
        <v>0.33333333333333298</v>
      </c>
      <c r="H167" s="15">
        <f>集計_障がい別!$I$341</f>
        <v>0.15909090909090901</v>
      </c>
    </row>
    <row r="168" spans="2:8" ht="17.100000000000001" customHeight="1">
      <c r="B168" s="4" t="s">
        <v>680</v>
      </c>
      <c r="C168" s="15">
        <f>集計_障がい別!$G$299</f>
        <v>4.6632124352331598E-2</v>
      </c>
      <c r="D168" s="15">
        <f>集計_障がい別!$H$299</f>
        <v>0.18181818181818199</v>
      </c>
      <c r="E168" s="15">
        <f>集計_障がい別!$I$299</f>
        <v>6.8181818181818205E-2</v>
      </c>
      <c r="F168" s="15">
        <f>集計_障がい別!$G$344</f>
        <v>0.20725388601036299</v>
      </c>
      <c r="G168" s="15">
        <f>集計_障がい別!$H$344</f>
        <v>0.18181818181818199</v>
      </c>
      <c r="H168" s="15">
        <f>集計_障がい別!$I$344</f>
        <v>6.8181818181818205E-2</v>
      </c>
    </row>
    <row r="169" spans="2:8" ht="17.100000000000001" customHeight="1">
      <c r="B169" s="4" t="s">
        <v>681</v>
      </c>
      <c r="C169" s="15">
        <f>集計_障がい別!$G$302</f>
        <v>0.10880829015544</v>
      </c>
      <c r="D169" s="15">
        <f>集計_障がい別!$H$302</f>
        <v>0.30303030303030298</v>
      </c>
      <c r="E169" s="15">
        <f>集計_障がい別!$I$302</f>
        <v>0.204545454545455</v>
      </c>
      <c r="F169" s="15">
        <f>集計_障がい別!$G$347</f>
        <v>0.295336787564767</v>
      </c>
      <c r="G169" s="15">
        <f>集計_障がい別!$H$347</f>
        <v>0.36363636363636398</v>
      </c>
      <c r="H169" s="15">
        <f>集計_障がい別!$I$347</f>
        <v>0.27272727272727298</v>
      </c>
    </row>
    <row r="170" spans="2:8" ht="17.100000000000001" customHeight="1">
      <c r="B170" s="4" t="s">
        <v>682</v>
      </c>
      <c r="C170" s="15">
        <f>集計_障がい別!$G$305</f>
        <v>0</v>
      </c>
      <c r="D170" s="15">
        <f>集計_障がい別!$H$305</f>
        <v>3.03030303030303E-2</v>
      </c>
      <c r="E170" s="15">
        <f>集計_障がい別!$I$305</f>
        <v>2.27272727272727E-2</v>
      </c>
      <c r="F170" s="15">
        <f>集計_障がい別!$G$350</f>
        <v>6.7357512953367907E-2</v>
      </c>
      <c r="G170" s="15">
        <f>集計_障がい別!$H$350</f>
        <v>0.18181818181818199</v>
      </c>
      <c r="H170" s="15">
        <f>集計_障がい別!$I$350</f>
        <v>0.34090909090909099</v>
      </c>
    </row>
    <row r="171" spans="2:8" ht="27" customHeight="1">
      <c r="B171" s="30" t="s">
        <v>695</v>
      </c>
      <c r="C171" s="32"/>
      <c r="D171" s="32"/>
      <c r="E171" s="32"/>
      <c r="F171" s="32"/>
      <c r="G171" s="32"/>
      <c r="H171" s="32"/>
    </row>
  </sheetData>
  <mergeCells count="2">
    <mergeCell ref="B171:H171"/>
    <mergeCell ref="B102:E102"/>
  </mergeCells>
  <conditionalFormatting sqref="C156:H170">
    <cfRule type="colorScale" priority="1">
      <colorScale>
        <cfvo type="num" val="0"/>
        <cfvo type="num" val="1"/>
        <color rgb="FFFFFFFF"/>
        <color rgb="FF6FA3DF"/>
      </colorScale>
    </cfRule>
  </conditionalFormatting>
  <pageMargins left="0.75" right="0.75" top="1" bottom="1" header="0.5" footer="0.5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324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4" ht="21" customHeight="1">
      <c r="B2" s="6" t="s">
        <v>696</v>
      </c>
    </row>
    <row r="3" spans="2:4">
      <c r="B3" s="11" t="str">
        <f>"n="&amp;集計_障がい者!$F$352&amp;"（複数回答）"</f>
        <v>n=259（複数回答）</v>
      </c>
    </row>
    <row r="4" spans="2:4" ht="18" customHeight="1">
      <c r="B4" s="2" t="s">
        <v>429</v>
      </c>
      <c r="C4" s="2" t="s">
        <v>430</v>
      </c>
      <c r="D4" s="2" t="s">
        <v>431</v>
      </c>
    </row>
    <row r="5" spans="2:4" ht="17.100000000000001" customHeight="1">
      <c r="B5" s="4" t="s">
        <v>697</v>
      </c>
      <c r="C5" s="12">
        <f>集計_障がい者!$D$352</f>
        <v>191</v>
      </c>
      <c r="D5" s="13">
        <f>集計_障がい者!$E$352</f>
        <v>0.73745173745173698</v>
      </c>
    </row>
    <row r="6" spans="2:4" ht="17.100000000000001" customHeight="1">
      <c r="B6" s="4" t="s">
        <v>698</v>
      </c>
      <c r="C6" s="12">
        <f>集計_障がい者!$D$359</f>
        <v>64</v>
      </c>
      <c r="D6" s="13">
        <f>集計_障がい者!$E$359</f>
        <v>0.247104247104247</v>
      </c>
    </row>
    <row r="7" spans="2:4" ht="17.100000000000001" customHeight="1">
      <c r="B7" s="4" t="s">
        <v>699</v>
      </c>
      <c r="C7" s="12">
        <f>集計_障がい者!$D$353</f>
        <v>62</v>
      </c>
      <c r="D7" s="13">
        <f>集計_障がい者!$E$353</f>
        <v>0.23938223938223899</v>
      </c>
    </row>
    <row r="8" spans="2:4" ht="17.100000000000001" customHeight="1">
      <c r="B8" s="4" t="s">
        <v>700</v>
      </c>
      <c r="C8" s="12">
        <f>集計_障がい者!$D$356</f>
        <v>37</v>
      </c>
      <c r="D8" s="13">
        <f>集計_障がい者!$E$356</f>
        <v>0.14285714285714299</v>
      </c>
    </row>
    <row r="9" spans="2:4" ht="30" customHeight="1">
      <c r="B9" s="4" t="s">
        <v>701</v>
      </c>
      <c r="C9" s="12">
        <f>集計_障がい者!$D$360</f>
        <v>29</v>
      </c>
      <c r="D9" s="13">
        <f>集計_障がい者!$E$360</f>
        <v>0.111969111969112</v>
      </c>
    </row>
    <row r="10" spans="2:4" ht="17.100000000000001" customHeight="1">
      <c r="B10" s="4" t="s">
        <v>702</v>
      </c>
      <c r="C10" s="12">
        <f>集計_障がい者!$D$363</f>
        <v>22</v>
      </c>
      <c r="D10" s="13">
        <f>集計_障がい者!$E$363</f>
        <v>8.4942084942084897E-2</v>
      </c>
    </row>
    <row r="11" spans="2:4" ht="17.100000000000001" customHeight="1">
      <c r="B11" s="4" t="s">
        <v>703</v>
      </c>
      <c r="C11" s="12">
        <f>集計_障がい者!$D$364</f>
        <v>22</v>
      </c>
      <c r="D11" s="13">
        <f>集計_障がい者!$E$364</f>
        <v>8.4942084942084897E-2</v>
      </c>
    </row>
    <row r="12" spans="2:4" ht="17.100000000000001" customHeight="1">
      <c r="B12" s="4" t="s">
        <v>704</v>
      </c>
      <c r="C12" s="12">
        <f>集計_障がい者!$D$354</f>
        <v>21</v>
      </c>
      <c r="D12" s="13">
        <f>集計_障がい者!$E$354</f>
        <v>8.1081081081081099E-2</v>
      </c>
    </row>
    <row r="13" spans="2:4" ht="17.100000000000001" customHeight="1">
      <c r="B13" s="4" t="s">
        <v>705</v>
      </c>
      <c r="C13" s="12">
        <f>集計_障がい者!$D$357</f>
        <v>18</v>
      </c>
      <c r="D13" s="13">
        <f>集計_障がい者!$E$357</f>
        <v>6.9498069498069498E-2</v>
      </c>
    </row>
    <row r="14" spans="2:4" ht="17.100000000000001" customHeight="1">
      <c r="B14" s="4" t="s">
        <v>706</v>
      </c>
      <c r="C14" s="12">
        <f>集計_障がい者!$D$355</f>
        <v>14</v>
      </c>
      <c r="D14" s="13">
        <f>集計_障がい者!$E$355</f>
        <v>5.4054054054054099E-2</v>
      </c>
    </row>
    <row r="15" spans="2:4" ht="17.100000000000001" customHeight="1">
      <c r="B15" s="4" t="s">
        <v>707</v>
      </c>
      <c r="C15" s="12">
        <f>集計_障がい者!$D$366</f>
        <v>12</v>
      </c>
      <c r="D15" s="13">
        <f>集計_障がい者!$E$366</f>
        <v>4.6332046332046302E-2</v>
      </c>
    </row>
    <row r="16" spans="2:4" ht="17.100000000000001" customHeight="1">
      <c r="B16" s="4" t="s">
        <v>708</v>
      </c>
      <c r="C16" s="12">
        <f>集計_障がい者!$D$361</f>
        <v>5</v>
      </c>
      <c r="D16" s="13">
        <f>集計_障がい者!$E$361</f>
        <v>1.9305019305019301E-2</v>
      </c>
    </row>
    <row r="17" spans="2:5" ht="17.100000000000001" customHeight="1">
      <c r="B17" s="4" t="s">
        <v>709</v>
      </c>
      <c r="C17" s="12">
        <f>集計_障がい者!$D$362</f>
        <v>3</v>
      </c>
      <c r="D17" s="13">
        <f>集計_障がい者!$E$362</f>
        <v>1.15830115830116E-2</v>
      </c>
    </row>
    <row r="18" spans="2:5" ht="17.100000000000001" customHeight="1">
      <c r="B18" s="4" t="s">
        <v>710</v>
      </c>
      <c r="C18" s="12">
        <f>集計_障がい者!$D$358</f>
        <v>1</v>
      </c>
      <c r="D18" s="13">
        <f>集計_障がい者!$E$358</f>
        <v>3.8610038610038598E-3</v>
      </c>
    </row>
    <row r="19" spans="2:5" ht="17.100000000000001" customHeight="1">
      <c r="B19" s="4" t="s">
        <v>437</v>
      </c>
      <c r="C19" s="12">
        <f>集計_障がい者!$D$365</f>
        <v>7</v>
      </c>
      <c r="D19" s="13">
        <f>集計_障がい者!$E$365</f>
        <v>2.7027027027027001E-2</v>
      </c>
    </row>
    <row r="20" spans="2:5" ht="17.100000000000001" customHeight="1">
      <c r="B20" s="4" t="s">
        <v>438</v>
      </c>
      <c r="C20" s="12">
        <f>集計_障がい者!$D$367</f>
        <v>11</v>
      </c>
      <c r="D20" s="13">
        <f>集計_障がい者!$E$367</f>
        <v>4.2471042471042497E-2</v>
      </c>
    </row>
    <row r="24" spans="2:5" ht="21" customHeight="1">
      <c r="B24" s="6" t="s">
        <v>711</v>
      </c>
    </row>
    <row r="26" spans="2:5" ht="30.95" customHeight="1">
      <c r="B26" s="2" t="s">
        <v>429</v>
      </c>
      <c r="C26" s="2" t="s">
        <v>447</v>
      </c>
      <c r="D26" s="2" t="s">
        <v>448</v>
      </c>
      <c r="E26" s="2" t="s">
        <v>449</v>
      </c>
    </row>
    <row r="27" spans="2:5" ht="17.100000000000001" customHeight="1">
      <c r="B27" s="4" t="s">
        <v>697</v>
      </c>
      <c r="C27" s="13">
        <f>集計_障がい別!$G$353</f>
        <v>0.76683937823834203</v>
      </c>
      <c r="D27" s="13">
        <f>集計_障がい別!$H$353</f>
        <v>0.51515151515151503</v>
      </c>
      <c r="E27" s="13">
        <f>集計_障がい別!$I$353</f>
        <v>0.70454545454545503</v>
      </c>
    </row>
    <row r="28" spans="2:5" ht="17.100000000000001" customHeight="1">
      <c r="B28" s="4" t="s">
        <v>698</v>
      </c>
      <c r="C28" s="13">
        <f>集計_障がい別!$G$360</f>
        <v>0.233160621761658</v>
      </c>
      <c r="D28" s="13">
        <f>集計_障がい別!$H$360</f>
        <v>0.12121212121212099</v>
      </c>
      <c r="E28" s="13">
        <f>集計_障がい別!$I$360</f>
        <v>0.36363636363636398</v>
      </c>
    </row>
    <row r="29" spans="2:5" ht="17.100000000000001" customHeight="1">
      <c r="B29" s="4" t="s">
        <v>699</v>
      </c>
      <c r="C29" s="13">
        <f>集計_障がい別!$G$354</f>
        <v>0.26424870466321199</v>
      </c>
      <c r="D29" s="13">
        <f>集計_障がい別!$H$354</f>
        <v>0.15151515151515199</v>
      </c>
      <c r="E29" s="13">
        <f>集計_障がい別!$I$354</f>
        <v>0.22727272727272699</v>
      </c>
    </row>
    <row r="30" spans="2:5" ht="17.100000000000001" customHeight="1">
      <c r="B30" s="4" t="s">
        <v>700</v>
      </c>
      <c r="C30" s="13">
        <f>集計_障がい別!$G$357</f>
        <v>9.8445595854922296E-2</v>
      </c>
      <c r="D30" s="13">
        <f>集計_障がい別!$H$357</f>
        <v>0.36363636363636398</v>
      </c>
      <c r="E30" s="13">
        <f>集計_障がい別!$I$357</f>
        <v>0.204545454545455</v>
      </c>
    </row>
    <row r="31" spans="2:5" ht="30" customHeight="1">
      <c r="B31" s="4" t="s">
        <v>701</v>
      </c>
      <c r="C31" s="13">
        <f>集計_障がい別!$G$361</f>
        <v>0.12953367875647701</v>
      </c>
      <c r="D31" s="13">
        <f>集計_障がい別!$H$361</f>
        <v>6.0606060606060601E-2</v>
      </c>
      <c r="E31" s="13">
        <f>集計_障がい別!$I$361</f>
        <v>0.13636363636363599</v>
      </c>
    </row>
    <row r="32" spans="2:5" ht="17.100000000000001" customHeight="1">
      <c r="B32" s="4" t="s">
        <v>702</v>
      </c>
      <c r="C32" s="13">
        <f>集計_障がい別!$G$364</f>
        <v>5.6994818652849701E-2</v>
      </c>
      <c r="D32" s="13">
        <f>集計_障がい別!$H$364</f>
        <v>0.15151515151515199</v>
      </c>
      <c r="E32" s="13">
        <f>集計_障がい別!$I$364</f>
        <v>0.15909090909090901</v>
      </c>
    </row>
    <row r="33" spans="2:5" ht="17.100000000000001" customHeight="1">
      <c r="B33" s="4" t="s">
        <v>703</v>
      </c>
      <c r="C33" s="13">
        <f>集計_障がい別!$G$365</f>
        <v>9.3264248704663197E-2</v>
      </c>
      <c r="D33" s="13">
        <f>集計_障がい別!$H$365</f>
        <v>3.03030303030303E-2</v>
      </c>
      <c r="E33" s="13">
        <f>集計_障がい別!$I$365</f>
        <v>0.11363636363636399</v>
      </c>
    </row>
    <row r="34" spans="2:5" ht="17.100000000000001" customHeight="1">
      <c r="B34" s="4" t="s">
        <v>704</v>
      </c>
      <c r="C34" s="13">
        <f>集計_障がい別!$G$355</f>
        <v>0.10362694300518099</v>
      </c>
      <c r="D34" s="13">
        <f>集計_障がい別!$H$355</f>
        <v>0</v>
      </c>
      <c r="E34" s="13">
        <f>集計_障がい別!$I$355</f>
        <v>0</v>
      </c>
    </row>
    <row r="35" spans="2:5" ht="17.100000000000001" customHeight="1">
      <c r="B35" s="4" t="s">
        <v>705</v>
      </c>
      <c r="C35" s="13">
        <f>集計_障がい別!$G$358</f>
        <v>5.6994818652849701E-2</v>
      </c>
      <c r="D35" s="13">
        <f>集計_障がい別!$H$358</f>
        <v>0.15151515151515199</v>
      </c>
      <c r="E35" s="13">
        <f>集計_障がい別!$I$358</f>
        <v>0.11363636363636399</v>
      </c>
    </row>
    <row r="36" spans="2:5" ht="17.100000000000001" customHeight="1">
      <c r="B36" s="4" t="s">
        <v>706</v>
      </c>
      <c r="C36" s="13">
        <f>集計_障がい別!$G$356</f>
        <v>3.6269430051813503E-2</v>
      </c>
      <c r="D36" s="13">
        <f>集計_障がい別!$H$356</f>
        <v>0.15151515151515199</v>
      </c>
      <c r="E36" s="13">
        <f>集計_障がい別!$I$356</f>
        <v>9.0909090909090898E-2</v>
      </c>
    </row>
    <row r="37" spans="2:5" ht="17.100000000000001" customHeight="1">
      <c r="B37" s="4" t="s">
        <v>707</v>
      </c>
      <c r="C37" s="13">
        <f>集計_障がい別!$G$367</f>
        <v>4.6632124352331598E-2</v>
      </c>
      <c r="D37" s="13">
        <f>集計_障がい別!$H$367</f>
        <v>3.03030303030303E-2</v>
      </c>
      <c r="E37" s="13">
        <f>集計_障がい別!$I$367</f>
        <v>4.5454545454545497E-2</v>
      </c>
    </row>
    <row r="38" spans="2:5" ht="17.100000000000001" customHeight="1">
      <c r="B38" s="4" t="s">
        <v>708</v>
      </c>
      <c r="C38" s="13">
        <f>集計_障がい別!$G$362</f>
        <v>2.0725388601036301E-2</v>
      </c>
      <c r="D38" s="13">
        <f>集計_障がい別!$H$362</f>
        <v>0</v>
      </c>
      <c r="E38" s="13">
        <f>集計_障がい別!$I$362</f>
        <v>2.27272727272727E-2</v>
      </c>
    </row>
    <row r="39" spans="2:5" ht="17.100000000000001" customHeight="1">
      <c r="B39" s="4" t="s">
        <v>709</v>
      </c>
      <c r="C39" s="13">
        <f>集計_障がい別!$G$363</f>
        <v>0</v>
      </c>
      <c r="D39" s="13">
        <f>集計_障がい別!$H$363</f>
        <v>3.03030303030303E-2</v>
      </c>
      <c r="E39" s="13">
        <f>集計_障がい別!$I$363</f>
        <v>6.8181818181818205E-2</v>
      </c>
    </row>
    <row r="40" spans="2:5" ht="17.100000000000001" customHeight="1">
      <c r="B40" s="4" t="s">
        <v>710</v>
      </c>
      <c r="C40" s="13">
        <f>集計_障がい別!$G$359</f>
        <v>0</v>
      </c>
      <c r="D40" s="13">
        <f>集計_障がい別!$H$359</f>
        <v>0</v>
      </c>
      <c r="E40" s="13">
        <f>集計_障がい別!$I$359</f>
        <v>2.27272727272727E-2</v>
      </c>
    </row>
    <row r="41" spans="2:5" ht="17.100000000000001" customHeight="1">
      <c r="B41" s="4" t="s">
        <v>437</v>
      </c>
      <c r="C41" s="13">
        <f>集計_障がい別!$G$366</f>
        <v>2.0725388601036301E-2</v>
      </c>
      <c r="D41" s="13">
        <f>集計_障がい別!$H$366</f>
        <v>3.03030303030303E-2</v>
      </c>
      <c r="E41" s="13">
        <f>集計_障がい別!$I$366</f>
        <v>4.5454545454545497E-2</v>
      </c>
    </row>
    <row r="42" spans="2:5" ht="17.100000000000001" customHeight="1">
      <c r="B42" s="4" t="s">
        <v>438</v>
      </c>
      <c r="C42" s="13">
        <f>集計_障がい別!$G$368</f>
        <v>4.1450777202072499E-2</v>
      </c>
      <c r="D42" s="13">
        <f>集計_障がい別!$H$368</f>
        <v>9.0909090909090898E-2</v>
      </c>
      <c r="E42" s="13">
        <f>集計_障がい別!$I$368</f>
        <v>9.0909090909090898E-2</v>
      </c>
    </row>
    <row r="73" spans="2:4" ht="21" customHeight="1">
      <c r="B73" s="6" t="s">
        <v>712</v>
      </c>
    </row>
    <row r="74" spans="2:4">
      <c r="B74" s="11" t="str">
        <f>"n="&amp;集計_障がい者!$F$368&amp;"（複数回答）"</f>
        <v>n=259（複数回答）</v>
      </c>
    </row>
    <row r="75" spans="2:4" ht="18" customHeight="1">
      <c r="B75" s="2" t="s">
        <v>429</v>
      </c>
      <c r="C75" s="2" t="s">
        <v>430</v>
      </c>
      <c r="D75" s="2" t="s">
        <v>431</v>
      </c>
    </row>
    <row r="76" spans="2:4" ht="30" customHeight="1">
      <c r="B76" s="4" t="s">
        <v>713</v>
      </c>
      <c r="C76" s="12">
        <f>集計_障がい者!$D$368</f>
        <v>98</v>
      </c>
      <c r="D76" s="13">
        <f>集計_障がい者!$E$368</f>
        <v>0.37837837837837801</v>
      </c>
    </row>
    <row r="77" spans="2:4" ht="17.100000000000001" customHeight="1">
      <c r="B77" s="4" t="s">
        <v>714</v>
      </c>
      <c r="C77" s="12">
        <f>集計_障がい者!$D$371</f>
        <v>72</v>
      </c>
      <c r="D77" s="13">
        <f>集計_障がい者!$E$371</f>
        <v>0.27799227799227799</v>
      </c>
    </row>
    <row r="78" spans="2:4" ht="17.100000000000001" customHeight="1">
      <c r="B78" s="4" t="s">
        <v>698</v>
      </c>
      <c r="C78" s="12">
        <f>集計_障がい者!$D$374</f>
        <v>62</v>
      </c>
      <c r="D78" s="13">
        <f>集計_障がい者!$E$374</f>
        <v>0.23938223938223899</v>
      </c>
    </row>
    <row r="79" spans="2:4" ht="17.100000000000001" customHeight="1">
      <c r="B79" s="4" t="s">
        <v>715</v>
      </c>
      <c r="C79" s="12">
        <f>集計_障がい者!$D$369</f>
        <v>59</v>
      </c>
      <c r="D79" s="13">
        <f>集計_障がい者!$E$369</f>
        <v>0.22779922779922801</v>
      </c>
    </row>
    <row r="80" spans="2:4" ht="17.100000000000001" customHeight="1">
      <c r="B80" s="4" t="s">
        <v>716</v>
      </c>
      <c r="C80" s="12">
        <f>集計_障がい者!$D$372</f>
        <v>54</v>
      </c>
      <c r="D80" s="13">
        <f>集計_障がい者!$E$372</f>
        <v>0.20849420849420899</v>
      </c>
    </row>
    <row r="81" spans="2:4" ht="17.100000000000001" customHeight="1">
      <c r="B81" s="4" t="s">
        <v>717</v>
      </c>
      <c r="C81" s="12">
        <f>集計_障がい者!$D$370</f>
        <v>44</v>
      </c>
      <c r="D81" s="13">
        <f>集計_障がい者!$E$370</f>
        <v>0.16988416988416999</v>
      </c>
    </row>
    <row r="82" spans="2:4" ht="30" customHeight="1">
      <c r="B82" s="4" t="s">
        <v>701</v>
      </c>
      <c r="C82" s="12">
        <f>集計_障がい者!$D$375</f>
        <v>39</v>
      </c>
      <c r="D82" s="13">
        <f>集計_障がい者!$E$375</f>
        <v>0.150579150579151</v>
      </c>
    </row>
    <row r="83" spans="2:4" ht="17.100000000000001" customHeight="1">
      <c r="B83" s="4" t="s">
        <v>703</v>
      </c>
      <c r="C83" s="12">
        <f>集計_障がい者!$D$379</f>
        <v>33</v>
      </c>
      <c r="D83" s="13">
        <f>集計_障がい者!$E$379</f>
        <v>0.12741312741312699</v>
      </c>
    </row>
    <row r="84" spans="2:4" ht="17.100000000000001" customHeight="1">
      <c r="B84" s="4" t="s">
        <v>718</v>
      </c>
      <c r="C84" s="12">
        <f>集計_障がい者!$D$381</f>
        <v>31</v>
      </c>
      <c r="D84" s="13">
        <f>集計_障がい者!$E$381</f>
        <v>0.11969111969111999</v>
      </c>
    </row>
    <row r="85" spans="2:4" ht="17.100000000000001" customHeight="1">
      <c r="B85" s="4" t="s">
        <v>702</v>
      </c>
      <c r="C85" s="12">
        <f>集計_障がい者!$D$378</f>
        <v>19</v>
      </c>
      <c r="D85" s="13">
        <f>集計_障がい者!$E$378</f>
        <v>7.3359073359073407E-2</v>
      </c>
    </row>
    <row r="86" spans="2:4" ht="17.100000000000001" customHeight="1">
      <c r="B86" s="4" t="s">
        <v>708</v>
      </c>
      <c r="C86" s="12">
        <f>集計_障がい者!$D$376</f>
        <v>5</v>
      </c>
      <c r="D86" s="13">
        <f>集計_障がい者!$E$376</f>
        <v>1.9305019305019301E-2</v>
      </c>
    </row>
    <row r="87" spans="2:4" ht="17.100000000000001" customHeight="1">
      <c r="B87" s="4" t="s">
        <v>719</v>
      </c>
      <c r="C87" s="12">
        <f>集計_障がい者!$D$373</f>
        <v>2</v>
      </c>
      <c r="D87" s="13">
        <f>集計_障がい者!$E$373</f>
        <v>7.7220077220077196E-3</v>
      </c>
    </row>
    <row r="88" spans="2:4" ht="17.100000000000001" customHeight="1">
      <c r="B88" s="4" t="s">
        <v>709</v>
      </c>
      <c r="C88" s="12">
        <f>集計_障がい者!$D$377</f>
        <v>2</v>
      </c>
      <c r="D88" s="13">
        <f>集計_障がい者!$E$377</f>
        <v>7.7220077220077196E-3</v>
      </c>
    </row>
    <row r="89" spans="2:4" ht="17.100000000000001" customHeight="1">
      <c r="B89" s="4" t="s">
        <v>437</v>
      </c>
      <c r="C89" s="12">
        <f>集計_障がい者!$D$380</f>
        <v>1</v>
      </c>
      <c r="D89" s="13">
        <f>集計_障がい者!$E$380</f>
        <v>3.8610038610038598E-3</v>
      </c>
    </row>
    <row r="90" spans="2:4" ht="17.100000000000001" customHeight="1">
      <c r="B90" s="4" t="s">
        <v>720</v>
      </c>
      <c r="C90" s="12">
        <f>集計_障がい者!$D$382</f>
        <v>16</v>
      </c>
      <c r="D90" s="13">
        <f>集計_障がい者!$E$382</f>
        <v>6.1776061776061798E-2</v>
      </c>
    </row>
    <row r="91" spans="2:4" ht="17.100000000000001" customHeight="1">
      <c r="B91" s="4" t="s">
        <v>438</v>
      </c>
      <c r="C91" s="12">
        <f>集計_障がい者!$D$383</f>
        <v>14</v>
      </c>
      <c r="D91" s="13">
        <f>集計_障がい者!$E$383</f>
        <v>5.4054054054054099E-2</v>
      </c>
    </row>
    <row r="95" spans="2:4" ht="21" customHeight="1">
      <c r="B95" s="6" t="s">
        <v>721</v>
      </c>
    </row>
    <row r="97" spans="2:5" ht="30.95" customHeight="1">
      <c r="B97" s="2" t="s">
        <v>429</v>
      </c>
      <c r="C97" s="2" t="s">
        <v>447</v>
      </c>
      <c r="D97" s="2" t="s">
        <v>448</v>
      </c>
      <c r="E97" s="2" t="s">
        <v>449</v>
      </c>
    </row>
    <row r="98" spans="2:5" ht="30" customHeight="1">
      <c r="B98" s="4" t="s">
        <v>713</v>
      </c>
      <c r="C98" s="13">
        <f>集計_障がい別!$G$369</f>
        <v>0.40414507772020702</v>
      </c>
      <c r="D98" s="13">
        <f>集計_障がい別!$H$369</f>
        <v>0.15151515151515199</v>
      </c>
      <c r="E98" s="13">
        <f>集計_障がい別!$I$369</f>
        <v>0.34090909090909099</v>
      </c>
    </row>
    <row r="99" spans="2:5" ht="17.100000000000001" customHeight="1">
      <c r="B99" s="4" t="s">
        <v>714</v>
      </c>
      <c r="C99" s="13">
        <f>集計_障がい別!$G$372</f>
        <v>0.284974093264249</v>
      </c>
      <c r="D99" s="13">
        <f>集計_障がい別!$H$372</f>
        <v>0.24242424242424199</v>
      </c>
      <c r="E99" s="13">
        <f>集計_障がい別!$I$372</f>
        <v>0.15909090909090901</v>
      </c>
    </row>
    <row r="100" spans="2:5" ht="17.100000000000001" customHeight="1">
      <c r="B100" s="4" t="s">
        <v>698</v>
      </c>
      <c r="C100" s="13">
        <f>集計_障がい別!$G$375</f>
        <v>0.25906735751295301</v>
      </c>
      <c r="D100" s="13">
        <f>集計_障がい別!$H$375</f>
        <v>0.12121212121212099</v>
      </c>
      <c r="E100" s="13">
        <f>集計_障がい別!$I$375</f>
        <v>0.36363636363636398</v>
      </c>
    </row>
    <row r="101" spans="2:5" ht="17.100000000000001" customHeight="1">
      <c r="B101" s="4" t="s">
        <v>715</v>
      </c>
      <c r="C101" s="13">
        <f>集計_障がい別!$G$370</f>
        <v>0.26424870466321199</v>
      </c>
      <c r="D101" s="13">
        <f>集計_障がい別!$H$370</f>
        <v>3.03030303030303E-2</v>
      </c>
      <c r="E101" s="13">
        <f>集計_障がい別!$I$370</f>
        <v>0.22727272727272699</v>
      </c>
    </row>
    <row r="102" spans="2:5" ht="17.100000000000001" customHeight="1">
      <c r="B102" s="4" t="s">
        <v>716</v>
      </c>
      <c r="C102" s="13">
        <f>集計_障がい別!$G$373</f>
        <v>0.170984455958549</v>
      </c>
      <c r="D102" s="13">
        <f>集計_障がい別!$H$373</f>
        <v>0.36363636363636398</v>
      </c>
      <c r="E102" s="13">
        <f>集計_障がい別!$I$373</f>
        <v>0.36363636363636398</v>
      </c>
    </row>
    <row r="103" spans="2:5" ht="17.100000000000001" customHeight="1">
      <c r="B103" s="4" t="s">
        <v>717</v>
      </c>
      <c r="C103" s="13">
        <f>集計_障がい別!$G$371</f>
        <v>0.124352331606218</v>
      </c>
      <c r="D103" s="13">
        <f>集計_障がい別!$H$371</f>
        <v>0.12121212121212099</v>
      </c>
      <c r="E103" s="13">
        <f>集計_障がい別!$I$371</f>
        <v>0.34090909090909099</v>
      </c>
    </row>
    <row r="104" spans="2:5" ht="30" customHeight="1">
      <c r="B104" s="4" t="s">
        <v>701</v>
      </c>
      <c r="C104" s="13">
        <f>集計_障がい別!$G$376</f>
        <v>0.176165803108808</v>
      </c>
      <c r="D104" s="13">
        <f>集計_障がい別!$H$376</f>
        <v>6.0606060606060601E-2</v>
      </c>
      <c r="E104" s="13">
        <f>集計_障がい別!$I$376</f>
        <v>0.15909090909090901</v>
      </c>
    </row>
    <row r="105" spans="2:5" ht="17.100000000000001" customHeight="1">
      <c r="B105" s="4" t="s">
        <v>703</v>
      </c>
      <c r="C105" s="13">
        <f>集計_障がい別!$G$380</f>
        <v>0.15025906735751299</v>
      </c>
      <c r="D105" s="13">
        <f>集計_障がい別!$H$380</f>
        <v>9.0909090909090898E-2</v>
      </c>
      <c r="E105" s="13">
        <f>集計_障がい別!$I$380</f>
        <v>0.13636363636363599</v>
      </c>
    </row>
    <row r="106" spans="2:5" ht="17.100000000000001" customHeight="1">
      <c r="B106" s="4" t="s">
        <v>718</v>
      </c>
      <c r="C106" s="13">
        <f>集計_障がい別!$G$382</f>
        <v>0.10362694300518099</v>
      </c>
      <c r="D106" s="13">
        <f>集計_障がい別!$H$382</f>
        <v>0.12121212121212099</v>
      </c>
      <c r="E106" s="13">
        <f>集計_障がい別!$I$382</f>
        <v>0.15909090909090901</v>
      </c>
    </row>
    <row r="107" spans="2:5" ht="17.100000000000001" customHeight="1">
      <c r="B107" s="4" t="s">
        <v>702</v>
      </c>
      <c r="C107" s="13">
        <f>集計_障がい別!$G$379</f>
        <v>6.21761658031088E-2</v>
      </c>
      <c r="D107" s="13">
        <f>集計_障がい別!$H$379</f>
        <v>0.12121212121212099</v>
      </c>
      <c r="E107" s="13">
        <f>集計_障がい別!$I$379</f>
        <v>9.0909090909090898E-2</v>
      </c>
    </row>
    <row r="108" spans="2:5" ht="17.100000000000001" customHeight="1">
      <c r="B108" s="4" t="s">
        <v>708</v>
      </c>
      <c r="C108" s="13">
        <f>集計_障がい別!$G$377</f>
        <v>2.0725388601036301E-2</v>
      </c>
      <c r="D108" s="13">
        <f>集計_障がい別!$H$377</f>
        <v>0</v>
      </c>
      <c r="E108" s="13">
        <f>集計_障がい別!$I$377</f>
        <v>4.5454545454545497E-2</v>
      </c>
    </row>
    <row r="109" spans="2:5" ht="17.100000000000001" customHeight="1">
      <c r="B109" s="4" t="s">
        <v>719</v>
      </c>
      <c r="C109" s="13">
        <f>集計_障がい別!$G$374</f>
        <v>5.1813471502590702E-3</v>
      </c>
      <c r="D109" s="13">
        <f>集計_障がい別!$H$374</f>
        <v>3.03030303030303E-2</v>
      </c>
      <c r="E109" s="13">
        <f>集計_障がい別!$I$374</f>
        <v>0</v>
      </c>
    </row>
    <row r="110" spans="2:5" ht="17.100000000000001" customHeight="1">
      <c r="B110" s="4" t="s">
        <v>709</v>
      </c>
      <c r="C110" s="13">
        <f>集計_障がい別!$G$378</f>
        <v>5.1813471502590702E-3</v>
      </c>
      <c r="D110" s="13">
        <f>集計_障がい別!$H$378</f>
        <v>0</v>
      </c>
      <c r="E110" s="13">
        <f>集計_障がい別!$I$378</f>
        <v>2.27272727272727E-2</v>
      </c>
    </row>
    <row r="111" spans="2:5" ht="17.100000000000001" customHeight="1">
      <c r="B111" s="4" t="s">
        <v>437</v>
      </c>
      <c r="C111" s="13">
        <f>集計_障がい別!$G$381</f>
        <v>5.1813471502590702E-3</v>
      </c>
      <c r="D111" s="13">
        <f>集計_障がい別!$H$381</f>
        <v>0</v>
      </c>
      <c r="E111" s="13">
        <f>集計_障がい別!$I$381</f>
        <v>0</v>
      </c>
    </row>
    <row r="112" spans="2:5" ht="17.100000000000001" customHeight="1">
      <c r="B112" s="4" t="s">
        <v>720</v>
      </c>
      <c r="C112" s="13">
        <f>集計_障がい別!$G$383</f>
        <v>5.6994818652849701E-2</v>
      </c>
      <c r="D112" s="13">
        <f>集計_障がい別!$H$383</f>
        <v>0.12121212121212099</v>
      </c>
      <c r="E112" s="13">
        <f>集計_障がい別!$I$383</f>
        <v>4.5454545454545497E-2</v>
      </c>
    </row>
    <row r="113" spans="2:5" ht="17.100000000000001" customHeight="1">
      <c r="B113" s="4" t="s">
        <v>438</v>
      </c>
      <c r="C113" s="13">
        <f>集計_障がい別!$G$384</f>
        <v>4.1450777202072499E-2</v>
      </c>
      <c r="D113" s="13">
        <f>集計_障がい別!$H$384</f>
        <v>0.18181818181818199</v>
      </c>
      <c r="E113" s="13">
        <f>集計_障がい別!$I$384</f>
        <v>9.0909090909090898E-2</v>
      </c>
    </row>
    <row r="143" spans="2:2" ht="21" customHeight="1">
      <c r="B143" s="6" t="s">
        <v>722</v>
      </c>
    </row>
    <row r="144" spans="2:2">
      <c r="B144" s="11" t="str">
        <f>"n="&amp;集計_障がい者!$F$384&amp;"（単一回答）"</f>
        <v>n=259（単一回答）</v>
      </c>
    </row>
    <row r="145" spans="2:6" ht="18" customHeight="1">
      <c r="B145" s="2" t="s">
        <v>429</v>
      </c>
      <c r="C145" s="2" t="s">
        <v>430</v>
      </c>
      <c r="D145" s="2" t="s">
        <v>431</v>
      </c>
    </row>
    <row r="146" spans="2:6" ht="17.100000000000001" customHeight="1">
      <c r="B146" s="4" t="s">
        <v>534</v>
      </c>
      <c r="C146" s="12">
        <f>集計_障がい者!$D$384</f>
        <v>29</v>
      </c>
      <c r="D146" s="13">
        <f>集計_障がい者!$E$384</f>
        <v>0.111969111969112</v>
      </c>
    </row>
    <row r="147" spans="2:6" ht="17.100000000000001" customHeight="1">
      <c r="B147" s="4" t="s">
        <v>723</v>
      </c>
      <c r="C147" s="12">
        <f>集計_障がい者!$D$385</f>
        <v>38</v>
      </c>
      <c r="D147" s="13">
        <f>集計_障がい者!$E$385</f>
        <v>0.14671814671814701</v>
      </c>
    </row>
    <row r="148" spans="2:6" ht="17.100000000000001" customHeight="1">
      <c r="B148" s="4" t="s">
        <v>535</v>
      </c>
      <c r="C148" s="12">
        <f>集計_障がい者!$D$386</f>
        <v>176</v>
      </c>
      <c r="D148" s="13">
        <f>集計_障がい者!$E$386</f>
        <v>0.67953667953667996</v>
      </c>
    </row>
    <row r="149" spans="2:6" ht="17.100000000000001" customHeight="1">
      <c r="B149" s="4" t="s">
        <v>438</v>
      </c>
      <c r="C149" s="12">
        <f>集計_障がい者!$D$387</f>
        <v>16</v>
      </c>
      <c r="D149" s="13">
        <f>集計_障がい者!$E$387</f>
        <v>6.1776061776061798E-2</v>
      </c>
    </row>
    <row r="154" spans="2:6" ht="21" customHeight="1">
      <c r="B154" s="6" t="s">
        <v>724</v>
      </c>
    </row>
    <row r="156" spans="2:6" ht="18" customHeight="1">
      <c r="B156" s="2" t="s">
        <v>445</v>
      </c>
      <c r="C156" s="2" t="s">
        <v>534</v>
      </c>
      <c r="D156" s="2" t="s">
        <v>723</v>
      </c>
      <c r="E156" s="2" t="s">
        <v>535</v>
      </c>
      <c r="F156" s="2" t="s">
        <v>438</v>
      </c>
    </row>
    <row r="157" spans="2:6" ht="17.100000000000001" customHeight="1">
      <c r="B157" s="4" t="s">
        <v>446</v>
      </c>
      <c r="C157" s="13">
        <f>集計_障がい者!$E$384</f>
        <v>0.111969111969112</v>
      </c>
      <c r="D157" s="13">
        <f>集計_障がい者!$E$385</f>
        <v>0.14671814671814701</v>
      </c>
      <c r="E157" s="13">
        <f>集計_障がい者!$E$386</f>
        <v>0.67953667953667996</v>
      </c>
      <c r="F157" s="13">
        <f>集計_障がい者!$E$387</f>
        <v>6.1776061776061798E-2</v>
      </c>
    </row>
    <row r="158" spans="2:6" ht="17.100000000000001" customHeight="1">
      <c r="B158" s="4" t="s">
        <v>447</v>
      </c>
      <c r="C158" s="13">
        <f>集計_障がい別!$G$385</f>
        <v>7.7720207253885995E-2</v>
      </c>
      <c r="D158" s="13">
        <f>集計_障がい別!$G$386</f>
        <v>0.10880829015544</v>
      </c>
      <c r="E158" s="13">
        <f>集計_障がい別!$G$387</f>
        <v>0.76165803108808305</v>
      </c>
      <c r="F158" s="13">
        <f>集計_障がい別!$G$388</f>
        <v>5.1813471502590698E-2</v>
      </c>
    </row>
    <row r="159" spans="2:6" ht="17.100000000000001" customHeight="1">
      <c r="B159" s="4" t="s">
        <v>448</v>
      </c>
      <c r="C159" s="13">
        <f>集計_障がい別!$H$385</f>
        <v>0.12121212121212099</v>
      </c>
      <c r="D159" s="13">
        <f>集計_障がい別!$H$386</f>
        <v>0.27272727272727298</v>
      </c>
      <c r="E159" s="13">
        <f>集計_障がい別!$H$387</f>
        <v>0.57575757575757602</v>
      </c>
      <c r="F159" s="13">
        <f>集計_障がい別!$H$388</f>
        <v>3.03030303030303E-2</v>
      </c>
    </row>
    <row r="160" spans="2:6" ht="17.100000000000001" customHeight="1">
      <c r="B160" s="4" t="s">
        <v>449</v>
      </c>
      <c r="C160" s="13">
        <f>集計_障がい別!$I$385</f>
        <v>0.204545454545455</v>
      </c>
      <c r="D160" s="13">
        <f>集計_障がい別!$I$386</f>
        <v>0.29545454545454503</v>
      </c>
      <c r="E160" s="13">
        <f>集計_障がい別!$I$387</f>
        <v>0.38636363636363602</v>
      </c>
      <c r="F160" s="13">
        <f>集計_障がい別!$I$388</f>
        <v>0.11363636363636399</v>
      </c>
    </row>
    <row r="169" spans="2:4" ht="21" customHeight="1">
      <c r="B169" s="6" t="s">
        <v>725</v>
      </c>
    </row>
    <row r="170" spans="2:4">
      <c r="B170" s="11" t="str">
        <f>"n="&amp;集計_障がい者!$F$390&amp;"（複数回答）"</f>
        <v>n=259（複数回答）</v>
      </c>
    </row>
    <row r="171" spans="2:4" ht="18" customHeight="1">
      <c r="B171" s="2" t="s">
        <v>429</v>
      </c>
      <c r="C171" s="2" t="s">
        <v>430</v>
      </c>
      <c r="D171" s="2" t="s">
        <v>431</v>
      </c>
    </row>
    <row r="172" spans="2:4" ht="17.100000000000001" customHeight="1">
      <c r="B172" s="4" t="s">
        <v>726</v>
      </c>
      <c r="C172" s="12">
        <f>集計_障がい者!$D$390</f>
        <v>26</v>
      </c>
      <c r="D172" s="13">
        <f>集計_障がい者!$E$390</f>
        <v>0.10038610038610001</v>
      </c>
    </row>
    <row r="173" spans="2:4" ht="17.100000000000001" customHeight="1">
      <c r="B173" s="4" t="s">
        <v>727</v>
      </c>
      <c r="C173" s="12">
        <f>集計_障がい者!$D$388</f>
        <v>23</v>
      </c>
      <c r="D173" s="13">
        <f>集計_障がい者!$E$388</f>
        <v>8.8803088803088806E-2</v>
      </c>
    </row>
    <row r="174" spans="2:4" ht="17.100000000000001" customHeight="1">
      <c r="B174" s="4" t="s">
        <v>728</v>
      </c>
      <c r="C174" s="12">
        <f>集計_障がい者!$D$393</f>
        <v>13</v>
      </c>
      <c r="D174" s="13">
        <f>集計_障がい者!$E$393</f>
        <v>5.0193050193050197E-2</v>
      </c>
    </row>
    <row r="175" spans="2:4" ht="17.100000000000001" customHeight="1">
      <c r="B175" s="4" t="s">
        <v>729</v>
      </c>
      <c r="C175" s="12">
        <f>集計_障がい者!$D$389</f>
        <v>9</v>
      </c>
      <c r="D175" s="13">
        <f>集計_障がい者!$E$389</f>
        <v>3.4749034749034798E-2</v>
      </c>
    </row>
    <row r="176" spans="2:4" ht="17.100000000000001" customHeight="1">
      <c r="B176" s="4" t="s">
        <v>730</v>
      </c>
      <c r="C176" s="12">
        <f>集計_障がい者!$D$394</f>
        <v>8</v>
      </c>
      <c r="D176" s="13">
        <f>集計_障がい者!$E$394</f>
        <v>3.0888030888030899E-2</v>
      </c>
    </row>
    <row r="177" spans="2:5" ht="17.100000000000001" customHeight="1">
      <c r="B177" s="4" t="s">
        <v>731</v>
      </c>
      <c r="C177" s="12">
        <f>集計_障がい者!$D$391</f>
        <v>7</v>
      </c>
      <c r="D177" s="13">
        <f>集計_障がい者!$E$391</f>
        <v>2.7027027027027001E-2</v>
      </c>
    </row>
    <row r="178" spans="2:5" ht="17.100000000000001" customHeight="1">
      <c r="B178" s="4" t="s">
        <v>732</v>
      </c>
      <c r="C178" s="12">
        <f>集計_障がい者!$D$392</f>
        <v>3</v>
      </c>
      <c r="D178" s="13">
        <f>集計_障がい者!$E$392</f>
        <v>1.15830115830116E-2</v>
      </c>
    </row>
    <row r="179" spans="2:5" ht="17.100000000000001" customHeight="1">
      <c r="B179" s="4" t="s">
        <v>437</v>
      </c>
      <c r="C179" s="12">
        <f>集計_障がい者!$D$395</f>
        <v>5</v>
      </c>
      <c r="D179" s="13">
        <f>集計_障がい者!$E$395</f>
        <v>1.9305019305019301E-2</v>
      </c>
    </row>
    <row r="180" spans="2:5" ht="17.100000000000001" customHeight="1">
      <c r="B180" s="4" t="s">
        <v>438</v>
      </c>
      <c r="C180" s="12">
        <f>集計_障がい者!$D$396</f>
        <v>199</v>
      </c>
      <c r="D180" s="13">
        <f>集計_障がい者!$E$396</f>
        <v>0.76833976833976803</v>
      </c>
    </row>
    <row r="184" spans="2:5" ht="21" customHeight="1">
      <c r="B184" s="6" t="s">
        <v>733</v>
      </c>
    </row>
    <row r="186" spans="2:5" ht="30.95" customHeight="1">
      <c r="B186" s="2" t="s">
        <v>429</v>
      </c>
      <c r="C186" s="2" t="s">
        <v>447</v>
      </c>
      <c r="D186" s="2" t="s">
        <v>448</v>
      </c>
      <c r="E186" s="2" t="s">
        <v>449</v>
      </c>
    </row>
    <row r="187" spans="2:5" ht="17.100000000000001" customHeight="1">
      <c r="B187" s="4" t="s">
        <v>726</v>
      </c>
      <c r="C187" s="13">
        <f>集計_障がい別!$G$391</f>
        <v>9.8445595854922296E-2</v>
      </c>
      <c r="D187" s="13">
        <f>集計_障がい別!$H$391</f>
        <v>0.15151515151515199</v>
      </c>
      <c r="E187" s="13">
        <f>集計_障がい別!$I$391</f>
        <v>0.11363636363636399</v>
      </c>
    </row>
    <row r="188" spans="2:5" ht="17.100000000000001" customHeight="1">
      <c r="B188" s="4" t="s">
        <v>727</v>
      </c>
      <c r="C188" s="13">
        <f>集計_障がい別!$G$389</f>
        <v>3.10880829015544E-2</v>
      </c>
      <c r="D188" s="13">
        <f>集計_障がい別!$H$389</f>
        <v>0.21212121212121199</v>
      </c>
      <c r="E188" s="13">
        <f>集計_障がい別!$I$389</f>
        <v>0.22727272727272699</v>
      </c>
    </row>
    <row r="189" spans="2:5" ht="17.100000000000001" customHeight="1">
      <c r="B189" s="4" t="s">
        <v>728</v>
      </c>
      <c r="C189" s="13">
        <f>集計_障がい別!$G$394</f>
        <v>5.6994818652849701E-2</v>
      </c>
      <c r="D189" s="13">
        <f>集計_障がい別!$H$394</f>
        <v>9.0909090909090898E-2</v>
      </c>
      <c r="E189" s="13">
        <f>集計_障がい別!$I$394</f>
        <v>6.8181818181818205E-2</v>
      </c>
    </row>
    <row r="190" spans="2:5" ht="17.100000000000001" customHeight="1">
      <c r="B190" s="4" t="s">
        <v>729</v>
      </c>
      <c r="C190" s="13">
        <f>集計_障がい別!$G$390</f>
        <v>2.0725388601036301E-2</v>
      </c>
      <c r="D190" s="13">
        <f>集計_障がい別!$H$390</f>
        <v>6.0606060606060601E-2</v>
      </c>
      <c r="E190" s="13">
        <f>集計_障がい別!$I$390</f>
        <v>6.8181818181818205E-2</v>
      </c>
    </row>
    <row r="191" spans="2:5" ht="17.100000000000001" customHeight="1">
      <c r="B191" s="4" t="s">
        <v>730</v>
      </c>
      <c r="C191" s="13">
        <f>集計_障がい別!$G$395</f>
        <v>2.0725388601036301E-2</v>
      </c>
      <c r="D191" s="13">
        <f>集計_障がい別!$H$395</f>
        <v>3.03030303030303E-2</v>
      </c>
      <c r="E191" s="13">
        <f>集計_障がい別!$I$395</f>
        <v>0.11363636363636399</v>
      </c>
    </row>
    <row r="192" spans="2:5" ht="17.100000000000001" customHeight="1">
      <c r="B192" s="4" t="s">
        <v>731</v>
      </c>
      <c r="C192" s="13">
        <f>集計_障がい別!$G$392</f>
        <v>2.59067357512953E-2</v>
      </c>
      <c r="D192" s="13">
        <f>集計_障がい別!$H$392</f>
        <v>3.03030303030303E-2</v>
      </c>
      <c r="E192" s="13">
        <f>集計_障がい別!$I$392</f>
        <v>2.27272727272727E-2</v>
      </c>
    </row>
    <row r="193" spans="2:5" ht="17.100000000000001" customHeight="1">
      <c r="B193" s="4" t="s">
        <v>732</v>
      </c>
      <c r="C193" s="13">
        <f>集計_障がい別!$G$393</f>
        <v>1.55440414507772E-2</v>
      </c>
      <c r="D193" s="13">
        <f>集計_障がい別!$H$393</f>
        <v>0</v>
      </c>
      <c r="E193" s="13">
        <f>集計_障がい別!$I$393</f>
        <v>2.27272727272727E-2</v>
      </c>
    </row>
    <row r="194" spans="2:5" ht="17.100000000000001" customHeight="1">
      <c r="B194" s="4" t="s">
        <v>437</v>
      </c>
      <c r="C194" s="13">
        <f>集計_障がい別!$G$396</f>
        <v>5.1813471502590702E-3</v>
      </c>
      <c r="D194" s="13">
        <f>集計_障がい別!$H$396</f>
        <v>3.03030303030303E-2</v>
      </c>
      <c r="E194" s="13">
        <f>集計_障がい別!$I$396</f>
        <v>4.5454545454545497E-2</v>
      </c>
    </row>
    <row r="195" spans="2:5" ht="17.100000000000001" customHeight="1">
      <c r="B195" s="4" t="s">
        <v>438</v>
      </c>
      <c r="C195" s="13">
        <f>集計_障がい別!$G$397</f>
        <v>0.83937823834196901</v>
      </c>
      <c r="D195" s="13">
        <f>集計_障がい別!$H$397</f>
        <v>0.60606060606060597</v>
      </c>
      <c r="E195" s="13">
        <f>集計_障がい別!$I$397</f>
        <v>0.56818181818181801</v>
      </c>
    </row>
    <row r="215" spans="2:4" ht="21" customHeight="1">
      <c r="B215" s="6" t="s">
        <v>734</v>
      </c>
    </row>
    <row r="216" spans="2:4">
      <c r="B216" s="11" t="str">
        <f>"n="&amp;集計_障がい者!$F$397&amp;"（単一回答）"</f>
        <v>n=259（単一回答）</v>
      </c>
    </row>
    <row r="217" spans="2:4" ht="18" customHeight="1">
      <c r="B217" s="2" t="s">
        <v>429</v>
      </c>
      <c r="C217" s="2" t="s">
        <v>430</v>
      </c>
      <c r="D217" s="2" t="s">
        <v>431</v>
      </c>
    </row>
    <row r="218" spans="2:4" ht="17.100000000000001" customHeight="1">
      <c r="B218" s="4" t="s">
        <v>735</v>
      </c>
      <c r="C218" s="12">
        <f>集計_障がい者!$D$397</f>
        <v>48</v>
      </c>
      <c r="D218" s="13">
        <f>集計_障がい者!$E$397</f>
        <v>0.18532818532818501</v>
      </c>
    </row>
    <row r="219" spans="2:4" ht="17.100000000000001" customHeight="1">
      <c r="B219" s="4" t="s">
        <v>736</v>
      </c>
      <c r="C219" s="12">
        <f>集計_障がい者!$D$398</f>
        <v>92</v>
      </c>
      <c r="D219" s="13">
        <f>集計_障がい者!$E$398</f>
        <v>0.355212355212355</v>
      </c>
    </row>
    <row r="220" spans="2:4" ht="17.100000000000001" customHeight="1">
      <c r="B220" s="4" t="s">
        <v>737</v>
      </c>
      <c r="C220" s="12">
        <f>集計_障がい者!$D$399</f>
        <v>95</v>
      </c>
      <c r="D220" s="13">
        <f>集計_障がい者!$E$399</f>
        <v>0.36679536679536701</v>
      </c>
    </row>
    <row r="221" spans="2:4" ht="17.100000000000001" customHeight="1">
      <c r="B221" s="4" t="s">
        <v>438</v>
      </c>
      <c r="C221" s="12">
        <f>集計_障がい者!$D$400</f>
        <v>24</v>
      </c>
      <c r="D221" s="13">
        <f>集計_障がい者!$E$400</f>
        <v>9.2664092664092701E-2</v>
      </c>
    </row>
    <row r="225" spans="2:6" ht="21" customHeight="1">
      <c r="B225" s="6" t="s">
        <v>738</v>
      </c>
    </row>
    <row r="227" spans="2:6" ht="57" customHeight="1">
      <c r="B227" s="2" t="s">
        <v>445</v>
      </c>
      <c r="C227" s="2" t="s">
        <v>735</v>
      </c>
      <c r="D227" s="2" t="s">
        <v>736</v>
      </c>
      <c r="E227" s="2" t="s">
        <v>737</v>
      </c>
      <c r="F227" s="2" t="s">
        <v>438</v>
      </c>
    </row>
    <row r="228" spans="2:6" ht="17.100000000000001" customHeight="1">
      <c r="B228" s="4" t="s">
        <v>446</v>
      </c>
      <c r="C228" s="13">
        <f>集計_障がい者!$E$397</f>
        <v>0.18532818532818501</v>
      </c>
      <c r="D228" s="13">
        <f>集計_障がい者!$E$398</f>
        <v>0.355212355212355</v>
      </c>
      <c r="E228" s="13">
        <f>集計_障がい者!$E$399</f>
        <v>0.36679536679536701</v>
      </c>
      <c r="F228" s="13">
        <f>集計_障がい者!$E$400</f>
        <v>9.2664092664092701E-2</v>
      </c>
    </row>
    <row r="229" spans="2:6" ht="17.100000000000001" customHeight="1">
      <c r="B229" s="4" t="s">
        <v>447</v>
      </c>
      <c r="C229" s="13">
        <f>集計_障がい別!$G$398</f>
        <v>0.21761658031088099</v>
      </c>
      <c r="D229" s="13">
        <f>集計_障がい別!$G$399</f>
        <v>0.36787564766839398</v>
      </c>
      <c r="E229" s="13">
        <f>集計_障がい別!$G$400</f>
        <v>0.32124352331606199</v>
      </c>
      <c r="F229" s="13">
        <f>集計_障がい別!$G$401</f>
        <v>9.3264248704663197E-2</v>
      </c>
    </row>
    <row r="230" spans="2:6" ht="17.100000000000001" customHeight="1">
      <c r="B230" s="4" t="s">
        <v>448</v>
      </c>
      <c r="C230" s="13">
        <f>集計_障がい別!$H$398</f>
        <v>0.21212121212121199</v>
      </c>
      <c r="D230" s="13">
        <f>集計_障がい別!$H$399</f>
        <v>0.21212121212121199</v>
      </c>
      <c r="E230" s="13">
        <f>集計_障がい別!$H$400</f>
        <v>0.48484848484848497</v>
      </c>
      <c r="F230" s="13">
        <f>集計_障がい別!$H$401</f>
        <v>9.0909090909090898E-2</v>
      </c>
    </row>
    <row r="231" spans="2:6" ht="17.100000000000001" customHeight="1">
      <c r="B231" s="4" t="s">
        <v>449</v>
      </c>
      <c r="C231" s="13">
        <f>集計_障がい別!$I$398</f>
        <v>0.18181818181818199</v>
      </c>
      <c r="D231" s="13">
        <f>集計_障がい別!$I$399</f>
        <v>0.34090909090909099</v>
      </c>
      <c r="E231" s="13">
        <f>集計_障がい別!$I$400</f>
        <v>0.38636363636363602</v>
      </c>
      <c r="F231" s="13">
        <f>集計_障がい別!$I$401</f>
        <v>9.0909090909090898E-2</v>
      </c>
    </row>
    <row r="237" spans="2:6" ht="21" customHeight="1">
      <c r="B237" s="6" t="s">
        <v>739</v>
      </c>
    </row>
    <row r="238" spans="2:6">
      <c r="B238" s="11" t="str">
        <f>"n="&amp;集計_障がい者!$F$401&amp;"（複数回答）"</f>
        <v>n=259（複数回答）</v>
      </c>
    </row>
    <row r="239" spans="2:6" ht="18" customHeight="1">
      <c r="B239" s="2" t="s">
        <v>429</v>
      </c>
      <c r="C239" s="2" t="s">
        <v>430</v>
      </c>
      <c r="D239" s="2" t="s">
        <v>431</v>
      </c>
    </row>
    <row r="240" spans="2:6" ht="17.100000000000001" customHeight="1">
      <c r="B240" s="4" t="s">
        <v>740</v>
      </c>
      <c r="C240" s="12">
        <f>集計_障がい者!$D$401</f>
        <v>93</v>
      </c>
      <c r="D240" s="13">
        <f>集計_障がい者!$E$401</f>
        <v>0.35907335907335902</v>
      </c>
    </row>
    <row r="241" spans="2:5" ht="17.100000000000001" customHeight="1">
      <c r="B241" s="4" t="s">
        <v>741</v>
      </c>
      <c r="C241" s="12">
        <f>集計_障がい者!$D$402</f>
        <v>51</v>
      </c>
      <c r="D241" s="13">
        <f>集計_障がい者!$E$402</f>
        <v>0.19691119691119699</v>
      </c>
    </row>
    <row r="242" spans="2:5" ht="17.100000000000001" customHeight="1">
      <c r="B242" s="4" t="s">
        <v>742</v>
      </c>
      <c r="C242" s="12">
        <f>集計_障がい者!$D$405</f>
        <v>26</v>
      </c>
      <c r="D242" s="13">
        <f>集計_障がい者!$E$405</f>
        <v>0.10038610038610001</v>
      </c>
    </row>
    <row r="243" spans="2:5" ht="17.100000000000001" customHeight="1">
      <c r="B243" s="4" t="s">
        <v>743</v>
      </c>
      <c r="C243" s="12">
        <f>集計_障がい者!$D$403</f>
        <v>21</v>
      </c>
      <c r="D243" s="13">
        <f>集計_障がい者!$E$403</f>
        <v>8.1081081081081099E-2</v>
      </c>
    </row>
    <row r="244" spans="2:5" ht="17.100000000000001" customHeight="1">
      <c r="B244" s="4" t="s">
        <v>744</v>
      </c>
      <c r="C244" s="12">
        <f>集計_障がい者!$D$406</f>
        <v>5</v>
      </c>
      <c r="D244" s="13">
        <f>集計_障がい者!$E$406</f>
        <v>1.9305019305019301E-2</v>
      </c>
    </row>
    <row r="245" spans="2:5" ht="17.100000000000001" customHeight="1">
      <c r="B245" s="4" t="s">
        <v>745</v>
      </c>
      <c r="C245" s="12">
        <f>集計_障がい者!$D$404</f>
        <v>4</v>
      </c>
      <c r="D245" s="13">
        <f>集計_障がい者!$E$404</f>
        <v>1.5444015444015399E-2</v>
      </c>
    </row>
    <row r="246" spans="2:5" ht="17.100000000000001" customHeight="1">
      <c r="B246" s="4" t="s">
        <v>437</v>
      </c>
      <c r="C246" s="12">
        <f>集計_障がい者!$D$407</f>
        <v>12</v>
      </c>
      <c r="D246" s="13">
        <f>集計_障がい者!$E$407</f>
        <v>4.6332046332046302E-2</v>
      </c>
    </row>
    <row r="247" spans="2:5" ht="17.100000000000001" customHeight="1">
      <c r="B247" s="4" t="s">
        <v>438</v>
      </c>
      <c r="C247" s="12">
        <f>集計_障がい者!$D$408</f>
        <v>124</v>
      </c>
      <c r="D247" s="13">
        <f>集計_障がい者!$E$408</f>
        <v>0.47876447876447897</v>
      </c>
    </row>
    <row r="251" spans="2:5" ht="21" customHeight="1">
      <c r="B251" s="6" t="s">
        <v>746</v>
      </c>
    </row>
    <row r="253" spans="2:5" ht="30.95" customHeight="1">
      <c r="B253" s="2" t="s">
        <v>429</v>
      </c>
      <c r="C253" s="2" t="s">
        <v>447</v>
      </c>
      <c r="D253" s="2" t="s">
        <v>448</v>
      </c>
      <c r="E253" s="2" t="s">
        <v>449</v>
      </c>
    </row>
    <row r="254" spans="2:5" ht="17.100000000000001" customHeight="1">
      <c r="B254" s="4" t="s">
        <v>740</v>
      </c>
      <c r="C254" s="13">
        <f>集計_障がい別!$G$402</f>
        <v>0.39896373056994799</v>
      </c>
      <c r="D254" s="13">
        <f>集計_障がい別!$H$402</f>
        <v>0.36363636363636398</v>
      </c>
      <c r="E254" s="13">
        <f>集計_障がい別!$I$402</f>
        <v>0.29545454545454503</v>
      </c>
    </row>
    <row r="255" spans="2:5" ht="17.100000000000001" customHeight="1">
      <c r="B255" s="4" t="s">
        <v>741</v>
      </c>
      <c r="C255" s="13">
        <f>集計_障がい別!$G$403</f>
        <v>0.21243523316062199</v>
      </c>
      <c r="D255" s="13">
        <f>集計_障がい別!$H$403</f>
        <v>0.30303030303030298</v>
      </c>
      <c r="E255" s="13">
        <f>集計_障がい別!$I$403</f>
        <v>0.15909090909090901</v>
      </c>
    </row>
    <row r="256" spans="2:5" ht="17.100000000000001" customHeight="1">
      <c r="B256" s="4" t="s">
        <v>742</v>
      </c>
      <c r="C256" s="13">
        <f>集計_障がい別!$G$406</f>
        <v>0.113989637305699</v>
      </c>
      <c r="D256" s="13">
        <f>集計_障がい別!$H$406</f>
        <v>9.0909090909090898E-2</v>
      </c>
      <c r="E256" s="13">
        <f>集計_障がい別!$I$406</f>
        <v>0.11363636363636399</v>
      </c>
    </row>
    <row r="257" spans="2:5" ht="17.100000000000001" customHeight="1">
      <c r="B257" s="4" t="s">
        <v>743</v>
      </c>
      <c r="C257" s="13">
        <f>集計_障がい別!$G$404</f>
        <v>0.10362694300518099</v>
      </c>
      <c r="D257" s="13">
        <f>集計_障がい別!$H$404</f>
        <v>9.0909090909090898E-2</v>
      </c>
      <c r="E257" s="13">
        <f>集計_障がい別!$I$404</f>
        <v>4.5454545454545497E-2</v>
      </c>
    </row>
    <row r="258" spans="2:5" ht="17.100000000000001" customHeight="1">
      <c r="B258" s="4" t="s">
        <v>744</v>
      </c>
      <c r="C258" s="13">
        <f>集計_障がい別!$G$407</f>
        <v>1.55440414507772E-2</v>
      </c>
      <c r="D258" s="13">
        <f>集計_障がい別!$H$407</f>
        <v>3.03030303030303E-2</v>
      </c>
      <c r="E258" s="13">
        <f>集計_障がい別!$I$407</f>
        <v>2.27272727272727E-2</v>
      </c>
    </row>
    <row r="259" spans="2:5" ht="17.100000000000001" customHeight="1">
      <c r="B259" s="4" t="s">
        <v>745</v>
      </c>
      <c r="C259" s="13">
        <f>集計_障がい別!$G$405</f>
        <v>2.0725388601036301E-2</v>
      </c>
      <c r="D259" s="13">
        <f>集計_障がい別!$H$405</f>
        <v>0</v>
      </c>
      <c r="E259" s="13">
        <f>集計_障がい別!$I$405</f>
        <v>0</v>
      </c>
    </row>
    <row r="260" spans="2:5" ht="17.100000000000001" customHeight="1">
      <c r="B260" s="4" t="s">
        <v>437</v>
      </c>
      <c r="C260" s="13">
        <f>集計_障がい別!$G$408</f>
        <v>3.10880829015544E-2</v>
      </c>
      <c r="D260" s="13">
        <f>集計_障がい別!$H$408</f>
        <v>6.0606060606060601E-2</v>
      </c>
      <c r="E260" s="13">
        <f>集計_障がい別!$I$408</f>
        <v>9.0909090909090898E-2</v>
      </c>
    </row>
    <row r="261" spans="2:5" ht="17.100000000000001" customHeight="1">
      <c r="B261" s="4" t="s">
        <v>438</v>
      </c>
      <c r="C261" s="13">
        <f>集計_障がい別!$G$409</f>
        <v>0.45595854922279799</v>
      </c>
      <c r="D261" s="13">
        <f>集計_障がい別!$H$409</f>
        <v>0.42424242424242398</v>
      </c>
      <c r="E261" s="13">
        <f>集計_障がい別!$I$409</f>
        <v>0.45454545454545497</v>
      </c>
    </row>
    <row r="279" spans="2:4" ht="21" customHeight="1">
      <c r="B279" s="6" t="s">
        <v>747</v>
      </c>
    </row>
    <row r="280" spans="2:4">
      <c r="B280" s="11" t="str">
        <f>"n="&amp;集計_障がい者!$F$409&amp;"（単一回答）"</f>
        <v>n=259（単一回答）</v>
      </c>
    </row>
    <row r="281" spans="2:4" ht="18" customHeight="1">
      <c r="B281" s="2" t="s">
        <v>429</v>
      </c>
      <c r="C281" s="2" t="s">
        <v>430</v>
      </c>
      <c r="D281" s="2" t="s">
        <v>431</v>
      </c>
    </row>
    <row r="282" spans="2:4" ht="17.100000000000001" customHeight="1">
      <c r="B282" s="4" t="s">
        <v>748</v>
      </c>
      <c r="C282" s="12">
        <f>集計_障がい者!$D$409</f>
        <v>43</v>
      </c>
      <c r="D282" s="13">
        <f>集計_障がい者!$E$409</f>
        <v>0.166023166023166</v>
      </c>
    </row>
    <row r="283" spans="2:4" ht="17.100000000000001" customHeight="1">
      <c r="B283" s="4" t="s">
        <v>749</v>
      </c>
      <c r="C283" s="12">
        <f>集計_障がい者!$D$410</f>
        <v>196</v>
      </c>
      <c r="D283" s="13">
        <f>集計_障がい者!$E$410</f>
        <v>0.75675675675675702</v>
      </c>
    </row>
    <row r="284" spans="2:4" ht="17.100000000000001" customHeight="1">
      <c r="B284" s="4" t="s">
        <v>438</v>
      </c>
      <c r="C284" s="12">
        <f>集計_障がい者!$D$411</f>
        <v>20</v>
      </c>
      <c r="D284" s="13">
        <f>集計_障がい者!$E$411</f>
        <v>7.7220077220077205E-2</v>
      </c>
    </row>
    <row r="291" spans="2:5" ht="21" customHeight="1">
      <c r="B291" s="6" t="s">
        <v>750</v>
      </c>
    </row>
    <row r="293" spans="2:5" ht="18" customHeight="1">
      <c r="B293" s="2" t="s">
        <v>445</v>
      </c>
      <c r="C293" s="2" t="s">
        <v>748</v>
      </c>
      <c r="D293" s="2" t="s">
        <v>749</v>
      </c>
      <c r="E293" s="2" t="s">
        <v>438</v>
      </c>
    </row>
    <row r="294" spans="2:5" ht="17.100000000000001" customHeight="1">
      <c r="B294" s="4" t="s">
        <v>446</v>
      </c>
      <c r="C294" s="13">
        <f>集計_障がい者!$E$409</f>
        <v>0.166023166023166</v>
      </c>
      <c r="D294" s="13">
        <f>集計_障がい者!$E$410</f>
        <v>0.75675675675675702</v>
      </c>
      <c r="E294" s="13">
        <f>集計_障がい者!$E$411</f>
        <v>7.7220077220077205E-2</v>
      </c>
    </row>
    <row r="295" spans="2:5" ht="17.100000000000001" customHeight="1">
      <c r="B295" s="4" t="s">
        <v>447</v>
      </c>
      <c r="C295" s="13">
        <f>集計_障がい別!$G$410</f>
        <v>0.18652849740932601</v>
      </c>
      <c r="D295" s="13">
        <f>集計_障がい別!$G$411</f>
        <v>0.73056994818652898</v>
      </c>
      <c r="E295" s="13">
        <f>集計_障がい別!$G$412</f>
        <v>8.2901554404145095E-2</v>
      </c>
    </row>
    <row r="296" spans="2:5" ht="17.100000000000001" customHeight="1">
      <c r="B296" s="4" t="s">
        <v>448</v>
      </c>
      <c r="C296" s="13">
        <f>集計_障がい別!$H$410</f>
        <v>0.18181818181818199</v>
      </c>
      <c r="D296" s="13">
        <f>集計_障がい別!$H$411</f>
        <v>0.75757575757575801</v>
      </c>
      <c r="E296" s="13">
        <f>集計_障がい別!$H$412</f>
        <v>6.0606060606060601E-2</v>
      </c>
    </row>
    <row r="297" spans="2:5" ht="17.100000000000001" customHeight="1">
      <c r="B297" s="4" t="s">
        <v>449</v>
      </c>
      <c r="C297" s="13">
        <f>集計_障がい別!$I$410</f>
        <v>0.18181818181818199</v>
      </c>
      <c r="D297" s="13">
        <f>集計_障がい別!$I$411</f>
        <v>0.72727272727272696</v>
      </c>
      <c r="E297" s="13">
        <f>集計_障がい別!$I$412</f>
        <v>9.0909090909090898E-2</v>
      </c>
    </row>
    <row r="306" spans="2:5" ht="21" customHeight="1">
      <c r="B306" s="6" t="s">
        <v>751</v>
      </c>
    </row>
    <row r="307" spans="2:5">
      <c r="B307" s="11" t="str">
        <f>"n="&amp;集計_障がい者!$F$412&amp;"（単一回答）"</f>
        <v>n=259（単一回答）</v>
      </c>
    </row>
    <row r="308" spans="2:5" ht="18" customHeight="1">
      <c r="B308" s="2" t="s">
        <v>429</v>
      </c>
      <c r="C308" s="2" t="s">
        <v>430</v>
      </c>
      <c r="D308" s="2" t="s">
        <v>431</v>
      </c>
    </row>
    <row r="309" spans="2:5" ht="17.100000000000001" customHeight="1">
      <c r="B309" s="4" t="s">
        <v>748</v>
      </c>
      <c r="C309" s="12">
        <f>集計_障がい者!$D$412</f>
        <v>27</v>
      </c>
      <c r="D309" s="13">
        <f>集計_障がい者!$E$412</f>
        <v>0.104247104247104</v>
      </c>
    </row>
    <row r="310" spans="2:5" ht="17.100000000000001" customHeight="1">
      <c r="B310" s="4" t="s">
        <v>749</v>
      </c>
      <c r="C310" s="12">
        <f>集計_障がい者!$D$413</f>
        <v>204</v>
      </c>
      <c r="D310" s="13">
        <f>集計_障がい者!$E$413</f>
        <v>0.78764478764478796</v>
      </c>
    </row>
    <row r="311" spans="2:5" ht="17.100000000000001" customHeight="1">
      <c r="B311" s="4" t="s">
        <v>438</v>
      </c>
      <c r="C311" s="12">
        <f>集計_障がい者!$D$414</f>
        <v>28</v>
      </c>
      <c r="D311" s="13">
        <f>集計_障がい者!$E$414</f>
        <v>0.108108108108108</v>
      </c>
    </row>
    <row r="318" spans="2:5" ht="21" customHeight="1">
      <c r="B318" s="6" t="s">
        <v>752</v>
      </c>
    </row>
    <row r="320" spans="2:5" ht="18" customHeight="1">
      <c r="B320" s="2" t="s">
        <v>445</v>
      </c>
      <c r="C320" s="2" t="s">
        <v>748</v>
      </c>
      <c r="D320" s="2" t="s">
        <v>749</v>
      </c>
      <c r="E320" s="2" t="s">
        <v>438</v>
      </c>
    </row>
    <row r="321" spans="2:5" ht="17.100000000000001" customHeight="1">
      <c r="B321" s="4" t="s">
        <v>446</v>
      </c>
      <c r="C321" s="13">
        <f>集計_障がい者!$E$412</f>
        <v>0.104247104247104</v>
      </c>
      <c r="D321" s="13">
        <f>集計_障がい者!$E$413</f>
        <v>0.78764478764478796</v>
      </c>
      <c r="E321" s="13">
        <f>集計_障がい者!$E$414</f>
        <v>0.108108108108108</v>
      </c>
    </row>
    <row r="322" spans="2:5" ht="17.100000000000001" customHeight="1">
      <c r="B322" s="4" t="s">
        <v>447</v>
      </c>
      <c r="C322" s="13">
        <f>集計_障がい別!$G$413</f>
        <v>0.10880829015544</v>
      </c>
      <c r="D322" s="13">
        <f>集計_障がい別!$G$414</f>
        <v>0.77720207253885998</v>
      </c>
      <c r="E322" s="13">
        <f>集計_障がい別!$G$415</f>
        <v>0.113989637305699</v>
      </c>
    </row>
    <row r="323" spans="2:5" ht="17.100000000000001" customHeight="1">
      <c r="B323" s="4" t="s">
        <v>448</v>
      </c>
      <c r="C323" s="13">
        <f>集計_障がい別!$H$413</f>
        <v>0.18181818181818199</v>
      </c>
      <c r="D323" s="13">
        <f>集計_障がい別!$H$414</f>
        <v>0.75757575757575801</v>
      </c>
      <c r="E323" s="13">
        <f>集計_障がい別!$H$415</f>
        <v>6.0606060606060601E-2</v>
      </c>
    </row>
    <row r="324" spans="2:5" ht="17.100000000000001" customHeight="1">
      <c r="B324" s="4" t="s">
        <v>449</v>
      </c>
      <c r="C324" s="13">
        <f>集計_障がい別!$I$413</f>
        <v>0.15909090909090901</v>
      </c>
      <c r="D324" s="13">
        <f>集計_障がい別!$I$414</f>
        <v>0.72727272727272696</v>
      </c>
      <c r="E324" s="13">
        <f>集計_障がい別!$I$415</f>
        <v>0.11363636363636399</v>
      </c>
    </row>
  </sheetData>
  <pageMargins left="0.75" right="0.75" top="1" bottom="1" header="0.5" footer="0.5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F156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6" ht="21" customHeight="1">
      <c r="B2" s="6" t="s">
        <v>753</v>
      </c>
    </row>
    <row r="3" spans="2:6">
      <c r="B3" s="11" t="str">
        <f>"n="&amp;集計_障がい者!$F$415&amp;"（単一回答）"</f>
        <v>n=259（単一回答）</v>
      </c>
    </row>
    <row r="4" spans="2:6" ht="18" customHeight="1">
      <c r="B4" s="2" t="s">
        <v>429</v>
      </c>
      <c r="C4" s="2" t="s">
        <v>430</v>
      </c>
      <c r="D4" s="2" t="s">
        <v>431</v>
      </c>
    </row>
    <row r="5" spans="2:6" ht="17.100000000000001" customHeight="1">
      <c r="B5" s="4" t="s">
        <v>754</v>
      </c>
      <c r="C5" s="12">
        <f>集計_障がい者!$D$415</f>
        <v>100</v>
      </c>
      <c r="D5" s="13">
        <f>集計_障がい者!$E$415</f>
        <v>0.38610038610038599</v>
      </c>
    </row>
    <row r="6" spans="2:6" ht="17.100000000000001" customHeight="1">
      <c r="B6" s="4" t="s">
        <v>755</v>
      </c>
      <c r="C6" s="12">
        <f>集計_障がい者!$D$416</f>
        <v>92</v>
      </c>
      <c r="D6" s="13">
        <f>集計_障がい者!$E$416</f>
        <v>0.355212355212355</v>
      </c>
    </row>
    <row r="7" spans="2:6" ht="17.100000000000001" customHeight="1">
      <c r="B7" s="4" t="s">
        <v>442</v>
      </c>
      <c r="C7" s="12">
        <f>集計_障がい者!$D$417</f>
        <v>52</v>
      </c>
      <c r="D7" s="13">
        <f>集計_障がい者!$E$417</f>
        <v>0.20077220077220101</v>
      </c>
    </row>
    <row r="8" spans="2:6" ht="17.100000000000001" customHeight="1">
      <c r="B8" s="4" t="s">
        <v>438</v>
      </c>
      <c r="C8" s="12">
        <f>集計_障がい者!$D$418</f>
        <v>15</v>
      </c>
      <c r="D8" s="13">
        <f>集計_障がい者!$E$418</f>
        <v>5.7915057915057903E-2</v>
      </c>
    </row>
    <row r="13" spans="2:6" ht="21" customHeight="1">
      <c r="B13" s="6" t="s">
        <v>756</v>
      </c>
    </row>
    <row r="15" spans="2:6" ht="18" customHeight="1">
      <c r="B15" s="2" t="s">
        <v>445</v>
      </c>
      <c r="C15" s="2" t="s">
        <v>754</v>
      </c>
      <c r="D15" s="2" t="s">
        <v>755</v>
      </c>
      <c r="E15" s="2" t="s">
        <v>442</v>
      </c>
      <c r="F15" s="2" t="s">
        <v>438</v>
      </c>
    </row>
    <row r="16" spans="2:6" ht="17.100000000000001" customHeight="1">
      <c r="B16" s="4" t="s">
        <v>446</v>
      </c>
      <c r="C16" s="13">
        <f>集計_障がい者!$E$415</f>
        <v>0.38610038610038599</v>
      </c>
      <c r="D16" s="13">
        <f>集計_障がい者!$E$416</f>
        <v>0.355212355212355</v>
      </c>
      <c r="E16" s="13">
        <f>集計_障がい者!$E$417</f>
        <v>0.20077220077220101</v>
      </c>
      <c r="F16" s="13">
        <f>集計_障がい者!$E$418</f>
        <v>5.7915057915057903E-2</v>
      </c>
    </row>
    <row r="17" spans="2:6" ht="17.100000000000001" customHeight="1">
      <c r="B17" s="4" t="s">
        <v>447</v>
      </c>
      <c r="C17" s="13">
        <f>集計_障がい別!$G$416</f>
        <v>0.409326424870466</v>
      </c>
      <c r="D17" s="13">
        <f>集計_障がい別!$G$417</f>
        <v>0.352331606217617</v>
      </c>
      <c r="E17" s="13">
        <f>集計_障がい別!$G$418</f>
        <v>0.170984455958549</v>
      </c>
      <c r="F17" s="13">
        <f>集計_障がい別!$G$419</f>
        <v>6.7357512953367907E-2</v>
      </c>
    </row>
    <row r="18" spans="2:6" ht="17.100000000000001" customHeight="1">
      <c r="B18" s="4" t="s">
        <v>448</v>
      </c>
      <c r="C18" s="13">
        <f>集計_障がい別!$H$416</f>
        <v>0.33333333333333298</v>
      </c>
      <c r="D18" s="13">
        <f>集計_障がい別!$H$417</f>
        <v>0.36363636363636398</v>
      </c>
      <c r="E18" s="13">
        <f>集計_障がい別!$H$418</f>
        <v>0.24242424242424199</v>
      </c>
      <c r="F18" s="13">
        <f>集計_障がい別!$H$419</f>
        <v>6.0606060606060601E-2</v>
      </c>
    </row>
    <row r="19" spans="2:6" ht="17.100000000000001" customHeight="1">
      <c r="B19" s="4" t="s">
        <v>449</v>
      </c>
      <c r="C19" s="13">
        <f>集計_障がい別!$I$416</f>
        <v>0.29545454545454503</v>
      </c>
      <c r="D19" s="13">
        <f>集計_障がい別!$I$417</f>
        <v>0.18181818181818199</v>
      </c>
      <c r="E19" s="13">
        <f>集計_障がい別!$I$418</f>
        <v>0.40909090909090901</v>
      </c>
      <c r="F19" s="13">
        <f>集計_障がい別!$I$419</f>
        <v>0.11363636363636399</v>
      </c>
    </row>
    <row r="28" spans="2:6" ht="21" customHeight="1">
      <c r="B28" s="6" t="s">
        <v>757</v>
      </c>
    </row>
    <row r="29" spans="2:6">
      <c r="B29" s="11" t="str">
        <f>"n="&amp;集計_障がい者!$F$419&amp;"（単一回答）"</f>
        <v>n=259（単一回答）</v>
      </c>
    </row>
    <row r="30" spans="2:6" ht="18" customHeight="1">
      <c r="B30" s="2" t="s">
        <v>429</v>
      </c>
      <c r="C30" s="2" t="s">
        <v>430</v>
      </c>
      <c r="D30" s="2" t="s">
        <v>431</v>
      </c>
    </row>
    <row r="31" spans="2:6" ht="17.100000000000001" customHeight="1">
      <c r="B31" s="4" t="s">
        <v>758</v>
      </c>
      <c r="C31" s="12">
        <f>集計_障がい者!$D$419</f>
        <v>82</v>
      </c>
      <c r="D31" s="13">
        <f>集計_障がい者!$E$419</f>
        <v>0.31660231660231702</v>
      </c>
    </row>
    <row r="32" spans="2:6" ht="17.100000000000001" customHeight="1">
      <c r="B32" s="4" t="s">
        <v>759</v>
      </c>
      <c r="C32" s="12">
        <f>集計_障がい者!$D$420</f>
        <v>60</v>
      </c>
      <c r="D32" s="13">
        <f>集計_障がい者!$E$420</f>
        <v>0.231660231660232</v>
      </c>
    </row>
    <row r="33" spans="2:6" ht="17.100000000000001" customHeight="1">
      <c r="B33" s="4" t="s">
        <v>442</v>
      </c>
      <c r="C33" s="12">
        <f>集計_障がい者!$D$421</f>
        <v>94</v>
      </c>
      <c r="D33" s="13">
        <f>集計_障がい者!$E$421</f>
        <v>0.36293436293436299</v>
      </c>
    </row>
    <row r="34" spans="2:6" ht="17.100000000000001" customHeight="1">
      <c r="B34" s="4" t="s">
        <v>438</v>
      </c>
      <c r="C34" s="12">
        <f>集計_障がい者!$D$422</f>
        <v>23</v>
      </c>
      <c r="D34" s="13">
        <f>集計_障がい者!$E$422</f>
        <v>8.8803088803088806E-2</v>
      </c>
    </row>
    <row r="39" spans="2:6" ht="21" customHeight="1">
      <c r="B39" s="6" t="s">
        <v>760</v>
      </c>
    </row>
    <row r="41" spans="2:6" ht="18" customHeight="1">
      <c r="B41" s="2" t="s">
        <v>445</v>
      </c>
      <c r="C41" s="2" t="s">
        <v>758</v>
      </c>
      <c r="D41" s="2" t="s">
        <v>759</v>
      </c>
      <c r="E41" s="2" t="s">
        <v>442</v>
      </c>
      <c r="F41" s="2" t="s">
        <v>438</v>
      </c>
    </row>
    <row r="42" spans="2:6" ht="17.100000000000001" customHeight="1">
      <c r="B42" s="4" t="s">
        <v>446</v>
      </c>
      <c r="C42" s="13">
        <f>集計_障がい者!$E$419</f>
        <v>0.31660231660231702</v>
      </c>
      <c r="D42" s="13">
        <f>集計_障がい者!$E$420</f>
        <v>0.231660231660232</v>
      </c>
      <c r="E42" s="13">
        <f>集計_障がい者!$E$421</f>
        <v>0.36293436293436299</v>
      </c>
      <c r="F42" s="13">
        <f>集計_障がい者!$E$422</f>
        <v>8.8803088803088806E-2</v>
      </c>
    </row>
    <row r="43" spans="2:6" ht="17.100000000000001" customHeight="1">
      <c r="B43" s="4" t="s">
        <v>447</v>
      </c>
      <c r="C43" s="13">
        <f>集計_障がい別!$G$420</f>
        <v>0.37305699481865301</v>
      </c>
      <c r="D43" s="13">
        <f>集計_障がい別!$G$421</f>
        <v>0.19170984455958501</v>
      </c>
      <c r="E43" s="13">
        <f>集計_障がい別!$G$422</f>
        <v>0.34715025906735802</v>
      </c>
      <c r="F43" s="13">
        <f>集計_障がい別!$G$423</f>
        <v>8.8082901554404097E-2</v>
      </c>
    </row>
    <row r="44" spans="2:6" ht="17.100000000000001" customHeight="1">
      <c r="B44" s="4" t="s">
        <v>448</v>
      </c>
      <c r="C44" s="13">
        <f>集計_障がい別!$H$420</f>
        <v>0.18181818181818199</v>
      </c>
      <c r="D44" s="13">
        <f>集計_障がい別!$H$421</f>
        <v>0.27272727272727298</v>
      </c>
      <c r="E44" s="13">
        <f>集計_障がい別!$H$422</f>
        <v>0.36363636363636398</v>
      </c>
      <c r="F44" s="13">
        <f>集計_障がい別!$H$423</f>
        <v>0.18181818181818199</v>
      </c>
    </row>
    <row r="45" spans="2:6" ht="17.100000000000001" customHeight="1">
      <c r="B45" s="4" t="s">
        <v>449</v>
      </c>
      <c r="C45" s="13">
        <f>集計_障がい別!$I$420</f>
        <v>0.13636363636363599</v>
      </c>
      <c r="D45" s="13">
        <f>集計_障がい別!$I$421</f>
        <v>0.25</v>
      </c>
      <c r="E45" s="13">
        <f>集計_障がい別!$I$422</f>
        <v>0.45454545454545497</v>
      </c>
      <c r="F45" s="13">
        <f>集計_障がい別!$I$423</f>
        <v>0.15909090909090901</v>
      </c>
    </row>
    <row r="54" spans="2:4" ht="21" customHeight="1">
      <c r="B54" s="6" t="s">
        <v>761</v>
      </c>
    </row>
    <row r="55" spans="2:4">
      <c r="B55" s="11" t="str">
        <f>"n="&amp;集計_障がい者!$F$423&amp;"（複数回答）"</f>
        <v>n=259（複数回答）</v>
      </c>
    </row>
    <row r="56" spans="2:4" ht="18" customHeight="1">
      <c r="B56" s="2" t="s">
        <v>429</v>
      </c>
      <c r="C56" s="2" t="s">
        <v>430</v>
      </c>
      <c r="D56" s="2" t="s">
        <v>431</v>
      </c>
    </row>
    <row r="57" spans="2:4" ht="17.100000000000001" customHeight="1">
      <c r="B57" s="4" t="s">
        <v>762</v>
      </c>
      <c r="C57" s="12">
        <f>集計_障がい者!$D$423</f>
        <v>134</v>
      </c>
      <c r="D57" s="13">
        <f>集計_障がい者!$E$423</f>
        <v>0.51737451737451701</v>
      </c>
    </row>
    <row r="58" spans="2:4" ht="17.100000000000001" customHeight="1">
      <c r="B58" s="4" t="s">
        <v>763</v>
      </c>
      <c r="C58" s="12">
        <f>集計_障がい者!$D$430</f>
        <v>121</v>
      </c>
      <c r="D58" s="13">
        <f>集計_障がい者!$E$430</f>
        <v>0.46718146718146703</v>
      </c>
    </row>
    <row r="59" spans="2:4" ht="30" customHeight="1">
      <c r="B59" s="4" t="s">
        <v>764</v>
      </c>
      <c r="C59" s="12">
        <f>集計_障がい者!$D$427</f>
        <v>97</v>
      </c>
      <c r="D59" s="13">
        <f>集計_障がい者!$E$427</f>
        <v>0.37451737451737499</v>
      </c>
    </row>
    <row r="60" spans="2:4" ht="17.100000000000001" customHeight="1">
      <c r="B60" s="4" t="s">
        <v>765</v>
      </c>
      <c r="C60" s="12">
        <f>集計_障がい者!$D$426</f>
        <v>52</v>
      </c>
      <c r="D60" s="13">
        <f>集計_障がい者!$E$426</f>
        <v>0.20077220077220101</v>
      </c>
    </row>
    <row r="61" spans="2:4" ht="17.100000000000001" customHeight="1">
      <c r="B61" s="4" t="s">
        <v>766</v>
      </c>
      <c r="C61" s="12">
        <f>集計_障がい者!$D$429</f>
        <v>43</v>
      </c>
      <c r="D61" s="13">
        <f>集計_障がい者!$E$429</f>
        <v>0.166023166023166</v>
      </c>
    </row>
    <row r="62" spans="2:4" ht="17.100000000000001" customHeight="1">
      <c r="B62" s="4" t="s">
        <v>767</v>
      </c>
      <c r="C62" s="12">
        <f>集計_障がい者!$D$428</f>
        <v>41</v>
      </c>
      <c r="D62" s="13">
        <f>集計_障がい者!$E$428</f>
        <v>0.15830115830115801</v>
      </c>
    </row>
    <row r="63" spans="2:4" ht="17.100000000000001" customHeight="1">
      <c r="B63" s="4" t="s">
        <v>768</v>
      </c>
      <c r="C63" s="12">
        <f>集計_障がい者!$D$431</f>
        <v>40</v>
      </c>
      <c r="D63" s="13">
        <f>集計_障がい者!$E$431</f>
        <v>0.15444015444015399</v>
      </c>
    </row>
    <row r="64" spans="2:4" ht="17.100000000000001" customHeight="1">
      <c r="B64" s="4" t="s">
        <v>769</v>
      </c>
      <c r="C64" s="12">
        <f>集計_障がい者!$D$425</f>
        <v>31</v>
      </c>
      <c r="D64" s="13">
        <f>集計_障がい者!$E$425</f>
        <v>0.11969111969111999</v>
      </c>
    </row>
    <row r="65" spans="2:5" ht="17.100000000000001" customHeight="1">
      <c r="B65" s="4" t="s">
        <v>770</v>
      </c>
      <c r="C65" s="12">
        <f>集計_障がい者!$D$424</f>
        <v>25</v>
      </c>
      <c r="D65" s="13">
        <f>集計_障がい者!$E$424</f>
        <v>9.6525096525096499E-2</v>
      </c>
    </row>
    <row r="66" spans="2:5" ht="17.100000000000001" customHeight="1">
      <c r="B66" s="4" t="s">
        <v>437</v>
      </c>
      <c r="C66" s="12">
        <f>集計_障がい者!$D$432</f>
        <v>5</v>
      </c>
      <c r="D66" s="13">
        <f>集計_障がい者!$E$432</f>
        <v>1.9305019305019301E-2</v>
      </c>
    </row>
    <row r="67" spans="2:5" ht="17.100000000000001" customHeight="1">
      <c r="B67" s="4" t="s">
        <v>604</v>
      </c>
      <c r="C67" s="12">
        <f>集計_障がい者!$D$433</f>
        <v>34</v>
      </c>
      <c r="D67" s="13">
        <f>集計_障がい者!$E$433</f>
        <v>0.13127413127413101</v>
      </c>
    </row>
    <row r="68" spans="2:5" ht="17.100000000000001" customHeight="1">
      <c r="B68" s="4" t="s">
        <v>438</v>
      </c>
      <c r="C68" s="12">
        <f>集計_障がい者!$D$434</f>
        <v>21</v>
      </c>
      <c r="D68" s="13">
        <f>集計_障がい者!$E$434</f>
        <v>8.1081081081081099E-2</v>
      </c>
    </row>
    <row r="73" spans="2:5" ht="21" customHeight="1">
      <c r="B73" s="6" t="s">
        <v>771</v>
      </c>
    </row>
    <row r="75" spans="2:5" ht="30.95" customHeight="1">
      <c r="B75" s="2" t="s">
        <v>429</v>
      </c>
      <c r="C75" s="2" t="s">
        <v>447</v>
      </c>
      <c r="D75" s="2" t="s">
        <v>448</v>
      </c>
      <c r="E75" s="2" t="s">
        <v>449</v>
      </c>
    </row>
    <row r="76" spans="2:5" ht="17.100000000000001" customHeight="1">
      <c r="B76" s="4" t="s">
        <v>762</v>
      </c>
      <c r="C76" s="13">
        <f>集計_障がい別!$G$424</f>
        <v>0.55958549222797904</v>
      </c>
      <c r="D76" s="13">
        <f>集計_障がい別!$H$424</f>
        <v>0.24242424242424199</v>
      </c>
      <c r="E76" s="13">
        <f>集計_障がい別!$I$424</f>
        <v>0.47727272727272702</v>
      </c>
    </row>
    <row r="77" spans="2:5" ht="17.100000000000001" customHeight="1">
      <c r="B77" s="4" t="s">
        <v>763</v>
      </c>
      <c r="C77" s="13">
        <f>集計_障がい別!$G$431</f>
        <v>0.47150259067357497</v>
      </c>
      <c r="D77" s="13">
        <f>集計_障がい別!$H$431</f>
        <v>0.30303030303030298</v>
      </c>
      <c r="E77" s="13">
        <f>集計_障がい別!$I$431</f>
        <v>0.45454545454545497</v>
      </c>
    </row>
    <row r="78" spans="2:5" ht="30" customHeight="1">
      <c r="B78" s="4" t="s">
        <v>764</v>
      </c>
      <c r="C78" s="13">
        <f>集計_障がい別!$G$428</f>
        <v>0.39378238341968902</v>
      </c>
      <c r="D78" s="13">
        <f>集計_障がい別!$H$428</f>
        <v>0.30303030303030298</v>
      </c>
      <c r="E78" s="13">
        <f>集計_障がい別!$I$428</f>
        <v>0.31818181818181801</v>
      </c>
    </row>
    <row r="79" spans="2:5" ht="17.100000000000001" customHeight="1">
      <c r="B79" s="4" t="s">
        <v>765</v>
      </c>
      <c r="C79" s="13">
        <f>集計_障がい別!$G$427</f>
        <v>0.19170984455958501</v>
      </c>
      <c r="D79" s="13">
        <f>集計_障がい別!$H$427</f>
        <v>0.21212121212121199</v>
      </c>
      <c r="E79" s="13">
        <f>集計_障がい別!$I$427</f>
        <v>0.22727272727272699</v>
      </c>
    </row>
    <row r="80" spans="2:5" ht="17.100000000000001" customHeight="1">
      <c r="B80" s="4" t="s">
        <v>766</v>
      </c>
      <c r="C80" s="13">
        <f>集計_障がい別!$G$430</f>
        <v>0.124352331606218</v>
      </c>
      <c r="D80" s="13">
        <f>集計_障がい別!$H$430</f>
        <v>0.24242424242424199</v>
      </c>
      <c r="E80" s="13">
        <f>集計_障がい別!$I$430</f>
        <v>0.36363636363636398</v>
      </c>
    </row>
    <row r="81" spans="2:5" ht="17.100000000000001" customHeight="1">
      <c r="B81" s="4" t="s">
        <v>767</v>
      </c>
      <c r="C81" s="13">
        <f>集計_障がい別!$G$429</f>
        <v>0.170984455958549</v>
      </c>
      <c r="D81" s="13">
        <f>集計_障がい別!$H$429</f>
        <v>0.15151515151515199</v>
      </c>
      <c r="E81" s="13">
        <f>集計_障がい別!$I$429</f>
        <v>0.18181818181818199</v>
      </c>
    </row>
    <row r="82" spans="2:5" ht="17.100000000000001" customHeight="1">
      <c r="B82" s="4" t="s">
        <v>768</v>
      </c>
      <c r="C82" s="13">
        <f>集計_障がい別!$G$432</f>
        <v>0.176165803108808</v>
      </c>
      <c r="D82" s="13">
        <f>集計_障がい別!$H$432</f>
        <v>6.0606060606060601E-2</v>
      </c>
      <c r="E82" s="13">
        <f>集計_障がい別!$I$432</f>
        <v>6.8181818181818205E-2</v>
      </c>
    </row>
    <row r="83" spans="2:5" ht="17.100000000000001" customHeight="1">
      <c r="B83" s="4" t="s">
        <v>769</v>
      </c>
      <c r="C83" s="13">
        <f>集計_障がい別!$G$426</f>
        <v>0.13471502590673601</v>
      </c>
      <c r="D83" s="13">
        <f>集計_障がい別!$H$426</f>
        <v>9.0909090909090898E-2</v>
      </c>
      <c r="E83" s="13">
        <f>集計_障がい別!$I$426</f>
        <v>9.0909090909090898E-2</v>
      </c>
    </row>
    <row r="84" spans="2:5" ht="17.100000000000001" customHeight="1">
      <c r="B84" s="4" t="s">
        <v>770</v>
      </c>
      <c r="C84" s="13">
        <f>集計_障がい別!$G$425</f>
        <v>9.8445595854922296E-2</v>
      </c>
      <c r="D84" s="13">
        <f>集計_障がい別!$H$425</f>
        <v>6.0606060606060601E-2</v>
      </c>
      <c r="E84" s="13">
        <f>集計_障がい別!$I$425</f>
        <v>0.11363636363636399</v>
      </c>
    </row>
    <row r="85" spans="2:5" ht="17.100000000000001" customHeight="1">
      <c r="B85" s="4" t="s">
        <v>437</v>
      </c>
      <c r="C85" s="13">
        <f>集計_障がい別!$G$433</f>
        <v>1.55440414507772E-2</v>
      </c>
      <c r="D85" s="13">
        <f>集計_障がい別!$H$433</f>
        <v>0</v>
      </c>
      <c r="E85" s="13">
        <f>集計_障がい別!$I$433</f>
        <v>4.5454545454545497E-2</v>
      </c>
    </row>
    <row r="86" spans="2:5" ht="17.100000000000001" customHeight="1">
      <c r="B86" s="4" t="s">
        <v>604</v>
      </c>
      <c r="C86" s="13">
        <f>集計_障がい別!$G$434</f>
        <v>0.119170984455959</v>
      </c>
      <c r="D86" s="13">
        <f>集計_障がい別!$H$434</f>
        <v>0.27272727272727298</v>
      </c>
      <c r="E86" s="13">
        <f>集計_障がい別!$I$434</f>
        <v>6.8181818181818205E-2</v>
      </c>
    </row>
    <row r="87" spans="2:5" ht="17.100000000000001" customHeight="1">
      <c r="B87" s="4" t="s">
        <v>438</v>
      </c>
      <c r="C87" s="13">
        <f>集計_障がい別!$G$435</f>
        <v>8.8082901554404097E-2</v>
      </c>
      <c r="D87" s="13">
        <f>集計_障がい別!$H$435</f>
        <v>0.12121212121212099</v>
      </c>
      <c r="E87" s="13">
        <f>集計_障がい別!$I$435</f>
        <v>0.13636363636363599</v>
      </c>
    </row>
    <row r="111" spans="2:2" ht="21" customHeight="1">
      <c r="B111" s="6" t="s">
        <v>772</v>
      </c>
    </row>
    <row r="112" spans="2:2">
      <c r="B112" s="11" t="str">
        <f>"n="&amp;集計_障がい者!$F$435&amp;"（単一回答）"</f>
        <v>n=259（単一回答）</v>
      </c>
    </row>
    <row r="113" spans="2:5" ht="18" customHeight="1">
      <c r="B113" s="2" t="s">
        <v>429</v>
      </c>
      <c r="C113" s="2" t="s">
        <v>430</v>
      </c>
      <c r="D113" s="2" t="s">
        <v>431</v>
      </c>
    </row>
    <row r="114" spans="2:5" ht="17.100000000000001" customHeight="1">
      <c r="B114" s="4" t="s">
        <v>773</v>
      </c>
      <c r="C114" s="12">
        <f>集計_障がい者!$D$435</f>
        <v>72</v>
      </c>
      <c r="D114" s="13">
        <f>集計_障がい者!$E$435</f>
        <v>0.27799227799227799</v>
      </c>
    </row>
    <row r="115" spans="2:5" ht="17.100000000000001" customHeight="1">
      <c r="B115" s="4" t="s">
        <v>774</v>
      </c>
      <c r="C115" s="12">
        <f>集計_障がい者!$D$436</f>
        <v>158</v>
      </c>
      <c r="D115" s="13">
        <f>集計_障がい者!$E$436</f>
        <v>0.61003861003861004</v>
      </c>
    </row>
    <row r="116" spans="2:5" ht="17.100000000000001" customHeight="1">
      <c r="B116" s="4" t="s">
        <v>438</v>
      </c>
      <c r="C116" s="12">
        <f>集計_障がい者!$D$437</f>
        <v>29</v>
      </c>
      <c r="D116" s="13">
        <f>集計_障がい者!$E$437</f>
        <v>0.111969111969112</v>
      </c>
    </row>
    <row r="123" spans="2:5" ht="21" customHeight="1">
      <c r="B123" s="6" t="s">
        <v>775</v>
      </c>
    </row>
    <row r="125" spans="2:5" ht="18" customHeight="1">
      <c r="B125" s="2" t="s">
        <v>445</v>
      </c>
      <c r="C125" s="2" t="s">
        <v>773</v>
      </c>
      <c r="D125" s="2" t="s">
        <v>774</v>
      </c>
      <c r="E125" s="2" t="s">
        <v>438</v>
      </c>
    </row>
    <row r="126" spans="2:5" ht="17.100000000000001" customHeight="1">
      <c r="B126" s="4" t="s">
        <v>446</v>
      </c>
      <c r="C126" s="13">
        <f>集計_障がい者!$E$435</f>
        <v>0.27799227799227799</v>
      </c>
      <c r="D126" s="13">
        <f>集計_障がい者!$E$436</f>
        <v>0.61003861003861004</v>
      </c>
      <c r="E126" s="13">
        <f>集計_障がい者!$E$437</f>
        <v>0.111969111969112</v>
      </c>
    </row>
    <row r="127" spans="2:5" ht="17.100000000000001" customHeight="1">
      <c r="B127" s="4" t="s">
        <v>447</v>
      </c>
      <c r="C127" s="13">
        <f>集計_障がい別!$G$436</f>
        <v>0.27461139896373099</v>
      </c>
      <c r="D127" s="13">
        <f>集計_障がい別!$G$437</f>
        <v>0.62176165803108796</v>
      </c>
      <c r="E127" s="13">
        <f>集計_障がい別!$G$438</f>
        <v>0.10362694300518099</v>
      </c>
    </row>
    <row r="128" spans="2:5" ht="17.100000000000001" customHeight="1">
      <c r="B128" s="4" t="s">
        <v>448</v>
      </c>
      <c r="C128" s="13">
        <f>集計_障がい別!$H$436</f>
        <v>0.30303030303030298</v>
      </c>
      <c r="D128" s="13">
        <f>集計_障がい別!$H$437</f>
        <v>0.54545454545454497</v>
      </c>
      <c r="E128" s="13">
        <f>集計_障がい別!$H$438</f>
        <v>0.15151515151515199</v>
      </c>
    </row>
    <row r="129" spans="2:5" ht="17.100000000000001" customHeight="1">
      <c r="B129" s="4" t="s">
        <v>449</v>
      </c>
      <c r="C129" s="13">
        <f>集計_障がい別!$I$436</f>
        <v>0.31818181818181801</v>
      </c>
      <c r="D129" s="13">
        <f>集計_障がい別!$I$437</f>
        <v>0.59090909090909105</v>
      </c>
      <c r="E129" s="13">
        <f>集計_障がい別!$I$438</f>
        <v>9.0909090909090898E-2</v>
      </c>
    </row>
    <row r="138" spans="2:5" ht="21" customHeight="1">
      <c r="B138" s="6" t="s">
        <v>776</v>
      </c>
    </row>
    <row r="139" spans="2:5">
      <c r="B139" s="11" t="str">
        <f>"n="&amp;集計_障がい者!$F$438&amp;"（単一回答）"</f>
        <v>n=259（単一回答）</v>
      </c>
    </row>
    <row r="140" spans="2:5" ht="18" customHeight="1">
      <c r="B140" s="2" t="s">
        <v>429</v>
      </c>
      <c r="C140" s="2" t="s">
        <v>430</v>
      </c>
      <c r="D140" s="2" t="s">
        <v>431</v>
      </c>
    </row>
    <row r="141" spans="2:5" ht="17.100000000000001" customHeight="1">
      <c r="B141" s="4" t="s">
        <v>773</v>
      </c>
      <c r="C141" s="12">
        <f>集計_障がい者!$D$438</f>
        <v>66</v>
      </c>
      <c r="D141" s="13">
        <f>集計_障がい者!$E$438</f>
        <v>0.25482625482625498</v>
      </c>
    </row>
    <row r="142" spans="2:5" ht="17.100000000000001" customHeight="1">
      <c r="B142" s="4" t="s">
        <v>774</v>
      </c>
      <c r="C142" s="12">
        <f>集計_障がい者!$D$439</f>
        <v>162</v>
      </c>
      <c r="D142" s="13">
        <f>集計_障がい者!$E$439</f>
        <v>0.62548262548262601</v>
      </c>
    </row>
    <row r="143" spans="2:5" ht="17.100000000000001" customHeight="1">
      <c r="B143" s="4" t="s">
        <v>438</v>
      </c>
      <c r="C143" s="12">
        <f>集計_障がい者!$D$440</f>
        <v>31</v>
      </c>
      <c r="D143" s="13">
        <f>集計_障がい者!$E$440</f>
        <v>0.11969111969111999</v>
      </c>
    </row>
    <row r="150" spans="2:5" ht="21" customHeight="1">
      <c r="B150" s="6" t="s">
        <v>777</v>
      </c>
    </row>
    <row r="152" spans="2:5" ht="18" customHeight="1">
      <c r="B152" s="2" t="s">
        <v>445</v>
      </c>
      <c r="C152" s="2" t="s">
        <v>773</v>
      </c>
      <c r="D152" s="2" t="s">
        <v>774</v>
      </c>
      <c r="E152" s="2" t="s">
        <v>438</v>
      </c>
    </row>
    <row r="153" spans="2:5" ht="17.100000000000001" customHeight="1">
      <c r="B153" s="4" t="s">
        <v>446</v>
      </c>
      <c r="C153" s="13">
        <f>集計_障がい者!$E$438</f>
        <v>0.25482625482625498</v>
      </c>
      <c r="D153" s="13">
        <f>集計_障がい者!$E$439</f>
        <v>0.62548262548262601</v>
      </c>
      <c r="E153" s="13">
        <f>集計_障がい者!$E$440</f>
        <v>0.11969111969111999</v>
      </c>
    </row>
    <row r="154" spans="2:5" ht="17.100000000000001" customHeight="1">
      <c r="B154" s="4" t="s">
        <v>447</v>
      </c>
      <c r="C154" s="13">
        <f>集計_障がい別!$G$439</f>
        <v>0.24870466321243501</v>
      </c>
      <c r="D154" s="13">
        <f>集計_障がい別!$G$440</f>
        <v>0.63212435233160602</v>
      </c>
      <c r="E154" s="13">
        <f>集計_障がい別!$G$441</f>
        <v>0.119170984455959</v>
      </c>
    </row>
    <row r="155" spans="2:5" ht="17.100000000000001" customHeight="1">
      <c r="B155" s="4" t="s">
        <v>448</v>
      </c>
      <c r="C155" s="13">
        <f>集計_障がい別!$H$439</f>
        <v>0.21212121212121199</v>
      </c>
      <c r="D155" s="13">
        <f>集計_障がい別!$H$440</f>
        <v>0.60606060606060597</v>
      </c>
      <c r="E155" s="13">
        <f>集計_障がい別!$H$441</f>
        <v>0.18181818181818199</v>
      </c>
    </row>
    <row r="156" spans="2:5" ht="17.100000000000001" customHeight="1">
      <c r="B156" s="4" t="s">
        <v>449</v>
      </c>
      <c r="C156" s="13">
        <f>集計_障がい別!$I$439</f>
        <v>0.29545454545454503</v>
      </c>
      <c r="D156" s="13">
        <f>集計_障がい別!$I$440</f>
        <v>0.61363636363636398</v>
      </c>
      <c r="E156" s="13">
        <f>集計_障がい別!$I$441</f>
        <v>9.0909090909090898E-2</v>
      </c>
    </row>
  </sheetData>
  <pageMargins left="0.75" right="0.75" top="1" bottom="1" header="0.5" footer="0.5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H156"/>
  <sheetViews>
    <sheetView showGridLines="0" workbookViewId="0"/>
  </sheetViews>
  <sheetFormatPr defaultRowHeight="15"/>
  <cols>
    <col min="1" max="1" width="2" customWidth="1"/>
    <col min="2" max="2" width="34" customWidth="1"/>
    <col min="3" max="28" width="12" customWidth="1"/>
  </cols>
  <sheetData>
    <row r="2" spans="2:7" ht="21" customHeight="1">
      <c r="B2" s="6" t="s">
        <v>778</v>
      </c>
    </row>
    <row r="3" spans="2:7">
      <c r="B3" s="16" t="s">
        <v>779</v>
      </c>
    </row>
    <row r="4" spans="2:7" ht="18" customHeight="1">
      <c r="B4" s="2" t="s">
        <v>445</v>
      </c>
      <c r="C4" s="2" t="s">
        <v>451</v>
      </c>
      <c r="D4" s="2" t="s">
        <v>452</v>
      </c>
      <c r="E4" s="2" t="s">
        <v>453</v>
      </c>
      <c r="F4" s="2" t="s">
        <v>454</v>
      </c>
      <c r="G4" s="2" t="s">
        <v>455</v>
      </c>
    </row>
    <row r="5" spans="2:7">
      <c r="B5" s="8" t="s">
        <v>780</v>
      </c>
      <c r="C5" s="17">
        <v>12</v>
      </c>
      <c r="D5" s="17">
        <v>12</v>
      </c>
      <c r="E5" s="17">
        <v>16</v>
      </c>
      <c r="F5" s="17">
        <v>32</v>
      </c>
      <c r="G5" s="17">
        <v>177</v>
      </c>
    </row>
    <row r="6" spans="2:7" ht="17.100000000000001" customHeight="1">
      <c r="B6" s="4" t="s">
        <v>556</v>
      </c>
      <c r="C6" s="18">
        <v>8</v>
      </c>
      <c r="D6" s="18">
        <v>6</v>
      </c>
      <c r="E6" s="18">
        <v>10</v>
      </c>
      <c r="F6" s="18">
        <v>16</v>
      </c>
      <c r="G6" s="18">
        <v>109</v>
      </c>
    </row>
    <row r="7" spans="2:7" ht="17.100000000000001" customHeight="1">
      <c r="B7" s="4" t="s">
        <v>557</v>
      </c>
      <c r="C7" s="18">
        <v>2</v>
      </c>
      <c r="D7" s="18">
        <v>4</v>
      </c>
      <c r="E7" s="18">
        <v>1</v>
      </c>
      <c r="F7" s="18">
        <v>3</v>
      </c>
      <c r="G7" s="18">
        <v>13</v>
      </c>
    </row>
    <row r="8" spans="2:7" ht="17.100000000000001" customHeight="1">
      <c r="B8" s="4" t="s">
        <v>558</v>
      </c>
      <c r="C8" s="18">
        <v>2</v>
      </c>
      <c r="D8" s="18">
        <v>2</v>
      </c>
      <c r="E8" s="18">
        <v>1</v>
      </c>
      <c r="F8" s="18">
        <v>3</v>
      </c>
      <c r="G8" s="18">
        <v>9</v>
      </c>
    </row>
    <row r="9" spans="2:7" ht="17.100000000000001" customHeight="1">
      <c r="B9" s="4" t="s">
        <v>559</v>
      </c>
      <c r="C9" s="18">
        <v>0</v>
      </c>
      <c r="D9" s="18">
        <v>0</v>
      </c>
      <c r="E9" s="18">
        <v>2</v>
      </c>
      <c r="F9" s="18">
        <v>2</v>
      </c>
      <c r="G9" s="18">
        <v>32</v>
      </c>
    </row>
    <row r="10" spans="2:7" ht="17.100000000000001" customHeight="1">
      <c r="B10" s="4" t="s">
        <v>437</v>
      </c>
      <c r="C10" s="18">
        <v>0</v>
      </c>
      <c r="D10" s="18">
        <v>0</v>
      </c>
      <c r="E10" s="18">
        <v>2</v>
      </c>
      <c r="F10" s="18">
        <v>3</v>
      </c>
      <c r="G10" s="18">
        <v>4</v>
      </c>
    </row>
    <row r="11" spans="2:7" ht="17.100000000000001" customHeight="1">
      <c r="B11" s="4" t="s">
        <v>438</v>
      </c>
      <c r="C11" s="18">
        <v>0</v>
      </c>
      <c r="D11" s="18">
        <v>0</v>
      </c>
      <c r="E11" s="18">
        <v>0</v>
      </c>
      <c r="F11" s="18">
        <v>5</v>
      </c>
      <c r="G11" s="18">
        <v>10</v>
      </c>
    </row>
    <row r="13" spans="2:7">
      <c r="B13" s="16" t="s">
        <v>781</v>
      </c>
    </row>
    <row r="14" spans="2:7" ht="18" customHeight="1">
      <c r="B14" s="2" t="s">
        <v>445</v>
      </c>
      <c r="C14" s="2" t="s">
        <v>451</v>
      </c>
      <c r="D14" s="2" t="s">
        <v>452</v>
      </c>
      <c r="E14" s="2" t="s">
        <v>453</v>
      </c>
      <c r="F14" s="2" t="s">
        <v>454</v>
      </c>
      <c r="G14" s="2" t="s">
        <v>455</v>
      </c>
    </row>
    <row r="15" spans="2:7" ht="17.100000000000001" customHeight="1">
      <c r="B15" s="4" t="s">
        <v>556</v>
      </c>
      <c r="C15" s="15">
        <f>IF($C$5=0,0,$C$6/$C$5)</f>
        <v>0.66666666666666696</v>
      </c>
      <c r="D15" s="15">
        <f>IF($D$5=0,0,$D$6/$D$5)</f>
        <v>0.5</v>
      </c>
      <c r="E15" s="15">
        <f>IF($E$5=0,0,$E$6/$E$5)</f>
        <v>0.625</v>
      </c>
      <c r="F15" s="15">
        <f>IF($F$5=0,0,$F$6/$F$5)</f>
        <v>0.5</v>
      </c>
      <c r="G15" s="15">
        <f>IF($G$5=0,0,$G$6/$G$5)</f>
        <v>0.61581920903954801</v>
      </c>
    </row>
    <row r="16" spans="2:7" ht="17.100000000000001" customHeight="1">
      <c r="B16" s="4" t="s">
        <v>557</v>
      </c>
      <c r="C16" s="15">
        <f>IF($C$5=0,0,$C$7/$C$5)</f>
        <v>0.16666666666666699</v>
      </c>
      <c r="D16" s="15">
        <f>IF($D$5=0,0,$D$7/$D$5)</f>
        <v>0.33333333333333298</v>
      </c>
      <c r="E16" s="15">
        <f>IF($E$5=0,0,$E$7/$E$5)</f>
        <v>6.25E-2</v>
      </c>
      <c r="F16" s="15">
        <f>IF($F$5=0,0,$F$7/$F$5)</f>
        <v>9.375E-2</v>
      </c>
      <c r="G16" s="15">
        <f>IF($G$5=0,0,$G$7/$G$5)</f>
        <v>7.3446327683615795E-2</v>
      </c>
    </row>
    <row r="17" spans="2:8" ht="17.100000000000001" customHeight="1">
      <c r="B17" s="4" t="s">
        <v>558</v>
      </c>
      <c r="C17" s="15">
        <f>IF($C$5=0,0,$C$8/$C$5)</f>
        <v>0.16666666666666699</v>
      </c>
      <c r="D17" s="15">
        <f>IF($D$5=0,0,$D$8/$D$5)</f>
        <v>0.16666666666666699</v>
      </c>
      <c r="E17" s="15">
        <f>IF($E$5=0,0,$E$8/$E$5)</f>
        <v>6.25E-2</v>
      </c>
      <c r="F17" s="15">
        <f>IF($F$5=0,0,$F$8/$F$5)</f>
        <v>9.375E-2</v>
      </c>
      <c r="G17" s="15">
        <f>IF($G$5=0,0,$G$8/$G$5)</f>
        <v>5.0847457627118703E-2</v>
      </c>
    </row>
    <row r="18" spans="2:8" ht="17.100000000000001" customHeight="1">
      <c r="B18" s="4" t="s">
        <v>559</v>
      </c>
      <c r="C18" s="15">
        <f>IF($C$5=0,0,$C$9/$C$5)</f>
        <v>0</v>
      </c>
      <c r="D18" s="15">
        <f>IF($D$5=0,0,$D$9/$D$5)</f>
        <v>0</v>
      </c>
      <c r="E18" s="15">
        <f>IF($E$5=0,0,$E$9/$E$5)</f>
        <v>0.125</v>
      </c>
      <c r="F18" s="15">
        <f>IF($F$5=0,0,$F$9/$F$5)</f>
        <v>6.25E-2</v>
      </c>
      <c r="G18" s="15">
        <f>IF($G$5=0,0,$G$9/$G$5)</f>
        <v>0.18079096045197701</v>
      </c>
    </row>
    <row r="19" spans="2:8" ht="17.100000000000001" customHeight="1">
      <c r="B19" s="4" t="s">
        <v>437</v>
      </c>
      <c r="C19" s="15">
        <f>IF($C$5=0,0,$C$10/$C$5)</f>
        <v>0</v>
      </c>
      <c r="D19" s="15">
        <f>IF($D$5=0,0,$D$10/$D$5)</f>
        <v>0</v>
      </c>
      <c r="E19" s="15">
        <f>IF($E$5=0,0,$E$10/$E$5)</f>
        <v>0.125</v>
      </c>
      <c r="F19" s="15">
        <f>IF($F$5=0,0,$F$10/$F$5)</f>
        <v>9.375E-2</v>
      </c>
      <c r="G19" s="15">
        <f>IF($G$5=0,0,$G$10/$G$5)</f>
        <v>2.2598870056497199E-2</v>
      </c>
    </row>
    <row r="20" spans="2:8" ht="17.100000000000001" customHeight="1">
      <c r="B20" s="4" t="s">
        <v>438</v>
      </c>
      <c r="C20" s="19">
        <f>IF($C$5=0,0,$C$11/$C$5)</f>
        <v>0</v>
      </c>
      <c r="D20" s="19">
        <f>IF($D$5=0,0,$D$11/$D$5)</f>
        <v>0</v>
      </c>
      <c r="E20" s="19">
        <f>IF($E$5=0,0,$E$11/$E$5)</f>
        <v>0</v>
      </c>
      <c r="F20" s="19">
        <f>IF($F$5=0,0,$F$11/$F$5)</f>
        <v>0.15625</v>
      </c>
      <c r="G20" s="19">
        <f>IF($G$5=0,0,$G$11/$G$5)</f>
        <v>5.6497175141242903E-2</v>
      </c>
    </row>
    <row r="21" spans="2:8" ht="15" customHeight="1">
      <c r="B21" s="30" t="s">
        <v>782</v>
      </c>
      <c r="C21" s="32"/>
      <c r="D21" s="32"/>
      <c r="E21" s="32"/>
      <c r="F21" s="32"/>
      <c r="G21" s="32"/>
    </row>
    <row r="23" spans="2:8" ht="21" customHeight="1">
      <c r="B23" s="6" t="s">
        <v>783</v>
      </c>
    </row>
    <row r="25" spans="2:8" ht="44.1" customHeight="1">
      <c r="B25" s="2" t="s">
        <v>445</v>
      </c>
      <c r="C25" s="2" t="s">
        <v>556</v>
      </c>
      <c r="D25" s="2" t="s">
        <v>557</v>
      </c>
      <c r="E25" s="2" t="s">
        <v>558</v>
      </c>
      <c r="F25" s="2" t="s">
        <v>559</v>
      </c>
      <c r="G25" s="2" t="s">
        <v>437</v>
      </c>
      <c r="H25" s="2" t="s">
        <v>438</v>
      </c>
    </row>
    <row r="26" spans="2:8" ht="17.100000000000001" customHeight="1">
      <c r="B26" s="4" t="s">
        <v>451</v>
      </c>
      <c r="C26" s="13">
        <f>$C$15</f>
        <v>0.66666666666666696</v>
      </c>
      <c r="D26" s="13">
        <f>$C$16</f>
        <v>0.16666666666666699</v>
      </c>
      <c r="E26" s="13">
        <f>$C$17</f>
        <v>0.16666666666666699</v>
      </c>
      <c r="F26" s="13">
        <f>$C$18</f>
        <v>0</v>
      </c>
      <c r="G26" s="13">
        <f>$C$19</f>
        <v>0</v>
      </c>
      <c r="H26" s="13">
        <f>$C$20</f>
        <v>0</v>
      </c>
    </row>
    <row r="27" spans="2:8" ht="17.100000000000001" customHeight="1">
      <c r="B27" s="4" t="s">
        <v>452</v>
      </c>
      <c r="C27" s="13">
        <f>$D$15</f>
        <v>0.5</v>
      </c>
      <c r="D27" s="13">
        <f>$D$16</f>
        <v>0.33333333333333298</v>
      </c>
      <c r="E27" s="13">
        <f>$D$17</f>
        <v>0.16666666666666699</v>
      </c>
      <c r="F27" s="13">
        <f>$D$18</f>
        <v>0</v>
      </c>
      <c r="G27" s="13">
        <f>$D$19</f>
        <v>0</v>
      </c>
      <c r="H27" s="13">
        <f>$D$20</f>
        <v>0</v>
      </c>
    </row>
    <row r="28" spans="2:8" ht="17.100000000000001" customHeight="1">
      <c r="B28" s="4" t="s">
        <v>453</v>
      </c>
      <c r="C28" s="13">
        <f>$E$15</f>
        <v>0.625</v>
      </c>
      <c r="D28" s="13">
        <f>$E$16</f>
        <v>6.25E-2</v>
      </c>
      <c r="E28" s="13">
        <f>$E$17</f>
        <v>6.25E-2</v>
      </c>
      <c r="F28" s="13">
        <f>$E$18</f>
        <v>0.125</v>
      </c>
      <c r="G28" s="13">
        <f>$E$19</f>
        <v>0.125</v>
      </c>
      <c r="H28" s="13">
        <f>$E$20</f>
        <v>0</v>
      </c>
    </row>
    <row r="29" spans="2:8" ht="17.100000000000001" customHeight="1">
      <c r="B29" s="4" t="s">
        <v>454</v>
      </c>
      <c r="C29" s="13">
        <f>$F$15</f>
        <v>0.5</v>
      </c>
      <c r="D29" s="13">
        <f>$F$16</f>
        <v>9.375E-2</v>
      </c>
      <c r="E29" s="13">
        <f>$F$17</f>
        <v>9.375E-2</v>
      </c>
      <c r="F29" s="13">
        <f>$F$18</f>
        <v>6.25E-2</v>
      </c>
      <c r="G29" s="13">
        <f>$F$19</f>
        <v>9.375E-2</v>
      </c>
      <c r="H29" s="13">
        <f>$F$20</f>
        <v>0.15625</v>
      </c>
    </row>
    <row r="30" spans="2:8" ht="17.100000000000001" customHeight="1">
      <c r="B30" s="4" t="s">
        <v>455</v>
      </c>
      <c r="C30" s="13">
        <f>$G$15</f>
        <v>0.61581920903954801</v>
      </c>
      <c r="D30" s="13">
        <f>$G$16</f>
        <v>7.3446327683615795E-2</v>
      </c>
      <c r="E30" s="13">
        <f>$G$17</f>
        <v>5.0847457627118703E-2</v>
      </c>
      <c r="F30" s="13">
        <f>$G$18</f>
        <v>0.18079096045197701</v>
      </c>
      <c r="G30" s="13">
        <f>$G$19</f>
        <v>2.2598870056497199E-2</v>
      </c>
      <c r="H30" s="13">
        <f>$G$20</f>
        <v>5.6497175141242903E-2</v>
      </c>
    </row>
    <row r="38" spans="2:8" ht="21" customHeight="1">
      <c r="B38" s="6" t="s">
        <v>784</v>
      </c>
    </row>
    <row r="39" spans="2:8">
      <c r="B39" s="16" t="s">
        <v>779</v>
      </c>
    </row>
    <row r="40" spans="2:8" ht="83.1" customHeight="1">
      <c r="B40" s="2" t="s">
        <v>445</v>
      </c>
      <c r="C40" s="2" t="s">
        <v>458</v>
      </c>
      <c r="D40" s="2" t="s">
        <v>459</v>
      </c>
      <c r="E40" s="2" t="s">
        <v>460</v>
      </c>
      <c r="F40" s="2" t="s">
        <v>461</v>
      </c>
      <c r="G40" s="2" t="s">
        <v>462</v>
      </c>
      <c r="H40" s="2" t="s">
        <v>437</v>
      </c>
    </row>
    <row r="41" spans="2:8">
      <c r="B41" s="8" t="s">
        <v>780</v>
      </c>
      <c r="C41" s="17">
        <v>41</v>
      </c>
      <c r="D41" s="17">
        <v>169</v>
      </c>
      <c r="E41" s="17">
        <v>11</v>
      </c>
      <c r="F41" s="17">
        <v>24</v>
      </c>
      <c r="G41" s="17">
        <v>6</v>
      </c>
      <c r="H41" s="17">
        <v>1</v>
      </c>
    </row>
    <row r="42" spans="2:8" ht="17.100000000000001" customHeight="1">
      <c r="B42" s="4" t="s">
        <v>556</v>
      </c>
      <c r="C42" s="18">
        <v>12</v>
      </c>
      <c r="D42" s="18">
        <v>132</v>
      </c>
      <c r="E42" s="18">
        <v>2</v>
      </c>
      <c r="F42" s="18">
        <v>3</v>
      </c>
      <c r="G42" s="18">
        <v>3</v>
      </c>
      <c r="H42" s="18">
        <v>1</v>
      </c>
    </row>
    <row r="43" spans="2:8" ht="17.100000000000001" customHeight="1">
      <c r="B43" s="4" t="s">
        <v>557</v>
      </c>
      <c r="C43" s="18">
        <v>10</v>
      </c>
      <c r="D43" s="18">
        <v>11</v>
      </c>
      <c r="E43" s="18">
        <v>1</v>
      </c>
      <c r="F43" s="18">
        <v>1</v>
      </c>
      <c r="G43" s="18">
        <v>0</v>
      </c>
      <c r="H43" s="18">
        <v>0</v>
      </c>
    </row>
    <row r="44" spans="2:8" ht="17.100000000000001" customHeight="1">
      <c r="B44" s="4" t="s">
        <v>558</v>
      </c>
      <c r="C44" s="18">
        <v>5</v>
      </c>
      <c r="D44" s="18">
        <v>5</v>
      </c>
      <c r="E44" s="18">
        <v>5</v>
      </c>
      <c r="F44" s="18">
        <v>1</v>
      </c>
      <c r="G44" s="18">
        <v>1</v>
      </c>
      <c r="H44" s="18">
        <v>0</v>
      </c>
    </row>
    <row r="45" spans="2:8" ht="17.100000000000001" customHeight="1">
      <c r="B45" s="4" t="s">
        <v>559</v>
      </c>
      <c r="C45" s="18">
        <v>8</v>
      </c>
      <c r="D45" s="18">
        <v>9</v>
      </c>
      <c r="E45" s="18">
        <v>1</v>
      </c>
      <c r="F45" s="18">
        <v>16</v>
      </c>
      <c r="G45" s="18">
        <v>2</v>
      </c>
      <c r="H45" s="18">
        <v>0</v>
      </c>
    </row>
    <row r="46" spans="2:8" ht="17.100000000000001" customHeight="1">
      <c r="B46" s="4" t="s">
        <v>437</v>
      </c>
      <c r="C46" s="18">
        <v>3</v>
      </c>
      <c r="D46" s="18">
        <v>5</v>
      </c>
      <c r="E46" s="18">
        <v>0</v>
      </c>
      <c r="F46" s="18">
        <v>1</v>
      </c>
      <c r="G46" s="18">
        <v>0</v>
      </c>
      <c r="H46" s="18">
        <v>0</v>
      </c>
    </row>
    <row r="47" spans="2:8" ht="17.100000000000001" customHeight="1">
      <c r="B47" s="4" t="s">
        <v>438</v>
      </c>
      <c r="C47" s="18">
        <v>3</v>
      </c>
      <c r="D47" s="18">
        <v>7</v>
      </c>
      <c r="E47" s="18">
        <v>2</v>
      </c>
      <c r="F47" s="18">
        <v>2</v>
      </c>
      <c r="G47" s="18">
        <v>0</v>
      </c>
      <c r="H47" s="18">
        <v>0</v>
      </c>
    </row>
    <row r="49" spans="2:8">
      <c r="B49" s="16" t="s">
        <v>781</v>
      </c>
    </row>
    <row r="50" spans="2:8" ht="83.1" customHeight="1">
      <c r="B50" s="2" t="s">
        <v>445</v>
      </c>
      <c r="C50" s="2" t="s">
        <v>458</v>
      </c>
      <c r="D50" s="2" t="s">
        <v>459</v>
      </c>
      <c r="E50" s="2" t="s">
        <v>460</v>
      </c>
      <c r="F50" s="2" t="s">
        <v>461</v>
      </c>
      <c r="G50" s="2" t="s">
        <v>462</v>
      </c>
      <c r="H50" s="2" t="s">
        <v>437</v>
      </c>
    </row>
    <row r="51" spans="2:8" ht="17.100000000000001" customHeight="1">
      <c r="B51" s="4" t="s">
        <v>556</v>
      </c>
      <c r="C51" s="15">
        <f>IF($C$41=0,0,$C$42/$C$41)</f>
        <v>0.292682926829268</v>
      </c>
      <c r="D51" s="15">
        <f>IF($D$41=0,0,$D$42/$D$41)</f>
        <v>0.781065088757396</v>
      </c>
      <c r="E51" s="15">
        <f>IF($E$41=0,0,$E$42/$E$41)</f>
        <v>0.18181818181818199</v>
      </c>
      <c r="F51" s="15">
        <f>IF($F$41=0,0,$F$42/$F$41)</f>
        <v>0.125</v>
      </c>
      <c r="G51" s="15">
        <f>IF($G$41=0,0,$G$42/$G$41)</f>
        <v>0.5</v>
      </c>
      <c r="H51" s="15">
        <f>IF($H$41=0,0,$H$42/$H$41)</f>
        <v>1</v>
      </c>
    </row>
    <row r="52" spans="2:8" ht="17.100000000000001" customHeight="1">
      <c r="B52" s="4" t="s">
        <v>557</v>
      </c>
      <c r="C52" s="15">
        <f>IF($C$41=0,0,$C$43/$C$41)</f>
        <v>0.24390243902438999</v>
      </c>
      <c r="D52" s="15">
        <f>IF($D$41=0,0,$D$43/$D$41)</f>
        <v>6.5088757396449703E-2</v>
      </c>
      <c r="E52" s="15">
        <f>IF($E$41=0,0,$E$43/$E$41)</f>
        <v>9.0909090909090898E-2</v>
      </c>
      <c r="F52" s="15">
        <f>IF($F$41=0,0,$F$43/$F$41)</f>
        <v>4.1666666666666699E-2</v>
      </c>
      <c r="G52" s="15">
        <f>IF($G$41=0,0,$G$43/$G$41)</f>
        <v>0</v>
      </c>
      <c r="H52" s="15">
        <f>IF($H$41=0,0,$H$43/$H$41)</f>
        <v>0</v>
      </c>
    </row>
    <row r="53" spans="2:8" ht="17.100000000000001" customHeight="1">
      <c r="B53" s="4" t="s">
        <v>558</v>
      </c>
      <c r="C53" s="15">
        <f>IF($C$41=0,0,$C$44/$C$41)</f>
        <v>0.12195121951219499</v>
      </c>
      <c r="D53" s="15">
        <f>IF($D$41=0,0,$D$44/$D$41)</f>
        <v>2.9585798816568001E-2</v>
      </c>
      <c r="E53" s="15">
        <f>IF($E$41=0,0,$E$44/$E$41)</f>
        <v>0.45454545454545497</v>
      </c>
      <c r="F53" s="15">
        <f>IF($F$41=0,0,$F$44/$F$41)</f>
        <v>4.1666666666666699E-2</v>
      </c>
      <c r="G53" s="15">
        <f>IF($G$41=0,0,$G$44/$G$41)</f>
        <v>0.16666666666666699</v>
      </c>
      <c r="H53" s="15">
        <f>IF($H$41=0,0,$H$44/$H$41)</f>
        <v>0</v>
      </c>
    </row>
    <row r="54" spans="2:8" ht="17.100000000000001" customHeight="1">
      <c r="B54" s="4" t="s">
        <v>559</v>
      </c>
      <c r="C54" s="15">
        <f>IF($C$41=0,0,$C$45/$C$41)</f>
        <v>0.19512195121951201</v>
      </c>
      <c r="D54" s="15">
        <f>IF($D$41=0,0,$D$45/$D$41)</f>
        <v>5.32544378698225E-2</v>
      </c>
      <c r="E54" s="15">
        <f>IF($E$41=0,0,$E$45/$E$41)</f>
        <v>9.0909090909090898E-2</v>
      </c>
      <c r="F54" s="15">
        <f>IF($F$41=0,0,$F$45/$F$41)</f>
        <v>0.66666666666666696</v>
      </c>
      <c r="G54" s="15">
        <f>IF($G$41=0,0,$G$45/$G$41)</f>
        <v>0.33333333333333298</v>
      </c>
      <c r="H54" s="15">
        <f>IF($H$41=0,0,$H$45/$H$41)</f>
        <v>0</v>
      </c>
    </row>
    <row r="55" spans="2:8" ht="17.100000000000001" customHeight="1">
      <c r="B55" s="4" t="s">
        <v>437</v>
      </c>
      <c r="C55" s="15">
        <f>IF($C$41=0,0,$C$46/$C$41)</f>
        <v>7.3170731707317097E-2</v>
      </c>
      <c r="D55" s="15">
        <f>IF($D$41=0,0,$D$46/$D$41)</f>
        <v>2.9585798816568001E-2</v>
      </c>
      <c r="E55" s="15">
        <f>IF($E$41=0,0,$E$46/$E$41)</f>
        <v>0</v>
      </c>
      <c r="F55" s="15">
        <f>IF($F$41=0,0,$F$46/$F$41)</f>
        <v>4.1666666666666699E-2</v>
      </c>
      <c r="G55" s="15">
        <f>IF($G$41=0,0,$G$46/$G$41)</f>
        <v>0</v>
      </c>
      <c r="H55" s="15">
        <f>IF($H$41=0,0,$H$46/$H$41)</f>
        <v>0</v>
      </c>
    </row>
    <row r="56" spans="2:8" ht="17.100000000000001" customHeight="1">
      <c r="B56" s="4" t="s">
        <v>438</v>
      </c>
      <c r="C56" s="19">
        <f>IF($C$41=0,0,$C$47/$C$41)</f>
        <v>7.3170731707317097E-2</v>
      </c>
      <c r="D56" s="19">
        <f>IF($D$41=0,0,$D$47/$D$41)</f>
        <v>4.1420118343195297E-2</v>
      </c>
      <c r="E56" s="19">
        <f>IF($E$41=0,0,$E$47/$E$41)</f>
        <v>0.18181818181818199</v>
      </c>
      <c r="F56" s="19">
        <f>IF($F$41=0,0,$F$47/$F$41)</f>
        <v>8.3333333333333301E-2</v>
      </c>
      <c r="G56" s="19">
        <f>IF($G$41=0,0,$G$47/$G$41)</f>
        <v>0</v>
      </c>
      <c r="H56" s="19">
        <f>IF($H$41=0,0,$H$47/$H$41)</f>
        <v>0</v>
      </c>
    </row>
    <row r="57" spans="2:8" ht="15" customHeight="1">
      <c r="B57" s="30" t="s">
        <v>782</v>
      </c>
      <c r="C57" s="32"/>
      <c r="D57" s="32"/>
      <c r="E57" s="32"/>
      <c r="F57" s="32"/>
      <c r="G57" s="32"/>
      <c r="H57" s="32"/>
    </row>
    <row r="59" spans="2:8" ht="21" customHeight="1">
      <c r="B59" s="6" t="s">
        <v>785</v>
      </c>
    </row>
    <row r="61" spans="2:8" ht="44.1" customHeight="1">
      <c r="B61" s="2" t="s">
        <v>445</v>
      </c>
      <c r="C61" s="2" t="s">
        <v>556</v>
      </c>
      <c r="D61" s="2" t="s">
        <v>557</v>
      </c>
      <c r="E61" s="2" t="s">
        <v>558</v>
      </c>
      <c r="F61" s="2" t="s">
        <v>559</v>
      </c>
      <c r="G61" s="2" t="s">
        <v>437</v>
      </c>
      <c r="H61" s="2" t="s">
        <v>438</v>
      </c>
    </row>
    <row r="62" spans="2:8" ht="30" customHeight="1">
      <c r="B62" s="4" t="s">
        <v>458</v>
      </c>
      <c r="C62" s="13">
        <f>$C$51</f>
        <v>0.292682926829268</v>
      </c>
      <c r="D62" s="13">
        <f>$C$52</f>
        <v>0.24390243902438999</v>
      </c>
      <c r="E62" s="13">
        <f>$C$53</f>
        <v>0.12195121951219499</v>
      </c>
      <c r="F62" s="13">
        <f>$C$54</f>
        <v>0.19512195121951201</v>
      </c>
      <c r="G62" s="13">
        <f>$C$55</f>
        <v>7.3170731707317097E-2</v>
      </c>
      <c r="H62" s="13">
        <f>$C$56</f>
        <v>7.3170731707317097E-2</v>
      </c>
    </row>
    <row r="63" spans="2:8" ht="30" customHeight="1">
      <c r="B63" s="4" t="s">
        <v>459</v>
      </c>
      <c r="C63" s="13">
        <f>$D$51</f>
        <v>0.781065088757396</v>
      </c>
      <c r="D63" s="13">
        <f>$D$52</f>
        <v>6.5088757396449703E-2</v>
      </c>
      <c r="E63" s="13">
        <f>$D$53</f>
        <v>2.9585798816568001E-2</v>
      </c>
      <c r="F63" s="13">
        <f>$D$54</f>
        <v>5.32544378698225E-2</v>
      </c>
      <c r="G63" s="13">
        <f>$D$55</f>
        <v>2.9585798816568001E-2</v>
      </c>
      <c r="H63" s="13">
        <f>$D$56</f>
        <v>4.1420118343195297E-2</v>
      </c>
    </row>
    <row r="64" spans="2:8" ht="17.100000000000001" customHeight="1">
      <c r="B64" s="4" t="s">
        <v>460</v>
      </c>
      <c r="C64" s="13">
        <f>$E$51</f>
        <v>0.18181818181818199</v>
      </c>
      <c r="D64" s="13">
        <f>$E$52</f>
        <v>9.0909090909090898E-2</v>
      </c>
      <c r="E64" s="13">
        <f>$E$53</f>
        <v>0.45454545454545497</v>
      </c>
      <c r="F64" s="13">
        <f>$E$54</f>
        <v>9.0909090909090898E-2</v>
      </c>
      <c r="G64" s="13">
        <f>$E$55</f>
        <v>0</v>
      </c>
      <c r="H64" s="13">
        <f>$E$56</f>
        <v>0.18181818181818199</v>
      </c>
    </row>
    <row r="65" spans="2:8" ht="30" customHeight="1">
      <c r="B65" s="4" t="s">
        <v>461</v>
      </c>
      <c r="C65" s="13">
        <f>$F$51</f>
        <v>0.125</v>
      </c>
      <c r="D65" s="13">
        <f>$F$52</f>
        <v>4.1666666666666699E-2</v>
      </c>
      <c r="E65" s="13">
        <f>$F$53</f>
        <v>4.1666666666666699E-2</v>
      </c>
      <c r="F65" s="13">
        <f>$F$54</f>
        <v>0.66666666666666696</v>
      </c>
      <c r="G65" s="13">
        <f>$F$55</f>
        <v>4.1666666666666699E-2</v>
      </c>
      <c r="H65" s="13">
        <f>$F$56</f>
        <v>8.3333333333333301E-2</v>
      </c>
    </row>
    <row r="66" spans="2:8" ht="17.100000000000001" customHeight="1">
      <c r="B66" s="4" t="s">
        <v>462</v>
      </c>
      <c r="C66" s="13">
        <f>$G$51</f>
        <v>0.5</v>
      </c>
      <c r="D66" s="13">
        <f>$G$52</f>
        <v>0</v>
      </c>
      <c r="E66" s="13">
        <f>$G$53</f>
        <v>0.16666666666666699</v>
      </c>
      <c r="F66" s="13">
        <f>$G$54</f>
        <v>0.33333333333333298</v>
      </c>
      <c r="G66" s="13">
        <f>$G$55</f>
        <v>0</v>
      </c>
      <c r="H66" s="13">
        <f>$G$56</f>
        <v>0</v>
      </c>
    </row>
    <row r="67" spans="2:8" ht="17.100000000000001" customHeight="1">
      <c r="B67" s="4" t="s">
        <v>437</v>
      </c>
      <c r="C67" s="13">
        <f>$H$51</f>
        <v>1</v>
      </c>
      <c r="D67" s="13">
        <f>$H$52</f>
        <v>0</v>
      </c>
      <c r="E67" s="13">
        <f>$H$53</f>
        <v>0</v>
      </c>
      <c r="F67" s="13">
        <f>$H$54</f>
        <v>0</v>
      </c>
      <c r="G67" s="13">
        <f>$H$55</f>
        <v>0</v>
      </c>
      <c r="H67" s="13">
        <f>$H$56</f>
        <v>0</v>
      </c>
    </row>
    <row r="73" spans="2:8" ht="21" customHeight="1">
      <c r="B73" s="6" t="s">
        <v>786</v>
      </c>
    </row>
    <row r="74" spans="2:8">
      <c r="B74" s="16" t="s">
        <v>779</v>
      </c>
    </row>
    <row r="75" spans="2:8" ht="18" customHeight="1">
      <c r="B75" s="2" t="s">
        <v>445</v>
      </c>
      <c r="C75" s="2" t="s">
        <v>451</v>
      </c>
      <c r="D75" s="2" t="s">
        <v>452</v>
      </c>
      <c r="E75" s="2" t="s">
        <v>453</v>
      </c>
      <c r="F75" s="2" t="s">
        <v>454</v>
      </c>
      <c r="G75" s="2" t="s">
        <v>455</v>
      </c>
    </row>
    <row r="76" spans="2:8">
      <c r="B76" s="8" t="s">
        <v>780</v>
      </c>
      <c r="C76" s="17">
        <v>12</v>
      </c>
      <c r="D76" s="17">
        <v>12</v>
      </c>
      <c r="E76" s="17">
        <v>16</v>
      </c>
      <c r="F76" s="17">
        <v>32</v>
      </c>
      <c r="G76" s="17">
        <v>177</v>
      </c>
    </row>
    <row r="77" spans="2:8" ht="17.100000000000001" customHeight="1">
      <c r="B77" s="4" t="s">
        <v>754</v>
      </c>
      <c r="C77" s="18">
        <v>5</v>
      </c>
      <c r="D77" s="18">
        <v>6</v>
      </c>
      <c r="E77" s="18">
        <v>5</v>
      </c>
      <c r="F77" s="18">
        <v>11</v>
      </c>
      <c r="G77" s="18">
        <v>70</v>
      </c>
    </row>
    <row r="78" spans="2:8" ht="17.100000000000001" customHeight="1">
      <c r="B78" s="4" t="s">
        <v>755</v>
      </c>
      <c r="C78" s="18">
        <v>3</v>
      </c>
      <c r="D78" s="18">
        <v>2</v>
      </c>
      <c r="E78" s="18">
        <v>6</v>
      </c>
      <c r="F78" s="18">
        <v>4</v>
      </c>
      <c r="G78" s="18">
        <v>73</v>
      </c>
    </row>
    <row r="79" spans="2:8" ht="17.100000000000001" customHeight="1">
      <c r="B79" s="4" t="s">
        <v>442</v>
      </c>
      <c r="C79" s="18">
        <v>4</v>
      </c>
      <c r="D79" s="18">
        <v>4</v>
      </c>
      <c r="E79" s="18">
        <v>5</v>
      </c>
      <c r="F79" s="18">
        <v>13</v>
      </c>
      <c r="G79" s="18">
        <v>25</v>
      </c>
    </row>
    <row r="80" spans="2:8" ht="17.100000000000001" customHeight="1">
      <c r="B80" s="4" t="s">
        <v>438</v>
      </c>
      <c r="C80" s="18">
        <v>0</v>
      </c>
      <c r="D80" s="18">
        <v>0</v>
      </c>
      <c r="E80" s="18">
        <v>0</v>
      </c>
      <c r="F80" s="18">
        <v>4</v>
      </c>
      <c r="G80" s="18">
        <v>9</v>
      </c>
    </row>
    <row r="82" spans="2:7">
      <c r="B82" s="16" t="s">
        <v>781</v>
      </c>
    </row>
    <row r="83" spans="2:7" ht="18" customHeight="1">
      <c r="B83" s="2" t="s">
        <v>445</v>
      </c>
      <c r="C83" s="2" t="s">
        <v>451</v>
      </c>
      <c r="D83" s="2" t="s">
        <v>452</v>
      </c>
      <c r="E83" s="2" t="s">
        <v>453</v>
      </c>
      <c r="F83" s="2" t="s">
        <v>454</v>
      </c>
      <c r="G83" s="2" t="s">
        <v>455</v>
      </c>
    </row>
    <row r="84" spans="2:7" ht="17.100000000000001" customHeight="1">
      <c r="B84" s="4" t="s">
        <v>754</v>
      </c>
      <c r="C84" s="15">
        <f>IF($C$76=0,0,$C$77/$C$76)</f>
        <v>0.41666666666666702</v>
      </c>
      <c r="D84" s="15">
        <f>IF($D$76=0,0,$D$77/$D$76)</f>
        <v>0.5</v>
      </c>
      <c r="E84" s="15">
        <f>IF($E$76=0,0,$E$77/$E$76)</f>
        <v>0.3125</v>
      </c>
      <c r="F84" s="15">
        <f>IF($F$76=0,0,$F$77/$F$76)</f>
        <v>0.34375</v>
      </c>
      <c r="G84" s="15">
        <f>IF($G$76=0,0,$G$77/$G$76)</f>
        <v>0.39548022598870097</v>
      </c>
    </row>
    <row r="85" spans="2:7" ht="17.100000000000001" customHeight="1">
      <c r="B85" s="4" t="s">
        <v>755</v>
      </c>
      <c r="C85" s="15">
        <f>IF($C$76=0,0,$C$78/$C$76)</f>
        <v>0.25</v>
      </c>
      <c r="D85" s="15">
        <f>IF($D$76=0,0,$D$78/$D$76)</f>
        <v>0.16666666666666699</v>
      </c>
      <c r="E85" s="15">
        <f>IF($E$76=0,0,$E$78/$E$76)</f>
        <v>0.375</v>
      </c>
      <c r="F85" s="15">
        <f>IF($F$76=0,0,$F$78/$F$76)</f>
        <v>0.125</v>
      </c>
      <c r="G85" s="15">
        <f>IF($G$76=0,0,$G$78/$G$76)</f>
        <v>0.41242937853107298</v>
      </c>
    </row>
    <row r="86" spans="2:7" ht="17.100000000000001" customHeight="1">
      <c r="B86" s="4" t="s">
        <v>442</v>
      </c>
      <c r="C86" s="15">
        <f>IF($C$76=0,0,$C$79/$C$76)</f>
        <v>0.33333333333333298</v>
      </c>
      <c r="D86" s="15">
        <f>IF($D$76=0,0,$D$79/$D$76)</f>
        <v>0.33333333333333298</v>
      </c>
      <c r="E86" s="15">
        <f>IF($E$76=0,0,$E$79/$E$76)</f>
        <v>0.3125</v>
      </c>
      <c r="F86" s="15">
        <f>IF($F$76=0,0,$F$79/$F$76)</f>
        <v>0.40625</v>
      </c>
      <c r="G86" s="15">
        <f>IF($G$76=0,0,$G$79/$G$76)</f>
        <v>0.14124293785310699</v>
      </c>
    </row>
    <row r="87" spans="2:7" ht="17.100000000000001" customHeight="1">
      <c r="B87" s="4" t="s">
        <v>438</v>
      </c>
      <c r="C87" s="19">
        <f>IF($C$76=0,0,$C$80/$C$76)</f>
        <v>0</v>
      </c>
      <c r="D87" s="19">
        <f>IF($D$76=0,0,$D$80/$D$76)</f>
        <v>0</v>
      </c>
      <c r="E87" s="19">
        <f>IF($E$76=0,0,$E$80/$E$76)</f>
        <v>0</v>
      </c>
      <c r="F87" s="19">
        <f>IF($F$76=0,0,$F$80/$F$76)</f>
        <v>0.125</v>
      </c>
      <c r="G87" s="19">
        <f>IF($G$76=0,0,$G$80/$G$76)</f>
        <v>5.0847457627118703E-2</v>
      </c>
    </row>
    <row r="88" spans="2:7" ht="15" customHeight="1">
      <c r="B88" s="30" t="s">
        <v>782</v>
      </c>
      <c r="C88" s="32"/>
      <c r="D88" s="32"/>
      <c r="E88" s="32"/>
      <c r="F88" s="32"/>
      <c r="G88" s="32"/>
    </row>
    <row r="90" spans="2:7" ht="21" customHeight="1">
      <c r="B90" s="6" t="s">
        <v>787</v>
      </c>
    </row>
    <row r="92" spans="2:7" ht="18" customHeight="1">
      <c r="B92" s="2" t="s">
        <v>445</v>
      </c>
      <c r="C92" s="2" t="s">
        <v>754</v>
      </c>
      <c r="D92" s="2" t="s">
        <v>755</v>
      </c>
      <c r="E92" s="2" t="s">
        <v>442</v>
      </c>
      <c r="F92" s="2" t="s">
        <v>438</v>
      </c>
    </row>
    <row r="93" spans="2:7" ht="17.100000000000001" customHeight="1">
      <c r="B93" s="4" t="s">
        <v>451</v>
      </c>
      <c r="C93" s="13">
        <f>$C$84</f>
        <v>0.41666666666666702</v>
      </c>
      <c r="D93" s="13">
        <f>$C$85</f>
        <v>0.25</v>
      </c>
      <c r="E93" s="13">
        <f>$C$86</f>
        <v>0.33333333333333298</v>
      </c>
      <c r="F93" s="13">
        <f>$C$87</f>
        <v>0</v>
      </c>
    </row>
    <row r="94" spans="2:7" ht="17.100000000000001" customHeight="1">
      <c r="B94" s="4" t="s">
        <v>452</v>
      </c>
      <c r="C94" s="13">
        <f>$D$84</f>
        <v>0.5</v>
      </c>
      <c r="D94" s="13">
        <f>$D$85</f>
        <v>0.16666666666666699</v>
      </c>
      <c r="E94" s="13">
        <f>$D$86</f>
        <v>0.33333333333333298</v>
      </c>
      <c r="F94" s="13">
        <f>$D$87</f>
        <v>0</v>
      </c>
    </row>
    <row r="95" spans="2:7" ht="17.100000000000001" customHeight="1">
      <c r="B95" s="4" t="s">
        <v>453</v>
      </c>
      <c r="C95" s="13">
        <f>$E$84</f>
        <v>0.3125</v>
      </c>
      <c r="D95" s="13">
        <f>$E$85</f>
        <v>0.375</v>
      </c>
      <c r="E95" s="13">
        <f>$E$86</f>
        <v>0.3125</v>
      </c>
      <c r="F95" s="13">
        <f>$E$87</f>
        <v>0</v>
      </c>
    </row>
    <row r="96" spans="2:7" ht="17.100000000000001" customHeight="1">
      <c r="B96" s="4" t="s">
        <v>454</v>
      </c>
      <c r="C96" s="13">
        <f>$F$84</f>
        <v>0.34375</v>
      </c>
      <c r="D96" s="13">
        <f>$F$85</f>
        <v>0.125</v>
      </c>
      <c r="E96" s="13">
        <f>$F$86</f>
        <v>0.40625</v>
      </c>
      <c r="F96" s="13">
        <f>$F$87</f>
        <v>0.125</v>
      </c>
    </row>
    <row r="97" spans="2:7" ht="17.100000000000001" customHeight="1">
      <c r="B97" s="4" t="s">
        <v>455</v>
      </c>
      <c r="C97" s="13">
        <f>$G$84</f>
        <v>0.39548022598870097</v>
      </c>
      <c r="D97" s="13">
        <f>$G$85</f>
        <v>0.41242937853107298</v>
      </c>
      <c r="E97" s="13">
        <f>$G$86</f>
        <v>0.14124293785310699</v>
      </c>
      <c r="F97" s="13">
        <f>$G$87</f>
        <v>5.0847457627118703E-2</v>
      </c>
    </row>
    <row r="107" spans="2:7" ht="21" customHeight="1">
      <c r="B107" s="6" t="s">
        <v>788</v>
      </c>
    </row>
    <row r="108" spans="2:7">
      <c r="B108" s="16" t="s">
        <v>779</v>
      </c>
    </row>
    <row r="109" spans="2:7" ht="18" customHeight="1">
      <c r="B109" s="2" t="s">
        <v>445</v>
      </c>
      <c r="C109" s="2" t="s">
        <v>451</v>
      </c>
      <c r="D109" s="2" t="s">
        <v>452</v>
      </c>
      <c r="E109" s="2" t="s">
        <v>453</v>
      </c>
      <c r="F109" s="2" t="s">
        <v>454</v>
      </c>
      <c r="G109" s="2" t="s">
        <v>455</v>
      </c>
    </row>
    <row r="110" spans="2:7">
      <c r="B110" s="8" t="s">
        <v>780</v>
      </c>
      <c r="C110" s="17">
        <v>12</v>
      </c>
      <c r="D110" s="17">
        <v>12</v>
      </c>
      <c r="E110" s="17">
        <v>16</v>
      </c>
      <c r="F110" s="17">
        <v>32</v>
      </c>
      <c r="G110" s="17">
        <v>177</v>
      </c>
    </row>
    <row r="111" spans="2:7" ht="17.100000000000001" customHeight="1">
      <c r="B111" s="4" t="s">
        <v>668</v>
      </c>
      <c r="C111" s="18">
        <v>4</v>
      </c>
      <c r="D111" s="18">
        <v>1</v>
      </c>
      <c r="E111" s="18">
        <v>4</v>
      </c>
      <c r="F111" s="18">
        <v>8</v>
      </c>
      <c r="G111" s="18">
        <v>62</v>
      </c>
    </row>
    <row r="112" spans="2:7" ht="17.100000000000001" customHeight="1">
      <c r="B112" s="4" t="s">
        <v>669</v>
      </c>
      <c r="C112" s="18">
        <v>2</v>
      </c>
      <c r="D112" s="18">
        <v>1</v>
      </c>
      <c r="E112" s="18">
        <v>2</v>
      </c>
      <c r="F112" s="18">
        <v>5</v>
      </c>
      <c r="G112" s="18">
        <v>30</v>
      </c>
    </row>
    <row r="113" spans="2:7" ht="17.100000000000001" customHeight="1">
      <c r="B113" s="4" t="s">
        <v>670</v>
      </c>
      <c r="C113" s="18">
        <v>3</v>
      </c>
      <c r="D113" s="18">
        <v>0</v>
      </c>
      <c r="E113" s="18">
        <v>0</v>
      </c>
      <c r="F113" s="18">
        <v>2</v>
      </c>
      <c r="G113" s="18">
        <v>17</v>
      </c>
    </row>
    <row r="114" spans="2:7" ht="17.100000000000001" customHeight="1">
      <c r="B114" s="4" t="s">
        <v>671</v>
      </c>
      <c r="C114" s="18">
        <v>4</v>
      </c>
      <c r="D114" s="18">
        <v>1</v>
      </c>
      <c r="E114" s="18">
        <v>4</v>
      </c>
      <c r="F114" s="18">
        <v>5</v>
      </c>
      <c r="G114" s="18">
        <v>18</v>
      </c>
    </row>
    <row r="115" spans="2:7" ht="17.100000000000001" customHeight="1">
      <c r="B115" s="4" t="s">
        <v>672</v>
      </c>
      <c r="C115" s="18">
        <v>1</v>
      </c>
      <c r="D115" s="18">
        <v>0</v>
      </c>
      <c r="E115" s="18">
        <v>1</v>
      </c>
      <c r="F115" s="18">
        <v>5</v>
      </c>
      <c r="G115" s="18">
        <v>30</v>
      </c>
    </row>
    <row r="116" spans="2:7" ht="17.100000000000001" customHeight="1">
      <c r="B116" s="4" t="s">
        <v>673</v>
      </c>
      <c r="C116" s="18">
        <v>2</v>
      </c>
      <c r="D116" s="18">
        <v>1</v>
      </c>
      <c r="E116" s="18">
        <v>3</v>
      </c>
      <c r="F116" s="18">
        <v>8</v>
      </c>
      <c r="G116" s="18">
        <v>57</v>
      </c>
    </row>
    <row r="117" spans="2:7" ht="17.100000000000001" customHeight="1">
      <c r="B117" s="4" t="s">
        <v>674</v>
      </c>
      <c r="C117" s="18">
        <v>2</v>
      </c>
      <c r="D117" s="18">
        <v>3</v>
      </c>
      <c r="E117" s="18">
        <v>1</v>
      </c>
      <c r="F117" s="18">
        <v>2</v>
      </c>
      <c r="G117" s="18">
        <v>16</v>
      </c>
    </row>
    <row r="118" spans="2:7" ht="17.100000000000001" customHeight="1">
      <c r="B118" s="4" t="s">
        <v>675</v>
      </c>
      <c r="C118" s="18">
        <v>6</v>
      </c>
      <c r="D118" s="18">
        <v>3</v>
      </c>
      <c r="E118" s="18">
        <v>4</v>
      </c>
      <c r="F118" s="18">
        <v>4</v>
      </c>
      <c r="G118" s="18">
        <v>9</v>
      </c>
    </row>
    <row r="119" spans="2:7" ht="17.100000000000001" customHeight="1">
      <c r="B119" s="4" t="s">
        <v>676</v>
      </c>
      <c r="C119" s="18">
        <v>4</v>
      </c>
      <c r="D119" s="18">
        <v>3</v>
      </c>
      <c r="E119" s="18">
        <v>6</v>
      </c>
      <c r="F119" s="18">
        <v>5</v>
      </c>
      <c r="G119" s="18">
        <v>9</v>
      </c>
    </row>
    <row r="120" spans="2:7" ht="17.100000000000001" customHeight="1">
      <c r="B120" s="4" t="s">
        <v>677</v>
      </c>
      <c r="C120" s="18">
        <v>0</v>
      </c>
      <c r="D120" s="18">
        <v>1</v>
      </c>
      <c r="E120" s="18">
        <v>1</v>
      </c>
      <c r="F120" s="18">
        <v>3</v>
      </c>
      <c r="G120" s="18">
        <v>24</v>
      </c>
    </row>
    <row r="121" spans="2:7" ht="17.100000000000001" customHeight="1">
      <c r="B121" s="4" t="s">
        <v>678</v>
      </c>
      <c r="C121" s="18">
        <v>4</v>
      </c>
      <c r="D121" s="18">
        <v>2</v>
      </c>
      <c r="E121" s="18">
        <v>3</v>
      </c>
      <c r="F121" s="18">
        <v>7</v>
      </c>
      <c r="G121" s="18">
        <v>49</v>
      </c>
    </row>
    <row r="122" spans="2:7" ht="17.100000000000001" customHeight="1">
      <c r="B122" s="4" t="s">
        <v>679</v>
      </c>
      <c r="C122" s="18">
        <v>5</v>
      </c>
      <c r="D122" s="18">
        <v>4</v>
      </c>
      <c r="E122" s="18">
        <v>4</v>
      </c>
      <c r="F122" s="18">
        <v>8</v>
      </c>
      <c r="G122" s="18">
        <v>28</v>
      </c>
    </row>
    <row r="123" spans="2:7" ht="17.100000000000001" customHeight="1">
      <c r="B123" s="4" t="s">
        <v>680</v>
      </c>
      <c r="C123" s="18">
        <v>2</v>
      </c>
      <c r="D123" s="18">
        <v>1</v>
      </c>
      <c r="E123" s="18">
        <v>2</v>
      </c>
      <c r="F123" s="18">
        <v>5</v>
      </c>
      <c r="G123" s="18">
        <v>43</v>
      </c>
    </row>
    <row r="124" spans="2:7" ht="17.100000000000001" customHeight="1">
      <c r="B124" s="4" t="s">
        <v>681</v>
      </c>
      <c r="C124" s="18">
        <v>5</v>
      </c>
      <c r="D124" s="18">
        <v>4</v>
      </c>
      <c r="E124" s="18">
        <v>8</v>
      </c>
      <c r="F124" s="18">
        <v>13</v>
      </c>
      <c r="G124" s="18">
        <v>50</v>
      </c>
    </row>
    <row r="125" spans="2:7" ht="17.100000000000001" customHeight="1">
      <c r="B125" s="4" t="s">
        <v>682</v>
      </c>
      <c r="C125" s="18">
        <v>5</v>
      </c>
      <c r="D125" s="18">
        <v>4</v>
      </c>
      <c r="E125" s="18">
        <v>7</v>
      </c>
      <c r="F125" s="18">
        <v>7</v>
      </c>
      <c r="G125" s="18">
        <v>11</v>
      </c>
    </row>
    <row r="126" spans="2:7" ht="17.100000000000001" customHeight="1">
      <c r="B126" s="4" t="s">
        <v>438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</row>
    <row r="128" spans="2:7">
      <c r="B128" s="16" t="s">
        <v>781</v>
      </c>
    </row>
    <row r="129" spans="2:7" ht="18" customHeight="1">
      <c r="B129" s="2" t="s">
        <v>445</v>
      </c>
      <c r="C129" s="2" t="s">
        <v>451</v>
      </c>
      <c r="D129" s="2" t="s">
        <v>452</v>
      </c>
      <c r="E129" s="2" t="s">
        <v>453</v>
      </c>
      <c r="F129" s="2" t="s">
        <v>454</v>
      </c>
      <c r="G129" s="2" t="s">
        <v>455</v>
      </c>
    </row>
    <row r="130" spans="2:7" ht="17.100000000000001" customHeight="1">
      <c r="B130" s="4" t="s">
        <v>668</v>
      </c>
      <c r="C130" s="15">
        <f>IF($C$110=0,0,$C$111/$C$110)</f>
        <v>0.33333333333333298</v>
      </c>
      <c r="D130" s="15">
        <f>IF($D$110=0,0,$D$111/$D$110)</f>
        <v>8.3333333333333301E-2</v>
      </c>
      <c r="E130" s="15">
        <f>IF($E$110=0,0,$E$111/$E$110)</f>
        <v>0.25</v>
      </c>
      <c r="F130" s="15">
        <f>IF($F$110=0,0,$F$111/$F$110)</f>
        <v>0.25</v>
      </c>
      <c r="G130" s="15">
        <f>IF($G$110=0,0,$G$111/$G$110)</f>
        <v>0.35028248587570598</v>
      </c>
    </row>
    <row r="131" spans="2:7" ht="17.100000000000001" customHeight="1">
      <c r="B131" s="4" t="s">
        <v>669</v>
      </c>
      <c r="C131" s="15">
        <f>IF($C$110=0,0,$C$112/$C$110)</f>
        <v>0.16666666666666699</v>
      </c>
      <c r="D131" s="15">
        <f>IF($D$110=0,0,$D$112/$D$110)</f>
        <v>8.3333333333333301E-2</v>
      </c>
      <c r="E131" s="15">
        <f>IF($E$110=0,0,$E$112/$E$110)</f>
        <v>0.125</v>
      </c>
      <c r="F131" s="15">
        <f>IF($F$110=0,0,$F$112/$F$110)</f>
        <v>0.15625</v>
      </c>
      <c r="G131" s="15">
        <f>IF($G$110=0,0,$G$112/$G$110)</f>
        <v>0.169491525423729</v>
      </c>
    </row>
    <row r="132" spans="2:7" ht="17.100000000000001" customHeight="1">
      <c r="B132" s="4" t="s">
        <v>670</v>
      </c>
      <c r="C132" s="15">
        <f>IF($C$110=0,0,$C$113/$C$110)</f>
        <v>0.25</v>
      </c>
      <c r="D132" s="15">
        <f>IF($D$110=0,0,$D$113/$D$110)</f>
        <v>0</v>
      </c>
      <c r="E132" s="15">
        <f>IF($E$110=0,0,$E$113/$E$110)</f>
        <v>0</v>
      </c>
      <c r="F132" s="15">
        <f>IF($F$110=0,0,$F$113/$F$110)</f>
        <v>6.25E-2</v>
      </c>
      <c r="G132" s="15">
        <f>IF($G$110=0,0,$G$113/$G$110)</f>
        <v>9.6045197740112997E-2</v>
      </c>
    </row>
    <row r="133" spans="2:7" ht="17.100000000000001" customHeight="1">
      <c r="B133" s="4" t="s">
        <v>671</v>
      </c>
      <c r="C133" s="15">
        <f>IF($C$110=0,0,$C$114/$C$110)</f>
        <v>0.33333333333333298</v>
      </c>
      <c r="D133" s="15">
        <f>IF($D$110=0,0,$D$114/$D$110)</f>
        <v>8.3333333333333301E-2</v>
      </c>
      <c r="E133" s="15">
        <f>IF($E$110=0,0,$E$114/$E$110)</f>
        <v>0.25</v>
      </c>
      <c r="F133" s="15">
        <f>IF($F$110=0,0,$F$114/$F$110)</f>
        <v>0.15625</v>
      </c>
      <c r="G133" s="15">
        <f>IF($G$110=0,0,$G$114/$G$110)</f>
        <v>0.101694915254237</v>
      </c>
    </row>
    <row r="134" spans="2:7" ht="17.100000000000001" customHeight="1">
      <c r="B134" s="4" t="s">
        <v>672</v>
      </c>
      <c r="C134" s="15">
        <f>IF($C$110=0,0,$C$115/$C$110)</f>
        <v>8.3333333333333301E-2</v>
      </c>
      <c r="D134" s="15">
        <f>IF($D$110=0,0,$D$115/$D$110)</f>
        <v>0</v>
      </c>
      <c r="E134" s="15">
        <f>IF($E$110=0,0,$E$115/$E$110)</f>
        <v>6.25E-2</v>
      </c>
      <c r="F134" s="15">
        <f>IF($F$110=0,0,$F$115/$F$110)</f>
        <v>0.15625</v>
      </c>
      <c r="G134" s="15">
        <f>IF($G$110=0,0,$G$115/$G$110)</f>
        <v>0.169491525423729</v>
      </c>
    </row>
    <row r="135" spans="2:7" ht="17.100000000000001" customHeight="1">
      <c r="B135" s="4" t="s">
        <v>673</v>
      </c>
      <c r="C135" s="15">
        <f>IF($C$110=0,0,$C$116/$C$110)</f>
        <v>0.16666666666666699</v>
      </c>
      <c r="D135" s="15">
        <f>IF($D$110=0,0,$D$116/$D$110)</f>
        <v>8.3333333333333301E-2</v>
      </c>
      <c r="E135" s="15">
        <f>IF($E$110=0,0,$E$116/$E$110)</f>
        <v>0.1875</v>
      </c>
      <c r="F135" s="15">
        <f>IF($F$110=0,0,$F$116/$F$110)</f>
        <v>0.25</v>
      </c>
      <c r="G135" s="15">
        <f>IF($G$110=0,0,$G$116/$G$110)</f>
        <v>0.322033898305085</v>
      </c>
    </row>
    <row r="136" spans="2:7" ht="17.100000000000001" customHeight="1">
      <c r="B136" s="4" t="s">
        <v>674</v>
      </c>
      <c r="C136" s="15">
        <f>IF($C$110=0,0,$C$117/$C$110)</f>
        <v>0.16666666666666699</v>
      </c>
      <c r="D136" s="15">
        <f>IF($D$110=0,0,$D$117/$D$110)</f>
        <v>0.25</v>
      </c>
      <c r="E136" s="15">
        <f>IF($E$110=0,0,$E$117/$E$110)</f>
        <v>6.25E-2</v>
      </c>
      <c r="F136" s="15">
        <f>IF($F$110=0,0,$F$117/$F$110)</f>
        <v>6.25E-2</v>
      </c>
      <c r="G136" s="15">
        <f>IF($G$110=0,0,$G$117/$G$110)</f>
        <v>9.03954802259887E-2</v>
      </c>
    </row>
    <row r="137" spans="2:7" ht="17.100000000000001" customHeight="1">
      <c r="B137" s="4" t="s">
        <v>675</v>
      </c>
      <c r="C137" s="15">
        <f>IF($C$110=0,0,$C$118/$C$110)</f>
        <v>0.5</v>
      </c>
      <c r="D137" s="15">
        <f>IF($D$110=0,0,$D$118/$D$110)</f>
        <v>0.25</v>
      </c>
      <c r="E137" s="15">
        <f>IF($E$110=0,0,$E$118/$E$110)</f>
        <v>0.25</v>
      </c>
      <c r="F137" s="15">
        <f>IF($F$110=0,0,$F$118/$F$110)</f>
        <v>0.125</v>
      </c>
      <c r="G137" s="15">
        <f>IF($G$110=0,0,$G$118/$G$110)</f>
        <v>5.0847457627118703E-2</v>
      </c>
    </row>
    <row r="138" spans="2:7" ht="17.100000000000001" customHeight="1">
      <c r="B138" s="4" t="s">
        <v>676</v>
      </c>
      <c r="C138" s="15">
        <f>IF($C$110=0,0,$C$119/$C$110)</f>
        <v>0.33333333333333298</v>
      </c>
      <c r="D138" s="15">
        <f>IF($D$110=0,0,$D$119/$D$110)</f>
        <v>0.25</v>
      </c>
      <c r="E138" s="15">
        <f>IF($E$110=0,0,$E$119/$E$110)</f>
        <v>0.375</v>
      </c>
      <c r="F138" s="15">
        <f>IF($F$110=0,0,$F$119/$F$110)</f>
        <v>0.15625</v>
      </c>
      <c r="G138" s="15">
        <f>IF($G$110=0,0,$G$119/$G$110)</f>
        <v>5.0847457627118703E-2</v>
      </c>
    </row>
    <row r="139" spans="2:7" ht="17.100000000000001" customHeight="1">
      <c r="B139" s="4" t="s">
        <v>677</v>
      </c>
      <c r="C139" s="15">
        <f>IF($C$110=0,0,$C$120/$C$110)</f>
        <v>0</v>
      </c>
      <c r="D139" s="15">
        <f>IF($D$110=0,0,$D$120/$D$110)</f>
        <v>8.3333333333333301E-2</v>
      </c>
      <c r="E139" s="15">
        <f>IF($E$110=0,0,$E$120/$E$110)</f>
        <v>6.25E-2</v>
      </c>
      <c r="F139" s="15">
        <f>IF($F$110=0,0,$F$120/$F$110)</f>
        <v>9.375E-2</v>
      </c>
      <c r="G139" s="15">
        <f>IF($G$110=0,0,$G$120/$G$110)</f>
        <v>0.13559322033898299</v>
      </c>
    </row>
    <row r="140" spans="2:7" ht="17.100000000000001" customHeight="1">
      <c r="B140" s="4" t="s">
        <v>678</v>
      </c>
      <c r="C140" s="15">
        <f>IF($C$110=0,0,$C$121/$C$110)</f>
        <v>0.33333333333333298</v>
      </c>
      <c r="D140" s="15">
        <f>IF($D$110=0,0,$D$121/$D$110)</f>
        <v>0.16666666666666699</v>
      </c>
      <c r="E140" s="15">
        <f>IF($E$110=0,0,$E$121/$E$110)</f>
        <v>0.1875</v>
      </c>
      <c r="F140" s="15">
        <f>IF($F$110=0,0,$F$121/$F$110)</f>
        <v>0.21875</v>
      </c>
      <c r="G140" s="15">
        <f>IF($G$110=0,0,$G$121/$G$110)</f>
        <v>0.27683615819209001</v>
      </c>
    </row>
    <row r="141" spans="2:7" ht="17.100000000000001" customHeight="1">
      <c r="B141" s="4" t="s">
        <v>679</v>
      </c>
      <c r="C141" s="15">
        <f>IF($C$110=0,0,$C$122/$C$110)</f>
        <v>0.41666666666666702</v>
      </c>
      <c r="D141" s="15">
        <f>IF($D$110=0,0,$D$122/$D$110)</f>
        <v>0.33333333333333298</v>
      </c>
      <c r="E141" s="15">
        <f>IF($E$110=0,0,$E$122/$E$110)</f>
        <v>0.25</v>
      </c>
      <c r="F141" s="15">
        <f>IF($F$110=0,0,$F$122/$F$110)</f>
        <v>0.25</v>
      </c>
      <c r="G141" s="15">
        <f>IF($G$110=0,0,$G$122/$G$110)</f>
        <v>0.15819209039547999</v>
      </c>
    </row>
    <row r="142" spans="2:7" ht="17.100000000000001" customHeight="1">
      <c r="B142" s="4" t="s">
        <v>680</v>
      </c>
      <c r="C142" s="15">
        <f>IF($C$110=0,0,$C$123/$C$110)</f>
        <v>0.16666666666666699</v>
      </c>
      <c r="D142" s="15">
        <f>IF($D$110=0,0,$D$123/$D$110)</f>
        <v>8.3333333333333301E-2</v>
      </c>
      <c r="E142" s="15">
        <f>IF($E$110=0,0,$E$123/$E$110)</f>
        <v>0.125</v>
      </c>
      <c r="F142" s="15">
        <f>IF($F$110=0,0,$F$123/$F$110)</f>
        <v>0.15625</v>
      </c>
      <c r="G142" s="15">
        <f>IF($G$110=0,0,$G$123/$G$110)</f>
        <v>0.242937853107345</v>
      </c>
    </row>
    <row r="143" spans="2:7" ht="17.100000000000001" customHeight="1">
      <c r="B143" s="4" t="s">
        <v>681</v>
      </c>
      <c r="C143" s="15">
        <f>IF($C$110=0,0,$C$124/$C$110)</f>
        <v>0.41666666666666702</v>
      </c>
      <c r="D143" s="15">
        <f>IF($D$110=0,0,$D$124/$D$110)</f>
        <v>0.33333333333333298</v>
      </c>
      <c r="E143" s="15">
        <f>IF($E$110=0,0,$E$124/$E$110)</f>
        <v>0.5</v>
      </c>
      <c r="F143" s="15">
        <f>IF($F$110=0,0,$F$124/$F$110)</f>
        <v>0.40625</v>
      </c>
      <c r="G143" s="15">
        <f>IF($G$110=0,0,$G$124/$G$110)</f>
        <v>0.28248587570621497</v>
      </c>
    </row>
    <row r="144" spans="2:7" ht="17.100000000000001" customHeight="1">
      <c r="B144" s="4" t="s">
        <v>682</v>
      </c>
      <c r="C144" s="15">
        <f>IF($C$110=0,0,$C$125/$C$110)</f>
        <v>0.41666666666666702</v>
      </c>
      <c r="D144" s="15">
        <f>IF($D$110=0,0,$D$125/$D$110)</f>
        <v>0.33333333333333298</v>
      </c>
      <c r="E144" s="15">
        <f>IF($E$110=0,0,$E$125/$E$110)</f>
        <v>0.4375</v>
      </c>
      <c r="F144" s="15">
        <f>IF($F$110=0,0,$F$125/$F$110)</f>
        <v>0.21875</v>
      </c>
      <c r="G144" s="15">
        <f>IF($G$110=0,0,$G$125/$G$110)</f>
        <v>6.21468926553672E-2</v>
      </c>
    </row>
    <row r="145" spans="2:7" ht="17.100000000000001" customHeight="1">
      <c r="B145" s="4" t="s">
        <v>438</v>
      </c>
      <c r="C145" s="19">
        <f>IF($C$110=0,0,$C$126/$C$110)</f>
        <v>0</v>
      </c>
      <c r="D145" s="19">
        <f>IF($D$110=0,0,$D$126/$D$110)</f>
        <v>0</v>
      </c>
      <c r="E145" s="19">
        <f>IF($E$110=0,0,$E$126/$E$110)</f>
        <v>0</v>
      </c>
      <c r="F145" s="19">
        <f>IF($F$110=0,0,$F$126/$F$110)</f>
        <v>0</v>
      </c>
      <c r="G145" s="19">
        <f>IF($G$110=0,0,$G$126/$G$110)</f>
        <v>0</v>
      </c>
    </row>
    <row r="146" spans="2:7" ht="15" customHeight="1">
      <c r="B146" s="30" t="s">
        <v>782</v>
      </c>
      <c r="C146" s="32"/>
      <c r="D146" s="32"/>
      <c r="E146" s="32"/>
      <c r="F146" s="32"/>
      <c r="G146" s="32"/>
    </row>
    <row r="148" spans="2:7" ht="21" customHeight="1">
      <c r="B148" s="6" t="s">
        <v>789</v>
      </c>
    </row>
    <row r="150" spans="2:7" ht="30.95" customHeight="1">
      <c r="B150" s="2" t="s">
        <v>445</v>
      </c>
      <c r="C150" s="2" t="s">
        <v>790</v>
      </c>
      <c r="D150" s="2" t="s">
        <v>791</v>
      </c>
      <c r="E150" s="2" t="s">
        <v>792</v>
      </c>
      <c r="F150" s="2" t="s">
        <v>793</v>
      </c>
      <c r="G150" s="2" t="s">
        <v>794</v>
      </c>
    </row>
    <row r="151" spans="2:7" ht="17.100000000000001" customHeight="1">
      <c r="B151" s="4" t="s">
        <v>681</v>
      </c>
      <c r="C151" s="13">
        <f>$C$143</f>
        <v>0.41666666666666702</v>
      </c>
      <c r="D151" s="13">
        <f>$D$143</f>
        <v>0.33333333333333298</v>
      </c>
      <c r="E151" s="13">
        <f>$E$143</f>
        <v>0.5</v>
      </c>
      <c r="F151" s="13">
        <f>$F$143</f>
        <v>0.40625</v>
      </c>
      <c r="G151" s="13">
        <f>$G$143</f>
        <v>0.28248587570621497</v>
      </c>
    </row>
    <row r="152" spans="2:7" ht="17.100000000000001" customHeight="1">
      <c r="B152" s="4" t="s">
        <v>668</v>
      </c>
      <c r="C152" s="13">
        <f>$C$130</f>
        <v>0.33333333333333298</v>
      </c>
      <c r="D152" s="13">
        <f>$D$130</f>
        <v>8.3333333333333301E-2</v>
      </c>
      <c r="E152" s="13">
        <f>$E$130</f>
        <v>0.25</v>
      </c>
      <c r="F152" s="13">
        <f>$F$130</f>
        <v>0.25</v>
      </c>
      <c r="G152" s="13">
        <f>$G$130</f>
        <v>0.35028248587570598</v>
      </c>
    </row>
    <row r="153" spans="2:7" ht="17.100000000000001" customHeight="1">
      <c r="B153" s="4" t="s">
        <v>673</v>
      </c>
      <c r="C153" s="13">
        <f>$C$135</f>
        <v>0.16666666666666699</v>
      </c>
      <c r="D153" s="13">
        <f>$D$135</f>
        <v>8.3333333333333301E-2</v>
      </c>
      <c r="E153" s="13">
        <f>$E$135</f>
        <v>0.1875</v>
      </c>
      <c r="F153" s="13">
        <f>$F$135</f>
        <v>0.25</v>
      </c>
      <c r="G153" s="13">
        <f>$G$135</f>
        <v>0.322033898305085</v>
      </c>
    </row>
    <row r="154" spans="2:7" ht="17.100000000000001" customHeight="1">
      <c r="B154" s="4" t="s">
        <v>678</v>
      </c>
      <c r="C154" s="13">
        <f>$C$140</f>
        <v>0.33333333333333298</v>
      </c>
      <c r="D154" s="13">
        <f>$D$140</f>
        <v>0.16666666666666699</v>
      </c>
      <c r="E154" s="13">
        <f>$E$140</f>
        <v>0.1875</v>
      </c>
      <c r="F154" s="13">
        <f>$F$140</f>
        <v>0.21875</v>
      </c>
      <c r="G154" s="13">
        <f>$G$140</f>
        <v>0.27683615819209001</v>
      </c>
    </row>
    <row r="155" spans="2:7" ht="17.100000000000001" customHeight="1">
      <c r="B155" s="4" t="s">
        <v>680</v>
      </c>
      <c r="C155" s="13">
        <f>$C$142</f>
        <v>0.16666666666666699</v>
      </c>
      <c r="D155" s="13">
        <f>$D$142</f>
        <v>8.3333333333333301E-2</v>
      </c>
      <c r="E155" s="13">
        <f>$E$142</f>
        <v>0.125</v>
      </c>
      <c r="F155" s="13">
        <f>$F$142</f>
        <v>0.15625</v>
      </c>
      <c r="G155" s="13">
        <f>$G$142</f>
        <v>0.242937853107345</v>
      </c>
    </row>
    <row r="156" spans="2:7" ht="17.100000000000001" customHeight="1">
      <c r="B156" s="4" t="s">
        <v>679</v>
      </c>
      <c r="C156" s="13">
        <f>$C$141</f>
        <v>0.41666666666666702</v>
      </c>
      <c r="D156" s="13">
        <f>$D$141</f>
        <v>0.33333333333333298</v>
      </c>
      <c r="E156" s="13">
        <f>$E$141</f>
        <v>0.25</v>
      </c>
      <c r="F156" s="13">
        <f>$F$141</f>
        <v>0.25</v>
      </c>
      <c r="G156" s="13">
        <f>$G$141</f>
        <v>0.15819209039547999</v>
      </c>
    </row>
  </sheetData>
  <mergeCells count="4">
    <mergeCell ref="B57:H57"/>
    <mergeCell ref="B21:G21"/>
    <mergeCell ref="B146:G146"/>
    <mergeCell ref="B88:G88"/>
  </mergeCells>
  <conditionalFormatting sqref="C15:G19">
    <cfRule type="colorScale" priority="1">
      <colorScale>
        <cfvo type="num" val="0"/>
        <cfvo type="num" val="1"/>
        <color rgb="FFFFFFFF"/>
        <color rgb="FF6FA3DF"/>
      </colorScale>
    </cfRule>
  </conditionalFormatting>
  <conditionalFormatting sqref="C15:C19">
    <cfRule type="top10" dxfId="25" priority="2" rank="1"/>
  </conditionalFormatting>
  <conditionalFormatting sqref="D15:D19">
    <cfRule type="top10" dxfId="24" priority="3" rank="1"/>
  </conditionalFormatting>
  <conditionalFormatting sqref="E15:E19">
    <cfRule type="top10" dxfId="23" priority="4" rank="1"/>
  </conditionalFormatting>
  <conditionalFormatting sqref="F15:F19">
    <cfRule type="top10" dxfId="22" priority="5" rank="1"/>
  </conditionalFormatting>
  <conditionalFormatting sqref="G15:G19">
    <cfRule type="top10" dxfId="21" priority="6" rank="1"/>
  </conditionalFormatting>
  <conditionalFormatting sqref="C51:H55">
    <cfRule type="colorScale" priority="7">
      <colorScale>
        <cfvo type="num" val="0"/>
        <cfvo type="num" val="1"/>
        <color rgb="FFFFFFFF"/>
        <color rgb="FF6FA3DF"/>
      </colorScale>
    </cfRule>
  </conditionalFormatting>
  <conditionalFormatting sqref="C51:C55">
    <cfRule type="top10" dxfId="20" priority="8" rank="1"/>
  </conditionalFormatting>
  <conditionalFormatting sqref="D51:D55">
    <cfRule type="top10" dxfId="19" priority="9" rank="1"/>
  </conditionalFormatting>
  <conditionalFormatting sqref="E51:E55">
    <cfRule type="top10" dxfId="18" priority="10" rank="1"/>
  </conditionalFormatting>
  <conditionalFormatting sqref="F51:F55">
    <cfRule type="top10" dxfId="17" priority="11" rank="1"/>
  </conditionalFormatting>
  <conditionalFormatting sqref="G51:G55">
    <cfRule type="top10" dxfId="16" priority="12" rank="1"/>
  </conditionalFormatting>
  <conditionalFormatting sqref="H51:H55">
    <cfRule type="top10" dxfId="15" priority="13" rank="1"/>
  </conditionalFormatting>
  <conditionalFormatting sqref="C84:G86">
    <cfRule type="colorScale" priority="14">
      <colorScale>
        <cfvo type="num" val="0"/>
        <cfvo type="num" val="1"/>
        <color rgb="FFFFFFFF"/>
        <color rgb="FF6FA3DF"/>
      </colorScale>
    </cfRule>
  </conditionalFormatting>
  <conditionalFormatting sqref="C84:C86">
    <cfRule type="top10" dxfId="14" priority="15" rank="1"/>
  </conditionalFormatting>
  <conditionalFormatting sqref="D84:D86">
    <cfRule type="top10" dxfId="13" priority="16" rank="1"/>
  </conditionalFormatting>
  <conditionalFormatting sqref="E84:E86">
    <cfRule type="top10" dxfId="12" priority="17" rank="1"/>
  </conditionalFormatting>
  <conditionalFormatting sqref="F84:F86">
    <cfRule type="top10" dxfId="11" priority="18" rank="1"/>
  </conditionalFormatting>
  <conditionalFormatting sqref="G84:G86">
    <cfRule type="top10" dxfId="10" priority="19" rank="1"/>
  </conditionalFormatting>
  <conditionalFormatting sqref="C130:G144">
    <cfRule type="colorScale" priority="20">
      <colorScale>
        <cfvo type="num" val="0"/>
        <cfvo type="num" val="1"/>
        <color rgb="FFFFFFFF"/>
        <color rgb="FF6FA3DF"/>
      </colorScale>
    </cfRule>
  </conditionalFormatting>
  <conditionalFormatting sqref="C130:C144">
    <cfRule type="top10" dxfId="9" priority="21" rank="1"/>
  </conditionalFormatting>
  <conditionalFormatting sqref="D130:D144">
    <cfRule type="top10" dxfId="8" priority="22" rank="1"/>
  </conditionalFormatting>
  <conditionalFormatting sqref="E130:E144">
    <cfRule type="top10" dxfId="7" priority="23" rank="1"/>
  </conditionalFormatting>
  <conditionalFormatting sqref="F130:F144">
    <cfRule type="top10" dxfId="6" priority="24" rank="1"/>
  </conditionalFormatting>
  <conditionalFormatting sqref="G130:G144">
    <cfRule type="top10" dxfId="5" priority="25" rank="1"/>
  </conditionalFormatting>
  <pageMargins left="0.75" right="0.75" top="1" bottom="1" header="0.5" footer="0.5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H726"/>
  <sheetViews>
    <sheetView showGridLines="0" workbookViewId="0"/>
  </sheetViews>
  <sheetFormatPr defaultRowHeight="15"/>
  <cols>
    <col min="1" max="1" width="2" customWidth="1"/>
    <col min="2" max="2" width="42" customWidth="1"/>
    <col min="3" max="28" width="11" customWidth="1"/>
  </cols>
  <sheetData>
    <row r="2" spans="2:4" ht="21" customHeight="1">
      <c r="B2" s="6" t="s">
        <v>795</v>
      </c>
    </row>
    <row r="3" spans="2:4">
      <c r="B3" s="11" t="str">
        <f>"n="&amp;集計_障がい児!$F$5&amp;"（単一回答）"</f>
        <v>n=25（単一回答）</v>
      </c>
    </row>
    <row r="4" spans="2:4" ht="18" customHeight="1">
      <c r="B4" s="2" t="s">
        <v>429</v>
      </c>
      <c r="C4" s="2" t="s">
        <v>430</v>
      </c>
      <c r="D4" s="2" t="s">
        <v>431</v>
      </c>
    </row>
    <row r="5" spans="2:4" ht="17.100000000000001" customHeight="1">
      <c r="B5" s="4" t="s">
        <v>432</v>
      </c>
      <c r="C5" s="12">
        <f>集計_障がい児!$D$5</f>
        <v>5</v>
      </c>
      <c r="D5" s="13">
        <f>集計_障がい児!$E$5</f>
        <v>0.2</v>
      </c>
    </row>
    <row r="6" spans="2:4" ht="17.100000000000001" customHeight="1">
      <c r="B6" s="4" t="s">
        <v>433</v>
      </c>
      <c r="C6" s="12">
        <f>集計_障がい児!$D$6</f>
        <v>8</v>
      </c>
      <c r="D6" s="13">
        <f>集計_障がい児!$E$6</f>
        <v>0.32</v>
      </c>
    </row>
    <row r="7" spans="2:4" ht="17.100000000000001" customHeight="1">
      <c r="B7" s="4" t="s">
        <v>434</v>
      </c>
      <c r="C7" s="12">
        <f>集計_障がい児!$D$7</f>
        <v>4</v>
      </c>
      <c r="D7" s="13">
        <f>集計_障がい児!$E$7</f>
        <v>0.16</v>
      </c>
    </row>
    <row r="8" spans="2:4" ht="17.100000000000001" customHeight="1">
      <c r="B8" s="4" t="s">
        <v>435</v>
      </c>
      <c r="C8" s="12">
        <f>集計_障がい児!$D$8</f>
        <v>1</v>
      </c>
      <c r="D8" s="13">
        <f>集計_障がい児!$E$8</f>
        <v>0.04</v>
      </c>
    </row>
    <row r="9" spans="2:4" ht="17.100000000000001" customHeight="1">
      <c r="B9" s="4" t="s">
        <v>436</v>
      </c>
      <c r="C9" s="12">
        <f>集計_障がい児!$D$9</f>
        <v>5</v>
      </c>
      <c r="D9" s="13">
        <f>集計_障がい児!$E$9</f>
        <v>0.2</v>
      </c>
    </row>
    <row r="10" spans="2:4" ht="17.100000000000001" customHeight="1">
      <c r="B10" s="4" t="s">
        <v>437</v>
      </c>
      <c r="C10" s="12">
        <f>集計_障がい児!$D$10</f>
        <v>1</v>
      </c>
      <c r="D10" s="13">
        <f>集計_障がい児!$E$10</f>
        <v>0.04</v>
      </c>
    </row>
    <row r="11" spans="2:4" ht="17.100000000000001" customHeight="1">
      <c r="B11" s="4" t="s">
        <v>438</v>
      </c>
      <c r="C11" s="12">
        <f>集計_障がい児!$D$11</f>
        <v>1</v>
      </c>
      <c r="D11" s="13">
        <f>集計_障がい児!$E$11</f>
        <v>0.04</v>
      </c>
    </row>
    <row r="15" spans="2:4" ht="21" customHeight="1">
      <c r="B15" s="6" t="s">
        <v>796</v>
      </c>
    </row>
    <row r="16" spans="2:4">
      <c r="B16" s="11" t="str">
        <f>"n="&amp;集計_障がい児!$F$12&amp;"（単一回答）"</f>
        <v>n=25（単一回答）</v>
      </c>
    </row>
    <row r="17" spans="2:4" ht="18" customHeight="1">
      <c r="B17" s="2" t="s">
        <v>429</v>
      </c>
      <c r="C17" s="2" t="s">
        <v>430</v>
      </c>
      <c r="D17" s="2" t="s">
        <v>431</v>
      </c>
    </row>
    <row r="18" spans="2:4" ht="17.100000000000001" customHeight="1">
      <c r="B18" s="4" t="s">
        <v>440</v>
      </c>
      <c r="C18" s="12">
        <f>集計_障がい児!$D$12</f>
        <v>13</v>
      </c>
      <c r="D18" s="13">
        <f>集計_障がい児!$E$12</f>
        <v>0.52</v>
      </c>
    </row>
    <row r="19" spans="2:4" ht="17.100000000000001" customHeight="1">
      <c r="B19" s="4" t="s">
        <v>441</v>
      </c>
      <c r="C19" s="12">
        <f>集計_障がい児!$D$13</f>
        <v>10</v>
      </c>
      <c r="D19" s="13">
        <f>集計_障がい児!$E$13</f>
        <v>0.4</v>
      </c>
    </row>
    <row r="20" spans="2:4" ht="17.100000000000001" customHeight="1">
      <c r="B20" s="4" t="s">
        <v>442</v>
      </c>
      <c r="C20" s="12">
        <f>集計_障がい児!$D$14</f>
        <v>0</v>
      </c>
      <c r="D20" s="13">
        <f>集計_障がい児!$E$14</f>
        <v>0</v>
      </c>
    </row>
    <row r="21" spans="2:4" ht="17.100000000000001" customHeight="1">
      <c r="B21" s="4" t="s">
        <v>443</v>
      </c>
      <c r="C21" s="12">
        <f>集計_障がい児!$D$15</f>
        <v>1</v>
      </c>
      <c r="D21" s="13">
        <f>集計_障がい児!$E$15</f>
        <v>0.04</v>
      </c>
    </row>
    <row r="22" spans="2:4" ht="17.100000000000001" customHeight="1">
      <c r="B22" s="4" t="s">
        <v>438</v>
      </c>
      <c r="C22" s="12">
        <f>集計_障がい児!$D$16</f>
        <v>1</v>
      </c>
      <c r="D22" s="13">
        <f>集計_障がい児!$E$16</f>
        <v>0.04</v>
      </c>
    </row>
    <row r="26" spans="2:4" ht="21" customHeight="1">
      <c r="B26" s="6" t="s">
        <v>797</v>
      </c>
    </row>
    <row r="27" spans="2:4">
      <c r="B27" s="11" t="str">
        <f>"n="&amp;集計_障がい児!$F$17&amp;"（単一回答）"</f>
        <v>n=25（単一回答）</v>
      </c>
    </row>
    <row r="28" spans="2:4" ht="18" customHeight="1">
      <c r="B28" s="2" t="s">
        <v>429</v>
      </c>
      <c r="C28" s="2" t="s">
        <v>430</v>
      </c>
      <c r="D28" s="2" t="s">
        <v>431</v>
      </c>
    </row>
    <row r="29" spans="2:4" ht="17.100000000000001" customHeight="1">
      <c r="B29" s="4" t="s">
        <v>798</v>
      </c>
      <c r="C29" s="12">
        <f>集計_障がい児!$D$17</f>
        <v>3</v>
      </c>
      <c r="D29" s="13">
        <f>集計_障がい児!$E$17</f>
        <v>0.12</v>
      </c>
    </row>
    <row r="30" spans="2:4" ht="17.100000000000001" customHeight="1">
      <c r="B30" s="4" t="s">
        <v>799</v>
      </c>
      <c r="C30" s="12">
        <f>集計_障がい児!$D$18</f>
        <v>6</v>
      </c>
      <c r="D30" s="13">
        <f>集計_障がい児!$E$18</f>
        <v>0.24</v>
      </c>
    </row>
    <row r="31" spans="2:4" ht="17.100000000000001" customHeight="1">
      <c r="B31" s="4" t="s">
        <v>800</v>
      </c>
      <c r="C31" s="12">
        <f>集計_障がい児!$D$19</f>
        <v>5</v>
      </c>
      <c r="D31" s="13">
        <f>集計_障がい児!$E$19</f>
        <v>0.2</v>
      </c>
    </row>
    <row r="32" spans="2:4" ht="17.100000000000001" customHeight="1">
      <c r="B32" s="4" t="s">
        <v>801</v>
      </c>
      <c r="C32" s="12">
        <f>集計_障がい児!$D$20</f>
        <v>4</v>
      </c>
      <c r="D32" s="13">
        <f>集計_障がい児!$E$20</f>
        <v>0.16</v>
      </c>
    </row>
    <row r="33" spans="2:4" ht="17.100000000000001" customHeight="1">
      <c r="B33" s="4" t="s">
        <v>802</v>
      </c>
      <c r="C33" s="12">
        <f>集計_障がい児!$D$21</f>
        <v>5</v>
      </c>
      <c r="D33" s="13">
        <f>集計_障がい児!$E$21</f>
        <v>0.2</v>
      </c>
    </row>
    <row r="34" spans="2:4" ht="17.100000000000001" customHeight="1">
      <c r="B34" s="4" t="s">
        <v>438</v>
      </c>
      <c r="C34" s="12">
        <f>集計_障がい児!$D$22</f>
        <v>2</v>
      </c>
      <c r="D34" s="13">
        <f>集計_障がい児!$E$22</f>
        <v>0.08</v>
      </c>
    </row>
    <row r="37" spans="2:4" ht="21" customHeight="1">
      <c r="B37" s="6" t="s">
        <v>803</v>
      </c>
    </row>
    <row r="38" spans="2:4">
      <c r="B38" s="11" t="str">
        <f>"n="&amp;集計_障がい児!$F$23&amp;"（単一回答）"</f>
        <v>n=25（単一回答）</v>
      </c>
    </row>
    <row r="39" spans="2:4" ht="18" customHeight="1">
      <c r="B39" s="2" t="s">
        <v>429</v>
      </c>
      <c r="C39" s="2" t="s">
        <v>430</v>
      </c>
      <c r="D39" s="2" t="s">
        <v>431</v>
      </c>
    </row>
    <row r="40" spans="2:4" ht="17.100000000000001" customHeight="1">
      <c r="B40" s="4" t="s">
        <v>804</v>
      </c>
      <c r="C40" s="12">
        <f>集計_障がい児!$D$23</f>
        <v>25</v>
      </c>
      <c r="D40" s="13">
        <f>集計_障がい児!$E$23</f>
        <v>1</v>
      </c>
    </row>
    <row r="41" spans="2:4" ht="17.100000000000001" customHeight="1">
      <c r="B41" s="4" t="s">
        <v>805</v>
      </c>
      <c r="C41" s="12">
        <f>集計_障がい児!$D$24</f>
        <v>0</v>
      </c>
      <c r="D41" s="13">
        <f>集計_障がい児!$E$24</f>
        <v>0</v>
      </c>
    </row>
    <row r="42" spans="2:4" ht="17.100000000000001" customHeight="1">
      <c r="B42" s="4" t="s">
        <v>806</v>
      </c>
      <c r="C42" s="12">
        <f>集計_障がい児!$D$25</f>
        <v>0</v>
      </c>
      <c r="D42" s="13">
        <f>集計_障がい児!$E$25</f>
        <v>0</v>
      </c>
    </row>
    <row r="43" spans="2:4" ht="17.100000000000001" customHeight="1">
      <c r="B43" s="4" t="s">
        <v>462</v>
      </c>
      <c r="C43" s="12">
        <f>集計_障がい児!$D$26</f>
        <v>0</v>
      </c>
      <c r="D43" s="13">
        <f>集計_障がい児!$E$26</f>
        <v>0</v>
      </c>
    </row>
    <row r="44" spans="2:4" ht="17.100000000000001" customHeight="1">
      <c r="B44" s="4" t="s">
        <v>437</v>
      </c>
      <c r="C44" s="12">
        <f>集計_障がい児!$D$27</f>
        <v>0</v>
      </c>
      <c r="D44" s="13">
        <f>集計_障がい児!$E$27</f>
        <v>0</v>
      </c>
    </row>
    <row r="45" spans="2:4" ht="17.100000000000001" customHeight="1">
      <c r="B45" s="4" t="s">
        <v>438</v>
      </c>
      <c r="C45" s="12">
        <f>集計_障がい児!$D$28</f>
        <v>0</v>
      </c>
      <c r="D45" s="13">
        <f>集計_障がい児!$E$28</f>
        <v>0</v>
      </c>
    </row>
    <row r="49" spans="2:6" ht="21" customHeight="1">
      <c r="B49" s="6" t="s">
        <v>807</v>
      </c>
    </row>
    <row r="50" spans="2:6">
      <c r="B50" s="11" t="str">
        <f>"n="&amp;集計_障がい児!$F$29&amp;"（複数回答）"</f>
        <v>n=25（複数回答）</v>
      </c>
    </row>
    <row r="51" spans="2:6" ht="18" customHeight="1">
      <c r="B51" s="2" t="s">
        <v>429</v>
      </c>
      <c r="C51" s="2" t="s">
        <v>430</v>
      </c>
      <c r="D51" s="2" t="s">
        <v>431</v>
      </c>
    </row>
    <row r="52" spans="2:6" ht="17.100000000000001" customHeight="1">
      <c r="B52" s="4" t="s">
        <v>466</v>
      </c>
      <c r="C52" s="12">
        <f>集計_障がい児!$D$29</f>
        <v>25</v>
      </c>
      <c r="D52" s="13">
        <f>集計_障がい児!$E$29</f>
        <v>1</v>
      </c>
    </row>
    <row r="53" spans="2:6" ht="17.100000000000001" customHeight="1">
      <c r="B53" s="4" t="s">
        <v>467</v>
      </c>
      <c r="C53" s="12">
        <f>集計_障がい児!$D$31</f>
        <v>20</v>
      </c>
      <c r="D53" s="13">
        <f>集計_障がい児!$E$31</f>
        <v>0.8</v>
      </c>
    </row>
    <row r="54" spans="2:6" ht="17.100000000000001" customHeight="1">
      <c r="B54" s="4" t="s">
        <v>468</v>
      </c>
      <c r="C54" s="12">
        <f>集計_障がい児!$D$30</f>
        <v>11</v>
      </c>
      <c r="D54" s="13">
        <f>集計_障がい児!$E$30</f>
        <v>0.44</v>
      </c>
    </row>
    <row r="55" spans="2:6" ht="17.100000000000001" customHeight="1">
      <c r="B55" s="4" t="s">
        <v>437</v>
      </c>
      <c r="C55" s="12">
        <f>集計_障がい児!$D$32</f>
        <v>0</v>
      </c>
      <c r="D55" s="13">
        <f>集計_障がい児!$E$32</f>
        <v>0</v>
      </c>
    </row>
    <row r="56" spans="2:6" ht="17.100000000000001" customHeight="1">
      <c r="B56" s="4" t="s">
        <v>438</v>
      </c>
      <c r="C56" s="12">
        <f>集計_障がい児!$D$33</f>
        <v>0</v>
      </c>
      <c r="D56" s="13">
        <f>集計_障がい児!$E$33</f>
        <v>0</v>
      </c>
    </row>
    <row r="60" spans="2:6" ht="21" customHeight="1">
      <c r="B60" s="6" t="s">
        <v>808</v>
      </c>
    </row>
    <row r="62" spans="2:6" ht="30.95" customHeight="1">
      <c r="B62" s="2" t="s">
        <v>339</v>
      </c>
      <c r="C62" s="2" t="s">
        <v>471</v>
      </c>
      <c r="D62" s="2" t="s">
        <v>472</v>
      </c>
      <c r="E62" s="2" t="s">
        <v>473</v>
      </c>
      <c r="F62" s="2" t="s">
        <v>438</v>
      </c>
    </row>
    <row r="63" spans="2:6" ht="17.100000000000001" customHeight="1">
      <c r="B63" s="4" t="s">
        <v>474</v>
      </c>
      <c r="C63" s="13">
        <f>集計_障がい児!$E$34</f>
        <v>0.96</v>
      </c>
      <c r="D63" s="13">
        <f>集計_障がい児!$E$35</f>
        <v>0.04</v>
      </c>
      <c r="E63" s="13">
        <f>集計_障がい児!$E$36</f>
        <v>0</v>
      </c>
      <c r="F63" s="13">
        <f>集計_障がい児!$E$37</f>
        <v>0</v>
      </c>
    </row>
    <row r="64" spans="2:6" ht="17.100000000000001" customHeight="1">
      <c r="B64" s="4" t="s">
        <v>475</v>
      </c>
      <c r="C64" s="13">
        <f>集計_障がい児!$E$38</f>
        <v>0.96</v>
      </c>
      <c r="D64" s="13">
        <f>集計_障がい児!$E$39</f>
        <v>0</v>
      </c>
      <c r="E64" s="13">
        <f>集計_障がい児!$E$40</f>
        <v>0.04</v>
      </c>
      <c r="F64" s="13">
        <f>集計_障がい児!$E$41</f>
        <v>0</v>
      </c>
    </row>
    <row r="65" spans="2:6" ht="17.100000000000001" customHeight="1">
      <c r="B65" s="4" t="s">
        <v>476</v>
      </c>
      <c r="C65" s="13">
        <f>集計_障がい児!$E$42</f>
        <v>0.8</v>
      </c>
      <c r="D65" s="13">
        <f>集計_障がい児!$E$43</f>
        <v>0.08</v>
      </c>
      <c r="E65" s="13">
        <f>集計_障がい児!$E$44</f>
        <v>0.12</v>
      </c>
      <c r="F65" s="13">
        <f>集計_障がい児!$E$45</f>
        <v>0</v>
      </c>
    </row>
    <row r="66" spans="2:6" ht="17.100000000000001" customHeight="1">
      <c r="B66" s="4" t="s">
        <v>477</v>
      </c>
      <c r="C66" s="13">
        <f>集計_障がい児!$E$46</f>
        <v>0.96</v>
      </c>
      <c r="D66" s="13">
        <f>集計_障がい児!$E$47</f>
        <v>0.04</v>
      </c>
      <c r="E66" s="13">
        <f>集計_障がい児!$E$48</f>
        <v>0</v>
      </c>
      <c r="F66" s="13">
        <f>集計_障がい児!$E$49</f>
        <v>0</v>
      </c>
    </row>
    <row r="67" spans="2:6" ht="17.100000000000001" customHeight="1">
      <c r="B67" s="4" t="s">
        <v>478</v>
      </c>
      <c r="C67" s="13">
        <f>集計_障がい児!$E$50</f>
        <v>0.68</v>
      </c>
      <c r="D67" s="13">
        <f>集計_障がい児!$E$51</f>
        <v>0.32</v>
      </c>
      <c r="E67" s="13">
        <f>集計_障がい児!$E$52</f>
        <v>0</v>
      </c>
      <c r="F67" s="13">
        <f>集計_障がい児!$E$53</f>
        <v>0</v>
      </c>
    </row>
    <row r="68" spans="2:6" ht="17.100000000000001" customHeight="1">
      <c r="B68" s="4" t="s">
        <v>479</v>
      </c>
      <c r="C68" s="13">
        <f>集計_障がい児!$E$54</f>
        <v>0.96</v>
      </c>
      <c r="D68" s="13">
        <f>集計_障がい児!$E$55</f>
        <v>0.04</v>
      </c>
      <c r="E68" s="13">
        <f>集計_障がい児!$E$56</f>
        <v>0</v>
      </c>
      <c r="F68" s="13">
        <f>集計_障がい児!$E$57</f>
        <v>0</v>
      </c>
    </row>
    <row r="69" spans="2:6" ht="17.100000000000001" customHeight="1">
      <c r="B69" s="4" t="s">
        <v>397</v>
      </c>
      <c r="C69" s="13">
        <f>集計_障がい児!$E$58</f>
        <v>0.52</v>
      </c>
      <c r="D69" s="13">
        <f>集計_障がい児!$E$59</f>
        <v>0.44</v>
      </c>
      <c r="E69" s="13">
        <f>集計_障がい児!$E$60</f>
        <v>0.04</v>
      </c>
      <c r="F69" s="13">
        <f>集計_障がい児!$E$61</f>
        <v>0</v>
      </c>
    </row>
    <row r="70" spans="2:6" ht="17.100000000000001" customHeight="1">
      <c r="B70" s="4" t="s">
        <v>480</v>
      </c>
      <c r="C70" s="13">
        <f>集計_障がい児!$E$62</f>
        <v>0.6</v>
      </c>
      <c r="D70" s="13">
        <f>集計_障がい児!$E$63</f>
        <v>0.4</v>
      </c>
      <c r="E70" s="13">
        <f>集計_障がい児!$E$64</f>
        <v>0</v>
      </c>
      <c r="F70" s="13">
        <f>集計_障がい児!$E$65</f>
        <v>0</v>
      </c>
    </row>
    <row r="71" spans="2:6" ht="17.100000000000001" customHeight="1">
      <c r="B71" s="4" t="s">
        <v>481</v>
      </c>
      <c r="C71" s="13">
        <f>集計_障がい児!$E$66</f>
        <v>0.28000000000000003</v>
      </c>
      <c r="D71" s="13">
        <f>集計_障がい児!$E$67</f>
        <v>0.52</v>
      </c>
      <c r="E71" s="13">
        <f>集計_障がい児!$E$68</f>
        <v>0.2</v>
      </c>
      <c r="F71" s="13">
        <f>集計_障がい児!$E$69</f>
        <v>0</v>
      </c>
    </row>
    <row r="72" spans="2:6" ht="17.100000000000001" customHeight="1">
      <c r="B72" s="4" t="s">
        <v>482</v>
      </c>
      <c r="C72" s="13">
        <f>集計_障がい児!$E$70</f>
        <v>0.28000000000000003</v>
      </c>
      <c r="D72" s="13">
        <f>集計_障がい児!$E$71</f>
        <v>0.56000000000000005</v>
      </c>
      <c r="E72" s="13">
        <f>集計_障がい児!$E$72</f>
        <v>0.16</v>
      </c>
      <c r="F72" s="13">
        <f>集計_障がい児!$E$73</f>
        <v>0</v>
      </c>
    </row>
    <row r="84" spans="2:4" ht="21" customHeight="1">
      <c r="B84" s="6" t="s">
        <v>809</v>
      </c>
    </row>
    <row r="85" spans="2:4">
      <c r="B85" s="11" t="str">
        <f>"n="&amp;集計_障がい児!$F$74&amp;"（複数回答）"</f>
        <v>n=25（複数回答）</v>
      </c>
    </row>
    <row r="86" spans="2:4" ht="18" customHeight="1">
      <c r="B86" s="2" t="s">
        <v>429</v>
      </c>
      <c r="C86" s="2" t="s">
        <v>430</v>
      </c>
      <c r="D86" s="2" t="s">
        <v>431</v>
      </c>
    </row>
    <row r="87" spans="2:4" ht="17.100000000000001" customHeight="1">
      <c r="B87" s="4" t="s">
        <v>489</v>
      </c>
      <c r="C87" s="12">
        <f>集計_障がい児!$D$74</f>
        <v>23</v>
      </c>
      <c r="D87" s="13">
        <f>集計_障がい児!$E$74</f>
        <v>0.92</v>
      </c>
    </row>
    <row r="88" spans="2:4" ht="17.100000000000001" customHeight="1">
      <c r="B88" s="4" t="s">
        <v>488</v>
      </c>
      <c r="C88" s="12">
        <f>集計_障がい児!$D$75</f>
        <v>0</v>
      </c>
      <c r="D88" s="13">
        <f>集計_障がい児!$E$75</f>
        <v>0</v>
      </c>
    </row>
    <row r="89" spans="2:4" ht="17.100000000000001" customHeight="1">
      <c r="B89" s="4" t="s">
        <v>490</v>
      </c>
      <c r="C89" s="12">
        <f>集計_障がい児!$D$76</f>
        <v>0</v>
      </c>
      <c r="D89" s="13">
        <f>集計_障がい児!$E$76</f>
        <v>0</v>
      </c>
    </row>
    <row r="90" spans="2:4" ht="17.100000000000001" customHeight="1">
      <c r="B90" s="4" t="s">
        <v>438</v>
      </c>
      <c r="C90" s="12">
        <f>集計_障がい児!$D$77</f>
        <v>2</v>
      </c>
      <c r="D90" s="13">
        <f>集計_障がい児!$E$77</f>
        <v>0.08</v>
      </c>
    </row>
    <row r="94" spans="2:4" ht="21" customHeight="1">
      <c r="B94" s="6" t="s">
        <v>810</v>
      </c>
    </row>
    <row r="95" spans="2:4">
      <c r="B95" s="11" t="str">
        <f>"n="&amp;集計_障がい児!$F$78&amp;"（単一回答）"</f>
        <v>n=25（単一回答）</v>
      </c>
    </row>
    <row r="96" spans="2:4" ht="18" customHeight="1">
      <c r="B96" s="2" t="s">
        <v>429</v>
      </c>
      <c r="C96" s="2" t="s">
        <v>430</v>
      </c>
      <c r="D96" s="2" t="s">
        <v>431</v>
      </c>
    </row>
    <row r="97" spans="2:4" ht="17.100000000000001" customHeight="1">
      <c r="B97" s="4" t="s">
        <v>811</v>
      </c>
      <c r="C97" s="12">
        <f>集計_障がい児!$D$78</f>
        <v>0</v>
      </c>
      <c r="D97" s="13">
        <f>集計_障がい児!$E$78</f>
        <v>0</v>
      </c>
    </row>
    <row r="98" spans="2:4" ht="17.100000000000001" customHeight="1">
      <c r="B98" s="4" t="s">
        <v>452</v>
      </c>
      <c r="C98" s="12">
        <f>集計_障がい児!$D$79</f>
        <v>5</v>
      </c>
      <c r="D98" s="13">
        <f>集計_障がい児!$E$79</f>
        <v>0.2</v>
      </c>
    </row>
    <row r="99" spans="2:4" ht="17.100000000000001" customHeight="1">
      <c r="B99" s="4" t="s">
        <v>453</v>
      </c>
      <c r="C99" s="12">
        <f>集計_障がい児!$D$80</f>
        <v>5</v>
      </c>
      <c r="D99" s="13">
        <f>集計_障がい児!$E$80</f>
        <v>0.2</v>
      </c>
    </row>
    <row r="100" spans="2:4" ht="17.100000000000001" customHeight="1">
      <c r="B100" s="4" t="s">
        <v>494</v>
      </c>
      <c r="C100" s="12">
        <f>集計_障がい児!$D$81</f>
        <v>5</v>
      </c>
      <c r="D100" s="13">
        <f>集計_障がい児!$E$81</f>
        <v>0.2</v>
      </c>
    </row>
    <row r="101" spans="2:4" ht="17.100000000000001" customHeight="1">
      <c r="B101" s="4" t="s">
        <v>812</v>
      </c>
      <c r="C101" s="12">
        <f>集計_障がい児!$D$82</f>
        <v>0</v>
      </c>
      <c r="D101" s="13">
        <f>集計_障がい児!$E$82</f>
        <v>0</v>
      </c>
    </row>
    <row r="102" spans="2:4" ht="17.100000000000001" customHeight="1">
      <c r="B102" s="4" t="s">
        <v>438</v>
      </c>
      <c r="C102" s="12">
        <f>集計_障がい児!$D$83</f>
        <v>10</v>
      </c>
      <c r="D102" s="13">
        <f>集計_障がい児!$E$83</f>
        <v>0.4</v>
      </c>
    </row>
    <row r="105" spans="2:4" ht="21" customHeight="1">
      <c r="B105" s="6" t="s">
        <v>813</v>
      </c>
    </row>
    <row r="106" spans="2:4">
      <c r="B106" s="11" t="str">
        <f>"n="&amp;集計_障がい児!$F$84&amp;"（単一回答）"</f>
        <v>n=25（単一回答）</v>
      </c>
    </row>
    <row r="107" spans="2:4" ht="18" customHeight="1">
      <c r="B107" s="2" t="s">
        <v>429</v>
      </c>
      <c r="C107" s="2" t="s">
        <v>430</v>
      </c>
      <c r="D107" s="2" t="s">
        <v>431</v>
      </c>
    </row>
    <row r="108" spans="2:4" ht="17.100000000000001" customHeight="1">
      <c r="B108" s="4" t="s">
        <v>440</v>
      </c>
      <c r="C108" s="12">
        <f>集計_障がい児!$D$84</f>
        <v>1</v>
      </c>
      <c r="D108" s="13">
        <f>集計_障がい児!$E$84</f>
        <v>0.04</v>
      </c>
    </row>
    <row r="109" spans="2:4" ht="17.100000000000001" customHeight="1">
      <c r="B109" s="4" t="s">
        <v>441</v>
      </c>
      <c r="C109" s="12">
        <f>集計_障がい児!$D$85</f>
        <v>22</v>
      </c>
      <c r="D109" s="13">
        <f>集計_障がい児!$E$85</f>
        <v>0.88</v>
      </c>
    </row>
    <row r="110" spans="2:4" ht="17.100000000000001" customHeight="1">
      <c r="B110" s="4" t="s">
        <v>438</v>
      </c>
      <c r="C110" s="12">
        <f>集計_障がい児!$D$86</f>
        <v>2</v>
      </c>
      <c r="D110" s="13">
        <f>集計_障がい児!$E$86</f>
        <v>0.08</v>
      </c>
    </row>
    <row r="117" spans="2:4" ht="21" customHeight="1">
      <c r="B117" s="6" t="s">
        <v>814</v>
      </c>
    </row>
    <row r="118" spans="2:4">
      <c r="B118" s="11" t="str">
        <f>"n="&amp;集計_障がい児!$F$87&amp;"（単一回答）"</f>
        <v>n=25（単一回答）</v>
      </c>
    </row>
    <row r="119" spans="2:4" ht="18" customHeight="1">
      <c r="B119" s="2" t="s">
        <v>429</v>
      </c>
      <c r="C119" s="2" t="s">
        <v>430</v>
      </c>
      <c r="D119" s="2" t="s">
        <v>431</v>
      </c>
    </row>
    <row r="120" spans="2:4" ht="17.100000000000001" customHeight="1">
      <c r="B120" s="4" t="s">
        <v>501</v>
      </c>
      <c r="C120" s="12">
        <f>集計_障がい児!$D$87</f>
        <v>7</v>
      </c>
      <c r="D120" s="13">
        <f>集計_障がい児!$E$87</f>
        <v>0.28000000000000003</v>
      </c>
    </row>
    <row r="121" spans="2:4" ht="17.100000000000001" customHeight="1">
      <c r="B121" s="4" t="s">
        <v>502</v>
      </c>
      <c r="C121" s="12">
        <f>集計_障がい児!$D$88</f>
        <v>16</v>
      </c>
      <c r="D121" s="13">
        <f>集計_障がい児!$E$88</f>
        <v>0.64</v>
      </c>
    </row>
    <row r="122" spans="2:4" ht="17.100000000000001" customHeight="1">
      <c r="B122" s="4" t="s">
        <v>503</v>
      </c>
      <c r="C122" s="12">
        <f>集計_障がい児!$D$89</f>
        <v>0</v>
      </c>
      <c r="D122" s="13">
        <f>集計_障がい児!$E$89</f>
        <v>0</v>
      </c>
    </row>
    <row r="123" spans="2:4" ht="17.100000000000001" customHeight="1">
      <c r="B123" s="4" t="s">
        <v>438</v>
      </c>
      <c r="C123" s="12">
        <f>集計_障がい児!$D$90</f>
        <v>2</v>
      </c>
      <c r="D123" s="13">
        <f>集計_障がい児!$E$90</f>
        <v>0.08</v>
      </c>
    </row>
    <row r="128" spans="2:4" ht="21" customHeight="1">
      <c r="B128" s="6" t="s">
        <v>815</v>
      </c>
    </row>
    <row r="129" spans="2:4">
      <c r="B129" s="11" t="str">
        <f>"n="&amp;集計_障がい児!$F$91&amp;"（単一回答）"</f>
        <v>n=25（単一回答）</v>
      </c>
    </row>
    <row r="130" spans="2:4" ht="18" customHeight="1">
      <c r="B130" s="2" t="s">
        <v>429</v>
      </c>
      <c r="C130" s="2" t="s">
        <v>430</v>
      </c>
      <c r="D130" s="2" t="s">
        <v>431</v>
      </c>
    </row>
    <row r="131" spans="2:4" ht="17.100000000000001" customHeight="1">
      <c r="B131" s="4" t="s">
        <v>506</v>
      </c>
      <c r="C131" s="12">
        <f>集計_障がい児!$D$91</f>
        <v>0</v>
      </c>
      <c r="D131" s="13">
        <f>集計_障がい児!$E$91</f>
        <v>0</v>
      </c>
    </row>
    <row r="132" spans="2:4" ht="17.100000000000001" customHeight="1">
      <c r="B132" s="4" t="s">
        <v>507</v>
      </c>
      <c r="C132" s="12">
        <f>集計_障がい児!$D$92</f>
        <v>0</v>
      </c>
      <c r="D132" s="13">
        <f>集計_障がい児!$E$92</f>
        <v>0</v>
      </c>
    </row>
    <row r="133" spans="2:4" ht="17.100000000000001" customHeight="1">
      <c r="B133" s="4" t="s">
        <v>508</v>
      </c>
      <c r="C133" s="12">
        <f>集計_障がい児!$D$93</f>
        <v>0</v>
      </c>
      <c r="D133" s="13">
        <f>集計_障がい児!$E$93</f>
        <v>0</v>
      </c>
    </row>
    <row r="134" spans="2:4" ht="17.100000000000001" customHeight="1">
      <c r="B134" s="4" t="s">
        <v>509</v>
      </c>
      <c r="C134" s="12">
        <f>集計_障がい児!$D$94</f>
        <v>0</v>
      </c>
      <c r="D134" s="13">
        <f>集計_障がい児!$E$94</f>
        <v>0</v>
      </c>
    </row>
    <row r="135" spans="2:4" ht="17.100000000000001" customHeight="1">
      <c r="B135" s="4" t="s">
        <v>510</v>
      </c>
      <c r="C135" s="12">
        <f>集計_障がい児!$D$95</f>
        <v>0</v>
      </c>
      <c r="D135" s="13">
        <f>集計_障がい児!$E$95</f>
        <v>0</v>
      </c>
    </row>
    <row r="136" spans="2:4" ht="17.100000000000001" customHeight="1">
      <c r="B136" s="4" t="s">
        <v>511</v>
      </c>
      <c r="C136" s="12">
        <f>集計_障がい児!$D$96</f>
        <v>0</v>
      </c>
      <c r="D136" s="13">
        <f>集計_障がい児!$E$96</f>
        <v>0</v>
      </c>
    </row>
    <row r="137" spans="2:4" ht="17.100000000000001" customHeight="1">
      <c r="B137" s="4" t="s">
        <v>512</v>
      </c>
      <c r="C137" s="12">
        <f>集計_障がい児!$D$97</f>
        <v>25</v>
      </c>
      <c r="D137" s="13">
        <f>集計_障がい児!$E$97</f>
        <v>1</v>
      </c>
    </row>
    <row r="138" spans="2:4" ht="17.100000000000001" customHeight="1">
      <c r="B138" s="4" t="s">
        <v>438</v>
      </c>
      <c r="C138" s="12">
        <f>集計_障がい児!$D$98</f>
        <v>0</v>
      </c>
      <c r="D138" s="13">
        <f>集計_障がい児!$E$98</f>
        <v>0</v>
      </c>
    </row>
    <row r="142" spans="2:4" ht="21" customHeight="1">
      <c r="B142" s="6" t="s">
        <v>816</v>
      </c>
    </row>
    <row r="143" spans="2:4">
      <c r="B143" s="11" t="str">
        <f>"n="&amp;集計_障がい児!$F$99&amp;"（単一回答）"</f>
        <v>n=25（単一回答）</v>
      </c>
    </row>
    <row r="144" spans="2:4" ht="18" customHeight="1">
      <c r="B144" s="2" t="s">
        <v>429</v>
      </c>
      <c r="C144" s="2" t="s">
        <v>430</v>
      </c>
      <c r="D144" s="2" t="s">
        <v>431</v>
      </c>
    </row>
    <row r="145" spans="2:4" ht="17.100000000000001" customHeight="1">
      <c r="B145" s="4" t="s">
        <v>514</v>
      </c>
      <c r="C145" s="12">
        <f>集計_障がい児!$D$99</f>
        <v>0</v>
      </c>
      <c r="D145" s="13">
        <f>集計_障がい児!$E$99</f>
        <v>0</v>
      </c>
    </row>
    <row r="146" spans="2:4" ht="17.100000000000001" customHeight="1">
      <c r="B146" s="4" t="s">
        <v>515</v>
      </c>
      <c r="C146" s="12">
        <f>集計_障がい児!$D$100</f>
        <v>0</v>
      </c>
      <c r="D146" s="13">
        <f>集計_障がい児!$E$100</f>
        <v>0</v>
      </c>
    </row>
    <row r="147" spans="2:4" ht="17.100000000000001" customHeight="1">
      <c r="B147" s="4" t="s">
        <v>516</v>
      </c>
      <c r="C147" s="12">
        <f>集計_障がい児!$D$101</f>
        <v>0</v>
      </c>
      <c r="D147" s="13">
        <f>集計_障がい児!$E$101</f>
        <v>0</v>
      </c>
    </row>
    <row r="148" spans="2:4" ht="17.100000000000001" customHeight="1">
      <c r="B148" s="4" t="s">
        <v>517</v>
      </c>
      <c r="C148" s="12">
        <f>集計_障がい児!$D$102</f>
        <v>0</v>
      </c>
      <c r="D148" s="13">
        <f>集計_障がい児!$E$102</f>
        <v>0</v>
      </c>
    </row>
    <row r="149" spans="2:4" ht="17.100000000000001" customHeight="1">
      <c r="B149" s="4" t="s">
        <v>518</v>
      </c>
      <c r="C149" s="12">
        <f>集計_障がい児!$D$103</f>
        <v>0</v>
      </c>
      <c r="D149" s="13">
        <f>集計_障がい児!$E$103</f>
        <v>0</v>
      </c>
    </row>
    <row r="150" spans="2:4" ht="17.100000000000001" customHeight="1">
      <c r="B150" s="4" t="s">
        <v>519</v>
      </c>
      <c r="C150" s="12">
        <f>集計_障がい児!$D$104</f>
        <v>0</v>
      </c>
      <c r="D150" s="13">
        <f>集計_障がい児!$E$104</f>
        <v>0</v>
      </c>
    </row>
    <row r="151" spans="2:4" ht="17.100000000000001" customHeight="1">
      <c r="B151" s="4" t="s">
        <v>520</v>
      </c>
      <c r="C151" s="12">
        <f>集計_障がい児!$D$105</f>
        <v>0</v>
      </c>
      <c r="D151" s="13">
        <f>集計_障がい児!$E$105</f>
        <v>0</v>
      </c>
    </row>
    <row r="152" spans="2:4" ht="17.100000000000001" customHeight="1">
      <c r="B152" s="4" t="s">
        <v>438</v>
      </c>
      <c r="C152" s="12">
        <f>集計_障がい児!$D$106</f>
        <v>25</v>
      </c>
      <c r="D152" s="13">
        <f>集計_障がい児!$E$106</f>
        <v>1</v>
      </c>
    </row>
    <row r="156" spans="2:4" ht="21" customHeight="1">
      <c r="B156" s="6" t="s">
        <v>817</v>
      </c>
    </row>
    <row r="157" spans="2:4">
      <c r="B157" s="11" t="str">
        <f>"n="&amp;集計_障がい児!$F$107&amp;"（単一回答）"</f>
        <v>n=25（単一回答）</v>
      </c>
    </row>
    <row r="158" spans="2:4" ht="18" customHeight="1">
      <c r="B158" s="2" t="s">
        <v>429</v>
      </c>
      <c r="C158" s="2" t="s">
        <v>430</v>
      </c>
      <c r="D158" s="2" t="s">
        <v>431</v>
      </c>
    </row>
    <row r="159" spans="2:4" ht="17.100000000000001" customHeight="1">
      <c r="B159" s="4" t="s">
        <v>522</v>
      </c>
      <c r="C159" s="12">
        <f>集計_障がい児!$D$107</f>
        <v>0</v>
      </c>
      <c r="D159" s="13">
        <f>集計_障がい児!$E$107</f>
        <v>0</v>
      </c>
    </row>
    <row r="160" spans="2:4" ht="17.100000000000001" customHeight="1">
      <c r="B160" s="4" t="s">
        <v>523</v>
      </c>
      <c r="C160" s="12">
        <f>集計_障がい児!$D$108</f>
        <v>16</v>
      </c>
      <c r="D160" s="13">
        <f>集計_障がい児!$E$108</f>
        <v>0.64</v>
      </c>
    </row>
    <row r="161" spans="2:4" ht="17.100000000000001" customHeight="1">
      <c r="B161" s="4" t="s">
        <v>512</v>
      </c>
      <c r="C161" s="12">
        <f>集計_障がい児!$D$109</f>
        <v>8</v>
      </c>
      <c r="D161" s="13">
        <f>集計_障がい児!$E$109</f>
        <v>0.32</v>
      </c>
    </row>
    <row r="162" spans="2:4" ht="17.100000000000001" customHeight="1">
      <c r="B162" s="4" t="s">
        <v>438</v>
      </c>
      <c r="C162" s="12">
        <f>集計_障がい児!$D$110</f>
        <v>1</v>
      </c>
      <c r="D162" s="13">
        <f>集計_障がい児!$E$110</f>
        <v>0.04</v>
      </c>
    </row>
    <row r="167" spans="2:4" ht="21" customHeight="1">
      <c r="B167" s="6" t="s">
        <v>818</v>
      </c>
    </row>
    <row r="168" spans="2:4">
      <c r="B168" s="11" t="str">
        <f>"n="&amp;集計_障がい児!$F$111&amp;"（単一回答）"</f>
        <v>n=25（単一回答）</v>
      </c>
    </row>
    <row r="169" spans="2:4" ht="18" customHeight="1">
      <c r="B169" s="2" t="s">
        <v>429</v>
      </c>
      <c r="C169" s="2" t="s">
        <v>430</v>
      </c>
      <c r="D169" s="2" t="s">
        <v>431</v>
      </c>
    </row>
    <row r="170" spans="2:4" ht="17.100000000000001" customHeight="1">
      <c r="B170" s="4" t="s">
        <v>506</v>
      </c>
      <c r="C170" s="12">
        <f>集計_障がい児!$D$111</f>
        <v>0</v>
      </c>
      <c r="D170" s="13">
        <f>集計_障がい児!$E$111</f>
        <v>0</v>
      </c>
    </row>
    <row r="171" spans="2:4" ht="17.100000000000001" customHeight="1">
      <c r="B171" s="4" t="s">
        <v>507</v>
      </c>
      <c r="C171" s="12">
        <f>集計_障がい児!$D$112</f>
        <v>0</v>
      </c>
      <c r="D171" s="13">
        <f>集計_障がい児!$E$112</f>
        <v>0</v>
      </c>
    </row>
    <row r="172" spans="2:4" ht="17.100000000000001" customHeight="1">
      <c r="B172" s="4" t="s">
        <v>508</v>
      </c>
      <c r="C172" s="12">
        <f>集計_障がい児!$D$113</f>
        <v>0</v>
      </c>
      <c r="D172" s="13">
        <f>集計_障がい児!$E$113</f>
        <v>0</v>
      </c>
    </row>
    <row r="173" spans="2:4" ht="17.100000000000001" customHeight="1">
      <c r="B173" s="4" t="s">
        <v>512</v>
      </c>
      <c r="C173" s="12">
        <f>集計_障がい児!$D$114</f>
        <v>24</v>
      </c>
      <c r="D173" s="13">
        <f>集計_障がい児!$E$114</f>
        <v>0.96</v>
      </c>
    </row>
    <row r="174" spans="2:4" ht="17.100000000000001" customHeight="1">
      <c r="B174" s="4" t="s">
        <v>438</v>
      </c>
      <c r="C174" s="12">
        <f>集計_障がい児!$D$115</f>
        <v>1</v>
      </c>
      <c r="D174" s="13">
        <f>集計_障がい児!$E$115</f>
        <v>0.04</v>
      </c>
    </row>
    <row r="178" spans="2:4" ht="21" customHeight="1">
      <c r="B178" s="6" t="s">
        <v>819</v>
      </c>
    </row>
    <row r="179" spans="2:4">
      <c r="B179" s="11" t="str">
        <f>"n="&amp;集計_障がい児!$F$116&amp;"（単一回答）"</f>
        <v>n=25（単一回答）</v>
      </c>
    </row>
    <row r="180" spans="2:4" ht="18" customHeight="1">
      <c r="B180" s="2" t="s">
        <v>429</v>
      </c>
      <c r="C180" s="2" t="s">
        <v>430</v>
      </c>
      <c r="D180" s="2" t="s">
        <v>431</v>
      </c>
    </row>
    <row r="181" spans="2:4" ht="17.100000000000001" customHeight="1">
      <c r="B181" s="4" t="s">
        <v>526</v>
      </c>
      <c r="C181" s="12">
        <f>集計_障がい児!$D$116</f>
        <v>7</v>
      </c>
      <c r="D181" s="13">
        <f>集計_障がい児!$E$116</f>
        <v>0.28000000000000003</v>
      </c>
    </row>
    <row r="182" spans="2:4" ht="17.100000000000001" customHeight="1">
      <c r="B182" s="4" t="s">
        <v>527</v>
      </c>
      <c r="C182" s="12">
        <f>集計_障がい児!$D$117</f>
        <v>9</v>
      </c>
      <c r="D182" s="13">
        <f>集計_障がい児!$E$117</f>
        <v>0.36</v>
      </c>
    </row>
    <row r="183" spans="2:4" ht="17.100000000000001" customHeight="1">
      <c r="B183" s="4" t="s">
        <v>438</v>
      </c>
      <c r="C183" s="12">
        <f>集計_障がい児!$D$118</f>
        <v>9</v>
      </c>
      <c r="D183" s="13">
        <f>集計_障がい児!$E$118</f>
        <v>0.36</v>
      </c>
    </row>
    <row r="190" spans="2:4" ht="21" customHeight="1">
      <c r="B190" s="6" t="s">
        <v>820</v>
      </c>
    </row>
    <row r="191" spans="2:4">
      <c r="B191" s="11" t="str">
        <f>"n="&amp;集計_障がい児!$F$119&amp;"（単一回答）"</f>
        <v>n=25（単一回答）</v>
      </c>
    </row>
    <row r="192" spans="2:4" ht="18" customHeight="1">
      <c r="B192" s="2" t="s">
        <v>429</v>
      </c>
      <c r="C192" s="2" t="s">
        <v>430</v>
      </c>
      <c r="D192" s="2" t="s">
        <v>431</v>
      </c>
    </row>
    <row r="193" spans="2:4" ht="17.100000000000001" customHeight="1">
      <c r="B193" s="4" t="s">
        <v>530</v>
      </c>
      <c r="C193" s="12">
        <f>集計_障がい児!$D$119</f>
        <v>0</v>
      </c>
      <c r="D193" s="13">
        <f>集計_障がい児!$E$119</f>
        <v>0</v>
      </c>
    </row>
    <row r="194" spans="2:4" ht="17.100000000000001" customHeight="1">
      <c r="B194" s="4" t="s">
        <v>531</v>
      </c>
      <c r="C194" s="12">
        <f>集計_障がい児!$D$120</f>
        <v>24</v>
      </c>
      <c r="D194" s="13">
        <f>集計_障がい児!$E$120</f>
        <v>0.96</v>
      </c>
    </row>
    <row r="195" spans="2:4" ht="17.100000000000001" customHeight="1">
      <c r="B195" s="4" t="s">
        <v>438</v>
      </c>
      <c r="C195" s="12">
        <f>集計_障がい児!$D$121</f>
        <v>1</v>
      </c>
      <c r="D195" s="13">
        <f>集計_障がい児!$E$121</f>
        <v>0.04</v>
      </c>
    </row>
    <row r="202" spans="2:4" ht="21" customHeight="1">
      <c r="B202" s="6" t="s">
        <v>821</v>
      </c>
    </row>
    <row r="203" spans="2:4">
      <c r="B203" s="11" t="str">
        <f>"n="&amp;集計_障がい児!$F$122&amp;"（単一回答）"</f>
        <v>n=25（単一回答）</v>
      </c>
    </row>
    <row r="204" spans="2:4" ht="18" customHeight="1">
      <c r="B204" s="2" t="s">
        <v>429</v>
      </c>
      <c r="C204" s="2" t="s">
        <v>430</v>
      </c>
      <c r="D204" s="2" t="s">
        <v>431</v>
      </c>
    </row>
    <row r="205" spans="2:4" ht="17.100000000000001" customHeight="1">
      <c r="B205" s="4" t="s">
        <v>534</v>
      </c>
      <c r="C205" s="12">
        <f>集計_障がい児!$D$122</f>
        <v>13</v>
      </c>
      <c r="D205" s="13">
        <f>集計_障がい児!$E$122</f>
        <v>0.52</v>
      </c>
    </row>
    <row r="206" spans="2:4" ht="17.100000000000001" customHeight="1">
      <c r="B206" s="4" t="s">
        <v>535</v>
      </c>
      <c r="C206" s="12">
        <f>集計_障がい児!$D$123</f>
        <v>10</v>
      </c>
      <c r="D206" s="13">
        <f>集計_障がい児!$E$123</f>
        <v>0.4</v>
      </c>
    </row>
    <row r="207" spans="2:4" ht="17.100000000000001" customHeight="1">
      <c r="B207" s="4" t="s">
        <v>438</v>
      </c>
      <c r="C207" s="12">
        <f>集計_障がい児!$D$124</f>
        <v>2</v>
      </c>
      <c r="D207" s="13">
        <f>集計_障がい児!$E$124</f>
        <v>0.08</v>
      </c>
    </row>
    <row r="214" spans="2:4" ht="21" customHeight="1">
      <c r="B214" s="6" t="s">
        <v>822</v>
      </c>
    </row>
    <row r="215" spans="2:4">
      <c r="B215" s="11" t="str">
        <f>"n="&amp;集計_障がい児!$F$125&amp;"（単一回答）"</f>
        <v>n=25（単一回答）</v>
      </c>
    </row>
    <row r="216" spans="2:4" ht="18" customHeight="1">
      <c r="B216" s="2" t="s">
        <v>429</v>
      </c>
      <c r="C216" s="2" t="s">
        <v>430</v>
      </c>
      <c r="D216" s="2" t="s">
        <v>431</v>
      </c>
    </row>
    <row r="217" spans="2:4" ht="17.100000000000001" customHeight="1">
      <c r="B217" s="4" t="s">
        <v>534</v>
      </c>
      <c r="C217" s="12">
        <f>集計_障がい児!$D$125</f>
        <v>0</v>
      </c>
      <c r="D217" s="13">
        <f>集計_障がい児!$E$125</f>
        <v>0</v>
      </c>
    </row>
    <row r="218" spans="2:4" ht="17.100000000000001" customHeight="1">
      <c r="B218" s="4" t="s">
        <v>535</v>
      </c>
      <c r="C218" s="12">
        <f>集計_障がい児!$D$126</f>
        <v>24</v>
      </c>
      <c r="D218" s="13">
        <f>集計_障がい児!$E$126</f>
        <v>0.96</v>
      </c>
    </row>
    <row r="219" spans="2:4" ht="17.100000000000001" customHeight="1">
      <c r="B219" s="4" t="s">
        <v>438</v>
      </c>
      <c r="C219" s="12">
        <f>集計_障がい児!$D$127</f>
        <v>1</v>
      </c>
      <c r="D219" s="13">
        <f>集計_障がい児!$E$127</f>
        <v>0.04</v>
      </c>
    </row>
    <row r="226" spans="2:4" ht="21" customHeight="1">
      <c r="B226" s="6" t="s">
        <v>823</v>
      </c>
    </row>
    <row r="227" spans="2:4">
      <c r="B227" s="11" t="str">
        <f>"n="&amp;集計_障がい児!$F$128&amp;"（複数回答）"</f>
        <v>n=25（複数回答）</v>
      </c>
    </row>
    <row r="228" spans="2:4" ht="18" customHeight="1">
      <c r="B228" s="2" t="s">
        <v>429</v>
      </c>
      <c r="C228" s="2" t="s">
        <v>430</v>
      </c>
      <c r="D228" s="2" t="s">
        <v>431</v>
      </c>
    </row>
    <row r="229" spans="2:4" ht="17.100000000000001" customHeight="1">
      <c r="B229" s="4" t="s">
        <v>514</v>
      </c>
      <c r="C229" s="12">
        <f>集計_障がい児!$D$128</f>
        <v>0</v>
      </c>
      <c r="D229" s="13">
        <f>集計_障がい児!$E$128</f>
        <v>0</v>
      </c>
    </row>
    <row r="230" spans="2:4" ht="17.100000000000001" customHeight="1">
      <c r="B230" s="4" t="s">
        <v>515</v>
      </c>
      <c r="C230" s="12">
        <f>集計_障がい児!$D$129</f>
        <v>0</v>
      </c>
      <c r="D230" s="13">
        <f>集計_障がい児!$E$129</f>
        <v>0</v>
      </c>
    </row>
    <row r="231" spans="2:4" ht="17.100000000000001" customHeight="1">
      <c r="B231" s="4" t="s">
        <v>516</v>
      </c>
      <c r="C231" s="12">
        <f>集計_障がい児!$D$130</f>
        <v>0</v>
      </c>
      <c r="D231" s="13">
        <f>集計_障がい児!$E$130</f>
        <v>0</v>
      </c>
    </row>
    <row r="232" spans="2:4" ht="17.100000000000001" customHeight="1">
      <c r="B232" s="4" t="s">
        <v>517</v>
      </c>
      <c r="C232" s="12">
        <f>集計_障がい児!$D$131</f>
        <v>0</v>
      </c>
      <c r="D232" s="13">
        <f>集計_障がい児!$E$131</f>
        <v>0</v>
      </c>
    </row>
    <row r="233" spans="2:4" ht="17.100000000000001" customHeight="1">
      <c r="B233" s="4" t="s">
        <v>518</v>
      </c>
      <c r="C233" s="12">
        <f>集計_障がい児!$D$132</f>
        <v>0</v>
      </c>
      <c r="D233" s="13">
        <f>集計_障がい児!$E$132</f>
        <v>0</v>
      </c>
    </row>
    <row r="234" spans="2:4" ht="17.100000000000001" customHeight="1">
      <c r="B234" s="4" t="s">
        <v>519</v>
      </c>
      <c r="C234" s="12">
        <f>集計_障がい児!$D$133</f>
        <v>0</v>
      </c>
      <c r="D234" s="13">
        <f>集計_障がい児!$E$133</f>
        <v>0</v>
      </c>
    </row>
    <row r="235" spans="2:4" ht="17.100000000000001" customHeight="1">
      <c r="B235" s="4" t="s">
        <v>520</v>
      </c>
      <c r="C235" s="12">
        <f>集計_障がい児!$D$134</f>
        <v>0</v>
      </c>
      <c r="D235" s="13">
        <f>集計_障がい児!$E$134</f>
        <v>0</v>
      </c>
    </row>
    <row r="236" spans="2:4" ht="17.100000000000001" customHeight="1">
      <c r="B236" s="4" t="s">
        <v>438</v>
      </c>
      <c r="C236" s="12">
        <f>集計_障がい児!$D$135</f>
        <v>25</v>
      </c>
      <c r="D236" s="13">
        <f>集計_障がい児!$E$135</f>
        <v>1</v>
      </c>
    </row>
    <row r="240" spans="2:4" ht="21" customHeight="1">
      <c r="B240" s="6" t="s">
        <v>824</v>
      </c>
    </row>
    <row r="241" spans="2:4">
      <c r="B241" s="11" t="str">
        <f>"n="&amp;集計_障がい児!$F$146&amp;"（複数回答）"</f>
        <v>n=25（複数回答）</v>
      </c>
    </row>
    <row r="242" spans="2:4" ht="18" customHeight="1">
      <c r="B242" s="2" t="s">
        <v>429</v>
      </c>
      <c r="C242" s="2" t="s">
        <v>430</v>
      </c>
      <c r="D242" s="2" t="s">
        <v>431</v>
      </c>
    </row>
    <row r="243" spans="2:4" ht="17.100000000000001" customHeight="1">
      <c r="B243" s="4" t="s">
        <v>543</v>
      </c>
      <c r="C243" s="12">
        <f>集計_障がい児!$D$146</f>
        <v>4</v>
      </c>
      <c r="D243" s="13">
        <f>集計_障がい児!$E$146</f>
        <v>0.16</v>
      </c>
    </row>
    <row r="244" spans="2:4" ht="17.100000000000001" customHeight="1">
      <c r="B244" s="4" t="s">
        <v>549</v>
      </c>
      <c r="C244" s="12">
        <f>集計_障がい児!$D$138</f>
        <v>1</v>
      </c>
      <c r="D244" s="13">
        <f>集計_障がい児!$E$138</f>
        <v>0.04</v>
      </c>
    </row>
    <row r="245" spans="2:4" ht="17.100000000000001" customHeight="1">
      <c r="B245" s="4" t="s">
        <v>552</v>
      </c>
      <c r="C245" s="12">
        <f>集計_障がい児!$D$136</f>
        <v>0</v>
      </c>
      <c r="D245" s="13">
        <f>集計_障がい児!$E$136</f>
        <v>0</v>
      </c>
    </row>
    <row r="246" spans="2:4" ht="17.100000000000001" customHeight="1">
      <c r="B246" s="4" t="s">
        <v>547</v>
      </c>
      <c r="C246" s="12">
        <f>集計_障がい児!$D$137</f>
        <v>0</v>
      </c>
      <c r="D246" s="13">
        <f>集計_障がい児!$E$137</f>
        <v>0</v>
      </c>
    </row>
    <row r="247" spans="2:4" ht="17.100000000000001" customHeight="1">
      <c r="B247" s="4" t="s">
        <v>551</v>
      </c>
      <c r="C247" s="12">
        <f>集計_障がい児!$D$139</f>
        <v>0</v>
      </c>
      <c r="D247" s="13">
        <f>集計_障がい児!$E$139</f>
        <v>0</v>
      </c>
    </row>
    <row r="248" spans="2:4" ht="17.100000000000001" customHeight="1">
      <c r="B248" s="4" t="s">
        <v>548</v>
      </c>
      <c r="C248" s="12">
        <f>集計_障がい児!$D$140</f>
        <v>0</v>
      </c>
      <c r="D248" s="13">
        <f>集計_障がい児!$E$140</f>
        <v>0</v>
      </c>
    </row>
    <row r="249" spans="2:4" ht="17.100000000000001" customHeight="1">
      <c r="B249" s="4" t="s">
        <v>550</v>
      </c>
      <c r="C249" s="12">
        <f>集計_障がい児!$D$141</f>
        <v>0</v>
      </c>
      <c r="D249" s="13">
        <f>集計_障がい児!$E$141</f>
        <v>0</v>
      </c>
    </row>
    <row r="250" spans="2:4" ht="17.100000000000001" customHeight="1">
      <c r="B250" s="4" t="s">
        <v>553</v>
      </c>
      <c r="C250" s="12">
        <f>集計_障がい児!$D$142</f>
        <v>0</v>
      </c>
      <c r="D250" s="13">
        <f>集計_障がい児!$E$142</f>
        <v>0</v>
      </c>
    </row>
    <row r="251" spans="2:4" ht="17.100000000000001" customHeight="1">
      <c r="B251" s="4" t="s">
        <v>544</v>
      </c>
      <c r="C251" s="12">
        <f>集計_障がい児!$D$143</f>
        <v>0</v>
      </c>
      <c r="D251" s="13">
        <f>集計_障がい児!$E$143</f>
        <v>0</v>
      </c>
    </row>
    <row r="252" spans="2:4" ht="17.100000000000001" customHeight="1">
      <c r="B252" s="4" t="s">
        <v>546</v>
      </c>
      <c r="C252" s="12">
        <f>集計_障がい児!$D$144</f>
        <v>0</v>
      </c>
      <c r="D252" s="13">
        <f>集計_障がい児!$E$144</f>
        <v>0</v>
      </c>
    </row>
    <row r="253" spans="2:4" ht="17.100000000000001" customHeight="1">
      <c r="B253" s="4" t="s">
        <v>545</v>
      </c>
      <c r="C253" s="12">
        <f>集計_障がい児!$D$145</f>
        <v>0</v>
      </c>
      <c r="D253" s="13">
        <f>集計_障がい児!$E$145</f>
        <v>0</v>
      </c>
    </row>
    <row r="254" spans="2:4" ht="17.100000000000001" customHeight="1">
      <c r="B254" s="4" t="s">
        <v>437</v>
      </c>
      <c r="C254" s="12">
        <f>集計_障がい児!$D$147</f>
        <v>1</v>
      </c>
      <c r="D254" s="13">
        <f>集計_障がい児!$E$147</f>
        <v>0.04</v>
      </c>
    </row>
    <row r="255" spans="2:4" ht="17.100000000000001" customHeight="1">
      <c r="B255" s="4" t="s">
        <v>438</v>
      </c>
      <c r="C255" s="12">
        <f>集計_障がい児!$D$148</f>
        <v>20</v>
      </c>
      <c r="D255" s="13">
        <f>集計_障がい児!$E$148</f>
        <v>0.8</v>
      </c>
    </row>
    <row r="259" spans="2:4" ht="21" customHeight="1">
      <c r="B259" s="6" t="s">
        <v>825</v>
      </c>
    </row>
    <row r="260" spans="2:4">
      <c r="B260" s="11" t="str">
        <f>"n="&amp;集計_障がい児!$F$149&amp;"（単一回答）"</f>
        <v>n=25（単一回答）</v>
      </c>
    </row>
    <row r="261" spans="2:4" ht="18" customHeight="1">
      <c r="B261" s="2" t="s">
        <v>429</v>
      </c>
      <c r="C261" s="2" t="s">
        <v>430</v>
      </c>
      <c r="D261" s="2" t="s">
        <v>431</v>
      </c>
    </row>
    <row r="262" spans="2:4" ht="30" customHeight="1">
      <c r="B262" s="4" t="s">
        <v>826</v>
      </c>
      <c r="C262" s="12">
        <f>集計_障がい児!$D$149</f>
        <v>3</v>
      </c>
      <c r="D262" s="13">
        <f>集計_障がい児!$E$149</f>
        <v>0.12</v>
      </c>
    </row>
    <row r="263" spans="2:4" ht="17.100000000000001" customHeight="1">
      <c r="B263" s="4" t="s">
        <v>827</v>
      </c>
      <c r="C263" s="12">
        <f>集計_障がい児!$D$150</f>
        <v>10</v>
      </c>
      <c r="D263" s="13">
        <f>集計_障がい児!$E$150</f>
        <v>0.4</v>
      </c>
    </row>
    <row r="264" spans="2:4" ht="17.100000000000001" customHeight="1">
      <c r="B264" s="4" t="s">
        <v>828</v>
      </c>
      <c r="C264" s="12">
        <f>集計_障がい児!$D$151</f>
        <v>4</v>
      </c>
      <c r="D264" s="13">
        <f>集計_障がい児!$E$151</f>
        <v>0.16</v>
      </c>
    </row>
    <row r="265" spans="2:4" ht="17.100000000000001" customHeight="1">
      <c r="B265" s="4" t="s">
        <v>829</v>
      </c>
      <c r="C265" s="12">
        <f>集計_障がい児!$D$152</f>
        <v>1</v>
      </c>
      <c r="D265" s="13">
        <f>集計_障がい児!$E$152</f>
        <v>0.04</v>
      </c>
    </row>
    <row r="266" spans="2:4" ht="17.100000000000001" customHeight="1">
      <c r="B266" s="4" t="s">
        <v>613</v>
      </c>
      <c r="C266" s="12">
        <f>集計_障がい児!$D$153</f>
        <v>1</v>
      </c>
      <c r="D266" s="13">
        <f>集計_障がい児!$E$153</f>
        <v>0.04</v>
      </c>
    </row>
    <row r="267" spans="2:4" ht="17.100000000000001" customHeight="1">
      <c r="B267" s="4" t="s">
        <v>614</v>
      </c>
      <c r="C267" s="12">
        <f>集計_障がい児!$D$154</f>
        <v>5</v>
      </c>
      <c r="D267" s="13">
        <f>集計_障がい児!$E$154</f>
        <v>0.2</v>
      </c>
    </row>
    <row r="268" spans="2:4" ht="17.100000000000001" customHeight="1">
      <c r="B268" s="4" t="s">
        <v>611</v>
      </c>
      <c r="C268" s="12">
        <f>集計_障がい児!$D$155</f>
        <v>0</v>
      </c>
      <c r="D268" s="13">
        <f>集計_障がい児!$E$155</f>
        <v>0</v>
      </c>
    </row>
    <row r="269" spans="2:4" ht="17.100000000000001" customHeight="1">
      <c r="B269" s="4" t="s">
        <v>612</v>
      </c>
      <c r="C269" s="12">
        <f>集計_障がい児!$D$156</f>
        <v>0</v>
      </c>
      <c r="D269" s="13">
        <f>集計_障がい児!$E$156</f>
        <v>0</v>
      </c>
    </row>
    <row r="270" spans="2:4" ht="17.100000000000001" customHeight="1">
      <c r="B270" s="4" t="s">
        <v>437</v>
      </c>
      <c r="C270" s="12">
        <f>集計_障がい児!$D$157</f>
        <v>1</v>
      </c>
      <c r="D270" s="13">
        <f>集計_障がい児!$E$157</f>
        <v>0.04</v>
      </c>
    </row>
    <row r="271" spans="2:4" ht="17.100000000000001" customHeight="1">
      <c r="B271" s="4" t="s">
        <v>438</v>
      </c>
      <c r="C271" s="12">
        <f>集計_障がい児!$D$158</f>
        <v>0</v>
      </c>
      <c r="D271" s="13">
        <f>集計_障がい児!$E$158</f>
        <v>0</v>
      </c>
    </row>
    <row r="275" spans="2:4" ht="21" customHeight="1">
      <c r="B275" s="6" t="s">
        <v>830</v>
      </c>
    </row>
    <row r="276" spans="2:4">
      <c r="B276" s="11" t="str">
        <f>"n="&amp;集計_障がい児!$F$159&amp;"（複数回答）"</f>
        <v>n=25（複数回答）</v>
      </c>
    </row>
    <row r="277" spans="2:4" ht="18" customHeight="1">
      <c r="B277" s="2" t="s">
        <v>429</v>
      </c>
      <c r="C277" s="2" t="s">
        <v>430</v>
      </c>
      <c r="D277" s="2" t="s">
        <v>431</v>
      </c>
    </row>
    <row r="278" spans="2:4" ht="17.100000000000001" customHeight="1">
      <c r="B278" s="4" t="s">
        <v>831</v>
      </c>
      <c r="C278" s="12">
        <f>集計_障がい児!$D$159</f>
        <v>16</v>
      </c>
      <c r="D278" s="13">
        <f>集計_障がい児!$E$159</f>
        <v>0.64</v>
      </c>
    </row>
    <row r="279" spans="2:4" ht="17.100000000000001" customHeight="1">
      <c r="B279" s="4" t="s">
        <v>832</v>
      </c>
      <c r="C279" s="12">
        <f>集計_障がい児!$D$160</f>
        <v>10</v>
      </c>
      <c r="D279" s="13">
        <f>集計_障がい児!$E$160</f>
        <v>0.4</v>
      </c>
    </row>
    <row r="280" spans="2:4" ht="17.100000000000001" customHeight="1">
      <c r="B280" s="4" t="s">
        <v>833</v>
      </c>
      <c r="C280" s="12">
        <f>集計_障がい児!$D$161</f>
        <v>4</v>
      </c>
      <c r="D280" s="13">
        <f>集計_障がい児!$E$161</f>
        <v>0.16</v>
      </c>
    </row>
    <row r="281" spans="2:4" ht="17.100000000000001" customHeight="1">
      <c r="B281" s="4" t="s">
        <v>834</v>
      </c>
      <c r="C281" s="12">
        <f>集計_障がい児!$D$164</f>
        <v>2</v>
      </c>
      <c r="D281" s="13">
        <f>集計_障がい児!$E$164</f>
        <v>0.08</v>
      </c>
    </row>
    <row r="282" spans="2:4" ht="17.100000000000001" customHeight="1">
      <c r="B282" s="4" t="s">
        <v>835</v>
      </c>
      <c r="C282" s="12">
        <f>集計_障がい児!$D$162</f>
        <v>1</v>
      </c>
      <c r="D282" s="13">
        <f>集計_障がい児!$E$162</f>
        <v>0.04</v>
      </c>
    </row>
    <row r="283" spans="2:4" ht="17.100000000000001" customHeight="1">
      <c r="B283" s="4" t="s">
        <v>836</v>
      </c>
      <c r="C283" s="12">
        <f>集計_障がい児!$D$163</f>
        <v>1</v>
      </c>
      <c r="D283" s="13">
        <f>集計_障がい児!$E$163</f>
        <v>0.04</v>
      </c>
    </row>
    <row r="284" spans="2:4" ht="17.100000000000001" customHeight="1">
      <c r="B284" s="4" t="s">
        <v>437</v>
      </c>
      <c r="C284" s="12">
        <f>集計_障がい児!$D$165</f>
        <v>0</v>
      </c>
      <c r="D284" s="13">
        <f>集計_障がい児!$E$165</f>
        <v>0</v>
      </c>
    </row>
    <row r="285" spans="2:4" ht="17.100000000000001" customHeight="1">
      <c r="B285" s="4" t="s">
        <v>604</v>
      </c>
      <c r="C285" s="12">
        <f>集計_障がい児!$D$166</f>
        <v>1</v>
      </c>
      <c r="D285" s="13">
        <f>集計_障がい児!$E$166</f>
        <v>0.04</v>
      </c>
    </row>
    <row r="286" spans="2:4" ht="17.100000000000001" customHeight="1">
      <c r="B286" s="4" t="s">
        <v>438</v>
      </c>
      <c r="C286" s="12">
        <f>集計_障がい児!$D$167</f>
        <v>7</v>
      </c>
      <c r="D286" s="13">
        <f>集計_障がい児!$E$167</f>
        <v>0.28000000000000003</v>
      </c>
    </row>
    <row r="290" spans="2:4" ht="21" customHeight="1">
      <c r="B290" s="6" t="s">
        <v>837</v>
      </c>
    </row>
    <row r="291" spans="2:4">
      <c r="B291" s="11" t="str">
        <f>"n="&amp;集計_障がい児!$F$168&amp;"（単一回答）"</f>
        <v>n=25（単一回答）</v>
      </c>
    </row>
    <row r="292" spans="2:4" ht="18" customHeight="1">
      <c r="B292" s="2" t="s">
        <v>429</v>
      </c>
      <c r="C292" s="2" t="s">
        <v>430</v>
      </c>
      <c r="D292" s="2" t="s">
        <v>431</v>
      </c>
    </row>
    <row r="293" spans="2:4" ht="17.100000000000001" customHeight="1">
      <c r="B293" s="4" t="s">
        <v>838</v>
      </c>
      <c r="C293" s="12">
        <f>集計_障がい児!$D$168</f>
        <v>13</v>
      </c>
      <c r="D293" s="13">
        <f>集計_障がい児!$E$168</f>
        <v>0.52</v>
      </c>
    </row>
    <row r="294" spans="2:4" ht="17.100000000000001" customHeight="1">
      <c r="B294" s="4" t="s">
        <v>839</v>
      </c>
      <c r="C294" s="12">
        <f>集計_障がい児!$D$169</f>
        <v>2</v>
      </c>
      <c r="D294" s="13">
        <f>集計_障がい児!$E$169</f>
        <v>0.08</v>
      </c>
    </row>
    <row r="295" spans="2:4" ht="17.100000000000001" customHeight="1">
      <c r="B295" s="4" t="s">
        <v>840</v>
      </c>
      <c r="C295" s="12">
        <f>集計_障がい児!$D$170</f>
        <v>0</v>
      </c>
      <c r="D295" s="13">
        <f>集計_障がい児!$E$170</f>
        <v>0</v>
      </c>
    </row>
    <row r="296" spans="2:4" ht="17.100000000000001" customHeight="1">
      <c r="B296" s="4" t="s">
        <v>841</v>
      </c>
      <c r="C296" s="12">
        <f>集計_障がい児!$D$171</f>
        <v>0</v>
      </c>
      <c r="D296" s="13">
        <f>集計_障がい児!$E$171</f>
        <v>0</v>
      </c>
    </row>
    <row r="297" spans="2:4" ht="17.100000000000001" customHeight="1">
      <c r="B297" s="4" t="s">
        <v>842</v>
      </c>
      <c r="C297" s="12">
        <f>集計_障がい児!$D$172</f>
        <v>1</v>
      </c>
      <c r="D297" s="13">
        <f>集計_障がい児!$E$172</f>
        <v>0.04</v>
      </c>
    </row>
    <row r="298" spans="2:4" ht="17.100000000000001" customHeight="1">
      <c r="B298" s="4" t="s">
        <v>437</v>
      </c>
      <c r="C298" s="12">
        <f>集計_障がい児!$D$173</f>
        <v>0</v>
      </c>
      <c r="D298" s="13">
        <f>集計_障がい児!$E$173</f>
        <v>0</v>
      </c>
    </row>
    <row r="299" spans="2:4" ht="17.100000000000001" customHeight="1">
      <c r="B299" s="4" t="s">
        <v>442</v>
      </c>
      <c r="C299" s="12">
        <f>集計_障がい児!$D$174</f>
        <v>1</v>
      </c>
      <c r="D299" s="13">
        <f>集計_障がい児!$E$174</f>
        <v>0.04</v>
      </c>
    </row>
    <row r="300" spans="2:4" ht="17.100000000000001" customHeight="1">
      <c r="B300" s="4" t="s">
        <v>438</v>
      </c>
      <c r="C300" s="12">
        <f>集計_障がい児!$D$175</f>
        <v>8</v>
      </c>
      <c r="D300" s="13">
        <f>集計_障がい児!$E$175</f>
        <v>0.32</v>
      </c>
    </row>
    <row r="304" spans="2:4" ht="21" customHeight="1">
      <c r="B304" s="6" t="s">
        <v>843</v>
      </c>
    </row>
    <row r="305" spans="2:4">
      <c r="B305" s="11" t="str">
        <f>"n="&amp;集計_障がい児!$F$176&amp;"（単一回答）"</f>
        <v>n=25（単一回答）</v>
      </c>
    </row>
    <row r="306" spans="2:4" ht="18" customHeight="1">
      <c r="B306" s="2" t="s">
        <v>429</v>
      </c>
      <c r="C306" s="2" t="s">
        <v>430</v>
      </c>
      <c r="D306" s="2" t="s">
        <v>431</v>
      </c>
    </row>
    <row r="307" spans="2:4" ht="17.100000000000001" customHeight="1">
      <c r="B307" s="4" t="s">
        <v>844</v>
      </c>
      <c r="C307" s="12">
        <f>集計_障がい児!$D$176</f>
        <v>0</v>
      </c>
      <c r="D307" s="13">
        <f>集計_障がい児!$E$176</f>
        <v>0</v>
      </c>
    </row>
    <row r="308" spans="2:4" ht="17.100000000000001" customHeight="1">
      <c r="B308" s="4" t="s">
        <v>845</v>
      </c>
      <c r="C308" s="12">
        <f>集計_障がい児!$D$177</f>
        <v>1</v>
      </c>
      <c r="D308" s="13">
        <f>集計_障がい児!$E$177</f>
        <v>0.04</v>
      </c>
    </row>
    <row r="309" spans="2:4" ht="17.100000000000001" customHeight="1">
      <c r="B309" s="4" t="s">
        <v>846</v>
      </c>
      <c r="C309" s="12">
        <f>集計_障がい児!$D$178</f>
        <v>0</v>
      </c>
      <c r="D309" s="13">
        <f>集計_障がい児!$E$178</f>
        <v>0</v>
      </c>
    </row>
    <row r="310" spans="2:4" ht="30" customHeight="1">
      <c r="B310" s="4" t="s">
        <v>847</v>
      </c>
      <c r="C310" s="12">
        <f>集計_障がい児!$D$179</f>
        <v>9</v>
      </c>
      <c r="D310" s="13">
        <f>集計_障がい児!$E$179</f>
        <v>0.36</v>
      </c>
    </row>
    <row r="311" spans="2:4" ht="17.100000000000001" customHeight="1">
      <c r="B311" s="4" t="s">
        <v>848</v>
      </c>
      <c r="C311" s="12">
        <f>集計_障がい児!$D$180</f>
        <v>0</v>
      </c>
      <c r="D311" s="13">
        <f>集計_障がい児!$E$180</f>
        <v>0</v>
      </c>
    </row>
    <row r="312" spans="2:4" ht="17.100000000000001" customHeight="1">
      <c r="B312" s="4" t="s">
        <v>849</v>
      </c>
      <c r="C312" s="12">
        <f>集計_障がい児!$D$181</f>
        <v>1</v>
      </c>
      <c r="D312" s="13">
        <f>集計_障がい児!$E$181</f>
        <v>0.04</v>
      </c>
    </row>
    <row r="313" spans="2:4" ht="17.100000000000001" customHeight="1">
      <c r="B313" s="4" t="s">
        <v>842</v>
      </c>
      <c r="C313" s="12">
        <f>集計_障がい児!$D$182</f>
        <v>0</v>
      </c>
      <c r="D313" s="13">
        <f>集計_障がい児!$E$182</f>
        <v>0</v>
      </c>
    </row>
    <row r="314" spans="2:4" ht="17.100000000000001" customHeight="1">
      <c r="B314" s="4" t="s">
        <v>437</v>
      </c>
      <c r="C314" s="12">
        <f>集計_障がい児!$D$183</f>
        <v>0</v>
      </c>
      <c r="D314" s="13">
        <f>集計_障がい児!$E$183</f>
        <v>0</v>
      </c>
    </row>
    <row r="315" spans="2:4" ht="17.100000000000001" customHeight="1">
      <c r="B315" s="4" t="s">
        <v>442</v>
      </c>
      <c r="C315" s="12">
        <f>集計_障がい児!$D$184</f>
        <v>8</v>
      </c>
      <c r="D315" s="13">
        <f>集計_障がい児!$E$184</f>
        <v>0.32</v>
      </c>
    </row>
    <row r="316" spans="2:4" ht="17.100000000000001" customHeight="1">
      <c r="B316" s="4" t="s">
        <v>438</v>
      </c>
      <c r="C316" s="12">
        <f>集計_障がい児!$D$185</f>
        <v>6</v>
      </c>
      <c r="D316" s="13">
        <f>集計_障がい児!$E$185</f>
        <v>0.24</v>
      </c>
    </row>
    <row r="320" spans="2:4" ht="21" customHeight="1">
      <c r="B320" s="6" t="s">
        <v>850</v>
      </c>
    </row>
    <row r="321" spans="2:4">
      <c r="B321" s="11" t="str">
        <f>"n="&amp;集計_障がい児!$F$186&amp;"（単一回答）"</f>
        <v>n=25（単一回答）</v>
      </c>
    </row>
    <row r="322" spans="2:4" ht="18" customHeight="1">
      <c r="B322" s="2" t="s">
        <v>429</v>
      </c>
      <c r="C322" s="2" t="s">
        <v>430</v>
      </c>
      <c r="D322" s="2" t="s">
        <v>431</v>
      </c>
    </row>
    <row r="323" spans="2:4" ht="17.100000000000001" customHeight="1">
      <c r="B323" s="4" t="s">
        <v>624</v>
      </c>
      <c r="C323" s="12">
        <f>集計_障がい児!$D$186</f>
        <v>0</v>
      </c>
      <c r="D323" s="13">
        <f>集計_障がい児!$E$186</f>
        <v>0</v>
      </c>
    </row>
    <row r="324" spans="2:4" ht="17.100000000000001" customHeight="1">
      <c r="B324" s="4" t="s">
        <v>625</v>
      </c>
      <c r="C324" s="12">
        <f>集計_障がい児!$D$187</f>
        <v>7</v>
      </c>
      <c r="D324" s="13">
        <f>集計_障がい児!$E$187</f>
        <v>0.28000000000000003</v>
      </c>
    </row>
    <row r="325" spans="2:4" ht="17.100000000000001" customHeight="1">
      <c r="B325" s="4" t="s">
        <v>442</v>
      </c>
      <c r="C325" s="12">
        <f>集計_障がい児!$D$188</f>
        <v>0</v>
      </c>
      <c r="D325" s="13">
        <f>集計_障がい児!$E$188</f>
        <v>0</v>
      </c>
    </row>
    <row r="326" spans="2:4" ht="17.100000000000001" customHeight="1">
      <c r="B326" s="4" t="s">
        <v>438</v>
      </c>
      <c r="C326" s="12">
        <f>集計_障がい児!$D$189</f>
        <v>18</v>
      </c>
      <c r="D326" s="13">
        <f>集計_障がい児!$E$189</f>
        <v>0.72</v>
      </c>
    </row>
    <row r="331" spans="2:4" ht="21" customHeight="1">
      <c r="B331" s="6" t="s">
        <v>851</v>
      </c>
    </row>
    <row r="332" spans="2:4">
      <c r="B332" s="11" t="str">
        <f>"n="&amp;集計_障がい児!$F$190&amp;"（単一回答）"</f>
        <v>n=25（単一回答）</v>
      </c>
    </row>
    <row r="333" spans="2:4" ht="18" customHeight="1">
      <c r="B333" s="2" t="s">
        <v>429</v>
      </c>
      <c r="C333" s="2" t="s">
        <v>430</v>
      </c>
      <c r="D333" s="2" t="s">
        <v>431</v>
      </c>
    </row>
    <row r="334" spans="2:4" ht="17.100000000000001" customHeight="1">
      <c r="B334" s="4" t="s">
        <v>629</v>
      </c>
      <c r="C334" s="12">
        <f>集計_障がい児!$D$190</f>
        <v>0</v>
      </c>
      <c r="D334" s="13">
        <f>集計_障がい児!$E$190</f>
        <v>0</v>
      </c>
    </row>
    <row r="335" spans="2:4" ht="17.100000000000001" customHeight="1">
      <c r="B335" s="4" t="s">
        <v>630</v>
      </c>
      <c r="C335" s="12">
        <f>集計_障がい児!$D$191</f>
        <v>0</v>
      </c>
      <c r="D335" s="13">
        <f>集計_障がい児!$E$191</f>
        <v>0</v>
      </c>
    </row>
    <row r="336" spans="2:4" ht="17.100000000000001" customHeight="1">
      <c r="B336" s="4" t="s">
        <v>438</v>
      </c>
      <c r="C336" s="12">
        <f>集計_障がい児!$D$192</f>
        <v>25</v>
      </c>
      <c r="D336" s="13">
        <f>集計_障がい児!$E$192</f>
        <v>1</v>
      </c>
    </row>
    <row r="340" spans="2:4" ht="21" customHeight="1">
      <c r="B340" s="6" t="s">
        <v>852</v>
      </c>
    </row>
    <row r="341" spans="2:4">
      <c r="B341" s="11" t="str">
        <f>"n="&amp;集計_障がい児!$F$193&amp;"（単一回答）"</f>
        <v>n=25（単一回答）</v>
      </c>
    </row>
    <row r="342" spans="2:4" ht="18" customHeight="1">
      <c r="B342" s="2" t="s">
        <v>429</v>
      </c>
      <c r="C342" s="2" t="s">
        <v>430</v>
      </c>
      <c r="D342" s="2" t="s">
        <v>431</v>
      </c>
    </row>
    <row r="343" spans="2:4" ht="17.100000000000001" customHeight="1">
      <c r="B343" s="4" t="s">
        <v>556</v>
      </c>
      <c r="C343" s="12">
        <f>集計_障がい児!$D$193</f>
        <v>22</v>
      </c>
      <c r="D343" s="13">
        <f>集計_障がい児!$E$193</f>
        <v>0.88</v>
      </c>
    </row>
    <row r="344" spans="2:4" ht="17.100000000000001" customHeight="1">
      <c r="B344" s="4" t="s">
        <v>557</v>
      </c>
      <c r="C344" s="12">
        <f>集計_障がい児!$D$194</f>
        <v>3</v>
      </c>
      <c r="D344" s="13">
        <f>集計_障がい児!$E$194</f>
        <v>0.12</v>
      </c>
    </row>
    <row r="345" spans="2:4" ht="17.100000000000001" customHeight="1">
      <c r="B345" s="4" t="s">
        <v>558</v>
      </c>
      <c r="C345" s="12">
        <f>集計_障がい児!$D$195</f>
        <v>0</v>
      </c>
      <c r="D345" s="13">
        <f>集計_障がい児!$E$195</f>
        <v>0</v>
      </c>
    </row>
    <row r="346" spans="2:4" ht="17.100000000000001" customHeight="1">
      <c r="B346" s="4" t="s">
        <v>559</v>
      </c>
      <c r="C346" s="12">
        <f>集計_障がい児!$D$196</f>
        <v>0</v>
      </c>
      <c r="D346" s="13">
        <f>集計_障がい児!$E$196</f>
        <v>0</v>
      </c>
    </row>
    <row r="347" spans="2:4" ht="17.100000000000001" customHeight="1">
      <c r="B347" s="4" t="s">
        <v>437</v>
      </c>
      <c r="C347" s="12">
        <f>集計_障がい児!$D$197</f>
        <v>0</v>
      </c>
      <c r="D347" s="13">
        <f>集計_障がい児!$E$197</f>
        <v>0</v>
      </c>
    </row>
    <row r="348" spans="2:4" ht="17.100000000000001" customHeight="1">
      <c r="B348" s="4" t="s">
        <v>438</v>
      </c>
      <c r="C348" s="12">
        <f>集計_障がい児!$D$198</f>
        <v>0</v>
      </c>
      <c r="D348" s="13">
        <f>集計_障がい児!$E$198</f>
        <v>0</v>
      </c>
    </row>
    <row r="352" spans="2:4" ht="21" customHeight="1">
      <c r="B352" s="6" t="s">
        <v>853</v>
      </c>
    </row>
    <row r="353" spans="2:4">
      <c r="B353" s="11" t="str">
        <f>"n="&amp;集計_障がい児!$F$203&amp;"（複数回答）"</f>
        <v>n=25（複数回答）</v>
      </c>
    </row>
    <row r="354" spans="2:4" ht="18" customHeight="1">
      <c r="B354" s="2" t="s">
        <v>429</v>
      </c>
      <c r="C354" s="2" t="s">
        <v>430</v>
      </c>
      <c r="D354" s="2" t="s">
        <v>431</v>
      </c>
    </row>
    <row r="355" spans="2:4" ht="17.100000000000001" customHeight="1">
      <c r="B355" s="4" t="s">
        <v>562</v>
      </c>
      <c r="C355" s="12">
        <f>集計_障がい児!$D$203</f>
        <v>12</v>
      </c>
      <c r="D355" s="13">
        <f>集計_障がい児!$E$203</f>
        <v>0.48</v>
      </c>
    </row>
    <row r="356" spans="2:4" ht="17.100000000000001" customHeight="1">
      <c r="B356" s="4" t="s">
        <v>563</v>
      </c>
      <c r="C356" s="12">
        <f>集計_障がい児!$D$201</f>
        <v>11</v>
      </c>
      <c r="D356" s="13">
        <f>集計_障がい児!$E$201</f>
        <v>0.44</v>
      </c>
    </row>
    <row r="357" spans="2:4" ht="17.100000000000001" customHeight="1">
      <c r="B357" s="4" t="s">
        <v>565</v>
      </c>
      <c r="C357" s="12">
        <f>集計_障がい児!$D$200</f>
        <v>10</v>
      </c>
      <c r="D357" s="13">
        <f>集計_障がい児!$E$200</f>
        <v>0.4</v>
      </c>
    </row>
    <row r="358" spans="2:4" ht="17.100000000000001" customHeight="1">
      <c r="B358" s="4" t="s">
        <v>567</v>
      </c>
      <c r="C358" s="12">
        <f>集計_障がい児!$D$204</f>
        <v>9</v>
      </c>
      <c r="D358" s="13">
        <f>集計_障がい児!$E$204</f>
        <v>0.36</v>
      </c>
    </row>
    <row r="359" spans="2:4" ht="17.100000000000001" customHeight="1">
      <c r="B359" s="4" t="s">
        <v>564</v>
      </c>
      <c r="C359" s="12">
        <f>集計_障がい児!$D$199</f>
        <v>8</v>
      </c>
      <c r="D359" s="13">
        <f>集計_障がい児!$E$199</f>
        <v>0.32</v>
      </c>
    </row>
    <row r="360" spans="2:4" ht="17.100000000000001" customHeight="1">
      <c r="B360" s="4" t="s">
        <v>566</v>
      </c>
      <c r="C360" s="12">
        <f>集計_障がい児!$D$208</f>
        <v>7</v>
      </c>
      <c r="D360" s="13">
        <f>集計_障がい児!$E$208</f>
        <v>0.28000000000000003</v>
      </c>
    </row>
    <row r="361" spans="2:4" ht="17.100000000000001" customHeight="1">
      <c r="B361" s="4" t="s">
        <v>569</v>
      </c>
      <c r="C361" s="12">
        <f>集計_障がい児!$D$206</f>
        <v>6</v>
      </c>
      <c r="D361" s="13">
        <f>集計_障がい児!$E$206</f>
        <v>0.24</v>
      </c>
    </row>
    <row r="362" spans="2:4" ht="17.100000000000001" customHeight="1">
      <c r="B362" s="4" t="s">
        <v>570</v>
      </c>
      <c r="C362" s="12">
        <f>集計_障がい児!$D$202</f>
        <v>4</v>
      </c>
      <c r="D362" s="13">
        <f>集計_障がい児!$E$202</f>
        <v>0.16</v>
      </c>
    </row>
    <row r="363" spans="2:4" ht="17.100000000000001" customHeight="1">
      <c r="B363" s="4" t="s">
        <v>568</v>
      </c>
      <c r="C363" s="12">
        <f>集計_障がい児!$D$205</f>
        <v>4</v>
      </c>
      <c r="D363" s="13">
        <f>集計_障がい児!$E$205</f>
        <v>0.16</v>
      </c>
    </row>
    <row r="364" spans="2:4" ht="17.100000000000001" customHeight="1">
      <c r="B364" s="4" t="s">
        <v>572</v>
      </c>
      <c r="C364" s="12">
        <f>集計_障がい児!$D$207</f>
        <v>1</v>
      </c>
      <c r="D364" s="13">
        <f>集計_障がい児!$E$207</f>
        <v>0.04</v>
      </c>
    </row>
    <row r="365" spans="2:4" ht="17.100000000000001" customHeight="1">
      <c r="B365" s="4" t="s">
        <v>437</v>
      </c>
      <c r="C365" s="12">
        <f>集計_障がい児!$D$209</f>
        <v>0</v>
      </c>
      <c r="D365" s="13">
        <f>集計_障がい児!$E$209</f>
        <v>0</v>
      </c>
    </row>
    <row r="366" spans="2:4" ht="17.100000000000001" customHeight="1">
      <c r="B366" s="4" t="s">
        <v>438</v>
      </c>
      <c r="C366" s="12">
        <f>集計_障がい児!$D$210</f>
        <v>1</v>
      </c>
      <c r="D366" s="13">
        <f>集計_障がい児!$E$210</f>
        <v>0.04</v>
      </c>
    </row>
    <row r="370" spans="2:4" ht="21" customHeight="1">
      <c r="B370" s="6" t="s">
        <v>854</v>
      </c>
    </row>
    <row r="371" spans="2:4">
      <c r="B371" s="11" t="str">
        <f>"n="&amp;集計_障がい児!$F$211&amp;"（単一回答）"</f>
        <v>n=25（単一回答）</v>
      </c>
    </row>
    <row r="372" spans="2:4" ht="18" customHeight="1">
      <c r="B372" s="2" t="s">
        <v>429</v>
      </c>
      <c r="C372" s="2" t="s">
        <v>430</v>
      </c>
      <c r="D372" s="2" t="s">
        <v>431</v>
      </c>
    </row>
    <row r="373" spans="2:4" ht="17.100000000000001" customHeight="1">
      <c r="B373" s="4" t="s">
        <v>575</v>
      </c>
      <c r="C373" s="12">
        <f>集計_障がい児!$D$211</f>
        <v>16</v>
      </c>
      <c r="D373" s="13">
        <f>集計_障がい児!$E$211</f>
        <v>0.64</v>
      </c>
    </row>
    <row r="374" spans="2:4" ht="17.100000000000001" customHeight="1">
      <c r="B374" s="4" t="s">
        <v>576</v>
      </c>
      <c r="C374" s="12">
        <f>集計_障がい児!$D$212</f>
        <v>8</v>
      </c>
      <c r="D374" s="13">
        <f>集計_障がい児!$E$212</f>
        <v>0.32</v>
      </c>
    </row>
    <row r="375" spans="2:4" ht="17.100000000000001" customHeight="1">
      <c r="B375" s="4" t="s">
        <v>577</v>
      </c>
      <c r="C375" s="12">
        <f>集計_障がい児!$D$213</f>
        <v>1</v>
      </c>
      <c r="D375" s="13">
        <f>集計_障がい児!$E$213</f>
        <v>0.04</v>
      </c>
    </row>
    <row r="376" spans="2:4" ht="17.100000000000001" customHeight="1">
      <c r="B376" s="4" t="s">
        <v>578</v>
      </c>
      <c r="C376" s="12">
        <f>集計_障がい児!$D$214</f>
        <v>0</v>
      </c>
      <c r="D376" s="13">
        <f>集計_障がい児!$E$214</f>
        <v>0</v>
      </c>
    </row>
    <row r="377" spans="2:4" ht="17.100000000000001" customHeight="1">
      <c r="B377" s="4" t="s">
        <v>438</v>
      </c>
      <c r="C377" s="12">
        <f>集計_障がい児!$D$215</f>
        <v>0</v>
      </c>
      <c r="D377" s="13">
        <f>集計_障がい児!$E$215</f>
        <v>0</v>
      </c>
    </row>
    <row r="381" spans="2:4" ht="21" customHeight="1">
      <c r="B381" s="6" t="s">
        <v>855</v>
      </c>
    </row>
    <row r="382" spans="2:4">
      <c r="B382" s="11" t="str">
        <f>"n="&amp;集計_障がい児!$F$216&amp;"（複数回答）"</f>
        <v>n=25（複数回答）</v>
      </c>
    </row>
    <row r="383" spans="2:4" ht="18" customHeight="1">
      <c r="B383" s="2" t="s">
        <v>429</v>
      </c>
      <c r="C383" s="2" t="s">
        <v>430</v>
      </c>
      <c r="D383" s="2" t="s">
        <v>431</v>
      </c>
    </row>
    <row r="384" spans="2:4" ht="17.100000000000001" customHeight="1">
      <c r="B384" s="4" t="s">
        <v>586</v>
      </c>
      <c r="C384" s="12">
        <f>集計_障がい児!$D$216</f>
        <v>23</v>
      </c>
      <c r="D384" s="13">
        <f>集計_障がい児!$E$216</f>
        <v>0.92</v>
      </c>
    </row>
    <row r="385" spans="2:4" ht="17.100000000000001" customHeight="1">
      <c r="B385" s="4" t="s">
        <v>585</v>
      </c>
      <c r="C385" s="12">
        <f>集計_障がい児!$D$219</f>
        <v>14</v>
      </c>
      <c r="D385" s="13">
        <f>集計_障がい児!$E$219</f>
        <v>0.56000000000000005</v>
      </c>
    </row>
    <row r="386" spans="2:4" ht="17.100000000000001" customHeight="1">
      <c r="B386" s="4" t="s">
        <v>588</v>
      </c>
      <c r="C386" s="12">
        <f>集計_障がい児!$D$220</f>
        <v>5</v>
      </c>
      <c r="D386" s="13">
        <f>集計_障がい児!$E$220</f>
        <v>0.2</v>
      </c>
    </row>
    <row r="387" spans="2:4" ht="17.100000000000001" customHeight="1">
      <c r="B387" s="4" t="s">
        <v>584</v>
      </c>
      <c r="C387" s="12">
        <f>集計_障がい児!$D$218</f>
        <v>4</v>
      </c>
      <c r="D387" s="13">
        <f>集計_障がい児!$E$218</f>
        <v>0.16</v>
      </c>
    </row>
    <row r="388" spans="2:4" ht="17.100000000000001" customHeight="1">
      <c r="B388" s="4" t="s">
        <v>587</v>
      </c>
      <c r="C388" s="12">
        <f>集計_障がい児!$D$223</f>
        <v>2</v>
      </c>
      <c r="D388" s="13">
        <f>集計_障がい児!$E$223</f>
        <v>0.08</v>
      </c>
    </row>
    <row r="389" spans="2:4" ht="17.100000000000001" customHeight="1">
      <c r="B389" s="4" t="s">
        <v>589</v>
      </c>
      <c r="C389" s="12">
        <f>集計_障がい児!$D$221</f>
        <v>1</v>
      </c>
      <c r="D389" s="13">
        <f>集計_障がい児!$E$221</f>
        <v>0.04</v>
      </c>
    </row>
    <row r="390" spans="2:4" ht="17.100000000000001" customHeight="1">
      <c r="B390" s="4" t="s">
        <v>590</v>
      </c>
      <c r="C390" s="12">
        <f>集計_障がい児!$D$217</f>
        <v>0</v>
      </c>
      <c r="D390" s="13">
        <f>集計_障がい児!$E$217</f>
        <v>0</v>
      </c>
    </row>
    <row r="391" spans="2:4" ht="17.100000000000001" customHeight="1">
      <c r="B391" s="4" t="s">
        <v>591</v>
      </c>
      <c r="C391" s="12">
        <f>集計_障がい児!$D$222</f>
        <v>0</v>
      </c>
      <c r="D391" s="13">
        <f>集計_障がい児!$E$222</f>
        <v>0</v>
      </c>
    </row>
    <row r="392" spans="2:4" ht="17.100000000000001" customHeight="1">
      <c r="B392" s="4" t="s">
        <v>437</v>
      </c>
      <c r="C392" s="12">
        <f>集計_障がい児!$D$224</f>
        <v>1</v>
      </c>
      <c r="D392" s="13">
        <f>集計_障がい児!$E$224</f>
        <v>0.04</v>
      </c>
    </row>
    <row r="393" spans="2:4" ht="17.100000000000001" customHeight="1">
      <c r="B393" s="4" t="s">
        <v>438</v>
      </c>
      <c r="C393" s="12">
        <f>集計_障がい児!$D$225</f>
        <v>0</v>
      </c>
      <c r="D393" s="13">
        <f>集計_障がい児!$E$225</f>
        <v>0</v>
      </c>
    </row>
    <row r="397" spans="2:4" ht="21" customHeight="1">
      <c r="B397" s="6" t="s">
        <v>856</v>
      </c>
    </row>
    <row r="398" spans="2:4">
      <c r="B398" s="11" t="str">
        <f>"n="&amp;集計_障がい児!$F$235&amp;"（複数回答）"</f>
        <v>n=25（複数回答）</v>
      </c>
    </row>
    <row r="399" spans="2:4" ht="18" customHeight="1">
      <c r="B399" s="2" t="s">
        <v>429</v>
      </c>
      <c r="C399" s="2" t="s">
        <v>430</v>
      </c>
      <c r="D399" s="2" t="s">
        <v>431</v>
      </c>
    </row>
    <row r="400" spans="2:4" ht="17.100000000000001" customHeight="1">
      <c r="B400" s="4" t="s">
        <v>595</v>
      </c>
      <c r="C400" s="12">
        <f>集計_障がい児!$D$235</f>
        <v>11</v>
      </c>
      <c r="D400" s="13">
        <f>集計_障がい児!$E$235</f>
        <v>0.44</v>
      </c>
    </row>
    <row r="401" spans="2:4" ht="17.100000000000001" customHeight="1">
      <c r="B401" s="4" t="s">
        <v>594</v>
      </c>
      <c r="C401" s="12">
        <f>集計_障がい児!$D$232</f>
        <v>9</v>
      </c>
      <c r="D401" s="13">
        <f>集計_障がい児!$E$232</f>
        <v>0.36</v>
      </c>
    </row>
    <row r="402" spans="2:4" ht="30" customHeight="1">
      <c r="B402" s="4" t="s">
        <v>596</v>
      </c>
      <c r="C402" s="12">
        <f>集計_障がい児!$D$226</f>
        <v>8</v>
      </c>
      <c r="D402" s="13">
        <f>集計_障がい児!$E$226</f>
        <v>0.32</v>
      </c>
    </row>
    <row r="403" spans="2:4" ht="17.100000000000001" customHeight="1">
      <c r="B403" s="4" t="s">
        <v>599</v>
      </c>
      <c r="C403" s="12">
        <f>集計_障がい児!$D$227</f>
        <v>5</v>
      </c>
      <c r="D403" s="13">
        <f>集計_障がい児!$E$227</f>
        <v>0.2</v>
      </c>
    </row>
    <row r="404" spans="2:4" ht="17.100000000000001" customHeight="1">
      <c r="B404" s="4" t="s">
        <v>601</v>
      </c>
      <c r="C404" s="12">
        <f>集計_障がい児!$D$229</f>
        <v>3</v>
      </c>
      <c r="D404" s="13">
        <f>集計_障がい児!$E$229</f>
        <v>0.12</v>
      </c>
    </row>
    <row r="405" spans="2:4" ht="17.100000000000001" customHeight="1">
      <c r="B405" s="4" t="s">
        <v>600</v>
      </c>
      <c r="C405" s="12">
        <f>集計_障がい児!$D$231</f>
        <v>2</v>
      </c>
      <c r="D405" s="13">
        <f>集計_障がい児!$E$231</f>
        <v>0.08</v>
      </c>
    </row>
    <row r="406" spans="2:4" ht="30" customHeight="1">
      <c r="B406" s="4" t="s">
        <v>602</v>
      </c>
      <c r="C406" s="12">
        <f>集計_障がい児!$D$230</f>
        <v>1</v>
      </c>
      <c r="D406" s="13">
        <f>集計_障がい児!$E$230</f>
        <v>0.04</v>
      </c>
    </row>
    <row r="407" spans="2:4" ht="17.100000000000001" customHeight="1">
      <c r="B407" s="4" t="s">
        <v>603</v>
      </c>
      <c r="C407" s="12">
        <f>集計_障がい児!$D$233</f>
        <v>1</v>
      </c>
      <c r="D407" s="13">
        <f>集計_障がい児!$E$233</f>
        <v>0.04</v>
      </c>
    </row>
    <row r="408" spans="2:4" ht="17.100000000000001" customHeight="1">
      <c r="B408" s="4" t="s">
        <v>597</v>
      </c>
      <c r="C408" s="12">
        <f>集計_障がい児!$D$228</f>
        <v>0</v>
      </c>
      <c r="D408" s="13">
        <f>集計_障がい児!$E$228</f>
        <v>0</v>
      </c>
    </row>
    <row r="409" spans="2:4" ht="17.100000000000001" customHeight="1">
      <c r="B409" s="4" t="s">
        <v>598</v>
      </c>
      <c r="C409" s="12">
        <f>集計_障がい児!$D$234</f>
        <v>0</v>
      </c>
      <c r="D409" s="13">
        <f>集計_障がい児!$E$234</f>
        <v>0</v>
      </c>
    </row>
    <row r="410" spans="2:4" ht="17.100000000000001" customHeight="1">
      <c r="B410" s="4" t="s">
        <v>437</v>
      </c>
      <c r="C410" s="12">
        <f>集計_障がい児!$D$236</f>
        <v>0</v>
      </c>
      <c r="D410" s="13">
        <f>集計_障がい児!$E$236</f>
        <v>0</v>
      </c>
    </row>
    <row r="411" spans="2:4" ht="17.100000000000001" customHeight="1">
      <c r="B411" s="4" t="s">
        <v>604</v>
      </c>
      <c r="C411" s="12">
        <f>集計_障がい児!$D$237</f>
        <v>3</v>
      </c>
      <c r="D411" s="13">
        <f>集計_障がい児!$E$237</f>
        <v>0.12</v>
      </c>
    </row>
    <row r="412" spans="2:4" ht="17.100000000000001" customHeight="1">
      <c r="B412" s="4" t="s">
        <v>438</v>
      </c>
      <c r="C412" s="12">
        <f>集計_障がい児!$D$238</f>
        <v>1</v>
      </c>
      <c r="D412" s="13">
        <f>集計_障がい児!$E$238</f>
        <v>0.04</v>
      </c>
    </row>
    <row r="416" spans="2:4" ht="21" customHeight="1">
      <c r="B416" s="6" t="s">
        <v>857</v>
      </c>
    </row>
    <row r="417" spans="2:5" ht="57" customHeight="1">
      <c r="B417" s="2" t="s">
        <v>406</v>
      </c>
      <c r="C417" s="2" t="s">
        <v>665</v>
      </c>
      <c r="D417" s="2" t="s">
        <v>666</v>
      </c>
      <c r="E417" s="2" t="s">
        <v>667</v>
      </c>
    </row>
    <row r="418" spans="2:5" ht="17.100000000000001" customHeight="1">
      <c r="B418" s="4" t="s">
        <v>668</v>
      </c>
      <c r="C418" s="13">
        <f>集計_障がい児!$E$239</f>
        <v>0</v>
      </c>
      <c r="D418" s="13">
        <f>集計_障がい児!$E$302</f>
        <v>0.04</v>
      </c>
      <c r="E418" s="14">
        <f>ROUND(D418*100,1)-ROUND(C418*100,1)</f>
        <v>4</v>
      </c>
    </row>
    <row r="419" spans="2:5" ht="17.100000000000001" customHeight="1">
      <c r="B419" s="4" t="s">
        <v>669</v>
      </c>
      <c r="C419" s="13">
        <f>集計_障がい児!$E$242</f>
        <v>0</v>
      </c>
      <c r="D419" s="13">
        <f>集計_障がい児!$E$305</f>
        <v>0</v>
      </c>
      <c r="E419" s="14">
        <f>ROUND(D419*100,1)-ROUND(C419*100,1)</f>
        <v>0</v>
      </c>
    </row>
    <row r="420" spans="2:5" ht="17.100000000000001" customHeight="1">
      <c r="B420" s="4" t="s">
        <v>670</v>
      </c>
      <c r="C420" s="13">
        <f>集計_障がい児!$E$245</f>
        <v>0</v>
      </c>
      <c r="D420" s="13">
        <f>集計_障がい児!$E$308</f>
        <v>0</v>
      </c>
      <c r="E420" s="14">
        <f>ROUND(D420*100,1)-ROUND(C420*100,1)</f>
        <v>0</v>
      </c>
    </row>
    <row r="421" spans="2:5" ht="17.100000000000001" customHeight="1">
      <c r="B421" s="4" t="s">
        <v>671</v>
      </c>
      <c r="C421" s="13">
        <f>集計_障がい児!$E$248</f>
        <v>0</v>
      </c>
      <c r="D421" s="13">
        <f>集計_障がい児!$E$311</f>
        <v>0.16</v>
      </c>
      <c r="E421" s="14">
        <f>ROUND(D421*100,1)-ROUND(C421*100,1)</f>
        <v>16</v>
      </c>
    </row>
    <row r="422" spans="2:5" ht="17.100000000000001" customHeight="1">
      <c r="B422" s="4" t="s">
        <v>672</v>
      </c>
      <c r="C422" s="13">
        <f>集計_障がい児!$E$251</f>
        <v>0</v>
      </c>
      <c r="D422" s="13">
        <f>集計_障がい児!$E$314</f>
        <v>0</v>
      </c>
      <c r="E422" s="14">
        <f>ROUND(D422*100,1)-ROUND(C422*100,1)</f>
        <v>0</v>
      </c>
    </row>
    <row r="423" spans="2:5" ht="17.100000000000001" customHeight="1">
      <c r="B423" s="4" t="s">
        <v>673</v>
      </c>
      <c r="C423" s="13">
        <f>集計_障がい児!$E$254</f>
        <v>0</v>
      </c>
      <c r="D423" s="13">
        <f>集計_障がい児!$E$317</f>
        <v>0</v>
      </c>
      <c r="E423" s="14">
        <f>ROUND(D423*100,1)-ROUND(C423*100,1)</f>
        <v>0</v>
      </c>
    </row>
    <row r="424" spans="2:5" ht="17.100000000000001" customHeight="1">
      <c r="B424" s="4" t="s">
        <v>674</v>
      </c>
      <c r="C424" s="13">
        <f>集計_障がい児!$E$257</f>
        <v>0</v>
      </c>
      <c r="D424" s="13">
        <f>集計_障がい児!$E$320</f>
        <v>0.04</v>
      </c>
      <c r="E424" s="14">
        <f>ROUND(D424*100,1)-ROUND(C424*100,1)</f>
        <v>4</v>
      </c>
    </row>
    <row r="425" spans="2:5" ht="17.100000000000001" customHeight="1">
      <c r="B425" s="4" t="s">
        <v>675</v>
      </c>
      <c r="C425" s="13">
        <f>集計_障がい児!$E$260</f>
        <v>0</v>
      </c>
      <c r="D425" s="13">
        <f>集計_障がい児!$E$323</f>
        <v>0.08</v>
      </c>
      <c r="E425" s="14">
        <f>ROUND(D425*100,1)-ROUND(C425*100,1)</f>
        <v>8</v>
      </c>
    </row>
    <row r="426" spans="2:5" ht="17.100000000000001" customHeight="1">
      <c r="B426" s="4" t="s">
        <v>682</v>
      </c>
      <c r="C426" s="13">
        <f>集計_障がい児!$E$263</f>
        <v>0</v>
      </c>
      <c r="D426" s="13">
        <f>集計_障がい児!$E$326</f>
        <v>0.08</v>
      </c>
      <c r="E426" s="14">
        <f>ROUND(D426*100,1)-ROUND(C426*100,1)</f>
        <v>8</v>
      </c>
    </row>
    <row r="427" spans="2:5" ht="17.100000000000001" customHeight="1">
      <c r="B427" s="4" t="s">
        <v>676</v>
      </c>
      <c r="C427" s="13">
        <f>集計_障がい児!$E$266</f>
        <v>0.2</v>
      </c>
      <c r="D427" s="13">
        <f>集計_障がい児!$E$329</f>
        <v>0.32</v>
      </c>
      <c r="E427" s="14">
        <f>ROUND(D427*100,1)-ROUND(C427*100,1)</f>
        <v>12</v>
      </c>
    </row>
    <row r="428" spans="2:5" ht="17.100000000000001" customHeight="1">
      <c r="B428" s="4" t="s">
        <v>677</v>
      </c>
      <c r="C428" s="13">
        <f>集計_障がい児!$E$269</f>
        <v>0.04</v>
      </c>
      <c r="D428" s="13">
        <f>集計_障がい児!$E$332</f>
        <v>0</v>
      </c>
      <c r="E428" s="14">
        <f>ROUND(D428*100,1)-ROUND(C428*100,1)</f>
        <v>-4</v>
      </c>
    </row>
    <row r="429" spans="2:5" ht="17.100000000000001" customHeight="1">
      <c r="B429" s="4" t="s">
        <v>678</v>
      </c>
      <c r="C429" s="13">
        <f>集計_障がい児!$E$272</f>
        <v>0</v>
      </c>
      <c r="D429" s="13">
        <f>集計_障がい児!$E$335</f>
        <v>0</v>
      </c>
      <c r="E429" s="14">
        <f>ROUND(D429*100,1)-ROUND(C429*100,1)</f>
        <v>0</v>
      </c>
    </row>
    <row r="430" spans="2:5" ht="17.100000000000001" customHeight="1">
      <c r="B430" s="4" t="s">
        <v>679</v>
      </c>
      <c r="C430" s="13">
        <f>集計_障がい児!$E$275</f>
        <v>0</v>
      </c>
      <c r="D430" s="13">
        <f>集計_障がい児!$E$338</f>
        <v>0.04</v>
      </c>
      <c r="E430" s="14">
        <f>ROUND(D430*100,1)-ROUND(C430*100,1)</f>
        <v>4</v>
      </c>
    </row>
    <row r="431" spans="2:5" ht="17.100000000000001" customHeight="1">
      <c r="B431" s="4" t="s">
        <v>680</v>
      </c>
      <c r="C431" s="13">
        <f>集計_障がい児!$E$278</f>
        <v>0</v>
      </c>
      <c r="D431" s="13">
        <f>集計_障がい児!$E$341</f>
        <v>0</v>
      </c>
      <c r="E431" s="14">
        <f>ROUND(D431*100,1)-ROUND(C431*100,1)</f>
        <v>0</v>
      </c>
    </row>
    <row r="432" spans="2:5" ht="17.100000000000001" customHeight="1">
      <c r="B432" s="4" t="s">
        <v>681</v>
      </c>
      <c r="C432" s="13">
        <f>集計_障がい児!$E$281</f>
        <v>0.04</v>
      </c>
      <c r="D432" s="13">
        <f>集計_障がい児!$E$344</f>
        <v>0.08</v>
      </c>
      <c r="E432" s="14">
        <f>ROUND(D432*100,1)-ROUND(C432*100,1)</f>
        <v>4</v>
      </c>
    </row>
    <row r="433" spans="2:5" ht="17.100000000000001" customHeight="1">
      <c r="B433" s="4" t="s">
        <v>858</v>
      </c>
      <c r="C433" s="13">
        <f>集計_障がい児!$E$284</f>
        <v>0.08</v>
      </c>
      <c r="D433" s="13">
        <f>集計_障がい児!$E$347</f>
        <v>0.24</v>
      </c>
      <c r="E433" s="14">
        <f>ROUND(D433*100,1)-ROUND(C433*100,1)</f>
        <v>16</v>
      </c>
    </row>
    <row r="434" spans="2:5" ht="17.100000000000001" customHeight="1">
      <c r="B434" s="4" t="s">
        <v>859</v>
      </c>
      <c r="C434" s="13">
        <f>集計_障がい児!$E$287</f>
        <v>0.04</v>
      </c>
      <c r="D434" s="13">
        <f>集計_障がい児!$E$350</f>
        <v>0.04</v>
      </c>
      <c r="E434" s="14">
        <f>ROUND(D434*100,1)-ROUND(C434*100,1)</f>
        <v>0</v>
      </c>
    </row>
    <row r="435" spans="2:5" ht="17.100000000000001" customHeight="1">
      <c r="B435" s="4" t="s">
        <v>860</v>
      </c>
      <c r="C435" s="13">
        <f>集計_障がい児!$E$290</f>
        <v>0</v>
      </c>
      <c r="D435" s="13">
        <f>集計_障がい児!$E$353</f>
        <v>0.04</v>
      </c>
      <c r="E435" s="14">
        <f>ROUND(D435*100,1)-ROUND(C435*100,1)</f>
        <v>4</v>
      </c>
    </row>
    <row r="436" spans="2:5" ht="17.100000000000001" customHeight="1">
      <c r="B436" s="4" t="s">
        <v>861</v>
      </c>
      <c r="C436" s="13">
        <f>集計_障がい児!$E$293</f>
        <v>0</v>
      </c>
      <c r="D436" s="13">
        <f>集計_障がい児!$E$356</f>
        <v>0.08</v>
      </c>
      <c r="E436" s="14">
        <f>ROUND(D436*100,1)-ROUND(C436*100,1)</f>
        <v>8</v>
      </c>
    </row>
    <row r="437" spans="2:5" ht="17.100000000000001" customHeight="1">
      <c r="B437" s="4" t="s">
        <v>862</v>
      </c>
      <c r="C437" s="13">
        <f>集計_障がい児!$E$296</f>
        <v>0</v>
      </c>
      <c r="D437" s="13">
        <f>集計_障がい児!$E$359</f>
        <v>0</v>
      </c>
      <c r="E437" s="14">
        <f>ROUND(D437*100,1)-ROUND(C437*100,1)</f>
        <v>0</v>
      </c>
    </row>
    <row r="438" spans="2:5" ht="17.100000000000001" customHeight="1">
      <c r="B438" s="4" t="s">
        <v>863</v>
      </c>
      <c r="C438" s="13">
        <f>集計_障がい児!$E$299</f>
        <v>0</v>
      </c>
      <c r="D438" s="13">
        <f>集計_障がい児!$E$362</f>
        <v>0</v>
      </c>
      <c r="E438" s="14">
        <f>ROUND(D438*100,1)-ROUND(C438*100,1)</f>
        <v>0</v>
      </c>
    </row>
    <row r="439" spans="2:5" ht="27" customHeight="1">
      <c r="B439" s="30" t="s">
        <v>683</v>
      </c>
      <c r="C439" s="32"/>
      <c r="D439" s="32"/>
      <c r="E439" s="32"/>
    </row>
    <row r="441" spans="2:5" ht="21" customHeight="1">
      <c r="B441" s="6" t="s">
        <v>864</v>
      </c>
    </row>
    <row r="443" spans="2:5" ht="30.95" customHeight="1">
      <c r="B443" s="2" t="s">
        <v>406</v>
      </c>
      <c r="C443" s="2" t="s">
        <v>685</v>
      </c>
    </row>
    <row r="444" spans="2:5" ht="17.100000000000001" customHeight="1">
      <c r="B444" s="4" t="s">
        <v>676</v>
      </c>
      <c r="C444" s="13">
        <f>集計_障がい児!$E$266</f>
        <v>0.2</v>
      </c>
    </row>
    <row r="445" spans="2:5" ht="17.100000000000001" customHeight="1">
      <c r="B445" s="4" t="s">
        <v>858</v>
      </c>
      <c r="C445" s="13">
        <f>集計_障がい児!$E$284</f>
        <v>0.08</v>
      </c>
    </row>
    <row r="446" spans="2:5" ht="17.100000000000001" customHeight="1">
      <c r="B446" s="4" t="s">
        <v>677</v>
      </c>
      <c r="C446" s="13">
        <f>集計_障がい児!$E$269</f>
        <v>0.04</v>
      </c>
    </row>
    <row r="447" spans="2:5" ht="17.100000000000001" customHeight="1">
      <c r="B447" s="4" t="s">
        <v>681</v>
      </c>
      <c r="C447" s="13">
        <f>集計_障がい児!$E$281</f>
        <v>0.04</v>
      </c>
    </row>
    <row r="448" spans="2:5" ht="17.100000000000001" customHeight="1">
      <c r="B448" s="4" t="s">
        <v>859</v>
      </c>
      <c r="C448" s="13">
        <f>集計_障がい児!$E$287</f>
        <v>0.04</v>
      </c>
    </row>
    <row r="449" spans="2:3" ht="17.100000000000001" customHeight="1">
      <c r="B449" s="4" t="s">
        <v>668</v>
      </c>
      <c r="C449" s="13">
        <f>集計_障がい児!$E$239</f>
        <v>0</v>
      </c>
    </row>
    <row r="450" spans="2:3" ht="17.100000000000001" customHeight="1">
      <c r="B450" s="4" t="s">
        <v>669</v>
      </c>
      <c r="C450" s="13">
        <f>集計_障がい児!$E$242</f>
        <v>0</v>
      </c>
    </row>
    <row r="451" spans="2:3" ht="17.100000000000001" customHeight="1">
      <c r="B451" s="4" t="s">
        <v>670</v>
      </c>
      <c r="C451" s="13">
        <f>集計_障がい児!$E$245</f>
        <v>0</v>
      </c>
    </row>
    <row r="452" spans="2:3" ht="17.100000000000001" customHeight="1">
      <c r="B452" s="4" t="s">
        <v>671</v>
      </c>
      <c r="C452" s="13">
        <f>集計_障がい児!$E$248</f>
        <v>0</v>
      </c>
    </row>
    <row r="453" spans="2:3" ht="17.100000000000001" customHeight="1">
      <c r="B453" s="4" t="s">
        <v>672</v>
      </c>
      <c r="C453" s="13">
        <f>集計_障がい児!$E$251</f>
        <v>0</v>
      </c>
    </row>
    <row r="454" spans="2:3" ht="17.100000000000001" customHeight="1">
      <c r="B454" s="4" t="s">
        <v>673</v>
      </c>
      <c r="C454" s="13">
        <f>集計_障がい児!$E$254</f>
        <v>0</v>
      </c>
    </row>
    <row r="455" spans="2:3" ht="17.100000000000001" customHeight="1">
      <c r="B455" s="4" t="s">
        <v>674</v>
      </c>
      <c r="C455" s="13">
        <f>集計_障がい児!$E$257</f>
        <v>0</v>
      </c>
    </row>
    <row r="456" spans="2:3" ht="17.100000000000001" customHeight="1">
      <c r="B456" s="4" t="s">
        <v>675</v>
      </c>
      <c r="C456" s="13">
        <f>集計_障がい児!$E$260</f>
        <v>0</v>
      </c>
    </row>
    <row r="457" spans="2:3" ht="17.100000000000001" customHeight="1">
      <c r="B457" s="4" t="s">
        <v>682</v>
      </c>
      <c r="C457" s="13">
        <f>集計_障がい児!$E$263</f>
        <v>0</v>
      </c>
    </row>
    <row r="458" spans="2:3" ht="17.100000000000001" customHeight="1">
      <c r="B458" s="4" t="s">
        <v>678</v>
      </c>
      <c r="C458" s="13">
        <f>集計_障がい児!$E$272</f>
        <v>0</v>
      </c>
    </row>
    <row r="459" spans="2:3" ht="17.100000000000001" customHeight="1">
      <c r="B459" s="4" t="s">
        <v>679</v>
      </c>
      <c r="C459" s="13">
        <f>集計_障がい児!$E$275</f>
        <v>0</v>
      </c>
    </row>
    <row r="460" spans="2:3" ht="17.100000000000001" customHeight="1">
      <c r="B460" s="4" t="s">
        <v>680</v>
      </c>
      <c r="C460" s="13">
        <f>集計_障がい児!$E$278</f>
        <v>0</v>
      </c>
    </row>
    <row r="461" spans="2:3" ht="17.100000000000001" customHeight="1">
      <c r="B461" s="4" t="s">
        <v>860</v>
      </c>
      <c r="C461" s="13">
        <f>集計_障がい児!$E$290</f>
        <v>0</v>
      </c>
    </row>
    <row r="462" spans="2:3" ht="17.100000000000001" customHeight="1">
      <c r="B462" s="4" t="s">
        <v>861</v>
      </c>
      <c r="C462" s="13">
        <f>集計_障がい児!$E$293</f>
        <v>0</v>
      </c>
    </row>
    <row r="463" spans="2:3" ht="17.100000000000001" customHeight="1">
      <c r="B463" s="4" t="s">
        <v>862</v>
      </c>
      <c r="C463" s="13">
        <f>集計_障がい児!$E$296</f>
        <v>0</v>
      </c>
    </row>
    <row r="464" spans="2:3" ht="17.100000000000001" customHeight="1">
      <c r="B464" s="4" t="s">
        <v>863</v>
      </c>
      <c r="C464" s="13">
        <f>集計_障がい児!$E$299</f>
        <v>0</v>
      </c>
    </row>
    <row r="473" spans="2:3" ht="21" customHeight="1">
      <c r="B473" s="6" t="s">
        <v>865</v>
      </c>
    </row>
    <row r="475" spans="2:3" ht="30.95" customHeight="1">
      <c r="B475" s="2" t="s">
        <v>406</v>
      </c>
      <c r="C475" s="2" t="s">
        <v>687</v>
      </c>
    </row>
    <row r="476" spans="2:3" ht="17.100000000000001" customHeight="1">
      <c r="B476" s="4" t="s">
        <v>676</v>
      </c>
      <c r="C476" s="13">
        <f>集計_障がい児!$E$329</f>
        <v>0.32</v>
      </c>
    </row>
    <row r="477" spans="2:3" ht="17.100000000000001" customHeight="1">
      <c r="B477" s="4" t="s">
        <v>858</v>
      </c>
      <c r="C477" s="13">
        <f>集計_障がい児!$E$347</f>
        <v>0.24</v>
      </c>
    </row>
    <row r="478" spans="2:3" ht="17.100000000000001" customHeight="1">
      <c r="B478" s="4" t="s">
        <v>671</v>
      </c>
      <c r="C478" s="13">
        <f>集計_障がい児!$E$311</f>
        <v>0.16</v>
      </c>
    </row>
    <row r="479" spans="2:3" ht="17.100000000000001" customHeight="1">
      <c r="B479" s="4" t="s">
        <v>675</v>
      </c>
      <c r="C479" s="13">
        <f>集計_障がい児!$E$323</f>
        <v>0.08</v>
      </c>
    </row>
    <row r="480" spans="2:3" ht="17.100000000000001" customHeight="1">
      <c r="B480" s="4" t="s">
        <v>682</v>
      </c>
      <c r="C480" s="13">
        <f>集計_障がい児!$E$326</f>
        <v>0.08</v>
      </c>
    </row>
    <row r="481" spans="2:3" ht="17.100000000000001" customHeight="1">
      <c r="B481" s="4" t="s">
        <v>681</v>
      </c>
      <c r="C481" s="13">
        <f>集計_障がい児!$E$344</f>
        <v>0.08</v>
      </c>
    </row>
    <row r="482" spans="2:3" ht="17.100000000000001" customHeight="1">
      <c r="B482" s="4" t="s">
        <v>861</v>
      </c>
      <c r="C482" s="13">
        <f>集計_障がい児!$E$356</f>
        <v>0.08</v>
      </c>
    </row>
    <row r="483" spans="2:3" ht="17.100000000000001" customHeight="1">
      <c r="B483" s="4" t="s">
        <v>668</v>
      </c>
      <c r="C483" s="13">
        <f>集計_障がい児!$E$302</f>
        <v>0.04</v>
      </c>
    </row>
    <row r="484" spans="2:3" ht="17.100000000000001" customHeight="1">
      <c r="B484" s="4" t="s">
        <v>674</v>
      </c>
      <c r="C484" s="13">
        <f>集計_障がい児!$E$320</f>
        <v>0.04</v>
      </c>
    </row>
    <row r="485" spans="2:3" ht="17.100000000000001" customHeight="1">
      <c r="B485" s="4" t="s">
        <v>679</v>
      </c>
      <c r="C485" s="13">
        <f>集計_障がい児!$E$338</f>
        <v>0.04</v>
      </c>
    </row>
    <row r="486" spans="2:3" ht="17.100000000000001" customHeight="1">
      <c r="B486" s="4" t="s">
        <v>859</v>
      </c>
      <c r="C486" s="13">
        <f>集計_障がい児!$E$350</f>
        <v>0.04</v>
      </c>
    </row>
    <row r="487" spans="2:3" ht="17.100000000000001" customHeight="1">
      <c r="B487" s="4" t="s">
        <v>860</v>
      </c>
      <c r="C487" s="13">
        <f>集計_障がい児!$E$353</f>
        <v>0.04</v>
      </c>
    </row>
    <row r="488" spans="2:3" ht="17.100000000000001" customHeight="1">
      <c r="B488" s="4" t="s">
        <v>669</v>
      </c>
      <c r="C488" s="13">
        <f>集計_障がい児!$E$305</f>
        <v>0</v>
      </c>
    </row>
    <row r="489" spans="2:3" ht="17.100000000000001" customHeight="1">
      <c r="B489" s="4" t="s">
        <v>670</v>
      </c>
      <c r="C489" s="13">
        <f>集計_障がい児!$E$308</f>
        <v>0</v>
      </c>
    </row>
    <row r="490" spans="2:3" ht="17.100000000000001" customHeight="1">
      <c r="B490" s="4" t="s">
        <v>672</v>
      </c>
      <c r="C490" s="13">
        <f>集計_障がい児!$E$314</f>
        <v>0</v>
      </c>
    </row>
    <row r="491" spans="2:3" ht="17.100000000000001" customHeight="1">
      <c r="B491" s="4" t="s">
        <v>673</v>
      </c>
      <c r="C491" s="13">
        <f>集計_障がい児!$E$317</f>
        <v>0</v>
      </c>
    </row>
    <row r="492" spans="2:3" ht="17.100000000000001" customHeight="1">
      <c r="B492" s="4" t="s">
        <v>677</v>
      </c>
      <c r="C492" s="13">
        <f>集計_障がい児!$E$332</f>
        <v>0</v>
      </c>
    </row>
    <row r="493" spans="2:3" ht="17.100000000000001" customHeight="1">
      <c r="B493" s="4" t="s">
        <v>678</v>
      </c>
      <c r="C493" s="13">
        <f>集計_障がい児!$E$335</f>
        <v>0</v>
      </c>
    </row>
    <row r="494" spans="2:3" ht="17.100000000000001" customHeight="1">
      <c r="B494" s="4" t="s">
        <v>680</v>
      </c>
      <c r="C494" s="13">
        <f>集計_障がい児!$E$341</f>
        <v>0</v>
      </c>
    </row>
    <row r="495" spans="2:3" ht="17.100000000000001" customHeight="1">
      <c r="B495" s="4" t="s">
        <v>862</v>
      </c>
      <c r="C495" s="13">
        <f>集計_障がい児!$E$359</f>
        <v>0</v>
      </c>
    </row>
    <row r="496" spans="2:3" ht="17.100000000000001" customHeight="1">
      <c r="B496" s="4" t="s">
        <v>863</v>
      </c>
      <c r="C496" s="13">
        <f>集計_障がい児!$E$362</f>
        <v>0</v>
      </c>
    </row>
    <row r="505" spans="2:4" ht="21" customHeight="1">
      <c r="B505" s="6" t="s">
        <v>866</v>
      </c>
    </row>
    <row r="506" spans="2:4">
      <c r="B506" s="11" t="str">
        <f>"n="&amp;集計_障がい児!$F$365&amp;"（複数回答）"</f>
        <v>n=25（複数回答）</v>
      </c>
    </row>
    <row r="507" spans="2:4" ht="18" customHeight="1">
      <c r="B507" s="2" t="s">
        <v>429</v>
      </c>
      <c r="C507" s="2" t="s">
        <v>430</v>
      </c>
      <c r="D507" s="2" t="s">
        <v>431</v>
      </c>
    </row>
    <row r="508" spans="2:4" ht="17.100000000000001" customHeight="1">
      <c r="B508" s="4" t="s">
        <v>697</v>
      </c>
      <c r="C508" s="12">
        <f>集計_障がい児!$D$365</f>
        <v>25</v>
      </c>
      <c r="D508" s="13">
        <f>集計_障がい児!$E$365</f>
        <v>1</v>
      </c>
    </row>
    <row r="509" spans="2:4" ht="17.100000000000001" customHeight="1">
      <c r="B509" s="4" t="s">
        <v>867</v>
      </c>
      <c r="C509" s="12">
        <f>集計_障がい児!$D$374</f>
        <v>16</v>
      </c>
      <c r="D509" s="13">
        <f>集計_障がい児!$E$374</f>
        <v>0.64</v>
      </c>
    </row>
    <row r="510" spans="2:4" ht="17.100000000000001" customHeight="1">
      <c r="B510" s="4" t="s">
        <v>699</v>
      </c>
      <c r="C510" s="12">
        <f>集計_障がい児!$D$366</f>
        <v>11</v>
      </c>
      <c r="D510" s="13">
        <f>集計_障がい児!$E$366</f>
        <v>0.44</v>
      </c>
    </row>
    <row r="511" spans="2:4" ht="17.100000000000001" customHeight="1">
      <c r="B511" s="4" t="s">
        <v>700</v>
      </c>
      <c r="C511" s="12">
        <f>集計_障がい児!$D$368</f>
        <v>4</v>
      </c>
      <c r="D511" s="13">
        <f>集計_障がい児!$E$368</f>
        <v>0.16</v>
      </c>
    </row>
    <row r="512" spans="2:4" ht="17.100000000000001" customHeight="1">
      <c r="B512" s="4" t="s">
        <v>704</v>
      </c>
      <c r="C512" s="12">
        <f>集計_障がい児!$D$367</f>
        <v>0</v>
      </c>
      <c r="D512" s="13">
        <f>集計_障がい児!$E$367</f>
        <v>0</v>
      </c>
    </row>
    <row r="513" spans="2:4" ht="17.100000000000001" customHeight="1">
      <c r="B513" s="4" t="s">
        <v>705</v>
      </c>
      <c r="C513" s="12">
        <f>集計_障がい児!$D$369</f>
        <v>0</v>
      </c>
      <c r="D513" s="13">
        <f>集計_障がい児!$E$369</f>
        <v>0</v>
      </c>
    </row>
    <row r="514" spans="2:4" ht="17.100000000000001" customHeight="1">
      <c r="B514" s="4" t="s">
        <v>710</v>
      </c>
      <c r="C514" s="12">
        <f>集計_障がい児!$D$370</f>
        <v>0</v>
      </c>
      <c r="D514" s="13">
        <f>集計_障がい児!$E$370</f>
        <v>0</v>
      </c>
    </row>
    <row r="515" spans="2:4" ht="17.100000000000001" customHeight="1">
      <c r="B515" s="4" t="s">
        <v>698</v>
      </c>
      <c r="C515" s="12">
        <f>集計_障がい児!$D$371</f>
        <v>0</v>
      </c>
      <c r="D515" s="13">
        <f>集計_障がい児!$E$371</f>
        <v>0</v>
      </c>
    </row>
    <row r="516" spans="2:4" ht="30" customHeight="1">
      <c r="B516" s="4" t="s">
        <v>701</v>
      </c>
      <c r="C516" s="12">
        <f>集計_障がい児!$D$372</f>
        <v>0</v>
      </c>
      <c r="D516" s="13">
        <f>集計_障がい児!$E$372</f>
        <v>0</v>
      </c>
    </row>
    <row r="517" spans="2:4" ht="17.100000000000001" customHeight="1">
      <c r="B517" s="4" t="s">
        <v>708</v>
      </c>
      <c r="C517" s="12">
        <f>集計_障がい児!$D$373</f>
        <v>0</v>
      </c>
      <c r="D517" s="13">
        <f>集計_障がい児!$E$373</f>
        <v>0</v>
      </c>
    </row>
    <row r="518" spans="2:4" ht="17.100000000000001" customHeight="1">
      <c r="B518" s="4" t="s">
        <v>702</v>
      </c>
      <c r="C518" s="12">
        <f>集計_障がい児!$D$375</f>
        <v>0</v>
      </c>
      <c r="D518" s="13">
        <f>集計_障がい児!$E$375</f>
        <v>0</v>
      </c>
    </row>
    <row r="519" spans="2:4" ht="17.100000000000001" customHeight="1">
      <c r="B519" s="4" t="s">
        <v>703</v>
      </c>
      <c r="C519" s="12">
        <f>集計_障がい児!$D$376</f>
        <v>0</v>
      </c>
      <c r="D519" s="13">
        <f>集計_障がい児!$E$376</f>
        <v>0</v>
      </c>
    </row>
    <row r="520" spans="2:4" ht="17.100000000000001" customHeight="1">
      <c r="B520" s="4" t="s">
        <v>707</v>
      </c>
      <c r="C520" s="12">
        <f>集計_障がい児!$D$378</f>
        <v>0</v>
      </c>
      <c r="D520" s="13">
        <f>集計_障がい児!$E$378</f>
        <v>0</v>
      </c>
    </row>
    <row r="521" spans="2:4" ht="17.100000000000001" customHeight="1">
      <c r="B521" s="4" t="s">
        <v>437</v>
      </c>
      <c r="C521" s="12">
        <f>集計_障がい児!$D$377</f>
        <v>0</v>
      </c>
      <c r="D521" s="13">
        <f>集計_障がい児!$E$377</f>
        <v>0</v>
      </c>
    </row>
    <row r="522" spans="2:4" ht="17.100000000000001" customHeight="1">
      <c r="B522" s="4" t="s">
        <v>438</v>
      </c>
      <c r="C522" s="12">
        <f>集計_障がい児!$D$379</f>
        <v>0</v>
      </c>
      <c r="D522" s="13">
        <f>集計_障がい児!$E$379</f>
        <v>0</v>
      </c>
    </row>
    <row r="526" spans="2:4" ht="21" customHeight="1">
      <c r="B526" s="6" t="s">
        <v>868</v>
      </c>
    </row>
    <row r="527" spans="2:4">
      <c r="B527" s="11" t="str">
        <f>"n="&amp;集計_障がい児!$F$382&amp;"（複数回答）"</f>
        <v>n=25（複数回答）</v>
      </c>
    </row>
    <row r="528" spans="2:4" ht="18" customHeight="1">
      <c r="B528" s="2" t="s">
        <v>429</v>
      </c>
      <c r="C528" s="2" t="s">
        <v>430</v>
      </c>
      <c r="D528" s="2" t="s">
        <v>431</v>
      </c>
    </row>
    <row r="529" spans="2:4" ht="17.100000000000001" customHeight="1">
      <c r="B529" s="4" t="s">
        <v>717</v>
      </c>
      <c r="C529" s="12">
        <f>集計_障がい児!$D$382</f>
        <v>18</v>
      </c>
      <c r="D529" s="13">
        <f>集計_障がい児!$E$382</f>
        <v>0.72</v>
      </c>
    </row>
    <row r="530" spans="2:4" ht="17.100000000000001" customHeight="1">
      <c r="B530" s="4" t="s">
        <v>714</v>
      </c>
      <c r="C530" s="12">
        <f>集計_障がい児!$D$383</f>
        <v>9</v>
      </c>
      <c r="D530" s="13">
        <f>集計_障がい児!$E$383</f>
        <v>0.36</v>
      </c>
    </row>
    <row r="531" spans="2:4" ht="17.100000000000001" customHeight="1">
      <c r="B531" s="4" t="s">
        <v>709</v>
      </c>
      <c r="C531" s="12">
        <f>集計_障がい児!$D$389</f>
        <v>7</v>
      </c>
      <c r="D531" s="13">
        <f>集計_障がい児!$E$389</f>
        <v>0.28000000000000003</v>
      </c>
    </row>
    <row r="532" spans="2:4" ht="17.100000000000001" customHeight="1">
      <c r="B532" s="4" t="s">
        <v>716</v>
      </c>
      <c r="C532" s="12">
        <f>集計_障がい児!$D$384</f>
        <v>5</v>
      </c>
      <c r="D532" s="13">
        <f>集計_障がい児!$E$384</f>
        <v>0.2</v>
      </c>
    </row>
    <row r="533" spans="2:4" ht="30" customHeight="1">
      <c r="B533" s="4" t="s">
        <v>713</v>
      </c>
      <c r="C533" s="12">
        <f>集計_障がい児!$D$380</f>
        <v>3</v>
      </c>
      <c r="D533" s="13">
        <f>集計_障がい児!$E$380</f>
        <v>0.12</v>
      </c>
    </row>
    <row r="534" spans="2:4" ht="17.100000000000001" customHeight="1">
      <c r="B534" s="4" t="s">
        <v>698</v>
      </c>
      <c r="C534" s="12">
        <f>集計_障がい児!$D$386</f>
        <v>1</v>
      </c>
      <c r="D534" s="13">
        <f>集計_障がい児!$E$386</f>
        <v>0.04</v>
      </c>
    </row>
    <row r="535" spans="2:4" ht="17.100000000000001" customHeight="1">
      <c r="B535" s="4" t="s">
        <v>702</v>
      </c>
      <c r="C535" s="12">
        <f>集計_障がい児!$D$390</f>
        <v>1</v>
      </c>
      <c r="D535" s="13">
        <f>集計_障がい児!$E$390</f>
        <v>0.04</v>
      </c>
    </row>
    <row r="536" spans="2:4" ht="17.100000000000001" customHeight="1">
      <c r="B536" s="4" t="s">
        <v>703</v>
      </c>
      <c r="C536" s="12">
        <f>集計_障がい児!$D$391</f>
        <v>1</v>
      </c>
      <c r="D536" s="13">
        <f>集計_障がい児!$E$391</f>
        <v>0.04</v>
      </c>
    </row>
    <row r="537" spans="2:4" ht="17.100000000000001" customHeight="1">
      <c r="B537" s="4" t="s">
        <v>715</v>
      </c>
      <c r="C537" s="12">
        <f>集計_障がい児!$D$381</f>
        <v>0</v>
      </c>
      <c r="D537" s="13">
        <f>集計_障がい児!$E$381</f>
        <v>0</v>
      </c>
    </row>
    <row r="538" spans="2:4" ht="17.100000000000001" customHeight="1">
      <c r="B538" s="4" t="s">
        <v>719</v>
      </c>
      <c r="C538" s="12">
        <f>集計_障がい児!$D$385</f>
        <v>0</v>
      </c>
      <c r="D538" s="13">
        <f>集計_障がい児!$E$385</f>
        <v>0</v>
      </c>
    </row>
    <row r="539" spans="2:4" ht="30" customHeight="1">
      <c r="B539" s="4" t="s">
        <v>701</v>
      </c>
      <c r="C539" s="12">
        <f>集計_障がい児!$D$387</f>
        <v>0</v>
      </c>
      <c r="D539" s="13">
        <f>集計_障がい児!$E$387</f>
        <v>0</v>
      </c>
    </row>
    <row r="540" spans="2:4" ht="17.100000000000001" customHeight="1">
      <c r="B540" s="4" t="s">
        <v>708</v>
      </c>
      <c r="C540" s="12">
        <f>集計_障がい児!$D$388</f>
        <v>0</v>
      </c>
      <c r="D540" s="13">
        <f>集計_障がい児!$E$388</f>
        <v>0</v>
      </c>
    </row>
    <row r="541" spans="2:4" ht="17.100000000000001" customHeight="1">
      <c r="B541" s="4" t="s">
        <v>718</v>
      </c>
      <c r="C541" s="12">
        <f>集計_障がい児!$D$393</f>
        <v>0</v>
      </c>
      <c r="D541" s="13">
        <f>集計_障がい児!$E$393</f>
        <v>0</v>
      </c>
    </row>
    <row r="542" spans="2:4" ht="17.100000000000001" customHeight="1">
      <c r="B542" s="4" t="s">
        <v>437</v>
      </c>
      <c r="C542" s="12">
        <f>集計_障がい児!$D$392</f>
        <v>0</v>
      </c>
      <c r="D542" s="13">
        <f>集計_障がい児!$E$392</f>
        <v>0</v>
      </c>
    </row>
    <row r="543" spans="2:4" ht="17.100000000000001" customHeight="1">
      <c r="B543" s="4" t="s">
        <v>720</v>
      </c>
      <c r="C543" s="12">
        <f>集計_障がい児!$D$394</f>
        <v>0</v>
      </c>
      <c r="D543" s="13">
        <f>集計_障がい児!$E$394</f>
        <v>0</v>
      </c>
    </row>
    <row r="544" spans="2:4" ht="17.100000000000001" customHeight="1">
      <c r="B544" s="4" t="s">
        <v>438</v>
      </c>
      <c r="C544" s="12">
        <f>集計_障がい児!$D$395</f>
        <v>0</v>
      </c>
      <c r="D544" s="13">
        <f>集計_障がい児!$E$395</f>
        <v>0</v>
      </c>
    </row>
    <row r="548" spans="2:4" ht="21" customHeight="1">
      <c r="B548" s="6" t="s">
        <v>869</v>
      </c>
    </row>
    <row r="549" spans="2:4">
      <c r="B549" s="11" t="str">
        <f>"n="&amp;集計_障がい児!$F$396&amp;"（単一回答）"</f>
        <v>n=25（単一回答）</v>
      </c>
    </row>
    <row r="550" spans="2:4" ht="18" customHeight="1">
      <c r="B550" s="2" t="s">
        <v>429</v>
      </c>
      <c r="C550" s="2" t="s">
        <v>430</v>
      </c>
      <c r="D550" s="2" t="s">
        <v>431</v>
      </c>
    </row>
    <row r="551" spans="2:4" ht="17.100000000000001" customHeight="1">
      <c r="B551" s="4" t="s">
        <v>534</v>
      </c>
      <c r="C551" s="12">
        <f>集計_障がい児!$D$396</f>
        <v>0</v>
      </c>
      <c r="D551" s="13">
        <f>集計_障がい児!$E$396</f>
        <v>0</v>
      </c>
    </row>
    <row r="552" spans="2:4" ht="17.100000000000001" customHeight="1">
      <c r="B552" s="4" t="s">
        <v>723</v>
      </c>
      <c r="C552" s="12">
        <f>集計_障がい児!$D$397</f>
        <v>7</v>
      </c>
      <c r="D552" s="13">
        <f>集計_障がい児!$E$397</f>
        <v>0.28000000000000003</v>
      </c>
    </row>
    <row r="553" spans="2:4" ht="17.100000000000001" customHeight="1">
      <c r="B553" s="4" t="s">
        <v>535</v>
      </c>
      <c r="C553" s="12">
        <f>集計_障がい児!$D$398</f>
        <v>18</v>
      </c>
      <c r="D553" s="13">
        <f>集計_障がい児!$E$398</f>
        <v>0.72</v>
      </c>
    </row>
    <row r="554" spans="2:4" ht="17.100000000000001" customHeight="1">
      <c r="B554" s="4" t="s">
        <v>438</v>
      </c>
      <c r="C554" s="12">
        <f>集計_障がい児!$D$399</f>
        <v>0</v>
      </c>
      <c r="D554" s="13">
        <f>集計_障がい児!$E$399</f>
        <v>0</v>
      </c>
    </row>
    <row r="559" spans="2:4" ht="21" customHeight="1">
      <c r="B559" s="6" t="s">
        <v>870</v>
      </c>
    </row>
    <row r="560" spans="2:4">
      <c r="B560" s="11" t="str">
        <f>"n="&amp;集計_障がい児!$F$400&amp;"（複数回答）"</f>
        <v>n=25（複数回答）</v>
      </c>
    </row>
    <row r="561" spans="2:4" ht="18" customHeight="1">
      <c r="B561" s="2" t="s">
        <v>429</v>
      </c>
      <c r="C561" s="2" t="s">
        <v>430</v>
      </c>
      <c r="D561" s="2" t="s">
        <v>431</v>
      </c>
    </row>
    <row r="562" spans="2:4" ht="17.100000000000001" customHeight="1">
      <c r="B562" s="4" t="s">
        <v>727</v>
      </c>
      <c r="C562" s="12">
        <f>集計_障がい児!$D$400</f>
        <v>6</v>
      </c>
      <c r="D562" s="13">
        <f>集計_障がい児!$E$400</f>
        <v>0.24</v>
      </c>
    </row>
    <row r="563" spans="2:4" ht="17.100000000000001" customHeight="1">
      <c r="B563" s="4" t="s">
        <v>726</v>
      </c>
      <c r="C563" s="12">
        <f>集計_障がい児!$D$401</f>
        <v>2</v>
      </c>
      <c r="D563" s="13">
        <f>集計_障がい児!$E$401</f>
        <v>0.08</v>
      </c>
    </row>
    <row r="564" spans="2:4" ht="17.100000000000001" customHeight="1">
      <c r="B564" s="4" t="s">
        <v>728</v>
      </c>
      <c r="C564" s="12">
        <f>集計_障がい児!$D$404</f>
        <v>1</v>
      </c>
      <c r="D564" s="13">
        <f>集計_障がい児!$E$404</f>
        <v>0.04</v>
      </c>
    </row>
    <row r="565" spans="2:4" ht="17.100000000000001" customHeight="1">
      <c r="B565" s="4" t="s">
        <v>731</v>
      </c>
      <c r="C565" s="12">
        <f>集計_障がい児!$D$402</f>
        <v>0</v>
      </c>
      <c r="D565" s="13">
        <f>集計_障がい児!$E$402</f>
        <v>0</v>
      </c>
    </row>
    <row r="566" spans="2:4" ht="17.100000000000001" customHeight="1">
      <c r="B566" s="4" t="s">
        <v>732</v>
      </c>
      <c r="C566" s="12">
        <f>集計_障がい児!$D$403</f>
        <v>0</v>
      </c>
      <c r="D566" s="13">
        <f>集計_障がい児!$E$403</f>
        <v>0</v>
      </c>
    </row>
    <row r="567" spans="2:4" ht="17.100000000000001" customHeight="1">
      <c r="B567" s="4" t="s">
        <v>730</v>
      </c>
      <c r="C567" s="12">
        <f>集計_障がい児!$D$405</f>
        <v>0</v>
      </c>
      <c r="D567" s="13">
        <f>集計_障がい児!$E$405</f>
        <v>0</v>
      </c>
    </row>
    <row r="568" spans="2:4" ht="17.100000000000001" customHeight="1">
      <c r="B568" s="4" t="s">
        <v>437</v>
      </c>
      <c r="C568" s="12">
        <f>集計_障がい児!$D$406</f>
        <v>0</v>
      </c>
      <c r="D568" s="13">
        <f>集計_障がい児!$E$406</f>
        <v>0</v>
      </c>
    </row>
    <row r="569" spans="2:4" ht="17.100000000000001" customHeight="1">
      <c r="B569" s="4" t="s">
        <v>438</v>
      </c>
      <c r="C569" s="12">
        <f>集計_障がい児!$D$407</f>
        <v>18</v>
      </c>
      <c r="D569" s="13">
        <f>集計_障がい児!$E$407</f>
        <v>0.72</v>
      </c>
    </row>
    <row r="573" spans="2:4" ht="21" customHeight="1">
      <c r="B573" s="6" t="s">
        <v>871</v>
      </c>
    </row>
    <row r="574" spans="2:4">
      <c r="B574" s="11" t="str">
        <f>"n="&amp;集計_障がい児!$F$408&amp;"（単一回答）"</f>
        <v>n=25（単一回答）</v>
      </c>
    </row>
    <row r="575" spans="2:4" ht="18" customHeight="1">
      <c r="B575" s="2" t="s">
        <v>429</v>
      </c>
      <c r="C575" s="2" t="s">
        <v>430</v>
      </c>
      <c r="D575" s="2" t="s">
        <v>431</v>
      </c>
    </row>
    <row r="576" spans="2:4" ht="17.100000000000001" customHeight="1">
      <c r="B576" s="4" t="s">
        <v>735</v>
      </c>
      <c r="C576" s="12">
        <f>集計_障がい児!$D$408</f>
        <v>0</v>
      </c>
      <c r="D576" s="13">
        <f>集計_障がい児!$E$408</f>
        <v>0</v>
      </c>
    </row>
    <row r="577" spans="2:4" ht="17.100000000000001" customHeight="1">
      <c r="B577" s="4" t="s">
        <v>736</v>
      </c>
      <c r="C577" s="12">
        <f>集計_障がい児!$D$409</f>
        <v>5</v>
      </c>
      <c r="D577" s="13">
        <f>集計_障がい児!$E$409</f>
        <v>0.2</v>
      </c>
    </row>
    <row r="578" spans="2:4" ht="17.100000000000001" customHeight="1">
      <c r="B578" s="4" t="s">
        <v>737</v>
      </c>
      <c r="C578" s="12">
        <f>集計_障がい児!$D$410</f>
        <v>20</v>
      </c>
      <c r="D578" s="13">
        <f>集計_障がい児!$E$410</f>
        <v>0.8</v>
      </c>
    </row>
    <row r="579" spans="2:4" ht="17.100000000000001" customHeight="1">
      <c r="B579" s="4" t="s">
        <v>438</v>
      </c>
      <c r="C579" s="12">
        <f>集計_障がい児!$D$411</f>
        <v>0</v>
      </c>
      <c r="D579" s="13">
        <f>集計_障がい児!$E$411</f>
        <v>0</v>
      </c>
    </row>
    <row r="583" spans="2:4" ht="21" customHeight="1">
      <c r="B583" s="6" t="s">
        <v>872</v>
      </c>
    </row>
    <row r="584" spans="2:4">
      <c r="B584" s="11" t="str">
        <f>"n="&amp;集計_障がい児!$F$412&amp;"（複数回答）"</f>
        <v>n=25（複数回答）</v>
      </c>
    </row>
    <row r="585" spans="2:4" ht="18" customHeight="1">
      <c r="B585" s="2" t="s">
        <v>429</v>
      </c>
      <c r="C585" s="2" t="s">
        <v>430</v>
      </c>
      <c r="D585" s="2" t="s">
        <v>431</v>
      </c>
    </row>
    <row r="586" spans="2:4" ht="17.100000000000001" customHeight="1">
      <c r="B586" s="4" t="s">
        <v>740</v>
      </c>
      <c r="C586" s="12">
        <f>集計_障がい児!$D$412</f>
        <v>3</v>
      </c>
      <c r="D586" s="13">
        <f>集計_障がい児!$E$412</f>
        <v>0.12</v>
      </c>
    </row>
    <row r="587" spans="2:4" ht="17.100000000000001" customHeight="1">
      <c r="B587" s="4" t="s">
        <v>741</v>
      </c>
      <c r="C587" s="12">
        <f>集計_障がい児!$D$413</f>
        <v>0</v>
      </c>
      <c r="D587" s="13">
        <f>集計_障がい児!$E$413</f>
        <v>0</v>
      </c>
    </row>
    <row r="588" spans="2:4" ht="17.100000000000001" customHeight="1">
      <c r="B588" s="4" t="s">
        <v>743</v>
      </c>
      <c r="C588" s="12">
        <f>集計_障がい児!$D$414</f>
        <v>0</v>
      </c>
      <c r="D588" s="13">
        <f>集計_障がい児!$E$414</f>
        <v>0</v>
      </c>
    </row>
    <row r="589" spans="2:4" ht="17.100000000000001" customHeight="1">
      <c r="B589" s="4" t="s">
        <v>745</v>
      </c>
      <c r="C589" s="12">
        <f>集計_障がい児!$D$415</f>
        <v>0</v>
      </c>
      <c r="D589" s="13">
        <f>集計_障がい児!$E$415</f>
        <v>0</v>
      </c>
    </row>
    <row r="590" spans="2:4" ht="17.100000000000001" customHeight="1">
      <c r="B590" s="4" t="s">
        <v>742</v>
      </c>
      <c r="C590" s="12">
        <f>集計_障がい児!$D$416</f>
        <v>0</v>
      </c>
      <c r="D590" s="13">
        <f>集計_障がい児!$E$416</f>
        <v>0</v>
      </c>
    </row>
    <row r="591" spans="2:4" ht="17.100000000000001" customHeight="1">
      <c r="B591" s="4" t="s">
        <v>744</v>
      </c>
      <c r="C591" s="12">
        <f>集計_障がい児!$D$417</f>
        <v>0</v>
      </c>
      <c r="D591" s="13">
        <f>集計_障がい児!$E$417</f>
        <v>0</v>
      </c>
    </row>
    <row r="592" spans="2:4" ht="17.100000000000001" customHeight="1">
      <c r="B592" s="4" t="s">
        <v>437</v>
      </c>
      <c r="C592" s="12">
        <f>集計_障がい児!$D$418</f>
        <v>2</v>
      </c>
      <c r="D592" s="13">
        <f>集計_障がい児!$E$418</f>
        <v>0.08</v>
      </c>
    </row>
    <row r="593" spans="2:4" ht="17.100000000000001" customHeight="1">
      <c r="B593" s="4" t="s">
        <v>438</v>
      </c>
      <c r="C593" s="12">
        <f>集計_障がい児!$D$419</f>
        <v>20</v>
      </c>
      <c r="D593" s="13">
        <f>集計_障がい児!$E$419</f>
        <v>0.8</v>
      </c>
    </row>
    <row r="597" spans="2:4" ht="21" customHeight="1">
      <c r="B597" s="6" t="s">
        <v>873</v>
      </c>
    </row>
    <row r="598" spans="2:4">
      <c r="B598" s="11" t="str">
        <f>"n="&amp;集計_障がい児!$F$420&amp;"（単一回答）"</f>
        <v>n=25（単一回答）</v>
      </c>
    </row>
    <row r="599" spans="2:4" ht="18" customHeight="1">
      <c r="B599" s="2" t="s">
        <v>429</v>
      </c>
      <c r="C599" s="2" t="s">
        <v>430</v>
      </c>
      <c r="D599" s="2" t="s">
        <v>431</v>
      </c>
    </row>
    <row r="600" spans="2:4" ht="17.100000000000001" customHeight="1">
      <c r="B600" s="4" t="s">
        <v>748</v>
      </c>
      <c r="C600" s="12">
        <f>集計_障がい児!$D$420</f>
        <v>1</v>
      </c>
      <c r="D600" s="13">
        <f>集計_障がい児!$E$420</f>
        <v>0.04</v>
      </c>
    </row>
    <row r="601" spans="2:4" ht="17.100000000000001" customHeight="1">
      <c r="B601" s="4" t="s">
        <v>749</v>
      </c>
      <c r="C601" s="12">
        <f>集計_障がい児!$D$421</f>
        <v>24</v>
      </c>
      <c r="D601" s="13">
        <f>集計_障がい児!$E$421</f>
        <v>0.96</v>
      </c>
    </row>
    <row r="602" spans="2:4" ht="17.100000000000001" customHeight="1">
      <c r="B602" s="4" t="s">
        <v>438</v>
      </c>
      <c r="C602" s="12">
        <f>集計_障がい児!$D$422</f>
        <v>0</v>
      </c>
      <c r="D602" s="13">
        <f>集計_障がい児!$E$422</f>
        <v>0</v>
      </c>
    </row>
    <row r="609" spans="2:4" ht="21" customHeight="1">
      <c r="B609" s="6" t="s">
        <v>874</v>
      </c>
    </row>
    <row r="610" spans="2:4">
      <c r="B610" s="11" t="str">
        <f>"n="&amp;集計_障がい児!$F$423&amp;"（単一回答）"</f>
        <v>n=25（単一回答）</v>
      </c>
    </row>
    <row r="611" spans="2:4" ht="18" customHeight="1">
      <c r="B611" s="2" t="s">
        <v>429</v>
      </c>
      <c r="C611" s="2" t="s">
        <v>430</v>
      </c>
      <c r="D611" s="2" t="s">
        <v>431</v>
      </c>
    </row>
    <row r="612" spans="2:4" ht="17.100000000000001" customHeight="1">
      <c r="B612" s="4" t="s">
        <v>748</v>
      </c>
      <c r="C612" s="12">
        <f>集計_障がい児!$D$423</f>
        <v>1</v>
      </c>
      <c r="D612" s="13">
        <f>集計_障がい児!$E$423</f>
        <v>0.04</v>
      </c>
    </row>
    <row r="613" spans="2:4" ht="17.100000000000001" customHeight="1">
      <c r="B613" s="4" t="s">
        <v>749</v>
      </c>
      <c r="C613" s="12">
        <f>集計_障がい児!$D$424</f>
        <v>24</v>
      </c>
      <c r="D613" s="13">
        <f>集計_障がい児!$E$424</f>
        <v>0.96</v>
      </c>
    </row>
    <row r="614" spans="2:4" ht="17.100000000000001" customHeight="1">
      <c r="B614" s="4" t="s">
        <v>438</v>
      </c>
      <c r="C614" s="12">
        <f>集計_障がい児!$D$425</f>
        <v>0</v>
      </c>
      <c r="D614" s="13">
        <f>集計_障がい児!$E$425</f>
        <v>0</v>
      </c>
    </row>
    <row r="621" spans="2:4" ht="21" customHeight="1">
      <c r="B621" s="6" t="s">
        <v>875</v>
      </c>
    </row>
    <row r="622" spans="2:4">
      <c r="B622" s="11" t="str">
        <f>"n="&amp;集計_障がい児!$F$426&amp;"（単一回答）"</f>
        <v>n=25（単一回答）</v>
      </c>
    </row>
    <row r="623" spans="2:4" ht="18" customHeight="1">
      <c r="B623" s="2" t="s">
        <v>429</v>
      </c>
      <c r="C623" s="2" t="s">
        <v>430</v>
      </c>
      <c r="D623" s="2" t="s">
        <v>431</v>
      </c>
    </row>
    <row r="624" spans="2:4" ht="17.100000000000001" customHeight="1">
      <c r="B624" s="4" t="s">
        <v>754</v>
      </c>
      <c r="C624" s="12">
        <f>集計_障がい児!$D$426</f>
        <v>7</v>
      </c>
      <c r="D624" s="13">
        <f>集計_障がい児!$E$426</f>
        <v>0.28000000000000003</v>
      </c>
    </row>
    <row r="625" spans="2:4" ht="17.100000000000001" customHeight="1">
      <c r="B625" s="4" t="s">
        <v>755</v>
      </c>
      <c r="C625" s="12">
        <f>集計_障がい児!$D$427</f>
        <v>11</v>
      </c>
      <c r="D625" s="13">
        <f>集計_障がい児!$E$427</f>
        <v>0.44</v>
      </c>
    </row>
    <row r="626" spans="2:4" ht="17.100000000000001" customHeight="1">
      <c r="B626" s="4" t="s">
        <v>442</v>
      </c>
      <c r="C626" s="12">
        <f>集計_障がい児!$D$428</f>
        <v>7</v>
      </c>
      <c r="D626" s="13">
        <f>集計_障がい児!$E$428</f>
        <v>0.28000000000000003</v>
      </c>
    </row>
    <row r="627" spans="2:4" ht="17.100000000000001" customHeight="1">
      <c r="B627" s="4" t="s">
        <v>438</v>
      </c>
      <c r="C627" s="12">
        <f>集計_障がい児!$D$429</f>
        <v>0</v>
      </c>
      <c r="D627" s="13">
        <f>集計_障がい児!$E$429</f>
        <v>0</v>
      </c>
    </row>
    <row r="632" spans="2:4" ht="21" customHeight="1">
      <c r="B632" s="6" t="s">
        <v>876</v>
      </c>
    </row>
    <row r="633" spans="2:4">
      <c r="B633" s="11" t="str">
        <f>"n="&amp;集計_障がい児!$F$430&amp;"（単一回答）"</f>
        <v>n=25（単一回答）</v>
      </c>
    </row>
    <row r="634" spans="2:4" ht="18" customHeight="1">
      <c r="B634" s="2" t="s">
        <v>429</v>
      </c>
      <c r="C634" s="2" t="s">
        <v>430</v>
      </c>
      <c r="D634" s="2" t="s">
        <v>431</v>
      </c>
    </row>
    <row r="635" spans="2:4" ht="17.100000000000001" customHeight="1">
      <c r="B635" s="4" t="s">
        <v>758</v>
      </c>
      <c r="C635" s="12">
        <f>集計_障がい児!$D$430</f>
        <v>10</v>
      </c>
      <c r="D635" s="13">
        <f>集計_障がい児!$E$430</f>
        <v>0.4</v>
      </c>
    </row>
    <row r="636" spans="2:4" ht="17.100000000000001" customHeight="1">
      <c r="B636" s="4" t="s">
        <v>759</v>
      </c>
      <c r="C636" s="12">
        <f>集計_障がい児!$D$431</f>
        <v>5</v>
      </c>
      <c r="D636" s="13">
        <f>集計_障がい児!$E$431</f>
        <v>0.2</v>
      </c>
    </row>
    <row r="637" spans="2:4" ht="17.100000000000001" customHeight="1">
      <c r="B637" s="4" t="s">
        <v>442</v>
      </c>
      <c r="C637" s="12">
        <f>集計_障がい児!$D$432</f>
        <v>8</v>
      </c>
      <c r="D637" s="13">
        <f>集計_障がい児!$E$432</f>
        <v>0.32</v>
      </c>
    </row>
    <row r="638" spans="2:4" ht="17.100000000000001" customHeight="1">
      <c r="B638" s="4" t="s">
        <v>438</v>
      </c>
      <c r="C638" s="12">
        <f>集計_障がい児!$D$433</f>
        <v>2</v>
      </c>
      <c r="D638" s="13">
        <f>集計_障がい児!$E$433</f>
        <v>0.08</v>
      </c>
    </row>
    <row r="643" spans="2:4" ht="21" customHeight="1">
      <c r="B643" s="6" t="s">
        <v>877</v>
      </c>
    </row>
    <row r="644" spans="2:4">
      <c r="B644" s="11" t="str">
        <f>"n="&amp;集計_障がい児!$F$440&amp;"（複数回答）"</f>
        <v>n=25（複数回答）</v>
      </c>
    </row>
    <row r="645" spans="2:4" ht="18" customHeight="1">
      <c r="B645" s="2" t="s">
        <v>429</v>
      </c>
      <c r="C645" s="2" t="s">
        <v>430</v>
      </c>
      <c r="D645" s="2" t="s">
        <v>431</v>
      </c>
    </row>
    <row r="646" spans="2:4" ht="17.100000000000001" customHeight="1">
      <c r="B646" s="4" t="s">
        <v>766</v>
      </c>
      <c r="C646" s="12">
        <f>集計_障がい児!$D$440</f>
        <v>11</v>
      </c>
      <c r="D646" s="13">
        <f>集計_障がい児!$E$440</f>
        <v>0.44</v>
      </c>
    </row>
    <row r="647" spans="2:4" ht="17.100000000000001" customHeight="1">
      <c r="B647" s="4" t="s">
        <v>763</v>
      </c>
      <c r="C647" s="12">
        <f>集計_障がい児!$D$441</f>
        <v>10</v>
      </c>
      <c r="D647" s="13">
        <f>集計_障がい児!$E$441</f>
        <v>0.4</v>
      </c>
    </row>
    <row r="648" spans="2:4" ht="17.100000000000001" customHeight="1">
      <c r="B648" s="4" t="s">
        <v>765</v>
      </c>
      <c r="C648" s="12">
        <f>集計_障がい児!$D$437</f>
        <v>6</v>
      </c>
      <c r="D648" s="13">
        <f>集計_障がい児!$E$437</f>
        <v>0.24</v>
      </c>
    </row>
    <row r="649" spans="2:4" ht="30" customHeight="1">
      <c r="B649" s="4" t="s">
        <v>764</v>
      </c>
      <c r="C649" s="12">
        <f>集計_障がい児!$D$438</f>
        <v>6</v>
      </c>
      <c r="D649" s="13">
        <f>集計_障がい児!$E$438</f>
        <v>0.24</v>
      </c>
    </row>
    <row r="650" spans="2:4" ht="17.100000000000001" customHeight="1">
      <c r="B650" s="4" t="s">
        <v>767</v>
      </c>
      <c r="C650" s="12">
        <f>集計_障がい児!$D$439</f>
        <v>3</v>
      </c>
      <c r="D650" s="13">
        <f>集計_障がい児!$E$439</f>
        <v>0.12</v>
      </c>
    </row>
    <row r="651" spans="2:4" ht="17.100000000000001" customHeight="1">
      <c r="B651" s="4" t="s">
        <v>762</v>
      </c>
      <c r="C651" s="12">
        <f>集計_障がい児!$D$434</f>
        <v>2</v>
      </c>
      <c r="D651" s="13">
        <f>集計_障がい児!$E$434</f>
        <v>0.08</v>
      </c>
    </row>
    <row r="652" spans="2:4" ht="17.100000000000001" customHeight="1">
      <c r="B652" s="4" t="s">
        <v>770</v>
      </c>
      <c r="C652" s="12">
        <f>集計_障がい児!$D$435</f>
        <v>0</v>
      </c>
      <c r="D652" s="13">
        <f>集計_障がい児!$E$435</f>
        <v>0</v>
      </c>
    </row>
    <row r="653" spans="2:4" ht="17.100000000000001" customHeight="1">
      <c r="B653" s="4" t="s">
        <v>769</v>
      </c>
      <c r="C653" s="12">
        <f>集計_障がい児!$D$436</f>
        <v>0</v>
      </c>
      <c r="D653" s="13">
        <f>集計_障がい児!$E$436</f>
        <v>0</v>
      </c>
    </row>
    <row r="654" spans="2:4" ht="17.100000000000001" customHeight="1">
      <c r="B654" s="4" t="s">
        <v>768</v>
      </c>
      <c r="C654" s="12">
        <f>集計_障がい児!$D$442</f>
        <v>0</v>
      </c>
      <c r="D654" s="13">
        <f>集計_障がい児!$E$442</f>
        <v>0</v>
      </c>
    </row>
    <row r="655" spans="2:4" ht="17.100000000000001" customHeight="1">
      <c r="B655" s="4" t="s">
        <v>437</v>
      </c>
      <c r="C655" s="12">
        <f>集計_障がい児!$D$443</f>
        <v>0</v>
      </c>
      <c r="D655" s="13">
        <f>集計_障がい児!$E$443</f>
        <v>0</v>
      </c>
    </row>
    <row r="656" spans="2:4" ht="17.100000000000001" customHeight="1">
      <c r="B656" s="4" t="s">
        <v>604</v>
      </c>
      <c r="C656" s="12">
        <f>集計_障がい児!$D$444</f>
        <v>7</v>
      </c>
      <c r="D656" s="13">
        <f>集計_障がい児!$E$444</f>
        <v>0.28000000000000003</v>
      </c>
    </row>
    <row r="657" spans="2:4" ht="17.100000000000001" customHeight="1">
      <c r="B657" s="4" t="s">
        <v>438</v>
      </c>
      <c r="C657" s="12">
        <f>集計_障がい児!$D$445</f>
        <v>1</v>
      </c>
      <c r="D657" s="13">
        <f>集計_障がい児!$E$445</f>
        <v>0.04</v>
      </c>
    </row>
    <row r="662" spans="2:4" ht="21" customHeight="1">
      <c r="B662" s="6" t="s">
        <v>878</v>
      </c>
    </row>
    <row r="663" spans="2:4">
      <c r="B663" s="11" t="str">
        <f>"n="&amp;集計_障がい児!$F$446&amp;"（単一回答）"</f>
        <v>n=25（単一回答）</v>
      </c>
    </row>
    <row r="664" spans="2:4" ht="18" customHeight="1">
      <c r="B664" s="2" t="s">
        <v>429</v>
      </c>
      <c r="C664" s="2" t="s">
        <v>430</v>
      </c>
      <c r="D664" s="2" t="s">
        <v>431</v>
      </c>
    </row>
    <row r="665" spans="2:4" ht="17.100000000000001" customHeight="1">
      <c r="B665" s="4" t="s">
        <v>773</v>
      </c>
      <c r="C665" s="12">
        <f>集計_障がい児!$D$446</f>
        <v>1</v>
      </c>
      <c r="D665" s="13">
        <f>集計_障がい児!$E$446</f>
        <v>0.04</v>
      </c>
    </row>
    <row r="666" spans="2:4" ht="17.100000000000001" customHeight="1">
      <c r="B666" s="4" t="s">
        <v>774</v>
      </c>
      <c r="C666" s="12">
        <f>集計_障がい児!$D$447</f>
        <v>24</v>
      </c>
      <c r="D666" s="13">
        <f>集計_障がい児!$E$447</f>
        <v>0.96</v>
      </c>
    </row>
    <row r="667" spans="2:4" ht="17.100000000000001" customHeight="1">
      <c r="B667" s="4" t="s">
        <v>438</v>
      </c>
      <c r="C667" s="12">
        <f>集計_障がい児!$D$448</f>
        <v>0</v>
      </c>
      <c r="D667" s="13">
        <f>集計_障がい児!$E$448</f>
        <v>0</v>
      </c>
    </row>
    <row r="674" spans="2:6" ht="21" customHeight="1">
      <c r="B674" s="6" t="s">
        <v>879</v>
      </c>
    </row>
    <row r="675" spans="2:6">
      <c r="B675" s="11" t="str">
        <f>"n="&amp;集計_障がい児!$F$449&amp;"（単一回答）"</f>
        <v>n=25（単一回答）</v>
      </c>
    </row>
    <row r="676" spans="2:6" ht="18" customHeight="1">
      <c r="B676" s="2" t="s">
        <v>429</v>
      </c>
      <c r="C676" s="2" t="s">
        <v>430</v>
      </c>
      <c r="D676" s="2" t="s">
        <v>431</v>
      </c>
    </row>
    <row r="677" spans="2:6" ht="17.100000000000001" customHeight="1">
      <c r="B677" s="4" t="s">
        <v>773</v>
      </c>
      <c r="C677" s="12">
        <f>集計_障がい児!$D$449</f>
        <v>0</v>
      </c>
      <c r="D677" s="13">
        <f>集計_障がい児!$E$449</f>
        <v>0</v>
      </c>
    </row>
    <row r="678" spans="2:6" ht="17.100000000000001" customHeight="1">
      <c r="B678" s="4" t="s">
        <v>774</v>
      </c>
      <c r="C678" s="12">
        <f>集計_障がい児!$D$450</f>
        <v>25</v>
      </c>
      <c r="D678" s="13">
        <f>集計_障がい児!$E$450</f>
        <v>1</v>
      </c>
    </row>
    <row r="679" spans="2:6" ht="17.100000000000001" customHeight="1">
      <c r="B679" s="4" t="s">
        <v>438</v>
      </c>
      <c r="C679" s="12">
        <f>集計_障がい児!$D$451</f>
        <v>0</v>
      </c>
      <c r="D679" s="13">
        <f>集計_障がい児!$E$451</f>
        <v>0</v>
      </c>
    </row>
    <row r="686" spans="2:6" ht="21" customHeight="1">
      <c r="B686" s="6" t="s">
        <v>880</v>
      </c>
    </row>
    <row r="687" spans="2:6" ht="30" customHeight="1">
      <c r="B687" s="2" t="s">
        <v>339</v>
      </c>
      <c r="C687" s="29" t="s">
        <v>881</v>
      </c>
      <c r="D687" s="34"/>
      <c r="E687" s="29" t="s">
        <v>882</v>
      </c>
      <c r="F687" s="34"/>
    </row>
    <row r="688" spans="2:6" ht="30" customHeight="1">
      <c r="B688" s="4" t="s">
        <v>883</v>
      </c>
      <c r="C688" s="23" t="s">
        <v>884</v>
      </c>
      <c r="D688" s="34"/>
      <c r="E688" s="23" t="s">
        <v>885</v>
      </c>
      <c r="F688" s="34"/>
    </row>
    <row r="689" spans="2:7" ht="30" customHeight="1">
      <c r="B689" s="20" t="s">
        <v>886</v>
      </c>
      <c r="C689" s="25" t="s">
        <v>887</v>
      </c>
      <c r="D689" s="34"/>
      <c r="E689" s="25" t="s">
        <v>888</v>
      </c>
      <c r="F689" s="34"/>
    </row>
    <row r="690" spans="2:7" ht="30" customHeight="1">
      <c r="B690" s="4" t="s">
        <v>889</v>
      </c>
      <c r="C690" s="23" t="s">
        <v>890</v>
      </c>
      <c r="D690" s="34"/>
      <c r="E690" s="23" t="s">
        <v>891</v>
      </c>
      <c r="F690" s="34"/>
    </row>
    <row r="691" spans="2:7" ht="30" customHeight="1">
      <c r="B691" s="20" t="s">
        <v>892</v>
      </c>
      <c r="C691" s="25" t="s">
        <v>893</v>
      </c>
      <c r="D691" s="34"/>
      <c r="E691" s="25" t="s">
        <v>894</v>
      </c>
      <c r="F691" s="34"/>
    </row>
    <row r="692" spans="2:7" ht="30" customHeight="1">
      <c r="B692" s="4" t="s">
        <v>895</v>
      </c>
      <c r="C692" s="23" t="s">
        <v>896</v>
      </c>
      <c r="D692" s="34"/>
      <c r="E692" s="23" t="s">
        <v>897</v>
      </c>
      <c r="F692" s="34"/>
    </row>
    <row r="693" spans="2:7" ht="30" customHeight="1">
      <c r="B693" s="20" t="s">
        <v>898</v>
      </c>
      <c r="C693" s="25" t="s">
        <v>899</v>
      </c>
      <c r="D693" s="34"/>
      <c r="E693" s="25" t="s">
        <v>900</v>
      </c>
      <c r="F693" s="34"/>
    </row>
    <row r="694" spans="2:7" ht="30" customHeight="1">
      <c r="B694" s="4" t="s">
        <v>901</v>
      </c>
      <c r="C694" s="23" t="s">
        <v>902</v>
      </c>
      <c r="D694" s="34"/>
      <c r="E694" s="23" t="s">
        <v>903</v>
      </c>
      <c r="F694" s="34"/>
    </row>
    <row r="695" spans="2:7" ht="30" customHeight="1">
      <c r="B695" s="20" t="s">
        <v>904</v>
      </c>
      <c r="C695" s="25" t="s">
        <v>905</v>
      </c>
      <c r="D695" s="34"/>
      <c r="E695" s="25" t="s">
        <v>906</v>
      </c>
      <c r="F695" s="34"/>
    </row>
    <row r="696" spans="2:7" ht="15" customHeight="1">
      <c r="B696" s="30" t="s">
        <v>907</v>
      </c>
      <c r="C696" s="32"/>
      <c r="D696" s="32"/>
      <c r="E696" s="32"/>
      <c r="F696" s="32"/>
    </row>
    <row r="698" spans="2:7" ht="21" customHeight="1">
      <c r="B698" s="6" t="s">
        <v>908</v>
      </c>
    </row>
    <row r="699" spans="2:7">
      <c r="B699" s="16" t="s">
        <v>779</v>
      </c>
    </row>
    <row r="700" spans="2:7" ht="18" customHeight="1">
      <c r="B700" s="2" t="s">
        <v>445</v>
      </c>
      <c r="C700" s="2" t="s">
        <v>798</v>
      </c>
      <c r="D700" s="2" t="s">
        <v>799</v>
      </c>
      <c r="E700" s="2" t="s">
        <v>800</v>
      </c>
      <c r="F700" s="2" t="s">
        <v>801</v>
      </c>
      <c r="G700" s="2" t="s">
        <v>802</v>
      </c>
    </row>
    <row r="701" spans="2:7">
      <c r="B701" s="8" t="s">
        <v>780</v>
      </c>
      <c r="C701" s="17">
        <v>3</v>
      </c>
      <c r="D701" s="17">
        <v>6</v>
      </c>
      <c r="E701" s="17">
        <v>5</v>
      </c>
      <c r="F701" s="17">
        <v>4</v>
      </c>
      <c r="G701" s="17">
        <v>5</v>
      </c>
    </row>
    <row r="702" spans="2:7" ht="17.100000000000001" customHeight="1">
      <c r="B702" s="4" t="s">
        <v>556</v>
      </c>
      <c r="C702" s="18">
        <v>3</v>
      </c>
      <c r="D702" s="18">
        <v>5</v>
      </c>
      <c r="E702" s="18">
        <v>4</v>
      </c>
      <c r="F702" s="18">
        <v>3</v>
      </c>
      <c r="G702" s="18">
        <v>5</v>
      </c>
    </row>
    <row r="703" spans="2:7" ht="17.100000000000001" customHeight="1">
      <c r="B703" s="4" t="s">
        <v>557</v>
      </c>
      <c r="C703" s="18">
        <v>0</v>
      </c>
      <c r="D703" s="18">
        <v>1</v>
      </c>
      <c r="E703" s="18">
        <v>1</v>
      </c>
      <c r="F703" s="18">
        <v>1</v>
      </c>
      <c r="G703" s="18">
        <v>0</v>
      </c>
    </row>
    <row r="704" spans="2:7" ht="17.100000000000001" customHeight="1">
      <c r="B704" s="4" t="s">
        <v>558</v>
      </c>
      <c r="C704" s="18">
        <v>0</v>
      </c>
      <c r="D704" s="18">
        <v>0</v>
      </c>
      <c r="E704" s="18">
        <v>0</v>
      </c>
      <c r="F704" s="18">
        <v>0</v>
      </c>
      <c r="G704" s="18">
        <v>0</v>
      </c>
    </row>
    <row r="705" spans="2:7" ht="17.100000000000001" customHeight="1">
      <c r="B705" s="4" t="s">
        <v>559</v>
      </c>
      <c r="C705" s="18">
        <v>0</v>
      </c>
      <c r="D705" s="18">
        <v>0</v>
      </c>
      <c r="E705" s="18">
        <v>0</v>
      </c>
      <c r="F705" s="18">
        <v>0</v>
      </c>
      <c r="G705" s="18">
        <v>0</v>
      </c>
    </row>
    <row r="706" spans="2:7" ht="17.100000000000001" customHeight="1">
      <c r="B706" s="4" t="s">
        <v>437</v>
      </c>
      <c r="C706" s="18">
        <v>0</v>
      </c>
      <c r="D706" s="18">
        <v>0</v>
      </c>
      <c r="E706" s="18">
        <v>0</v>
      </c>
      <c r="F706" s="18">
        <v>0</v>
      </c>
      <c r="G706" s="18">
        <v>0</v>
      </c>
    </row>
    <row r="707" spans="2:7" ht="17.100000000000001" customHeight="1">
      <c r="B707" s="4" t="s">
        <v>438</v>
      </c>
      <c r="C707" s="18">
        <v>0</v>
      </c>
      <c r="D707" s="18">
        <v>0</v>
      </c>
      <c r="E707" s="18">
        <v>0</v>
      </c>
      <c r="F707" s="18">
        <v>0</v>
      </c>
      <c r="G707" s="18">
        <v>0</v>
      </c>
    </row>
    <row r="709" spans="2:7">
      <c r="B709" s="16" t="s">
        <v>781</v>
      </c>
    </row>
    <row r="710" spans="2:7" ht="18" customHeight="1">
      <c r="B710" s="2" t="s">
        <v>445</v>
      </c>
      <c r="C710" s="2" t="s">
        <v>798</v>
      </c>
      <c r="D710" s="2" t="s">
        <v>799</v>
      </c>
      <c r="E710" s="2" t="s">
        <v>800</v>
      </c>
      <c r="F710" s="2" t="s">
        <v>801</v>
      </c>
      <c r="G710" s="2" t="s">
        <v>802</v>
      </c>
    </row>
    <row r="711" spans="2:7" ht="17.100000000000001" customHeight="1">
      <c r="B711" s="4" t="s">
        <v>556</v>
      </c>
      <c r="C711" s="15">
        <f>IF($C$701=0,0,$C$702/$C$701)</f>
        <v>1</v>
      </c>
      <c r="D711" s="15">
        <f>IF($D$701=0,0,$D$702/$D$701)</f>
        <v>0.83333333333333304</v>
      </c>
      <c r="E711" s="15">
        <f>IF($E$701=0,0,$E$702/$E$701)</f>
        <v>0.8</v>
      </c>
      <c r="F711" s="15">
        <f>IF($F$701=0,0,$F$702/$F$701)</f>
        <v>0.75</v>
      </c>
      <c r="G711" s="15">
        <f>IF($G$701=0,0,$G$702/$G$701)</f>
        <v>1</v>
      </c>
    </row>
    <row r="712" spans="2:7" ht="17.100000000000001" customHeight="1">
      <c r="B712" s="4" t="s">
        <v>557</v>
      </c>
      <c r="C712" s="15">
        <f>IF($C$701=0,0,$C$703/$C$701)</f>
        <v>0</v>
      </c>
      <c r="D712" s="15">
        <f>IF($D$701=0,0,$D$703/$D$701)</f>
        <v>0.16666666666666699</v>
      </c>
      <c r="E712" s="15">
        <f>IF($E$701=0,0,$E$703/$E$701)</f>
        <v>0.2</v>
      </c>
      <c r="F712" s="15">
        <f>IF($F$701=0,0,$F$703/$F$701)</f>
        <v>0.25</v>
      </c>
      <c r="G712" s="15">
        <f>IF($G$701=0,0,$G$703/$G$701)</f>
        <v>0</v>
      </c>
    </row>
    <row r="713" spans="2:7" ht="17.100000000000001" customHeight="1">
      <c r="B713" s="4" t="s">
        <v>558</v>
      </c>
      <c r="C713" s="15">
        <f>IF($C$701=0,0,$C$704/$C$701)</f>
        <v>0</v>
      </c>
      <c r="D713" s="15">
        <f>IF($D$701=0,0,$D$704/$D$701)</f>
        <v>0</v>
      </c>
      <c r="E713" s="15">
        <f>IF($E$701=0,0,$E$704/$E$701)</f>
        <v>0</v>
      </c>
      <c r="F713" s="15">
        <f>IF($F$701=0,0,$F$704/$F$701)</f>
        <v>0</v>
      </c>
      <c r="G713" s="15">
        <f>IF($G$701=0,0,$G$704/$G$701)</f>
        <v>0</v>
      </c>
    </row>
    <row r="714" spans="2:7" ht="17.100000000000001" customHeight="1">
      <c r="B714" s="4" t="s">
        <v>559</v>
      </c>
      <c r="C714" s="15">
        <f>IF($C$701=0,0,$C$705/$C$701)</f>
        <v>0</v>
      </c>
      <c r="D714" s="15">
        <f>IF($D$701=0,0,$D$705/$D$701)</f>
        <v>0</v>
      </c>
      <c r="E714" s="15">
        <f>IF($E$701=0,0,$E$705/$E$701)</f>
        <v>0</v>
      </c>
      <c r="F714" s="15">
        <f>IF($F$701=0,0,$F$705/$F$701)</f>
        <v>0</v>
      </c>
      <c r="G714" s="15">
        <f>IF($G$701=0,0,$G$705/$G$701)</f>
        <v>0</v>
      </c>
    </row>
    <row r="715" spans="2:7" ht="17.100000000000001" customHeight="1">
      <c r="B715" s="4" t="s">
        <v>437</v>
      </c>
      <c r="C715" s="15">
        <f>IF($C$701=0,0,$C$706/$C$701)</f>
        <v>0</v>
      </c>
      <c r="D715" s="15">
        <f>IF($D$701=0,0,$D$706/$D$701)</f>
        <v>0</v>
      </c>
      <c r="E715" s="15">
        <f>IF($E$701=0,0,$E$706/$E$701)</f>
        <v>0</v>
      </c>
      <c r="F715" s="15">
        <f>IF($F$701=0,0,$F$706/$F$701)</f>
        <v>0</v>
      </c>
      <c r="G715" s="15">
        <f>IF($G$701=0,0,$G$706/$G$701)</f>
        <v>0</v>
      </c>
    </row>
    <row r="716" spans="2:7" ht="17.100000000000001" customHeight="1">
      <c r="B716" s="4" t="s">
        <v>438</v>
      </c>
      <c r="C716" s="19">
        <f>IF($C$701=0,0,$C$707/$C$701)</f>
        <v>0</v>
      </c>
      <c r="D716" s="19">
        <f>IF($D$701=0,0,$D$707/$D$701)</f>
        <v>0</v>
      </c>
      <c r="E716" s="19">
        <f>IF($E$701=0,0,$E$707/$E$701)</f>
        <v>0</v>
      </c>
      <c r="F716" s="19">
        <f>IF($F$701=0,0,$F$707/$F$701)</f>
        <v>0</v>
      </c>
      <c r="G716" s="19">
        <f>IF($G$701=0,0,$G$707/$G$701)</f>
        <v>0</v>
      </c>
    </row>
    <row r="717" spans="2:7" ht="15" customHeight="1">
      <c r="B717" s="30" t="s">
        <v>782</v>
      </c>
      <c r="C717" s="32"/>
      <c r="D717" s="32"/>
      <c r="E717" s="32"/>
      <c r="F717" s="32"/>
      <c r="G717" s="32"/>
    </row>
    <row r="719" spans="2:7" ht="21" customHeight="1">
      <c r="B719" s="6" t="s">
        <v>909</v>
      </c>
    </row>
    <row r="721" spans="2:8" ht="57" customHeight="1">
      <c r="B721" s="2" t="s">
        <v>445</v>
      </c>
      <c r="C721" s="2" t="s">
        <v>556</v>
      </c>
      <c r="D721" s="2" t="s">
        <v>557</v>
      </c>
      <c r="E721" s="2" t="s">
        <v>558</v>
      </c>
      <c r="F721" s="2" t="s">
        <v>559</v>
      </c>
      <c r="G721" s="2" t="s">
        <v>437</v>
      </c>
      <c r="H721" s="2" t="s">
        <v>438</v>
      </c>
    </row>
    <row r="722" spans="2:8" ht="17.100000000000001" customHeight="1">
      <c r="B722" s="4" t="s">
        <v>798</v>
      </c>
      <c r="C722" s="13">
        <f>$C$711</f>
        <v>1</v>
      </c>
      <c r="D722" s="13">
        <f>$C$712</f>
        <v>0</v>
      </c>
      <c r="E722" s="13">
        <f>$C$713</f>
        <v>0</v>
      </c>
      <c r="F722" s="13">
        <f>$C$714</f>
        <v>0</v>
      </c>
      <c r="G722" s="13">
        <f>$C$715</f>
        <v>0</v>
      </c>
      <c r="H722" s="13">
        <f>$C$716</f>
        <v>0</v>
      </c>
    </row>
    <row r="723" spans="2:8" ht="17.100000000000001" customHeight="1">
      <c r="B723" s="4" t="s">
        <v>799</v>
      </c>
      <c r="C723" s="13">
        <f>$D$711</f>
        <v>0.83333333333333304</v>
      </c>
      <c r="D723" s="13">
        <f>$D$712</f>
        <v>0.16666666666666699</v>
      </c>
      <c r="E723" s="13">
        <f>$D$713</f>
        <v>0</v>
      </c>
      <c r="F723" s="13">
        <f>$D$714</f>
        <v>0</v>
      </c>
      <c r="G723" s="13">
        <f>$D$715</f>
        <v>0</v>
      </c>
      <c r="H723" s="13">
        <f>$D$716</f>
        <v>0</v>
      </c>
    </row>
    <row r="724" spans="2:8" ht="17.100000000000001" customHeight="1">
      <c r="B724" s="4" t="s">
        <v>800</v>
      </c>
      <c r="C724" s="13">
        <f>$E$711</f>
        <v>0.8</v>
      </c>
      <c r="D724" s="13">
        <f>$E$712</f>
        <v>0.2</v>
      </c>
      <c r="E724" s="13">
        <f>$E$713</f>
        <v>0</v>
      </c>
      <c r="F724" s="13">
        <f>$E$714</f>
        <v>0</v>
      </c>
      <c r="G724" s="13">
        <f>$E$715</f>
        <v>0</v>
      </c>
      <c r="H724" s="13">
        <f>$E$716</f>
        <v>0</v>
      </c>
    </row>
    <row r="725" spans="2:8" ht="17.100000000000001" customHeight="1">
      <c r="B725" s="4" t="s">
        <v>801</v>
      </c>
      <c r="C725" s="13">
        <f>$F$711</f>
        <v>0.75</v>
      </c>
      <c r="D725" s="13">
        <f>$F$712</f>
        <v>0.25</v>
      </c>
      <c r="E725" s="13">
        <f>$F$713</f>
        <v>0</v>
      </c>
      <c r="F725" s="13">
        <f>$F$714</f>
        <v>0</v>
      </c>
      <c r="G725" s="13">
        <f>$F$715</f>
        <v>0</v>
      </c>
      <c r="H725" s="13">
        <f>$F$716</f>
        <v>0</v>
      </c>
    </row>
    <row r="726" spans="2:8" ht="17.100000000000001" customHeight="1">
      <c r="B726" s="4" t="s">
        <v>802</v>
      </c>
      <c r="C726" s="13">
        <f>$G$711</f>
        <v>1</v>
      </c>
      <c r="D726" s="13">
        <f>$G$712</f>
        <v>0</v>
      </c>
      <c r="E726" s="13">
        <f>$G$713</f>
        <v>0</v>
      </c>
      <c r="F726" s="13">
        <f>$G$714</f>
        <v>0</v>
      </c>
      <c r="G726" s="13">
        <f>$G$715</f>
        <v>0</v>
      </c>
      <c r="H726" s="13">
        <f>$G$716</f>
        <v>0</v>
      </c>
    </row>
  </sheetData>
  <mergeCells count="21">
    <mergeCell ref="C687:D687"/>
    <mergeCell ref="B717:G717"/>
    <mergeCell ref="C693:D693"/>
    <mergeCell ref="E687:F687"/>
    <mergeCell ref="B439:E439"/>
    <mergeCell ref="C692:D692"/>
    <mergeCell ref="B696:F696"/>
    <mergeCell ref="C694:D694"/>
    <mergeCell ref="C689:D689"/>
    <mergeCell ref="E694:F694"/>
    <mergeCell ref="E689:F689"/>
    <mergeCell ref="C688:D688"/>
    <mergeCell ref="C690:D690"/>
    <mergeCell ref="E690:F690"/>
    <mergeCell ref="E693:F693"/>
    <mergeCell ref="C695:D695"/>
    <mergeCell ref="E695:F695"/>
    <mergeCell ref="C691:D691"/>
    <mergeCell ref="E692:F692"/>
    <mergeCell ref="E688:F688"/>
    <mergeCell ref="E691:F691"/>
  </mergeCells>
  <conditionalFormatting sqref="C711:G715">
    <cfRule type="colorScale" priority="1">
      <colorScale>
        <cfvo type="num" val="0"/>
        <cfvo type="num" val="1"/>
        <color rgb="FFFFFFFF"/>
        <color rgb="FF6FA3DF"/>
      </colorScale>
    </cfRule>
  </conditionalFormatting>
  <conditionalFormatting sqref="C711:C715">
    <cfRule type="top10" dxfId="4" priority="2" rank="1"/>
  </conditionalFormatting>
  <conditionalFormatting sqref="D711:D715">
    <cfRule type="top10" dxfId="3" priority="3" rank="1"/>
  </conditionalFormatting>
  <conditionalFormatting sqref="E711:E715">
    <cfRule type="top10" dxfId="2" priority="4" rank="1"/>
  </conditionalFormatting>
  <conditionalFormatting sqref="F711:F715">
    <cfRule type="top10" dxfId="1" priority="5" rank="1"/>
  </conditionalFormatting>
  <conditionalFormatting sqref="G711:G715">
    <cfRule type="top10" dxfId="0" priority="6" rank="1"/>
  </conditionalFormatting>
  <pageMargins left="0.75" right="0.75" top="1" bottom="1" header="0.5" footer="0.5"/>
  <pageSetup paperSize="9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J11"/>
  <sheetViews>
    <sheetView showGridLines="0" workbookViewId="0"/>
  </sheetViews>
  <sheetFormatPr defaultRowHeight="15"/>
  <cols>
    <col min="1" max="1" width="2" customWidth="1"/>
    <col min="2" max="2" width="30" customWidth="1"/>
    <col min="3" max="26" width="11" customWidth="1"/>
  </cols>
  <sheetData>
    <row r="2" spans="2:10" ht="21" customHeight="1">
      <c r="B2" s="6" t="s">
        <v>910</v>
      </c>
    </row>
    <row r="3" spans="2:10" ht="17.100000000000001" customHeight="1">
      <c r="B3" s="2" t="s">
        <v>911</v>
      </c>
      <c r="C3" s="29" t="s">
        <v>912</v>
      </c>
      <c r="D3" s="33"/>
      <c r="E3" s="34"/>
      <c r="F3" s="29" t="s">
        <v>913</v>
      </c>
      <c r="G3" s="33"/>
      <c r="H3" s="34"/>
      <c r="I3" s="29" t="s">
        <v>914</v>
      </c>
      <c r="J3" s="34"/>
    </row>
    <row r="4" spans="2:10" ht="30" customHeight="1">
      <c r="B4" s="4" t="s">
        <v>915</v>
      </c>
      <c r="C4" s="24" t="s">
        <v>916</v>
      </c>
      <c r="D4" s="33"/>
      <c r="E4" s="34"/>
      <c r="F4" s="24" t="s">
        <v>917</v>
      </c>
      <c r="G4" s="33"/>
      <c r="H4" s="34"/>
      <c r="I4" s="24" t="s">
        <v>918</v>
      </c>
      <c r="J4" s="34"/>
    </row>
    <row r="5" spans="2:10" ht="30" customHeight="1">
      <c r="B5" s="20" t="s">
        <v>919</v>
      </c>
      <c r="C5" s="31" t="s">
        <v>920</v>
      </c>
      <c r="D5" s="33"/>
      <c r="E5" s="34"/>
      <c r="F5" s="31" t="s">
        <v>921</v>
      </c>
      <c r="G5" s="33"/>
      <c r="H5" s="34"/>
      <c r="I5" s="31" t="s">
        <v>922</v>
      </c>
      <c r="J5" s="34"/>
    </row>
    <row r="6" spans="2:10" ht="30" customHeight="1">
      <c r="B6" s="4" t="s">
        <v>923</v>
      </c>
      <c r="C6" s="24" t="s">
        <v>924</v>
      </c>
      <c r="D6" s="33"/>
      <c r="E6" s="34"/>
      <c r="F6" s="24" t="s">
        <v>925</v>
      </c>
      <c r="G6" s="33"/>
      <c r="H6" s="34"/>
      <c r="I6" s="24" t="s">
        <v>926</v>
      </c>
      <c r="J6" s="34"/>
    </row>
    <row r="7" spans="2:10" ht="30" customHeight="1">
      <c r="B7" s="20" t="s">
        <v>403</v>
      </c>
      <c r="C7" s="31" t="s">
        <v>927</v>
      </c>
      <c r="D7" s="33"/>
      <c r="E7" s="34"/>
      <c r="F7" s="31" t="s">
        <v>928</v>
      </c>
      <c r="G7" s="33"/>
      <c r="H7" s="34"/>
      <c r="I7" s="31" t="s">
        <v>929</v>
      </c>
      <c r="J7" s="34"/>
    </row>
    <row r="8" spans="2:10" ht="30" customHeight="1">
      <c r="B8" s="4" t="s">
        <v>415</v>
      </c>
      <c r="C8" s="24" t="s">
        <v>930</v>
      </c>
      <c r="D8" s="33"/>
      <c r="E8" s="34"/>
      <c r="F8" s="24" t="s">
        <v>370</v>
      </c>
      <c r="G8" s="33"/>
      <c r="H8" s="34"/>
      <c r="I8" s="24" t="s">
        <v>371</v>
      </c>
      <c r="J8" s="34"/>
    </row>
    <row r="9" spans="2:10" ht="30" customHeight="1">
      <c r="B9" s="20" t="s">
        <v>931</v>
      </c>
      <c r="C9" s="31" t="s">
        <v>932</v>
      </c>
      <c r="D9" s="33"/>
      <c r="E9" s="34"/>
      <c r="F9" s="31" t="s">
        <v>373</v>
      </c>
      <c r="G9" s="33"/>
      <c r="H9" s="34"/>
      <c r="I9" s="31" t="s">
        <v>374</v>
      </c>
      <c r="J9" s="34"/>
    </row>
    <row r="10" spans="2:10" ht="30" customHeight="1">
      <c r="B10" s="4" t="s">
        <v>933</v>
      </c>
      <c r="C10" s="24" t="s">
        <v>934</v>
      </c>
      <c r="D10" s="33"/>
      <c r="E10" s="34"/>
      <c r="F10" s="24" t="s">
        <v>935</v>
      </c>
      <c r="G10" s="33"/>
      <c r="H10" s="34"/>
      <c r="I10" s="24" t="s">
        <v>936</v>
      </c>
      <c r="J10" s="34"/>
    </row>
    <row r="11" spans="2:10" ht="42.95" customHeight="1">
      <c r="B11" s="20" t="s">
        <v>937</v>
      </c>
      <c r="C11" s="31" t="s">
        <v>938</v>
      </c>
      <c r="D11" s="33"/>
      <c r="E11" s="34"/>
      <c r="F11" s="31" t="s">
        <v>939</v>
      </c>
      <c r="G11" s="33"/>
      <c r="H11" s="34"/>
      <c r="I11" s="31" t="s">
        <v>940</v>
      </c>
      <c r="J11" s="34"/>
    </row>
  </sheetData>
  <mergeCells count="27">
    <mergeCell ref="I3:J3"/>
    <mergeCell ref="C3:E3"/>
    <mergeCell ref="F4:H4"/>
    <mergeCell ref="I5:J5"/>
    <mergeCell ref="I8:J8"/>
    <mergeCell ref="C6:E6"/>
    <mergeCell ref="I4:J4"/>
    <mergeCell ref="F6:H6"/>
    <mergeCell ref="C5:E5"/>
    <mergeCell ref="C4:E4"/>
    <mergeCell ref="F7:H7"/>
    <mergeCell ref="F3:H3"/>
    <mergeCell ref="F5:H5"/>
    <mergeCell ref="I6:J6"/>
    <mergeCell ref="C9:E9"/>
    <mergeCell ref="F8:H8"/>
    <mergeCell ref="I11:J11"/>
    <mergeCell ref="C11:E11"/>
    <mergeCell ref="I7:J7"/>
    <mergeCell ref="C8:E8"/>
    <mergeCell ref="F9:H9"/>
    <mergeCell ref="C7:E7"/>
    <mergeCell ref="F11:H11"/>
    <mergeCell ref="F10:H10"/>
    <mergeCell ref="I10:J10"/>
    <mergeCell ref="I9:J9"/>
    <mergeCell ref="C10:E10"/>
  </mergeCells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K75"/>
  <sheetViews>
    <sheetView showGridLines="0" workbookViewId="0"/>
  </sheetViews>
  <sheetFormatPr defaultRowHeight="15"/>
  <cols>
    <col min="1" max="1" width="2" customWidth="1"/>
    <col min="2" max="2" width="30" customWidth="1"/>
    <col min="3" max="26" width="11" customWidth="1"/>
  </cols>
  <sheetData>
    <row r="2" spans="2:9" ht="21" customHeight="1">
      <c r="B2" s="6" t="s">
        <v>941</v>
      </c>
    </row>
    <row r="3" spans="2:9" ht="17.100000000000001" customHeight="1">
      <c r="B3" s="2" t="s">
        <v>406</v>
      </c>
      <c r="C3" s="29" t="s">
        <v>942</v>
      </c>
      <c r="D3" s="34"/>
      <c r="E3" s="29" t="s">
        <v>943</v>
      </c>
      <c r="F3" s="34"/>
      <c r="G3" s="29" t="s">
        <v>944</v>
      </c>
      <c r="H3" s="33"/>
      <c r="I3" s="34"/>
    </row>
    <row r="4" spans="2:9" ht="17.100000000000001" customHeight="1">
      <c r="B4" s="4" t="s">
        <v>668</v>
      </c>
      <c r="C4" s="24" t="s">
        <v>945</v>
      </c>
      <c r="D4" s="34"/>
      <c r="E4" s="24" t="s">
        <v>946</v>
      </c>
      <c r="F4" s="34"/>
      <c r="G4" s="24" t="s">
        <v>947</v>
      </c>
      <c r="H4" s="33"/>
      <c r="I4" s="34"/>
    </row>
    <row r="5" spans="2:9" ht="17.100000000000001" customHeight="1">
      <c r="B5" s="20" t="s">
        <v>678</v>
      </c>
      <c r="C5" s="31" t="s">
        <v>948</v>
      </c>
      <c r="D5" s="34"/>
      <c r="E5" s="31" t="s">
        <v>949</v>
      </c>
      <c r="F5" s="34"/>
      <c r="G5" s="31" t="s">
        <v>950</v>
      </c>
      <c r="H5" s="33"/>
      <c r="I5" s="34"/>
    </row>
    <row r="6" spans="2:9" ht="17.100000000000001" customHeight="1">
      <c r="B6" s="4" t="s">
        <v>673</v>
      </c>
      <c r="C6" s="24" t="s">
        <v>951</v>
      </c>
      <c r="D6" s="34"/>
      <c r="E6" s="24" t="s">
        <v>952</v>
      </c>
      <c r="F6" s="34"/>
      <c r="G6" s="24" t="s">
        <v>953</v>
      </c>
      <c r="H6" s="33"/>
      <c r="I6" s="34"/>
    </row>
    <row r="7" spans="2:9" ht="17.100000000000001" customHeight="1">
      <c r="B7" s="20" t="s">
        <v>681</v>
      </c>
      <c r="C7" s="31" t="s">
        <v>954</v>
      </c>
      <c r="D7" s="34"/>
      <c r="E7" s="31" t="s">
        <v>955</v>
      </c>
      <c r="F7" s="34"/>
      <c r="G7" s="31" t="s">
        <v>956</v>
      </c>
      <c r="H7" s="33"/>
      <c r="I7" s="34"/>
    </row>
    <row r="8" spans="2:9" ht="17.100000000000001" customHeight="1">
      <c r="B8" s="4" t="s">
        <v>679</v>
      </c>
      <c r="C8" s="24" t="s">
        <v>957</v>
      </c>
      <c r="D8" s="34"/>
      <c r="E8" s="24" t="s">
        <v>958</v>
      </c>
      <c r="F8" s="34"/>
      <c r="G8" s="24" t="s">
        <v>959</v>
      </c>
      <c r="H8" s="33"/>
      <c r="I8" s="34"/>
    </row>
    <row r="9" spans="2:9" ht="17.100000000000001" customHeight="1">
      <c r="B9" s="20" t="s">
        <v>680</v>
      </c>
      <c r="C9" s="31" t="s">
        <v>960</v>
      </c>
      <c r="D9" s="34"/>
      <c r="E9" s="31" t="s">
        <v>961</v>
      </c>
      <c r="F9" s="34"/>
      <c r="G9" s="31" t="s">
        <v>962</v>
      </c>
      <c r="H9" s="33"/>
      <c r="I9" s="34"/>
    </row>
    <row r="10" spans="2:9" ht="17.100000000000001" customHeight="1">
      <c r="B10" s="4" t="s">
        <v>669</v>
      </c>
      <c r="C10" s="24" t="s">
        <v>963</v>
      </c>
      <c r="D10" s="34"/>
      <c r="E10" s="24" t="s">
        <v>964</v>
      </c>
      <c r="F10" s="34"/>
      <c r="G10" s="24" t="s">
        <v>965</v>
      </c>
      <c r="H10" s="33"/>
      <c r="I10" s="34"/>
    </row>
    <row r="11" spans="2:9" ht="17.100000000000001" customHeight="1">
      <c r="B11" s="20" t="s">
        <v>672</v>
      </c>
      <c r="C11" s="31" t="s">
        <v>966</v>
      </c>
      <c r="D11" s="34"/>
      <c r="E11" s="31" t="s">
        <v>967</v>
      </c>
      <c r="F11" s="34"/>
      <c r="G11" s="31" t="s">
        <v>968</v>
      </c>
      <c r="H11" s="33"/>
      <c r="I11" s="34"/>
    </row>
    <row r="13" spans="2:9" ht="21" customHeight="1">
      <c r="B13" s="6" t="s">
        <v>969</v>
      </c>
    </row>
    <row r="14" spans="2:9" ht="17.100000000000001" customHeight="1">
      <c r="B14" s="2" t="s">
        <v>970</v>
      </c>
      <c r="C14" s="2" t="s">
        <v>971</v>
      </c>
      <c r="D14" s="29" t="s">
        <v>972</v>
      </c>
      <c r="E14" s="33"/>
      <c r="F14" s="33"/>
      <c r="G14" s="33"/>
      <c r="H14" s="34"/>
    </row>
    <row r="15" spans="2:9" ht="30" customHeight="1">
      <c r="B15" s="4" t="s">
        <v>973</v>
      </c>
      <c r="C15" s="4" t="s">
        <v>974</v>
      </c>
      <c r="D15" s="24" t="s">
        <v>975</v>
      </c>
      <c r="E15" s="33"/>
      <c r="F15" s="33"/>
      <c r="G15" s="33"/>
      <c r="H15" s="34"/>
    </row>
    <row r="16" spans="2:9" ht="30" customHeight="1">
      <c r="B16" s="20" t="s">
        <v>976</v>
      </c>
      <c r="C16" s="20" t="s">
        <v>977</v>
      </c>
      <c r="D16" s="31" t="s">
        <v>978</v>
      </c>
      <c r="E16" s="33"/>
      <c r="F16" s="33"/>
      <c r="G16" s="33"/>
      <c r="H16" s="34"/>
    </row>
    <row r="17" spans="2:11" ht="30" customHeight="1">
      <c r="B17" s="4" t="s">
        <v>979</v>
      </c>
      <c r="C17" s="4" t="s">
        <v>980</v>
      </c>
      <c r="D17" s="24" t="s">
        <v>981</v>
      </c>
      <c r="E17" s="33"/>
      <c r="F17" s="33"/>
      <c r="G17" s="33"/>
      <c r="H17" s="34"/>
    </row>
    <row r="18" spans="2:11" ht="30" customHeight="1">
      <c r="B18" s="20" t="s">
        <v>982</v>
      </c>
      <c r="C18" s="20" t="s">
        <v>983</v>
      </c>
      <c r="D18" s="31" t="s">
        <v>984</v>
      </c>
      <c r="E18" s="33"/>
      <c r="F18" s="33"/>
      <c r="G18" s="33"/>
      <c r="H18" s="34"/>
    </row>
    <row r="19" spans="2:11" ht="30" customHeight="1">
      <c r="B19" s="4" t="s">
        <v>985</v>
      </c>
      <c r="C19" s="4" t="s">
        <v>986</v>
      </c>
      <c r="D19" s="24" t="s">
        <v>987</v>
      </c>
      <c r="E19" s="33"/>
      <c r="F19" s="33"/>
      <c r="G19" s="33"/>
      <c r="H19" s="34"/>
    </row>
    <row r="20" spans="2:11" ht="30" customHeight="1">
      <c r="B20" s="20" t="s">
        <v>988</v>
      </c>
      <c r="C20" s="20" t="s">
        <v>989</v>
      </c>
      <c r="D20" s="31" t="s">
        <v>990</v>
      </c>
      <c r="E20" s="33"/>
      <c r="F20" s="33"/>
      <c r="G20" s="33"/>
      <c r="H20" s="34"/>
    </row>
    <row r="22" spans="2:11" ht="21" customHeight="1">
      <c r="B22" s="6" t="s">
        <v>991</v>
      </c>
    </row>
    <row r="23" spans="2:11" ht="17.100000000000001" customHeight="1">
      <c r="B23" s="2" t="s">
        <v>992</v>
      </c>
      <c r="C23" s="2" t="s">
        <v>971</v>
      </c>
      <c r="D23" s="29" t="s">
        <v>993</v>
      </c>
      <c r="E23" s="33"/>
      <c r="F23" s="34"/>
      <c r="G23" s="29" t="s">
        <v>994</v>
      </c>
      <c r="H23" s="33"/>
      <c r="I23" s="33"/>
      <c r="J23" s="34"/>
    </row>
    <row r="24" spans="2:11" ht="17.100000000000001" customHeight="1">
      <c r="B24" s="4" t="s">
        <v>995</v>
      </c>
      <c r="C24" s="4" t="s">
        <v>996</v>
      </c>
      <c r="D24" s="24" t="s">
        <v>997</v>
      </c>
      <c r="E24" s="33"/>
      <c r="F24" s="34"/>
      <c r="G24" s="24" t="s">
        <v>998</v>
      </c>
      <c r="H24" s="33"/>
      <c r="I24" s="33"/>
      <c r="J24" s="34"/>
    </row>
    <row r="25" spans="2:11" ht="17.100000000000001" customHeight="1">
      <c r="B25" s="20" t="s">
        <v>999</v>
      </c>
      <c r="C25" s="20" t="s">
        <v>1000</v>
      </c>
      <c r="D25" s="31" t="s">
        <v>1001</v>
      </c>
      <c r="E25" s="33"/>
      <c r="F25" s="34"/>
      <c r="G25" s="31" t="s">
        <v>1002</v>
      </c>
      <c r="H25" s="33"/>
      <c r="I25" s="33"/>
      <c r="J25" s="34"/>
    </row>
    <row r="26" spans="2:11" ht="17.100000000000001" customHeight="1">
      <c r="B26" s="4" t="s">
        <v>1003</v>
      </c>
      <c r="C26" s="4" t="s">
        <v>1004</v>
      </c>
      <c r="D26" s="24" t="s">
        <v>1005</v>
      </c>
      <c r="E26" s="33"/>
      <c r="F26" s="34"/>
      <c r="G26" s="24" t="s">
        <v>1006</v>
      </c>
      <c r="H26" s="33"/>
      <c r="I26" s="33"/>
      <c r="J26" s="34"/>
    </row>
    <row r="28" spans="2:11" ht="21" customHeight="1">
      <c r="B28" s="6" t="s">
        <v>1007</v>
      </c>
    </row>
    <row r="29" spans="2:11" ht="17.100000000000001" customHeight="1">
      <c r="B29" s="2" t="s">
        <v>1008</v>
      </c>
      <c r="C29" s="2" t="s">
        <v>971</v>
      </c>
      <c r="D29" s="29" t="s">
        <v>673</v>
      </c>
      <c r="E29" s="34"/>
      <c r="F29" s="29" t="s">
        <v>678</v>
      </c>
      <c r="G29" s="34"/>
      <c r="H29" s="29" t="s">
        <v>680</v>
      </c>
      <c r="I29" s="34"/>
      <c r="J29" s="29" t="s">
        <v>681</v>
      </c>
      <c r="K29" s="34"/>
    </row>
    <row r="30" spans="2:11" ht="17.100000000000001" customHeight="1">
      <c r="B30" s="4" t="s">
        <v>1009</v>
      </c>
      <c r="C30" s="4" t="s">
        <v>1010</v>
      </c>
      <c r="D30" s="24" t="s">
        <v>1011</v>
      </c>
      <c r="E30" s="34"/>
      <c r="F30" s="24" t="s">
        <v>1012</v>
      </c>
      <c r="G30" s="34"/>
      <c r="H30" s="24" t="s">
        <v>1013</v>
      </c>
      <c r="I30" s="34"/>
      <c r="J30" s="24" t="s">
        <v>1014</v>
      </c>
      <c r="K30" s="34"/>
    </row>
    <row r="31" spans="2:11" ht="17.100000000000001" customHeight="1">
      <c r="B31" s="20" t="s">
        <v>1015</v>
      </c>
      <c r="C31" s="20" t="s">
        <v>1016</v>
      </c>
      <c r="D31" s="31" t="s">
        <v>1017</v>
      </c>
      <c r="E31" s="34"/>
      <c r="F31" s="31" t="s">
        <v>1018</v>
      </c>
      <c r="G31" s="34"/>
      <c r="H31" s="31" t="s">
        <v>1019</v>
      </c>
      <c r="I31" s="34"/>
      <c r="J31" s="31" t="s">
        <v>1020</v>
      </c>
      <c r="K31" s="34"/>
    </row>
    <row r="32" spans="2:11" ht="17.100000000000001" customHeight="1">
      <c r="B32" s="4" t="s">
        <v>1021</v>
      </c>
      <c r="C32" s="4" t="s">
        <v>1000</v>
      </c>
      <c r="D32" s="24" t="s">
        <v>1022</v>
      </c>
      <c r="E32" s="34"/>
      <c r="F32" s="24" t="s">
        <v>1023</v>
      </c>
      <c r="G32" s="34"/>
      <c r="H32" s="24" t="s">
        <v>1002</v>
      </c>
      <c r="I32" s="34"/>
      <c r="J32" s="24" t="s">
        <v>1024</v>
      </c>
      <c r="K32" s="34"/>
    </row>
    <row r="33" spans="2:11" ht="17.100000000000001" customHeight="1">
      <c r="B33" s="20" t="s">
        <v>1025</v>
      </c>
      <c r="C33" s="20" t="s">
        <v>1026</v>
      </c>
      <c r="D33" s="31" t="s">
        <v>1027</v>
      </c>
      <c r="E33" s="34"/>
      <c r="F33" s="31" t="s">
        <v>1028</v>
      </c>
      <c r="G33" s="34"/>
      <c r="H33" s="31" t="s">
        <v>1029</v>
      </c>
      <c r="I33" s="34"/>
      <c r="J33" s="31" t="s">
        <v>1030</v>
      </c>
      <c r="K33" s="34"/>
    </row>
    <row r="35" spans="2:11" ht="21" customHeight="1">
      <c r="B35" s="6" t="s">
        <v>1031</v>
      </c>
    </row>
    <row r="36" spans="2:11" ht="17.100000000000001" customHeight="1">
      <c r="B36" s="2" t="s">
        <v>1032</v>
      </c>
      <c r="C36" s="2" t="s">
        <v>971</v>
      </c>
      <c r="D36" s="29" t="s">
        <v>1033</v>
      </c>
      <c r="E36" s="33"/>
      <c r="F36" s="34"/>
      <c r="G36" s="29" t="s">
        <v>1034</v>
      </c>
      <c r="H36" s="33"/>
      <c r="I36" s="34"/>
    </row>
    <row r="37" spans="2:11" ht="17.100000000000001" customHeight="1">
      <c r="B37" s="4" t="s">
        <v>754</v>
      </c>
      <c r="C37" s="4" t="s">
        <v>1035</v>
      </c>
      <c r="D37" s="24" t="s">
        <v>1036</v>
      </c>
      <c r="E37" s="33"/>
      <c r="F37" s="34"/>
      <c r="G37" s="24" t="s">
        <v>1037</v>
      </c>
      <c r="H37" s="33"/>
      <c r="I37" s="34"/>
    </row>
    <row r="38" spans="2:11" ht="17.100000000000001" customHeight="1">
      <c r="B38" s="20" t="s">
        <v>755</v>
      </c>
      <c r="C38" s="20" t="s">
        <v>1038</v>
      </c>
      <c r="D38" s="31" t="s">
        <v>1039</v>
      </c>
      <c r="E38" s="33"/>
      <c r="F38" s="34"/>
      <c r="G38" s="31" t="s">
        <v>1040</v>
      </c>
      <c r="H38" s="33"/>
      <c r="I38" s="34"/>
    </row>
    <row r="39" spans="2:11" ht="17.100000000000001" customHeight="1">
      <c r="B39" s="4" t="s">
        <v>442</v>
      </c>
      <c r="C39" s="4" t="s">
        <v>1041</v>
      </c>
      <c r="D39" s="24" t="s">
        <v>1042</v>
      </c>
      <c r="E39" s="33"/>
      <c r="F39" s="34"/>
      <c r="G39" s="24" t="s">
        <v>1043</v>
      </c>
      <c r="H39" s="33"/>
      <c r="I39" s="34"/>
    </row>
    <row r="40" spans="2:11" ht="17.100000000000001" customHeight="1">
      <c r="B40" s="20" t="s">
        <v>438</v>
      </c>
      <c r="C40" s="20" t="s">
        <v>1044</v>
      </c>
      <c r="D40" s="31" t="s">
        <v>1045</v>
      </c>
      <c r="E40" s="33"/>
      <c r="F40" s="34"/>
      <c r="G40" s="31" t="s">
        <v>1046</v>
      </c>
      <c r="H40" s="33"/>
      <c r="I40" s="34"/>
    </row>
    <row r="42" spans="2:11" ht="21" customHeight="1">
      <c r="B42" s="6" t="s">
        <v>1047</v>
      </c>
    </row>
    <row r="43" spans="2:11" ht="17.100000000000001" customHeight="1">
      <c r="B43" s="2" t="s">
        <v>1048</v>
      </c>
      <c r="C43" s="2" t="s">
        <v>971</v>
      </c>
      <c r="D43" s="29" t="s">
        <v>1049</v>
      </c>
      <c r="E43" s="33"/>
      <c r="F43" s="34"/>
      <c r="G43" s="29" t="s">
        <v>1050</v>
      </c>
      <c r="H43" s="33"/>
      <c r="I43" s="34"/>
    </row>
    <row r="44" spans="2:11" ht="17.100000000000001" customHeight="1">
      <c r="B44" s="4" t="s">
        <v>1051</v>
      </c>
      <c r="C44" s="4" t="s">
        <v>1052</v>
      </c>
      <c r="D44" s="24" t="s">
        <v>1053</v>
      </c>
      <c r="E44" s="33"/>
      <c r="F44" s="34"/>
      <c r="G44" s="24" t="s">
        <v>1054</v>
      </c>
      <c r="H44" s="33"/>
      <c r="I44" s="34"/>
    </row>
    <row r="45" spans="2:11" ht="17.100000000000001" customHeight="1">
      <c r="B45" s="20" t="s">
        <v>1055</v>
      </c>
      <c r="C45" s="20" t="s">
        <v>1056</v>
      </c>
      <c r="D45" s="31" t="s">
        <v>1057</v>
      </c>
      <c r="E45" s="33"/>
      <c r="F45" s="34"/>
      <c r="G45" s="31" t="s">
        <v>1058</v>
      </c>
      <c r="H45" s="33"/>
      <c r="I45" s="34"/>
    </row>
    <row r="46" spans="2:11" ht="17.100000000000001" customHeight="1">
      <c r="B46" s="4" t="s">
        <v>1059</v>
      </c>
      <c r="C46" s="4" t="s">
        <v>1060</v>
      </c>
      <c r="D46" s="24" t="s">
        <v>1061</v>
      </c>
      <c r="E46" s="33"/>
      <c r="F46" s="34"/>
      <c r="G46" s="24" t="s">
        <v>1062</v>
      </c>
      <c r="H46" s="33"/>
      <c r="I46" s="34"/>
    </row>
    <row r="48" spans="2:11" ht="21" customHeight="1">
      <c r="B48" s="6" t="s">
        <v>1063</v>
      </c>
    </row>
    <row r="49" spans="2:10" ht="17.100000000000001" customHeight="1">
      <c r="B49" s="2" t="s">
        <v>1064</v>
      </c>
      <c r="C49" s="29" t="s">
        <v>430</v>
      </c>
      <c r="D49" s="34"/>
      <c r="E49" s="29" t="s">
        <v>431</v>
      </c>
      <c r="F49" s="33"/>
      <c r="G49" s="34"/>
    </row>
    <row r="50" spans="2:10" ht="17.100000000000001" customHeight="1">
      <c r="B50" s="4" t="s">
        <v>1065</v>
      </c>
      <c r="C50" s="24" t="s">
        <v>986</v>
      </c>
      <c r="D50" s="34"/>
      <c r="E50" s="24" t="s">
        <v>1066</v>
      </c>
      <c r="F50" s="33"/>
      <c r="G50" s="34"/>
    </row>
    <row r="51" spans="2:10" ht="17.100000000000001" customHeight="1">
      <c r="B51" s="20" t="s">
        <v>1067</v>
      </c>
      <c r="C51" s="31" t="s">
        <v>1068</v>
      </c>
      <c r="D51" s="34"/>
      <c r="E51" s="31" t="s">
        <v>1069</v>
      </c>
      <c r="F51" s="33"/>
      <c r="G51" s="34"/>
    </row>
    <row r="52" spans="2:10" ht="17.100000000000001" customHeight="1">
      <c r="B52" s="4" t="s">
        <v>1070</v>
      </c>
      <c r="C52" s="24" t="s">
        <v>1052</v>
      </c>
      <c r="D52" s="34"/>
      <c r="E52" s="24" t="s">
        <v>1071</v>
      </c>
      <c r="F52" s="33"/>
      <c r="G52" s="34"/>
    </row>
    <row r="53" spans="2:10" ht="17.100000000000001" customHeight="1">
      <c r="B53" s="20" t="s">
        <v>1072</v>
      </c>
      <c r="C53" s="31" t="s">
        <v>1073</v>
      </c>
      <c r="D53" s="34"/>
      <c r="E53" s="31" t="s">
        <v>1074</v>
      </c>
      <c r="F53" s="33"/>
      <c r="G53" s="34"/>
    </row>
    <row r="54" spans="2:10" ht="17.100000000000001" customHeight="1">
      <c r="B54" s="4" t="s">
        <v>1075</v>
      </c>
      <c r="C54" s="24" t="s">
        <v>1076</v>
      </c>
      <c r="D54" s="34"/>
      <c r="E54" s="24" t="s">
        <v>1077</v>
      </c>
      <c r="F54" s="33"/>
      <c r="G54" s="34"/>
    </row>
    <row r="55" spans="2:10" ht="17.100000000000001" customHeight="1">
      <c r="B55" s="20" t="s">
        <v>1078</v>
      </c>
      <c r="C55" s="31" t="s">
        <v>1060</v>
      </c>
      <c r="D55" s="34"/>
      <c r="E55" s="31" t="s">
        <v>1079</v>
      </c>
      <c r="F55" s="33"/>
      <c r="G55" s="34"/>
    </row>
    <row r="57" spans="2:10" ht="21" customHeight="1">
      <c r="B57" s="6" t="s">
        <v>1080</v>
      </c>
    </row>
    <row r="58" spans="2:10" ht="17.100000000000001" customHeight="1">
      <c r="B58" s="2" t="s">
        <v>1081</v>
      </c>
      <c r="C58" s="2" t="s">
        <v>971</v>
      </c>
      <c r="D58" s="29" t="s">
        <v>1082</v>
      </c>
      <c r="E58" s="33"/>
      <c r="F58" s="33"/>
      <c r="G58" s="33"/>
      <c r="H58" s="33"/>
      <c r="I58" s="33"/>
      <c r="J58" s="34"/>
    </row>
    <row r="59" spans="2:10" ht="17.100000000000001" customHeight="1">
      <c r="B59" s="4" t="s">
        <v>798</v>
      </c>
      <c r="C59" s="4" t="s">
        <v>1083</v>
      </c>
      <c r="D59" s="24" t="s">
        <v>1084</v>
      </c>
      <c r="E59" s="33"/>
      <c r="F59" s="33"/>
      <c r="G59" s="33"/>
      <c r="H59" s="33"/>
      <c r="I59" s="33"/>
      <c r="J59" s="34"/>
    </row>
    <row r="60" spans="2:10" ht="17.100000000000001" customHeight="1">
      <c r="B60" s="20" t="s">
        <v>799</v>
      </c>
      <c r="C60" s="20" t="s">
        <v>1060</v>
      </c>
      <c r="D60" s="31" t="s">
        <v>1085</v>
      </c>
      <c r="E60" s="33"/>
      <c r="F60" s="33"/>
      <c r="G60" s="33"/>
      <c r="H60" s="33"/>
      <c r="I60" s="33"/>
      <c r="J60" s="34"/>
    </row>
    <row r="61" spans="2:10" ht="17.100000000000001" customHeight="1">
      <c r="B61" s="4" t="s">
        <v>800</v>
      </c>
      <c r="C61" s="4" t="s">
        <v>1086</v>
      </c>
      <c r="D61" s="24" t="s">
        <v>1087</v>
      </c>
      <c r="E61" s="33"/>
      <c r="F61" s="33"/>
      <c r="G61" s="33"/>
      <c r="H61" s="33"/>
      <c r="I61" s="33"/>
      <c r="J61" s="34"/>
    </row>
    <row r="62" spans="2:10" ht="17.100000000000001" customHeight="1">
      <c r="B62" s="20" t="s">
        <v>801</v>
      </c>
      <c r="C62" s="20" t="s">
        <v>1088</v>
      </c>
      <c r="D62" s="31" t="s">
        <v>1089</v>
      </c>
      <c r="E62" s="33"/>
      <c r="F62" s="33"/>
      <c r="G62" s="33"/>
      <c r="H62" s="33"/>
      <c r="I62" s="33"/>
      <c r="J62" s="34"/>
    </row>
    <row r="64" spans="2:10" ht="21" customHeight="1">
      <c r="B64" s="6" t="s">
        <v>1090</v>
      </c>
    </row>
    <row r="65" spans="2:9" ht="17.100000000000001" customHeight="1">
      <c r="B65" s="2" t="s">
        <v>970</v>
      </c>
      <c r="C65" s="2" t="s">
        <v>971</v>
      </c>
      <c r="D65" s="29" t="s">
        <v>1091</v>
      </c>
      <c r="E65" s="33"/>
      <c r="F65" s="33"/>
      <c r="G65" s="33"/>
      <c r="H65" s="33"/>
      <c r="I65" s="34"/>
    </row>
    <row r="66" spans="2:9" ht="30" customHeight="1">
      <c r="B66" s="4" t="s">
        <v>976</v>
      </c>
      <c r="C66" s="4" t="s">
        <v>1092</v>
      </c>
      <c r="D66" s="24" t="s">
        <v>1093</v>
      </c>
      <c r="E66" s="33"/>
      <c r="F66" s="33"/>
      <c r="G66" s="33"/>
      <c r="H66" s="33"/>
      <c r="I66" s="34"/>
    </row>
    <row r="67" spans="2:9" ht="30" customHeight="1">
      <c r="B67" s="20" t="s">
        <v>982</v>
      </c>
      <c r="C67" s="20" t="s">
        <v>1094</v>
      </c>
      <c r="D67" s="31" t="s">
        <v>1095</v>
      </c>
      <c r="E67" s="33"/>
      <c r="F67" s="33"/>
      <c r="G67" s="33"/>
      <c r="H67" s="33"/>
      <c r="I67" s="34"/>
    </row>
    <row r="69" spans="2:9" ht="21" customHeight="1">
      <c r="B69" s="6" t="s">
        <v>1096</v>
      </c>
    </row>
    <row r="70" spans="2:9" ht="17.100000000000001" customHeight="1">
      <c r="B70" s="2" t="s">
        <v>1097</v>
      </c>
      <c r="C70" s="29" t="s">
        <v>1098</v>
      </c>
      <c r="D70" s="33"/>
      <c r="E70" s="33"/>
      <c r="F70" s="34"/>
      <c r="G70" s="29" t="s">
        <v>1099</v>
      </c>
      <c r="H70" s="33"/>
      <c r="I70" s="34"/>
    </row>
    <row r="71" spans="2:9" ht="17.100000000000001" customHeight="1">
      <c r="B71" s="4" t="s">
        <v>1100</v>
      </c>
      <c r="C71" s="24" t="s">
        <v>1101</v>
      </c>
      <c r="D71" s="33"/>
      <c r="E71" s="33"/>
      <c r="F71" s="34"/>
      <c r="G71" s="24" t="s">
        <v>1102</v>
      </c>
      <c r="H71" s="33"/>
      <c r="I71" s="34"/>
    </row>
    <row r="72" spans="2:9" ht="30" customHeight="1">
      <c r="B72" s="20" t="s">
        <v>1103</v>
      </c>
      <c r="C72" s="31" t="s">
        <v>1104</v>
      </c>
      <c r="D72" s="33"/>
      <c r="E72" s="33"/>
      <c r="F72" s="34"/>
      <c r="G72" s="31" t="s">
        <v>1105</v>
      </c>
      <c r="H72" s="33"/>
      <c r="I72" s="34"/>
    </row>
    <row r="73" spans="2:9" ht="30" customHeight="1">
      <c r="B73" s="4" t="s">
        <v>1106</v>
      </c>
      <c r="C73" s="24" t="s">
        <v>1107</v>
      </c>
      <c r="D73" s="33"/>
      <c r="E73" s="33"/>
      <c r="F73" s="34"/>
      <c r="G73" s="24" t="s">
        <v>1108</v>
      </c>
      <c r="H73" s="33"/>
      <c r="I73" s="34"/>
    </row>
    <row r="74" spans="2:9" ht="30" customHeight="1">
      <c r="B74" s="20" t="s">
        <v>1109</v>
      </c>
      <c r="C74" s="31" t="s">
        <v>1110</v>
      </c>
      <c r="D74" s="33"/>
      <c r="E74" s="33"/>
      <c r="F74" s="34"/>
      <c r="G74" s="31" t="s">
        <v>1111</v>
      </c>
      <c r="H74" s="33"/>
      <c r="I74" s="34"/>
    </row>
    <row r="75" spans="2:9" ht="17.100000000000001" customHeight="1">
      <c r="B75" s="4" t="s">
        <v>1112</v>
      </c>
      <c r="C75" s="24" t="s">
        <v>1113</v>
      </c>
      <c r="D75" s="33"/>
      <c r="E75" s="33"/>
      <c r="F75" s="34"/>
      <c r="G75" s="24" t="s">
        <v>1114</v>
      </c>
      <c r="H75" s="33"/>
      <c r="I75" s="34"/>
    </row>
  </sheetData>
  <mergeCells count="114">
    <mergeCell ref="C74:F74"/>
    <mergeCell ref="D38:F38"/>
    <mergeCell ref="H32:I32"/>
    <mergeCell ref="C11:D11"/>
    <mergeCell ref="J32:K32"/>
    <mergeCell ref="E11:F11"/>
    <mergeCell ref="E53:G53"/>
    <mergeCell ref="G75:I75"/>
    <mergeCell ref="D26:F26"/>
    <mergeCell ref="E50:G50"/>
    <mergeCell ref="C52:D52"/>
    <mergeCell ref="G11:I11"/>
    <mergeCell ref="E55:G55"/>
    <mergeCell ref="D61:J61"/>
    <mergeCell ref="C75:F75"/>
    <mergeCell ref="D15:H15"/>
    <mergeCell ref="E52:G52"/>
    <mergeCell ref="H33:I33"/>
    <mergeCell ref="G39:I39"/>
    <mergeCell ref="J33:K33"/>
    <mergeCell ref="G3:I3"/>
    <mergeCell ref="H31:I31"/>
    <mergeCell ref="G25:J25"/>
    <mergeCell ref="G74:I74"/>
    <mergeCell ref="G5:I5"/>
    <mergeCell ref="G45:I45"/>
    <mergeCell ref="E6:F6"/>
    <mergeCell ref="D16:H16"/>
    <mergeCell ref="G44:I44"/>
    <mergeCell ref="C51:D51"/>
    <mergeCell ref="G46:I46"/>
    <mergeCell ref="G40:I40"/>
    <mergeCell ref="D44:F44"/>
    <mergeCell ref="G72:I72"/>
    <mergeCell ref="D18:H18"/>
    <mergeCell ref="C7:D7"/>
    <mergeCell ref="D30:E30"/>
    <mergeCell ref="E7:F7"/>
    <mergeCell ref="G70:I70"/>
    <mergeCell ref="D36:F36"/>
    <mergeCell ref="D65:I65"/>
    <mergeCell ref="D45:F45"/>
    <mergeCell ref="G7:I7"/>
    <mergeCell ref="E51:G51"/>
    <mergeCell ref="C3:D3"/>
    <mergeCell ref="E3:F3"/>
    <mergeCell ref="G6:I6"/>
    <mergeCell ref="G37:I37"/>
    <mergeCell ref="C5:D5"/>
    <mergeCell ref="E5:F5"/>
    <mergeCell ref="D43:F43"/>
    <mergeCell ref="C4:D4"/>
    <mergeCell ref="E4:F4"/>
    <mergeCell ref="F30:G30"/>
    <mergeCell ref="F33:G33"/>
    <mergeCell ref="G4:I4"/>
    <mergeCell ref="D25:F25"/>
    <mergeCell ref="D17:H17"/>
    <mergeCell ref="G23:J23"/>
    <mergeCell ref="F31:G31"/>
    <mergeCell ref="G43:I43"/>
    <mergeCell ref="C8:D8"/>
    <mergeCell ref="D29:E29"/>
    <mergeCell ref="D40:F40"/>
    <mergeCell ref="G8:I8"/>
    <mergeCell ref="G24:J24"/>
    <mergeCell ref="D14:H14"/>
    <mergeCell ref="G10:I10"/>
    <mergeCell ref="G73:I73"/>
    <mergeCell ref="D39:F39"/>
    <mergeCell ref="D23:F23"/>
    <mergeCell ref="D67:I67"/>
    <mergeCell ref="C73:F73"/>
    <mergeCell ref="G9:I9"/>
    <mergeCell ref="J31:K31"/>
    <mergeCell ref="G36:I36"/>
    <mergeCell ref="D33:E33"/>
    <mergeCell ref="E54:G54"/>
    <mergeCell ref="G71:I71"/>
    <mergeCell ref="D46:F46"/>
    <mergeCell ref="C53:D53"/>
    <mergeCell ref="C71:F71"/>
    <mergeCell ref="J29:K29"/>
    <mergeCell ref="G26:J26"/>
    <mergeCell ref="H30:I30"/>
    <mergeCell ref="C49:D49"/>
    <mergeCell ref="C70:F70"/>
    <mergeCell ref="D20:H20"/>
    <mergeCell ref="D58:J58"/>
    <mergeCell ref="H29:I29"/>
    <mergeCell ref="D66:I66"/>
    <mergeCell ref="J30:K30"/>
    <mergeCell ref="G38:I38"/>
    <mergeCell ref="D62:J62"/>
    <mergeCell ref="C6:D6"/>
    <mergeCell ref="F29:G29"/>
    <mergeCell ref="D19:H19"/>
    <mergeCell ref="C72:F72"/>
    <mergeCell ref="D31:E31"/>
    <mergeCell ref="E8:F8"/>
    <mergeCell ref="C54:D54"/>
    <mergeCell ref="D37:F37"/>
    <mergeCell ref="C50:D50"/>
    <mergeCell ref="C10:D10"/>
    <mergeCell ref="E49:G49"/>
    <mergeCell ref="E10:F10"/>
    <mergeCell ref="D59:J59"/>
    <mergeCell ref="C55:D55"/>
    <mergeCell ref="D60:J60"/>
    <mergeCell ref="D32:E32"/>
    <mergeCell ref="F32:G32"/>
    <mergeCell ref="C9:D9"/>
    <mergeCell ref="E9:F9"/>
    <mergeCell ref="D24:F24"/>
  </mergeCells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4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3" width="46" customWidth="1"/>
    <col min="4" max="4" width="8" customWidth="1"/>
    <col min="5" max="5" width="9" customWidth="1"/>
    <col min="6" max="6" width="13" customWidth="1"/>
    <col min="7" max="7" width="14" customWidth="1"/>
  </cols>
  <sheetData>
    <row r="1" spans="1:7">
      <c r="A1" s="21" t="s">
        <v>1115</v>
      </c>
    </row>
    <row r="2" spans="1:7">
      <c r="A2" s="11" t="s">
        <v>1116</v>
      </c>
    </row>
    <row r="4" spans="1:7">
      <c r="A4" s="2" t="s">
        <v>1117</v>
      </c>
      <c r="B4" s="2" t="s">
        <v>381</v>
      </c>
      <c r="C4" s="2" t="s">
        <v>429</v>
      </c>
      <c r="D4" s="2" t="s">
        <v>430</v>
      </c>
      <c r="E4" s="2" t="s">
        <v>431</v>
      </c>
      <c r="F4" s="2" t="s">
        <v>780</v>
      </c>
      <c r="G4" s="2" t="s">
        <v>1118</v>
      </c>
    </row>
    <row r="5" spans="1:7" ht="27.95" customHeight="1">
      <c r="A5" s="3" t="s">
        <v>1119</v>
      </c>
      <c r="B5" s="4" t="s">
        <v>1120</v>
      </c>
      <c r="C5" s="4" t="s">
        <v>432</v>
      </c>
      <c r="D5" s="18">
        <v>144</v>
      </c>
      <c r="E5" s="13">
        <f>IF($F5=0,0,D5/$F5)</f>
        <v>0.55598455598455598</v>
      </c>
      <c r="F5" s="18">
        <v>259</v>
      </c>
      <c r="G5" s="3" t="s">
        <v>1121</v>
      </c>
    </row>
    <row r="6" spans="1:7" ht="27.95" customHeight="1">
      <c r="A6" s="3" t="s">
        <v>1119</v>
      </c>
      <c r="B6" s="4" t="s">
        <v>1120</v>
      </c>
      <c r="C6" s="4" t="s">
        <v>433</v>
      </c>
      <c r="D6" s="18">
        <v>37</v>
      </c>
      <c r="E6" s="13">
        <f>IF($F6=0,0,D6/$F6)</f>
        <v>0.14285714285714299</v>
      </c>
      <c r="F6" s="12">
        <f>$F$5</f>
        <v>259</v>
      </c>
      <c r="G6" s="3" t="s">
        <v>1121</v>
      </c>
    </row>
    <row r="7" spans="1:7" ht="27.95" customHeight="1">
      <c r="A7" s="3" t="s">
        <v>1119</v>
      </c>
      <c r="B7" s="4" t="s">
        <v>1120</v>
      </c>
      <c r="C7" s="4" t="s">
        <v>434</v>
      </c>
      <c r="D7" s="18">
        <v>48</v>
      </c>
      <c r="E7" s="13">
        <f>IF($F7=0,0,D7/$F7)</f>
        <v>0.18532818532818501</v>
      </c>
      <c r="F7" s="12">
        <f>$F$5</f>
        <v>259</v>
      </c>
      <c r="G7" s="3" t="s">
        <v>1121</v>
      </c>
    </row>
    <row r="8" spans="1:7" ht="27.95" customHeight="1">
      <c r="A8" s="3" t="s">
        <v>1119</v>
      </c>
      <c r="B8" s="4" t="s">
        <v>1120</v>
      </c>
      <c r="C8" s="4" t="s">
        <v>435</v>
      </c>
      <c r="D8" s="18">
        <v>9</v>
      </c>
      <c r="E8" s="13">
        <f>IF($F8=0,0,D8/$F8)</f>
        <v>3.4749034749034798E-2</v>
      </c>
      <c r="F8" s="12">
        <f>$F$5</f>
        <v>259</v>
      </c>
      <c r="G8" s="3" t="s">
        <v>1121</v>
      </c>
    </row>
    <row r="9" spans="1:7" ht="27.95" customHeight="1">
      <c r="A9" s="3" t="s">
        <v>1119</v>
      </c>
      <c r="B9" s="4" t="s">
        <v>1120</v>
      </c>
      <c r="C9" s="4" t="s">
        <v>436</v>
      </c>
      <c r="D9" s="18">
        <v>10</v>
      </c>
      <c r="E9" s="13">
        <f>IF($F9=0,0,D9/$F9)</f>
        <v>3.8610038610038602E-2</v>
      </c>
      <c r="F9" s="12">
        <f>$F$5</f>
        <v>259</v>
      </c>
      <c r="G9" s="3" t="s">
        <v>1121</v>
      </c>
    </row>
    <row r="10" spans="1:7" ht="27.95" customHeight="1">
      <c r="A10" s="3" t="s">
        <v>1119</v>
      </c>
      <c r="B10" s="4" t="s">
        <v>1120</v>
      </c>
      <c r="C10" s="4" t="s">
        <v>437</v>
      </c>
      <c r="D10" s="18">
        <v>3</v>
      </c>
      <c r="E10" s="13">
        <f>IF($F10=0,0,D10/$F10)</f>
        <v>1.15830115830116E-2</v>
      </c>
      <c r="F10" s="12">
        <f>$F$5</f>
        <v>259</v>
      </c>
      <c r="G10" s="3" t="s">
        <v>1121</v>
      </c>
    </row>
    <row r="11" spans="1:7" ht="27.95" customHeight="1">
      <c r="A11" s="3" t="s">
        <v>1119</v>
      </c>
      <c r="B11" s="4" t="s">
        <v>1120</v>
      </c>
      <c r="C11" s="4" t="s">
        <v>438</v>
      </c>
      <c r="D11" s="18">
        <v>8</v>
      </c>
      <c r="E11" s="13">
        <f>IF($F11=0,0,D11/$F11)</f>
        <v>3.0888030888030899E-2</v>
      </c>
      <c r="F11" s="12">
        <f>$F$5</f>
        <v>259</v>
      </c>
      <c r="G11" s="3" t="s">
        <v>1121</v>
      </c>
    </row>
    <row r="12" spans="1:7" ht="27.95" customHeight="1">
      <c r="A12" s="3" t="s">
        <v>1122</v>
      </c>
      <c r="B12" s="4" t="s">
        <v>1123</v>
      </c>
      <c r="C12" s="4" t="s">
        <v>440</v>
      </c>
      <c r="D12" s="18">
        <v>144</v>
      </c>
      <c r="E12" s="13">
        <f>IF($F12=0,0,D12/$F12)</f>
        <v>0.55598455598455598</v>
      </c>
      <c r="F12" s="18">
        <v>259</v>
      </c>
      <c r="G12" s="3" t="s">
        <v>1121</v>
      </c>
    </row>
    <row r="13" spans="1:7" ht="27.95" customHeight="1">
      <c r="A13" s="3" t="s">
        <v>1122</v>
      </c>
      <c r="B13" s="4" t="s">
        <v>1123</v>
      </c>
      <c r="C13" s="4" t="s">
        <v>441</v>
      </c>
      <c r="D13" s="18">
        <v>109</v>
      </c>
      <c r="E13" s="13">
        <f>IF($F13=0,0,D13/$F13)</f>
        <v>0.42084942084942101</v>
      </c>
      <c r="F13" s="12">
        <f>$F$12</f>
        <v>259</v>
      </c>
      <c r="G13" s="3" t="s">
        <v>1121</v>
      </c>
    </row>
    <row r="14" spans="1:7" ht="27.95" customHeight="1">
      <c r="A14" s="3" t="s">
        <v>1122</v>
      </c>
      <c r="B14" s="4" t="s">
        <v>1123</v>
      </c>
      <c r="C14" s="4" t="s">
        <v>442</v>
      </c>
      <c r="D14" s="18">
        <v>0</v>
      </c>
      <c r="E14" s="13">
        <f>IF($F14=0,0,D14/$F14)</f>
        <v>0</v>
      </c>
      <c r="F14" s="12">
        <f>$F$12</f>
        <v>259</v>
      </c>
      <c r="G14" s="3" t="s">
        <v>1121</v>
      </c>
    </row>
    <row r="15" spans="1:7" ht="27.95" customHeight="1">
      <c r="A15" s="3" t="s">
        <v>1122</v>
      </c>
      <c r="B15" s="4" t="s">
        <v>1123</v>
      </c>
      <c r="C15" s="4" t="s">
        <v>443</v>
      </c>
      <c r="D15" s="18">
        <v>0</v>
      </c>
      <c r="E15" s="13">
        <f>IF($F15=0,0,D15/$F15)</f>
        <v>0</v>
      </c>
      <c r="F15" s="12">
        <f>$F$12</f>
        <v>259</v>
      </c>
      <c r="G15" s="3" t="s">
        <v>1121</v>
      </c>
    </row>
    <row r="16" spans="1:7" ht="27.95" customHeight="1">
      <c r="A16" s="3" t="s">
        <v>1122</v>
      </c>
      <c r="B16" s="4" t="s">
        <v>1123</v>
      </c>
      <c r="C16" s="4" t="s">
        <v>438</v>
      </c>
      <c r="D16" s="18">
        <v>6</v>
      </c>
      <c r="E16" s="13">
        <f>IF($F16=0,0,D16/$F16)</f>
        <v>2.31660231660232E-2</v>
      </c>
      <c r="F16" s="12">
        <f>$F$12</f>
        <v>259</v>
      </c>
      <c r="G16" s="3" t="s">
        <v>1121</v>
      </c>
    </row>
    <row r="17" spans="1:7" ht="27.95" customHeight="1">
      <c r="A17" s="3" t="s">
        <v>384</v>
      </c>
      <c r="B17" s="4" t="s">
        <v>1124</v>
      </c>
      <c r="C17" s="4" t="s">
        <v>451</v>
      </c>
      <c r="D17" s="18">
        <v>12</v>
      </c>
      <c r="E17" s="13">
        <f>IF($F17=0,0,D17/$F17)</f>
        <v>4.6332046332046302E-2</v>
      </c>
      <c r="F17" s="18">
        <v>259</v>
      </c>
      <c r="G17" s="3" t="s">
        <v>1121</v>
      </c>
    </row>
    <row r="18" spans="1:7" ht="27.95" customHeight="1">
      <c r="A18" s="3" t="s">
        <v>384</v>
      </c>
      <c r="B18" s="4" t="s">
        <v>1124</v>
      </c>
      <c r="C18" s="4" t="s">
        <v>452</v>
      </c>
      <c r="D18" s="18">
        <v>12</v>
      </c>
      <c r="E18" s="13">
        <f>IF($F18=0,0,D18/$F18)</f>
        <v>4.6332046332046302E-2</v>
      </c>
      <c r="F18" s="12">
        <f>$F$17</f>
        <v>259</v>
      </c>
      <c r="G18" s="3" t="s">
        <v>1121</v>
      </c>
    </row>
    <row r="19" spans="1:7" ht="27.95" customHeight="1">
      <c r="A19" s="3" t="s">
        <v>384</v>
      </c>
      <c r="B19" s="4" t="s">
        <v>1124</v>
      </c>
      <c r="C19" s="4" t="s">
        <v>453</v>
      </c>
      <c r="D19" s="18">
        <v>16</v>
      </c>
      <c r="E19" s="13">
        <f>IF($F19=0,0,D19/$F19)</f>
        <v>6.1776061776061798E-2</v>
      </c>
      <c r="F19" s="12">
        <f>$F$17</f>
        <v>259</v>
      </c>
      <c r="G19" s="3" t="s">
        <v>1121</v>
      </c>
    </row>
    <row r="20" spans="1:7" ht="27.95" customHeight="1">
      <c r="A20" s="3" t="s">
        <v>384</v>
      </c>
      <c r="B20" s="4" t="s">
        <v>1124</v>
      </c>
      <c r="C20" s="4" t="s">
        <v>454</v>
      </c>
      <c r="D20" s="18">
        <v>32</v>
      </c>
      <c r="E20" s="13">
        <f>IF($F20=0,0,D20/$F20)</f>
        <v>0.123552123552124</v>
      </c>
      <c r="F20" s="12">
        <f>$F$17</f>
        <v>259</v>
      </c>
      <c r="G20" s="3" t="s">
        <v>1121</v>
      </c>
    </row>
    <row r="21" spans="1:7" ht="27.95" customHeight="1">
      <c r="A21" s="3" t="s">
        <v>384</v>
      </c>
      <c r="B21" s="4" t="s">
        <v>1124</v>
      </c>
      <c r="C21" s="4" t="s">
        <v>455</v>
      </c>
      <c r="D21" s="18">
        <v>177</v>
      </c>
      <c r="E21" s="13">
        <f>IF($F21=0,0,D21/$F21)</f>
        <v>0.68339768339768303</v>
      </c>
      <c r="F21" s="12">
        <f>$F$17</f>
        <v>259</v>
      </c>
      <c r="G21" s="3" t="s">
        <v>1121</v>
      </c>
    </row>
    <row r="22" spans="1:7" ht="27.95" customHeight="1">
      <c r="A22" s="3" t="s">
        <v>384</v>
      </c>
      <c r="B22" s="4" t="s">
        <v>1124</v>
      </c>
      <c r="C22" s="4" t="s">
        <v>438</v>
      </c>
      <c r="D22" s="18">
        <v>10</v>
      </c>
      <c r="E22" s="13">
        <f>IF($F22=0,0,D22/$F22)</f>
        <v>3.8610038610038602E-2</v>
      </c>
      <c r="F22" s="12">
        <f>$F$17</f>
        <v>259</v>
      </c>
      <c r="G22" s="3" t="s">
        <v>1121</v>
      </c>
    </row>
    <row r="23" spans="1:7" ht="27.95" customHeight="1">
      <c r="A23" s="3" t="s">
        <v>387</v>
      </c>
      <c r="B23" s="4" t="s">
        <v>1125</v>
      </c>
      <c r="C23" s="4" t="s">
        <v>458</v>
      </c>
      <c r="D23" s="18">
        <v>41</v>
      </c>
      <c r="E23" s="13">
        <f>IF($F23=0,0,D23/$F23)</f>
        <v>0.15830115830115801</v>
      </c>
      <c r="F23" s="18">
        <v>259</v>
      </c>
      <c r="G23" s="3" t="s">
        <v>1121</v>
      </c>
    </row>
    <row r="24" spans="1:7" ht="27.95" customHeight="1">
      <c r="A24" s="3" t="s">
        <v>387</v>
      </c>
      <c r="B24" s="4" t="s">
        <v>1125</v>
      </c>
      <c r="C24" s="4" t="s">
        <v>459</v>
      </c>
      <c r="D24" s="18">
        <v>169</v>
      </c>
      <c r="E24" s="13">
        <f>IF($F24=0,0,D24/$F24)</f>
        <v>0.65250965250965298</v>
      </c>
      <c r="F24" s="12">
        <f>$F$23</f>
        <v>259</v>
      </c>
      <c r="G24" s="3" t="s">
        <v>1121</v>
      </c>
    </row>
    <row r="25" spans="1:7" ht="27.95" customHeight="1">
      <c r="A25" s="3" t="s">
        <v>387</v>
      </c>
      <c r="B25" s="4" t="s">
        <v>1125</v>
      </c>
      <c r="C25" s="4" t="s">
        <v>460</v>
      </c>
      <c r="D25" s="18">
        <v>11</v>
      </c>
      <c r="E25" s="13">
        <f>IF($F25=0,0,D25/$F25)</f>
        <v>4.2471042471042497E-2</v>
      </c>
      <c r="F25" s="12">
        <f>$F$23</f>
        <v>259</v>
      </c>
      <c r="G25" s="3" t="s">
        <v>1121</v>
      </c>
    </row>
    <row r="26" spans="1:7" ht="27.95" customHeight="1">
      <c r="A26" s="3" t="s">
        <v>387</v>
      </c>
      <c r="B26" s="4" t="s">
        <v>1125</v>
      </c>
      <c r="C26" s="4" t="s">
        <v>461</v>
      </c>
      <c r="D26" s="18">
        <v>24</v>
      </c>
      <c r="E26" s="13">
        <f>IF($F26=0,0,D26/$F26)</f>
        <v>9.2664092664092701E-2</v>
      </c>
      <c r="F26" s="12">
        <f>$F$23</f>
        <v>259</v>
      </c>
      <c r="G26" s="3" t="s">
        <v>1121</v>
      </c>
    </row>
    <row r="27" spans="1:7" ht="27.95" customHeight="1">
      <c r="A27" s="3" t="s">
        <v>387</v>
      </c>
      <c r="B27" s="4" t="s">
        <v>1125</v>
      </c>
      <c r="C27" s="4" t="s">
        <v>462</v>
      </c>
      <c r="D27" s="18">
        <v>6</v>
      </c>
      <c r="E27" s="13">
        <f>IF($F27=0,0,D27/$F27)</f>
        <v>2.31660231660232E-2</v>
      </c>
      <c r="F27" s="12">
        <f>$F$23</f>
        <v>259</v>
      </c>
      <c r="G27" s="3" t="s">
        <v>1121</v>
      </c>
    </row>
    <row r="28" spans="1:7" ht="27.95" customHeight="1">
      <c r="A28" s="3" t="s">
        <v>387</v>
      </c>
      <c r="B28" s="4" t="s">
        <v>1125</v>
      </c>
      <c r="C28" s="4" t="s">
        <v>437</v>
      </c>
      <c r="D28" s="18">
        <v>1</v>
      </c>
      <c r="E28" s="13">
        <f>IF($F28=0,0,D28/$F28)</f>
        <v>3.8610038610038598E-3</v>
      </c>
      <c r="F28" s="12">
        <f>$F$23</f>
        <v>259</v>
      </c>
      <c r="G28" s="3" t="s">
        <v>1121</v>
      </c>
    </row>
    <row r="29" spans="1:7" ht="27.95" customHeight="1">
      <c r="A29" s="3" t="s">
        <v>387</v>
      </c>
      <c r="B29" s="4" t="s">
        <v>1125</v>
      </c>
      <c r="C29" s="4" t="s">
        <v>438</v>
      </c>
      <c r="D29" s="18">
        <v>7</v>
      </c>
      <c r="E29" s="13">
        <f>IF($F29=0,0,D29/$F29)</f>
        <v>2.7027027027027001E-2</v>
      </c>
      <c r="F29" s="12">
        <f>$F$23</f>
        <v>259</v>
      </c>
      <c r="G29" s="3" t="s">
        <v>1121</v>
      </c>
    </row>
    <row r="30" spans="1:7" ht="27.95" customHeight="1">
      <c r="A30" s="3" t="s">
        <v>1126</v>
      </c>
      <c r="B30" s="4" t="s">
        <v>1127</v>
      </c>
      <c r="C30" s="4" t="s">
        <v>466</v>
      </c>
      <c r="D30" s="18">
        <v>46</v>
      </c>
      <c r="E30" s="13">
        <f>IF($F30=0,0,D30/$F30)</f>
        <v>0.177606177606178</v>
      </c>
      <c r="F30" s="18">
        <v>259</v>
      </c>
      <c r="G30" s="3" t="s">
        <v>1128</v>
      </c>
    </row>
    <row r="31" spans="1:7" ht="27.95" customHeight="1">
      <c r="A31" s="3" t="s">
        <v>1126</v>
      </c>
      <c r="B31" s="4" t="s">
        <v>1127</v>
      </c>
      <c r="C31" s="4" t="s">
        <v>468</v>
      </c>
      <c r="D31" s="18">
        <v>7</v>
      </c>
      <c r="E31" s="13">
        <f>IF($F31=0,0,D31/$F31)</f>
        <v>2.7027027027027001E-2</v>
      </c>
      <c r="F31" s="12">
        <f>$F$30</f>
        <v>259</v>
      </c>
      <c r="G31" s="3" t="s">
        <v>1128</v>
      </c>
    </row>
    <row r="32" spans="1:7" ht="27.95" customHeight="1">
      <c r="A32" s="3" t="s">
        <v>1126</v>
      </c>
      <c r="B32" s="4" t="s">
        <v>1127</v>
      </c>
      <c r="C32" s="4" t="s">
        <v>467</v>
      </c>
      <c r="D32" s="18">
        <v>24</v>
      </c>
      <c r="E32" s="13">
        <f>IF($F32=0,0,D32/$F32)</f>
        <v>9.2664092664092701E-2</v>
      </c>
      <c r="F32" s="12">
        <f>$F$30</f>
        <v>259</v>
      </c>
      <c r="G32" s="3" t="s">
        <v>1128</v>
      </c>
    </row>
    <row r="33" spans="1:7" ht="27.95" customHeight="1">
      <c r="A33" s="3" t="s">
        <v>1126</v>
      </c>
      <c r="B33" s="4" t="s">
        <v>1127</v>
      </c>
      <c r="C33" s="4" t="s">
        <v>465</v>
      </c>
      <c r="D33" s="18">
        <v>95</v>
      </c>
      <c r="E33" s="13">
        <f>IF($F33=0,0,D33/$F33)</f>
        <v>0.36679536679536701</v>
      </c>
      <c r="F33" s="12">
        <f>$F$30</f>
        <v>259</v>
      </c>
      <c r="G33" s="3" t="s">
        <v>1128</v>
      </c>
    </row>
    <row r="34" spans="1:7" ht="27.95" customHeight="1">
      <c r="A34" s="3" t="s">
        <v>1126</v>
      </c>
      <c r="B34" s="4" t="s">
        <v>1127</v>
      </c>
      <c r="C34" s="4" t="s">
        <v>437</v>
      </c>
      <c r="D34" s="18">
        <v>64</v>
      </c>
      <c r="E34" s="13">
        <f>IF($F34=0,0,D34/$F34)</f>
        <v>0.247104247104247</v>
      </c>
      <c r="F34" s="12">
        <f>$F$30</f>
        <v>259</v>
      </c>
      <c r="G34" s="3" t="s">
        <v>1128</v>
      </c>
    </row>
    <row r="35" spans="1:7" ht="27.95" customHeight="1">
      <c r="A35" s="3" t="s">
        <v>1126</v>
      </c>
      <c r="B35" s="4" t="s">
        <v>1127</v>
      </c>
      <c r="C35" s="4" t="s">
        <v>438</v>
      </c>
      <c r="D35" s="18">
        <v>90</v>
      </c>
      <c r="E35" s="13">
        <f>IF($F35=0,0,D35/$F35)</f>
        <v>0.34749034749034802</v>
      </c>
      <c r="F35" s="12">
        <f>$F$30</f>
        <v>259</v>
      </c>
      <c r="G35" s="3" t="s">
        <v>1128</v>
      </c>
    </row>
    <row r="36" spans="1:7" ht="15.95" customHeight="1">
      <c r="A36" s="3" t="s">
        <v>1129</v>
      </c>
      <c r="B36" s="4" t="s">
        <v>474</v>
      </c>
      <c r="C36" s="4" t="s">
        <v>471</v>
      </c>
      <c r="D36" s="18">
        <v>212</v>
      </c>
      <c r="E36" s="13">
        <f>IF($F36=0,0,D36/$F36)</f>
        <v>0.81853281853281901</v>
      </c>
      <c r="F36" s="18">
        <v>259</v>
      </c>
      <c r="G36" s="3" t="s">
        <v>1130</v>
      </c>
    </row>
    <row r="37" spans="1:7" ht="15.95" customHeight="1">
      <c r="A37" s="3" t="s">
        <v>1129</v>
      </c>
      <c r="B37" s="4" t="s">
        <v>474</v>
      </c>
      <c r="C37" s="4" t="s">
        <v>472</v>
      </c>
      <c r="D37" s="18">
        <v>24</v>
      </c>
      <c r="E37" s="13">
        <f>IF($F37=0,0,D37/$F37)</f>
        <v>9.2664092664092701E-2</v>
      </c>
      <c r="F37" s="12">
        <f>$F$36</f>
        <v>259</v>
      </c>
      <c r="G37" s="3" t="s">
        <v>1130</v>
      </c>
    </row>
    <row r="38" spans="1:7" ht="15.95" customHeight="1">
      <c r="A38" s="3" t="s">
        <v>1129</v>
      </c>
      <c r="B38" s="4" t="s">
        <v>474</v>
      </c>
      <c r="C38" s="4" t="s">
        <v>473</v>
      </c>
      <c r="D38" s="18">
        <v>12</v>
      </c>
      <c r="E38" s="13">
        <f>IF($F38=0,0,D38/$F38)</f>
        <v>4.6332046332046302E-2</v>
      </c>
      <c r="F38" s="12">
        <f>$F$36</f>
        <v>259</v>
      </c>
      <c r="G38" s="3" t="s">
        <v>1130</v>
      </c>
    </row>
    <row r="39" spans="1:7" ht="15.95" customHeight="1">
      <c r="A39" s="3" t="s">
        <v>1129</v>
      </c>
      <c r="B39" s="4" t="s">
        <v>474</v>
      </c>
      <c r="C39" s="4" t="s">
        <v>438</v>
      </c>
      <c r="D39" s="18">
        <v>11</v>
      </c>
      <c r="E39" s="13">
        <f>IF($F39=0,0,D39/$F39)</f>
        <v>4.2471042471042497E-2</v>
      </c>
      <c r="F39" s="12">
        <f>$F$36</f>
        <v>259</v>
      </c>
      <c r="G39" s="3" t="s">
        <v>1130</v>
      </c>
    </row>
    <row r="40" spans="1:7" ht="15.95" customHeight="1">
      <c r="A40" s="3" t="s">
        <v>1129</v>
      </c>
      <c r="B40" s="4" t="s">
        <v>475</v>
      </c>
      <c r="C40" s="4" t="s">
        <v>471</v>
      </c>
      <c r="D40" s="18">
        <v>206</v>
      </c>
      <c r="E40" s="13">
        <f>IF($F40=0,0,D40/$F40)</f>
        <v>0.795366795366795</v>
      </c>
      <c r="F40" s="18">
        <v>259</v>
      </c>
      <c r="G40" s="3" t="s">
        <v>1130</v>
      </c>
    </row>
    <row r="41" spans="1:7" ht="15.95" customHeight="1">
      <c r="A41" s="3" t="s">
        <v>1129</v>
      </c>
      <c r="B41" s="4" t="s">
        <v>475</v>
      </c>
      <c r="C41" s="4" t="s">
        <v>472</v>
      </c>
      <c r="D41" s="18">
        <v>24</v>
      </c>
      <c r="E41" s="13">
        <f>IF($F41=0,0,D41/$F41)</f>
        <v>9.2664092664092701E-2</v>
      </c>
      <c r="F41" s="12">
        <f>$F$40</f>
        <v>259</v>
      </c>
      <c r="G41" s="3" t="s">
        <v>1130</v>
      </c>
    </row>
    <row r="42" spans="1:7" ht="15.95" customHeight="1">
      <c r="A42" s="3" t="s">
        <v>1129</v>
      </c>
      <c r="B42" s="4" t="s">
        <v>475</v>
      </c>
      <c r="C42" s="4" t="s">
        <v>473</v>
      </c>
      <c r="D42" s="18">
        <v>19</v>
      </c>
      <c r="E42" s="13">
        <f>IF($F42=0,0,D42/$F42)</f>
        <v>7.3359073359073407E-2</v>
      </c>
      <c r="F42" s="12">
        <f>$F$40</f>
        <v>259</v>
      </c>
      <c r="G42" s="3" t="s">
        <v>1130</v>
      </c>
    </row>
    <row r="43" spans="1:7" ht="15.95" customHeight="1">
      <c r="A43" s="3" t="s">
        <v>1129</v>
      </c>
      <c r="B43" s="4" t="s">
        <v>475</v>
      </c>
      <c r="C43" s="4" t="s">
        <v>438</v>
      </c>
      <c r="D43" s="18">
        <v>10</v>
      </c>
      <c r="E43" s="13">
        <f>IF($F43=0,0,D43/$F43)</f>
        <v>3.8610038610038602E-2</v>
      </c>
      <c r="F43" s="12">
        <f>$F$40</f>
        <v>259</v>
      </c>
      <c r="G43" s="3" t="s">
        <v>1130</v>
      </c>
    </row>
    <row r="44" spans="1:7" ht="15.95" customHeight="1">
      <c r="A44" s="3" t="s">
        <v>1129</v>
      </c>
      <c r="B44" s="4" t="s">
        <v>476</v>
      </c>
      <c r="C44" s="4" t="s">
        <v>471</v>
      </c>
      <c r="D44" s="18">
        <v>186</v>
      </c>
      <c r="E44" s="13">
        <f>IF($F44=0,0,D44/$F44)</f>
        <v>0.71814671814671804</v>
      </c>
      <c r="F44" s="18">
        <v>259</v>
      </c>
      <c r="G44" s="3" t="s">
        <v>1130</v>
      </c>
    </row>
    <row r="45" spans="1:7" ht="15.95" customHeight="1">
      <c r="A45" s="3" t="s">
        <v>1129</v>
      </c>
      <c r="B45" s="4" t="s">
        <v>476</v>
      </c>
      <c r="C45" s="4" t="s">
        <v>472</v>
      </c>
      <c r="D45" s="18">
        <v>30</v>
      </c>
      <c r="E45" s="13">
        <f>IF($F45=0,0,D45/$F45)</f>
        <v>0.115830115830116</v>
      </c>
      <c r="F45" s="12">
        <f>$F$44</f>
        <v>259</v>
      </c>
      <c r="G45" s="3" t="s">
        <v>1130</v>
      </c>
    </row>
    <row r="46" spans="1:7" ht="15.95" customHeight="1">
      <c r="A46" s="3" t="s">
        <v>1129</v>
      </c>
      <c r="B46" s="4" t="s">
        <v>476</v>
      </c>
      <c r="C46" s="4" t="s">
        <v>473</v>
      </c>
      <c r="D46" s="18">
        <v>32</v>
      </c>
      <c r="E46" s="13">
        <f>IF($F46=0,0,D46/$F46)</f>
        <v>0.123552123552124</v>
      </c>
      <c r="F46" s="12">
        <f>$F$44</f>
        <v>259</v>
      </c>
      <c r="G46" s="3" t="s">
        <v>1130</v>
      </c>
    </row>
    <row r="47" spans="1:7" ht="15.95" customHeight="1">
      <c r="A47" s="3" t="s">
        <v>1129</v>
      </c>
      <c r="B47" s="4" t="s">
        <v>476</v>
      </c>
      <c r="C47" s="4" t="s">
        <v>438</v>
      </c>
      <c r="D47" s="18">
        <v>11</v>
      </c>
      <c r="E47" s="13">
        <f>IF($F47=0,0,D47/$F47)</f>
        <v>4.2471042471042497E-2</v>
      </c>
      <c r="F47" s="12">
        <f>$F$44</f>
        <v>259</v>
      </c>
      <c r="G47" s="3" t="s">
        <v>1130</v>
      </c>
    </row>
    <row r="48" spans="1:7" ht="15.95" customHeight="1">
      <c r="A48" s="3" t="s">
        <v>1129</v>
      </c>
      <c r="B48" s="4" t="s">
        <v>477</v>
      </c>
      <c r="C48" s="4" t="s">
        <v>471</v>
      </c>
      <c r="D48" s="18">
        <v>197</v>
      </c>
      <c r="E48" s="13">
        <f>IF($F48=0,0,D48/$F48)</f>
        <v>0.76061776061776099</v>
      </c>
      <c r="F48" s="18">
        <v>259</v>
      </c>
      <c r="G48" s="3" t="s">
        <v>1130</v>
      </c>
    </row>
    <row r="49" spans="1:7" ht="15.95" customHeight="1">
      <c r="A49" s="3" t="s">
        <v>1129</v>
      </c>
      <c r="B49" s="4" t="s">
        <v>477</v>
      </c>
      <c r="C49" s="4" t="s">
        <v>472</v>
      </c>
      <c r="D49" s="18">
        <v>32</v>
      </c>
      <c r="E49" s="13">
        <f>IF($F49=0,0,D49/$F49)</f>
        <v>0.123552123552124</v>
      </c>
      <c r="F49" s="12">
        <f>$F$48</f>
        <v>259</v>
      </c>
      <c r="G49" s="3" t="s">
        <v>1130</v>
      </c>
    </row>
    <row r="50" spans="1:7" ht="15.95" customHeight="1">
      <c r="A50" s="3" t="s">
        <v>1129</v>
      </c>
      <c r="B50" s="4" t="s">
        <v>477</v>
      </c>
      <c r="C50" s="4" t="s">
        <v>473</v>
      </c>
      <c r="D50" s="18">
        <v>20</v>
      </c>
      <c r="E50" s="13">
        <f>IF($F50=0,0,D50/$F50)</f>
        <v>7.7220077220077205E-2</v>
      </c>
      <c r="F50" s="12">
        <f>$F$48</f>
        <v>259</v>
      </c>
      <c r="G50" s="3" t="s">
        <v>1130</v>
      </c>
    </row>
    <row r="51" spans="1:7" ht="15.95" customHeight="1">
      <c r="A51" s="3" t="s">
        <v>1129</v>
      </c>
      <c r="B51" s="4" t="s">
        <v>477</v>
      </c>
      <c r="C51" s="4" t="s">
        <v>438</v>
      </c>
      <c r="D51" s="18">
        <v>10</v>
      </c>
      <c r="E51" s="13">
        <f>IF($F51=0,0,D51/$F51)</f>
        <v>3.8610038610038602E-2</v>
      </c>
      <c r="F51" s="12">
        <f>$F$48</f>
        <v>259</v>
      </c>
      <c r="G51" s="3" t="s">
        <v>1130</v>
      </c>
    </row>
    <row r="52" spans="1:7" ht="15.95" customHeight="1">
      <c r="A52" s="3" t="s">
        <v>1129</v>
      </c>
      <c r="B52" s="4" t="s">
        <v>478</v>
      </c>
      <c r="C52" s="4" t="s">
        <v>471</v>
      </c>
      <c r="D52" s="18">
        <v>189</v>
      </c>
      <c r="E52" s="13">
        <f>IF($F52=0,0,D52/$F52)</f>
        <v>0.72972972972973005</v>
      </c>
      <c r="F52" s="18">
        <v>259</v>
      </c>
      <c r="G52" s="3" t="s">
        <v>1130</v>
      </c>
    </row>
    <row r="53" spans="1:7" ht="15.95" customHeight="1">
      <c r="A53" s="3" t="s">
        <v>1129</v>
      </c>
      <c r="B53" s="4" t="s">
        <v>478</v>
      </c>
      <c r="C53" s="4" t="s">
        <v>472</v>
      </c>
      <c r="D53" s="18">
        <v>39</v>
      </c>
      <c r="E53" s="13">
        <f>IF($F53=0,0,D53/$F53)</f>
        <v>0.150579150579151</v>
      </c>
      <c r="F53" s="12">
        <f>$F$52</f>
        <v>259</v>
      </c>
      <c r="G53" s="3" t="s">
        <v>1130</v>
      </c>
    </row>
    <row r="54" spans="1:7" ht="15.95" customHeight="1">
      <c r="A54" s="3" t="s">
        <v>1129</v>
      </c>
      <c r="B54" s="4" t="s">
        <v>478</v>
      </c>
      <c r="C54" s="4" t="s">
        <v>473</v>
      </c>
      <c r="D54" s="18">
        <v>19</v>
      </c>
      <c r="E54" s="13">
        <f>IF($F54=0,0,D54/$F54)</f>
        <v>7.3359073359073407E-2</v>
      </c>
      <c r="F54" s="12">
        <f>$F$52</f>
        <v>259</v>
      </c>
      <c r="G54" s="3" t="s">
        <v>1130</v>
      </c>
    </row>
    <row r="55" spans="1:7" ht="15.95" customHeight="1">
      <c r="A55" s="3" t="s">
        <v>1129</v>
      </c>
      <c r="B55" s="4" t="s">
        <v>478</v>
      </c>
      <c r="C55" s="4" t="s">
        <v>438</v>
      </c>
      <c r="D55" s="18">
        <v>12</v>
      </c>
      <c r="E55" s="13">
        <f>IF($F55=0,0,D55/$F55)</f>
        <v>4.6332046332046302E-2</v>
      </c>
      <c r="F55" s="12">
        <f>$F$52</f>
        <v>259</v>
      </c>
      <c r="G55" s="3" t="s">
        <v>1130</v>
      </c>
    </row>
    <row r="56" spans="1:7" ht="15.95" customHeight="1">
      <c r="A56" s="3" t="s">
        <v>1129</v>
      </c>
      <c r="B56" s="4" t="s">
        <v>479</v>
      </c>
      <c r="C56" s="4" t="s">
        <v>471</v>
      </c>
      <c r="D56" s="18">
        <v>208</v>
      </c>
      <c r="E56" s="13">
        <f>IF($F56=0,0,D56/$F56)</f>
        <v>0.80308880308880304</v>
      </c>
      <c r="F56" s="18">
        <v>259</v>
      </c>
      <c r="G56" s="3" t="s">
        <v>1130</v>
      </c>
    </row>
    <row r="57" spans="1:7" ht="15.95" customHeight="1">
      <c r="A57" s="3" t="s">
        <v>1129</v>
      </c>
      <c r="B57" s="4" t="s">
        <v>479</v>
      </c>
      <c r="C57" s="4" t="s">
        <v>472</v>
      </c>
      <c r="D57" s="18">
        <v>14</v>
      </c>
      <c r="E57" s="13">
        <f>IF($F57=0,0,D57/$F57)</f>
        <v>5.4054054054054099E-2</v>
      </c>
      <c r="F57" s="12">
        <f>$F$56</f>
        <v>259</v>
      </c>
      <c r="G57" s="3" t="s">
        <v>1130</v>
      </c>
    </row>
    <row r="58" spans="1:7" ht="15.95" customHeight="1">
      <c r="A58" s="3" t="s">
        <v>1129</v>
      </c>
      <c r="B58" s="4" t="s">
        <v>479</v>
      </c>
      <c r="C58" s="4" t="s">
        <v>473</v>
      </c>
      <c r="D58" s="18">
        <v>25</v>
      </c>
      <c r="E58" s="13">
        <f>IF($F58=0,0,D58/$F58)</f>
        <v>9.6525096525096499E-2</v>
      </c>
      <c r="F58" s="12">
        <f>$F$56</f>
        <v>259</v>
      </c>
      <c r="G58" s="3" t="s">
        <v>1130</v>
      </c>
    </row>
    <row r="59" spans="1:7" ht="15.95" customHeight="1">
      <c r="A59" s="3" t="s">
        <v>1129</v>
      </c>
      <c r="B59" s="4" t="s">
        <v>479</v>
      </c>
      <c r="C59" s="4" t="s">
        <v>438</v>
      </c>
      <c r="D59" s="18">
        <v>12</v>
      </c>
      <c r="E59" s="13">
        <f>IF($F59=0,0,D59/$F59)</f>
        <v>4.6332046332046302E-2</v>
      </c>
      <c r="F59" s="12">
        <f>$F$56</f>
        <v>259</v>
      </c>
      <c r="G59" s="3" t="s">
        <v>1130</v>
      </c>
    </row>
    <row r="60" spans="1:7" ht="15.95" customHeight="1">
      <c r="A60" s="3" t="s">
        <v>1129</v>
      </c>
      <c r="B60" s="4" t="s">
        <v>397</v>
      </c>
      <c r="C60" s="4" t="s">
        <v>471</v>
      </c>
      <c r="D60" s="18">
        <v>139</v>
      </c>
      <c r="E60" s="13">
        <f>IF($F60=0,0,D60/$F60)</f>
        <v>0.53667953667953705</v>
      </c>
      <c r="F60" s="18">
        <v>259</v>
      </c>
      <c r="G60" s="3" t="s">
        <v>1130</v>
      </c>
    </row>
    <row r="61" spans="1:7" ht="15.95" customHeight="1">
      <c r="A61" s="3" t="s">
        <v>1129</v>
      </c>
      <c r="B61" s="4" t="s">
        <v>397</v>
      </c>
      <c r="C61" s="4" t="s">
        <v>472</v>
      </c>
      <c r="D61" s="18">
        <v>66</v>
      </c>
      <c r="E61" s="13">
        <f>IF($F61=0,0,D61/$F61)</f>
        <v>0.25482625482625498</v>
      </c>
      <c r="F61" s="12">
        <f>$F$60</f>
        <v>259</v>
      </c>
      <c r="G61" s="3" t="s">
        <v>1130</v>
      </c>
    </row>
    <row r="62" spans="1:7" ht="15.95" customHeight="1">
      <c r="A62" s="3" t="s">
        <v>1129</v>
      </c>
      <c r="B62" s="4" t="s">
        <v>397</v>
      </c>
      <c r="C62" s="4" t="s">
        <v>473</v>
      </c>
      <c r="D62" s="18">
        <v>39</v>
      </c>
      <c r="E62" s="13">
        <f>IF($F62=0,0,D62/$F62)</f>
        <v>0.150579150579151</v>
      </c>
      <c r="F62" s="12">
        <f>$F$60</f>
        <v>259</v>
      </c>
      <c r="G62" s="3" t="s">
        <v>1130</v>
      </c>
    </row>
    <row r="63" spans="1:7" ht="15.95" customHeight="1">
      <c r="A63" s="3" t="s">
        <v>1129</v>
      </c>
      <c r="B63" s="4" t="s">
        <v>397</v>
      </c>
      <c r="C63" s="4" t="s">
        <v>438</v>
      </c>
      <c r="D63" s="18">
        <v>15</v>
      </c>
      <c r="E63" s="13">
        <f>IF($F63=0,0,D63/$F63)</f>
        <v>5.7915057915057903E-2</v>
      </c>
      <c r="F63" s="12">
        <f>$F$60</f>
        <v>259</v>
      </c>
      <c r="G63" s="3" t="s">
        <v>1130</v>
      </c>
    </row>
    <row r="64" spans="1:7" ht="15.95" customHeight="1">
      <c r="A64" s="3" t="s">
        <v>1129</v>
      </c>
      <c r="B64" s="4" t="s">
        <v>480</v>
      </c>
      <c r="C64" s="4" t="s">
        <v>471</v>
      </c>
      <c r="D64" s="18">
        <v>187</v>
      </c>
      <c r="E64" s="13">
        <f>IF($F64=0,0,D64/$F64)</f>
        <v>0.72200772200772201</v>
      </c>
      <c r="F64" s="18">
        <v>259</v>
      </c>
      <c r="G64" s="3" t="s">
        <v>1130</v>
      </c>
    </row>
    <row r="65" spans="1:7" ht="15.95" customHeight="1">
      <c r="A65" s="3" t="s">
        <v>1129</v>
      </c>
      <c r="B65" s="4" t="s">
        <v>480</v>
      </c>
      <c r="C65" s="4" t="s">
        <v>472</v>
      </c>
      <c r="D65" s="18">
        <v>42</v>
      </c>
      <c r="E65" s="13">
        <f>IF($F65=0,0,D65/$F65)</f>
        <v>0.162162162162162</v>
      </c>
      <c r="F65" s="12">
        <f>$F$64</f>
        <v>259</v>
      </c>
      <c r="G65" s="3" t="s">
        <v>1130</v>
      </c>
    </row>
    <row r="66" spans="1:7" ht="15.95" customHeight="1">
      <c r="A66" s="3" t="s">
        <v>1129</v>
      </c>
      <c r="B66" s="4" t="s">
        <v>480</v>
      </c>
      <c r="C66" s="4" t="s">
        <v>473</v>
      </c>
      <c r="D66" s="18">
        <v>12</v>
      </c>
      <c r="E66" s="13">
        <f>IF($F66=0,0,D66/$F66)</f>
        <v>4.6332046332046302E-2</v>
      </c>
      <c r="F66" s="12">
        <f>$F$64</f>
        <v>259</v>
      </c>
      <c r="G66" s="3" t="s">
        <v>1130</v>
      </c>
    </row>
    <row r="67" spans="1:7" ht="15.95" customHeight="1">
      <c r="A67" s="3" t="s">
        <v>1129</v>
      </c>
      <c r="B67" s="4" t="s">
        <v>480</v>
      </c>
      <c r="C67" s="4" t="s">
        <v>438</v>
      </c>
      <c r="D67" s="18">
        <v>18</v>
      </c>
      <c r="E67" s="13">
        <f>IF($F67=0,0,D67/$F67)</f>
        <v>6.9498069498069498E-2</v>
      </c>
      <c r="F67" s="12">
        <f>$F$64</f>
        <v>259</v>
      </c>
      <c r="G67" s="3" t="s">
        <v>1130</v>
      </c>
    </row>
    <row r="68" spans="1:7" ht="15.95" customHeight="1">
      <c r="A68" s="3" t="s">
        <v>1129</v>
      </c>
      <c r="B68" s="4" t="s">
        <v>481</v>
      </c>
      <c r="C68" s="4" t="s">
        <v>471</v>
      </c>
      <c r="D68" s="18">
        <v>154</v>
      </c>
      <c r="E68" s="13">
        <f>IF($F68=0,0,D68/$F68)</f>
        <v>0.59459459459459496</v>
      </c>
      <c r="F68" s="18">
        <v>259</v>
      </c>
      <c r="G68" s="3" t="s">
        <v>1130</v>
      </c>
    </row>
    <row r="69" spans="1:7" ht="15.95" customHeight="1">
      <c r="A69" s="3" t="s">
        <v>1129</v>
      </c>
      <c r="B69" s="4" t="s">
        <v>481</v>
      </c>
      <c r="C69" s="4" t="s">
        <v>472</v>
      </c>
      <c r="D69" s="18">
        <v>47</v>
      </c>
      <c r="E69" s="13">
        <f>IF($F69=0,0,D69/$F69)</f>
        <v>0.18146718146718099</v>
      </c>
      <c r="F69" s="12">
        <f>$F$68</f>
        <v>259</v>
      </c>
      <c r="G69" s="3" t="s">
        <v>1130</v>
      </c>
    </row>
    <row r="70" spans="1:7" ht="15.95" customHeight="1">
      <c r="A70" s="3" t="s">
        <v>1129</v>
      </c>
      <c r="B70" s="4" t="s">
        <v>481</v>
      </c>
      <c r="C70" s="4" t="s">
        <v>473</v>
      </c>
      <c r="D70" s="18">
        <v>43</v>
      </c>
      <c r="E70" s="13">
        <f>IF($F70=0,0,D70/$F70)</f>
        <v>0.166023166023166</v>
      </c>
      <c r="F70" s="12">
        <f>$F$68</f>
        <v>259</v>
      </c>
      <c r="G70" s="3" t="s">
        <v>1130</v>
      </c>
    </row>
    <row r="71" spans="1:7" ht="15.95" customHeight="1">
      <c r="A71" s="3" t="s">
        <v>1129</v>
      </c>
      <c r="B71" s="4" t="s">
        <v>481</v>
      </c>
      <c r="C71" s="4" t="s">
        <v>438</v>
      </c>
      <c r="D71" s="18">
        <v>15</v>
      </c>
      <c r="E71" s="13">
        <f>IF($F71=0,0,D71/$F71)</f>
        <v>5.7915057915057903E-2</v>
      </c>
      <c r="F71" s="12">
        <f>$F$68</f>
        <v>259</v>
      </c>
      <c r="G71" s="3" t="s">
        <v>1130</v>
      </c>
    </row>
    <row r="72" spans="1:7" ht="15.95" customHeight="1">
      <c r="A72" s="3" t="s">
        <v>1129</v>
      </c>
      <c r="B72" s="4" t="s">
        <v>482</v>
      </c>
      <c r="C72" s="4" t="s">
        <v>471</v>
      </c>
      <c r="D72" s="18">
        <v>170</v>
      </c>
      <c r="E72" s="13">
        <f>IF($F72=0,0,D72/$F72)</f>
        <v>0.65637065637065595</v>
      </c>
      <c r="F72" s="18">
        <v>259</v>
      </c>
      <c r="G72" s="3" t="s">
        <v>1130</v>
      </c>
    </row>
    <row r="73" spans="1:7" ht="15.95" customHeight="1">
      <c r="A73" s="3" t="s">
        <v>1129</v>
      </c>
      <c r="B73" s="4" t="s">
        <v>482</v>
      </c>
      <c r="C73" s="4" t="s">
        <v>472</v>
      </c>
      <c r="D73" s="18">
        <v>39</v>
      </c>
      <c r="E73" s="13">
        <f>IF($F73=0,0,D73/$F73)</f>
        <v>0.150579150579151</v>
      </c>
      <c r="F73" s="12">
        <f>$F$72</f>
        <v>259</v>
      </c>
      <c r="G73" s="3" t="s">
        <v>1130</v>
      </c>
    </row>
    <row r="74" spans="1:7" ht="15.95" customHeight="1">
      <c r="A74" s="3" t="s">
        <v>1129</v>
      </c>
      <c r="B74" s="4" t="s">
        <v>482</v>
      </c>
      <c r="C74" s="4" t="s">
        <v>473</v>
      </c>
      <c r="D74" s="18">
        <v>37</v>
      </c>
      <c r="E74" s="13">
        <f>IF($F74=0,0,D74/$F74)</f>
        <v>0.14285714285714299</v>
      </c>
      <c r="F74" s="12">
        <f>$F$72</f>
        <v>259</v>
      </c>
      <c r="G74" s="3" t="s">
        <v>1130</v>
      </c>
    </row>
    <row r="75" spans="1:7" ht="15.95" customHeight="1">
      <c r="A75" s="3" t="s">
        <v>1129</v>
      </c>
      <c r="B75" s="4" t="s">
        <v>482</v>
      </c>
      <c r="C75" s="4" t="s">
        <v>438</v>
      </c>
      <c r="D75" s="18">
        <v>13</v>
      </c>
      <c r="E75" s="13">
        <f>IF($F75=0,0,D75/$F75)</f>
        <v>5.0193050193050197E-2</v>
      </c>
      <c r="F75" s="12">
        <f>$F$72</f>
        <v>259</v>
      </c>
      <c r="G75" s="3" t="s">
        <v>1130</v>
      </c>
    </row>
    <row r="76" spans="1:7" ht="40.5" customHeight="1">
      <c r="A76" s="3" t="s">
        <v>1131</v>
      </c>
      <c r="B76" s="4" t="s">
        <v>1132</v>
      </c>
      <c r="C76" s="4" t="s">
        <v>489</v>
      </c>
      <c r="D76" s="18">
        <v>24</v>
      </c>
      <c r="E76" s="13">
        <f>IF($F76=0,0,D76/$F76)</f>
        <v>9.2664092664092701E-2</v>
      </c>
      <c r="F76" s="18">
        <v>259</v>
      </c>
      <c r="G76" s="3" t="s">
        <v>1128</v>
      </c>
    </row>
    <row r="77" spans="1:7" ht="40.5" customHeight="1">
      <c r="A77" s="3" t="s">
        <v>1131</v>
      </c>
      <c r="B77" s="4" t="s">
        <v>1132</v>
      </c>
      <c r="C77" s="4" t="s">
        <v>487</v>
      </c>
      <c r="D77" s="18">
        <v>47</v>
      </c>
      <c r="E77" s="13">
        <f>IF($F77=0,0,D77/$F77)</f>
        <v>0.18146718146718099</v>
      </c>
      <c r="F77" s="12">
        <f>$F$76</f>
        <v>259</v>
      </c>
      <c r="G77" s="3" t="s">
        <v>1128</v>
      </c>
    </row>
    <row r="78" spans="1:7" ht="40.5" customHeight="1">
      <c r="A78" s="3" t="s">
        <v>1131</v>
      </c>
      <c r="B78" s="4" t="s">
        <v>1132</v>
      </c>
      <c r="C78" s="4" t="s">
        <v>486</v>
      </c>
      <c r="D78" s="18">
        <v>48</v>
      </c>
      <c r="E78" s="13">
        <f>IF($F78=0,0,D78/$F78)</f>
        <v>0.18532818532818501</v>
      </c>
      <c r="F78" s="12">
        <f>$F$76</f>
        <v>259</v>
      </c>
      <c r="G78" s="3" t="s">
        <v>1128</v>
      </c>
    </row>
    <row r="79" spans="1:7" ht="40.5" customHeight="1">
      <c r="A79" s="3" t="s">
        <v>1131</v>
      </c>
      <c r="B79" s="4" t="s">
        <v>1132</v>
      </c>
      <c r="C79" s="4" t="s">
        <v>488</v>
      </c>
      <c r="D79" s="18">
        <v>47</v>
      </c>
      <c r="E79" s="13">
        <f>IF($F79=0,0,D79/$F79)</f>
        <v>0.18146718146718099</v>
      </c>
      <c r="F79" s="12">
        <f>$F$76</f>
        <v>259</v>
      </c>
      <c r="G79" s="3" t="s">
        <v>1128</v>
      </c>
    </row>
    <row r="80" spans="1:7" ht="40.5" customHeight="1">
      <c r="A80" s="3" t="s">
        <v>1131</v>
      </c>
      <c r="B80" s="4" t="s">
        <v>1132</v>
      </c>
      <c r="C80" s="4" t="s">
        <v>490</v>
      </c>
      <c r="D80" s="18">
        <v>8</v>
      </c>
      <c r="E80" s="13">
        <f>IF($F80=0,0,D80/$F80)</f>
        <v>3.0888030888030899E-2</v>
      </c>
      <c r="F80" s="12">
        <f>$F$76</f>
        <v>259</v>
      </c>
      <c r="G80" s="3" t="s">
        <v>1128</v>
      </c>
    </row>
    <row r="81" spans="1:7" ht="40.5" customHeight="1">
      <c r="A81" s="3" t="s">
        <v>1131</v>
      </c>
      <c r="B81" s="4" t="s">
        <v>1132</v>
      </c>
      <c r="C81" s="4" t="s">
        <v>438</v>
      </c>
      <c r="D81" s="18">
        <v>109</v>
      </c>
      <c r="E81" s="13">
        <f>IF($F81=0,0,D81/$F81)</f>
        <v>0.42084942084942101</v>
      </c>
      <c r="F81" s="12">
        <f>$F$76</f>
        <v>259</v>
      </c>
      <c r="G81" s="3" t="s">
        <v>1128</v>
      </c>
    </row>
    <row r="82" spans="1:7" ht="40.5" customHeight="1">
      <c r="A82" s="3" t="s">
        <v>390</v>
      </c>
      <c r="B82" s="4" t="s">
        <v>1133</v>
      </c>
      <c r="C82" s="4" t="s">
        <v>493</v>
      </c>
      <c r="D82" s="18">
        <v>5</v>
      </c>
      <c r="E82" s="13">
        <f>IF($F82=0,0,D82/$F82)</f>
        <v>1.9305019305019301E-2</v>
      </c>
      <c r="F82" s="18">
        <v>259</v>
      </c>
      <c r="G82" s="3" t="s">
        <v>1121</v>
      </c>
    </row>
    <row r="83" spans="1:7" ht="40.5" customHeight="1">
      <c r="A83" s="3" t="s">
        <v>390</v>
      </c>
      <c r="B83" s="4" t="s">
        <v>1133</v>
      </c>
      <c r="C83" s="4" t="s">
        <v>453</v>
      </c>
      <c r="D83" s="18">
        <v>7</v>
      </c>
      <c r="E83" s="13">
        <f>IF($F83=0,0,D83/$F83)</f>
        <v>2.7027027027027001E-2</v>
      </c>
      <c r="F83" s="12">
        <f>$F$82</f>
        <v>259</v>
      </c>
      <c r="G83" s="3" t="s">
        <v>1121</v>
      </c>
    </row>
    <row r="84" spans="1:7" ht="40.5" customHeight="1">
      <c r="A84" s="3" t="s">
        <v>390</v>
      </c>
      <c r="B84" s="4" t="s">
        <v>1133</v>
      </c>
      <c r="C84" s="4" t="s">
        <v>494</v>
      </c>
      <c r="D84" s="18">
        <v>25</v>
      </c>
      <c r="E84" s="13">
        <f>IF($F84=0,0,D84/$F84)</f>
        <v>9.6525096525096499E-2</v>
      </c>
      <c r="F84" s="12">
        <f>$F$82</f>
        <v>259</v>
      </c>
      <c r="G84" s="3" t="s">
        <v>1121</v>
      </c>
    </row>
    <row r="85" spans="1:7" ht="40.5" customHeight="1">
      <c r="A85" s="3" t="s">
        <v>390</v>
      </c>
      <c r="B85" s="4" t="s">
        <v>1133</v>
      </c>
      <c r="C85" s="4" t="s">
        <v>495</v>
      </c>
      <c r="D85" s="18">
        <v>32</v>
      </c>
      <c r="E85" s="13">
        <f>IF($F85=0,0,D85/$F85)</f>
        <v>0.123552123552124</v>
      </c>
      <c r="F85" s="12">
        <f>$F$82</f>
        <v>259</v>
      </c>
      <c r="G85" s="3" t="s">
        <v>1121</v>
      </c>
    </row>
    <row r="86" spans="1:7" ht="40.5" customHeight="1">
      <c r="A86" s="3" t="s">
        <v>390</v>
      </c>
      <c r="B86" s="4" t="s">
        <v>1133</v>
      </c>
      <c r="C86" s="4" t="s">
        <v>496</v>
      </c>
      <c r="D86" s="18">
        <v>36</v>
      </c>
      <c r="E86" s="13">
        <f>IF($F86=0,0,D86/$F86)</f>
        <v>0.138996138996139</v>
      </c>
      <c r="F86" s="12">
        <f>$F$82</f>
        <v>259</v>
      </c>
      <c r="G86" s="3" t="s">
        <v>1121</v>
      </c>
    </row>
    <row r="87" spans="1:7" ht="40.5" customHeight="1">
      <c r="A87" s="3" t="s">
        <v>390</v>
      </c>
      <c r="B87" s="4" t="s">
        <v>1133</v>
      </c>
      <c r="C87" s="4" t="s">
        <v>438</v>
      </c>
      <c r="D87" s="18">
        <v>154</v>
      </c>
      <c r="E87" s="13">
        <f>IF($F87=0,0,D87/$F87)</f>
        <v>0.59459459459459496</v>
      </c>
      <c r="F87" s="12">
        <f>$F$82</f>
        <v>259</v>
      </c>
      <c r="G87" s="3" t="s">
        <v>1121</v>
      </c>
    </row>
    <row r="88" spans="1:7" ht="27.95" customHeight="1">
      <c r="A88" s="3" t="s">
        <v>1134</v>
      </c>
      <c r="B88" s="4" t="s">
        <v>1135</v>
      </c>
      <c r="C88" s="4" t="s">
        <v>440</v>
      </c>
      <c r="D88" s="18">
        <v>34</v>
      </c>
      <c r="E88" s="13">
        <f>IF($F88=0,0,D88/$F88)</f>
        <v>0.13127413127413101</v>
      </c>
      <c r="F88" s="18">
        <v>259</v>
      </c>
      <c r="G88" s="3" t="s">
        <v>1121</v>
      </c>
    </row>
    <row r="89" spans="1:7" ht="27.95" customHeight="1">
      <c r="A89" s="3" t="s">
        <v>1134</v>
      </c>
      <c r="B89" s="4" t="s">
        <v>1135</v>
      </c>
      <c r="C89" s="4" t="s">
        <v>441</v>
      </c>
      <c r="D89" s="18">
        <v>75</v>
      </c>
      <c r="E89" s="13">
        <f>IF($F89=0,0,D89/$F89)</f>
        <v>0.28957528957529</v>
      </c>
      <c r="F89" s="12">
        <f>$F$88</f>
        <v>259</v>
      </c>
      <c r="G89" s="3" t="s">
        <v>1121</v>
      </c>
    </row>
    <row r="90" spans="1:7" ht="27.95" customHeight="1">
      <c r="A90" s="3" t="s">
        <v>1134</v>
      </c>
      <c r="B90" s="4" t="s">
        <v>1135</v>
      </c>
      <c r="C90" s="4" t="s">
        <v>438</v>
      </c>
      <c r="D90" s="18">
        <v>150</v>
      </c>
      <c r="E90" s="13">
        <f>IF($F90=0,0,D90/$F90)</f>
        <v>0.57915057915057899</v>
      </c>
      <c r="F90" s="12">
        <f>$F$88</f>
        <v>259</v>
      </c>
      <c r="G90" s="3" t="s">
        <v>1121</v>
      </c>
    </row>
    <row r="91" spans="1:7" ht="27.95" customHeight="1">
      <c r="A91" s="3" t="s">
        <v>1136</v>
      </c>
      <c r="B91" s="4" t="s">
        <v>1137</v>
      </c>
      <c r="C91" s="4" t="s">
        <v>501</v>
      </c>
      <c r="D91" s="18">
        <v>22</v>
      </c>
      <c r="E91" s="13">
        <f>IF($F91=0,0,D91/$F91)</f>
        <v>8.4942084942084897E-2</v>
      </c>
      <c r="F91" s="18">
        <v>259</v>
      </c>
      <c r="G91" s="3" t="s">
        <v>1121</v>
      </c>
    </row>
    <row r="92" spans="1:7" ht="27.95" customHeight="1">
      <c r="A92" s="3" t="s">
        <v>1136</v>
      </c>
      <c r="B92" s="4" t="s">
        <v>1137</v>
      </c>
      <c r="C92" s="4" t="s">
        <v>502</v>
      </c>
      <c r="D92" s="18">
        <v>71</v>
      </c>
      <c r="E92" s="13">
        <f>IF($F92=0,0,D92/$F92)</f>
        <v>0.27413127413127403</v>
      </c>
      <c r="F92" s="12">
        <f>$F$91</f>
        <v>259</v>
      </c>
      <c r="G92" s="3" t="s">
        <v>1121</v>
      </c>
    </row>
    <row r="93" spans="1:7" ht="27.95" customHeight="1">
      <c r="A93" s="3" t="s">
        <v>1136</v>
      </c>
      <c r="B93" s="4" t="s">
        <v>1137</v>
      </c>
      <c r="C93" s="4" t="s">
        <v>503</v>
      </c>
      <c r="D93" s="18">
        <v>16</v>
      </c>
      <c r="E93" s="13">
        <f>IF($F93=0,0,D93/$F93)</f>
        <v>6.1776061776061798E-2</v>
      </c>
      <c r="F93" s="12">
        <f>$F$91</f>
        <v>259</v>
      </c>
      <c r="G93" s="3" t="s">
        <v>1121</v>
      </c>
    </row>
    <row r="94" spans="1:7" ht="27.95" customHeight="1">
      <c r="A94" s="3" t="s">
        <v>1136</v>
      </c>
      <c r="B94" s="4" t="s">
        <v>1137</v>
      </c>
      <c r="C94" s="4" t="s">
        <v>438</v>
      </c>
      <c r="D94" s="18">
        <v>150</v>
      </c>
      <c r="E94" s="13">
        <f>IF($F94=0,0,D94/$F94)</f>
        <v>0.57915057915057899</v>
      </c>
      <c r="F94" s="12">
        <f>$F$91</f>
        <v>259</v>
      </c>
      <c r="G94" s="3" t="s">
        <v>1121</v>
      </c>
    </row>
    <row r="95" spans="1:7" ht="27.95" customHeight="1">
      <c r="A95" s="3" t="s">
        <v>1138</v>
      </c>
      <c r="B95" s="4" t="s">
        <v>1139</v>
      </c>
      <c r="C95" s="4" t="s">
        <v>506</v>
      </c>
      <c r="D95" s="18">
        <v>72</v>
      </c>
      <c r="E95" s="13">
        <f>IF($F95=0,0,D95/$F95)</f>
        <v>0.27799227799227799</v>
      </c>
      <c r="F95" s="18">
        <v>259</v>
      </c>
      <c r="G95" s="3" t="s">
        <v>1121</v>
      </c>
    </row>
    <row r="96" spans="1:7" ht="27.95" customHeight="1">
      <c r="A96" s="3" t="s">
        <v>1138</v>
      </c>
      <c r="B96" s="4" t="s">
        <v>1139</v>
      </c>
      <c r="C96" s="4" t="s">
        <v>507</v>
      </c>
      <c r="D96" s="18">
        <v>34</v>
      </c>
      <c r="E96" s="13">
        <f>IF($F96=0,0,D96/$F96)</f>
        <v>0.13127413127413101</v>
      </c>
      <c r="F96" s="12">
        <f>$F$95</f>
        <v>259</v>
      </c>
      <c r="G96" s="3" t="s">
        <v>1121</v>
      </c>
    </row>
    <row r="97" spans="1:7" ht="27.95" customHeight="1">
      <c r="A97" s="3" t="s">
        <v>1138</v>
      </c>
      <c r="B97" s="4" t="s">
        <v>1139</v>
      </c>
      <c r="C97" s="4" t="s">
        <v>508</v>
      </c>
      <c r="D97" s="18">
        <v>28</v>
      </c>
      <c r="E97" s="13">
        <f>IF($F97=0,0,D97/$F97)</f>
        <v>0.108108108108108</v>
      </c>
      <c r="F97" s="12">
        <f>$F$95</f>
        <v>259</v>
      </c>
      <c r="G97" s="3" t="s">
        <v>1121</v>
      </c>
    </row>
    <row r="98" spans="1:7" ht="27.95" customHeight="1">
      <c r="A98" s="3" t="s">
        <v>1138</v>
      </c>
      <c r="B98" s="4" t="s">
        <v>1139</v>
      </c>
      <c r="C98" s="4" t="s">
        <v>509</v>
      </c>
      <c r="D98" s="18">
        <v>33</v>
      </c>
      <c r="E98" s="13">
        <f>IF($F98=0,0,D98/$F98)</f>
        <v>0.12741312741312699</v>
      </c>
      <c r="F98" s="12">
        <f>$F$95</f>
        <v>259</v>
      </c>
      <c r="G98" s="3" t="s">
        <v>1121</v>
      </c>
    </row>
    <row r="99" spans="1:7" ht="27.95" customHeight="1">
      <c r="A99" s="3" t="s">
        <v>1138</v>
      </c>
      <c r="B99" s="4" t="s">
        <v>1139</v>
      </c>
      <c r="C99" s="4" t="s">
        <v>510</v>
      </c>
      <c r="D99" s="18">
        <v>16</v>
      </c>
      <c r="E99" s="13">
        <f>IF($F99=0,0,D99/$F99)</f>
        <v>6.1776061776061798E-2</v>
      </c>
      <c r="F99" s="12">
        <f>$F$95</f>
        <v>259</v>
      </c>
      <c r="G99" s="3" t="s">
        <v>1121</v>
      </c>
    </row>
    <row r="100" spans="1:7" ht="27.95" customHeight="1">
      <c r="A100" s="3" t="s">
        <v>1138</v>
      </c>
      <c r="B100" s="4" t="s">
        <v>1139</v>
      </c>
      <c r="C100" s="4" t="s">
        <v>511</v>
      </c>
      <c r="D100" s="18">
        <v>10</v>
      </c>
      <c r="E100" s="13">
        <f>IF($F100=0,0,D100/$F100)</f>
        <v>3.8610038610038602E-2</v>
      </c>
      <c r="F100" s="12">
        <f>$F$95</f>
        <v>259</v>
      </c>
      <c r="G100" s="3" t="s">
        <v>1121</v>
      </c>
    </row>
    <row r="101" spans="1:7" ht="27.95" customHeight="1">
      <c r="A101" s="3" t="s">
        <v>1138</v>
      </c>
      <c r="B101" s="4" t="s">
        <v>1139</v>
      </c>
      <c r="C101" s="4" t="s">
        <v>512</v>
      </c>
      <c r="D101" s="18">
        <v>49</v>
      </c>
      <c r="E101" s="13">
        <f>IF($F101=0,0,D101/$F101)</f>
        <v>0.18918918918918901</v>
      </c>
      <c r="F101" s="12">
        <f>$F$95</f>
        <v>259</v>
      </c>
      <c r="G101" s="3" t="s">
        <v>1121</v>
      </c>
    </row>
    <row r="102" spans="1:7" ht="27.95" customHeight="1">
      <c r="A102" s="3" t="s">
        <v>1138</v>
      </c>
      <c r="B102" s="4" t="s">
        <v>1139</v>
      </c>
      <c r="C102" s="4" t="s">
        <v>438</v>
      </c>
      <c r="D102" s="18">
        <v>17</v>
      </c>
      <c r="E102" s="13">
        <f>IF($F102=0,0,D102/$F102)</f>
        <v>6.5637065637065603E-2</v>
      </c>
      <c r="F102" s="12">
        <f>$F$95</f>
        <v>259</v>
      </c>
      <c r="G102" s="3" t="s">
        <v>1121</v>
      </c>
    </row>
    <row r="103" spans="1:7" ht="27.95" customHeight="1">
      <c r="A103" s="3" t="s">
        <v>1140</v>
      </c>
      <c r="B103" s="4" t="s">
        <v>1141</v>
      </c>
      <c r="C103" s="4" t="s">
        <v>514</v>
      </c>
      <c r="D103" s="18">
        <v>14</v>
      </c>
      <c r="E103" s="13">
        <f>IF($F103=0,0,D103/$F103)</f>
        <v>5.4054054054054099E-2</v>
      </c>
      <c r="F103" s="18">
        <v>259</v>
      </c>
      <c r="G103" s="3" t="s">
        <v>1121</v>
      </c>
    </row>
    <row r="104" spans="1:7" ht="27.95" customHeight="1">
      <c r="A104" s="3" t="s">
        <v>1140</v>
      </c>
      <c r="B104" s="4" t="s">
        <v>1141</v>
      </c>
      <c r="C104" s="4" t="s">
        <v>515</v>
      </c>
      <c r="D104" s="18">
        <v>18</v>
      </c>
      <c r="E104" s="13">
        <f>IF($F104=0,0,D104/$F104)</f>
        <v>6.9498069498069498E-2</v>
      </c>
      <c r="F104" s="12">
        <f>$F$103</f>
        <v>259</v>
      </c>
      <c r="G104" s="3" t="s">
        <v>1121</v>
      </c>
    </row>
    <row r="105" spans="1:7" ht="27.95" customHeight="1">
      <c r="A105" s="3" t="s">
        <v>1140</v>
      </c>
      <c r="B105" s="4" t="s">
        <v>1141</v>
      </c>
      <c r="C105" s="4" t="s">
        <v>516</v>
      </c>
      <c r="D105" s="18">
        <v>4</v>
      </c>
      <c r="E105" s="13">
        <f>IF($F105=0,0,D105/$F105)</f>
        <v>1.5444015444015399E-2</v>
      </c>
      <c r="F105" s="12">
        <f>$F$103</f>
        <v>259</v>
      </c>
      <c r="G105" s="3" t="s">
        <v>1121</v>
      </c>
    </row>
    <row r="106" spans="1:7" ht="27.95" customHeight="1">
      <c r="A106" s="3" t="s">
        <v>1140</v>
      </c>
      <c r="B106" s="4" t="s">
        <v>1141</v>
      </c>
      <c r="C106" s="4" t="s">
        <v>517</v>
      </c>
      <c r="D106" s="18">
        <v>12</v>
      </c>
      <c r="E106" s="13">
        <f>IF($F106=0,0,D106/$F106)</f>
        <v>4.6332046332046302E-2</v>
      </c>
      <c r="F106" s="12">
        <f>$F$103</f>
        <v>259</v>
      </c>
      <c r="G106" s="3" t="s">
        <v>1121</v>
      </c>
    </row>
    <row r="107" spans="1:7" ht="27.95" customHeight="1">
      <c r="A107" s="3" t="s">
        <v>1140</v>
      </c>
      <c r="B107" s="4" t="s">
        <v>1141</v>
      </c>
      <c r="C107" s="4" t="s">
        <v>518</v>
      </c>
      <c r="D107" s="18">
        <v>39</v>
      </c>
      <c r="E107" s="13">
        <f>IF($F107=0,0,D107/$F107)</f>
        <v>0.150579150579151</v>
      </c>
      <c r="F107" s="12">
        <f>$F$103</f>
        <v>259</v>
      </c>
      <c r="G107" s="3" t="s">
        <v>1121</v>
      </c>
    </row>
    <row r="108" spans="1:7" ht="27.95" customHeight="1">
      <c r="A108" s="3" t="s">
        <v>1140</v>
      </c>
      <c r="B108" s="4" t="s">
        <v>1141</v>
      </c>
      <c r="C108" s="4" t="s">
        <v>519</v>
      </c>
      <c r="D108" s="18">
        <v>11</v>
      </c>
      <c r="E108" s="13">
        <f>IF($F108=0,0,D108/$F108)</f>
        <v>4.2471042471042497E-2</v>
      </c>
      <c r="F108" s="12">
        <f>$F$103</f>
        <v>259</v>
      </c>
      <c r="G108" s="3" t="s">
        <v>1121</v>
      </c>
    </row>
    <row r="109" spans="1:7" ht="27.95" customHeight="1">
      <c r="A109" s="3" t="s">
        <v>1140</v>
      </c>
      <c r="B109" s="4" t="s">
        <v>1141</v>
      </c>
      <c r="C109" s="4" t="s">
        <v>520</v>
      </c>
      <c r="D109" s="18">
        <v>81</v>
      </c>
      <c r="E109" s="13">
        <f>IF($F109=0,0,D109/$F109)</f>
        <v>0.312741312741313</v>
      </c>
      <c r="F109" s="12">
        <f>$F$103</f>
        <v>259</v>
      </c>
      <c r="G109" s="3" t="s">
        <v>1121</v>
      </c>
    </row>
    <row r="110" spans="1:7" ht="27.95" customHeight="1">
      <c r="A110" s="3" t="s">
        <v>1140</v>
      </c>
      <c r="B110" s="4" t="s">
        <v>1141</v>
      </c>
      <c r="C110" s="4" t="s">
        <v>438</v>
      </c>
      <c r="D110" s="18">
        <v>80</v>
      </c>
      <c r="E110" s="13">
        <f>IF($F110=0,0,D110/$F110)</f>
        <v>0.30888030888030898</v>
      </c>
      <c r="F110" s="12">
        <f>$F$103</f>
        <v>259</v>
      </c>
      <c r="G110" s="3" t="s">
        <v>1121</v>
      </c>
    </row>
    <row r="111" spans="1:7" ht="15.95" customHeight="1">
      <c r="A111" s="3" t="s">
        <v>1142</v>
      </c>
      <c r="B111" s="4" t="s">
        <v>1143</v>
      </c>
      <c r="C111" s="4" t="s">
        <v>522</v>
      </c>
      <c r="D111" s="18">
        <v>10</v>
      </c>
      <c r="E111" s="13">
        <f>IF($F111=0,0,D111/$F111)</f>
        <v>3.8610038610038602E-2</v>
      </c>
      <c r="F111" s="18">
        <v>259</v>
      </c>
      <c r="G111" s="3" t="s">
        <v>1121</v>
      </c>
    </row>
    <row r="112" spans="1:7" ht="15.95" customHeight="1">
      <c r="A112" s="3" t="s">
        <v>1142</v>
      </c>
      <c r="B112" s="4" t="s">
        <v>1143</v>
      </c>
      <c r="C112" s="4" t="s">
        <v>523</v>
      </c>
      <c r="D112" s="18">
        <v>23</v>
      </c>
      <c r="E112" s="13">
        <f>IF($F112=0,0,D112/$F112)</f>
        <v>8.8803088803088806E-2</v>
      </c>
      <c r="F112" s="12">
        <f>$F$111</f>
        <v>259</v>
      </c>
      <c r="G112" s="3" t="s">
        <v>1121</v>
      </c>
    </row>
    <row r="113" spans="1:7" ht="15.95" customHeight="1">
      <c r="A113" s="3" t="s">
        <v>1142</v>
      </c>
      <c r="B113" s="4" t="s">
        <v>1143</v>
      </c>
      <c r="C113" s="4" t="s">
        <v>512</v>
      </c>
      <c r="D113" s="18">
        <v>199</v>
      </c>
      <c r="E113" s="13">
        <f>IF($F113=0,0,D113/$F113)</f>
        <v>0.76833976833976803</v>
      </c>
      <c r="F113" s="12">
        <f>$F$111</f>
        <v>259</v>
      </c>
      <c r="G113" s="3" t="s">
        <v>1121</v>
      </c>
    </row>
    <row r="114" spans="1:7" ht="15.95" customHeight="1">
      <c r="A114" s="3" t="s">
        <v>1142</v>
      </c>
      <c r="B114" s="4" t="s">
        <v>1143</v>
      </c>
      <c r="C114" s="4" t="s">
        <v>438</v>
      </c>
      <c r="D114" s="18">
        <v>27</v>
      </c>
      <c r="E114" s="13">
        <f>IF($F114=0,0,D114/$F114)</f>
        <v>0.104247104247104</v>
      </c>
      <c r="F114" s="12">
        <f>$F$111</f>
        <v>259</v>
      </c>
      <c r="G114" s="3" t="s">
        <v>1121</v>
      </c>
    </row>
    <row r="115" spans="1:7" ht="27.95" customHeight="1">
      <c r="A115" s="3" t="s">
        <v>1144</v>
      </c>
      <c r="B115" s="4" t="s">
        <v>1145</v>
      </c>
      <c r="C115" s="4" t="s">
        <v>506</v>
      </c>
      <c r="D115" s="18">
        <v>13</v>
      </c>
      <c r="E115" s="13">
        <f>IF($F115=0,0,D115/$F115)</f>
        <v>5.0193050193050197E-2</v>
      </c>
      <c r="F115" s="18">
        <v>259</v>
      </c>
      <c r="G115" s="3" t="s">
        <v>1121</v>
      </c>
    </row>
    <row r="116" spans="1:7" ht="27.95" customHeight="1">
      <c r="A116" s="3" t="s">
        <v>1144</v>
      </c>
      <c r="B116" s="4" t="s">
        <v>1145</v>
      </c>
      <c r="C116" s="4" t="s">
        <v>507</v>
      </c>
      <c r="D116" s="18">
        <v>23</v>
      </c>
      <c r="E116" s="13">
        <f>IF($F116=0,0,D116/$F116)</f>
        <v>8.8803088803088806E-2</v>
      </c>
      <c r="F116" s="12">
        <f>$F$115</f>
        <v>259</v>
      </c>
      <c r="G116" s="3" t="s">
        <v>1121</v>
      </c>
    </row>
    <row r="117" spans="1:7" ht="27.95" customHeight="1">
      <c r="A117" s="3" t="s">
        <v>1144</v>
      </c>
      <c r="B117" s="4" t="s">
        <v>1145</v>
      </c>
      <c r="C117" s="4" t="s">
        <v>508</v>
      </c>
      <c r="D117" s="18">
        <v>8</v>
      </c>
      <c r="E117" s="13">
        <f>IF($F117=0,0,D117/$F117)</f>
        <v>3.0888030888030899E-2</v>
      </c>
      <c r="F117" s="12">
        <f>$F$115</f>
        <v>259</v>
      </c>
      <c r="G117" s="3" t="s">
        <v>1121</v>
      </c>
    </row>
    <row r="118" spans="1:7" ht="27.95" customHeight="1">
      <c r="A118" s="3" t="s">
        <v>1144</v>
      </c>
      <c r="B118" s="4" t="s">
        <v>1145</v>
      </c>
      <c r="C118" s="4" t="s">
        <v>512</v>
      </c>
      <c r="D118" s="18">
        <v>196</v>
      </c>
      <c r="E118" s="13">
        <f>IF($F118=0,0,D118/$F118)</f>
        <v>0.75675675675675702</v>
      </c>
      <c r="F118" s="12">
        <f>$F$115</f>
        <v>259</v>
      </c>
      <c r="G118" s="3" t="s">
        <v>1121</v>
      </c>
    </row>
    <row r="119" spans="1:7" ht="27.95" customHeight="1">
      <c r="A119" s="3" t="s">
        <v>1144</v>
      </c>
      <c r="B119" s="4" t="s">
        <v>1145</v>
      </c>
      <c r="C119" s="4" t="s">
        <v>438</v>
      </c>
      <c r="D119" s="18">
        <v>19</v>
      </c>
      <c r="E119" s="13">
        <f>IF($F119=0,0,D119/$F119)</f>
        <v>7.3359073359073407E-2</v>
      </c>
      <c r="F119" s="12">
        <f>$F$115</f>
        <v>259</v>
      </c>
      <c r="G119" s="3" t="s">
        <v>1121</v>
      </c>
    </row>
    <row r="120" spans="1:7" ht="27.95" customHeight="1">
      <c r="A120" s="3" t="s">
        <v>1146</v>
      </c>
      <c r="B120" s="4" t="s">
        <v>1147</v>
      </c>
      <c r="C120" s="4" t="s">
        <v>526</v>
      </c>
      <c r="D120" s="18">
        <v>8</v>
      </c>
      <c r="E120" s="13">
        <f>IF($F120=0,0,D120/$F120)</f>
        <v>3.0888030888030899E-2</v>
      </c>
      <c r="F120" s="18">
        <v>259</v>
      </c>
      <c r="G120" s="3" t="s">
        <v>1121</v>
      </c>
    </row>
    <row r="121" spans="1:7" ht="27.95" customHeight="1">
      <c r="A121" s="3" t="s">
        <v>1146</v>
      </c>
      <c r="B121" s="4" t="s">
        <v>1147</v>
      </c>
      <c r="C121" s="4" t="s">
        <v>527</v>
      </c>
      <c r="D121" s="18">
        <v>220</v>
      </c>
      <c r="E121" s="13">
        <f>IF($F121=0,0,D121/$F121)</f>
        <v>0.84942084942084894</v>
      </c>
      <c r="F121" s="12">
        <f>$F$120</f>
        <v>259</v>
      </c>
      <c r="G121" s="3" t="s">
        <v>1121</v>
      </c>
    </row>
    <row r="122" spans="1:7" ht="27.95" customHeight="1">
      <c r="A122" s="3" t="s">
        <v>1146</v>
      </c>
      <c r="B122" s="4" t="s">
        <v>1147</v>
      </c>
      <c r="C122" s="4" t="s">
        <v>438</v>
      </c>
      <c r="D122" s="18">
        <v>31</v>
      </c>
      <c r="E122" s="13">
        <f>IF($F122=0,0,D122/$F122)</f>
        <v>0.11969111969111999</v>
      </c>
      <c r="F122" s="12">
        <f>$F$120</f>
        <v>259</v>
      </c>
      <c r="G122" s="3" t="s">
        <v>1121</v>
      </c>
    </row>
    <row r="123" spans="1:7" ht="27.95" customHeight="1">
      <c r="A123" s="3" t="s">
        <v>1148</v>
      </c>
      <c r="B123" s="4" t="s">
        <v>1149</v>
      </c>
      <c r="C123" s="4" t="s">
        <v>530</v>
      </c>
      <c r="D123" s="18">
        <v>17</v>
      </c>
      <c r="E123" s="13">
        <f>IF($F123=0,0,D123/$F123)</f>
        <v>6.5637065637065603E-2</v>
      </c>
      <c r="F123" s="18">
        <v>259</v>
      </c>
      <c r="G123" s="3" t="s">
        <v>1121</v>
      </c>
    </row>
    <row r="124" spans="1:7" ht="27.95" customHeight="1">
      <c r="A124" s="3" t="s">
        <v>1148</v>
      </c>
      <c r="B124" s="4" t="s">
        <v>1149</v>
      </c>
      <c r="C124" s="4" t="s">
        <v>531</v>
      </c>
      <c r="D124" s="18">
        <v>221</v>
      </c>
      <c r="E124" s="13">
        <f>IF($F124=0,0,D124/$F124)</f>
        <v>0.85328185328185302</v>
      </c>
      <c r="F124" s="12">
        <f>$F$123</f>
        <v>259</v>
      </c>
      <c r="G124" s="3" t="s">
        <v>1121</v>
      </c>
    </row>
    <row r="125" spans="1:7" ht="27.95" customHeight="1">
      <c r="A125" s="3" t="s">
        <v>1148</v>
      </c>
      <c r="B125" s="4" t="s">
        <v>1149</v>
      </c>
      <c r="C125" s="4" t="s">
        <v>438</v>
      </c>
      <c r="D125" s="18">
        <v>21</v>
      </c>
      <c r="E125" s="13">
        <f>IF($F125=0,0,D125/$F125)</f>
        <v>8.1081081081081099E-2</v>
      </c>
      <c r="F125" s="12">
        <f>$F$123</f>
        <v>259</v>
      </c>
      <c r="G125" s="3" t="s">
        <v>1121</v>
      </c>
    </row>
    <row r="126" spans="1:7" ht="27.95" customHeight="1">
      <c r="A126" s="3" t="s">
        <v>1150</v>
      </c>
      <c r="B126" s="4" t="s">
        <v>1151</v>
      </c>
      <c r="C126" s="4" t="s">
        <v>534</v>
      </c>
      <c r="D126" s="18">
        <v>31</v>
      </c>
      <c r="E126" s="13">
        <f>IF($F126=0,0,D126/$F126)</f>
        <v>0.11969111969111999</v>
      </c>
      <c r="F126" s="18">
        <v>259</v>
      </c>
      <c r="G126" s="3" t="s">
        <v>1121</v>
      </c>
    </row>
    <row r="127" spans="1:7" ht="27.95" customHeight="1">
      <c r="A127" s="3" t="s">
        <v>1150</v>
      </c>
      <c r="B127" s="4" t="s">
        <v>1151</v>
      </c>
      <c r="C127" s="4" t="s">
        <v>535</v>
      </c>
      <c r="D127" s="18">
        <v>208</v>
      </c>
      <c r="E127" s="13">
        <f>IF($F127=0,0,D127/$F127)</f>
        <v>0.80308880308880304</v>
      </c>
      <c r="F127" s="12">
        <f>$F$126</f>
        <v>259</v>
      </c>
      <c r="G127" s="3" t="s">
        <v>1121</v>
      </c>
    </row>
    <row r="128" spans="1:7" ht="27.95" customHeight="1">
      <c r="A128" s="3" t="s">
        <v>1150</v>
      </c>
      <c r="B128" s="4" t="s">
        <v>1151</v>
      </c>
      <c r="C128" s="4" t="s">
        <v>438</v>
      </c>
      <c r="D128" s="18">
        <v>20</v>
      </c>
      <c r="E128" s="13">
        <f>IF($F128=0,0,D128/$F128)</f>
        <v>7.7220077220077205E-2</v>
      </c>
      <c r="F128" s="12">
        <f>$F$126</f>
        <v>259</v>
      </c>
      <c r="G128" s="3" t="s">
        <v>1121</v>
      </c>
    </row>
    <row r="129" spans="1:7" ht="27.95" customHeight="1">
      <c r="A129" s="3" t="s">
        <v>1152</v>
      </c>
      <c r="B129" s="4" t="s">
        <v>1153</v>
      </c>
      <c r="C129" s="4" t="s">
        <v>534</v>
      </c>
      <c r="D129" s="18">
        <v>8</v>
      </c>
      <c r="E129" s="13">
        <f>IF($F129=0,0,D129/$F129)</f>
        <v>3.0888030888030899E-2</v>
      </c>
      <c r="F129" s="18">
        <v>259</v>
      </c>
      <c r="G129" s="3" t="s">
        <v>1121</v>
      </c>
    </row>
    <row r="130" spans="1:7" ht="27.95" customHeight="1">
      <c r="A130" s="3" t="s">
        <v>1152</v>
      </c>
      <c r="B130" s="4" t="s">
        <v>1153</v>
      </c>
      <c r="C130" s="4" t="s">
        <v>535</v>
      </c>
      <c r="D130" s="18">
        <v>217</v>
      </c>
      <c r="E130" s="13">
        <f>IF($F130=0,0,D130/$F130)</f>
        <v>0.83783783783783805</v>
      </c>
      <c r="F130" s="12">
        <f>$F$129</f>
        <v>259</v>
      </c>
      <c r="G130" s="3" t="s">
        <v>1121</v>
      </c>
    </row>
    <row r="131" spans="1:7" ht="27.95" customHeight="1">
      <c r="A131" s="3" t="s">
        <v>1152</v>
      </c>
      <c r="B131" s="4" t="s">
        <v>1153</v>
      </c>
      <c r="C131" s="4" t="s">
        <v>438</v>
      </c>
      <c r="D131" s="18">
        <v>34</v>
      </c>
      <c r="E131" s="13">
        <f>IF($F131=0,0,D131/$F131)</f>
        <v>0.13127413127413101</v>
      </c>
      <c r="F131" s="12">
        <f>$F$129</f>
        <v>259</v>
      </c>
      <c r="G131" s="3" t="s">
        <v>1121</v>
      </c>
    </row>
    <row r="132" spans="1:7" ht="27.95" customHeight="1">
      <c r="A132" s="3" t="s">
        <v>1154</v>
      </c>
      <c r="B132" s="4" t="s">
        <v>1155</v>
      </c>
      <c r="C132" s="4" t="s">
        <v>514</v>
      </c>
      <c r="D132" s="18">
        <v>0</v>
      </c>
      <c r="E132" s="13">
        <f>IF($F132=0,0,D132/$F132)</f>
        <v>0</v>
      </c>
      <c r="F132" s="18">
        <v>259</v>
      </c>
      <c r="G132" s="3" t="s">
        <v>1128</v>
      </c>
    </row>
    <row r="133" spans="1:7" ht="27.95" customHeight="1">
      <c r="A133" s="3" t="s">
        <v>1154</v>
      </c>
      <c r="B133" s="4" t="s">
        <v>1155</v>
      </c>
      <c r="C133" s="4" t="s">
        <v>515</v>
      </c>
      <c r="D133" s="18">
        <v>0</v>
      </c>
      <c r="E133" s="13">
        <f>IF($F133=0,0,D133/$F133)</f>
        <v>0</v>
      </c>
      <c r="F133" s="12">
        <f>$F$132</f>
        <v>259</v>
      </c>
      <c r="G133" s="3" t="s">
        <v>1128</v>
      </c>
    </row>
    <row r="134" spans="1:7" ht="27.95" customHeight="1">
      <c r="A134" s="3" t="s">
        <v>1154</v>
      </c>
      <c r="B134" s="4" t="s">
        <v>1155</v>
      </c>
      <c r="C134" s="4" t="s">
        <v>516</v>
      </c>
      <c r="D134" s="18">
        <v>3</v>
      </c>
      <c r="E134" s="13">
        <f>IF($F134=0,0,D134/$F134)</f>
        <v>1.15830115830116E-2</v>
      </c>
      <c r="F134" s="12">
        <f>$F$132</f>
        <v>259</v>
      </c>
      <c r="G134" s="3" t="s">
        <v>1128</v>
      </c>
    </row>
    <row r="135" spans="1:7" ht="27.95" customHeight="1">
      <c r="A135" s="3" t="s">
        <v>1154</v>
      </c>
      <c r="B135" s="4" t="s">
        <v>1155</v>
      </c>
      <c r="C135" s="4" t="s">
        <v>517</v>
      </c>
      <c r="D135" s="18">
        <v>3</v>
      </c>
      <c r="E135" s="13">
        <f>IF($F135=0,0,D135/$F135)</f>
        <v>1.15830115830116E-2</v>
      </c>
      <c r="F135" s="12">
        <f>$F$132</f>
        <v>259</v>
      </c>
      <c r="G135" s="3" t="s">
        <v>1128</v>
      </c>
    </row>
    <row r="136" spans="1:7" ht="27.95" customHeight="1">
      <c r="A136" s="3" t="s">
        <v>1154</v>
      </c>
      <c r="B136" s="4" t="s">
        <v>1155</v>
      </c>
      <c r="C136" s="4" t="s">
        <v>518</v>
      </c>
      <c r="D136" s="18">
        <v>5</v>
      </c>
      <c r="E136" s="13">
        <f>IF($F136=0,0,D136/$F136)</f>
        <v>1.9305019305019301E-2</v>
      </c>
      <c r="F136" s="12">
        <f>$F$132</f>
        <v>259</v>
      </c>
      <c r="G136" s="3" t="s">
        <v>1128</v>
      </c>
    </row>
    <row r="137" spans="1:7" ht="27.95" customHeight="1">
      <c r="A137" s="3" t="s">
        <v>1154</v>
      </c>
      <c r="B137" s="4" t="s">
        <v>1155</v>
      </c>
      <c r="C137" s="4" t="s">
        <v>519</v>
      </c>
      <c r="D137" s="18">
        <v>3</v>
      </c>
      <c r="E137" s="13">
        <f>IF($F137=0,0,D137/$F137)</f>
        <v>1.15830115830116E-2</v>
      </c>
      <c r="F137" s="12">
        <f>$F$132</f>
        <v>259</v>
      </c>
      <c r="G137" s="3" t="s">
        <v>1128</v>
      </c>
    </row>
    <row r="138" spans="1:7" ht="27.95" customHeight="1">
      <c r="A138" s="3" t="s">
        <v>1154</v>
      </c>
      <c r="B138" s="4" t="s">
        <v>1155</v>
      </c>
      <c r="C138" s="4" t="s">
        <v>520</v>
      </c>
      <c r="D138" s="18">
        <v>1</v>
      </c>
      <c r="E138" s="13">
        <f>IF($F138=0,0,D138/$F138)</f>
        <v>3.8610038610038598E-3</v>
      </c>
      <c r="F138" s="12">
        <f>$F$132</f>
        <v>259</v>
      </c>
      <c r="G138" s="3" t="s">
        <v>1128</v>
      </c>
    </row>
    <row r="139" spans="1:7" ht="27.95" customHeight="1">
      <c r="A139" s="3" t="s">
        <v>1154</v>
      </c>
      <c r="B139" s="4" t="s">
        <v>1155</v>
      </c>
      <c r="C139" s="4" t="s">
        <v>438</v>
      </c>
      <c r="D139" s="18">
        <v>251</v>
      </c>
      <c r="E139" s="13">
        <f>IF($F139=0,0,D139/$F139)</f>
        <v>0.96911196911196895</v>
      </c>
      <c r="F139" s="12">
        <f>$F$132</f>
        <v>259</v>
      </c>
      <c r="G139" s="3" t="s">
        <v>1128</v>
      </c>
    </row>
    <row r="140" spans="1:7" ht="27.95" customHeight="1">
      <c r="A140" s="3" t="s">
        <v>1156</v>
      </c>
      <c r="B140" s="4" t="s">
        <v>1157</v>
      </c>
      <c r="C140" s="4" t="s">
        <v>552</v>
      </c>
      <c r="D140" s="18">
        <v>1</v>
      </c>
      <c r="E140" s="13">
        <f>IF($F140=0,0,D140/$F140)</f>
        <v>3.8610038610038598E-3</v>
      </c>
      <c r="F140" s="18">
        <v>259</v>
      </c>
      <c r="G140" s="3" t="s">
        <v>1128</v>
      </c>
    </row>
    <row r="141" spans="1:7" ht="27.95" customHeight="1">
      <c r="A141" s="3" t="s">
        <v>1156</v>
      </c>
      <c r="B141" s="4" t="s">
        <v>1157</v>
      </c>
      <c r="C141" s="4" t="s">
        <v>547</v>
      </c>
      <c r="D141" s="18">
        <v>4</v>
      </c>
      <c r="E141" s="13">
        <f>IF($F141=0,0,D141/$F141)</f>
        <v>1.5444015444015399E-2</v>
      </c>
      <c r="F141" s="12">
        <f>$F$140</f>
        <v>259</v>
      </c>
      <c r="G141" s="3" t="s">
        <v>1128</v>
      </c>
    </row>
    <row r="142" spans="1:7" ht="27.95" customHeight="1">
      <c r="A142" s="3" t="s">
        <v>1156</v>
      </c>
      <c r="B142" s="4" t="s">
        <v>1157</v>
      </c>
      <c r="C142" s="4" t="s">
        <v>549</v>
      </c>
      <c r="D142" s="18">
        <v>3</v>
      </c>
      <c r="E142" s="13">
        <f>IF($F142=0,0,D142/$F142)</f>
        <v>1.15830115830116E-2</v>
      </c>
      <c r="F142" s="12">
        <f>$F$140</f>
        <v>259</v>
      </c>
      <c r="G142" s="3" t="s">
        <v>1128</v>
      </c>
    </row>
    <row r="143" spans="1:7" ht="27.95" customHeight="1">
      <c r="A143" s="3" t="s">
        <v>1156</v>
      </c>
      <c r="B143" s="4" t="s">
        <v>1157</v>
      </c>
      <c r="C143" s="4" t="s">
        <v>551</v>
      </c>
      <c r="D143" s="18">
        <v>2</v>
      </c>
      <c r="E143" s="13">
        <f>IF($F143=0,0,D143/$F143)</f>
        <v>7.7220077220077196E-3</v>
      </c>
      <c r="F143" s="12">
        <f>$F$140</f>
        <v>259</v>
      </c>
      <c r="G143" s="3" t="s">
        <v>1128</v>
      </c>
    </row>
    <row r="144" spans="1:7" ht="27.95" customHeight="1">
      <c r="A144" s="3" t="s">
        <v>1156</v>
      </c>
      <c r="B144" s="4" t="s">
        <v>1157</v>
      </c>
      <c r="C144" s="4" t="s">
        <v>548</v>
      </c>
      <c r="D144" s="18">
        <v>4</v>
      </c>
      <c r="E144" s="13">
        <f>IF($F144=0,0,D144/$F144)</f>
        <v>1.5444015444015399E-2</v>
      </c>
      <c r="F144" s="12">
        <f>$F$140</f>
        <v>259</v>
      </c>
      <c r="G144" s="3" t="s">
        <v>1128</v>
      </c>
    </row>
    <row r="145" spans="1:7" ht="27.95" customHeight="1">
      <c r="A145" s="3" t="s">
        <v>1156</v>
      </c>
      <c r="B145" s="4" t="s">
        <v>1157</v>
      </c>
      <c r="C145" s="4" t="s">
        <v>550</v>
      </c>
      <c r="D145" s="18">
        <v>3</v>
      </c>
      <c r="E145" s="13">
        <f>IF($F145=0,0,D145/$F145)</f>
        <v>1.15830115830116E-2</v>
      </c>
      <c r="F145" s="12">
        <f>$F$140</f>
        <v>259</v>
      </c>
      <c r="G145" s="3" t="s">
        <v>1128</v>
      </c>
    </row>
    <row r="146" spans="1:7" ht="27.95" customHeight="1">
      <c r="A146" s="3" t="s">
        <v>1156</v>
      </c>
      <c r="B146" s="4" t="s">
        <v>1157</v>
      </c>
      <c r="C146" s="4" t="s">
        <v>553</v>
      </c>
      <c r="D146" s="18">
        <v>0</v>
      </c>
      <c r="E146" s="13">
        <f>IF($F146=0,0,D146/$F146)</f>
        <v>0</v>
      </c>
      <c r="F146" s="12">
        <f>$F$140</f>
        <v>259</v>
      </c>
      <c r="G146" s="3" t="s">
        <v>1128</v>
      </c>
    </row>
    <row r="147" spans="1:7" ht="27.95" customHeight="1">
      <c r="A147" s="3" t="s">
        <v>1156</v>
      </c>
      <c r="B147" s="4" t="s">
        <v>1157</v>
      </c>
      <c r="C147" s="4" t="s">
        <v>544</v>
      </c>
      <c r="D147" s="18">
        <v>21</v>
      </c>
      <c r="E147" s="13">
        <f>IF($F147=0,0,D147/$F147)</f>
        <v>8.1081081081081099E-2</v>
      </c>
      <c r="F147" s="12">
        <f>$F$140</f>
        <v>259</v>
      </c>
      <c r="G147" s="3" t="s">
        <v>1128</v>
      </c>
    </row>
    <row r="148" spans="1:7" ht="27.95" customHeight="1">
      <c r="A148" s="3" t="s">
        <v>1156</v>
      </c>
      <c r="B148" s="4" t="s">
        <v>1157</v>
      </c>
      <c r="C148" s="4" t="s">
        <v>546</v>
      </c>
      <c r="D148" s="18">
        <v>7</v>
      </c>
      <c r="E148" s="13">
        <f>IF($F148=0,0,D148/$F148)</f>
        <v>2.7027027027027001E-2</v>
      </c>
      <c r="F148" s="12">
        <f>$F$140</f>
        <v>259</v>
      </c>
      <c r="G148" s="3" t="s">
        <v>1128</v>
      </c>
    </row>
    <row r="149" spans="1:7" ht="27.95" customHeight="1">
      <c r="A149" s="3" t="s">
        <v>1156</v>
      </c>
      <c r="B149" s="4" t="s">
        <v>1157</v>
      </c>
      <c r="C149" s="4" t="s">
        <v>545</v>
      </c>
      <c r="D149" s="18">
        <v>15</v>
      </c>
      <c r="E149" s="13">
        <f>IF($F149=0,0,D149/$F149)</f>
        <v>5.7915057915057903E-2</v>
      </c>
      <c r="F149" s="12">
        <f>$F$140</f>
        <v>259</v>
      </c>
      <c r="G149" s="3" t="s">
        <v>1128</v>
      </c>
    </row>
    <row r="150" spans="1:7" ht="27.95" customHeight="1">
      <c r="A150" s="3" t="s">
        <v>1156</v>
      </c>
      <c r="B150" s="4" t="s">
        <v>1157</v>
      </c>
      <c r="C150" s="4" t="s">
        <v>543</v>
      </c>
      <c r="D150" s="18">
        <v>110</v>
      </c>
      <c r="E150" s="13">
        <f>IF($F150=0,0,D150/$F150)</f>
        <v>0.42471042471042503</v>
      </c>
      <c r="F150" s="12">
        <f>$F$140</f>
        <v>259</v>
      </c>
      <c r="G150" s="3" t="s">
        <v>1128</v>
      </c>
    </row>
    <row r="151" spans="1:7" ht="27.95" customHeight="1">
      <c r="A151" s="3" t="s">
        <v>1156</v>
      </c>
      <c r="B151" s="4" t="s">
        <v>1157</v>
      </c>
      <c r="C151" s="4" t="s">
        <v>437</v>
      </c>
      <c r="D151" s="18">
        <v>29</v>
      </c>
      <c r="E151" s="13">
        <f>IF($F151=0,0,D151/$F151)</f>
        <v>0.111969111969112</v>
      </c>
      <c r="F151" s="12">
        <f>$F$140</f>
        <v>259</v>
      </c>
      <c r="G151" s="3" t="s">
        <v>1128</v>
      </c>
    </row>
    <row r="152" spans="1:7" ht="27.95" customHeight="1">
      <c r="A152" s="3" t="s">
        <v>1156</v>
      </c>
      <c r="B152" s="4" t="s">
        <v>1157</v>
      </c>
      <c r="C152" s="4" t="s">
        <v>438</v>
      </c>
      <c r="D152" s="18">
        <v>91</v>
      </c>
      <c r="E152" s="13">
        <f>IF($F152=0,0,D152/$F152)</f>
        <v>0.35135135135135098</v>
      </c>
      <c r="F152" s="12">
        <f>$F$140</f>
        <v>259</v>
      </c>
      <c r="G152" s="3" t="s">
        <v>1128</v>
      </c>
    </row>
    <row r="153" spans="1:7" ht="27.95" customHeight="1">
      <c r="A153" s="3" t="s">
        <v>393</v>
      </c>
      <c r="B153" s="4" t="s">
        <v>1158</v>
      </c>
      <c r="C153" s="4" t="s">
        <v>556</v>
      </c>
      <c r="D153" s="18">
        <v>158</v>
      </c>
      <c r="E153" s="13">
        <f>IF($F153=0,0,D153/$F153)</f>
        <v>0.61003861003861004</v>
      </c>
      <c r="F153" s="18">
        <v>259</v>
      </c>
      <c r="G153" s="3" t="s">
        <v>1121</v>
      </c>
    </row>
    <row r="154" spans="1:7" ht="27.95" customHeight="1">
      <c r="A154" s="3" t="s">
        <v>393</v>
      </c>
      <c r="B154" s="4" t="s">
        <v>1158</v>
      </c>
      <c r="C154" s="4" t="s">
        <v>557</v>
      </c>
      <c r="D154" s="18">
        <v>23</v>
      </c>
      <c r="E154" s="13">
        <f>IF($F154=0,0,D154/$F154)</f>
        <v>8.8803088803088806E-2</v>
      </c>
      <c r="F154" s="12">
        <f>$F$153</f>
        <v>259</v>
      </c>
      <c r="G154" s="3" t="s">
        <v>1121</v>
      </c>
    </row>
    <row r="155" spans="1:7" ht="27.95" customHeight="1">
      <c r="A155" s="3" t="s">
        <v>393</v>
      </c>
      <c r="B155" s="4" t="s">
        <v>1158</v>
      </c>
      <c r="C155" s="4" t="s">
        <v>558</v>
      </c>
      <c r="D155" s="18">
        <v>17</v>
      </c>
      <c r="E155" s="13">
        <f>IF($F155=0,0,D155/$F155)</f>
        <v>6.5637065637065603E-2</v>
      </c>
      <c r="F155" s="12">
        <f>$F$153</f>
        <v>259</v>
      </c>
      <c r="G155" s="3" t="s">
        <v>1121</v>
      </c>
    </row>
    <row r="156" spans="1:7" ht="27.95" customHeight="1">
      <c r="A156" s="3" t="s">
        <v>393</v>
      </c>
      <c r="B156" s="4" t="s">
        <v>1158</v>
      </c>
      <c r="C156" s="4" t="s">
        <v>559</v>
      </c>
      <c r="D156" s="18">
        <v>37</v>
      </c>
      <c r="E156" s="13">
        <f>IF($F156=0,0,D156/$F156)</f>
        <v>0.14285714285714299</v>
      </c>
      <c r="F156" s="12">
        <f>$F$153</f>
        <v>259</v>
      </c>
      <c r="G156" s="3" t="s">
        <v>1121</v>
      </c>
    </row>
    <row r="157" spans="1:7" ht="27.95" customHeight="1">
      <c r="A157" s="3" t="s">
        <v>393</v>
      </c>
      <c r="B157" s="4" t="s">
        <v>1158</v>
      </c>
      <c r="C157" s="4" t="s">
        <v>437</v>
      </c>
      <c r="D157" s="18">
        <v>9</v>
      </c>
      <c r="E157" s="13">
        <f>IF($F157=0,0,D157/$F157)</f>
        <v>3.4749034749034798E-2</v>
      </c>
      <c r="F157" s="12">
        <f>$F$153</f>
        <v>259</v>
      </c>
      <c r="G157" s="3" t="s">
        <v>1121</v>
      </c>
    </row>
    <row r="158" spans="1:7" ht="27.95" customHeight="1">
      <c r="A158" s="3" t="s">
        <v>393</v>
      </c>
      <c r="B158" s="4" t="s">
        <v>1158</v>
      </c>
      <c r="C158" s="4" t="s">
        <v>438</v>
      </c>
      <c r="D158" s="18">
        <v>15</v>
      </c>
      <c r="E158" s="13">
        <f>IF($F158=0,0,D158/$F158)</f>
        <v>5.7915057915057903E-2</v>
      </c>
      <c r="F158" s="12">
        <f>$F$153</f>
        <v>259</v>
      </c>
      <c r="G158" s="3" t="s">
        <v>1121</v>
      </c>
    </row>
    <row r="159" spans="1:7" ht="27.95" customHeight="1">
      <c r="A159" s="3" t="s">
        <v>396</v>
      </c>
      <c r="B159" s="4" t="s">
        <v>1159</v>
      </c>
      <c r="C159" s="4" t="s">
        <v>564</v>
      </c>
      <c r="D159" s="18">
        <v>113</v>
      </c>
      <c r="E159" s="13">
        <f>IF($F159=0,0,D159/$F159)</f>
        <v>0.43629343629343598</v>
      </c>
      <c r="F159" s="18">
        <v>259</v>
      </c>
      <c r="G159" s="3" t="s">
        <v>1128</v>
      </c>
    </row>
    <row r="160" spans="1:7" ht="27.95" customHeight="1">
      <c r="A160" s="3" t="s">
        <v>396</v>
      </c>
      <c r="B160" s="4" t="s">
        <v>1159</v>
      </c>
      <c r="C160" s="4" t="s">
        <v>565</v>
      </c>
      <c r="D160" s="18">
        <v>75</v>
      </c>
      <c r="E160" s="13">
        <f>IF($F160=0,0,D160/$F160)</f>
        <v>0.28957528957529</v>
      </c>
      <c r="F160" s="12">
        <f>$F$159</f>
        <v>259</v>
      </c>
      <c r="G160" s="3" t="s">
        <v>1128</v>
      </c>
    </row>
    <row r="161" spans="1:7" ht="27.95" customHeight="1">
      <c r="A161" s="3" t="s">
        <v>396</v>
      </c>
      <c r="B161" s="4" t="s">
        <v>1159</v>
      </c>
      <c r="C161" s="4" t="s">
        <v>563</v>
      </c>
      <c r="D161" s="18">
        <v>117</v>
      </c>
      <c r="E161" s="13">
        <f>IF($F161=0,0,D161/$F161)</f>
        <v>0.451737451737452</v>
      </c>
      <c r="F161" s="12">
        <f>$F$159</f>
        <v>259</v>
      </c>
      <c r="G161" s="3" t="s">
        <v>1128</v>
      </c>
    </row>
    <row r="162" spans="1:7" ht="27.95" customHeight="1">
      <c r="A162" s="3" t="s">
        <v>396</v>
      </c>
      <c r="B162" s="4" t="s">
        <v>1159</v>
      </c>
      <c r="C162" s="4" t="s">
        <v>570</v>
      </c>
      <c r="D162" s="18">
        <v>30</v>
      </c>
      <c r="E162" s="13">
        <f>IF($F162=0,0,D162/$F162)</f>
        <v>0.115830115830116</v>
      </c>
      <c r="F162" s="12">
        <f>$F$159</f>
        <v>259</v>
      </c>
      <c r="G162" s="3" t="s">
        <v>1128</v>
      </c>
    </row>
    <row r="163" spans="1:7" ht="27.95" customHeight="1">
      <c r="A163" s="3" t="s">
        <v>396</v>
      </c>
      <c r="B163" s="4" t="s">
        <v>1159</v>
      </c>
      <c r="C163" s="4" t="s">
        <v>562</v>
      </c>
      <c r="D163" s="18">
        <v>125</v>
      </c>
      <c r="E163" s="13">
        <f>IF($F163=0,0,D163/$F163)</f>
        <v>0.48262548262548299</v>
      </c>
      <c r="F163" s="12">
        <f>$F$159</f>
        <v>259</v>
      </c>
      <c r="G163" s="3" t="s">
        <v>1128</v>
      </c>
    </row>
    <row r="164" spans="1:7" ht="27.95" customHeight="1">
      <c r="A164" s="3" t="s">
        <v>396</v>
      </c>
      <c r="B164" s="4" t="s">
        <v>1159</v>
      </c>
      <c r="C164" s="4" t="s">
        <v>567</v>
      </c>
      <c r="D164" s="18">
        <v>57</v>
      </c>
      <c r="E164" s="13">
        <f>IF($F164=0,0,D164/$F164)</f>
        <v>0.22007722007722</v>
      </c>
      <c r="F164" s="12">
        <f>$F$159</f>
        <v>259</v>
      </c>
      <c r="G164" s="3" t="s">
        <v>1128</v>
      </c>
    </row>
    <row r="165" spans="1:7" ht="27.95" customHeight="1">
      <c r="A165" s="3" t="s">
        <v>396</v>
      </c>
      <c r="B165" s="4" t="s">
        <v>1159</v>
      </c>
      <c r="C165" s="4" t="s">
        <v>568</v>
      </c>
      <c r="D165" s="18">
        <v>38</v>
      </c>
      <c r="E165" s="13">
        <f>IF($F165=0,0,D165/$F165)</f>
        <v>0.14671814671814701</v>
      </c>
      <c r="F165" s="12">
        <f>$F$159</f>
        <v>259</v>
      </c>
      <c r="G165" s="3" t="s">
        <v>1128</v>
      </c>
    </row>
    <row r="166" spans="1:7" ht="27.95" customHeight="1">
      <c r="A166" s="3" t="s">
        <v>396</v>
      </c>
      <c r="B166" s="4" t="s">
        <v>1159</v>
      </c>
      <c r="C166" s="4" t="s">
        <v>569</v>
      </c>
      <c r="D166" s="18">
        <v>33</v>
      </c>
      <c r="E166" s="13">
        <f>IF($F166=0,0,D166/$F166)</f>
        <v>0.12741312741312699</v>
      </c>
      <c r="F166" s="12">
        <f>$F$159</f>
        <v>259</v>
      </c>
      <c r="G166" s="3" t="s">
        <v>1128</v>
      </c>
    </row>
    <row r="167" spans="1:7" ht="27.95" customHeight="1">
      <c r="A167" s="3" t="s">
        <v>396</v>
      </c>
      <c r="B167" s="4" t="s">
        <v>1159</v>
      </c>
      <c r="C167" s="4" t="s">
        <v>572</v>
      </c>
      <c r="D167" s="18">
        <v>22</v>
      </c>
      <c r="E167" s="13">
        <f>IF($F167=0,0,D167/$F167)</f>
        <v>8.4942084942084897E-2</v>
      </c>
      <c r="F167" s="12">
        <f>$F$159</f>
        <v>259</v>
      </c>
      <c r="G167" s="3" t="s">
        <v>1128</v>
      </c>
    </row>
    <row r="168" spans="1:7" ht="27.95" customHeight="1">
      <c r="A168" s="3" t="s">
        <v>396</v>
      </c>
      <c r="B168" s="4" t="s">
        <v>1159</v>
      </c>
      <c r="C168" s="4" t="s">
        <v>571</v>
      </c>
      <c r="D168" s="18">
        <v>25</v>
      </c>
      <c r="E168" s="13">
        <f>IF($F168=0,0,D168/$F168)</f>
        <v>9.6525096525096499E-2</v>
      </c>
      <c r="F168" s="12">
        <f>$F$159</f>
        <v>259</v>
      </c>
      <c r="G168" s="3" t="s">
        <v>1128</v>
      </c>
    </row>
    <row r="169" spans="1:7" ht="27.95" customHeight="1">
      <c r="A169" s="3" t="s">
        <v>396</v>
      </c>
      <c r="B169" s="4" t="s">
        <v>1159</v>
      </c>
      <c r="C169" s="4" t="s">
        <v>566</v>
      </c>
      <c r="D169" s="18">
        <v>63</v>
      </c>
      <c r="E169" s="13">
        <f>IF($F169=0,0,D169/$F169)</f>
        <v>0.24324324324324301</v>
      </c>
      <c r="F169" s="12">
        <f>$F$159</f>
        <v>259</v>
      </c>
      <c r="G169" s="3" t="s">
        <v>1128</v>
      </c>
    </row>
    <row r="170" spans="1:7" ht="27.95" customHeight="1">
      <c r="A170" s="3" t="s">
        <v>396</v>
      </c>
      <c r="B170" s="4" t="s">
        <v>1159</v>
      </c>
      <c r="C170" s="4" t="s">
        <v>437</v>
      </c>
      <c r="D170" s="18">
        <v>10</v>
      </c>
      <c r="E170" s="13">
        <f>IF($F170=0,0,D170/$F170)</f>
        <v>3.8610038610038602E-2</v>
      </c>
      <c r="F170" s="12">
        <f>$F$159</f>
        <v>259</v>
      </c>
      <c r="G170" s="3" t="s">
        <v>1128</v>
      </c>
    </row>
    <row r="171" spans="1:7" ht="27.95" customHeight="1">
      <c r="A171" s="3" t="s">
        <v>396</v>
      </c>
      <c r="B171" s="4" t="s">
        <v>1159</v>
      </c>
      <c r="C171" s="4" t="s">
        <v>438</v>
      </c>
      <c r="D171" s="18">
        <v>35</v>
      </c>
      <c r="E171" s="13">
        <f>IF($F171=0,0,D171/$F171)</f>
        <v>0.135135135135135</v>
      </c>
      <c r="F171" s="12">
        <f>$F$159</f>
        <v>259</v>
      </c>
      <c r="G171" s="3" t="s">
        <v>1128</v>
      </c>
    </row>
    <row r="172" spans="1:7" ht="27.95" customHeight="1">
      <c r="A172" s="3" t="s">
        <v>1160</v>
      </c>
      <c r="B172" s="4" t="s">
        <v>1161</v>
      </c>
      <c r="C172" s="4" t="s">
        <v>575</v>
      </c>
      <c r="D172" s="18">
        <v>62</v>
      </c>
      <c r="E172" s="13">
        <f>IF($F172=0,0,D172/$F172)</f>
        <v>0.23938223938223899</v>
      </c>
      <c r="F172" s="18">
        <v>259</v>
      </c>
      <c r="G172" s="3" t="s">
        <v>1121</v>
      </c>
    </row>
    <row r="173" spans="1:7" ht="27.95" customHeight="1">
      <c r="A173" s="3" t="s">
        <v>1160</v>
      </c>
      <c r="B173" s="4" t="s">
        <v>1161</v>
      </c>
      <c r="C173" s="4" t="s">
        <v>576</v>
      </c>
      <c r="D173" s="18">
        <v>116</v>
      </c>
      <c r="E173" s="13">
        <f>IF($F173=0,0,D173/$F173)</f>
        <v>0.44787644787644798</v>
      </c>
      <c r="F173" s="12">
        <f>$F$172</f>
        <v>259</v>
      </c>
      <c r="G173" s="3" t="s">
        <v>1121</v>
      </c>
    </row>
    <row r="174" spans="1:7" ht="27.95" customHeight="1">
      <c r="A174" s="3" t="s">
        <v>1160</v>
      </c>
      <c r="B174" s="4" t="s">
        <v>1161</v>
      </c>
      <c r="C174" s="4" t="s">
        <v>577</v>
      </c>
      <c r="D174" s="18">
        <v>48</v>
      </c>
      <c r="E174" s="13">
        <f>IF($F174=0,0,D174/$F174)</f>
        <v>0.18532818532818501</v>
      </c>
      <c r="F174" s="12">
        <f>$F$172</f>
        <v>259</v>
      </c>
      <c r="G174" s="3" t="s">
        <v>1121</v>
      </c>
    </row>
    <row r="175" spans="1:7" ht="27.95" customHeight="1">
      <c r="A175" s="3" t="s">
        <v>1160</v>
      </c>
      <c r="B175" s="4" t="s">
        <v>1161</v>
      </c>
      <c r="C175" s="4" t="s">
        <v>578</v>
      </c>
      <c r="D175" s="18">
        <v>23</v>
      </c>
      <c r="E175" s="13">
        <f>IF($F175=0,0,D175/$F175)</f>
        <v>8.8803088803088806E-2</v>
      </c>
      <c r="F175" s="12">
        <f>$F$172</f>
        <v>259</v>
      </c>
      <c r="G175" s="3" t="s">
        <v>1121</v>
      </c>
    </row>
    <row r="176" spans="1:7" ht="27.95" customHeight="1">
      <c r="A176" s="3" t="s">
        <v>1160</v>
      </c>
      <c r="B176" s="4" t="s">
        <v>1161</v>
      </c>
      <c r="C176" s="4" t="s">
        <v>438</v>
      </c>
      <c r="D176" s="18">
        <v>10</v>
      </c>
      <c r="E176" s="13">
        <f>IF($F176=0,0,D176/$F176)</f>
        <v>3.8610038610038602E-2</v>
      </c>
      <c r="F176" s="12">
        <f>$F$172</f>
        <v>259</v>
      </c>
      <c r="G176" s="3" t="s">
        <v>1121</v>
      </c>
    </row>
    <row r="177" spans="1:7" ht="40.5" customHeight="1">
      <c r="A177" s="3" t="s">
        <v>1162</v>
      </c>
      <c r="B177" s="4" t="s">
        <v>1163</v>
      </c>
      <c r="C177" s="4" t="s">
        <v>489</v>
      </c>
      <c r="D177" s="18">
        <v>24</v>
      </c>
      <c r="E177" s="13">
        <f>IF($F177=0,0,D177/$F177)</f>
        <v>9.2664092664092701E-2</v>
      </c>
      <c r="F177" s="18">
        <v>259</v>
      </c>
      <c r="G177" s="3" t="s">
        <v>1121</v>
      </c>
    </row>
    <row r="178" spans="1:7" ht="40.5" customHeight="1">
      <c r="A178" s="3" t="s">
        <v>1162</v>
      </c>
      <c r="B178" s="4" t="s">
        <v>1163</v>
      </c>
      <c r="C178" s="4" t="s">
        <v>487</v>
      </c>
      <c r="D178" s="18">
        <v>44</v>
      </c>
      <c r="E178" s="13">
        <f>IF($F178=0,0,D178/$F178)</f>
        <v>0.16988416988416999</v>
      </c>
      <c r="F178" s="12">
        <f>$F$177</f>
        <v>259</v>
      </c>
      <c r="G178" s="3" t="s">
        <v>1121</v>
      </c>
    </row>
    <row r="179" spans="1:7" ht="40.5" customHeight="1">
      <c r="A179" s="3" t="s">
        <v>1162</v>
      </c>
      <c r="B179" s="4" t="s">
        <v>1163</v>
      </c>
      <c r="C179" s="4" t="s">
        <v>486</v>
      </c>
      <c r="D179" s="18">
        <v>35</v>
      </c>
      <c r="E179" s="13">
        <f>IF($F179=0,0,D179/$F179)</f>
        <v>0.135135135135135</v>
      </c>
      <c r="F179" s="12">
        <f>$F$177</f>
        <v>259</v>
      </c>
      <c r="G179" s="3" t="s">
        <v>1121</v>
      </c>
    </row>
    <row r="180" spans="1:7" ht="40.5" customHeight="1">
      <c r="A180" s="3" t="s">
        <v>1162</v>
      </c>
      <c r="B180" s="4" t="s">
        <v>1163</v>
      </c>
      <c r="C180" s="4" t="s">
        <v>488</v>
      </c>
      <c r="D180" s="18">
        <v>27</v>
      </c>
      <c r="E180" s="13">
        <f>IF($F180=0,0,D180/$F180)</f>
        <v>0.104247104247104</v>
      </c>
      <c r="F180" s="12">
        <f>$F$177</f>
        <v>259</v>
      </c>
      <c r="G180" s="3" t="s">
        <v>1121</v>
      </c>
    </row>
    <row r="181" spans="1:7" ht="40.5" customHeight="1">
      <c r="A181" s="3" t="s">
        <v>1162</v>
      </c>
      <c r="B181" s="4" t="s">
        <v>1163</v>
      </c>
      <c r="C181" s="4" t="s">
        <v>490</v>
      </c>
      <c r="D181" s="18">
        <v>4</v>
      </c>
      <c r="E181" s="13">
        <f>IF($F181=0,0,D181/$F181)</f>
        <v>1.5444015444015399E-2</v>
      </c>
      <c r="F181" s="12">
        <f>$F$177</f>
        <v>259</v>
      </c>
      <c r="G181" s="3" t="s">
        <v>1121</v>
      </c>
    </row>
    <row r="182" spans="1:7" ht="40.5" customHeight="1">
      <c r="A182" s="3" t="s">
        <v>1162</v>
      </c>
      <c r="B182" s="4" t="s">
        <v>1163</v>
      </c>
      <c r="C182" s="4" t="s">
        <v>581</v>
      </c>
      <c r="D182" s="18">
        <v>86</v>
      </c>
      <c r="E182" s="13">
        <f>IF($F182=0,0,D182/$F182)</f>
        <v>0.33204633204633199</v>
      </c>
      <c r="F182" s="12">
        <f>$F$177</f>
        <v>259</v>
      </c>
      <c r="G182" s="3" t="s">
        <v>1121</v>
      </c>
    </row>
    <row r="183" spans="1:7" ht="40.5" customHeight="1">
      <c r="A183" s="3" t="s">
        <v>1162</v>
      </c>
      <c r="B183" s="4" t="s">
        <v>1163</v>
      </c>
      <c r="C183" s="4" t="s">
        <v>438</v>
      </c>
      <c r="D183" s="18">
        <v>39</v>
      </c>
      <c r="E183" s="13">
        <f>IF($F183=0,0,D183/$F183)</f>
        <v>0.150579150579151</v>
      </c>
      <c r="F183" s="12">
        <f>$F$177</f>
        <v>259</v>
      </c>
      <c r="G183" s="3" t="s">
        <v>1121</v>
      </c>
    </row>
    <row r="184" spans="1:7" ht="27.95" customHeight="1">
      <c r="A184" s="3" t="s">
        <v>1164</v>
      </c>
      <c r="B184" s="4" t="s">
        <v>1165</v>
      </c>
      <c r="C184" s="4" t="s">
        <v>586</v>
      </c>
      <c r="D184" s="18">
        <v>56</v>
      </c>
      <c r="E184" s="13">
        <f>IF($F184=0,0,D184/$F184)</f>
        <v>0.21621621621621601</v>
      </c>
      <c r="F184" s="18">
        <v>259</v>
      </c>
      <c r="G184" s="3" t="s">
        <v>1128</v>
      </c>
    </row>
    <row r="185" spans="1:7" ht="27.95" customHeight="1">
      <c r="A185" s="3" t="s">
        <v>1164</v>
      </c>
      <c r="B185" s="4" t="s">
        <v>1165</v>
      </c>
      <c r="C185" s="4" t="s">
        <v>590</v>
      </c>
      <c r="D185" s="18">
        <v>25</v>
      </c>
      <c r="E185" s="13">
        <f>IF($F185=0,0,D185/$F185)</f>
        <v>9.6525096525096499E-2</v>
      </c>
      <c r="F185" s="12">
        <f>$F$184</f>
        <v>259</v>
      </c>
      <c r="G185" s="3" t="s">
        <v>1128</v>
      </c>
    </row>
    <row r="186" spans="1:7" ht="27.95" customHeight="1">
      <c r="A186" s="3" t="s">
        <v>1164</v>
      </c>
      <c r="B186" s="4" t="s">
        <v>1165</v>
      </c>
      <c r="C186" s="4" t="s">
        <v>584</v>
      </c>
      <c r="D186" s="18">
        <v>161</v>
      </c>
      <c r="E186" s="13">
        <f>IF($F186=0,0,D186/$F186)</f>
        <v>0.62162162162162204</v>
      </c>
      <c r="F186" s="12">
        <f>$F$184</f>
        <v>259</v>
      </c>
      <c r="G186" s="3" t="s">
        <v>1128</v>
      </c>
    </row>
    <row r="187" spans="1:7" ht="27.95" customHeight="1">
      <c r="A187" s="3" t="s">
        <v>1164</v>
      </c>
      <c r="B187" s="4" t="s">
        <v>1165</v>
      </c>
      <c r="C187" s="4" t="s">
        <v>585</v>
      </c>
      <c r="D187" s="18">
        <v>141</v>
      </c>
      <c r="E187" s="13">
        <f>IF($F187=0,0,D187/$F187)</f>
        <v>0.54440154440154398</v>
      </c>
      <c r="F187" s="12">
        <f>$F$184</f>
        <v>259</v>
      </c>
      <c r="G187" s="3" t="s">
        <v>1128</v>
      </c>
    </row>
    <row r="188" spans="1:7" ht="27.95" customHeight="1">
      <c r="A188" s="3" t="s">
        <v>1164</v>
      </c>
      <c r="B188" s="4" t="s">
        <v>1165</v>
      </c>
      <c r="C188" s="4" t="s">
        <v>588</v>
      </c>
      <c r="D188" s="18">
        <v>51</v>
      </c>
      <c r="E188" s="13">
        <f>IF($F188=0,0,D188/$F188)</f>
        <v>0.19691119691119699</v>
      </c>
      <c r="F188" s="12">
        <f>$F$184</f>
        <v>259</v>
      </c>
      <c r="G188" s="3" t="s">
        <v>1128</v>
      </c>
    </row>
    <row r="189" spans="1:7" ht="27.95" customHeight="1">
      <c r="A189" s="3" t="s">
        <v>1164</v>
      </c>
      <c r="B189" s="4" t="s">
        <v>1165</v>
      </c>
      <c r="C189" s="4" t="s">
        <v>589</v>
      </c>
      <c r="D189" s="18">
        <v>38</v>
      </c>
      <c r="E189" s="13">
        <f>IF($F189=0,0,D189/$F189)</f>
        <v>0.14671814671814701</v>
      </c>
      <c r="F189" s="12">
        <f>$F$184</f>
        <v>259</v>
      </c>
      <c r="G189" s="3" t="s">
        <v>1128</v>
      </c>
    </row>
    <row r="190" spans="1:7" ht="27.95" customHeight="1">
      <c r="A190" s="3" t="s">
        <v>1164</v>
      </c>
      <c r="B190" s="4" t="s">
        <v>1165</v>
      </c>
      <c r="C190" s="4" t="s">
        <v>591</v>
      </c>
      <c r="D190" s="18">
        <v>22</v>
      </c>
      <c r="E190" s="13">
        <f>IF($F190=0,0,D190/$F190)</f>
        <v>8.4942084942084897E-2</v>
      </c>
      <c r="F190" s="12">
        <f>$F$184</f>
        <v>259</v>
      </c>
      <c r="G190" s="3" t="s">
        <v>1128</v>
      </c>
    </row>
    <row r="191" spans="1:7" ht="27.95" customHeight="1">
      <c r="A191" s="3" t="s">
        <v>1164</v>
      </c>
      <c r="B191" s="4" t="s">
        <v>1165</v>
      </c>
      <c r="C191" s="4" t="s">
        <v>587</v>
      </c>
      <c r="D191" s="18">
        <v>53</v>
      </c>
      <c r="E191" s="13">
        <f>IF($F191=0,0,D191/$F191)</f>
        <v>0.204633204633205</v>
      </c>
      <c r="F191" s="12">
        <f>$F$184</f>
        <v>259</v>
      </c>
      <c r="G191" s="3" t="s">
        <v>1128</v>
      </c>
    </row>
    <row r="192" spans="1:7" ht="27.95" customHeight="1">
      <c r="A192" s="3" t="s">
        <v>1164</v>
      </c>
      <c r="B192" s="4" t="s">
        <v>1165</v>
      </c>
      <c r="C192" s="4" t="s">
        <v>437</v>
      </c>
      <c r="D192" s="18">
        <v>13</v>
      </c>
      <c r="E192" s="13">
        <f>IF($F192=0,0,D192/$F192)</f>
        <v>5.0193050193050197E-2</v>
      </c>
      <c r="F192" s="12">
        <f>$F$184</f>
        <v>259</v>
      </c>
      <c r="G192" s="3" t="s">
        <v>1128</v>
      </c>
    </row>
    <row r="193" spans="1:7" ht="27.95" customHeight="1">
      <c r="A193" s="3" t="s">
        <v>1164</v>
      </c>
      <c r="B193" s="4" t="s">
        <v>1165</v>
      </c>
      <c r="C193" s="4" t="s">
        <v>438</v>
      </c>
      <c r="D193" s="18">
        <v>36</v>
      </c>
      <c r="E193" s="13">
        <f>IF($F193=0,0,D193/$F193)</f>
        <v>0.138996138996139</v>
      </c>
      <c r="F193" s="12">
        <f>$F$184</f>
        <v>259</v>
      </c>
      <c r="G193" s="3" t="s">
        <v>1128</v>
      </c>
    </row>
    <row r="194" spans="1:7" ht="27.95" customHeight="1">
      <c r="A194" s="3" t="s">
        <v>399</v>
      </c>
      <c r="B194" s="4" t="s">
        <v>1166</v>
      </c>
      <c r="C194" s="4" t="s">
        <v>596</v>
      </c>
      <c r="D194" s="18">
        <v>51</v>
      </c>
      <c r="E194" s="13">
        <f>IF($F194=0,0,D194/$F194)</f>
        <v>0.19691119691119699</v>
      </c>
      <c r="F194" s="18">
        <v>259</v>
      </c>
      <c r="G194" s="3" t="s">
        <v>1128</v>
      </c>
    </row>
    <row r="195" spans="1:7" ht="27.95" customHeight="1">
      <c r="A195" s="3" t="s">
        <v>399</v>
      </c>
      <c r="B195" s="4" t="s">
        <v>1166</v>
      </c>
      <c r="C195" s="4" t="s">
        <v>599</v>
      </c>
      <c r="D195" s="18">
        <v>34</v>
      </c>
      <c r="E195" s="13">
        <f>IF($F195=0,0,D195/$F195)</f>
        <v>0.13127413127413101</v>
      </c>
      <c r="F195" s="12">
        <f>$F$194</f>
        <v>259</v>
      </c>
      <c r="G195" s="3" t="s">
        <v>1128</v>
      </c>
    </row>
    <row r="196" spans="1:7" ht="27.95" customHeight="1">
      <c r="A196" s="3" t="s">
        <v>399</v>
      </c>
      <c r="B196" s="4" t="s">
        <v>1166</v>
      </c>
      <c r="C196" s="4" t="s">
        <v>597</v>
      </c>
      <c r="D196" s="18">
        <v>39</v>
      </c>
      <c r="E196" s="13">
        <f>IF($F196=0,0,D196/$F196)</f>
        <v>0.150579150579151</v>
      </c>
      <c r="F196" s="12">
        <f>$F$194</f>
        <v>259</v>
      </c>
      <c r="G196" s="3" t="s">
        <v>1128</v>
      </c>
    </row>
    <row r="197" spans="1:7" ht="27.95" customHeight="1">
      <c r="A197" s="3" t="s">
        <v>399</v>
      </c>
      <c r="B197" s="4" t="s">
        <v>1166</v>
      </c>
      <c r="C197" s="4" t="s">
        <v>601</v>
      </c>
      <c r="D197" s="18">
        <v>22</v>
      </c>
      <c r="E197" s="13">
        <f>IF($F197=0,0,D197/$F197)</f>
        <v>8.4942084942084897E-2</v>
      </c>
      <c r="F197" s="12">
        <f>$F$194</f>
        <v>259</v>
      </c>
      <c r="G197" s="3" t="s">
        <v>1128</v>
      </c>
    </row>
    <row r="198" spans="1:7" ht="27.95" customHeight="1">
      <c r="A198" s="3" t="s">
        <v>399</v>
      </c>
      <c r="B198" s="4" t="s">
        <v>1166</v>
      </c>
      <c r="C198" s="4" t="s">
        <v>602</v>
      </c>
      <c r="D198" s="18">
        <v>22</v>
      </c>
      <c r="E198" s="13">
        <f>IF($F198=0,0,D198/$F198)</f>
        <v>8.4942084942084897E-2</v>
      </c>
      <c r="F198" s="12">
        <f>$F$194</f>
        <v>259</v>
      </c>
      <c r="G198" s="3" t="s">
        <v>1128</v>
      </c>
    </row>
    <row r="199" spans="1:7" ht="27.95" customHeight="1">
      <c r="A199" s="3" t="s">
        <v>399</v>
      </c>
      <c r="B199" s="4" t="s">
        <v>1166</v>
      </c>
      <c r="C199" s="4" t="s">
        <v>600</v>
      </c>
      <c r="D199" s="18">
        <v>30</v>
      </c>
      <c r="E199" s="13">
        <f>IF($F199=0,0,D199/$F199)</f>
        <v>0.115830115830116</v>
      </c>
      <c r="F199" s="12">
        <f>$F$194</f>
        <v>259</v>
      </c>
      <c r="G199" s="3" t="s">
        <v>1128</v>
      </c>
    </row>
    <row r="200" spans="1:7" ht="27.95" customHeight="1">
      <c r="A200" s="3" t="s">
        <v>399</v>
      </c>
      <c r="B200" s="4" t="s">
        <v>1166</v>
      </c>
      <c r="C200" s="4" t="s">
        <v>594</v>
      </c>
      <c r="D200" s="18">
        <v>65</v>
      </c>
      <c r="E200" s="13">
        <f>IF($F200=0,0,D200/$F200)</f>
        <v>0.25096525096525102</v>
      </c>
      <c r="F200" s="12">
        <f>$F$194</f>
        <v>259</v>
      </c>
      <c r="G200" s="3" t="s">
        <v>1128</v>
      </c>
    </row>
    <row r="201" spans="1:7" ht="27.95" customHeight="1">
      <c r="A201" s="3" t="s">
        <v>399</v>
      </c>
      <c r="B201" s="4" t="s">
        <v>1166</v>
      </c>
      <c r="C201" s="4" t="s">
        <v>603</v>
      </c>
      <c r="D201" s="18">
        <v>16</v>
      </c>
      <c r="E201" s="13">
        <f>IF($F201=0,0,D201/$F201)</f>
        <v>6.1776061776061798E-2</v>
      </c>
      <c r="F201" s="12">
        <f>$F$194</f>
        <v>259</v>
      </c>
      <c r="G201" s="3" t="s">
        <v>1128</v>
      </c>
    </row>
    <row r="202" spans="1:7" ht="27.95" customHeight="1">
      <c r="A202" s="3" t="s">
        <v>399</v>
      </c>
      <c r="B202" s="4" t="s">
        <v>1166</v>
      </c>
      <c r="C202" s="4" t="s">
        <v>598</v>
      </c>
      <c r="D202" s="18">
        <v>36</v>
      </c>
      <c r="E202" s="13">
        <f>IF($F202=0,0,D202/$F202)</f>
        <v>0.138996138996139</v>
      </c>
      <c r="F202" s="12">
        <f>$F$194</f>
        <v>259</v>
      </c>
      <c r="G202" s="3" t="s">
        <v>1128</v>
      </c>
    </row>
    <row r="203" spans="1:7" ht="27.95" customHeight="1">
      <c r="A203" s="3" t="s">
        <v>399</v>
      </c>
      <c r="B203" s="4" t="s">
        <v>1166</v>
      </c>
      <c r="C203" s="4" t="s">
        <v>595</v>
      </c>
      <c r="D203" s="18">
        <v>60</v>
      </c>
      <c r="E203" s="13">
        <f>IF($F203=0,0,D203/$F203)</f>
        <v>0.231660231660232</v>
      </c>
      <c r="F203" s="12">
        <f>$F$194</f>
        <v>259</v>
      </c>
      <c r="G203" s="3" t="s">
        <v>1128</v>
      </c>
    </row>
    <row r="204" spans="1:7" ht="27.95" customHeight="1">
      <c r="A204" s="3" t="s">
        <v>399</v>
      </c>
      <c r="B204" s="4" t="s">
        <v>1166</v>
      </c>
      <c r="C204" s="4" t="s">
        <v>437</v>
      </c>
      <c r="D204" s="18">
        <v>11</v>
      </c>
      <c r="E204" s="13">
        <f>IF($F204=0,0,D204/$F204)</f>
        <v>4.2471042471042497E-2</v>
      </c>
      <c r="F204" s="12">
        <f>$F$194</f>
        <v>259</v>
      </c>
      <c r="G204" s="3" t="s">
        <v>1128</v>
      </c>
    </row>
    <row r="205" spans="1:7" ht="27.95" customHeight="1">
      <c r="A205" s="3" t="s">
        <v>399</v>
      </c>
      <c r="B205" s="4" t="s">
        <v>1166</v>
      </c>
      <c r="C205" s="4" t="s">
        <v>604</v>
      </c>
      <c r="D205" s="18">
        <v>63</v>
      </c>
      <c r="E205" s="13">
        <f>IF($F205=0,0,D205/$F205)</f>
        <v>0.24324324324324301</v>
      </c>
      <c r="F205" s="12">
        <f>$F$194</f>
        <v>259</v>
      </c>
      <c r="G205" s="3" t="s">
        <v>1128</v>
      </c>
    </row>
    <row r="206" spans="1:7" ht="27.95" customHeight="1">
      <c r="A206" s="3" t="s">
        <v>399</v>
      </c>
      <c r="B206" s="4" t="s">
        <v>1166</v>
      </c>
      <c r="C206" s="4" t="s">
        <v>438</v>
      </c>
      <c r="D206" s="18">
        <v>45</v>
      </c>
      <c r="E206" s="13">
        <f>IF($F206=0,0,D206/$F206)</f>
        <v>0.17374517374517401</v>
      </c>
      <c r="F206" s="12">
        <f>$F$194</f>
        <v>259</v>
      </c>
      <c r="G206" s="3" t="s">
        <v>1128</v>
      </c>
    </row>
    <row r="207" spans="1:7" ht="27.95" customHeight="1">
      <c r="A207" s="3" t="s">
        <v>402</v>
      </c>
      <c r="B207" s="4" t="s">
        <v>1167</v>
      </c>
      <c r="C207" s="4" t="s">
        <v>607</v>
      </c>
      <c r="D207" s="18">
        <v>41</v>
      </c>
      <c r="E207" s="13">
        <f>IF($F207=0,0,D207/$F207)</f>
        <v>0.15830115830115801</v>
      </c>
      <c r="F207" s="18">
        <v>259</v>
      </c>
      <c r="G207" s="3" t="s">
        <v>1121</v>
      </c>
    </row>
    <row r="208" spans="1:7" ht="27.95" customHeight="1">
      <c r="A208" s="3" t="s">
        <v>402</v>
      </c>
      <c r="B208" s="4" t="s">
        <v>1167</v>
      </c>
      <c r="C208" s="4" t="s">
        <v>608</v>
      </c>
      <c r="D208" s="18">
        <v>2</v>
      </c>
      <c r="E208" s="13">
        <f>IF($F208=0,0,D208/$F208)</f>
        <v>7.7220077220077196E-3</v>
      </c>
      <c r="F208" s="12">
        <f>$F$207</f>
        <v>259</v>
      </c>
      <c r="G208" s="3" t="s">
        <v>1121</v>
      </c>
    </row>
    <row r="209" spans="1:7" ht="27.95" customHeight="1">
      <c r="A209" s="3" t="s">
        <v>402</v>
      </c>
      <c r="B209" s="4" t="s">
        <v>1167</v>
      </c>
      <c r="C209" s="4" t="s">
        <v>609</v>
      </c>
      <c r="D209" s="18">
        <v>8</v>
      </c>
      <c r="E209" s="13">
        <f>IF($F209=0,0,D209/$F209)</f>
        <v>3.0888030888030899E-2</v>
      </c>
      <c r="F209" s="12">
        <f>$F$207</f>
        <v>259</v>
      </c>
      <c r="G209" s="3" t="s">
        <v>1121</v>
      </c>
    </row>
    <row r="210" spans="1:7" ht="27.95" customHeight="1">
      <c r="A210" s="3" t="s">
        <v>402</v>
      </c>
      <c r="B210" s="4" t="s">
        <v>1167</v>
      </c>
      <c r="C210" s="4" t="s">
        <v>610</v>
      </c>
      <c r="D210" s="18">
        <v>26</v>
      </c>
      <c r="E210" s="13">
        <f>IF($F210=0,0,D210/$F210)</f>
        <v>0.10038610038610001</v>
      </c>
      <c r="F210" s="12">
        <f>$F$207</f>
        <v>259</v>
      </c>
      <c r="G210" s="3" t="s">
        <v>1121</v>
      </c>
    </row>
    <row r="211" spans="1:7" ht="27.95" customHeight="1">
      <c r="A211" s="3" t="s">
        <v>402</v>
      </c>
      <c r="B211" s="4" t="s">
        <v>1167</v>
      </c>
      <c r="C211" s="4" t="s">
        <v>611</v>
      </c>
      <c r="D211" s="18">
        <v>3</v>
      </c>
      <c r="E211" s="13">
        <f>IF($F211=0,0,D211/$F211)</f>
        <v>1.15830115830116E-2</v>
      </c>
      <c r="F211" s="12">
        <f>$F$207</f>
        <v>259</v>
      </c>
      <c r="G211" s="3" t="s">
        <v>1121</v>
      </c>
    </row>
    <row r="212" spans="1:7" ht="27.95" customHeight="1">
      <c r="A212" s="3" t="s">
        <v>402</v>
      </c>
      <c r="B212" s="4" t="s">
        <v>1167</v>
      </c>
      <c r="C212" s="4" t="s">
        <v>612</v>
      </c>
      <c r="D212" s="18">
        <v>3</v>
      </c>
      <c r="E212" s="13">
        <f>IF($F212=0,0,D212/$F212)</f>
        <v>1.15830115830116E-2</v>
      </c>
      <c r="F212" s="12">
        <f>$F$207</f>
        <v>259</v>
      </c>
      <c r="G212" s="3" t="s">
        <v>1121</v>
      </c>
    </row>
    <row r="213" spans="1:7" ht="27.95" customHeight="1">
      <c r="A213" s="3" t="s">
        <v>402</v>
      </c>
      <c r="B213" s="4" t="s">
        <v>1167</v>
      </c>
      <c r="C213" s="4" t="s">
        <v>613</v>
      </c>
      <c r="D213" s="18">
        <v>114</v>
      </c>
      <c r="E213" s="13">
        <f>IF($F213=0,0,D213/$F213)</f>
        <v>0.44015444015444</v>
      </c>
      <c r="F213" s="12">
        <f>$F$207</f>
        <v>259</v>
      </c>
      <c r="G213" s="3" t="s">
        <v>1121</v>
      </c>
    </row>
    <row r="214" spans="1:7" ht="27.95" customHeight="1">
      <c r="A214" s="3" t="s">
        <v>402</v>
      </c>
      <c r="B214" s="4" t="s">
        <v>1167</v>
      </c>
      <c r="C214" s="4" t="s">
        <v>614</v>
      </c>
      <c r="D214" s="18">
        <v>24</v>
      </c>
      <c r="E214" s="13">
        <f>IF($F214=0,0,D214/$F214)</f>
        <v>9.2664092664092701E-2</v>
      </c>
      <c r="F214" s="12">
        <f>$F$207</f>
        <v>259</v>
      </c>
      <c r="G214" s="3" t="s">
        <v>1121</v>
      </c>
    </row>
    <row r="215" spans="1:7" ht="27.95" customHeight="1">
      <c r="A215" s="3" t="s">
        <v>402</v>
      </c>
      <c r="B215" s="4" t="s">
        <v>1167</v>
      </c>
      <c r="C215" s="4" t="s">
        <v>615</v>
      </c>
      <c r="D215" s="18">
        <v>3</v>
      </c>
      <c r="E215" s="13">
        <f>IF($F215=0,0,D215/$F215)</f>
        <v>1.15830115830116E-2</v>
      </c>
      <c r="F215" s="12">
        <f>$F$207</f>
        <v>259</v>
      </c>
      <c r="G215" s="3" t="s">
        <v>1121</v>
      </c>
    </row>
    <row r="216" spans="1:7" ht="27.95" customHeight="1">
      <c r="A216" s="3" t="s">
        <v>402</v>
      </c>
      <c r="B216" s="4" t="s">
        <v>1167</v>
      </c>
      <c r="C216" s="4" t="s">
        <v>437</v>
      </c>
      <c r="D216" s="18">
        <v>7</v>
      </c>
      <c r="E216" s="13">
        <f>IF($F216=0,0,D216/$F216)</f>
        <v>2.7027027027027001E-2</v>
      </c>
      <c r="F216" s="12">
        <f>$F$207</f>
        <v>259</v>
      </c>
      <c r="G216" s="3" t="s">
        <v>1121</v>
      </c>
    </row>
    <row r="217" spans="1:7" ht="27.95" customHeight="1">
      <c r="A217" s="3" t="s">
        <v>402</v>
      </c>
      <c r="B217" s="4" t="s">
        <v>1167</v>
      </c>
      <c r="C217" s="4" t="s">
        <v>438</v>
      </c>
      <c r="D217" s="18">
        <v>28</v>
      </c>
      <c r="E217" s="13">
        <f>IF($F217=0,0,D217/$F217)</f>
        <v>0.108108108108108</v>
      </c>
      <c r="F217" s="12">
        <f>$F$207</f>
        <v>259</v>
      </c>
      <c r="G217" s="3" t="s">
        <v>1121</v>
      </c>
    </row>
    <row r="218" spans="1:7" ht="27.95" customHeight="1">
      <c r="A218" s="3" t="s">
        <v>1168</v>
      </c>
      <c r="B218" s="4" t="s">
        <v>1169</v>
      </c>
      <c r="C218" s="4" t="s">
        <v>618</v>
      </c>
      <c r="D218" s="18">
        <v>10</v>
      </c>
      <c r="E218" s="13">
        <f>IF($F218=0,0,D218/$F218)</f>
        <v>3.8610038610038602E-2</v>
      </c>
      <c r="F218" s="18">
        <v>259</v>
      </c>
      <c r="G218" s="3" t="s">
        <v>1121</v>
      </c>
    </row>
    <row r="219" spans="1:7" ht="27.95" customHeight="1">
      <c r="A219" s="3" t="s">
        <v>1168</v>
      </c>
      <c r="B219" s="4" t="s">
        <v>1169</v>
      </c>
      <c r="C219" s="4" t="s">
        <v>619</v>
      </c>
      <c r="D219" s="18">
        <v>8</v>
      </c>
      <c r="E219" s="13">
        <f>IF($F219=0,0,D219/$F219)</f>
        <v>3.0888030888030899E-2</v>
      </c>
      <c r="F219" s="12">
        <f>$F$218</f>
        <v>259</v>
      </c>
      <c r="G219" s="3" t="s">
        <v>1121</v>
      </c>
    </row>
    <row r="220" spans="1:7" ht="27.95" customHeight="1">
      <c r="A220" s="3" t="s">
        <v>1168</v>
      </c>
      <c r="B220" s="4" t="s">
        <v>1169</v>
      </c>
      <c r="C220" s="4" t="s">
        <v>620</v>
      </c>
      <c r="D220" s="18">
        <v>14</v>
      </c>
      <c r="E220" s="13">
        <f>IF($F220=0,0,D220/$F220)</f>
        <v>5.4054054054054099E-2</v>
      </c>
      <c r="F220" s="12">
        <f>$F$218</f>
        <v>259</v>
      </c>
      <c r="G220" s="3" t="s">
        <v>1121</v>
      </c>
    </row>
    <row r="221" spans="1:7" ht="27.95" customHeight="1">
      <c r="A221" s="3" t="s">
        <v>1168</v>
      </c>
      <c r="B221" s="4" t="s">
        <v>1169</v>
      </c>
      <c r="C221" s="4" t="s">
        <v>621</v>
      </c>
      <c r="D221" s="18">
        <v>7</v>
      </c>
      <c r="E221" s="13">
        <f>IF($F221=0,0,D221/$F221)</f>
        <v>2.7027027027027001E-2</v>
      </c>
      <c r="F221" s="12">
        <f>$F$218</f>
        <v>259</v>
      </c>
      <c r="G221" s="3" t="s">
        <v>1121</v>
      </c>
    </row>
    <row r="222" spans="1:7" ht="27.95" customHeight="1">
      <c r="A222" s="3" t="s">
        <v>1168</v>
      </c>
      <c r="B222" s="4" t="s">
        <v>1169</v>
      </c>
      <c r="C222" s="4" t="s">
        <v>437</v>
      </c>
      <c r="D222" s="18">
        <v>2</v>
      </c>
      <c r="E222" s="13">
        <f>IF($F222=0,0,D222/$F222)</f>
        <v>7.7220077220077196E-3</v>
      </c>
      <c r="F222" s="12">
        <f>$F$218</f>
        <v>259</v>
      </c>
      <c r="G222" s="3" t="s">
        <v>1121</v>
      </c>
    </row>
    <row r="223" spans="1:7" ht="27.95" customHeight="1">
      <c r="A223" s="3" t="s">
        <v>1168</v>
      </c>
      <c r="B223" s="4" t="s">
        <v>1169</v>
      </c>
      <c r="C223" s="4" t="s">
        <v>438</v>
      </c>
      <c r="D223" s="18">
        <v>218</v>
      </c>
      <c r="E223" s="13">
        <f>IF($F223=0,0,D223/$F223)</f>
        <v>0.84169884169884202</v>
      </c>
      <c r="F223" s="12">
        <f>$F$218</f>
        <v>259</v>
      </c>
      <c r="G223" s="3" t="s">
        <v>1121</v>
      </c>
    </row>
    <row r="224" spans="1:7" ht="40.5" customHeight="1">
      <c r="A224" s="3" t="s">
        <v>1170</v>
      </c>
      <c r="B224" s="4" t="s">
        <v>1171</v>
      </c>
      <c r="C224" s="4" t="s">
        <v>624</v>
      </c>
      <c r="D224" s="18">
        <v>20</v>
      </c>
      <c r="E224" s="13">
        <f>IF($F224=0,0,D224/$F224)</f>
        <v>7.7220077220077205E-2</v>
      </c>
      <c r="F224" s="18">
        <v>259</v>
      </c>
      <c r="G224" s="3" t="s">
        <v>1121</v>
      </c>
    </row>
    <row r="225" spans="1:7" ht="40.5" customHeight="1">
      <c r="A225" s="3" t="s">
        <v>1170</v>
      </c>
      <c r="B225" s="4" t="s">
        <v>1171</v>
      </c>
      <c r="C225" s="4" t="s">
        <v>625</v>
      </c>
      <c r="D225" s="18">
        <v>57</v>
      </c>
      <c r="E225" s="13">
        <f>IF($F225=0,0,D225/$F225)</f>
        <v>0.22007722007722</v>
      </c>
      <c r="F225" s="12">
        <f>$F$224</f>
        <v>259</v>
      </c>
      <c r="G225" s="3" t="s">
        <v>1121</v>
      </c>
    </row>
    <row r="226" spans="1:7" ht="40.5" customHeight="1">
      <c r="A226" s="3" t="s">
        <v>1170</v>
      </c>
      <c r="B226" s="4" t="s">
        <v>1171</v>
      </c>
      <c r="C226" s="4" t="s">
        <v>442</v>
      </c>
      <c r="D226" s="18">
        <v>16</v>
      </c>
      <c r="E226" s="13">
        <f>IF($F226=0,0,D226/$F226)</f>
        <v>6.1776061776061798E-2</v>
      </c>
      <c r="F226" s="12">
        <f>$F$224</f>
        <v>259</v>
      </c>
      <c r="G226" s="3" t="s">
        <v>1121</v>
      </c>
    </row>
    <row r="227" spans="1:7" ht="40.5" customHeight="1">
      <c r="A227" s="3" t="s">
        <v>1170</v>
      </c>
      <c r="B227" s="4" t="s">
        <v>1171</v>
      </c>
      <c r="C227" s="4" t="s">
        <v>438</v>
      </c>
      <c r="D227" s="18">
        <v>166</v>
      </c>
      <c r="E227" s="13">
        <f>IF($F227=0,0,D227/$F227)</f>
        <v>0.64092664092664098</v>
      </c>
      <c r="F227" s="12">
        <f>$F$224</f>
        <v>259</v>
      </c>
      <c r="G227" s="3" t="s">
        <v>1121</v>
      </c>
    </row>
    <row r="228" spans="1:7" ht="27.95" customHeight="1">
      <c r="A228" s="3" t="s">
        <v>1172</v>
      </c>
      <c r="B228" s="4" t="s">
        <v>1173</v>
      </c>
      <c r="C228" s="4" t="s">
        <v>628</v>
      </c>
      <c r="D228" s="18">
        <v>4</v>
      </c>
      <c r="E228" s="13">
        <f>IF($F228=0,0,D228/$F228)</f>
        <v>1.5444015444015399E-2</v>
      </c>
      <c r="F228" s="18">
        <v>259</v>
      </c>
      <c r="G228" s="3" t="s">
        <v>1121</v>
      </c>
    </row>
    <row r="229" spans="1:7" ht="27.95" customHeight="1">
      <c r="A229" s="3" t="s">
        <v>1172</v>
      </c>
      <c r="B229" s="4" t="s">
        <v>1173</v>
      </c>
      <c r="C229" s="4" t="s">
        <v>629</v>
      </c>
      <c r="D229" s="18">
        <v>14</v>
      </c>
      <c r="E229" s="13">
        <f>IF($F229=0,0,D229/$F229)</f>
        <v>5.4054054054054099E-2</v>
      </c>
      <c r="F229" s="12">
        <f>$F$228</f>
        <v>259</v>
      </c>
      <c r="G229" s="3" t="s">
        <v>1121</v>
      </c>
    </row>
    <row r="230" spans="1:7" ht="27.95" customHeight="1">
      <c r="A230" s="3" t="s">
        <v>1172</v>
      </c>
      <c r="B230" s="4" t="s">
        <v>1173</v>
      </c>
      <c r="C230" s="4" t="s">
        <v>630</v>
      </c>
      <c r="D230" s="18">
        <v>12</v>
      </c>
      <c r="E230" s="13">
        <f>IF($F230=0,0,D230/$F230)</f>
        <v>4.6332046332046302E-2</v>
      </c>
      <c r="F230" s="12">
        <f>$F$228</f>
        <v>259</v>
      </c>
      <c r="G230" s="3" t="s">
        <v>1121</v>
      </c>
    </row>
    <row r="231" spans="1:7" ht="27.95" customHeight="1">
      <c r="A231" s="3" t="s">
        <v>1172</v>
      </c>
      <c r="B231" s="4" t="s">
        <v>1173</v>
      </c>
      <c r="C231" s="4" t="s">
        <v>438</v>
      </c>
      <c r="D231" s="18">
        <v>229</v>
      </c>
      <c r="E231" s="13">
        <f>IF($F231=0,0,D231/$F231)</f>
        <v>0.88416988416988396</v>
      </c>
      <c r="F231" s="12">
        <f>$F$228</f>
        <v>259</v>
      </c>
      <c r="G231" s="3" t="s">
        <v>1121</v>
      </c>
    </row>
    <row r="232" spans="1:7" ht="40.5" customHeight="1">
      <c r="A232" s="3" t="s">
        <v>405</v>
      </c>
      <c r="B232" s="4" t="s">
        <v>1174</v>
      </c>
      <c r="C232" s="4" t="s">
        <v>634</v>
      </c>
      <c r="D232" s="18">
        <v>85</v>
      </c>
      <c r="E232" s="13">
        <f>IF($F232=0,0,D232/$F232)</f>
        <v>0.32818532818532797</v>
      </c>
      <c r="F232" s="18">
        <v>259</v>
      </c>
      <c r="G232" s="3" t="s">
        <v>1128</v>
      </c>
    </row>
    <row r="233" spans="1:7" ht="40.5" customHeight="1">
      <c r="A233" s="3" t="s">
        <v>405</v>
      </c>
      <c r="B233" s="4" t="s">
        <v>1174</v>
      </c>
      <c r="C233" s="4" t="s">
        <v>636</v>
      </c>
      <c r="D233" s="18">
        <v>61</v>
      </c>
      <c r="E233" s="13">
        <f>IF($F233=0,0,D233/$F233)</f>
        <v>0.23552123552123599</v>
      </c>
      <c r="F233" s="12">
        <f>$F$232</f>
        <v>259</v>
      </c>
      <c r="G233" s="3" t="s">
        <v>1128</v>
      </c>
    </row>
    <row r="234" spans="1:7" ht="40.5" customHeight="1">
      <c r="A234" s="3" t="s">
        <v>405</v>
      </c>
      <c r="B234" s="4" t="s">
        <v>1174</v>
      </c>
      <c r="C234" s="4" t="s">
        <v>635</v>
      </c>
      <c r="D234" s="18">
        <v>81</v>
      </c>
      <c r="E234" s="13">
        <f>IF($F234=0,0,D234/$F234)</f>
        <v>0.312741312741313</v>
      </c>
      <c r="F234" s="12">
        <f>$F$232</f>
        <v>259</v>
      </c>
      <c r="G234" s="3" t="s">
        <v>1128</v>
      </c>
    </row>
    <row r="235" spans="1:7" ht="40.5" customHeight="1">
      <c r="A235" s="3" t="s">
        <v>405</v>
      </c>
      <c r="B235" s="4" t="s">
        <v>1174</v>
      </c>
      <c r="C235" s="4" t="s">
        <v>640</v>
      </c>
      <c r="D235" s="18">
        <v>48</v>
      </c>
      <c r="E235" s="13">
        <f>IF($F235=0,0,D235/$F235)</f>
        <v>0.18532818532818501</v>
      </c>
      <c r="F235" s="12">
        <f>$F$232</f>
        <v>259</v>
      </c>
      <c r="G235" s="3" t="s">
        <v>1128</v>
      </c>
    </row>
    <row r="236" spans="1:7" ht="40.5" customHeight="1">
      <c r="A236" s="3" t="s">
        <v>405</v>
      </c>
      <c r="B236" s="4" t="s">
        <v>1174</v>
      </c>
      <c r="C236" s="4" t="s">
        <v>633</v>
      </c>
      <c r="D236" s="18">
        <v>93</v>
      </c>
      <c r="E236" s="13">
        <f>IF($F236=0,0,D236/$F236)</f>
        <v>0.35907335907335902</v>
      </c>
      <c r="F236" s="12">
        <f>$F$232</f>
        <v>259</v>
      </c>
      <c r="G236" s="3" t="s">
        <v>1128</v>
      </c>
    </row>
    <row r="237" spans="1:7" ht="40.5" customHeight="1">
      <c r="A237" s="3" t="s">
        <v>405</v>
      </c>
      <c r="B237" s="4" t="s">
        <v>1174</v>
      </c>
      <c r="C237" s="4" t="s">
        <v>637</v>
      </c>
      <c r="D237" s="18">
        <v>52</v>
      </c>
      <c r="E237" s="13">
        <f>IF($F237=0,0,D237/$F237)</f>
        <v>0.20077220077220101</v>
      </c>
      <c r="F237" s="12">
        <f>$F$232</f>
        <v>259</v>
      </c>
      <c r="G237" s="3" t="s">
        <v>1128</v>
      </c>
    </row>
    <row r="238" spans="1:7" ht="40.5" customHeight="1">
      <c r="A238" s="3" t="s">
        <v>405</v>
      </c>
      <c r="B238" s="4" t="s">
        <v>1174</v>
      </c>
      <c r="C238" s="4" t="s">
        <v>638</v>
      </c>
      <c r="D238" s="18">
        <v>49</v>
      </c>
      <c r="E238" s="13">
        <f>IF($F238=0,0,D238/$F238)</f>
        <v>0.18918918918918901</v>
      </c>
      <c r="F238" s="12">
        <f>$F$232</f>
        <v>259</v>
      </c>
      <c r="G238" s="3" t="s">
        <v>1128</v>
      </c>
    </row>
    <row r="239" spans="1:7" ht="40.5" customHeight="1">
      <c r="A239" s="3" t="s">
        <v>405</v>
      </c>
      <c r="B239" s="4" t="s">
        <v>1174</v>
      </c>
      <c r="C239" s="4" t="s">
        <v>641</v>
      </c>
      <c r="D239" s="18">
        <v>24</v>
      </c>
      <c r="E239" s="13">
        <f>IF($F239=0,0,D239/$F239)</f>
        <v>9.2664092664092701E-2</v>
      </c>
      <c r="F239" s="12">
        <f>$F$232</f>
        <v>259</v>
      </c>
      <c r="G239" s="3" t="s">
        <v>1128</v>
      </c>
    </row>
    <row r="240" spans="1:7" ht="40.5" customHeight="1">
      <c r="A240" s="3" t="s">
        <v>405</v>
      </c>
      <c r="B240" s="4" t="s">
        <v>1174</v>
      </c>
      <c r="C240" s="4" t="s">
        <v>639</v>
      </c>
      <c r="D240" s="18">
        <v>49</v>
      </c>
      <c r="E240" s="13">
        <f>IF($F240=0,0,D240/$F240)</f>
        <v>0.18918918918918901</v>
      </c>
      <c r="F240" s="12">
        <f>$F$232</f>
        <v>259</v>
      </c>
      <c r="G240" s="3" t="s">
        <v>1128</v>
      </c>
    </row>
    <row r="241" spans="1:7" ht="40.5" customHeight="1">
      <c r="A241" s="3" t="s">
        <v>405</v>
      </c>
      <c r="B241" s="4" t="s">
        <v>1174</v>
      </c>
      <c r="C241" s="4" t="s">
        <v>437</v>
      </c>
      <c r="D241" s="18">
        <v>11</v>
      </c>
      <c r="E241" s="13">
        <f>IF($F241=0,0,D241/$F241)</f>
        <v>4.2471042471042497E-2</v>
      </c>
      <c r="F241" s="12">
        <f>$F$232</f>
        <v>259</v>
      </c>
      <c r="G241" s="3" t="s">
        <v>1128</v>
      </c>
    </row>
    <row r="242" spans="1:7" ht="40.5" customHeight="1">
      <c r="A242" s="3" t="s">
        <v>405</v>
      </c>
      <c r="B242" s="4" t="s">
        <v>1174</v>
      </c>
      <c r="C242" s="4" t="s">
        <v>438</v>
      </c>
      <c r="D242" s="18">
        <v>91</v>
      </c>
      <c r="E242" s="13">
        <f>IF($F242=0,0,D242/$F242)</f>
        <v>0.35135135135135098</v>
      </c>
      <c r="F242" s="12">
        <f>$F$232</f>
        <v>259</v>
      </c>
      <c r="G242" s="3" t="s">
        <v>1128</v>
      </c>
    </row>
    <row r="243" spans="1:7" ht="27.95" customHeight="1">
      <c r="A243" s="3" t="s">
        <v>1175</v>
      </c>
      <c r="B243" s="4" t="s">
        <v>1176</v>
      </c>
      <c r="C243" s="4" t="s">
        <v>644</v>
      </c>
      <c r="D243" s="18">
        <v>8</v>
      </c>
      <c r="E243" s="13">
        <f>IF($F243=0,0,D243/$F243)</f>
        <v>3.0888030888030899E-2</v>
      </c>
      <c r="F243" s="18">
        <v>259</v>
      </c>
      <c r="G243" s="3" t="s">
        <v>1121</v>
      </c>
    </row>
    <row r="244" spans="1:7" ht="27.95" customHeight="1">
      <c r="A244" s="3" t="s">
        <v>1175</v>
      </c>
      <c r="B244" s="4" t="s">
        <v>1176</v>
      </c>
      <c r="C244" s="4" t="s">
        <v>645</v>
      </c>
      <c r="D244" s="18">
        <v>8</v>
      </c>
      <c r="E244" s="13">
        <f>IF($F244=0,0,D244/$F244)</f>
        <v>3.0888030888030899E-2</v>
      </c>
      <c r="F244" s="12">
        <f>$F$243</f>
        <v>259</v>
      </c>
      <c r="G244" s="3" t="s">
        <v>1121</v>
      </c>
    </row>
    <row r="245" spans="1:7" ht="27.95" customHeight="1">
      <c r="A245" s="3" t="s">
        <v>1175</v>
      </c>
      <c r="B245" s="4" t="s">
        <v>1176</v>
      </c>
      <c r="C245" s="4" t="s">
        <v>646</v>
      </c>
      <c r="D245" s="18">
        <v>5</v>
      </c>
      <c r="E245" s="13">
        <f>IF($F245=0,0,D245/$F245)</f>
        <v>1.9305019305019301E-2</v>
      </c>
      <c r="F245" s="12">
        <f>$F$243</f>
        <v>259</v>
      </c>
      <c r="G245" s="3" t="s">
        <v>1121</v>
      </c>
    </row>
    <row r="246" spans="1:7" ht="27.95" customHeight="1">
      <c r="A246" s="3" t="s">
        <v>1175</v>
      </c>
      <c r="B246" s="4" t="s">
        <v>1176</v>
      </c>
      <c r="C246" s="4" t="s">
        <v>647</v>
      </c>
      <c r="D246" s="18">
        <v>4</v>
      </c>
      <c r="E246" s="13">
        <f>IF($F246=0,0,D246/$F246)</f>
        <v>1.5444015444015399E-2</v>
      </c>
      <c r="F246" s="12">
        <f>$F$243</f>
        <v>259</v>
      </c>
      <c r="G246" s="3" t="s">
        <v>1121</v>
      </c>
    </row>
    <row r="247" spans="1:7" ht="27.95" customHeight="1">
      <c r="A247" s="3" t="s">
        <v>1175</v>
      </c>
      <c r="B247" s="4" t="s">
        <v>1176</v>
      </c>
      <c r="C247" s="4" t="s">
        <v>648</v>
      </c>
      <c r="D247" s="18">
        <v>5</v>
      </c>
      <c r="E247" s="13">
        <f>IF($F247=0,0,D247/$F247)</f>
        <v>1.9305019305019301E-2</v>
      </c>
      <c r="F247" s="12">
        <f>$F$243</f>
        <v>259</v>
      </c>
      <c r="G247" s="3" t="s">
        <v>1121</v>
      </c>
    </row>
    <row r="248" spans="1:7" ht="27.95" customHeight="1">
      <c r="A248" s="3" t="s">
        <v>1175</v>
      </c>
      <c r="B248" s="4" t="s">
        <v>1176</v>
      </c>
      <c r="C248" s="4" t="s">
        <v>649</v>
      </c>
      <c r="D248" s="18">
        <v>3</v>
      </c>
      <c r="E248" s="13">
        <f>IF($F248=0,0,D248/$F248)</f>
        <v>1.15830115830116E-2</v>
      </c>
      <c r="F248" s="12">
        <f>$F$243</f>
        <v>259</v>
      </c>
      <c r="G248" s="3" t="s">
        <v>1121</v>
      </c>
    </row>
    <row r="249" spans="1:7" ht="27.95" customHeight="1">
      <c r="A249" s="3" t="s">
        <v>1175</v>
      </c>
      <c r="B249" s="4" t="s">
        <v>1176</v>
      </c>
      <c r="C249" s="4" t="s">
        <v>531</v>
      </c>
      <c r="D249" s="18">
        <v>149</v>
      </c>
      <c r="E249" s="13">
        <f>IF($F249=0,0,D249/$F249)</f>
        <v>0.57528957528957503</v>
      </c>
      <c r="F249" s="12">
        <f>$F$243</f>
        <v>259</v>
      </c>
      <c r="G249" s="3" t="s">
        <v>1121</v>
      </c>
    </row>
    <row r="250" spans="1:7" ht="27.95" customHeight="1">
      <c r="A250" s="3" t="s">
        <v>1175</v>
      </c>
      <c r="B250" s="4" t="s">
        <v>1176</v>
      </c>
      <c r="C250" s="4" t="s">
        <v>438</v>
      </c>
      <c r="D250" s="18">
        <v>77</v>
      </c>
      <c r="E250" s="13">
        <f>IF($F250=0,0,D250/$F250)</f>
        <v>0.29729729729729698</v>
      </c>
      <c r="F250" s="12">
        <f>$F$243</f>
        <v>259</v>
      </c>
      <c r="G250" s="3" t="s">
        <v>1121</v>
      </c>
    </row>
    <row r="251" spans="1:7" ht="27.95" customHeight="1">
      <c r="A251" s="3" t="s">
        <v>408</v>
      </c>
      <c r="B251" s="4" t="s">
        <v>1177</v>
      </c>
      <c r="C251" s="4" t="s">
        <v>652</v>
      </c>
      <c r="D251" s="18">
        <v>77</v>
      </c>
      <c r="E251" s="13">
        <f>IF($F251=0,0,D251/$F251)</f>
        <v>0.29729729729729698</v>
      </c>
      <c r="F251" s="18">
        <v>259</v>
      </c>
      <c r="G251" s="3" t="s">
        <v>1121</v>
      </c>
    </row>
    <row r="252" spans="1:7" ht="27.95" customHeight="1">
      <c r="A252" s="3" t="s">
        <v>408</v>
      </c>
      <c r="B252" s="4" t="s">
        <v>1177</v>
      </c>
      <c r="C252" s="4" t="s">
        <v>653</v>
      </c>
      <c r="D252" s="18">
        <v>161</v>
      </c>
      <c r="E252" s="13">
        <f>IF($F252=0,0,D252/$F252)</f>
        <v>0.62162162162162204</v>
      </c>
      <c r="F252" s="12">
        <f>$F$251</f>
        <v>259</v>
      </c>
      <c r="G252" s="3" t="s">
        <v>1121</v>
      </c>
    </row>
    <row r="253" spans="1:7" ht="27.95" customHeight="1">
      <c r="A253" s="3" t="s">
        <v>408</v>
      </c>
      <c r="B253" s="4" t="s">
        <v>1177</v>
      </c>
      <c r="C253" s="4" t="s">
        <v>438</v>
      </c>
      <c r="D253" s="18">
        <v>21</v>
      </c>
      <c r="E253" s="13">
        <f>IF($F253=0,0,D253/$F253)</f>
        <v>8.1081081081081099E-2</v>
      </c>
      <c r="F253" s="12">
        <f>$F$251</f>
        <v>259</v>
      </c>
      <c r="G253" s="3" t="s">
        <v>1121</v>
      </c>
    </row>
    <row r="254" spans="1:7" ht="15.95" customHeight="1">
      <c r="A254" s="3" t="s">
        <v>1178</v>
      </c>
      <c r="B254" s="4" t="s">
        <v>1179</v>
      </c>
      <c r="C254" s="4" t="s">
        <v>656</v>
      </c>
      <c r="D254" s="18">
        <v>6</v>
      </c>
      <c r="E254" s="13">
        <f>IF($F254=0,0,D254/$F254)</f>
        <v>2.31660231660232E-2</v>
      </c>
      <c r="F254" s="18">
        <v>259</v>
      </c>
      <c r="G254" s="3" t="s">
        <v>1121</v>
      </c>
    </row>
    <row r="255" spans="1:7" ht="15.95" customHeight="1">
      <c r="A255" s="3" t="s">
        <v>1178</v>
      </c>
      <c r="B255" s="4" t="s">
        <v>1179</v>
      </c>
      <c r="C255" s="4" t="s">
        <v>657</v>
      </c>
      <c r="D255" s="18">
        <v>15</v>
      </c>
      <c r="E255" s="13">
        <f>IF($F255=0,0,D255/$F255)</f>
        <v>5.7915057915057903E-2</v>
      </c>
      <c r="F255" s="12">
        <f>$F$254</f>
        <v>259</v>
      </c>
      <c r="G255" s="3" t="s">
        <v>1121</v>
      </c>
    </row>
    <row r="256" spans="1:7" ht="15.95" customHeight="1">
      <c r="A256" s="3" t="s">
        <v>1178</v>
      </c>
      <c r="B256" s="4" t="s">
        <v>1179</v>
      </c>
      <c r="C256" s="4" t="s">
        <v>658</v>
      </c>
      <c r="D256" s="18">
        <v>5</v>
      </c>
      <c r="E256" s="13">
        <f>IF($F256=0,0,D256/$F256)</f>
        <v>1.9305019305019301E-2</v>
      </c>
      <c r="F256" s="12">
        <f>$F$254</f>
        <v>259</v>
      </c>
      <c r="G256" s="3" t="s">
        <v>1121</v>
      </c>
    </row>
    <row r="257" spans="1:7" ht="15.95" customHeight="1">
      <c r="A257" s="3" t="s">
        <v>1178</v>
      </c>
      <c r="B257" s="4" t="s">
        <v>1179</v>
      </c>
      <c r="C257" s="4" t="s">
        <v>659</v>
      </c>
      <c r="D257" s="18">
        <v>20</v>
      </c>
      <c r="E257" s="13">
        <f>IF($F257=0,0,D257/$F257)</f>
        <v>7.7220077220077205E-2</v>
      </c>
      <c r="F257" s="12">
        <f>$F$254</f>
        <v>259</v>
      </c>
      <c r="G257" s="3" t="s">
        <v>1121</v>
      </c>
    </row>
    <row r="258" spans="1:7" ht="15.95" customHeight="1">
      <c r="A258" s="3" t="s">
        <v>1178</v>
      </c>
      <c r="B258" s="4" t="s">
        <v>1179</v>
      </c>
      <c r="C258" s="4" t="s">
        <v>660</v>
      </c>
      <c r="D258" s="18">
        <v>8</v>
      </c>
      <c r="E258" s="13">
        <f>IF($F258=0,0,D258/$F258)</f>
        <v>3.0888030888030899E-2</v>
      </c>
      <c r="F258" s="12">
        <f>$F$254</f>
        <v>259</v>
      </c>
      <c r="G258" s="3" t="s">
        <v>1121</v>
      </c>
    </row>
    <row r="259" spans="1:7" ht="15.95" customHeight="1">
      <c r="A259" s="3" t="s">
        <v>1178</v>
      </c>
      <c r="B259" s="4" t="s">
        <v>1179</v>
      </c>
      <c r="C259" s="4" t="s">
        <v>661</v>
      </c>
      <c r="D259" s="18">
        <v>13</v>
      </c>
      <c r="E259" s="13">
        <f>IF($F259=0,0,D259/$F259)</f>
        <v>5.0193050193050197E-2</v>
      </c>
      <c r="F259" s="12">
        <f>$F$254</f>
        <v>259</v>
      </c>
      <c r="G259" s="3" t="s">
        <v>1121</v>
      </c>
    </row>
    <row r="260" spans="1:7" ht="15.95" customHeight="1">
      <c r="A260" s="3" t="s">
        <v>1178</v>
      </c>
      <c r="B260" s="4" t="s">
        <v>1179</v>
      </c>
      <c r="C260" s="4" t="s">
        <v>662</v>
      </c>
      <c r="D260" s="18">
        <v>8</v>
      </c>
      <c r="E260" s="13">
        <f>IF($F260=0,0,D260/$F260)</f>
        <v>3.0888030888030899E-2</v>
      </c>
      <c r="F260" s="12">
        <f>$F$254</f>
        <v>259</v>
      </c>
      <c r="G260" s="3" t="s">
        <v>1121</v>
      </c>
    </row>
    <row r="261" spans="1:7" ht="15.95" customHeight="1">
      <c r="A261" s="3" t="s">
        <v>1178</v>
      </c>
      <c r="B261" s="4" t="s">
        <v>1179</v>
      </c>
      <c r="C261" s="4" t="s">
        <v>438</v>
      </c>
      <c r="D261" s="18">
        <v>184</v>
      </c>
      <c r="E261" s="13">
        <f>IF($F261=0,0,D261/$F261)</f>
        <v>0.71042471042471</v>
      </c>
      <c r="F261" s="12">
        <f>$F$254</f>
        <v>259</v>
      </c>
      <c r="G261" s="3" t="s">
        <v>1121</v>
      </c>
    </row>
    <row r="262" spans="1:7" ht="15.95" customHeight="1">
      <c r="A262" s="3" t="s">
        <v>1180</v>
      </c>
      <c r="B262" s="4" t="s">
        <v>668</v>
      </c>
      <c r="C262" s="4" t="s">
        <v>652</v>
      </c>
      <c r="D262" s="18">
        <v>19</v>
      </c>
      <c r="E262" s="13">
        <f>IF($F262=0,0,D262/$F262)</f>
        <v>7.3359073359073407E-2</v>
      </c>
      <c r="F262" s="18">
        <v>259</v>
      </c>
      <c r="G262" s="3" t="s">
        <v>1130</v>
      </c>
    </row>
    <row r="263" spans="1:7" ht="15.95" customHeight="1">
      <c r="A263" s="3" t="s">
        <v>1180</v>
      </c>
      <c r="B263" s="4" t="s">
        <v>668</v>
      </c>
      <c r="C263" s="4" t="s">
        <v>653</v>
      </c>
      <c r="D263" s="18">
        <v>177</v>
      </c>
      <c r="E263" s="13">
        <f>IF($F263=0,0,D263/$F263)</f>
        <v>0.68339768339768303</v>
      </c>
      <c r="F263" s="12">
        <f>$F$262</f>
        <v>259</v>
      </c>
      <c r="G263" s="3" t="s">
        <v>1130</v>
      </c>
    </row>
    <row r="264" spans="1:7" ht="15.95" customHeight="1">
      <c r="A264" s="3" t="s">
        <v>1180</v>
      </c>
      <c r="B264" s="4" t="s">
        <v>668</v>
      </c>
      <c r="C264" s="4" t="s">
        <v>438</v>
      </c>
      <c r="D264" s="18">
        <v>63</v>
      </c>
      <c r="E264" s="13">
        <f>IF($F264=0,0,D264/$F264)</f>
        <v>0.24324324324324301</v>
      </c>
      <c r="F264" s="12">
        <f>$F$262</f>
        <v>259</v>
      </c>
      <c r="G264" s="3" t="s">
        <v>1130</v>
      </c>
    </row>
    <row r="265" spans="1:7" ht="15.95" customHeight="1">
      <c r="A265" s="3" t="s">
        <v>1180</v>
      </c>
      <c r="B265" s="4" t="s">
        <v>669</v>
      </c>
      <c r="C265" s="4" t="s">
        <v>652</v>
      </c>
      <c r="D265" s="18">
        <v>6</v>
      </c>
      <c r="E265" s="13">
        <f>IF($F265=0,0,D265/$F265)</f>
        <v>2.31660231660232E-2</v>
      </c>
      <c r="F265" s="18">
        <v>259</v>
      </c>
      <c r="G265" s="3" t="s">
        <v>1130</v>
      </c>
    </row>
    <row r="266" spans="1:7" ht="15.95" customHeight="1">
      <c r="A266" s="3" t="s">
        <v>1180</v>
      </c>
      <c r="B266" s="4" t="s">
        <v>669</v>
      </c>
      <c r="C266" s="4" t="s">
        <v>653</v>
      </c>
      <c r="D266" s="18">
        <v>189</v>
      </c>
      <c r="E266" s="13">
        <f>IF($F266=0,0,D266/$F266)</f>
        <v>0.72972972972973005</v>
      </c>
      <c r="F266" s="12">
        <f>$F$265</f>
        <v>259</v>
      </c>
      <c r="G266" s="3" t="s">
        <v>1130</v>
      </c>
    </row>
    <row r="267" spans="1:7" ht="15.95" customHeight="1">
      <c r="A267" s="3" t="s">
        <v>1180</v>
      </c>
      <c r="B267" s="4" t="s">
        <v>669</v>
      </c>
      <c r="C267" s="4" t="s">
        <v>438</v>
      </c>
      <c r="D267" s="18">
        <v>64</v>
      </c>
      <c r="E267" s="13">
        <f>IF($F267=0,0,D267/$F267)</f>
        <v>0.247104247104247</v>
      </c>
      <c r="F267" s="12">
        <f>$F$265</f>
        <v>259</v>
      </c>
      <c r="G267" s="3" t="s">
        <v>1130</v>
      </c>
    </row>
    <row r="268" spans="1:7" ht="15.95" customHeight="1">
      <c r="A268" s="3" t="s">
        <v>1180</v>
      </c>
      <c r="B268" s="4" t="s">
        <v>670</v>
      </c>
      <c r="C268" s="4" t="s">
        <v>652</v>
      </c>
      <c r="D268" s="18">
        <v>1</v>
      </c>
      <c r="E268" s="13">
        <f>IF($F268=0,0,D268/$F268)</f>
        <v>3.8610038610038598E-3</v>
      </c>
      <c r="F268" s="18">
        <v>259</v>
      </c>
      <c r="G268" s="3" t="s">
        <v>1130</v>
      </c>
    </row>
    <row r="269" spans="1:7" ht="15.95" customHeight="1">
      <c r="A269" s="3" t="s">
        <v>1180</v>
      </c>
      <c r="B269" s="4" t="s">
        <v>670</v>
      </c>
      <c r="C269" s="4" t="s">
        <v>653</v>
      </c>
      <c r="D269" s="18">
        <v>192</v>
      </c>
      <c r="E269" s="13">
        <f>IF($F269=0,0,D269/$F269)</f>
        <v>0.74131274131274105</v>
      </c>
      <c r="F269" s="12">
        <f>$F$268</f>
        <v>259</v>
      </c>
      <c r="G269" s="3" t="s">
        <v>1130</v>
      </c>
    </row>
    <row r="270" spans="1:7" ht="15.95" customHeight="1">
      <c r="A270" s="3" t="s">
        <v>1180</v>
      </c>
      <c r="B270" s="4" t="s">
        <v>670</v>
      </c>
      <c r="C270" s="4" t="s">
        <v>438</v>
      </c>
      <c r="D270" s="18">
        <v>66</v>
      </c>
      <c r="E270" s="13">
        <f>IF($F270=0,0,D270/$F270)</f>
        <v>0.25482625482625498</v>
      </c>
      <c r="F270" s="12">
        <f>$F$268</f>
        <v>259</v>
      </c>
      <c r="G270" s="3" t="s">
        <v>1130</v>
      </c>
    </row>
    <row r="271" spans="1:7" ht="15.95" customHeight="1">
      <c r="A271" s="3" t="s">
        <v>1180</v>
      </c>
      <c r="B271" s="4" t="s">
        <v>671</v>
      </c>
      <c r="C271" s="4" t="s">
        <v>652</v>
      </c>
      <c r="D271" s="18">
        <v>0</v>
      </c>
      <c r="E271" s="13">
        <f>IF($F271=0,0,D271/$F271)</f>
        <v>0</v>
      </c>
      <c r="F271" s="18">
        <v>259</v>
      </c>
      <c r="G271" s="3" t="s">
        <v>1130</v>
      </c>
    </row>
    <row r="272" spans="1:7" ht="15.95" customHeight="1">
      <c r="A272" s="3" t="s">
        <v>1180</v>
      </c>
      <c r="B272" s="4" t="s">
        <v>671</v>
      </c>
      <c r="C272" s="4" t="s">
        <v>653</v>
      </c>
      <c r="D272" s="18">
        <v>192</v>
      </c>
      <c r="E272" s="13">
        <f>IF($F272=0,0,D272/$F272)</f>
        <v>0.74131274131274105</v>
      </c>
      <c r="F272" s="12">
        <f>$F$271</f>
        <v>259</v>
      </c>
      <c r="G272" s="3" t="s">
        <v>1130</v>
      </c>
    </row>
    <row r="273" spans="1:7" ht="15.95" customHeight="1">
      <c r="A273" s="3" t="s">
        <v>1180</v>
      </c>
      <c r="B273" s="4" t="s">
        <v>671</v>
      </c>
      <c r="C273" s="4" t="s">
        <v>438</v>
      </c>
      <c r="D273" s="18">
        <v>67</v>
      </c>
      <c r="E273" s="13">
        <f>IF($F273=0,0,D273/$F273)</f>
        <v>0.258687258687259</v>
      </c>
      <c r="F273" s="12">
        <f>$F$271</f>
        <v>259</v>
      </c>
      <c r="G273" s="3" t="s">
        <v>1130</v>
      </c>
    </row>
    <row r="274" spans="1:7" ht="15.95" customHeight="1">
      <c r="A274" s="3" t="s">
        <v>1180</v>
      </c>
      <c r="B274" s="4" t="s">
        <v>672</v>
      </c>
      <c r="C274" s="4" t="s">
        <v>652</v>
      </c>
      <c r="D274" s="18">
        <v>5</v>
      </c>
      <c r="E274" s="13">
        <f>IF($F274=0,0,D274/$F274)</f>
        <v>1.9305019305019301E-2</v>
      </c>
      <c r="F274" s="18">
        <v>259</v>
      </c>
      <c r="G274" s="3" t="s">
        <v>1130</v>
      </c>
    </row>
    <row r="275" spans="1:7" ht="15.95" customHeight="1">
      <c r="A275" s="3" t="s">
        <v>1180</v>
      </c>
      <c r="B275" s="4" t="s">
        <v>672</v>
      </c>
      <c r="C275" s="4" t="s">
        <v>653</v>
      </c>
      <c r="D275" s="18">
        <v>188</v>
      </c>
      <c r="E275" s="13">
        <f>IF($F275=0,0,D275/$F275)</f>
        <v>0.72586872586872597</v>
      </c>
      <c r="F275" s="12">
        <f>$F$274</f>
        <v>259</v>
      </c>
      <c r="G275" s="3" t="s">
        <v>1130</v>
      </c>
    </row>
    <row r="276" spans="1:7" ht="15.95" customHeight="1">
      <c r="A276" s="3" t="s">
        <v>1180</v>
      </c>
      <c r="B276" s="4" t="s">
        <v>672</v>
      </c>
      <c r="C276" s="4" t="s">
        <v>438</v>
      </c>
      <c r="D276" s="18">
        <v>66</v>
      </c>
      <c r="E276" s="13">
        <f>IF($F276=0,0,D276/$F276)</f>
        <v>0.25482625482625498</v>
      </c>
      <c r="F276" s="12">
        <f>$F$274</f>
        <v>259</v>
      </c>
      <c r="G276" s="3" t="s">
        <v>1130</v>
      </c>
    </row>
    <row r="277" spans="1:7" ht="15.95" customHeight="1">
      <c r="A277" s="3" t="s">
        <v>1180</v>
      </c>
      <c r="B277" s="4" t="s">
        <v>673</v>
      </c>
      <c r="C277" s="4" t="s">
        <v>652</v>
      </c>
      <c r="D277" s="18">
        <v>25</v>
      </c>
      <c r="E277" s="13">
        <f>IF($F277=0,0,D277/$F277)</f>
        <v>9.6525096525096499E-2</v>
      </c>
      <c r="F277" s="18">
        <v>259</v>
      </c>
      <c r="G277" s="3" t="s">
        <v>1130</v>
      </c>
    </row>
    <row r="278" spans="1:7" ht="15.95" customHeight="1">
      <c r="A278" s="3" t="s">
        <v>1180</v>
      </c>
      <c r="B278" s="4" t="s">
        <v>673</v>
      </c>
      <c r="C278" s="4" t="s">
        <v>653</v>
      </c>
      <c r="D278" s="18">
        <v>167</v>
      </c>
      <c r="E278" s="13">
        <f>IF($F278=0,0,D278/$F278)</f>
        <v>0.64478764478764505</v>
      </c>
      <c r="F278" s="12">
        <f>$F$277</f>
        <v>259</v>
      </c>
      <c r="G278" s="3" t="s">
        <v>1130</v>
      </c>
    </row>
    <row r="279" spans="1:7" ht="15.95" customHeight="1">
      <c r="A279" s="3" t="s">
        <v>1180</v>
      </c>
      <c r="B279" s="4" t="s">
        <v>673</v>
      </c>
      <c r="C279" s="4" t="s">
        <v>438</v>
      </c>
      <c r="D279" s="18">
        <v>67</v>
      </c>
      <c r="E279" s="13">
        <f>IF($F279=0,0,D279/$F279)</f>
        <v>0.258687258687259</v>
      </c>
      <c r="F279" s="12">
        <f>$F$277</f>
        <v>259</v>
      </c>
      <c r="G279" s="3" t="s">
        <v>1130</v>
      </c>
    </row>
    <row r="280" spans="1:7" ht="15.95" customHeight="1">
      <c r="A280" s="3" t="s">
        <v>1180</v>
      </c>
      <c r="B280" s="4" t="s">
        <v>674</v>
      </c>
      <c r="C280" s="4" t="s">
        <v>652</v>
      </c>
      <c r="D280" s="18">
        <v>1</v>
      </c>
      <c r="E280" s="13">
        <f>IF($F280=0,0,D280/$F280)</f>
        <v>3.8610038610038598E-3</v>
      </c>
      <c r="F280" s="18">
        <v>259</v>
      </c>
      <c r="G280" s="3" t="s">
        <v>1130</v>
      </c>
    </row>
    <row r="281" spans="1:7" ht="15.95" customHeight="1">
      <c r="A281" s="3" t="s">
        <v>1180</v>
      </c>
      <c r="B281" s="4" t="s">
        <v>674</v>
      </c>
      <c r="C281" s="4" t="s">
        <v>653</v>
      </c>
      <c r="D281" s="18">
        <v>190</v>
      </c>
      <c r="E281" s="13">
        <f>IF($F281=0,0,D281/$F281)</f>
        <v>0.73359073359073401</v>
      </c>
      <c r="F281" s="12">
        <f>$F$280</f>
        <v>259</v>
      </c>
      <c r="G281" s="3" t="s">
        <v>1130</v>
      </c>
    </row>
    <row r="282" spans="1:7" ht="15.95" customHeight="1">
      <c r="A282" s="3" t="s">
        <v>1180</v>
      </c>
      <c r="B282" s="4" t="s">
        <v>674</v>
      </c>
      <c r="C282" s="4" t="s">
        <v>438</v>
      </c>
      <c r="D282" s="18">
        <v>68</v>
      </c>
      <c r="E282" s="13">
        <f>IF($F282=0,0,D282/$F282)</f>
        <v>0.26254826254826302</v>
      </c>
      <c r="F282" s="12">
        <f>$F$280</f>
        <v>259</v>
      </c>
      <c r="G282" s="3" t="s">
        <v>1130</v>
      </c>
    </row>
    <row r="283" spans="1:7" ht="15.95" customHeight="1">
      <c r="A283" s="3" t="s">
        <v>1180</v>
      </c>
      <c r="B283" s="4" t="s">
        <v>675</v>
      </c>
      <c r="C283" s="4" t="s">
        <v>652</v>
      </c>
      <c r="D283" s="18">
        <v>1</v>
      </c>
      <c r="E283" s="13">
        <f>IF($F283=0,0,D283/$F283)</f>
        <v>3.8610038610038598E-3</v>
      </c>
      <c r="F283" s="18">
        <v>259</v>
      </c>
      <c r="G283" s="3" t="s">
        <v>1130</v>
      </c>
    </row>
    <row r="284" spans="1:7" ht="15.95" customHeight="1">
      <c r="A284" s="3" t="s">
        <v>1180</v>
      </c>
      <c r="B284" s="4" t="s">
        <v>675</v>
      </c>
      <c r="C284" s="4" t="s">
        <v>653</v>
      </c>
      <c r="D284" s="18">
        <v>190</v>
      </c>
      <c r="E284" s="13">
        <f>IF($F284=0,0,D284/$F284)</f>
        <v>0.73359073359073401</v>
      </c>
      <c r="F284" s="12">
        <f>$F$283</f>
        <v>259</v>
      </c>
      <c r="G284" s="3" t="s">
        <v>1130</v>
      </c>
    </row>
    <row r="285" spans="1:7" ht="15.95" customHeight="1">
      <c r="A285" s="3" t="s">
        <v>1180</v>
      </c>
      <c r="B285" s="4" t="s">
        <v>675</v>
      </c>
      <c r="C285" s="4" t="s">
        <v>438</v>
      </c>
      <c r="D285" s="18">
        <v>68</v>
      </c>
      <c r="E285" s="13">
        <f>IF($F285=0,0,D285/$F285)</f>
        <v>0.26254826254826302</v>
      </c>
      <c r="F285" s="12">
        <f>$F$283</f>
        <v>259</v>
      </c>
      <c r="G285" s="3" t="s">
        <v>1130</v>
      </c>
    </row>
    <row r="286" spans="1:7" ht="15.95" customHeight="1">
      <c r="A286" s="3" t="s">
        <v>1180</v>
      </c>
      <c r="B286" s="4" t="s">
        <v>676</v>
      </c>
      <c r="C286" s="4" t="s">
        <v>652</v>
      </c>
      <c r="D286" s="18">
        <v>14</v>
      </c>
      <c r="E286" s="13">
        <f>IF($F286=0,0,D286/$F286)</f>
        <v>5.4054054054054099E-2</v>
      </c>
      <c r="F286" s="18">
        <v>259</v>
      </c>
      <c r="G286" s="3" t="s">
        <v>1130</v>
      </c>
    </row>
    <row r="287" spans="1:7" ht="15.95" customHeight="1">
      <c r="A287" s="3" t="s">
        <v>1180</v>
      </c>
      <c r="B287" s="4" t="s">
        <v>676</v>
      </c>
      <c r="C287" s="4" t="s">
        <v>653</v>
      </c>
      <c r="D287" s="18">
        <v>179</v>
      </c>
      <c r="E287" s="13">
        <f>IF($F287=0,0,D287/$F287)</f>
        <v>0.69111969111969096</v>
      </c>
      <c r="F287" s="12">
        <f>$F$286</f>
        <v>259</v>
      </c>
      <c r="G287" s="3" t="s">
        <v>1130</v>
      </c>
    </row>
    <row r="288" spans="1:7" ht="15.95" customHeight="1">
      <c r="A288" s="3" t="s">
        <v>1180</v>
      </c>
      <c r="B288" s="4" t="s">
        <v>676</v>
      </c>
      <c r="C288" s="4" t="s">
        <v>438</v>
      </c>
      <c r="D288" s="18">
        <v>66</v>
      </c>
      <c r="E288" s="13">
        <f>IF($F288=0,0,D288/$F288)</f>
        <v>0.25482625482625498</v>
      </c>
      <c r="F288" s="12">
        <f>$F$286</f>
        <v>259</v>
      </c>
      <c r="G288" s="3" t="s">
        <v>1130</v>
      </c>
    </row>
    <row r="289" spans="1:7" ht="15.95" customHeight="1">
      <c r="A289" s="3" t="s">
        <v>1180</v>
      </c>
      <c r="B289" s="4" t="s">
        <v>677</v>
      </c>
      <c r="C289" s="4" t="s">
        <v>652</v>
      </c>
      <c r="D289" s="18">
        <v>3</v>
      </c>
      <c r="E289" s="13">
        <f>IF($F289=0,0,D289/$F289)</f>
        <v>1.15830115830116E-2</v>
      </c>
      <c r="F289" s="18">
        <v>259</v>
      </c>
      <c r="G289" s="3" t="s">
        <v>1130</v>
      </c>
    </row>
    <row r="290" spans="1:7" ht="15.95" customHeight="1">
      <c r="A290" s="3" t="s">
        <v>1180</v>
      </c>
      <c r="B290" s="4" t="s">
        <v>677</v>
      </c>
      <c r="C290" s="4" t="s">
        <v>653</v>
      </c>
      <c r="D290" s="18">
        <v>187</v>
      </c>
      <c r="E290" s="13">
        <f>IF($F290=0,0,D290/$F290)</f>
        <v>0.72200772200772201</v>
      </c>
      <c r="F290" s="12">
        <f>$F$289</f>
        <v>259</v>
      </c>
      <c r="G290" s="3" t="s">
        <v>1130</v>
      </c>
    </row>
    <row r="291" spans="1:7" ht="15.95" customHeight="1">
      <c r="A291" s="3" t="s">
        <v>1180</v>
      </c>
      <c r="B291" s="4" t="s">
        <v>677</v>
      </c>
      <c r="C291" s="4" t="s">
        <v>438</v>
      </c>
      <c r="D291" s="18">
        <v>69</v>
      </c>
      <c r="E291" s="13">
        <f>IF($F291=0,0,D291/$F291)</f>
        <v>0.26640926640926599</v>
      </c>
      <c r="F291" s="12">
        <f>$F$289</f>
        <v>259</v>
      </c>
      <c r="G291" s="3" t="s">
        <v>1130</v>
      </c>
    </row>
    <row r="292" spans="1:7" ht="15.95" customHeight="1">
      <c r="A292" s="3" t="s">
        <v>1180</v>
      </c>
      <c r="B292" s="4" t="s">
        <v>678</v>
      </c>
      <c r="C292" s="4" t="s">
        <v>652</v>
      </c>
      <c r="D292" s="18">
        <v>9</v>
      </c>
      <c r="E292" s="13">
        <f>IF($F292=0,0,D292/$F292)</f>
        <v>3.4749034749034798E-2</v>
      </c>
      <c r="F292" s="18">
        <v>259</v>
      </c>
      <c r="G292" s="3" t="s">
        <v>1130</v>
      </c>
    </row>
    <row r="293" spans="1:7" ht="15.95" customHeight="1">
      <c r="A293" s="3" t="s">
        <v>1180</v>
      </c>
      <c r="B293" s="4" t="s">
        <v>678</v>
      </c>
      <c r="C293" s="4" t="s">
        <v>653</v>
      </c>
      <c r="D293" s="18">
        <v>182</v>
      </c>
      <c r="E293" s="13">
        <f>IF($F293=0,0,D293/$F293)</f>
        <v>0.70270270270270296</v>
      </c>
      <c r="F293" s="12">
        <f>$F$292</f>
        <v>259</v>
      </c>
      <c r="G293" s="3" t="s">
        <v>1130</v>
      </c>
    </row>
    <row r="294" spans="1:7" ht="15.95" customHeight="1">
      <c r="A294" s="3" t="s">
        <v>1180</v>
      </c>
      <c r="B294" s="4" t="s">
        <v>678</v>
      </c>
      <c r="C294" s="4" t="s">
        <v>438</v>
      </c>
      <c r="D294" s="18">
        <v>68</v>
      </c>
      <c r="E294" s="13">
        <f>IF($F294=0,0,D294/$F294)</f>
        <v>0.26254826254826302</v>
      </c>
      <c r="F294" s="12">
        <f>$F$292</f>
        <v>259</v>
      </c>
      <c r="G294" s="3" t="s">
        <v>1130</v>
      </c>
    </row>
    <row r="295" spans="1:7" ht="15.95" customHeight="1">
      <c r="A295" s="3" t="s">
        <v>1180</v>
      </c>
      <c r="B295" s="4" t="s">
        <v>679</v>
      </c>
      <c r="C295" s="4" t="s">
        <v>652</v>
      </c>
      <c r="D295" s="18">
        <v>8</v>
      </c>
      <c r="E295" s="13">
        <f>IF($F295=0,0,D295/$F295)</f>
        <v>3.0888030888030899E-2</v>
      </c>
      <c r="F295" s="18">
        <v>259</v>
      </c>
      <c r="G295" s="3" t="s">
        <v>1130</v>
      </c>
    </row>
    <row r="296" spans="1:7" ht="15.95" customHeight="1">
      <c r="A296" s="3" t="s">
        <v>1180</v>
      </c>
      <c r="B296" s="4" t="s">
        <v>679</v>
      </c>
      <c r="C296" s="4" t="s">
        <v>653</v>
      </c>
      <c r="D296" s="18">
        <v>185</v>
      </c>
      <c r="E296" s="13">
        <f>IF($F296=0,0,D296/$F296)</f>
        <v>0.71428571428571397</v>
      </c>
      <c r="F296" s="12">
        <f>$F$295</f>
        <v>259</v>
      </c>
      <c r="G296" s="3" t="s">
        <v>1130</v>
      </c>
    </row>
    <row r="297" spans="1:7" ht="15.95" customHeight="1">
      <c r="A297" s="3" t="s">
        <v>1180</v>
      </c>
      <c r="B297" s="4" t="s">
        <v>679</v>
      </c>
      <c r="C297" s="4" t="s">
        <v>438</v>
      </c>
      <c r="D297" s="18">
        <v>66</v>
      </c>
      <c r="E297" s="13">
        <f>IF($F297=0,0,D297/$F297)</f>
        <v>0.25482625482625498</v>
      </c>
      <c r="F297" s="12">
        <f>$F$295</f>
        <v>259</v>
      </c>
      <c r="G297" s="3" t="s">
        <v>1130</v>
      </c>
    </row>
    <row r="298" spans="1:7" ht="15.95" customHeight="1">
      <c r="A298" s="3" t="s">
        <v>1180</v>
      </c>
      <c r="B298" s="4" t="s">
        <v>680</v>
      </c>
      <c r="C298" s="4" t="s">
        <v>652</v>
      </c>
      <c r="D298" s="18">
        <v>18</v>
      </c>
      <c r="E298" s="13">
        <f>IF($F298=0,0,D298/$F298)</f>
        <v>6.9498069498069498E-2</v>
      </c>
      <c r="F298" s="18">
        <v>259</v>
      </c>
      <c r="G298" s="3" t="s">
        <v>1130</v>
      </c>
    </row>
    <row r="299" spans="1:7" ht="15.95" customHeight="1">
      <c r="A299" s="3" t="s">
        <v>1180</v>
      </c>
      <c r="B299" s="4" t="s">
        <v>680</v>
      </c>
      <c r="C299" s="4" t="s">
        <v>653</v>
      </c>
      <c r="D299" s="18">
        <v>175</v>
      </c>
      <c r="E299" s="13">
        <f>IF($F299=0,0,D299/$F299)</f>
        <v>0.67567567567567599</v>
      </c>
      <c r="F299" s="12">
        <f>$F$298</f>
        <v>259</v>
      </c>
      <c r="G299" s="3" t="s">
        <v>1130</v>
      </c>
    </row>
    <row r="300" spans="1:7" ht="15.95" customHeight="1">
      <c r="A300" s="3" t="s">
        <v>1180</v>
      </c>
      <c r="B300" s="4" t="s">
        <v>680</v>
      </c>
      <c r="C300" s="4" t="s">
        <v>438</v>
      </c>
      <c r="D300" s="18">
        <v>66</v>
      </c>
      <c r="E300" s="13">
        <f>IF($F300=0,0,D300/$F300)</f>
        <v>0.25482625482625498</v>
      </c>
      <c r="F300" s="12">
        <f>$F$298</f>
        <v>259</v>
      </c>
      <c r="G300" s="3" t="s">
        <v>1130</v>
      </c>
    </row>
    <row r="301" spans="1:7" ht="15.95" customHeight="1">
      <c r="A301" s="3" t="s">
        <v>1180</v>
      </c>
      <c r="B301" s="4" t="s">
        <v>681</v>
      </c>
      <c r="C301" s="4" t="s">
        <v>652</v>
      </c>
      <c r="D301" s="18">
        <v>37</v>
      </c>
      <c r="E301" s="13">
        <f>IF($F301=0,0,D301/$F301)</f>
        <v>0.14285714285714299</v>
      </c>
      <c r="F301" s="18">
        <v>259</v>
      </c>
      <c r="G301" s="3" t="s">
        <v>1130</v>
      </c>
    </row>
    <row r="302" spans="1:7" ht="15.95" customHeight="1">
      <c r="A302" s="3" t="s">
        <v>1180</v>
      </c>
      <c r="B302" s="4" t="s">
        <v>681</v>
      </c>
      <c r="C302" s="4" t="s">
        <v>653</v>
      </c>
      <c r="D302" s="18">
        <v>157</v>
      </c>
      <c r="E302" s="13">
        <f>IF($F302=0,0,D302/$F302)</f>
        <v>0.60617760617760597</v>
      </c>
      <c r="F302" s="12">
        <f>$F$301</f>
        <v>259</v>
      </c>
      <c r="G302" s="3" t="s">
        <v>1130</v>
      </c>
    </row>
    <row r="303" spans="1:7" ht="15.95" customHeight="1">
      <c r="A303" s="3" t="s">
        <v>1180</v>
      </c>
      <c r="B303" s="4" t="s">
        <v>681</v>
      </c>
      <c r="C303" s="4" t="s">
        <v>438</v>
      </c>
      <c r="D303" s="18">
        <v>65</v>
      </c>
      <c r="E303" s="13">
        <f>IF($F303=0,0,D303/$F303)</f>
        <v>0.25096525096525102</v>
      </c>
      <c r="F303" s="12">
        <f>$F$301</f>
        <v>259</v>
      </c>
      <c r="G303" s="3" t="s">
        <v>1130</v>
      </c>
    </row>
    <row r="304" spans="1:7" ht="15.95" customHeight="1">
      <c r="A304" s="3" t="s">
        <v>1180</v>
      </c>
      <c r="B304" s="4" t="s">
        <v>682</v>
      </c>
      <c r="C304" s="4" t="s">
        <v>652</v>
      </c>
      <c r="D304" s="18">
        <v>2</v>
      </c>
      <c r="E304" s="13">
        <f>IF($F304=0,0,D304/$F304)</f>
        <v>7.7220077220077196E-3</v>
      </c>
      <c r="F304" s="18">
        <v>259</v>
      </c>
      <c r="G304" s="3" t="s">
        <v>1130</v>
      </c>
    </row>
    <row r="305" spans="1:7" ht="15.95" customHeight="1">
      <c r="A305" s="3" t="s">
        <v>1180</v>
      </c>
      <c r="B305" s="4" t="s">
        <v>682</v>
      </c>
      <c r="C305" s="4" t="s">
        <v>653</v>
      </c>
      <c r="D305" s="18">
        <v>185</v>
      </c>
      <c r="E305" s="13">
        <f>IF($F305=0,0,D305/$F305)</f>
        <v>0.71428571428571397</v>
      </c>
      <c r="F305" s="12">
        <f>$F$304</f>
        <v>259</v>
      </c>
      <c r="G305" s="3" t="s">
        <v>1130</v>
      </c>
    </row>
    <row r="306" spans="1:7" ht="15.95" customHeight="1">
      <c r="A306" s="3" t="s">
        <v>1180</v>
      </c>
      <c r="B306" s="4" t="s">
        <v>682</v>
      </c>
      <c r="C306" s="4" t="s">
        <v>438</v>
      </c>
      <c r="D306" s="18">
        <v>72</v>
      </c>
      <c r="E306" s="13">
        <f>IF($F306=0,0,D306/$F306)</f>
        <v>0.27799227799227799</v>
      </c>
      <c r="F306" s="12">
        <f>$F$304</f>
        <v>259</v>
      </c>
      <c r="G306" s="3" t="s">
        <v>1130</v>
      </c>
    </row>
    <row r="307" spans="1:7" ht="15.95" customHeight="1">
      <c r="A307" s="3" t="s">
        <v>1181</v>
      </c>
      <c r="B307" s="4" t="s">
        <v>668</v>
      </c>
      <c r="C307" s="4" t="s">
        <v>1182</v>
      </c>
      <c r="D307" s="18">
        <v>83</v>
      </c>
      <c r="E307" s="13">
        <f>IF($F307=0,0,D307/$F307)</f>
        <v>0.32046332046332099</v>
      </c>
      <c r="F307" s="18">
        <v>259</v>
      </c>
      <c r="G307" s="3" t="s">
        <v>1130</v>
      </c>
    </row>
    <row r="308" spans="1:7" ht="15.95" customHeight="1">
      <c r="A308" s="3" t="s">
        <v>1181</v>
      </c>
      <c r="B308" s="4" t="s">
        <v>668</v>
      </c>
      <c r="C308" s="4" t="s">
        <v>1183</v>
      </c>
      <c r="D308" s="18">
        <v>102</v>
      </c>
      <c r="E308" s="13">
        <f>IF($F308=0,0,D308/$F308)</f>
        <v>0.39382239382239398</v>
      </c>
      <c r="F308" s="12">
        <f>$F$307</f>
        <v>259</v>
      </c>
      <c r="G308" s="3" t="s">
        <v>1130</v>
      </c>
    </row>
    <row r="309" spans="1:7" ht="15.95" customHeight="1">
      <c r="A309" s="3" t="s">
        <v>1181</v>
      </c>
      <c r="B309" s="4" t="s">
        <v>668</v>
      </c>
      <c r="C309" s="4" t="s">
        <v>438</v>
      </c>
      <c r="D309" s="18">
        <v>74</v>
      </c>
      <c r="E309" s="13">
        <f>IF($F309=0,0,D309/$F309)</f>
        <v>0.28571428571428598</v>
      </c>
      <c r="F309" s="12">
        <f>$F$307</f>
        <v>259</v>
      </c>
      <c r="G309" s="3" t="s">
        <v>1130</v>
      </c>
    </row>
    <row r="310" spans="1:7" ht="15.95" customHeight="1">
      <c r="A310" s="3" t="s">
        <v>1181</v>
      </c>
      <c r="B310" s="4" t="s">
        <v>669</v>
      </c>
      <c r="C310" s="4" t="s">
        <v>1182</v>
      </c>
      <c r="D310" s="18">
        <v>41</v>
      </c>
      <c r="E310" s="13">
        <f>IF($F310=0,0,D310/$F310)</f>
        <v>0.15830115830115801</v>
      </c>
      <c r="F310" s="18">
        <v>259</v>
      </c>
      <c r="G310" s="3" t="s">
        <v>1130</v>
      </c>
    </row>
    <row r="311" spans="1:7" ht="15.95" customHeight="1">
      <c r="A311" s="3" t="s">
        <v>1181</v>
      </c>
      <c r="B311" s="4" t="s">
        <v>669</v>
      </c>
      <c r="C311" s="4" t="s">
        <v>1183</v>
      </c>
      <c r="D311" s="18">
        <v>131</v>
      </c>
      <c r="E311" s="13">
        <f>IF($F311=0,0,D311/$F311)</f>
        <v>0.505791505791506</v>
      </c>
      <c r="F311" s="12">
        <f>$F$310</f>
        <v>259</v>
      </c>
      <c r="G311" s="3" t="s">
        <v>1130</v>
      </c>
    </row>
    <row r="312" spans="1:7" ht="15.95" customHeight="1">
      <c r="A312" s="3" t="s">
        <v>1181</v>
      </c>
      <c r="B312" s="4" t="s">
        <v>669</v>
      </c>
      <c r="C312" s="4" t="s">
        <v>438</v>
      </c>
      <c r="D312" s="18">
        <v>87</v>
      </c>
      <c r="E312" s="13">
        <f>IF($F312=0,0,D312/$F312)</f>
        <v>0.33590733590733601</v>
      </c>
      <c r="F312" s="12">
        <f>$F$310</f>
        <v>259</v>
      </c>
      <c r="G312" s="3" t="s">
        <v>1130</v>
      </c>
    </row>
    <row r="313" spans="1:7" ht="15.95" customHeight="1">
      <c r="A313" s="3" t="s">
        <v>1181</v>
      </c>
      <c r="B313" s="4" t="s">
        <v>670</v>
      </c>
      <c r="C313" s="4" t="s">
        <v>1182</v>
      </c>
      <c r="D313" s="18">
        <v>22</v>
      </c>
      <c r="E313" s="13">
        <f>IF($F313=0,0,D313/$F313)</f>
        <v>8.4942084942084897E-2</v>
      </c>
      <c r="F313" s="18">
        <v>259</v>
      </c>
      <c r="G313" s="3" t="s">
        <v>1130</v>
      </c>
    </row>
    <row r="314" spans="1:7" ht="15.95" customHeight="1">
      <c r="A314" s="3" t="s">
        <v>1181</v>
      </c>
      <c r="B314" s="4" t="s">
        <v>670</v>
      </c>
      <c r="C314" s="4" t="s">
        <v>1183</v>
      </c>
      <c r="D314" s="18">
        <v>150</v>
      </c>
      <c r="E314" s="13">
        <f>IF($F314=0,0,D314/$F314)</f>
        <v>0.57915057915057899</v>
      </c>
      <c r="F314" s="12">
        <f>$F$313</f>
        <v>259</v>
      </c>
      <c r="G314" s="3" t="s">
        <v>1130</v>
      </c>
    </row>
    <row r="315" spans="1:7" ht="15.95" customHeight="1">
      <c r="A315" s="3" t="s">
        <v>1181</v>
      </c>
      <c r="B315" s="4" t="s">
        <v>670</v>
      </c>
      <c r="C315" s="4" t="s">
        <v>438</v>
      </c>
      <c r="D315" s="18">
        <v>87</v>
      </c>
      <c r="E315" s="13">
        <f>IF($F315=0,0,D315/$F315)</f>
        <v>0.33590733590733601</v>
      </c>
      <c r="F315" s="12">
        <f>$F$313</f>
        <v>259</v>
      </c>
      <c r="G315" s="3" t="s">
        <v>1130</v>
      </c>
    </row>
    <row r="316" spans="1:7" ht="15.95" customHeight="1">
      <c r="A316" s="3" t="s">
        <v>1181</v>
      </c>
      <c r="B316" s="4" t="s">
        <v>671</v>
      </c>
      <c r="C316" s="4" t="s">
        <v>1182</v>
      </c>
      <c r="D316" s="18">
        <v>32</v>
      </c>
      <c r="E316" s="13">
        <f>IF($F316=0,0,D316/$F316)</f>
        <v>0.123552123552124</v>
      </c>
      <c r="F316" s="18">
        <v>259</v>
      </c>
      <c r="G316" s="3" t="s">
        <v>1130</v>
      </c>
    </row>
    <row r="317" spans="1:7" ht="15.95" customHeight="1">
      <c r="A317" s="3" t="s">
        <v>1181</v>
      </c>
      <c r="B317" s="4" t="s">
        <v>671</v>
      </c>
      <c r="C317" s="4" t="s">
        <v>1183</v>
      </c>
      <c r="D317" s="18">
        <v>142</v>
      </c>
      <c r="E317" s="13">
        <f>IF($F317=0,0,D317/$F317)</f>
        <v>0.54826254826254806</v>
      </c>
      <c r="F317" s="12">
        <f>$F$316</f>
        <v>259</v>
      </c>
      <c r="G317" s="3" t="s">
        <v>1130</v>
      </c>
    </row>
    <row r="318" spans="1:7" ht="15.95" customHeight="1">
      <c r="A318" s="3" t="s">
        <v>1181</v>
      </c>
      <c r="B318" s="4" t="s">
        <v>671</v>
      </c>
      <c r="C318" s="4" t="s">
        <v>438</v>
      </c>
      <c r="D318" s="18">
        <v>85</v>
      </c>
      <c r="E318" s="13">
        <f>IF($F318=0,0,D318/$F318)</f>
        <v>0.32818532818532797</v>
      </c>
      <c r="F318" s="12">
        <f>$F$316</f>
        <v>259</v>
      </c>
      <c r="G318" s="3" t="s">
        <v>1130</v>
      </c>
    </row>
    <row r="319" spans="1:7" ht="15.95" customHeight="1">
      <c r="A319" s="3" t="s">
        <v>1181</v>
      </c>
      <c r="B319" s="4" t="s">
        <v>672</v>
      </c>
      <c r="C319" s="4" t="s">
        <v>1182</v>
      </c>
      <c r="D319" s="18">
        <v>38</v>
      </c>
      <c r="E319" s="13">
        <f>IF($F319=0,0,D319/$F319)</f>
        <v>0.14671814671814701</v>
      </c>
      <c r="F319" s="18">
        <v>259</v>
      </c>
      <c r="G319" s="3" t="s">
        <v>1130</v>
      </c>
    </row>
    <row r="320" spans="1:7" ht="15.95" customHeight="1">
      <c r="A320" s="3" t="s">
        <v>1181</v>
      </c>
      <c r="B320" s="4" t="s">
        <v>672</v>
      </c>
      <c r="C320" s="4" t="s">
        <v>1183</v>
      </c>
      <c r="D320" s="18">
        <v>132</v>
      </c>
      <c r="E320" s="13">
        <f>IF($F320=0,0,D320/$F320)</f>
        <v>0.50965250965250997</v>
      </c>
      <c r="F320" s="12">
        <f>$F$319</f>
        <v>259</v>
      </c>
      <c r="G320" s="3" t="s">
        <v>1130</v>
      </c>
    </row>
    <row r="321" spans="1:7" ht="15.95" customHeight="1">
      <c r="A321" s="3" t="s">
        <v>1181</v>
      </c>
      <c r="B321" s="4" t="s">
        <v>672</v>
      </c>
      <c r="C321" s="4" t="s">
        <v>438</v>
      </c>
      <c r="D321" s="18">
        <v>89</v>
      </c>
      <c r="E321" s="13">
        <f>IF($F321=0,0,D321/$F321)</f>
        <v>0.343629343629344</v>
      </c>
      <c r="F321" s="12">
        <f>$F$319</f>
        <v>259</v>
      </c>
      <c r="G321" s="3" t="s">
        <v>1130</v>
      </c>
    </row>
    <row r="322" spans="1:7" ht="15.95" customHeight="1">
      <c r="A322" s="3" t="s">
        <v>1181</v>
      </c>
      <c r="B322" s="4" t="s">
        <v>673</v>
      </c>
      <c r="C322" s="4" t="s">
        <v>1182</v>
      </c>
      <c r="D322" s="18">
        <v>73</v>
      </c>
      <c r="E322" s="13">
        <f>IF($F322=0,0,D322/$F322)</f>
        <v>0.28185328185328201</v>
      </c>
      <c r="F322" s="18">
        <v>259</v>
      </c>
      <c r="G322" s="3" t="s">
        <v>1130</v>
      </c>
    </row>
    <row r="323" spans="1:7" ht="15.95" customHeight="1">
      <c r="A323" s="3" t="s">
        <v>1181</v>
      </c>
      <c r="B323" s="4" t="s">
        <v>673</v>
      </c>
      <c r="C323" s="4" t="s">
        <v>1183</v>
      </c>
      <c r="D323" s="18">
        <v>99</v>
      </c>
      <c r="E323" s="13">
        <f>IF($F323=0,0,D323/$F323)</f>
        <v>0.38223938223938198</v>
      </c>
      <c r="F323" s="12">
        <f>$F$322</f>
        <v>259</v>
      </c>
      <c r="G323" s="3" t="s">
        <v>1130</v>
      </c>
    </row>
    <row r="324" spans="1:7" ht="15.95" customHeight="1">
      <c r="A324" s="3" t="s">
        <v>1181</v>
      </c>
      <c r="B324" s="4" t="s">
        <v>673</v>
      </c>
      <c r="C324" s="4" t="s">
        <v>438</v>
      </c>
      <c r="D324" s="18">
        <v>87</v>
      </c>
      <c r="E324" s="13">
        <f>IF($F324=0,0,D324/$F324)</f>
        <v>0.33590733590733601</v>
      </c>
      <c r="F324" s="12">
        <f>$F$322</f>
        <v>259</v>
      </c>
      <c r="G324" s="3" t="s">
        <v>1130</v>
      </c>
    </row>
    <row r="325" spans="1:7" ht="15.95" customHeight="1">
      <c r="A325" s="3" t="s">
        <v>1181</v>
      </c>
      <c r="B325" s="4" t="s">
        <v>674</v>
      </c>
      <c r="C325" s="4" t="s">
        <v>1182</v>
      </c>
      <c r="D325" s="18">
        <v>24</v>
      </c>
      <c r="E325" s="13">
        <f>IF($F325=0,0,D325/$F325)</f>
        <v>9.2664092664092701E-2</v>
      </c>
      <c r="F325" s="18">
        <v>259</v>
      </c>
      <c r="G325" s="3" t="s">
        <v>1130</v>
      </c>
    </row>
    <row r="326" spans="1:7" ht="15.95" customHeight="1">
      <c r="A326" s="3" t="s">
        <v>1181</v>
      </c>
      <c r="B326" s="4" t="s">
        <v>674</v>
      </c>
      <c r="C326" s="4" t="s">
        <v>1183</v>
      </c>
      <c r="D326" s="18">
        <v>145</v>
      </c>
      <c r="E326" s="13">
        <f>IF($F326=0,0,D326/$F326)</f>
        <v>0.55984555984555995</v>
      </c>
      <c r="F326" s="12">
        <f>$F$325</f>
        <v>259</v>
      </c>
      <c r="G326" s="3" t="s">
        <v>1130</v>
      </c>
    </row>
    <row r="327" spans="1:7" ht="15.95" customHeight="1">
      <c r="A327" s="3" t="s">
        <v>1181</v>
      </c>
      <c r="B327" s="4" t="s">
        <v>674</v>
      </c>
      <c r="C327" s="4" t="s">
        <v>438</v>
      </c>
      <c r="D327" s="18">
        <v>90</v>
      </c>
      <c r="E327" s="13">
        <f>IF($F327=0,0,D327/$F327)</f>
        <v>0.34749034749034802</v>
      </c>
      <c r="F327" s="12">
        <f>$F$325</f>
        <v>259</v>
      </c>
      <c r="G327" s="3" t="s">
        <v>1130</v>
      </c>
    </row>
    <row r="328" spans="1:7" ht="15.95" customHeight="1">
      <c r="A328" s="3" t="s">
        <v>1181</v>
      </c>
      <c r="B328" s="4" t="s">
        <v>675</v>
      </c>
      <c r="C328" s="4" t="s">
        <v>1182</v>
      </c>
      <c r="D328" s="18">
        <v>26</v>
      </c>
      <c r="E328" s="13">
        <f>IF($F328=0,0,D328/$F328)</f>
        <v>0.10038610038610001</v>
      </c>
      <c r="F328" s="18">
        <v>259</v>
      </c>
      <c r="G328" s="3" t="s">
        <v>1130</v>
      </c>
    </row>
    <row r="329" spans="1:7" ht="15.95" customHeight="1">
      <c r="A329" s="3" t="s">
        <v>1181</v>
      </c>
      <c r="B329" s="4" t="s">
        <v>675</v>
      </c>
      <c r="C329" s="4" t="s">
        <v>1183</v>
      </c>
      <c r="D329" s="18">
        <v>145</v>
      </c>
      <c r="E329" s="13">
        <f>IF($F329=0,0,D329/$F329)</f>
        <v>0.55984555984555995</v>
      </c>
      <c r="F329" s="12">
        <f>$F$328</f>
        <v>259</v>
      </c>
      <c r="G329" s="3" t="s">
        <v>1130</v>
      </c>
    </row>
    <row r="330" spans="1:7" ht="15.95" customHeight="1">
      <c r="A330" s="3" t="s">
        <v>1181</v>
      </c>
      <c r="B330" s="4" t="s">
        <v>675</v>
      </c>
      <c r="C330" s="4" t="s">
        <v>438</v>
      </c>
      <c r="D330" s="18">
        <v>88</v>
      </c>
      <c r="E330" s="13">
        <f>IF($F330=0,0,D330/$F330)</f>
        <v>0.33976833976833998</v>
      </c>
      <c r="F330" s="12">
        <f>$F$328</f>
        <v>259</v>
      </c>
      <c r="G330" s="3" t="s">
        <v>1130</v>
      </c>
    </row>
    <row r="331" spans="1:7" ht="15.95" customHeight="1">
      <c r="A331" s="3" t="s">
        <v>1181</v>
      </c>
      <c r="B331" s="4" t="s">
        <v>676</v>
      </c>
      <c r="C331" s="4" t="s">
        <v>1182</v>
      </c>
      <c r="D331" s="18">
        <v>27</v>
      </c>
      <c r="E331" s="13">
        <f>IF($F331=0,0,D331/$F331)</f>
        <v>0.104247104247104</v>
      </c>
      <c r="F331" s="18">
        <v>259</v>
      </c>
      <c r="G331" s="3" t="s">
        <v>1130</v>
      </c>
    </row>
    <row r="332" spans="1:7" ht="15.95" customHeight="1">
      <c r="A332" s="3" t="s">
        <v>1181</v>
      </c>
      <c r="B332" s="4" t="s">
        <v>676</v>
      </c>
      <c r="C332" s="4" t="s">
        <v>1183</v>
      </c>
      <c r="D332" s="18">
        <v>144</v>
      </c>
      <c r="E332" s="13">
        <f>IF($F332=0,0,D332/$F332)</f>
        <v>0.55598455598455598</v>
      </c>
      <c r="F332" s="12">
        <f>$F$331</f>
        <v>259</v>
      </c>
      <c r="G332" s="3" t="s">
        <v>1130</v>
      </c>
    </row>
    <row r="333" spans="1:7" ht="15.95" customHeight="1">
      <c r="A333" s="3" t="s">
        <v>1181</v>
      </c>
      <c r="B333" s="4" t="s">
        <v>676</v>
      </c>
      <c r="C333" s="4" t="s">
        <v>438</v>
      </c>
      <c r="D333" s="18">
        <v>88</v>
      </c>
      <c r="E333" s="13">
        <f>IF($F333=0,0,D333/$F333)</f>
        <v>0.33976833976833998</v>
      </c>
      <c r="F333" s="12">
        <f>$F$331</f>
        <v>259</v>
      </c>
      <c r="G333" s="3" t="s">
        <v>1130</v>
      </c>
    </row>
    <row r="334" spans="1:7" ht="15.95" customHeight="1">
      <c r="A334" s="3" t="s">
        <v>1181</v>
      </c>
      <c r="B334" s="4" t="s">
        <v>677</v>
      </c>
      <c r="C334" s="4" t="s">
        <v>1182</v>
      </c>
      <c r="D334" s="18">
        <v>29</v>
      </c>
      <c r="E334" s="13">
        <f>IF($F334=0,0,D334/$F334)</f>
        <v>0.111969111969112</v>
      </c>
      <c r="F334" s="18">
        <v>259</v>
      </c>
      <c r="G334" s="3" t="s">
        <v>1130</v>
      </c>
    </row>
    <row r="335" spans="1:7" ht="15.95" customHeight="1">
      <c r="A335" s="3" t="s">
        <v>1181</v>
      </c>
      <c r="B335" s="4" t="s">
        <v>677</v>
      </c>
      <c r="C335" s="4" t="s">
        <v>1183</v>
      </c>
      <c r="D335" s="18">
        <v>141</v>
      </c>
      <c r="E335" s="13">
        <f>IF($F335=0,0,D335/$F335)</f>
        <v>0.54440154440154398</v>
      </c>
      <c r="F335" s="12">
        <f>$F$334</f>
        <v>259</v>
      </c>
      <c r="G335" s="3" t="s">
        <v>1130</v>
      </c>
    </row>
    <row r="336" spans="1:7" ht="15.95" customHeight="1">
      <c r="A336" s="3" t="s">
        <v>1181</v>
      </c>
      <c r="B336" s="4" t="s">
        <v>677</v>
      </c>
      <c r="C336" s="4" t="s">
        <v>438</v>
      </c>
      <c r="D336" s="18">
        <v>89</v>
      </c>
      <c r="E336" s="13">
        <f>IF($F336=0,0,D336/$F336)</f>
        <v>0.343629343629344</v>
      </c>
      <c r="F336" s="12">
        <f>$F$334</f>
        <v>259</v>
      </c>
      <c r="G336" s="3" t="s">
        <v>1130</v>
      </c>
    </row>
    <row r="337" spans="1:7" ht="15.95" customHeight="1">
      <c r="A337" s="3" t="s">
        <v>1181</v>
      </c>
      <c r="B337" s="4" t="s">
        <v>678</v>
      </c>
      <c r="C337" s="4" t="s">
        <v>1182</v>
      </c>
      <c r="D337" s="18">
        <v>67</v>
      </c>
      <c r="E337" s="13">
        <f>IF($F337=0,0,D337/$F337)</f>
        <v>0.258687258687259</v>
      </c>
      <c r="F337" s="18">
        <v>259</v>
      </c>
      <c r="G337" s="3" t="s">
        <v>1130</v>
      </c>
    </row>
    <row r="338" spans="1:7" ht="15.95" customHeight="1">
      <c r="A338" s="3" t="s">
        <v>1181</v>
      </c>
      <c r="B338" s="4" t="s">
        <v>678</v>
      </c>
      <c r="C338" s="4" t="s">
        <v>1183</v>
      </c>
      <c r="D338" s="18">
        <v>110</v>
      </c>
      <c r="E338" s="13">
        <f>IF($F338=0,0,D338/$F338)</f>
        <v>0.42471042471042503</v>
      </c>
      <c r="F338" s="12">
        <f>$F$337</f>
        <v>259</v>
      </c>
      <c r="G338" s="3" t="s">
        <v>1130</v>
      </c>
    </row>
    <row r="339" spans="1:7" ht="15.95" customHeight="1">
      <c r="A339" s="3" t="s">
        <v>1181</v>
      </c>
      <c r="B339" s="4" t="s">
        <v>678</v>
      </c>
      <c r="C339" s="4" t="s">
        <v>438</v>
      </c>
      <c r="D339" s="18">
        <v>82</v>
      </c>
      <c r="E339" s="13">
        <f>IF($F339=0,0,D339/$F339)</f>
        <v>0.31660231660231702</v>
      </c>
      <c r="F339" s="12">
        <f>$F$337</f>
        <v>259</v>
      </c>
      <c r="G339" s="3" t="s">
        <v>1130</v>
      </c>
    </row>
    <row r="340" spans="1:7" ht="15.95" customHeight="1">
      <c r="A340" s="3" t="s">
        <v>1181</v>
      </c>
      <c r="B340" s="4" t="s">
        <v>679</v>
      </c>
      <c r="C340" s="4" t="s">
        <v>1182</v>
      </c>
      <c r="D340" s="18">
        <v>49</v>
      </c>
      <c r="E340" s="13">
        <f>IF($F340=0,0,D340/$F340)</f>
        <v>0.18918918918918901</v>
      </c>
      <c r="F340" s="18">
        <v>259</v>
      </c>
      <c r="G340" s="3" t="s">
        <v>1130</v>
      </c>
    </row>
    <row r="341" spans="1:7" ht="15.95" customHeight="1">
      <c r="A341" s="3" t="s">
        <v>1181</v>
      </c>
      <c r="B341" s="4" t="s">
        <v>679</v>
      </c>
      <c r="C341" s="4" t="s">
        <v>1183</v>
      </c>
      <c r="D341" s="18">
        <v>124</v>
      </c>
      <c r="E341" s="13">
        <f>IF($F341=0,0,D341/$F341)</f>
        <v>0.47876447876447897</v>
      </c>
      <c r="F341" s="12">
        <f>$F$340</f>
        <v>259</v>
      </c>
      <c r="G341" s="3" t="s">
        <v>1130</v>
      </c>
    </row>
    <row r="342" spans="1:7" ht="15.95" customHeight="1">
      <c r="A342" s="3" t="s">
        <v>1181</v>
      </c>
      <c r="B342" s="4" t="s">
        <v>679</v>
      </c>
      <c r="C342" s="4" t="s">
        <v>438</v>
      </c>
      <c r="D342" s="18">
        <v>86</v>
      </c>
      <c r="E342" s="13">
        <f>IF($F342=0,0,D342/$F342)</f>
        <v>0.33204633204633199</v>
      </c>
      <c r="F342" s="12">
        <f>$F$340</f>
        <v>259</v>
      </c>
      <c r="G342" s="3" t="s">
        <v>1130</v>
      </c>
    </row>
    <row r="343" spans="1:7" ht="15.95" customHeight="1">
      <c r="A343" s="3" t="s">
        <v>1181</v>
      </c>
      <c r="B343" s="4" t="s">
        <v>680</v>
      </c>
      <c r="C343" s="4" t="s">
        <v>1182</v>
      </c>
      <c r="D343" s="18">
        <v>54</v>
      </c>
      <c r="E343" s="13">
        <f>IF($F343=0,0,D343/$F343)</f>
        <v>0.20849420849420899</v>
      </c>
      <c r="F343" s="18">
        <v>259</v>
      </c>
      <c r="G343" s="3" t="s">
        <v>1130</v>
      </c>
    </row>
    <row r="344" spans="1:7" ht="15.95" customHeight="1">
      <c r="A344" s="3" t="s">
        <v>1181</v>
      </c>
      <c r="B344" s="4" t="s">
        <v>680</v>
      </c>
      <c r="C344" s="4" t="s">
        <v>1183</v>
      </c>
      <c r="D344" s="18">
        <v>118</v>
      </c>
      <c r="E344" s="13">
        <f>IF($F344=0,0,D344/$F344)</f>
        <v>0.45559845559845602</v>
      </c>
      <c r="F344" s="12">
        <f>$F$343</f>
        <v>259</v>
      </c>
      <c r="G344" s="3" t="s">
        <v>1130</v>
      </c>
    </row>
    <row r="345" spans="1:7" ht="15.95" customHeight="1">
      <c r="A345" s="3" t="s">
        <v>1181</v>
      </c>
      <c r="B345" s="4" t="s">
        <v>680</v>
      </c>
      <c r="C345" s="4" t="s">
        <v>438</v>
      </c>
      <c r="D345" s="18">
        <v>87</v>
      </c>
      <c r="E345" s="13">
        <f>IF($F345=0,0,D345/$F345)</f>
        <v>0.33590733590733601</v>
      </c>
      <c r="F345" s="12">
        <f>$F$343</f>
        <v>259</v>
      </c>
      <c r="G345" s="3" t="s">
        <v>1130</v>
      </c>
    </row>
    <row r="346" spans="1:7" ht="15.95" customHeight="1">
      <c r="A346" s="3" t="s">
        <v>1181</v>
      </c>
      <c r="B346" s="4" t="s">
        <v>681</v>
      </c>
      <c r="C346" s="4" t="s">
        <v>1182</v>
      </c>
      <c r="D346" s="18">
        <v>84</v>
      </c>
      <c r="E346" s="13">
        <f>IF($F346=0,0,D346/$F346)</f>
        <v>0.32432432432432401</v>
      </c>
      <c r="F346" s="18">
        <v>259</v>
      </c>
      <c r="G346" s="3" t="s">
        <v>1130</v>
      </c>
    </row>
    <row r="347" spans="1:7" ht="15.95" customHeight="1">
      <c r="A347" s="3" t="s">
        <v>1181</v>
      </c>
      <c r="B347" s="4" t="s">
        <v>681</v>
      </c>
      <c r="C347" s="4" t="s">
        <v>1183</v>
      </c>
      <c r="D347" s="18">
        <v>96</v>
      </c>
      <c r="E347" s="13">
        <f>IF($F347=0,0,D347/$F347)</f>
        <v>0.37065637065637103</v>
      </c>
      <c r="F347" s="12">
        <f>$F$346</f>
        <v>259</v>
      </c>
      <c r="G347" s="3" t="s">
        <v>1130</v>
      </c>
    </row>
    <row r="348" spans="1:7" ht="15.95" customHeight="1">
      <c r="A348" s="3" t="s">
        <v>1181</v>
      </c>
      <c r="B348" s="4" t="s">
        <v>681</v>
      </c>
      <c r="C348" s="4" t="s">
        <v>438</v>
      </c>
      <c r="D348" s="18">
        <v>79</v>
      </c>
      <c r="E348" s="13">
        <f>IF($F348=0,0,D348/$F348)</f>
        <v>0.30501930501930502</v>
      </c>
      <c r="F348" s="12">
        <f>$F$346</f>
        <v>259</v>
      </c>
      <c r="G348" s="3" t="s">
        <v>1130</v>
      </c>
    </row>
    <row r="349" spans="1:7" ht="15.95" customHeight="1">
      <c r="A349" s="3" t="s">
        <v>1181</v>
      </c>
      <c r="B349" s="4" t="s">
        <v>682</v>
      </c>
      <c r="C349" s="4" t="s">
        <v>1182</v>
      </c>
      <c r="D349" s="18">
        <v>35</v>
      </c>
      <c r="E349" s="13">
        <f>IF($F349=0,0,D349/$F349)</f>
        <v>0.135135135135135</v>
      </c>
      <c r="F349" s="18">
        <v>259</v>
      </c>
      <c r="G349" s="3" t="s">
        <v>1130</v>
      </c>
    </row>
    <row r="350" spans="1:7" ht="15.95" customHeight="1">
      <c r="A350" s="3" t="s">
        <v>1181</v>
      </c>
      <c r="B350" s="4" t="s">
        <v>682</v>
      </c>
      <c r="C350" s="4" t="s">
        <v>1183</v>
      </c>
      <c r="D350" s="18">
        <v>136</v>
      </c>
      <c r="E350" s="13">
        <f>IF($F350=0,0,D350/$F350)</f>
        <v>0.52509652509652505</v>
      </c>
      <c r="F350" s="12">
        <f>$F$349</f>
        <v>259</v>
      </c>
      <c r="G350" s="3" t="s">
        <v>1130</v>
      </c>
    </row>
    <row r="351" spans="1:7" ht="15.95" customHeight="1">
      <c r="A351" s="3" t="s">
        <v>1181</v>
      </c>
      <c r="B351" s="4" t="s">
        <v>682</v>
      </c>
      <c r="C351" s="4" t="s">
        <v>438</v>
      </c>
      <c r="D351" s="18">
        <v>88</v>
      </c>
      <c r="E351" s="13">
        <f>IF($F351=0,0,D351/$F351)</f>
        <v>0.33976833976833998</v>
      </c>
      <c r="F351" s="12">
        <f>$F$349</f>
        <v>259</v>
      </c>
      <c r="G351" s="3" t="s">
        <v>1130</v>
      </c>
    </row>
    <row r="352" spans="1:7" ht="27.95" customHeight="1">
      <c r="A352" s="3" t="s">
        <v>411</v>
      </c>
      <c r="B352" s="4" t="s">
        <v>1184</v>
      </c>
      <c r="C352" s="4" t="s">
        <v>697</v>
      </c>
      <c r="D352" s="18">
        <v>191</v>
      </c>
      <c r="E352" s="13">
        <f>IF($F352=0,0,D352/$F352)</f>
        <v>0.73745173745173698</v>
      </c>
      <c r="F352" s="18">
        <v>259</v>
      </c>
      <c r="G352" s="3" t="s">
        <v>1128</v>
      </c>
    </row>
    <row r="353" spans="1:7" ht="27.95" customHeight="1">
      <c r="A353" s="3" t="s">
        <v>411</v>
      </c>
      <c r="B353" s="4" t="s">
        <v>1184</v>
      </c>
      <c r="C353" s="4" t="s">
        <v>699</v>
      </c>
      <c r="D353" s="18">
        <v>62</v>
      </c>
      <c r="E353" s="13">
        <f>IF($F353=0,0,D353/$F353)</f>
        <v>0.23938223938223899</v>
      </c>
      <c r="F353" s="12">
        <f>$F$352</f>
        <v>259</v>
      </c>
      <c r="G353" s="3" t="s">
        <v>1128</v>
      </c>
    </row>
    <row r="354" spans="1:7" ht="27.95" customHeight="1">
      <c r="A354" s="3" t="s">
        <v>411</v>
      </c>
      <c r="B354" s="4" t="s">
        <v>1184</v>
      </c>
      <c r="C354" s="4" t="s">
        <v>704</v>
      </c>
      <c r="D354" s="18">
        <v>21</v>
      </c>
      <c r="E354" s="13">
        <f>IF($F354=0,0,D354/$F354)</f>
        <v>8.1081081081081099E-2</v>
      </c>
      <c r="F354" s="12">
        <f>$F$352</f>
        <v>259</v>
      </c>
      <c r="G354" s="3" t="s">
        <v>1128</v>
      </c>
    </row>
    <row r="355" spans="1:7" ht="27.95" customHeight="1">
      <c r="A355" s="3" t="s">
        <v>411</v>
      </c>
      <c r="B355" s="4" t="s">
        <v>1184</v>
      </c>
      <c r="C355" s="4" t="s">
        <v>706</v>
      </c>
      <c r="D355" s="18">
        <v>14</v>
      </c>
      <c r="E355" s="13">
        <f>IF($F355=0,0,D355/$F355)</f>
        <v>5.4054054054054099E-2</v>
      </c>
      <c r="F355" s="12">
        <f>$F$352</f>
        <v>259</v>
      </c>
      <c r="G355" s="3" t="s">
        <v>1128</v>
      </c>
    </row>
    <row r="356" spans="1:7" ht="27.95" customHeight="1">
      <c r="A356" s="3" t="s">
        <v>411</v>
      </c>
      <c r="B356" s="4" t="s">
        <v>1184</v>
      </c>
      <c r="C356" s="4" t="s">
        <v>700</v>
      </c>
      <c r="D356" s="18">
        <v>37</v>
      </c>
      <c r="E356" s="13">
        <f>IF($F356=0,0,D356/$F356)</f>
        <v>0.14285714285714299</v>
      </c>
      <c r="F356" s="12">
        <f>$F$352</f>
        <v>259</v>
      </c>
      <c r="G356" s="3" t="s">
        <v>1128</v>
      </c>
    </row>
    <row r="357" spans="1:7" ht="27.95" customHeight="1">
      <c r="A357" s="3" t="s">
        <v>411</v>
      </c>
      <c r="B357" s="4" t="s">
        <v>1184</v>
      </c>
      <c r="C357" s="4" t="s">
        <v>705</v>
      </c>
      <c r="D357" s="18">
        <v>18</v>
      </c>
      <c r="E357" s="13">
        <f>IF($F357=0,0,D357/$F357)</f>
        <v>6.9498069498069498E-2</v>
      </c>
      <c r="F357" s="12">
        <f>$F$352</f>
        <v>259</v>
      </c>
      <c r="G357" s="3" t="s">
        <v>1128</v>
      </c>
    </row>
    <row r="358" spans="1:7" ht="27.95" customHeight="1">
      <c r="A358" s="3" t="s">
        <v>411</v>
      </c>
      <c r="B358" s="4" t="s">
        <v>1184</v>
      </c>
      <c r="C358" s="4" t="s">
        <v>710</v>
      </c>
      <c r="D358" s="18">
        <v>1</v>
      </c>
      <c r="E358" s="13">
        <f>IF($F358=0,0,D358/$F358)</f>
        <v>3.8610038610038598E-3</v>
      </c>
      <c r="F358" s="12">
        <f>$F$352</f>
        <v>259</v>
      </c>
      <c r="G358" s="3" t="s">
        <v>1128</v>
      </c>
    </row>
    <row r="359" spans="1:7" ht="27.95" customHeight="1">
      <c r="A359" s="3" t="s">
        <v>411</v>
      </c>
      <c r="B359" s="4" t="s">
        <v>1184</v>
      </c>
      <c r="C359" s="4" t="s">
        <v>698</v>
      </c>
      <c r="D359" s="18">
        <v>64</v>
      </c>
      <c r="E359" s="13">
        <f>IF($F359=0,0,D359/$F359)</f>
        <v>0.247104247104247</v>
      </c>
      <c r="F359" s="12">
        <f>$F$352</f>
        <v>259</v>
      </c>
      <c r="G359" s="3" t="s">
        <v>1128</v>
      </c>
    </row>
    <row r="360" spans="1:7" ht="27.95" customHeight="1">
      <c r="A360" s="3" t="s">
        <v>411</v>
      </c>
      <c r="B360" s="4" t="s">
        <v>1184</v>
      </c>
      <c r="C360" s="4" t="s">
        <v>701</v>
      </c>
      <c r="D360" s="18">
        <v>29</v>
      </c>
      <c r="E360" s="13">
        <f>IF($F360=0,0,D360/$F360)</f>
        <v>0.111969111969112</v>
      </c>
      <c r="F360" s="12">
        <f>$F$352</f>
        <v>259</v>
      </c>
      <c r="G360" s="3" t="s">
        <v>1128</v>
      </c>
    </row>
    <row r="361" spans="1:7" ht="27.95" customHeight="1">
      <c r="A361" s="3" t="s">
        <v>411</v>
      </c>
      <c r="B361" s="4" t="s">
        <v>1184</v>
      </c>
      <c r="C361" s="4" t="s">
        <v>708</v>
      </c>
      <c r="D361" s="18">
        <v>5</v>
      </c>
      <c r="E361" s="13">
        <f>IF($F361=0,0,D361/$F361)</f>
        <v>1.9305019305019301E-2</v>
      </c>
      <c r="F361" s="12">
        <f>$F$352</f>
        <v>259</v>
      </c>
      <c r="G361" s="3" t="s">
        <v>1128</v>
      </c>
    </row>
    <row r="362" spans="1:7" ht="27.95" customHeight="1">
      <c r="A362" s="3" t="s">
        <v>411</v>
      </c>
      <c r="B362" s="4" t="s">
        <v>1184</v>
      </c>
      <c r="C362" s="4" t="s">
        <v>709</v>
      </c>
      <c r="D362" s="18">
        <v>3</v>
      </c>
      <c r="E362" s="13">
        <f>IF($F362=0,0,D362/$F362)</f>
        <v>1.15830115830116E-2</v>
      </c>
      <c r="F362" s="12">
        <f>$F$352</f>
        <v>259</v>
      </c>
      <c r="G362" s="3" t="s">
        <v>1128</v>
      </c>
    </row>
    <row r="363" spans="1:7" ht="27.95" customHeight="1">
      <c r="A363" s="3" t="s">
        <v>411</v>
      </c>
      <c r="B363" s="4" t="s">
        <v>1184</v>
      </c>
      <c r="C363" s="4" t="s">
        <v>702</v>
      </c>
      <c r="D363" s="18">
        <v>22</v>
      </c>
      <c r="E363" s="13">
        <f>IF($F363=0,0,D363/$F363)</f>
        <v>8.4942084942084897E-2</v>
      </c>
      <c r="F363" s="12">
        <f>$F$352</f>
        <v>259</v>
      </c>
      <c r="G363" s="3" t="s">
        <v>1128</v>
      </c>
    </row>
    <row r="364" spans="1:7" ht="27.95" customHeight="1">
      <c r="A364" s="3" t="s">
        <v>411</v>
      </c>
      <c r="B364" s="4" t="s">
        <v>1184</v>
      </c>
      <c r="C364" s="4" t="s">
        <v>703</v>
      </c>
      <c r="D364" s="18">
        <v>22</v>
      </c>
      <c r="E364" s="13">
        <f>IF($F364=0,0,D364/$F364)</f>
        <v>8.4942084942084897E-2</v>
      </c>
      <c r="F364" s="12">
        <f>$F$352</f>
        <v>259</v>
      </c>
      <c r="G364" s="3" t="s">
        <v>1128</v>
      </c>
    </row>
    <row r="365" spans="1:7" ht="27.95" customHeight="1">
      <c r="A365" s="3" t="s">
        <v>411</v>
      </c>
      <c r="B365" s="4" t="s">
        <v>1184</v>
      </c>
      <c r="C365" s="4" t="s">
        <v>437</v>
      </c>
      <c r="D365" s="18">
        <v>7</v>
      </c>
      <c r="E365" s="13">
        <f>IF($F365=0,0,D365/$F365)</f>
        <v>2.7027027027027001E-2</v>
      </c>
      <c r="F365" s="12">
        <f>$F$352</f>
        <v>259</v>
      </c>
      <c r="G365" s="3" t="s">
        <v>1128</v>
      </c>
    </row>
    <row r="366" spans="1:7" ht="27.95" customHeight="1">
      <c r="A366" s="3" t="s">
        <v>411</v>
      </c>
      <c r="B366" s="4" t="s">
        <v>1184</v>
      </c>
      <c r="C366" s="4" t="s">
        <v>707</v>
      </c>
      <c r="D366" s="18">
        <v>12</v>
      </c>
      <c r="E366" s="13">
        <f>IF($F366=0,0,D366/$F366)</f>
        <v>4.6332046332046302E-2</v>
      </c>
      <c r="F366" s="12">
        <f>$F$352</f>
        <v>259</v>
      </c>
      <c r="G366" s="3" t="s">
        <v>1128</v>
      </c>
    </row>
    <row r="367" spans="1:7" ht="27.95" customHeight="1">
      <c r="A367" s="3" t="s">
        <v>411</v>
      </c>
      <c r="B367" s="4" t="s">
        <v>1184</v>
      </c>
      <c r="C367" s="4" t="s">
        <v>438</v>
      </c>
      <c r="D367" s="18">
        <v>11</v>
      </c>
      <c r="E367" s="13">
        <f>IF($F367=0,0,D367/$F367)</f>
        <v>4.2471042471042497E-2</v>
      </c>
      <c r="F367" s="12">
        <f>$F$352</f>
        <v>259</v>
      </c>
      <c r="G367" s="3" t="s">
        <v>1128</v>
      </c>
    </row>
    <row r="368" spans="1:7" ht="40.5" customHeight="1">
      <c r="A368" s="3" t="s">
        <v>414</v>
      </c>
      <c r="B368" s="4" t="s">
        <v>1185</v>
      </c>
      <c r="C368" s="4" t="s">
        <v>713</v>
      </c>
      <c r="D368" s="18">
        <v>98</v>
      </c>
      <c r="E368" s="13">
        <f>IF($F368=0,0,D368/$F368)</f>
        <v>0.37837837837837801</v>
      </c>
      <c r="F368" s="18">
        <v>259</v>
      </c>
      <c r="G368" s="3" t="s">
        <v>1128</v>
      </c>
    </row>
    <row r="369" spans="1:7" ht="40.5" customHeight="1">
      <c r="A369" s="3" t="s">
        <v>414</v>
      </c>
      <c r="B369" s="4" t="s">
        <v>1185</v>
      </c>
      <c r="C369" s="4" t="s">
        <v>715</v>
      </c>
      <c r="D369" s="18">
        <v>59</v>
      </c>
      <c r="E369" s="13">
        <f>IF($F369=0,0,D369/$F369)</f>
        <v>0.22779922779922801</v>
      </c>
      <c r="F369" s="12">
        <f>$F$368</f>
        <v>259</v>
      </c>
      <c r="G369" s="3" t="s">
        <v>1128</v>
      </c>
    </row>
    <row r="370" spans="1:7" ht="40.5" customHeight="1">
      <c r="A370" s="3" t="s">
        <v>414</v>
      </c>
      <c r="B370" s="4" t="s">
        <v>1185</v>
      </c>
      <c r="C370" s="4" t="s">
        <v>717</v>
      </c>
      <c r="D370" s="18">
        <v>44</v>
      </c>
      <c r="E370" s="13">
        <f>IF($F370=0,0,D370/$F370)</f>
        <v>0.16988416988416999</v>
      </c>
      <c r="F370" s="12">
        <f>$F$368</f>
        <v>259</v>
      </c>
      <c r="G370" s="3" t="s">
        <v>1128</v>
      </c>
    </row>
    <row r="371" spans="1:7" ht="40.5" customHeight="1">
      <c r="A371" s="3" t="s">
        <v>414</v>
      </c>
      <c r="B371" s="4" t="s">
        <v>1185</v>
      </c>
      <c r="C371" s="4" t="s">
        <v>714</v>
      </c>
      <c r="D371" s="18">
        <v>72</v>
      </c>
      <c r="E371" s="13">
        <f>IF($F371=0,0,D371/$F371)</f>
        <v>0.27799227799227799</v>
      </c>
      <c r="F371" s="12">
        <f>$F$368</f>
        <v>259</v>
      </c>
      <c r="G371" s="3" t="s">
        <v>1128</v>
      </c>
    </row>
    <row r="372" spans="1:7" ht="40.5" customHeight="1">
      <c r="A372" s="3" t="s">
        <v>414</v>
      </c>
      <c r="B372" s="4" t="s">
        <v>1185</v>
      </c>
      <c r="C372" s="4" t="s">
        <v>716</v>
      </c>
      <c r="D372" s="18">
        <v>54</v>
      </c>
      <c r="E372" s="13">
        <f>IF($F372=0,0,D372/$F372)</f>
        <v>0.20849420849420899</v>
      </c>
      <c r="F372" s="12">
        <f>$F$368</f>
        <v>259</v>
      </c>
      <c r="G372" s="3" t="s">
        <v>1128</v>
      </c>
    </row>
    <row r="373" spans="1:7" ht="40.5" customHeight="1">
      <c r="A373" s="3" t="s">
        <v>414</v>
      </c>
      <c r="B373" s="4" t="s">
        <v>1185</v>
      </c>
      <c r="C373" s="4" t="s">
        <v>719</v>
      </c>
      <c r="D373" s="18">
        <v>2</v>
      </c>
      <c r="E373" s="13">
        <f>IF($F373=0,0,D373/$F373)</f>
        <v>7.7220077220077196E-3</v>
      </c>
      <c r="F373" s="12">
        <f>$F$368</f>
        <v>259</v>
      </c>
      <c r="G373" s="3" t="s">
        <v>1128</v>
      </c>
    </row>
    <row r="374" spans="1:7" ht="40.5" customHeight="1">
      <c r="A374" s="3" t="s">
        <v>414</v>
      </c>
      <c r="B374" s="4" t="s">
        <v>1185</v>
      </c>
      <c r="C374" s="4" t="s">
        <v>698</v>
      </c>
      <c r="D374" s="18">
        <v>62</v>
      </c>
      <c r="E374" s="13">
        <f>IF($F374=0,0,D374/$F374)</f>
        <v>0.23938223938223899</v>
      </c>
      <c r="F374" s="12">
        <f>$F$368</f>
        <v>259</v>
      </c>
      <c r="G374" s="3" t="s">
        <v>1128</v>
      </c>
    </row>
    <row r="375" spans="1:7" ht="40.5" customHeight="1">
      <c r="A375" s="3" t="s">
        <v>414</v>
      </c>
      <c r="B375" s="4" t="s">
        <v>1185</v>
      </c>
      <c r="C375" s="4" t="s">
        <v>701</v>
      </c>
      <c r="D375" s="18">
        <v>39</v>
      </c>
      <c r="E375" s="13">
        <f>IF($F375=0,0,D375/$F375)</f>
        <v>0.150579150579151</v>
      </c>
      <c r="F375" s="12">
        <f>$F$368</f>
        <v>259</v>
      </c>
      <c r="G375" s="3" t="s">
        <v>1128</v>
      </c>
    </row>
    <row r="376" spans="1:7" ht="40.5" customHeight="1">
      <c r="A376" s="3" t="s">
        <v>414</v>
      </c>
      <c r="B376" s="4" t="s">
        <v>1185</v>
      </c>
      <c r="C376" s="4" t="s">
        <v>708</v>
      </c>
      <c r="D376" s="18">
        <v>5</v>
      </c>
      <c r="E376" s="13">
        <f>IF($F376=0,0,D376/$F376)</f>
        <v>1.9305019305019301E-2</v>
      </c>
      <c r="F376" s="12">
        <f>$F$368</f>
        <v>259</v>
      </c>
      <c r="G376" s="3" t="s">
        <v>1128</v>
      </c>
    </row>
    <row r="377" spans="1:7" ht="40.5" customHeight="1">
      <c r="A377" s="3" t="s">
        <v>414</v>
      </c>
      <c r="B377" s="4" t="s">
        <v>1185</v>
      </c>
      <c r="C377" s="4" t="s">
        <v>709</v>
      </c>
      <c r="D377" s="18">
        <v>2</v>
      </c>
      <c r="E377" s="13">
        <f>IF($F377=0,0,D377/$F377)</f>
        <v>7.7220077220077196E-3</v>
      </c>
      <c r="F377" s="12">
        <f>$F$368</f>
        <v>259</v>
      </c>
      <c r="G377" s="3" t="s">
        <v>1128</v>
      </c>
    </row>
    <row r="378" spans="1:7" ht="40.5" customHeight="1">
      <c r="A378" s="3" t="s">
        <v>414</v>
      </c>
      <c r="B378" s="4" t="s">
        <v>1185</v>
      </c>
      <c r="C378" s="4" t="s">
        <v>702</v>
      </c>
      <c r="D378" s="18">
        <v>19</v>
      </c>
      <c r="E378" s="13">
        <f>IF($F378=0,0,D378/$F378)</f>
        <v>7.3359073359073407E-2</v>
      </c>
      <c r="F378" s="12">
        <f>$F$368</f>
        <v>259</v>
      </c>
      <c r="G378" s="3" t="s">
        <v>1128</v>
      </c>
    </row>
    <row r="379" spans="1:7" ht="40.5" customHeight="1">
      <c r="A379" s="3" t="s">
        <v>414</v>
      </c>
      <c r="B379" s="4" t="s">
        <v>1185</v>
      </c>
      <c r="C379" s="4" t="s">
        <v>703</v>
      </c>
      <c r="D379" s="18">
        <v>33</v>
      </c>
      <c r="E379" s="13">
        <f>IF($F379=0,0,D379/$F379)</f>
        <v>0.12741312741312699</v>
      </c>
      <c r="F379" s="12">
        <f>$F$368</f>
        <v>259</v>
      </c>
      <c r="G379" s="3" t="s">
        <v>1128</v>
      </c>
    </row>
    <row r="380" spans="1:7" ht="40.5" customHeight="1">
      <c r="A380" s="3" t="s">
        <v>414</v>
      </c>
      <c r="B380" s="4" t="s">
        <v>1185</v>
      </c>
      <c r="C380" s="4" t="s">
        <v>437</v>
      </c>
      <c r="D380" s="18">
        <v>1</v>
      </c>
      <c r="E380" s="13">
        <f>IF($F380=0,0,D380/$F380)</f>
        <v>3.8610038610038598E-3</v>
      </c>
      <c r="F380" s="12">
        <f>$F$368</f>
        <v>259</v>
      </c>
      <c r="G380" s="3" t="s">
        <v>1128</v>
      </c>
    </row>
    <row r="381" spans="1:7" ht="40.5" customHeight="1">
      <c r="A381" s="3" t="s">
        <v>414</v>
      </c>
      <c r="B381" s="4" t="s">
        <v>1185</v>
      </c>
      <c r="C381" s="4" t="s">
        <v>718</v>
      </c>
      <c r="D381" s="18">
        <v>31</v>
      </c>
      <c r="E381" s="13">
        <f>IF($F381=0,0,D381/$F381)</f>
        <v>0.11969111969111999</v>
      </c>
      <c r="F381" s="12">
        <f>$F$368</f>
        <v>259</v>
      </c>
      <c r="G381" s="3" t="s">
        <v>1128</v>
      </c>
    </row>
    <row r="382" spans="1:7" ht="40.5" customHeight="1">
      <c r="A382" s="3" t="s">
        <v>414</v>
      </c>
      <c r="B382" s="4" t="s">
        <v>1185</v>
      </c>
      <c r="C382" s="4" t="s">
        <v>720</v>
      </c>
      <c r="D382" s="18">
        <v>16</v>
      </c>
      <c r="E382" s="13">
        <f>IF($F382=0,0,D382/$F382)</f>
        <v>6.1776061776061798E-2</v>
      </c>
      <c r="F382" s="12">
        <f>$F$368</f>
        <v>259</v>
      </c>
      <c r="G382" s="3" t="s">
        <v>1128</v>
      </c>
    </row>
    <row r="383" spans="1:7" ht="40.5" customHeight="1">
      <c r="A383" s="3" t="s">
        <v>414</v>
      </c>
      <c r="B383" s="4" t="s">
        <v>1185</v>
      </c>
      <c r="C383" s="4" t="s">
        <v>438</v>
      </c>
      <c r="D383" s="18">
        <v>14</v>
      </c>
      <c r="E383" s="13">
        <f>IF($F383=0,0,D383/$F383)</f>
        <v>5.4054054054054099E-2</v>
      </c>
      <c r="F383" s="12">
        <f>$F$368</f>
        <v>259</v>
      </c>
      <c r="G383" s="3" t="s">
        <v>1128</v>
      </c>
    </row>
    <row r="384" spans="1:7" ht="27.95" customHeight="1">
      <c r="A384" s="3" t="s">
        <v>417</v>
      </c>
      <c r="B384" s="4" t="s">
        <v>1186</v>
      </c>
      <c r="C384" s="4" t="s">
        <v>534</v>
      </c>
      <c r="D384" s="18">
        <v>29</v>
      </c>
      <c r="E384" s="13">
        <f>IF($F384=0,0,D384/$F384)</f>
        <v>0.111969111969112</v>
      </c>
      <c r="F384" s="18">
        <v>259</v>
      </c>
      <c r="G384" s="3" t="s">
        <v>1121</v>
      </c>
    </row>
    <row r="385" spans="1:7" ht="27.95" customHeight="1">
      <c r="A385" s="3" t="s">
        <v>417</v>
      </c>
      <c r="B385" s="4" t="s">
        <v>1186</v>
      </c>
      <c r="C385" s="4" t="s">
        <v>723</v>
      </c>
      <c r="D385" s="18">
        <v>38</v>
      </c>
      <c r="E385" s="13">
        <f>IF($F385=0,0,D385/$F385)</f>
        <v>0.14671814671814701</v>
      </c>
      <c r="F385" s="12">
        <f>$F$384</f>
        <v>259</v>
      </c>
      <c r="G385" s="3" t="s">
        <v>1121</v>
      </c>
    </row>
    <row r="386" spans="1:7" ht="27.95" customHeight="1">
      <c r="A386" s="3" t="s">
        <v>417</v>
      </c>
      <c r="B386" s="4" t="s">
        <v>1186</v>
      </c>
      <c r="C386" s="4" t="s">
        <v>535</v>
      </c>
      <c r="D386" s="18">
        <v>176</v>
      </c>
      <c r="E386" s="13">
        <f>IF($F386=0,0,D386/$F386)</f>
        <v>0.67953667953667996</v>
      </c>
      <c r="F386" s="12">
        <f>$F$384</f>
        <v>259</v>
      </c>
      <c r="G386" s="3" t="s">
        <v>1121</v>
      </c>
    </row>
    <row r="387" spans="1:7" ht="27.95" customHeight="1">
      <c r="A387" s="3" t="s">
        <v>417</v>
      </c>
      <c r="B387" s="4" t="s">
        <v>1186</v>
      </c>
      <c r="C387" s="4" t="s">
        <v>438</v>
      </c>
      <c r="D387" s="18">
        <v>16</v>
      </c>
      <c r="E387" s="13">
        <f>IF($F387=0,0,D387/$F387)</f>
        <v>6.1776061776061798E-2</v>
      </c>
      <c r="F387" s="12">
        <f>$F$384</f>
        <v>259</v>
      </c>
      <c r="G387" s="3" t="s">
        <v>1121</v>
      </c>
    </row>
    <row r="388" spans="1:7" ht="27.95" customHeight="1">
      <c r="A388" s="3" t="s">
        <v>1187</v>
      </c>
      <c r="B388" s="4" t="s">
        <v>1188</v>
      </c>
      <c r="C388" s="4" t="s">
        <v>727</v>
      </c>
      <c r="D388" s="18">
        <v>23</v>
      </c>
      <c r="E388" s="13">
        <f>IF($F388=0,0,D388/$F388)</f>
        <v>8.8803088803088806E-2</v>
      </c>
      <c r="F388" s="18">
        <v>259</v>
      </c>
      <c r="G388" s="3" t="s">
        <v>1128</v>
      </c>
    </row>
    <row r="389" spans="1:7" ht="27.95" customHeight="1">
      <c r="A389" s="3" t="s">
        <v>1187</v>
      </c>
      <c r="B389" s="4" t="s">
        <v>1188</v>
      </c>
      <c r="C389" s="4" t="s">
        <v>729</v>
      </c>
      <c r="D389" s="18">
        <v>9</v>
      </c>
      <c r="E389" s="13">
        <f>IF($F389=0,0,D389/$F389)</f>
        <v>3.4749034749034798E-2</v>
      </c>
      <c r="F389" s="12">
        <f>$F$388</f>
        <v>259</v>
      </c>
      <c r="G389" s="3" t="s">
        <v>1128</v>
      </c>
    </row>
    <row r="390" spans="1:7" ht="27.95" customHeight="1">
      <c r="A390" s="3" t="s">
        <v>1187</v>
      </c>
      <c r="B390" s="4" t="s">
        <v>1188</v>
      </c>
      <c r="C390" s="4" t="s">
        <v>726</v>
      </c>
      <c r="D390" s="18">
        <v>26</v>
      </c>
      <c r="E390" s="13">
        <f>IF($F390=0,0,D390/$F390)</f>
        <v>0.10038610038610001</v>
      </c>
      <c r="F390" s="12">
        <f>$F$388</f>
        <v>259</v>
      </c>
      <c r="G390" s="3" t="s">
        <v>1128</v>
      </c>
    </row>
    <row r="391" spans="1:7" ht="27.95" customHeight="1">
      <c r="A391" s="3" t="s">
        <v>1187</v>
      </c>
      <c r="B391" s="4" t="s">
        <v>1188</v>
      </c>
      <c r="C391" s="4" t="s">
        <v>731</v>
      </c>
      <c r="D391" s="18">
        <v>7</v>
      </c>
      <c r="E391" s="13">
        <f>IF($F391=0,0,D391/$F391)</f>
        <v>2.7027027027027001E-2</v>
      </c>
      <c r="F391" s="12">
        <f>$F$388</f>
        <v>259</v>
      </c>
      <c r="G391" s="3" t="s">
        <v>1128</v>
      </c>
    </row>
    <row r="392" spans="1:7" ht="27.95" customHeight="1">
      <c r="A392" s="3" t="s">
        <v>1187</v>
      </c>
      <c r="B392" s="4" t="s">
        <v>1188</v>
      </c>
      <c r="C392" s="4" t="s">
        <v>732</v>
      </c>
      <c r="D392" s="18">
        <v>3</v>
      </c>
      <c r="E392" s="13">
        <f>IF($F392=0,0,D392/$F392)</f>
        <v>1.15830115830116E-2</v>
      </c>
      <c r="F392" s="12">
        <f>$F$388</f>
        <v>259</v>
      </c>
      <c r="G392" s="3" t="s">
        <v>1128</v>
      </c>
    </row>
    <row r="393" spans="1:7" ht="27.95" customHeight="1">
      <c r="A393" s="3" t="s">
        <v>1187</v>
      </c>
      <c r="B393" s="4" t="s">
        <v>1188</v>
      </c>
      <c r="C393" s="4" t="s">
        <v>728</v>
      </c>
      <c r="D393" s="18">
        <v>13</v>
      </c>
      <c r="E393" s="13">
        <f>IF($F393=0,0,D393/$F393)</f>
        <v>5.0193050193050197E-2</v>
      </c>
      <c r="F393" s="12">
        <f>$F$388</f>
        <v>259</v>
      </c>
      <c r="G393" s="3" t="s">
        <v>1128</v>
      </c>
    </row>
    <row r="394" spans="1:7" ht="27.95" customHeight="1">
      <c r="A394" s="3" t="s">
        <v>1187</v>
      </c>
      <c r="B394" s="4" t="s">
        <v>1188</v>
      </c>
      <c r="C394" s="4" t="s">
        <v>730</v>
      </c>
      <c r="D394" s="18">
        <v>8</v>
      </c>
      <c r="E394" s="13">
        <f>IF($F394=0,0,D394/$F394)</f>
        <v>3.0888030888030899E-2</v>
      </c>
      <c r="F394" s="12">
        <f>$F$388</f>
        <v>259</v>
      </c>
      <c r="G394" s="3" t="s">
        <v>1128</v>
      </c>
    </row>
    <row r="395" spans="1:7" ht="27.95" customHeight="1">
      <c r="A395" s="3" t="s">
        <v>1187</v>
      </c>
      <c r="B395" s="4" t="s">
        <v>1188</v>
      </c>
      <c r="C395" s="4" t="s">
        <v>437</v>
      </c>
      <c r="D395" s="18">
        <v>5</v>
      </c>
      <c r="E395" s="13">
        <f>IF($F395=0,0,D395/$F395)</f>
        <v>1.9305019305019301E-2</v>
      </c>
      <c r="F395" s="12">
        <f>$F$388</f>
        <v>259</v>
      </c>
      <c r="G395" s="3" t="s">
        <v>1128</v>
      </c>
    </row>
    <row r="396" spans="1:7" ht="27.95" customHeight="1">
      <c r="A396" s="3" t="s">
        <v>1187</v>
      </c>
      <c r="B396" s="4" t="s">
        <v>1188</v>
      </c>
      <c r="C396" s="4" t="s">
        <v>438</v>
      </c>
      <c r="D396" s="18">
        <v>199</v>
      </c>
      <c r="E396" s="13">
        <f>IF($F396=0,0,D396/$F396)</f>
        <v>0.76833976833976803</v>
      </c>
      <c r="F396" s="12">
        <f>$F$388</f>
        <v>259</v>
      </c>
      <c r="G396" s="3" t="s">
        <v>1128</v>
      </c>
    </row>
    <row r="397" spans="1:7" ht="27.95" customHeight="1">
      <c r="A397" s="3" t="s">
        <v>419</v>
      </c>
      <c r="B397" s="4" t="s">
        <v>1189</v>
      </c>
      <c r="C397" s="4" t="s">
        <v>735</v>
      </c>
      <c r="D397" s="18">
        <v>48</v>
      </c>
      <c r="E397" s="13">
        <f>IF($F397=0,0,D397/$F397)</f>
        <v>0.18532818532818501</v>
      </c>
      <c r="F397" s="18">
        <v>259</v>
      </c>
      <c r="G397" s="3" t="s">
        <v>1121</v>
      </c>
    </row>
    <row r="398" spans="1:7" ht="27.95" customHeight="1">
      <c r="A398" s="3" t="s">
        <v>419</v>
      </c>
      <c r="B398" s="4" t="s">
        <v>1189</v>
      </c>
      <c r="C398" s="4" t="s">
        <v>736</v>
      </c>
      <c r="D398" s="18">
        <v>92</v>
      </c>
      <c r="E398" s="13">
        <f>IF($F398=0,0,D398/$F398)</f>
        <v>0.355212355212355</v>
      </c>
      <c r="F398" s="12">
        <f>$F$397</f>
        <v>259</v>
      </c>
      <c r="G398" s="3" t="s">
        <v>1121</v>
      </c>
    </row>
    <row r="399" spans="1:7" ht="27.95" customHeight="1">
      <c r="A399" s="3" t="s">
        <v>419</v>
      </c>
      <c r="B399" s="4" t="s">
        <v>1189</v>
      </c>
      <c r="C399" s="4" t="s">
        <v>737</v>
      </c>
      <c r="D399" s="18">
        <v>95</v>
      </c>
      <c r="E399" s="13">
        <f>IF($F399=0,0,D399/$F399)</f>
        <v>0.36679536679536701</v>
      </c>
      <c r="F399" s="12">
        <f>$F$397</f>
        <v>259</v>
      </c>
      <c r="G399" s="3" t="s">
        <v>1121</v>
      </c>
    </row>
    <row r="400" spans="1:7" ht="27.95" customHeight="1">
      <c r="A400" s="3" t="s">
        <v>419</v>
      </c>
      <c r="B400" s="4" t="s">
        <v>1189</v>
      </c>
      <c r="C400" s="4" t="s">
        <v>438</v>
      </c>
      <c r="D400" s="18">
        <v>24</v>
      </c>
      <c r="E400" s="13">
        <f>IF($F400=0,0,D400/$F400)</f>
        <v>9.2664092664092701E-2</v>
      </c>
      <c r="F400" s="12">
        <f>$F$397</f>
        <v>259</v>
      </c>
      <c r="G400" s="3" t="s">
        <v>1121</v>
      </c>
    </row>
    <row r="401" spans="1:7" ht="40.5" customHeight="1">
      <c r="A401" s="3" t="s">
        <v>1190</v>
      </c>
      <c r="B401" s="4" t="s">
        <v>1191</v>
      </c>
      <c r="C401" s="4" t="s">
        <v>740</v>
      </c>
      <c r="D401" s="18">
        <v>93</v>
      </c>
      <c r="E401" s="13">
        <f>IF($F401=0,0,D401/$F401)</f>
        <v>0.35907335907335902</v>
      </c>
      <c r="F401" s="18">
        <v>259</v>
      </c>
      <c r="G401" s="3" t="s">
        <v>1128</v>
      </c>
    </row>
    <row r="402" spans="1:7" ht="40.5" customHeight="1">
      <c r="A402" s="3" t="s">
        <v>1190</v>
      </c>
      <c r="B402" s="4" t="s">
        <v>1191</v>
      </c>
      <c r="C402" s="4" t="s">
        <v>741</v>
      </c>
      <c r="D402" s="18">
        <v>51</v>
      </c>
      <c r="E402" s="13">
        <f>IF($F402=0,0,D402/$F402)</f>
        <v>0.19691119691119699</v>
      </c>
      <c r="F402" s="12">
        <f>$F$401</f>
        <v>259</v>
      </c>
      <c r="G402" s="3" t="s">
        <v>1128</v>
      </c>
    </row>
    <row r="403" spans="1:7" ht="40.5" customHeight="1">
      <c r="A403" s="3" t="s">
        <v>1190</v>
      </c>
      <c r="B403" s="4" t="s">
        <v>1191</v>
      </c>
      <c r="C403" s="4" t="s">
        <v>743</v>
      </c>
      <c r="D403" s="18">
        <v>21</v>
      </c>
      <c r="E403" s="13">
        <f>IF($F403=0,0,D403/$F403)</f>
        <v>8.1081081081081099E-2</v>
      </c>
      <c r="F403" s="12">
        <f>$F$401</f>
        <v>259</v>
      </c>
      <c r="G403" s="3" t="s">
        <v>1128</v>
      </c>
    </row>
    <row r="404" spans="1:7" ht="40.5" customHeight="1">
      <c r="A404" s="3" t="s">
        <v>1190</v>
      </c>
      <c r="B404" s="4" t="s">
        <v>1191</v>
      </c>
      <c r="C404" s="4" t="s">
        <v>745</v>
      </c>
      <c r="D404" s="18">
        <v>4</v>
      </c>
      <c r="E404" s="13">
        <f>IF($F404=0,0,D404/$F404)</f>
        <v>1.5444015444015399E-2</v>
      </c>
      <c r="F404" s="12">
        <f>$F$401</f>
        <v>259</v>
      </c>
      <c r="G404" s="3" t="s">
        <v>1128</v>
      </c>
    </row>
    <row r="405" spans="1:7" ht="40.5" customHeight="1">
      <c r="A405" s="3" t="s">
        <v>1190</v>
      </c>
      <c r="B405" s="4" t="s">
        <v>1191</v>
      </c>
      <c r="C405" s="4" t="s">
        <v>742</v>
      </c>
      <c r="D405" s="18">
        <v>26</v>
      </c>
      <c r="E405" s="13">
        <f>IF($F405=0,0,D405/$F405)</f>
        <v>0.10038610038610001</v>
      </c>
      <c r="F405" s="12">
        <f>$F$401</f>
        <v>259</v>
      </c>
      <c r="G405" s="3" t="s">
        <v>1128</v>
      </c>
    </row>
    <row r="406" spans="1:7" ht="40.5" customHeight="1">
      <c r="A406" s="3" t="s">
        <v>1190</v>
      </c>
      <c r="B406" s="4" t="s">
        <v>1191</v>
      </c>
      <c r="C406" s="4" t="s">
        <v>744</v>
      </c>
      <c r="D406" s="18">
        <v>5</v>
      </c>
      <c r="E406" s="13">
        <f>IF($F406=0,0,D406/$F406)</f>
        <v>1.9305019305019301E-2</v>
      </c>
      <c r="F406" s="12">
        <f>$F$401</f>
        <v>259</v>
      </c>
      <c r="G406" s="3" t="s">
        <v>1128</v>
      </c>
    </row>
    <row r="407" spans="1:7" ht="40.5" customHeight="1">
      <c r="A407" s="3" t="s">
        <v>1190</v>
      </c>
      <c r="B407" s="4" t="s">
        <v>1191</v>
      </c>
      <c r="C407" s="4" t="s">
        <v>437</v>
      </c>
      <c r="D407" s="18">
        <v>12</v>
      </c>
      <c r="E407" s="13">
        <f>IF($F407=0,0,D407/$F407)</f>
        <v>4.6332046332046302E-2</v>
      </c>
      <c r="F407" s="12">
        <f>$F$401</f>
        <v>259</v>
      </c>
      <c r="G407" s="3" t="s">
        <v>1128</v>
      </c>
    </row>
    <row r="408" spans="1:7" ht="40.5" customHeight="1">
      <c r="A408" s="3" t="s">
        <v>1190</v>
      </c>
      <c r="B408" s="4" t="s">
        <v>1191</v>
      </c>
      <c r="C408" s="4" t="s">
        <v>438</v>
      </c>
      <c r="D408" s="18">
        <v>124</v>
      </c>
      <c r="E408" s="13">
        <f>IF($F408=0,0,D408/$F408)</f>
        <v>0.47876447876447897</v>
      </c>
      <c r="F408" s="12">
        <f>$F$401</f>
        <v>259</v>
      </c>
      <c r="G408" s="3" t="s">
        <v>1128</v>
      </c>
    </row>
    <row r="409" spans="1:7" ht="40.5" customHeight="1">
      <c r="A409" s="3" t="s">
        <v>1192</v>
      </c>
      <c r="B409" s="4" t="s">
        <v>1193</v>
      </c>
      <c r="C409" s="4" t="s">
        <v>748</v>
      </c>
      <c r="D409" s="18">
        <v>43</v>
      </c>
      <c r="E409" s="13">
        <f>IF($F409=0,0,D409/$F409)</f>
        <v>0.166023166023166</v>
      </c>
      <c r="F409" s="18">
        <v>259</v>
      </c>
      <c r="G409" s="3" t="s">
        <v>1121</v>
      </c>
    </row>
    <row r="410" spans="1:7" ht="40.5" customHeight="1">
      <c r="A410" s="3" t="s">
        <v>1192</v>
      </c>
      <c r="B410" s="4" t="s">
        <v>1193</v>
      </c>
      <c r="C410" s="4" t="s">
        <v>749</v>
      </c>
      <c r="D410" s="18">
        <v>196</v>
      </c>
      <c r="E410" s="13">
        <f>IF($F410=0,0,D410/$F410)</f>
        <v>0.75675675675675702</v>
      </c>
      <c r="F410" s="12">
        <f>$F$409</f>
        <v>259</v>
      </c>
      <c r="G410" s="3" t="s">
        <v>1121</v>
      </c>
    </row>
    <row r="411" spans="1:7" ht="40.5" customHeight="1">
      <c r="A411" s="3" t="s">
        <v>1192</v>
      </c>
      <c r="B411" s="4" t="s">
        <v>1193</v>
      </c>
      <c r="C411" s="4" t="s">
        <v>438</v>
      </c>
      <c r="D411" s="18">
        <v>20</v>
      </c>
      <c r="E411" s="13">
        <f>IF($F411=0,0,D411/$F411)</f>
        <v>7.7220077220077205E-2</v>
      </c>
      <c r="F411" s="12">
        <f>$F$409</f>
        <v>259</v>
      </c>
      <c r="G411" s="3" t="s">
        <v>1121</v>
      </c>
    </row>
    <row r="412" spans="1:7" ht="40.5" customHeight="1">
      <c r="A412" s="3" t="s">
        <v>1194</v>
      </c>
      <c r="B412" s="4" t="s">
        <v>1195</v>
      </c>
      <c r="C412" s="4" t="s">
        <v>748</v>
      </c>
      <c r="D412" s="18">
        <v>27</v>
      </c>
      <c r="E412" s="13">
        <f>IF($F412=0,0,D412/$F412)</f>
        <v>0.104247104247104</v>
      </c>
      <c r="F412" s="18">
        <v>259</v>
      </c>
      <c r="G412" s="3" t="s">
        <v>1121</v>
      </c>
    </row>
    <row r="413" spans="1:7" ht="40.5" customHeight="1">
      <c r="A413" s="3" t="s">
        <v>1194</v>
      </c>
      <c r="B413" s="4" t="s">
        <v>1195</v>
      </c>
      <c r="C413" s="4" t="s">
        <v>749</v>
      </c>
      <c r="D413" s="18">
        <v>204</v>
      </c>
      <c r="E413" s="13">
        <f>IF($F413=0,0,D413/$F413)</f>
        <v>0.78764478764478796</v>
      </c>
      <c r="F413" s="12">
        <f>$F$412</f>
        <v>259</v>
      </c>
      <c r="G413" s="3" t="s">
        <v>1121</v>
      </c>
    </row>
    <row r="414" spans="1:7" ht="40.5" customHeight="1">
      <c r="A414" s="3" t="s">
        <v>1194</v>
      </c>
      <c r="B414" s="4" t="s">
        <v>1195</v>
      </c>
      <c r="C414" s="4" t="s">
        <v>438</v>
      </c>
      <c r="D414" s="18">
        <v>28</v>
      </c>
      <c r="E414" s="13">
        <f>IF($F414=0,0,D414/$F414)</f>
        <v>0.108108108108108</v>
      </c>
      <c r="F414" s="12">
        <f>$F$412</f>
        <v>259</v>
      </c>
      <c r="G414" s="3" t="s">
        <v>1121</v>
      </c>
    </row>
    <row r="415" spans="1:7" ht="27.95" customHeight="1">
      <c r="A415" s="3" t="s">
        <v>422</v>
      </c>
      <c r="B415" s="4" t="s">
        <v>1196</v>
      </c>
      <c r="C415" s="4" t="s">
        <v>754</v>
      </c>
      <c r="D415" s="18">
        <v>100</v>
      </c>
      <c r="E415" s="13">
        <f>IF($F415=0,0,D415/$F415)</f>
        <v>0.38610038610038599</v>
      </c>
      <c r="F415" s="18">
        <v>259</v>
      </c>
      <c r="G415" s="3" t="s">
        <v>1121</v>
      </c>
    </row>
    <row r="416" spans="1:7" ht="27.95" customHeight="1">
      <c r="A416" s="3" t="s">
        <v>422</v>
      </c>
      <c r="B416" s="4" t="s">
        <v>1196</v>
      </c>
      <c r="C416" s="4" t="s">
        <v>755</v>
      </c>
      <c r="D416" s="18">
        <v>92</v>
      </c>
      <c r="E416" s="13">
        <f>IF($F416=0,0,D416/$F416)</f>
        <v>0.355212355212355</v>
      </c>
      <c r="F416" s="12">
        <f>$F$415</f>
        <v>259</v>
      </c>
      <c r="G416" s="3" t="s">
        <v>1121</v>
      </c>
    </row>
    <row r="417" spans="1:7" ht="27.95" customHeight="1">
      <c r="A417" s="3" t="s">
        <v>422</v>
      </c>
      <c r="B417" s="4" t="s">
        <v>1196</v>
      </c>
      <c r="C417" s="4" t="s">
        <v>442</v>
      </c>
      <c r="D417" s="18">
        <v>52</v>
      </c>
      <c r="E417" s="13">
        <f>IF($F417=0,0,D417/$F417)</f>
        <v>0.20077220077220101</v>
      </c>
      <c r="F417" s="12">
        <f>$F$415</f>
        <v>259</v>
      </c>
      <c r="G417" s="3" t="s">
        <v>1121</v>
      </c>
    </row>
    <row r="418" spans="1:7" ht="27.95" customHeight="1">
      <c r="A418" s="3" t="s">
        <v>422</v>
      </c>
      <c r="B418" s="4" t="s">
        <v>1196</v>
      </c>
      <c r="C418" s="4" t="s">
        <v>438</v>
      </c>
      <c r="D418" s="18">
        <v>15</v>
      </c>
      <c r="E418" s="13">
        <f>IF($F418=0,0,D418/$F418)</f>
        <v>5.7915057915057903E-2</v>
      </c>
      <c r="F418" s="12">
        <f>$F$415</f>
        <v>259</v>
      </c>
      <c r="G418" s="3" t="s">
        <v>1121</v>
      </c>
    </row>
    <row r="419" spans="1:7" ht="27.95" customHeight="1">
      <c r="A419" s="3" t="s">
        <v>424</v>
      </c>
      <c r="B419" s="4" t="s">
        <v>1197</v>
      </c>
      <c r="C419" s="4" t="s">
        <v>758</v>
      </c>
      <c r="D419" s="18">
        <v>82</v>
      </c>
      <c r="E419" s="13">
        <f>IF($F419=0,0,D419/$F419)</f>
        <v>0.31660231660231702</v>
      </c>
      <c r="F419" s="18">
        <v>259</v>
      </c>
      <c r="G419" s="3" t="s">
        <v>1121</v>
      </c>
    </row>
    <row r="420" spans="1:7" ht="27.95" customHeight="1">
      <c r="A420" s="3" t="s">
        <v>424</v>
      </c>
      <c r="B420" s="4" t="s">
        <v>1197</v>
      </c>
      <c r="C420" s="4" t="s">
        <v>759</v>
      </c>
      <c r="D420" s="18">
        <v>60</v>
      </c>
      <c r="E420" s="13">
        <f>IF($F420=0,0,D420/$F420)</f>
        <v>0.231660231660232</v>
      </c>
      <c r="F420" s="12">
        <f>$F$419</f>
        <v>259</v>
      </c>
      <c r="G420" s="3" t="s">
        <v>1121</v>
      </c>
    </row>
    <row r="421" spans="1:7" ht="27.95" customHeight="1">
      <c r="A421" s="3" t="s">
        <v>424</v>
      </c>
      <c r="B421" s="4" t="s">
        <v>1197</v>
      </c>
      <c r="C421" s="4" t="s">
        <v>442</v>
      </c>
      <c r="D421" s="18">
        <v>94</v>
      </c>
      <c r="E421" s="13">
        <f>IF($F421=0,0,D421/$F421)</f>
        <v>0.36293436293436299</v>
      </c>
      <c r="F421" s="12">
        <f>$F$419</f>
        <v>259</v>
      </c>
      <c r="G421" s="3" t="s">
        <v>1121</v>
      </c>
    </row>
    <row r="422" spans="1:7" ht="27.95" customHeight="1">
      <c r="A422" s="3" t="s">
        <v>424</v>
      </c>
      <c r="B422" s="4" t="s">
        <v>1197</v>
      </c>
      <c r="C422" s="4" t="s">
        <v>438</v>
      </c>
      <c r="D422" s="18">
        <v>23</v>
      </c>
      <c r="E422" s="13">
        <f>IF($F422=0,0,D422/$F422)</f>
        <v>8.8803088803088806E-2</v>
      </c>
      <c r="F422" s="12">
        <f>$F$419</f>
        <v>259</v>
      </c>
      <c r="G422" s="3" t="s">
        <v>1121</v>
      </c>
    </row>
    <row r="423" spans="1:7" ht="27.95" customHeight="1">
      <c r="A423" s="3" t="s">
        <v>377</v>
      </c>
      <c r="B423" s="4" t="s">
        <v>1198</v>
      </c>
      <c r="C423" s="4" t="s">
        <v>762</v>
      </c>
      <c r="D423" s="18">
        <v>134</v>
      </c>
      <c r="E423" s="13">
        <f>IF($F423=0,0,D423/$F423)</f>
        <v>0.51737451737451701</v>
      </c>
      <c r="F423" s="18">
        <v>259</v>
      </c>
      <c r="G423" s="3" t="s">
        <v>1128</v>
      </c>
    </row>
    <row r="424" spans="1:7" ht="27.95" customHeight="1">
      <c r="A424" s="3" t="s">
        <v>377</v>
      </c>
      <c r="B424" s="4" t="s">
        <v>1198</v>
      </c>
      <c r="C424" s="4" t="s">
        <v>770</v>
      </c>
      <c r="D424" s="18">
        <v>25</v>
      </c>
      <c r="E424" s="13">
        <f>IF($F424=0,0,D424/$F424)</f>
        <v>9.6525096525096499E-2</v>
      </c>
      <c r="F424" s="12">
        <f>$F$423</f>
        <v>259</v>
      </c>
      <c r="G424" s="3" t="s">
        <v>1128</v>
      </c>
    </row>
    <row r="425" spans="1:7" ht="27.95" customHeight="1">
      <c r="A425" s="3" t="s">
        <v>377</v>
      </c>
      <c r="B425" s="4" t="s">
        <v>1198</v>
      </c>
      <c r="C425" s="4" t="s">
        <v>769</v>
      </c>
      <c r="D425" s="18">
        <v>31</v>
      </c>
      <c r="E425" s="13">
        <f>IF($F425=0,0,D425/$F425)</f>
        <v>0.11969111969111999</v>
      </c>
      <c r="F425" s="12">
        <f>$F$423</f>
        <v>259</v>
      </c>
      <c r="G425" s="3" t="s">
        <v>1128</v>
      </c>
    </row>
    <row r="426" spans="1:7" ht="27.95" customHeight="1">
      <c r="A426" s="3" t="s">
        <v>377</v>
      </c>
      <c r="B426" s="4" t="s">
        <v>1198</v>
      </c>
      <c r="C426" s="4" t="s">
        <v>765</v>
      </c>
      <c r="D426" s="18">
        <v>52</v>
      </c>
      <c r="E426" s="13">
        <f>IF($F426=0,0,D426/$F426)</f>
        <v>0.20077220077220101</v>
      </c>
      <c r="F426" s="12">
        <f>$F$423</f>
        <v>259</v>
      </c>
      <c r="G426" s="3" t="s">
        <v>1128</v>
      </c>
    </row>
    <row r="427" spans="1:7" ht="27.95" customHeight="1">
      <c r="A427" s="3" t="s">
        <v>377</v>
      </c>
      <c r="B427" s="4" t="s">
        <v>1198</v>
      </c>
      <c r="C427" s="4" t="s">
        <v>764</v>
      </c>
      <c r="D427" s="18">
        <v>97</v>
      </c>
      <c r="E427" s="13">
        <f>IF($F427=0,0,D427/$F427)</f>
        <v>0.37451737451737499</v>
      </c>
      <c r="F427" s="12">
        <f>$F$423</f>
        <v>259</v>
      </c>
      <c r="G427" s="3" t="s">
        <v>1128</v>
      </c>
    </row>
    <row r="428" spans="1:7" ht="27.95" customHeight="1">
      <c r="A428" s="3" t="s">
        <v>377</v>
      </c>
      <c r="B428" s="4" t="s">
        <v>1198</v>
      </c>
      <c r="C428" s="4" t="s">
        <v>767</v>
      </c>
      <c r="D428" s="18">
        <v>41</v>
      </c>
      <c r="E428" s="13">
        <f>IF($F428=0,0,D428/$F428)</f>
        <v>0.15830115830115801</v>
      </c>
      <c r="F428" s="12">
        <f>$F$423</f>
        <v>259</v>
      </c>
      <c r="G428" s="3" t="s">
        <v>1128</v>
      </c>
    </row>
    <row r="429" spans="1:7" ht="27.95" customHeight="1">
      <c r="A429" s="3" t="s">
        <v>377</v>
      </c>
      <c r="B429" s="4" t="s">
        <v>1198</v>
      </c>
      <c r="C429" s="4" t="s">
        <v>766</v>
      </c>
      <c r="D429" s="18">
        <v>43</v>
      </c>
      <c r="E429" s="13">
        <f>IF($F429=0,0,D429/$F429)</f>
        <v>0.166023166023166</v>
      </c>
      <c r="F429" s="12">
        <f>$F$423</f>
        <v>259</v>
      </c>
      <c r="G429" s="3" t="s">
        <v>1128</v>
      </c>
    </row>
    <row r="430" spans="1:7" ht="27.95" customHeight="1">
      <c r="A430" s="3" t="s">
        <v>377</v>
      </c>
      <c r="B430" s="4" t="s">
        <v>1198</v>
      </c>
      <c r="C430" s="4" t="s">
        <v>763</v>
      </c>
      <c r="D430" s="18">
        <v>121</v>
      </c>
      <c r="E430" s="13">
        <f>IF($F430=0,0,D430/$F430)</f>
        <v>0.46718146718146703</v>
      </c>
      <c r="F430" s="12">
        <f>$F$423</f>
        <v>259</v>
      </c>
      <c r="G430" s="3" t="s">
        <v>1128</v>
      </c>
    </row>
    <row r="431" spans="1:7" ht="27.95" customHeight="1">
      <c r="A431" s="3" t="s">
        <v>377</v>
      </c>
      <c r="B431" s="4" t="s">
        <v>1198</v>
      </c>
      <c r="C431" s="4" t="s">
        <v>768</v>
      </c>
      <c r="D431" s="18">
        <v>40</v>
      </c>
      <c r="E431" s="13">
        <f>IF($F431=0,0,D431/$F431)</f>
        <v>0.15444015444015399</v>
      </c>
      <c r="F431" s="12">
        <f>$F$423</f>
        <v>259</v>
      </c>
      <c r="G431" s="3" t="s">
        <v>1128</v>
      </c>
    </row>
    <row r="432" spans="1:7" ht="27.95" customHeight="1">
      <c r="A432" s="3" t="s">
        <v>377</v>
      </c>
      <c r="B432" s="4" t="s">
        <v>1198</v>
      </c>
      <c r="C432" s="4" t="s">
        <v>437</v>
      </c>
      <c r="D432" s="18">
        <v>5</v>
      </c>
      <c r="E432" s="13">
        <f>IF($F432=0,0,D432/$F432)</f>
        <v>1.9305019305019301E-2</v>
      </c>
      <c r="F432" s="12">
        <f>$F$423</f>
        <v>259</v>
      </c>
      <c r="G432" s="3" t="s">
        <v>1128</v>
      </c>
    </row>
    <row r="433" spans="1:7" ht="27.95" customHeight="1">
      <c r="A433" s="3" t="s">
        <v>377</v>
      </c>
      <c r="B433" s="4" t="s">
        <v>1198</v>
      </c>
      <c r="C433" s="4" t="s">
        <v>604</v>
      </c>
      <c r="D433" s="18">
        <v>34</v>
      </c>
      <c r="E433" s="13">
        <f>IF($F433=0,0,D433/$F433)</f>
        <v>0.13127413127413101</v>
      </c>
      <c r="F433" s="12">
        <f>$F$423</f>
        <v>259</v>
      </c>
      <c r="G433" s="3" t="s">
        <v>1128</v>
      </c>
    </row>
    <row r="434" spans="1:7" ht="27.95" customHeight="1">
      <c r="A434" s="3" t="s">
        <v>377</v>
      </c>
      <c r="B434" s="4" t="s">
        <v>1198</v>
      </c>
      <c r="C434" s="4" t="s">
        <v>438</v>
      </c>
      <c r="D434" s="18">
        <v>21</v>
      </c>
      <c r="E434" s="13">
        <f>IF($F434=0,0,D434/$F434)</f>
        <v>8.1081081081081099E-2</v>
      </c>
      <c r="F434" s="12">
        <f>$F$423</f>
        <v>259</v>
      </c>
      <c r="G434" s="3" t="s">
        <v>1128</v>
      </c>
    </row>
    <row r="435" spans="1:7" ht="27.95" customHeight="1">
      <c r="A435" s="3" t="s">
        <v>1199</v>
      </c>
      <c r="B435" s="4" t="s">
        <v>1200</v>
      </c>
      <c r="C435" s="4" t="s">
        <v>773</v>
      </c>
      <c r="D435" s="18">
        <v>72</v>
      </c>
      <c r="E435" s="13">
        <f>IF($F435=0,0,D435/$F435)</f>
        <v>0.27799227799227799</v>
      </c>
      <c r="F435" s="18">
        <v>259</v>
      </c>
      <c r="G435" s="3" t="s">
        <v>1121</v>
      </c>
    </row>
    <row r="436" spans="1:7" ht="27.95" customHeight="1">
      <c r="A436" s="3" t="s">
        <v>1199</v>
      </c>
      <c r="B436" s="4" t="s">
        <v>1200</v>
      </c>
      <c r="C436" s="4" t="s">
        <v>774</v>
      </c>
      <c r="D436" s="18">
        <v>158</v>
      </c>
      <c r="E436" s="13">
        <f>IF($F436=0,0,D436/$F436)</f>
        <v>0.61003861003861004</v>
      </c>
      <c r="F436" s="12">
        <f>$F$435</f>
        <v>259</v>
      </c>
      <c r="G436" s="3" t="s">
        <v>1121</v>
      </c>
    </row>
    <row r="437" spans="1:7" ht="27.95" customHeight="1">
      <c r="A437" s="3" t="s">
        <v>1199</v>
      </c>
      <c r="B437" s="4" t="s">
        <v>1200</v>
      </c>
      <c r="C437" s="4" t="s">
        <v>438</v>
      </c>
      <c r="D437" s="18">
        <v>29</v>
      </c>
      <c r="E437" s="13">
        <f>IF($F437=0,0,D437/$F437)</f>
        <v>0.111969111969112</v>
      </c>
      <c r="F437" s="12">
        <f>$F$435</f>
        <v>259</v>
      </c>
      <c r="G437" s="3" t="s">
        <v>1121</v>
      </c>
    </row>
    <row r="438" spans="1:7" ht="27.95" customHeight="1">
      <c r="A438" s="3" t="s">
        <v>426</v>
      </c>
      <c r="B438" s="4" t="s">
        <v>1201</v>
      </c>
      <c r="C438" s="4" t="s">
        <v>773</v>
      </c>
      <c r="D438" s="18">
        <v>66</v>
      </c>
      <c r="E438" s="13">
        <f>IF($F438=0,0,D438/$F438)</f>
        <v>0.25482625482625498</v>
      </c>
      <c r="F438" s="18">
        <v>259</v>
      </c>
      <c r="G438" s="3" t="s">
        <v>1121</v>
      </c>
    </row>
    <row r="439" spans="1:7" ht="27.95" customHeight="1">
      <c r="A439" s="3" t="s">
        <v>426</v>
      </c>
      <c r="B439" s="4" t="s">
        <v>1201</v>
      </c>
      <c r="C439" s="4" t="s">
        <v>774</v>
      </c>
      <c r="D439" s="18">
        <v>162</v>
      </c>
      <c r="E439" s="13">
        <f>IF($F439=0,0,D439/$F439)</f>
        <v>0.62548262548262601</v>
      </c>
      <c r="F439" s="12">
        <f>$F$438</f>
        <v>259</v>
      </c>
      <c r="G439" s="3" t="s">
        <v>1121</v>
      </c>
    </row>
    <row r="440" spans="1:7" ht="27.95" customHeight="1">
      <c r="A440" s="3" t="s">
        <v>426</v>
      </c>
      <c r="B440" s="4" t="s">
        <v>1201</v>
      </c>
      <c r="C440" s="4" t="s">
        <v>438</v>
      </c>
      <c r="D440" s="18">
        <v>31</v>
      </c>
      <c r="E440" s="13">
        <f>IF($F440=0,0,D440/$F440)</f>
        <v>0.11969111969111999</v>
      </c>
      <c r="F440" s="12">
        <f>$F$438</f>
        <v>259</v>
      </c>
      <c r="G440" s="3" t="s">
        <v>1121</v>
      </c>
    </row>
  </sheetData>
  <autoFilter ref="A4:G440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5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3" width="46" customWidth="1"/>
    <col min="4" max="4" width="8" customWidth="1"/>
    <col min="5" max="5" width="9" customWidth="1"/>
    <col min="6" max="6" width="13" customWidth="1"/>
    <col min="7" max="7" width="14" customWidth="1"/>
  </cols>
  <sheetData>
    <row r="1" spans="1:7">
      <c r="A1" s="21" t="s">
        <v>1202</v>
      </c>
    </row>
    <row r="2" spans="1:7">
      <c r="A2" s="11" t="s">
        <v>1116</v>
      </c>
    </row>
    <row r="4" spans="1:7">
      <c r="A4" s="2" t="s">
        <v>1117</v>
      </c>
      <c r="B4" s="2" t="s">
        <v>381</v>
      </c>
      <c r="C4" s="2" t="s">
        <v>429</v>
      </c>
      <c r="D4" s="2" t="s">
        <v>430</v>
      </c>
      <c r="E4" s="2" t="s">
        <v>431</v>
      </c>
      <c r="F4" s="2" t="s">
        <v>780</v>
      </c>
      <c r="G4" s="2" t="s">
        <v>1118</v>
      </c>
    </row>
    <row r="5" spans="1:7" ht="27.95" customHeight="1">
      <c r="A5" s="3" t="s">
        <v>1119</v>
      </c>
      <c r="B5" s="4" t="s">
        <v>1120</v>
      </c>
      <c r="C5" s="4" t="s">
        <v>432</v>
      </c>
      <c r="D5" s="18">
        <v>5</v>
      </c>
      <c r="E5" s="13">
        <f>IF($F5=0,0,D5/$F5)</f>
        <v>0.2</v>
      </c>
      <c r="F5" s="18">
        <v>25</v>
      </c>
      <c r="G5" s="3" t="s">
        <v>1121</v>
      </c>
    </row>
    <row r="6" spans="1:7" ht="27.95" customHeight="1">
      <c r="A6" s="3" t="s">
        <v>1119</v>
      </c>
      <c r="B6" s="4" t="s">
        <v>1120</v>
      </c>
      <c r="C6" s="4" t="s">
        <v>433</v>
      </c>
      <c r="D6" s="18">
        <v>8</v>
      </c>
      <c r="E6" s="13">
        <f>IF($F6=0,0,D6/$F6)</f>
        <v>0.32</v>
      </c>
      <c r="F6" s="12">
        <f>$F$5</f>
        <v>25</v>
      </c>
      <c r="G6" s="3" t="s">
        <v>1121</v>
      </c>
    </row>
    <row r="7" spans="1:7" ht="27.95" customHeight="1">
      <c r="A7" s="3" t="s">
        <v>1119</v>
      </c>
      <c r="B7" s="4" t="s">
        <v>1120</v>
      </c>
      <c r="C7" s="4" t="s">
        <v>434</v>
      </c>
      <c r="D7" s="18">
        <v>4</v>
      </c>
      <c r="E7" s="13">
        <f>IF($F7=0,0,D7/$F7)</f>
        <v>0.16</v>
      </c>
      <c r="F7" s="12">
        <f>$F$5</f>
        <v>25</v>
      </c>
      <c r="G7" s="3" t="s">
        <v>1121</v>
      </c>
    </row>
    <row r="8" spans="1:7" ht="27.95" customHeight="1">
      <c r="A8" s="3" t="s">
        <v>1119</v>
      </c>
      <c r="B8" s="4" t="s">
        <v>1120</v>
      </c>
      <c r="C8" s="4" t="s">
        <v>435</v>
      </c>
      <c r="D8" s="18">
        <v>1</v>
      </c>
      <c r="E8" s="13">
        <f>IF($F8=0,0,D8/$F8)</f>
        <v>0.04</v>
      </c>
      <c r="F8" s="12">
        <f>$F$5</f>
        <v>25</v>
      </c>
      <c r="G8" s="3" t="s">
        <v>1121</v>
      </c>
    </row>
    <row r="9" spans="1:7" ht="27.95" customHeight="1">
      <c r="A9" s="3" t="s">
        <v>1119</v>
      </c>
      <c r="B9" s="4" t="s">
        <v>1120</v>
      </c>
      <c r="C9" s="4" t="s">
        <v>436</v>
      </c>
      <c r="D9" s="18">
        <v>5</v>
      </c>
      <c r="E9" s="13">
        <f>IF($F9=0,0,D9/$F9)</f>
        <v>0.2</v>
      </c>
      <c r="F9" s="12">
        <f>$F$5</f>
        <v>25</v>
      </c>
      <c r="G9" s="3" t="s">
        <v>1121</v>
      </c>
    </row>
    <row r="10" spans="1:7" ht="27.95" customHeight="1">
      <c r="A10" s="3" t="s">
        <v>1119</v>
      </c>
      <c r="B10" s="4" t="s">
        <v>1120</v>
      </c>
      <c r="C10" s="4" t="s">
        <v>437</v>
      </c>
      <c r="D10" s="18">
        <v>1</v>
      </c>
      <c r="E10" s="13">
        <f>IF($F10=0,0,D10/$F10)</f>
        <v>0.04</v>
      </c>
      <c r="F10" s="12">
        <f>$F$5</f>
        <v>25</v>
      </c>
      <c r="G10" s="3" t="s">
        <v>1121</v>
      </c>
    </row>
    <row r="11" spans="1:7" ht="27.95" customHeight="1">
      <c r="A11" s="3" t="s">
        <v>1119</v>
      </c>
      <c r="B11" s="4" t="s">
        <v>1120</v>
      </c>
      <c r="C11" s="4" t="s">
        <v>438</v>
      </c>
      <c r="D11" s="18">
        <v>1</v>
      </c>
      <c r="E11" s="13">
        <f>IF($F11=0,0,D11/$F11)</f>
        <v>0.04</v>
      </c>
      <c r="F11" s="12">
        <f>$F$5</f>
        <v>25</v>
      </c>
      <c r="G11" s="3" t="s">
        <v>1121</v>
      </c>
    </row>
    <row r="12" spans="1:7" ht="27.95" customHeight="1">
      <c r="A12" s="3" t="s">
        <v>1122</v>
      </c>
      <c r="B12" s="4" t="s">
        <v>1123</v>
      </c>
      <c r="C12" s="4" t="s">
        <v>440</v>
      </c>
      <c r="D12" s="18">
        <v>13</v>
      </c>
      <c r="E12" s="13">
        <f>IF($F12=0,0,D12/$F12)</f>
        <v>0.52</v>
      </c>
      <c r="F12" s="18">
        <v>25</v>
      </c>
      <c r="G12" s="3" t="s">
        <v>1121</v>
      </c>
    </row>
    <row r="13" spans="1:7" ht="27.95" customHeight="1">
      <c r="A13" s="3" t="s">
        <v>1122</v>
      </c>
      <c r="B13" s="4" t="s">
        <v>1123</v>
      </c>
      <c r="C13" s="4" t="s">
        <v>441</v>
      </c>
      <c r="D13" s="18">
        <v>10</v>
      </c>
      <c r="E13" s="13">
        <f>IF($F13=0,0,D13/$F13)</f>
        <v>0.4</v>
      </c>
      <c r="F13" s="12">
        <f>$F$12</f>
        <v>25</v>
      </c>
      <c r="G13" s="3" t="s">
        <v>1121</v>
      </c>
    </row>
    <row r="14" spans="1:7" ht="27.95" customHeight="1">
      <c r="A14" s="3" t="s">
        <v>1122</v>
      </c>
      <c r="B14" s="4" t="s">
        <v>1123</v>
      </c>
      <c r="C14" s="4" t="s">
        <v>442</v>
      </c>
      <c r="D14" s="18">
        <v>0</v>
      </c>
      <c r="E14" s="13">
        <f>IF($F14=0,0,D14/$F14)</f>
        <v>0</v>
      </c>
      <c r="F14" s="12">
        <f>$F$12</f>
        <v>25</v>
      </c>
      <c r="G14" s="3" t="s">
        <v>1121</v>
      </c>
    </row>
    <row r="15" spans="1:7" ht="27.95" customHeight="1">
      <c r="A15" s="3" t="s">
        <v>1122</v>
      </c>
      <c r="B15" s="4" t="s">
        <v>1123</v>
      </c>
      <c r="C15" s="4" t="s">
        <v>443</v>
      </c>
      <c r="D15" s="18">
        <v>1</v>
      </c>
      <c r="E15" s="13">
        <f>IF($F15=0,0,D15/$F15)</f>
        <v>0.04</v>
      </c>
      <c r="F15" s="12">
        <f>$F$12</f>
        <v>25</v>
      </c>
      <c r="G15" s="3" t="s">
        <v>1121</v>
      </c>
    </row>
    <row r="16" spans="1:7" ht="27.95" customHeight="1">
      <c r="A16" s="3" t="s">
        <v>1122</v>
      </c>
      <c r="B16" s="4" t="s">
        <v>1123</v>
      </c>
      <c r="C16" s="4" t="s">
        <v>438</v>
      </c>
      <c r="D16" s="18">
        <v>1</v>
      </c>
      <c r="E16" s="13">
        <f>IF($F16=0,0,D16/$F16)</f>
        <v>0.04</v>
      </c>
      <c r="F16" s="12">
        <f>$F$12</f>
        <v>25</v>
      </c>
      <c r="G16" s="3" t="s">
        <v>1121</v>
      </c>
    </row>
    <row r="17" spans="1:7" ht="27.95" customHeight="1">
      <c r="A17" s="3" t="s">
        <v>384</v>
      </c>
      <c r="B17" s="4" t="s">
        <v>1124</v>
      </c>
      <c r="C17" s="4" t="s">
        <v>798</v>
      </c>
      <c r="D17" s="18">
        <v>3</v>
      </c>
      <c r="E17" s="13">
        <f>IF($F17=0,0,D17/$F17)</f>
        <v>0.12</v>
      </c>
      <c r="F17" s="18">
        <v>25</v>
      </c>
      <c r="G17" s="3" t="s">
        <v>1121</v>
      </c>
    </row>
    <row r="18" spans="1:7" ht="27.95" customHeight="1">
      <c r="A18" s="3" t="s">
        <v>384</v>
      </c>
      <c r="B18" s="4" t="s">
        <v>1124</v>
      </c>
      <c r="C18" s="4" t="s">
        <v>799</v>
      </c>
      <c r="D18" s="18">
        <v>6</v>
      </c>
      <c r="E18" s="13">
        <f>IF($F18=0,0,D18/$F18)</f>
        <v>0.24</v>
      </c>
      <c r="F18" s="12">
        <f>$F$17</f>
        <v>25</v>
      </c>
      <c r="G18" s="3" t="s">
        <v>1121</v>
      </c>
    </row>
    <row r="19" spans="1:7" ht="27.95" customHeight="1">
      <c r="A19" s="3" t="s">
        <v>384</v>
      </c>
      <c r="B19" s="4" t="s">
        <v>1124</v>
      </c>
      <c r="C19" s="4" t="s">
        <v>800</v>
      </c>
      <c r="D19" s="18">
        <v>5</v>
      </c>
      <c r="E19" s="13">
        <f>IF($F19=0,0,D19/$F19)</f>
        <v>0.2</v>
      </c>
      <c r="F19" s="12">
        <f>$F$17</f>
        <v>25</v>
      </c>
      <c r="G19" s="3" t="s">
        <v>1121</v>
      </c>
    </row>
    <row r="20" spans="1:7" ht="27.95" customHeight="1">
      <c r="A20" s="3" t="s">
        <v>384</v>
      </c>
      <c r="B20" s="4" t="s">
        <v>1124</v>
      </c>
      <c r="C20" s="4" t="s">
        <v>801</v>
      </c>
      <c r="D20" s="18">
        <v>4</v>
      </c>
      <c r="E20" s="13">
        <f>IF($F20=0,0,D20/$F20)</f>
        <v>0.16</v>
      </c>
      <c r="F20" s="12">
        <f>$F$17</f>
        <v>25</v>
      </c>
      <c r="G20" s="3" t="s">
        <v>1121</v>
      </c>
    </row>
    <row r="21" spans="1:7" ht="27.95" customHeight="1">
      <c r="A21" s="3" t="s">
        <v>384</v>
      </c>
      <c r="B21" s="4" t="s">
        <v>1124</v>
      </c>
      <c r="C21" s="4" t="s">
        <v>802</v>
      </c>
      <c r="D21" s="18">
        <v>5</v>
      </c>
      <c r="E21" s="13">
        <f>IF($F21=0,0,D21/$F21)</f>
        <v>0.2</v>
      </c>
      <c r="F21" s="12">
        <f>$F$17</f>
        <v>25</v>
      </c>
      <c r="G21" s="3" t="s">
        <v>1121</v>
      </c>
    </row>
    <row r="22" spans="1:7" ht="27.95" customHeight="1">
      <c r="A22" s="3" t="s">
        <v>384</v>
      </c>
      <c r="B22" s="4" t="s">
        <v>1124</v>
      </c>
      <c r="C22" s="4" t="s">
        <v>438</v>
      </c>
      <c r="D22" s="18">
        <v>2</v>
      </c>
      <c r="E22" s="13">
        <f>IF($F22=0,0,D22/$F22)</f>
        <v>0.08</v>
      </c>
      <c r="F22" s="12">
        <f>$F$17</f>
        <v>25</v>
      </c>
      <c r="G22" s="3" t="s">
        <v>1121</v>
      </c>
    </row>
    <row r="23" spans="1:7" ht="27.95" customHeight="1">
      <c r="A23" s="3" t="s">
        <v>387</v>
      </c>
      <c r="B23" s="4" t="s">
        <v>1125</v>
      </c>
      <c r="C23" s="4" t="s">
        <v>804</v>
      </c>
      <c r="D23" s="18">
        <v>25</v>
      </c>
      <c r="E23" s="13">
        <f>IF($F23=0,0,D23/$F23)</f>
        <v>1</v>
      </c>
      <c r="F23" s="18">
        <v>25</v>
      </c>
      <c r="G23" s="3" t="s">
        <v>1121</v>
      </c>
    </row>
    <row r="24" spans="1:7" ht="27.95" customHeight="1">
      <c r="A24" s="3" t="s">
        <v>387</v>
      </c>
      <c r="B24" s="4" t="s">
        <v>1125</v>
      </c>
      <c r="C24" s="4" t="s">
        <v>805</v>
      </c>
      <c r="D24" s="18">
        <v>0</v>
      </c>
      <c r="E24" s="13">
        <f>IF($F24=0,0,D24/$F24)</f>
        <v>0</v>
      </c>
      <c r="F24" s="12">
        <f>$F$23</f>
        <v>25</v>
      </c>
      <c r="G24" s="3" t="s">
        <v>1121</v>
      </c>
    </row>
    <row r="25" spans="1:7" ht="27.95" customHeight="1">
      <c r="A25" s="3" t="s">
        <v>387</v>
      </c>
      <c r="B25" s="4" t="s">
        <v>1125</v>
      </c>
      <c r="C25" s="4" t="s">
        <v>806</v>
      </c>
      <c r="D25" s="18">
        <v>0</v>
      </c>
      <c r="E25" s="13">
        <f>IF($F25=0,0,D25/$F25)</f>
        <v>0</v>
      </c>
      <c r="F25" s="12">
        <f>$F$23</f>
        <v>25</v>
      </c>
      <c r="G25" s="3" t="s">
        <v>1121</v>
      </c>
    </row>
    <row r="26" spans="1:7" ht="27.95" customHeight="1">
      <c r="A26" s="3" t="s">
        <v>387</v>
      </c>
      <c r="B26" s="4" t="s">
        <v>1125</v>
      </c>
      <c r="C26" s="4" t="s">
        <v>462</v>
      </c>
      <c r="D26" s="18">
        <v>0</v>
      </c>
      <c r="E26" s="13">
        <f>IF($F26=0,0,D26/$F26)</f>
        <v>0</v>
      </c>
      <c r="F26" s="12">
        <f>$F$23</f>
        <v>25</v>
      </c>
      <c r="G26" s="3" t="s">
        <v>1121</v>
      </c>
    </row>
    <row r="27" spans="1:7" ht="27.95" customHeight="1">
      <c r="A27" s="3" t="s">
        <v>387</v>
      </c>
      <c r="B27" s="4" t="s">
        <v>1125</v>
      </c>
      <c r="C27" s="4" t="s">
        <v>437</v>
      </c>
      <c r="D27" s="18">
        <v>0</v>
      </c>
      <c r="E27" s="13">
        <f>IF($F27=0,0,D27/$F27)</f>
        <v>0</v>
      </c>
      <c r="F27" s="12">
        <f>$F$23</f>
        <v>25</v>
      </c>
      <c r="G27" s="3" t="s">
        <v>1121</v>
      </c>
    </row>
    <row r="28" spans="1:7" ht="27.95" customHeight="1">
      <c r="A28" s="3" t="s">
        <v>387</v>
      </c>
      <c r="B28" s="4" t="s">
        <v>1125</v>
      </c>
      <c r="C28" s="4" t="s">
        <v>438</v>
      </c>
      <c r="D28" s="18">
        <v>0</v>
      </c>
      <c r="E28" s="13">
        <f>IF($F28=0,0,D28/$F28)</f>
        <v>0</v>
      </c>
      <c r="F28" s="12">
        <f>$F$23</f>
        <v>25</v>
      </c>
      <c r="G28" s="3" t="s">
        <v>1121</v>
      </c>
    </row>
    <row r="29" spans="1:7" ht="27.95" customHeight="1">
      <c r="A29" s="3" t="s">
        <v>1126</v>
      </c>
      <c r="B29" s="4" t="s">
        <v>1127</v>
      </c>
      <c r="C29" s="4" t="s">
        <v>466</v>
      </c>
      <c r="D29" s="18">
        <v>25</v>
      </c>
      <c r="E29" s="13">
        <f>IF($F29=0,0,D29/$F29)</f>
        <v>1</v>
      </c>
      <c r="F29" s="18">
        <v>25</v>
      </c>
      <c r="G29" s="3" t="s">
        <v>1128</v>
      </c>
    </row>
    <row r="30" spans="1:7" ht="27.95" customHeight="1">
      <c r="A30" s="3" t="s">
        <v>1126</v>
      </c>
      <c r="B30" s="4" t="s">
        <v>1127</v>
      </c>
      <c r="C30" s="4" t="s">
        <v>468</v>
      </c>
      <c r="D30" s="18">
        <v>11</v>
      </c>
      <c r="E30" s="13">
        <f>IF($F30=0,0,D30/$F30)</f>
        <v>0.44</v>
      </c>
      <c r="F30" s="12">
        <f>$F$29</f>
        <v>25</v>
      </c>
      <c r="G30" s="3" t="s">
        <v>1128</v>
      </c>
    </row>
    <row r="31" spans="1:7" ht="27.95" customHeight="1">
      <c r="A31" s="3" t="s">
        <v>1126</v>
      </c>
      <c r="B31" s="4" t="s">
        <v>1127</v>
      </c>
      <c r="C31" s="4" t="s">
        <v>467</v>
      </c>
      <c r="D31" s="18">
        <v>20</v>
      </c>
      <c r="E31" s="13">
        <f>IF($F31=0,0,D31/$F31)</f>
        <v>0.8</v>
      </c>
      <c r="F31" s="12">
        <f>$F$29</f>
        <v>25</v>
      </c>
      <c r="G31" s="3" t="s">
        <v>1128</v>
      </c>
    </row>
    <row r="32" spans="1:7" ht="27.95" customHeight="1">
      <c r="A32" s="3" t="s">
        <v>1126</v>
      </c>
      <c r="B32" s="4" t="s">
        <v>1127</v>
      </c>
      <c r="C32" s="4" t="s">
        <v>437</v>
      </c>
      <c r="D32" s="18">
        <v>0</v>
      </c>
      <c r="E32" s="13">
        <f>IF($F32=0,0,D32/$F32)</f>
        <v>0</v>
      </c>
      <c r="F32" s="12">
        <f>$F$29</f>
        <v>25</v>
      </c>
      <c r="G32" s="3" t="s">
        <v>1128</v>
      </c>
    </row>
    <row r="33" spans="1:7" ht="27.95" customHeight="1">
      <c r="A33" s="3" t="s">
        <v>1126</v>
      </c>
      <c r="B33" s="4" t="s">
        <v>1127</v>
      </c>
      <c r="C33" s="4" t="s">
        <v>438</v>
      </c>
      <c r="D33" s="18">
        <v>0</v>
      </c>
      <c r="E33" s="13">
        <f>IF($F33=0,0,D33/$F33)</f>
        <v>0</v>
      </c>
      <c r="F33" s="12">
        <f>$F$29</f>
        <v>25</v>
      </c>
      <c r="G33" s="3" t="s">
        <v>1128</v>
      </c>
    </row>
    <row r="34" spans="1:7" ht="15.95" customHeight="1">
      <c r="A34" s="3" t="s">
        <v>1129</v>
      </c>
      <c r="B34" s="4" t="s">
        <v>474</v>
      </c>
      <c r="C34" s="4" t="s">
        <v>471</v>
      </c>
      <c r="D34" s="18">
        <v>24</v>
      </c>
      <c r="E34" s="13">
        <f>IF($F34=0,0,D34/$F34)</f>
        <v>0.96</v>
      </c>
      <c r="F34" s="18">
        <v>25</v>
      </c>
      <c r="G34" s="3" t="s">
        <v>1130</v>
      </c>
    </row>
    <row r="35" spans="1:7" ht="15.95" customHeight="1">
      <c r="A35" s="3" t="s">
        <v>1129</v>
      </c>
      <c r="B35" s="4" t="s">
        <v>474</v>
      </c>
      <c r="C35" s="4" t="s">
        <v>472</v>
      </c>
      <c r="D35" s="18">
        <v>1</v>
      </c>
      <c r="E35" s="13">
        <f>IF($F35=0,0,D35/$F35)</f>
        <v>0.04</v>
      </c>
      <c r="F35" s="12">
        <f>$F$34</f>
        <v>25</v>
      </c>
      <c r="G35" s="3" t="s">
        <v>1130</v>
      </c>
    </row>
    <row r="36" spans="1:7" ht="15.95" customHeight="1">
      <c r="A36" s="3" t="s">
        <v>1129</v>
      </c>
      <c r="B36" s="4" t="s">
        <v>474</v>
      </c>
      <c r="C36" s="4" t="s">
        <v>473</v>
      </c>
      <c r="D36" s="18">
        <v>0</v>
      </c>
      <c r="E36" s="13">
        <f>IF($F36=0,0,D36/$F36)</f>
        <v>0</v>
      </c>
      <c r="F36" s="12">
        <f>$F$34</f>
        <v>25</v>
      </c>
      <c r="G36" s="3" t="s">
        <v>1130</v>
      </c>
    </row>
    <row r="37" spans="1:7" ht="15.95" customHeight="1">
      <c r="A37" s="3" t="s">
        <v>1129</v>
      </c>
      <c r="B37" s="4" t="s">
        <v>474</v>
      </c>
      <c r="C37" s="4" t="s">
        <v>438</v>
      </c>
      <c r="D37" s="18">
        <v>0</v>
      </c>
      <c r="E37" s="13">
        <f>IF($F37=0,0,D37/$F37)</f>
        <v>0</v>
      </c>
      <c r="F37" s="12">
        <f>$F$34</f>
        <v>25</v>
      </c>
      <c r="G37" s="3" t="s">
        <v>1130</v>
      </c>
    </row>
    <row r="38" spans="1:7" ht="15.95" customHeight="1">
      <c r="A38" s="3" t="s">
        <v>1129</v>
      </c>
      <c r="B38" s="4" t="s">
        <v>475</v>
      </c>
      <c r="C38" s="4" t="s">
        <v>471</v>
      </c>
      <c r="D38" s="18">
        <v>24</v>
      </c>
      <c r="E38" s="13">
        <f>IF($F38=0,0,D38/$F38)</f>
        <v>0.96</v>
      </c>
      <c r="F38" s="18">
        <v>25</v>
      </c>
      <c r="G38" s="3" t="s">
        <v>1130</v>
      </c>
    </row>
    <row r="39" spans="1:7" ht="15.95" customHeight="1">
      <c r="A39" s="3" t="s">
        <v>1129</v>
      </c>
      <c r="B39" s="4" t="s">
        <v>475</v>
      </c>
      <c r="C39" s="4" t="s">
        <v>472</v>
      </c>
      <c r="D39" s="18">
        <v>0</v>
      </c>
      <c r="E39" s="13">
        <f>IF($F39=0,0,D39/$F39)</f>
        <v>0</v>
      </c>
      <c r="F39" s="12">
        <f>$F$38</f>
        <v>25</v>
      </c>
      <c r="G39" s="3" t="s">
        <v>1130</v>
      </c>
    </row>
    <row r="40" spans="1:7" ht="15.95" customHeight="1">
      <c r="A40" s="3" t="s">
        <v>1129</v>
      </c>
      <c r="B40" s="4" t="s">
        <v>475</v>
      </c>
      <c r="C40" s="4" t="s">
        <v>473</v>
      </c>
      <c r="D40" s="18">
        <v>1</v>
      </c>
      <c r="E40" s="13">
        <f>IF($F40=0,0,D40/$F40)</f>
        <v>0.04</v>
      </c>
      <c r="F40" s="12">
        <f>$F$38</f>
        <v>25</v>
      </c>
      <c r="G40" s="3" t="s">
        <v>1130</v>
      </c>
    </row>
    <row r="41" spans="1:7" ht="15.95" customHeight="1">
      <c r="A41" s="3" t="s">
        <v>1129</v>
      </c>
      <c r="B41" s="4" t="s">
        <v>475</v>
      </c>
      <c r="C41" s="4" t="s">
        <v>438</v>
      </c>
      <c r="D41" s="18">
        <v>0</v>
      </c>
      <c r="E41" s="13">
        <f>IF($F41=0,0,D41/$F41)</f>
        <v>0</v>
      </c>
      <c r="F41" s="12">
        <f>$F$38</f>
        <v>25</v>
      </c>
      <c r="G41" s="3" t="s">
        <v>1130</v>
      </c>
    </row>
    <row r="42" spans="1:7" ht="15.95" customHeight="1">
      <c r="A42" s="3" t="s">
        <v>1129</v>
      </c>
      <c r="B42" s="4" t="s">
        <v>476</v>
      </c>
      <c r="C42" s="4" t="s">
        <v>471</v>
      </c>
      <c r="D42" s="18">
        <v>20</v>
      </c>
      <c r="E42" s="13">
        <f>IF($F42=0,0,D42/$F42)</f>
        <v>0.8</v>
      </c>
      <c r="F42" s="18">
        <v>25</v>
      </c>
      <c r="G42" s="3" t="s">
        <v>1130</v>
      </c>
    </row>
    <row r="43" spans="1:7" ht="15.95" customHeight="1">
      <c r="A43" s="3" t="s">
        <v>1129</v>
      </c>
      <c r="B43" s="4" t="s">
        <v>476</v>
      </c>
      <c r="C43" s="4" t="s">
        <v>472</v>
      </c>
      <c r="D43" s="18">
        <v>2</v>
      </c>
      <c r="E43" s="13">
        <f>IF($F43=0,0,D43/$F43)</f>
        <v>0.08</v>
      </c>
      <c r="F43" s="12">
        <f>$F$42</f>
        <v>25</v>
      </c>
      <c r="G43" s="3" t="s">
        <v>1130</v>
      </c>
    </row>
    <row r="44" spans="1:7" ht="15.95" customHeight="1">
      <c r="A44" s="3" t="s">
        <v>1129</v>
      </c>
      <c r="B44" s="4" t="s">
        <v>476</v>
      </c>
      <c r="C44" s="4" t="s">
        <v>473</v>
      </c>
      <c r="D44" s="18">
        <v>3</v>
      </c>
      <c r="E44" s="13">
        <f>IF($F44=0,0,D44/$F44)</f>
        <v>0.12</v>
      </c>
      <c r="F44" s="12">
        <f>$F$42</f>
        <v>25</v>
      </c>
      <c r="G44" s="3" t="s">
        <v>1130</v>
      </c>
    </row>
    <row r="45" spans="1:7" ht="15.95" customHeight="1">
      <c r="A45" s="3" t="s">
        <v>1129</v>
      </c>
      <c r="B45" s="4" t="s">
        <v>476</v>
      </c>
      <c r="C45" s="4" t="s">
        <v>438</v>
      </c>
      <c r="D45" s="18">
        <v>0</v>
      </c>
      <c r="E45" s="13">
        <f>IF($F45=0,0,D45/$F45)</f>
        <v>0</v>
      </c>
      <c r="F45" s="12">
        <f>$F$42</f>
        <v>25</v>
      </c>
      <c r="G45" s="3" t="s">
        <v>1130</v>
      </c>
    </row>
    <row r="46" spans="1:7" ht="15.95" customHeight="1">
      <c r="A46" s="3" t="s">
        <v>1129</v>
      </c>
      <c r="B46" s="4" t="s">
        <v>477</v>
      </c>
      <c r="C46" s="4" t="s">
        <v>471</v>
      </c>
      <c r="D46" s="18">
        <v>24</v>
      </c>
      <c r="E46" s="13">
        <f>IF($F46=0,0,D46/$F46)</f>
        <v>0.96</v>
      </c>
      <c r="F46" s="18">
        <v>25</v>
      </c>
      <c r="G46" s="3" t="s">
        <v>1130</v>
      </c>
    </row>
    <row r="47" spans="1:7" ht="15.95" customHeight="1">
      <c r="A47" s="3" t="s">
        <v>1129</v>
      </c>
      <c r="B47" s="4" t="s">
        <v>477</v>
      </c>
      <c r="C47" s="4" t="s">
        <v>472</v>
      </c>
      <c r="D47" s="18">
        <v>1</v>
      </c>
      <c r="E47" s="13">
        <f>IF($F47=0,0,D47/$F47)</f>
        <v>0.04</v>
      </c>
      <c r="F47" s="12">
        <f>$F$46</f>
        <v>25</v>
      </c>
      <c r="G47" s="3" t="s">
        <v>1130</v>
      </c>
    </row>
    <row r="48" spans="1:7" ht="15.95" customHeight="1">
      <c r="A48" s="3" t="s">
        <v>1129</v>
      </c>
      <c r="B48" s="4" t="s">
        <v>477</v>
      </c>
      <c r="C48" s="4" t="s">
        <v>473</v>
      </c>
      <c r="D48" s="18">
        <v>0</v>
      </c>
      <c r="E48" s="13">
        <f>IF($F48=0,0,D48/$F48)</f>
        <v>0</v>
      </c>
      <c r="F48" s="12">
        <f>$F$46</f>
        <v>25</v>
      </c>
      <c r="G48" s="3" t="s">
        <v>1130</v>
      </c>
    </row>
    <row r="49" spans="1:7" ht="15.95" customHeight="1">
      <c r="A49" s="3" t="s">
        <v>1129</v>
      </c>
      <c r="B49" s="4" t="s">
        <v>477</v>
      </c>
      <c r="C49" s="4" t="s">
        <v>438</v>
      </c>
      <c r="D49" s="18">
        <v>0</v>
      </c>
      <c r="E49" s="13">
        <f>IF($F49=0,0,D49/$F49)</f>
        <v>0</v>
      </c>
      <c r="F49" s="12">
        <f>$F$46</f>
        <v>25</v>
      </c>
      <c r="G49" s="3" t="s">
        <v>1130</v>
      </c>
    </row>
    <row r="50" spans="1:7" ht="15.95" customHeight="1">
      <c r="A50" s="3" t="s">
        <v>1129</v>
      </c>
      <c r="B50" s="4" t="s">
        <v>478</v>
      </c>
      <c r="C50" s="4" t="s">
        <v>471</v>
      </c>
      <c r="D50" s="18">
        <v>17</v>
      </c>
      <c r="E50" s="13">
        <f>IF($F50=0,0,D50/$F50)</f>
        <v>0.68</v>
      </c>
      <c r="F50" s="18">
        <v>25</v>
      </c>
      <c r="G50" s="3" t="s">
        <v>1130</v>
      </c>
    </row>
    <row r="51" spans="1:7" ht="15.95" customHeight="1">
      <c r="A51" s="3" t="s">
        <v>1129</v>
      </c>
      <c r="B51" s="4" t="s">
        <v>478</v>
      </c>
      <c r="C51" s="4" t="s">
        <v>472</v>
      </c>
      <c r="D51" s="18">
        <v>8</v>
      </c>
      <c r="E51" s="13">
        <f>IF($F51=0,0,D51/$F51)</f>
        <v>0.32</v>
      </c>
      <c r="F51" s="12">
        <f>$F$50</f>
        <v>25</v>
      </c>
      <c r="G51" s="3" t="s">
        <v>1130</v>
      </c>
    </row>
    <row r="52" spans="1:7" ht="15.95" customHeight="1">
      <c r="A52" s="3" t="s">
        <v>1129</v>
      </c>
      <c r="B52" s="4" t="s">
        <v>478</v>
      </c>
      <c r="C52" s="4" t="s">
        <v>473</v>
      </c>
      <c r="D52" s="18">
        <v>0</v>
      </c>
      <c r="E52" s="13">
        <f>IF($F52=0,0,D52/$F52)</f>
        <v>0</v>
      </c>
      <c r="F52" s="12">
        <f>$F$50</f>
        <v>25</v>
      </c>
      <c r="G52" s="3" t="s">
        <v>1130</v>
      </c>
    </row>
    <row r="53" spans="1:7" ht="15.95" customHeight="1">
      <c r="A53" s="3" t="s">
        <v>1129</v>
      </c>
      <c r="B53" s="4" t="s">
        <v>478</v>
      </c>
      <c r="C53" s="4" t="s">
        <v>438</v>
      </c>
      <c r="D53" s="18">
        <v>0</v>
      </c>
      <c r="E53" s="13">
        <f>IF($F53=0,0,D53/$F53)</f>
        <v>0</v>
      </c>
      <c r="F53" s="12">
        <f>$F$50</f>
        <v>25</v>
      </c>
      <c r="G53" s="3" t="s">
        <v>1130</v>
      </c>
    </row>
    <row r="54" spans="1:7" ht="15.95" customHeight="1">
      <c r="A54" s="3" t="s">
        <v>1129</v>
      </c>
      <c r="B54" s="4" t="s">
        <v>479</v>
      </c>
      <c r="C54" s="4" t="s">
        <v>471</v>
      </c>
      <c r="D54" s="18">
        <v>24</v>
      </c>
      <c r="E54" s="13">
        <f>IF($F54=0,0,D54/$F54)</f>
        <v>0.96</v>
      </c>
      <c r="F54" s="18">
        <v>25</v>
      </c>
      <c r="G54" s="3" t="s">
        <v>1130</v>
      </c>
    </row>
    <row r="55" spans="1:7" ht="15.95" customHeight="1">
      <c r="A55" s="3" t="s">
        <v>1129</v>
      </c>
      <c r="B55" s="4" t="s">
        <v>479</v>
      </c>
      <c r="C55" s="4" t="s">
        <v>472</v>
      </c>
      <c r="D55" s="18">
        <v>1</v>
      </c>
      <c r="E55" s="13">
        <f>IF($F55=0,0,D55/$F55)</f>
        <v>0.04</v>
      </c>
      <c r="F55" s="12">
        <f>$F$54</f>
        <v>25</v>
      </c>
      <c r="G55" s="3" t="s">
        <v>1130</v>
      </c>
    </row>
    <row r="56" spans="1:7" ht="15.95" customHeight="1">
      <c r="A56" s="3" t="s">
        <v>1129</v>
      </c>
      <c r="B56" s="4" t="s">
        <v>479</v>
      </c>
      <c r="C56" s="4" t="s">
        <v>473</v>
      </c>
      <c r="D56" s="18">
        <v>0</v>
      </c>
      <c r="E56" s="13">
        <f>IF($F56=0,0,D56/$F56)</f>
        <v>0</v>
      </c>
      <c r="F56" s="12">
        <f>$F$54</f>
        <v>25</v>
      </c>
      <c r="G56" s="3" t="s">
        <v>1130</v>
      </c>
    </row>
    <row r="57" spans="1:7" ht="15.95" customHeight="1">
      <c r="A57" s="3" t="s">
        <v>1129</v>
      </c>
      <c r="B57" s="4" t="s">
        <v>479</v>
      </c>
      <c r="C57" s="4" t="s">
        <v>438</v>
      </c>
      <c r="D57" s="18">
        <v>0</v>
      </c>
      <c r="E57" s="13">
        <f>IF($F57=0,0,D57/$F57)</f>
        <v>0</v>
      </c>
      <c r="F57" s="12">
        <f>$F$54</f>
        <v>25</v>
      </c>
      <c r="G57" s="3" t="s">
        <v>1130</v>
      </c>
    </row>
    <row r="58" spans="1:7" ht="15.95" customHeight="1">
      <c r="A58" s="3" t="s">
        <v>1129</v>
      </c>
      <c r="B58" s="4" t="s">
        <v>397</v>
      </c>
      <c r="C58" s="4" t="s">
        <v>471</v>
      </c>
      <c r="D58" s="18">
        <v>13</v>
      </c>
      <c r="E58" s="13">
        <f>IF($F58=0,0,D58/$F58)</f>
        <v>0.52</v>
      </c>
      <c r="F58" s="18">
        <v>25</v>
      </c>
      <c r="G58" s="3" t="s">
        <v>1130</v>
      </c>
    </row>
    <row r="59" spans="1:7" ht="15.95" customHeight="1">
      <c r="A59" s="3" t="s">
        <v>1129</v>
      </c>
      <c r="B59" s="4" t="s">
        <v>397</v>
      </c>
      <c r="C59" s="4" t="s">
        <v>472</v>
      </c>
      <c r="D59" s="18">
        <v>11</v>
      </c>
      <c r="E59" s="13">
        <f>IF($F59=0,0,D59/$F59)</f>
        <v>0.44</v>
      </c>
      <c r="F59" s="12">
        <f>$F$58</f>
        <v>25</v>
      </c>
      <c r="G59" s="3" t="s">
        <v>1130</v>
      </c>
    </row>
    <row r="60" spans="1:7" ht="15.95" customHeight="1">
      <c r="A60" s="3" t="s">
        <v>1129</v>
      </c>
      <c r="B60" s="4" t="s">
        <v>397</v>
      </c>
      <c r="C60" s="4" t="s">
        <v>473</v>
      </c>
      <c r="D60" s="18">
        <v>1</v>
      </c>
      <c r="E60" s="13">
        <f>IF($F60=0,0,D60/$F60)</f>
        <v>0.04</v>
      </c>
      <c r="F60" s="12">
        <f>$F$58</f>
        <v>25</v>
      </c>
      <c r="G60" s="3" t="s">
        <v>1130</v>
      </c>
    </row>
    <row r="61" spans="1:7" ht="15.95" customHeight="1">
      <c r="A61" s="3" t="s">
        <v>1129</v>
      </c>
      <c r="B61" s="4" t="s">
        <v>397</v>
      </c>
      <c r="C61" s="4" t="s">
        <v>438</v>
      </c>
      <c r="D61" s="18">
        <v>0</v>
      </c>
      <c r="E61" s="13">
        <f>IF($F61=0,0,D61/$F61)</f>
        <v>0</v>
      </c>
      <c r="F61" s="12">
        <f>$F$58</f>
        <v>25</v>
      </c>
      <c r="G61" s="3" t="s">
        <v>1130</v>
      </c>
    </row>
    <row r="62" spans="1:7" ht="15.95" customHeight="1">
      <c r="A62" s="3" t="s">
        <v>1129</v>
      </c>
      <c r="B62" s="4" t="s">
        <v>480</v>
      </c>
      <c r="C62" s="4" t="s">
        <v>471</v>
      </c>
      <c r="D62" s="18">
        <v>15</v>
      </c>
      <c r="E62" s="13">
        <f>IF($F62=0,0,D62/$F62)</f>
        <v>0.6</v>
      </c>
      <c r="F62" s="18">
        <v>25</v>
      </c>
      <c r="G62" s="3" t="s">
        <v>1130</v>
      </c>
    </row>
    <row r="63" spans="1:7" ht="15.95" customHeight="1">
      <c r="A63" s="3" t="s">
        <v>1129</v>
      </c>
      <c r="B63" s="4" t="s">
        <v>480</v>
      </c>
      <c r="C63" s="4" t="s">
        <v>472</v>
      </c>
      <c r="D63" s="18">
        <v>10</v>
      </c>
      <c r="E63" s="13">
        <f>IF($F63=0,0,D63/$F63)</f>
        <v>0.4</v>
      </c>
      <c r="F63" s="12">
        <f>$F$62</f>
        <v>25</v>
      </c>
      <c r="G63" s="3" t="s">
        <v>1130</v>
      </c>
    </row>
    <row r="64" spans="1:7" ht="15.95" customHeight="1">
      <c r="A64" s="3" t="s">
        <v>1129</v>
      </c>
      <c r="B64" s="4" t="s">
        <v>480</v>
      </c>
      <c r="C64" s="4" t="s">
        <v>473</v>
      </c>
      <c r="D64" s="18">
        <v>0</v>
      </c>
      <c r="E64" s="13">
        <f>IF($F64=0,0,D64/$F64)</f>
        <v>0</v>
      </c>
      <c r="F64" s="12">
        <f>$F$62</f>
        <v>25</v>
      </c>
      <c r="G64" s="3" t="s">
        <v>1130</v>
      </c>
    </row>
    <row r="65" spans="1:7" ht="15.95" customHeight="1">
      <c r="A65" s="3" t="s">
        <v>1129</v>
      </c>
      <c r="B65" s="4" t="s">
        <v>480</v>
      </c>
      <c r="C65" s="4" t="s">
        <v>438</v>
      </c>
      <c r="D65" s="18">
        <v>0</v>
      </c>
      <c r="E65" s="13">
        <f>IF($F65=0,0,D65/$F65)</f>
        <v>0</v>
      </c>
      <c r="F65" s="12">
        <f>$F$62</f>
        <v>25</v>
      </c>
      <c r="G65" s="3" t="s">
        <v>1130</v>
      </c>
    </row>
    <row r="66" spans="1:7" ht="15.95" customHeight="1">
      <c r="A66" s="3" t="s">
        <v>1129</v>
      </c>
      <c r="B66" s="4" t="s">
        <v>481</v>
      </c>
      <c r="C66" s="4" t="s">
        <v>471</v>
      </c>
      <c r="D66" s="18">
        <v>7</v>
      </c>
      <c r="E66" s="13">
        <f>IF($F66=0,0,D66/$F66)</f>
        <v>0.28000000000000003</v>
      </c>
      <c r="F66" s="18">
        <v>25</v>
      </c>
      <c r="G66" s="3" t="s">
        <v>1130</v>
      </c>
    </row>
    <row r="67" spans="1:7" ht="15.95" customHeight="1">
      <c r="A67" s="3" t="s">
        <v>1129</v>
      </c>
      <c r="B67" s="4" t="s">
        <v>481</v>
      </c>
      <c r="C67" s="4" t="s">
        <v>472</v>
      </c>
      <c r="D67" s="18">
        <v>13</v>
      </c>
      <c r="E67" s="13">
        <f>IF($F67=0,0,D67/$F67)</f>
        <v>0.52</v>
      </c>
      <c r="F67" s="12">
        <f>$F$66</f>
        <v>25</v>
      </c>
      <c r="G67" s="3" t="s">
        <v>1130</v>
      </c>
    </row>
    <row r="68" spans="1:7" ht="15.95" customHeight="1">
      <c r="A68" s="3" t="s">
        <v>1129</v>
      </c>
      <c r="B68" s="4" t="s">
        <v>481</v>
      </c>
      <c r="C68" s="4" t="s">
        <v>473</v>
      </c>
      <c r="D68" s="18">
        <v>5</v>
      </c>
      <c r="E68" s="13">
        <f>IF($F68=0,0,D68/$F68)</f>
        <v>0.2</v>
      </c>
      <c r="F68" s="12">
        <f>$F$66</f>
        <v>25</v>
      </c>
      <c r="G68" s="3" t="s">
        <v>1130</v>
      </c>
    </row>
    <row r="69" spans="1:7" ht="15.95" customHeight="1">
      <c r="A69" s="3" t="s">
        <v>1129</v>
      </c>
      <c r="B69" s="4" t="s">
        <v>481</v>
      </c>
      <c r="C69" s="4" t="s">
        <v>438</v>
      </c>
      <c r="D69" s="18">
        <v>0</v>
      </c>
      <c r="E69" s="13">
        <f>IF($F69=0,0,D69/$F69)</f>
        <v>0</v>
      </c>
      <c r="F69" s="12">
        <f>$F$66</f>
        <v>25</v>
      </c>
      <c r="G69" s="3" t="s">
        <v>1130</v>
      </c>
    </row>
    <row r="70" spans="1:7" ht="15.95" customHeight="1">
      <c r="A70" s="3" t="s">
        <v>1129</v>
      </c>
      <c r="B70" s="4" t="s">
        <v>482</v>
      </c>
      <c r="C70" s="4" t="s">
        <v>471</v>
      </c>
      <c r="D70" s="18">
        <v>7</v>
      </c>
      <c r="E70" s="13">
        <f>IF($F70=0,0,D70/$F70)</f>
        <v>0.28000000000000003</v>
      </c>
      <c r="F70" s="18">
        <v>25</v>
      </c>
      <c r="G70" s="3" t="s">
        <v>1130</v>
      </c>
    </row>
    <row r="71" spans="1:7" ht="15.95" customHeight="1">
      <c r="A71" s="3" t="s">
        <v>1129</v>
      </c>
      <c r="B71" s="4" t="s">
        <v>482</v>
      </c>
      <c r="C71" s="4" t="s">
        <v>472</v>
      </c>
      <c r="D71" s="18">
        <v>14</v>
      </c>
      <c r="E71" s="13">
        <f>IF($F71=0,0,D71/$F71)</f>
        <v>0.56000000000000005</v>
      </c>
      <c r="F71" s="12">
        <f>$F$70</f>
        <v>25</v>
      </c>
      <c r="G71" s="3" t="s">
        <v>1130</v>
      </c>
    </row>
    <row r="72" spans="1:7" ht="15.95" customHeight="1">
      <c r="A72" s="3" t="s">
        <v>1129</v>
      </c>
      <c r="B72" s="4" t="s">
        <v>482</v>
      </c>
      <c r="C72" s="4" t="s">
        <v>473</v>
      </c>
      <c r="D72" s="18">
        <v>4</v>
      </c>
      <c r="E72" s="13">
        <f>IF($F72=0,0,D72/$F72)</f>
        <v>0.16</v>
      </c>
      <c r="F72" s="12">
        <f>$F$70</f>
        <v>25</v>
      </c>
      <c r="G72" s="3" t="s">
        <v>1130</v>
      </c>
    </row>
    <row r="73" spans="1:7" ht="15.95" customHeight="1">
      <c r="A73" s="3" t="s">
        <v>1129</v>
      </c>
      <c r="B73" s="4" t="s">
        <v>482</v>
      </c>
      <c r="C73" s="4" t="s">
        <v>438</v>
      </c>
      <c r="D73" s="18">
        <v>0</v>
      </c>
      <c r="E73" s="13">
        <f>IF($F73=0,0,D73/$F73)</f>
        <v>0</v>
      </c>
      <c r="F73" s="12">
        <f>$F$70</f>
        <v>25</v>
      </c>
      <c r="G73" s="3" t="s">
        <v>1130</v>
      </c>
    </row>
    <row r="74" spans="1:7" ht="40.5" customHeight="1">
      <c r="A74" s="3" t="s">
        <v>1131</v>
      </c>
      <c r="B74" s="4" t="s">
        <v>1132</v>
      </c>
      <c r="C74" s="4" t="s">
        <v>489</v>
      </c>
      <c r="D74" s="18">
        <v>23</v>
      </c>
      <c r="E74" s="13">
        <f>IF($F74=0,0,D74/$F74)</f>
        <v>0.92</v>
      </c>
      <c r="F74" s="18">
        <v>25</v>
      </c>
      <c r="G74" s="3" t="s">
        <v>1128</v>
      </c>
    </row>
    <row r="75" spans="1:7" ht="40.5" customHeight="1">
      <c r="A75" s="3" t="s">
        <v>1131</v>
      </c>
      <c r="B75" s="4" t="s">
        <v>1132</v>
      </c>
      <c r="C75" s="4" t="s">
        <v>488</v>
      </c>
      <c r="D75" s="18">
        <v>0</v>
      </c>
      <c r="E75" s="13">
        <f>IF($F75=0,0,D75/$F75)</f>
        <v>0</v>
      </c>
      <c r="F75" s="12">
        <f>$F$74</f>
        <v>25</v>
      </c>
      <c r="G75" s="3" t="s">
        <v>1128</v>
      </c>
    </row>
    <row r="76" spans="1:7" ht="40.5" customHeight="1">
      <c r="A76" s="3" t="s">
        <v>1131</v>
      </c>
      <c r="B76" s="4" t="s">
        <v>1132</v>
      </c>
      <c r="C76" s="4" t="s">
        <v>490</v>
      </c>
      <c r="D76" s="18">
        <v>0</v>
      </c>
      <c r="E76" s="13">
        <f>IF($F76=0,0,D76/$F76)</f>
        <v>0</v>
      </c>
      <c r="F76" s="12">
        <f>$F$74</f>
        <v>25</v>
      </c>
      <c r="G76" s="3" t="s">
        <v>1128</v>
      </c>
    </row>
    <row r="77" spans="1:7" ht="40.5" customHeight="1">
      <c r="A77" s="3" t="s">
        <v>1131</v>
      </c>
      <c r="B77" s="4" t="s">
        <v>1132</v>
      </c>
      <c r="C77" s="4" t="s">
        <v>438</v>
      </c>
      <c r="D77" s="18">
        <v>2</v>
      </c>
      <c r="E77" s="13">
        <f>IF($F77=0,0,D77/$F77)</f>
        <v>0.08</v>
      </c>
      <c r="F77" s="12">
        <f>$F$74</f>
        <v>25</v>
      </c>
      <c r="G77" s="3" t="s">
        <v>1128</v>
      </c>
    </row>
    <row r="78" spans="1:7" ht="40.5" customHeight="1">
      <c r="A78" s="3" t="s">
        <v>390</v>
      </c>
      <c r="B78" s="4" t="s">
        <v>1203</v>
      </c>
      <c r="C78" s="4" t="s">
        <v>811</v>
      </c>
      <c r="D78" s="18">
        <v>0</v>
      </c>
      <c r="E78" s="13">
        <f>IF($F78=0,0,D78/$F78)</f>
        <v>0</v>
      </c>
      <c r="F78" s="18">
        <v>25</v>
      </c>
      <c r="G78" s="3" t="s">
        <v>1121</v>
      </c>
    </row>
    <row r="79" spans="1:7" ht="40.5" customHeight="1">
      <c r="A79" s="3" t="s">
        <v>390</v>
      </c>
      <c r="B79" s="4" t="s">
        <v>1203</v>
      </c>
      <c r="C79" s="4" t="s">
        <v>452</v>
      </c>
      <c r="D79" s="18">
        <v>5</v>
      </c>
      <c r="E79" s="13">
        <f>IF($F79=0,0,D79/$F79)</f>
        <v>0.2</v>
      </c>
      <c r="F79" s="12">
        <f>$F$78</f>
        <v>25</v>
      </c>
      <c r="G79" s="3" t="s">
        <v>1121</v>
      </c>
    </row>
    <row r="80" spans="1:7" ht="40.5" customHeight="1">
      <c r="A80" s="3" t="s">
        <v>390</v>
      </c>
      <c r="B80" s="4" t="s">
        <v>1203</v>
      </c>
      <c r="C80" s="4" t="s">
        <v>453</v>
      </c>
      <c r="D80" s="18">
        <v>5</v>
      </c>
      <c r="E80" s="13">
        <f>IF($F80=0,0,D80/$F80)</f>
        <v>0.2</v>
      </c>
      <c r="F80" s="12">
        <f>$F$78</f>
        <v>25</v>
      </c>
      <c r="G80" s="3" t="s">
        <v>1121</v>
      </c>
    </row>
    <row r="81" spans="1:7" ht="40.5" customHeight="1">
      <c r="A81" s="3" t="s">
        <v>390</v>
      </c>
      <c r="B81" s="4" t="s">
        <v>1203</v>
      </c>
      <c r="C81" s="4" t="s">
        <v>494</v>
      </c>
      <c r="D81" s="18">
        <v>5</v>
      </c>
      <c r="E81" s="13">
        <f>IF($F81=0,0,D81/$F81)</f>
        <v>0.2</v>
      </c>
      <c r="F81" s="12">
        <f>$F$78</f>
        <v>25</v>
      </c>
      <c r="G81" s="3" t="s">
        <v>1121</v>
      </c>
    </row>
    <row r="82" spans="1:7" ht="40.5" customHeight="1">
      <c r="A82" s="3" t="s">
        <v>390</v>
      </c>
      <c r="B82" s="4" t="s">
        <v>1203</v>
      </c>
      <c r="C82" s="4" t="s">
        <v>812</v>
      </c>
      <c r="D82" s="18">
        <v>0</v>
      </c>
      <c r="E82" s="13">
        <f>IF($F82=0,0,D82/$F82)</f>
        <v>0</v>
      </c>
      <c r="F82" s="12">
        <f>$F$78</f>
        <v>25</v>
      </c>
      <c r="G82" s="3" t="s">
        <v>1121</v>
      </c>
    </row>
    <row r="83" spans="1:7" ht="40.5" customHeight="1">
      <c r="A83" s="3" t="s">
        <v>390</v>
      </c>
      <c r="B83" s="4" t="s">
        <v>1203</v>
      </c>
      <c r="C83" s="4" t="s">
        <v>438</v>
      </c>
      <c r="D83" s="18">
        <v>10</v>
      </c>
      <c r="E83" s="13">
        <f>IF($F83=0,0,D83/$F83)</f>
        <v>0.4</v>
      </c>
      <c r="F83" s="12">
        <f>$F$78</f>
        <v>25</v>
      </c>
      <c r="G83" s="3" t="s">
        <v>1121</v>
      </c>
    </row>
    <row r="84" spans="1:7" ht="27.95" customHeight="1">
      <c r="A84" s="3" t="s">
        <v>1134</v>
      </c>
      <c r="B84" s="4" t="s">
        <v>1135</v>
      </c>
      <c r="C84" s="4" t="s">
        <v>440</v>
      </c>
      <c r="D84" s="18">
        <v>1</v>
      </c>
      <c r="E84" s="13">
        <f>IF($F84=0,0,D84/$F84)</f>
        <v>0.04</v>
      </c>
      <c r="F84" s="18">
        <v>25</v>
      </c>
      <c r="G84" s="3" t="s">
        <v>1121</v>
      </c>
    </row>
    <row r="85" spans="1:7" ht="27.95" customHeight="1">
      <c r="A85" s="3" t="s">
        <v>1134</v>
      </c>
      <c r="B85" s="4" t="s">
        <v>1135</v>
      </c>
      <c r="C85" s="4" t="s">
        <v>441</v>
      </c>
      <c r="D85" s="18">
        <v>22</v>
      </c>
      <c r="E85" s="13">
        <f>IF($F85=0,0,D85/$F85)</f>
        <v>0.88</v>
      </c>
      <c r="F85" s="12">
        <f>$F$84</f>
        <v>25</v>
      </c>
      <c r="G85" s="3" t="s">
        <v>1121</v>
      </c>
    </row>
    <row r="86" spans="1:7" ht="27.95" customHeight="1">
      <c r="A86" s="3" t="s">
        <v>1134</v>
      </c>
      <c r="B86" s="4" t="s">
        <v>1135</v>
      </c>
      <c r="C86" s="4" t="s">
        <v>438</v>
      </c>
      <c r="D86" s="18">
        <v>2</v>
      </c>
      <c r="E86" s="13">
        <f>IF($F86=0,0,D86/$F86)</f>
        <v>0.08</v>
      </c>
      <c r="F86" s="12">
        <f>$F$84</f>
        <v>25</v>
      </c>
      <c r="G86" s="3" t="s">
        <v>1121</v>
      </c>
    </row>
    <row r="87" spans="1:7" ht="27.95" customHeight="1">
      <c r="A87" s="3" t="s">
        <v>1136</v>
      </c>
      <c r="B87" s="4" t="s">
        <v>1137</v>
      </c>
      <c r="C87" s="4" t="s">
        <v>501</v>
      </c>
      <c r="D87" s="18">
        <v>7</v>
      </c>
      <c r="E87" s="13">
        <f>IF($F87=0,0,D87/$F87)</f>
        <v>0.28000000000000003</v>
      </c>
      <c r="F87" s="18">
        <v>25</v>
      </c>
      <c r="G87" s="3" t="s">
        <v>1121</v>
      </c>
    </row>
    <row r="88" spans="1:7" ht="27.95" customHeight="1">
      <c r="A88" s="3" t="s">
        <v>1136</v>
      </c>
      <c r="B88" s="4" t="s">
        <v>1137</v>
      </c>
      <c r="C88" s="4" t="s">
        <v>502</v>
      </c>
      <c r="D88" s="18">
        <v>16</v>
      </c>
      <c r="E88" s="13">
        <f>IF($F88=0,0,D88/$F88)</f>
        <v>0.64</v>
      </c>
      <c r="F88" s="12">
        <f>$F$87</f>
        <v>25</v>
      </c>
      <c r="G88" s="3" t="s">
        <v>1121</v>
      </c>
    </row>
    <row r="89" spans="1:7" ht="27.95" customHeight="1">
      <c r="A89" s="3" t="s">
        <v>1136</v>
      </c>
      <c r="B89" s="4" t="s">
        <v>1137</v>
      </c>
      <c r="C89" s="4" t="s">
        <v>503</v>
      </c>
      <c r="D89" s="18">
        <v>0</v>
      </c>
      <c r="E89" s="13">
        <f>IF($F89=0,0,D89/$F89)</f>
        <v>0</v>
      </c>
      <c r="F89" s="12">
        <f>$F$87</f>
        <v>25</v>
      </c>
      <c r="G89" s="3" t="s">
        <v>1121</v>
      </c>
    </row>
    <row r="90" spans="1:7" ht="27.95" customHeight="1">
      <c r="A90" s="3" t="s">
        <v>1136</v>
      </c>
      <c r="B90" s="4" t="s">
        <v>1137</v>
      </c>
      <c r="C90" s="4" t="s">
        <v>438</v>
      </c>
      <c r="D90" s="18">
        <v>2</v>
      </c>
      <c r="E90" s="13">
        <f>IF($F90=0,0,D90/$F90)</f>
        <v>0.08</v>
      </c>
      <c r="F90" s="12">
        <f>$F$87</f>
        <v>25</v>
      </c>
      <c r="G90" s="3" t="s">
        <v>1121</v>
      </c>
    </row>
    <row r="91" spans="1:7" ht="27.95" customHeight="1">
      <c r="A91" s="3" t="s">
        <v>1138</v>
      </c>
      <c r="B91" s="4" t="s">
        <v>1139</v>
      </c>
      <c r="C91" s="4" t="s">
        <v>506</v>
      </c>
      <c r="D91" s="18">
        <v>0</v>
      </c>
      <c r="E91" s="13">
        <f>IF($F91=0,0,D91/$F91)</f>
        <v>0</v>
      </c>
      <c r="F91" s="18">
        <v>25</v>
      </c>
      <c r="G91" s="3" t="s">
        <v>1121</v>
      </c>
    </row>
    <row r="92" spans="1:7" ht="27.95" customHeight="1">
      <c r="A92" s="3" t="s">
        <v>1138</v>
      </c>
      <c r="B92" s="4" t="s">
        <v>1139</v>
      </c>
      <c r="C92" s="4" t="s">
        <v>507</v>
      </c>
      <c r="D92" s="18">
        <v>0</v>
      </c>
      <c r="E92" s="13">
        <f>IF($F92=0,0,D92/$F92)</f>
        <v>0</v>
      </c>
      <c r="F92" s="12">
        <f>$F$91</f>
        <v>25</v>
      </c>
      <c r="G92" s="3" t="s">
        <v>1121</v>
      </c>
    </row>
    <row r="93" spans="1:7" ht="27.95" customHeight="1">
      <c r="A93" s="3" t="s">
        <v>1138</v>
      </c>
      <c r="B93" s="4" t="s">
        <v>1139</v>
      </c>
      <c r="C93" s="4" t="s">
        <v>508</v>
      </c>
      <c r="D93" s="18">
        <v>0</v>
      </c>
      <c r="E93" s="13">
        <f>IF($F93=0,0,D93/$F93)</f>
        <v>0</v>
      </c>
      <c r="F93" s="12">
        <f>$F$91</f>
        <v>25</v>
      </c>
      <c r="G93" s="3" t="s">
        <v>1121</v>
      </c>
    </row>
    <row r="94" spans="1:7" ht="27.95" customHeight="1">
      <c r="A94" s="3" t="s">
        <v>1138</v>
      </c>
      <c r="B94" s="4" t="s">
        <v>1139</v>
      </c>
      <c r="C94" s="4" t="s">
        <v>509</v>
      </c>
      <c r="D94" s="18">
        <v>0</v>
      </c>
      <c r="E94" s="13">
        <f>IF($F94=0,0,D94/$F94)</f>
        <v>0</v>
      </c>
      <c r="F94" s="12">
        <f>$F$91</f>
        <v>25</v>
      </c>
      <c r="G94" s="3" t="s">
        <v>1121</v>
      </c>
    </row>
    <row r="95" spans="1:7" ht="27.95" customHeight="1">
      <c r="A95" s="3" t="s">
        <v>1138</v>
      </c>
      <c r="B95" s="4" t="s">
        <v>1139</v>
      </c>
      <c r="C95" s="4" t="s">
        <v>510</v>
      </c>
      <c r="D95" s="18">
        <v>0</v>
      </c>
      <c r="E95" s="13">
        <f>IF($F95=0,0,D95/$F95)</f>
        <v>0</v>
      </c>
      <c r="F95" s="12">
        <f>$F$91</f>
        <v>25</v>
      </c>
      <c r="G95" s="3" t="s">
        <v>1121</v>
      </c>
    </row>
    <row r="96" spans="1:7" ht="27.95" customHeight="1">
      <c r="A96" s="3" t="s">
        <v>1138</v>
      </c>
      <c r="B96" s="4" t="s">
        <v>1139</v>
      </c>
      <c r="C96" s="4" t="s">
        <v>511</v>
      </c>
      <c r="D96" s="18">
        <v>0</v>
      </c>
      <c r="E96" s="13">
        <f>IF($F96=0,0,D96/$F96)</f>
        <v>0</v>
      </c>
      <c r="F96" s="12">
        <f>$F$91</f>
        <v>25</v>
      </c>
      <c r="G96" s="3" t="s">
        <v>1121</v>
      </c>
    </row>
    <row r="97" spans="1:7" ht="27.95" customHeight="1">
      <c r="A97" s="3" t="s">
        <v>1138</v>
      </c>
      <c r="B97" s="4" t="s">
        <v>1139</v>
      </c>
      <c r="C97" s="4" t="s">
        <v>512</v>
      </c>
      <c r="D97" s="18">
        <v>25</v>
      </c>
      <c r="E97" s="13">
        <f>IF($F97=0,0,D97/$F97)</f>
        <v>1</v>
      </c>
      <c r="F97" s="12">
        <f>$F$91</f>
        <v>25</v>
      </c>
      <c r="G97" s="3" t="s">
        <v>1121</v>
      </c>
    </row>
    <row r="98" spans="1:7" ht="27.95" customHeight="1">
      <c r="A98" s="3" t="s">
        <v>1138</v>
      </c>
      <c r="B98" s="4" t="s">
        <v>1139</v>
      </c>
      <c r="C98" s="4" t="s">
        <v>438</v>
      </c>
      <c r="D98" s="18">
        <v>0</v>
      </c>
      <c r="E98" s="13">
        <f>IF($F98=0,0,D98/$F98)</f>
        <v>0</v>
      </c>
      <c r="F98" s="12">
        <f>$F$91</f>
        <v>25</v>
      </c>
      <c r="G98" s="3" t="s">
        <v>1121</v>
      </c>
    </row>
    <row r="99" spans="1:7" ht="27.95" customHeight="1">
      <c r="A99" s="3" t="s">
        <v>1140</v>
      </c>
      <c r="B99" s="4" t="s">
        <v>1141</v>
      </c>
      <c r="C99" s="4" t="s">
        <v>514</v>
      </c>
      <c r="D99" s="18">
        <v>0</v>
      </c>
      <c r="E99" s="13">
        <f>IF($F99=0,0,D99/$F99)</f>
        <v>0</v>
      </c>
      <c r="F99" s="18">
        <v>25</v>
      </c>
      <c r="G99" s="3" t="s">
        <v>1121</v>
      </c>
    </row>
    <row r="100" spans="1:7" ht="27.95" customHeight="1">
      <c r="A100" s="3" t="s">
        <v>1140</v>
      </c>
      <c r="B100" s="4" t="s">
        <v>1141</v>
      </c>
      <c r="C100" s="4" t="s">
        <v>515</v>
      </c>
      <c r="D100" s="18">
        <v>0</v>
      </c>
      <c r="E100" s="13">
        <f>IF($F100=0,0,D100/$F100)</f>
        <v>0</v>
      </c>
      <c r="F100" s="12">
        <f>$F$99</f>
        <v>25</v>
      </c>
      <c r="G100" s="3" t="s">
        <v>1121</v>
      </c>
    </row>
    <row r="101" spans="1:7" ht="27.95" customHeight="1">
      <c r="A101" s="3" t="s">
        <v>1140</v>
      </c>
      <c r="B101" s="4" t="s">
        <v>1141</v>
      </c>
      <c r="C101" s="4" t="s">
        <v>516</v>
      </c>
      <c r="D101" s="18">
        <v>0</v>
      </c>
      <c r="E101" s="13">
        <f>IF($F101=0,0,D101/$F101)</f>
        <v>0</v>
      </c>
      <c r="F101" s="12">
        <f>$F$99</f>
        <v>25</v>
      </c>
      <c r="G101" s="3" t="s">
        <v>1121</v>
      </c>
    </row>
    <row r="102" spans="1:7" ht="27.95" customHeight="1">
      <c r="A102" s="3" t="s">
        <v>1140</v>
      </c>
      <c r="B102" s="4" t="s">
        <v>1141</v>
      </c>
      <c r="C102" s="4" t="s">
        <v>517</v>
      </c>
      <c r="D102" s="18">
        <v>0</v>
      </c>
      <c r="E102" s="13">
        <f>IF($F102=0,0,D102/$F102)</f>
        <v>0</v>
      </c>
      <c r="F102" s="12">
        <f>$F$99</f>
        <v>25</v>
      </c>
      <c r="G102" s="3" t="s">
        <v>1121</v>
      </c>
    </row>
    <row r="103" spans="1:7" ht="27.95" customHeight="1">
      <c r="A103" s="3" t="s">
        <v>1140</v>
      </c>
      <c r="B103" s="4" t="s">
        <v>1141</v>
      </c>
      <c r="C103" s="4" t="s">
        <v>518</v>
      </c>
      <c r="D103" s="18">
        <v>0</v>
      </c>
      <c r="E103" s="13">
        <f>IF($F103=0,0,D103/$F103)</f>
        <v>0</v>
      </c>
      <c r="F103" s="12">
        <f>$F$99</f>
        <v>25</v>
      </c>
      <c r="G103" s="3" t="s">
        <v>1121</v>
      </c>
    </row>
    <row r="104" spans="1:7" ht="27.95" customHeight="1">
      <c r="A104" s="3" t="s">
        <v>1140</v>
      </c>
      <c r="B104" s="4" t="s">
        <v>1141</v>
      </c>
      <c r="C104" s="4" t="s">
        <v>519</v>
      </c>
      <c r="D104" s="18">
        <v>0</v>
      </c>
      <c r="E104" s="13">
        <f>IF($F104=0,0,D104/$F104)</f>
        <v>0</v>
      </c>
      <c r="F104" s="12">
        <f>$F$99</f>
        <v>25</v>
      </c>
      <c r="G104" s="3" t="s">
        <v>1121</v>
      </c>
    </row>
    <row r="105" spans="1:7" ht="27.95" customHeight="1">
      <c r="A105" s="3" t="s">
        <v>1140</v>
      </c>
      <c r="B105" s="4" t="s">
        <v>1141</v>
      </c>
      <c r="C105" s="4" t="s">
        <v>520</v>
      </c>
      <c r="D105" s="18">
        <v>0</v>
      </c>
      <c r="E105" s="13">
        <f>IF($F105=0,0,D105/$F105)</f>
        <v>0</v>
      </c>
      <c r="F105" s="12">
        <f>$F$99</f>
        <v>25</v>
      </c>
      <c r="G105" s="3" t="s">
        <v>1121</v>
      </c>
    </row>
    <row r="106" spans="1:7" ht="27.95" customHeight="1">
      <c r="A106" s="3" t="s">
        <v>1140</v>
      </c>
      <c r="B106" s="4" t="s">
        <v>1141</v>
      </c>
      <c r="C106" s="4" t="s">
        <v>438</v>
      </c>
      <c r="D106" s="18">
        <v>25</v>
      </c>
      <c r="E106" s="13">
        <f>IF($F106=0,0,D106/$F106)</f>
        <v>1</v>
      </c>
      <c r="F106" s="12">
        <f>$F$99</f>
        <v>25</v>
      </c>
      <c r="G106" s="3" t="s">
        <v>1121</v>
      </c>
    </row>
    <row r="107" spans="1:7" ht="15.95" customHeight="1">
      <c r="A107" s="3" t="s">
        <v>1142</v>
      </c>
      <c r="B107" s="4" t="s">
        <v>1143</v>
      </c>
      <c r="C107" s="4" t="s">
        <v>522</v>
      </c>
      <c r="D107" s="18">
        <v>0</v>
      </c>
      <c r="E107" s="13">
        <f>IF($F107=0,0,D107/$F107)</f>
        <v>0</v>
      </c>
      <c r="F107" s="18">
        <v>25</v>
      </c>
      <c r="G107" s="3" t="s">
        <v>1121</v>
      </c>
    </row>
    <row r="108" spans="1:7" ht="15.95" customHeight="1">
      <c r="A108" s="3" t="s">
        <v>1142</v>
      </c>
      <c r="B108" s="4" t="s">
        <v>1143</v>
      </c>
      <c r="C108" s="4" t="s">
        <v>523</v>
      </c>
      <c r="D108" s="18">
        <v>16</v>
      </c>
      <c r="E108" s="13">
        <f>IF($F108=0,0,D108/$F108)</f>
        <v>0.64</v>
      </c>
      <c r="F108" s="12">
        <f>$F$107</f>
        <v>25</v>
      </c>
      <c r="G108" s="3" t="s">
        <v>1121</v>
      </c>
    </row>
    <row r="109" spans="1:7" ht="15.95" customHeight="1">
      <c r="A109" s="3" t="s">
        <v>1142</v>
      </c>
      <c r="B109" s="4" t="s">
        <v>1143</v>
      </c>
      <c r="C109" s="4" t="s">
        <v>512</v>
      </c>
      <c r="D109" s="18">
        <v>8</v>
      </c>
      <c r="E109" s="13">
        <f>IF($F109=0,0,D109/$F109)</f>
        <v>0.32</v>
      </c>
      <c r="F109" s="12">
        <f>$F$107</f>
        <v>25</v>
      </c>
      <c r="G109" s="3" t="s">
        <v>1121</v>
      </c>
    </row>
    <row r="110" spans="1:7" ht="15.95" customHeight="1">
      <c r="A110" s="3" t="s">
        <v>1142</v>
      </c>
      <c r="B110" s="4" t="s">
        <v>1143</v>
      </c>
      <c r="C110" s="4" t="s">
        <v>438</v>
      </c>
      <c r="D110" s="18">
        <v>1</v>
      </c>
      <c r="E110" s="13">
        <f>IF($F110=0,0,D110/$F110)</f>
        <v>0.04</v>
      </c>
      <c r="F110" s="12">
        <f>$F$107</f>
        <v>25</v>
      </c>
      <c r="G110" s="3" t="s">
        <v>1121</v>
      </c>
    </row>
    <row r="111" spans="1:7" ht="27.95" customHeight="1">
      <c r="A111" s="3" t="s">
        <v>1144</v>
      </c>
      <c r="B111" s="4" t="s">
        <v>1145</v>
      </c>
      <c r="C111" s="4" t="s">
        <v>506</v>
      </c>
      <c r="D111" s="18">
        <v>0</v>
      </c>
      <c r="E111" s="13">
        <f>IF($F111=0,0,D111/$F111)</f>
        <v>0</v>
      </c>
      <c r="F111" s="18">
        <v>25</v>
      </c>
      <c r="G111" s="3" t="s">
        <v>1121</v>
      </c>
    </row>
    <row r="112" spans="1:7" ht="27.95" customHeight="1">
      <c r="A112" s="3" t="s">
        <v>1144</v>
      </c>
      <c r="B112" s="4" t="s">
        <v>1145</v>
      </c>
      <c r="C112" s="4" t="s">
        <v>507</v>
      </c>
      <c r="D112" s="18">
        <v>0</v>
      </c>
      <c r="E112" s="13">
        <f>IF($F112=0,0,D112/$F112)</f>
        <v>0</v>
      </c>
      <c r="F112" s="12">
        <f>$F$111</f>
        <v>25</v>
      </c>
      <c r="G112" s="3" t="s">
        <v>1121</v>
      </c>
    </row>
    <row r="113" spans="1:7" ht="27.95" customHeight="1">
      <c r="A113" s="3" t="s">
        <v>1144</v>
      </c>
      <c r="B113" s="4" t="s">
        <v>1145</v>
      </c>
      <c r="C113" s="4" t="s">
        <v>508</v>
      </c>
      <c r="D113" s="18">
        <v>0</v>
      </c>
      <c r="E113" s="13">
        <f>IF($F113=0,0,D113/$F113)</f>
        <v>0</v>
      </c>
      <c r="F113" s="12">
        <f>$F$111</f>
        <v>25</v>
      </c>
      <c r="G113" s="3" t="s">
        <v>1121</v>
      </c>
    </row>
    <row r="114" spans="1:7" ht="27.95" customHeight="1">
      <c r="A114" s="3" t="s">
        <v>1144</v>
      </c>
      <c r="B114" s="4" t="s">
        <v>1145</v>
      </c>
      <c r="C114" s="4" t="s">
        <v>512</v>
      </c>
      <c r="D114" s="18">
        <v>24</v>
      </c>
      <c r="E114" s="13">
        <f>IF($F114=0,0,D114/$F114)</f>
        <v>0.96</v>
      </c>
      <c r="F114" s="12">
        <f>$F$111</f>
        <v>25</v>
      </c>
      <c r="G114" s="3" t="s">
        <v>1121</v>
      </c>
    </row>
    <row r="115" spans="1:7" ht="27.95" customHeight="1">
      <c r="A115" s="3" t="s">
        <v>1144</v>
      </c>
      <c r="B115" s="4" t="s">
        <v>1145</v>
      </c>
      <c r="C115" s="4" t="s">
        <v>438</v>
      </c>
      <c r="D115" s="18">
        <v>1</v>
      </c>
      <c r="E115" s="13">
        <f>IF($F115=0,0,D115/$F115)</f>
        <v>0.04</v>
      </c>
      <c r="F115" s="12">
        <f>$F$111</f>
        <v>25</v>
      </c>
      <c r="G115" s="3" t="s">
        <v>1121</v>
      </c>
    </row>
    <row r="116" spans="1:7" ht="27.95" customHeight="1">
      <c r="A116" s="3" t="s">
        <v>1146</v>
      </c>
      <c r="B116" s="4" t="s">
        <v>1147</v>
      </c>
      <c r="C116" s="4" t="s">
        <v>526</v>
      </c>
      <c r="D116" s="18">
        <v>7</v>
      </c>
      <c r="E116" s="13">
        <f>IF($F116=0,0,D116/$F116)</f>
        <v>0.28000000000000003</v>
      </c>
      <c r="F116" s="18">
        <v>25</v>
      </c>
      <c r="G116" s="3" t="s">
        <v>1121</v>
      </c>
    </row>
    <row r="117" spans="1:7" ht="27.95" customHeight="1">
      <c r="A117" s="3" t="s">
        <v>1146</v>
      </c>
      <c r="B117" s="4" t="s">
        <v>1147</v>
      </c>
      <c r="C117" s="4" t="s">
        <v>527</v>
      </c>
      <c r="D117" s="18">
        <v>9</v>
      </c>
      <c r="E117" s="13">
        <f>IF($F117=0,0,D117/$F117)</f>
        <v>0.36</v>
      </c>
      <c r="F117" s="12">
        <f>$F$116</f>
        <v>25</v>
      </c>
      <c r="G117" s="3" t="s">
        <v>1121</v>
      </c>
    </row>
    <row r="118" spans="1:7" ht="27.95" customHeight="1">
      <c r="A118" s="3" t="s">
        <v>1146</v>
      </c>
      <c r="B118" s="4" t="s">
        <v>1147</v>
      </c>
      <c r="C118" s="4" t="s">
        <v>438</v>
      </c>
      <c r="D118" s="18">
        <v>9</v>
      </c>
      <c r="E118" s="13">
        <f>IF($F118=0,0,D118/$F118)</f>
        <v>0.36</v>
      </c>
      <c r="F118" s="12">
        <f>$F$116</f>
        <v>25</v>
      </c>
      <c r="G118" s="3" t="s">
        <v>1121</v>
      </c>
    </row>
    <row r="119" spans="1:7" ht="27.95" customHeight="1">
      <c r="A119" s="3" t="s">
        <v>1148</v>
      </c>
      <c r="B119" s="4" t="s">
        <v>1149</v>
      </c>
      <c r="C119" s="4" t="s">
        <v>530</v>
      </c>
      <c r="D119" s="18">
        <v>0</v>
      </c>
      <c r="E119" s="13">
        <f>IF($F119=0,0,D119/$F119)</f>
        <v>0</v>
      </c>
      <c r="F119" s="18">
        <v>25</v>
      </c>
      <c r="G119" s="3" t="s">
        <v>1121</v>
      </c>
    </row>
    <row r="120" spans="1:7" ht="27.95" customHeight="1">
      <c r="A120" s="3" t="s">
        <v>1148</v>
      </c>
      <c r="B120" s="4" t="s">
        <v>1149</v>
      </c>
      <c r="C120" s="4" t="s">
        <v>531</v>
      </c>
      <c r="D120" s="18">
        <v>24</v>
      </c>
      <c r="E120" s="13">
        <f>IF($F120=0,0,D120/$F120)</f>
        <v>0.96</v>
      </c>
      <c r="F120" s="12">
        <f>$F$119</f>
        <v>25</v>
      </c>
      <c r="G120" s="3" t="s">
        <v>1121</v>
      </c>
    </row>
    <row r="121" spans="1:7" ht="27.95" customHeight="1">
      <c r="A121" s="3" t="s">
        <v>1148</v>
      </c>
      <c r="B121" s="4" t="s">
        <v>1149</v>
      </c>
      <c r="C121" s="4" t="s">
        <v>438</v>
      </c>
      <c r="D121" s="18">
        <v>1</v>
      </c>
      <c r="E121" s="13">
        <f>IF($F121=0,0,D121/$F121)</f>
        <v>0.04</v>
      </c>
      <c r="F121" s="12">
        <f>$F$119</f>
        <v>25</v>
      </c>
      <c r="G121" s="3" t="s">
        <v>1121</v>
      </c>
    </row>
    <row r="122" spans="1:7" ht="27.95" customHeight="1">
      <c r="A122" s="3" t="s">
        <v>1150</v>
      </c>
      <c r="B122" s="4" t="s">
        <v>1151</v>
      </c>
      <c r="C122" s="4" t="s">
        <v>534</v>
      </c>
      <c r="D122" s="18">
        <v>13</v>
      </c>
      <c r="E122" s="13">
        <f>IF($F122=0,0,D122/$F122)</f>
        <v>0.52</v>
      </c>
      <c r="F122" s="18">
        <v>25</v>
      </c>
      <c r="G122" s="3" t="s">
        <v>1121</v>
      </c>
    </row>
    <row r="123" spans="1:7" ht="27.95" customHeight="1">
      <c r="A123" s="3" t="s">
        <v>1150</v>
      </c>
      <c r="B123" s="4" t="s">
        <v>1151</v>
      </c>
      <c r="C123" s="4" t="s">
        <v>535</v>
      </c>
      <c r="D123" s="18">
        <v>10</v>
      </c>
      <c r="E123" s="13">
        <f>IF($F123=0,0,D123/$F123)</f>
        <v>0.4</v>
      </c>
      <c r="F123" s="12">
        <f>$F$122</f>
        <v>25</v>
      </c>
      <c r="G123" s="3" t="s">
        <v>1121</v>
      </c>
    </row>
    <row r="124" spans="1:7" ht="27.95" customHeight="1">
      <c r="A124" s="3" t="s">
        <v>1150</v>
      </c>
      <c r="B124" s="4" t="s">
        <v>1151</v>
      </c>
      <c r="C124" s="4" t="s">
        <v>438</v>
      </c>
      <c r="D124" s="18">
        <v>2</v>
      </c>
      <c r="E124" s="13">
        <f>IF($F124=0,0,D124/$F124)</f>
        <v>0.08</v>
      </c>
      <c r="F124" s="12">
        <f>$F$122</f>
        <v>25</v>
      </c>
      <c r="G124" s="3" t="s">
        <v>1121</v>
      </c>
    </row>
    <row r="125" spans="1:7" ht="27.95" customHeight="1">
      <c r="A125" s="3" t="s">
        <v>1152</v>
      </c>
      <c r="B125" s="4" t="s">
        <v>1153</v>
      </c>
      <c r="C125" s="4" t="s">
        <v>534</v>
      </c>
      <c r="D125" s="18">
        <v>0</v>
      </c>
      <c r="E125" s="13">
        <f>IF($F125=0,0,D125/$F125)</f>
        <v>0</v>
      </c>
      <c r="F125" s="18">
        <v>25</v>
      </c>
      <c r="G125" s="3" t="s">
        <v>1121</v>
      </c>
    </row>
    <row r="126" spans="1:7" ht="27.95" customHeight="1">
      <c r="A126" s="3" t="s">
        <v>1152</v>
      </c>
      <c r="B126" s="4" t="s">
        <v>1153</v>
      </c>
      <c r="C126" s="4" t="s">
        <v>535</v>
      </c>
      <c r="D126" s="18">
        <v>24</v>
      </c>
      <c r="E126" s="13">
        <f>IF($F126=0,0,D126/$F126)</f>
        <v>0.96</v>
      </c>
      <c r="F126" s="12">
        <f>$F$125</f>
        <v>25</v>
      </c>
      <c r="G126" s="3" t="s">
        <v>1121</v>
      </c>
    </row>
    <row r="127" spans="1:7" ht="27.95" customHeight="1">
      <c r="A127" s="3" t="s">
        <v>1152</v>
      </c>
      <c r="B127" s="4" t="s">
        <v>1153</v>
      </c>
      <c r="C127" s="4" t="s">
        <v>438</v>
      </c>
      <c r="D127" s="18">
        <v>1</v>
      </c>
      <c r="E127" s="13">
        <f>IF($F127=0,0,D127/$F127)</f>
        <v>0.04</v>
      </c>
      <c r="F127" s="12">
        <f>$F$125</f>
        <v>25</v>
      </c>
      <c r="G127" s="3" t="s">
        <v>1121</v>
      </c>
    </row>
    <row r="128" spans="1:7" ht="27.95" customHeight="1">
      <c r="A128" s="3" t="s">
        <v>1154</v>
      </c>
      <c r="B128" s="4" t="s">
        <v>1155</v>
      </c>
      <c r="C128" s="4" t="s">
        <v>514</v>
      </c>
      <c r="D128" s="18">
        <v>0</v>
      </c>
      <c r="E128" s="13">
        <f>IF($F128=0,0,D128/$F128)</f>
        <v>0</v>
      </c>
      <c r="F128" s="18">
        <v>25</v>
      </c>
      <c r="G128" s="3" t="s">
        <v>1128</v>
      </c>
    </row>
    <row r="129" spans="1:7" ht="27.95" customHeight="1">
      <c r="A129" s="3" t="s">
        <v>1154</v>
      </c>
      <c r="B129" s="4" t="s">
        <v>1155</v>
      </c>
      <c r="C129" s="4" t="s">
        <v>515</v>
      </c>
      <c r="D129" s="18">
        <v>0</v>
      </c>
      <c r="E129" s="13">
        <f>IF($F129=0,0,D129/$F129)</f>
        <v>0</v>
      </c>
      <c r="F129" s="12">
        <f>$F$128</f>
        <v>25</v>
      </c>
      <c r="G129" s="3" t="s">
        <v>1128</v>
      </c>
    </row>
    <row r="130" spans="1:7" ht="27.95" customHeight="1">
      <c r="A130" s="3" t="s">
        <v>1154</v>
      </c>
      <c r="B130" s="4" t="s">
        <v>1155</v>
      </c>
      <c r="C130" s="4" t="s">
        <v>516</v>
      </c>
      <c r="D130" s="18">
        <v>0</v>
      </c>
      <c r="E130" s="13">
        <f>IF($F130=0,0,D130/$F130)</f>
        <v>0</v>
      </c>
      <c r="F130" s="12">
        <f>$F$128</f>
        <v>25</v>
      </c>
      <c r="G130" s="3" t="s">
        <v>1128</v>
      </c>
    </row>
    <row r="131" spans="1:7" ht="27.95" customHeight="1">
      <c r="A131" s="3" t="s">
        <v>1154</v>
      </c>
      <c r="B131" s="4" t="s">
        <v>1155</v>
      </c>
      <c r="C131" s="4" t="s">
        <v>517</v>
      </c>
      <c r="D131" s="18">
        <v>0</v>
      </c>
      <c r="E131" s="13">
        <f>IF($F131=0,0,D131/$F131)</f>
        <v>0</v>
      </c>
      <c r="F131" s="12">
        <f>$F$128</f>
        <v>25</v>
      </c>
      <c r="G131" s="3" t="s">
        <v>1128</v>
      </c>
    </row>
    <row r="132" spans="1:7" ht="27.95" customHeight="1">
      <c r="A132" s="3" t="s">
        <v>1154</v>
      </c>
      <c r="B132" s="4" t="s">
        <v>1155</v>
      </c>
      <c r="C132" s="4" t="s">
        <v>518</v>
      </c>
      <c r="D132" s="18">
        <v>0</v>
      </c>
      <c r="E132" s="13">
        <f>IF($F132=0,0,D132/$F132)</f>
        <v>0</v>
      </c>
      <c r="F132" s="12">
        <f>$F$128</f>
        <v>25</v>
      </c>
      <c r="G132" s="3" t="s">
        <v>1128</v>
      </c>
    </row>
    <row r="133" spans="1:7" ht="27.95" customHeight="1">
      <c r="A133" s="3" t="s">
        <v>1154</v>
      </c>
      <c r="B133" s="4" t="s">
        <v>1155</v>
      </c>
      <c r="C133" s="4" t="s">
        <v>519</v>
      </c>
      <c r="D133" s="18">
        <v>0</v>
      </c>
      <c r="E133" s="13">
        <f>IF($F133=0,0,D133/$F133)</f>
        <v>0</v>
      </c>
      <c r="F133" s="12">
        <f>$F$128</f>
        <v>25</v>
      </c>
      <c r="G133" s="3" t="s">
        <v>1128</v>
      </c>
    </row>
    <row r="134" spans="1:7" ht="27.95" customHeight="1">
      <c r="A134" s="3" t="s">
        <v>1154</v>
      </c>
      <c r="B134" s="4" t="s">
        <v>1155</v>
      </c>
      <c r="C134" s="4" t="s">
        <v>520</v>
      </c>
      <c r="D134" s="18">
        <v>0</v>
      </c>
      <c r="E134" s="13">
        <f>IF($F134=0,0,D134/$F134)</f>
        <v>0</v>
      </c>
      <c r="F134" s="12">
        <f>$F$128</f>
        <v>25</v>
      </c>
      <c r="G134" s="3" t="s">
        <v>1128</v>
      </c>
    </row>
    <row r="135" spans="1:7" ht="27.95" customHeight="1">
      <c r="A135" s="3" t="s">
        <v>1154</v>
      </c>
      <c r="B135" s="4" t="s">
        <v>1155</v>
      </c>
      <c r="C135" s="4" t="s">
        <v>438</v>
      </c>
      <c r="D135" s="18">
        <v>25</v>
      </c>
      <c r="E135" s="13">
        <f>IF($F135=0,0,D135/$F135)</f>
        <v>1</v>
      </c>
      <c r="F135" s="12">
        <f>$F$128</f>
        <v>25</v>
      </c>
      <c r="G135" s="3" t="s">
        <v>1128</v>
      </c>
    </row>
    <row r="136" spans="1:7" ht="27.95" customHeight="1">
      <c r="A136" s="3" t="s">
        <v>1156</v>
      </c>
      <c r="B136" s="4" t="s">
        <v>1157</v>
      </c>
      <c r="C136" s="4" t="s">
        <v>552</v>
      </c>
      <c r="D136" s="18">
        <v>0</v>
      </c>
      <c r="E136" s="13">
        <f>IF($F136=0,0,D136/$F136)</f>
        <v>0</v>
      </c>
      <c r="F136" s="18">
        <v>25</v>
      </c>
      <c r="G136" s="3" t="s">
        <v>1128</v>
      </c>
    </row>
    <row r="137" spans="1:7" ht="27.95" customHeight="1">
      <c r="A137" s="3" t="s">
        <v>1156</v>
      </c>
      <c r="B137" s="4" t="s">
        <v>1157</v>
      </c>
      <c r="C137" s="4" t="s">
        <v>547</v>
      </c>
      <c r="D137" s="18">
        <v>0</v>
      </c>
      <c r="E137" s="13">
        <f>IF($F137=0,0,D137/$F137)</f>
        <v>0</v>
      </c>
      <c r="F137" s="12">
        <f>$F$136</f>
        <v>25</v>
      </c>
      <c r="G137" s="3" t="s">
        <v>1128</v>
      </c>
    </row>
    <row r="138" spans="1:7" ht="27.95" customHeight="1">
      <c r="A138" s="3" t="s">
        <v>1156</v>
      </c>
      <c r="B138" s="4" t="s">
        <v>1157</v>
      </c>
      <c r="C138" s="4" t="s">
        <v>549</v>
      </c>
      <c r="D138" s="18">
        <v>1</v>
      </c>
      <c r="E138" s="13">
        <f>IF($F138=0,0,D138/$F138)</f>
        <v>0.04</v>
      </c>
      <c r="F138" s="12">
        <f>$F$136</f>
        <v>25</v>
      </c>
      <c r="G138" s="3" t="s">
        <v>1128</v>
      </c>
    </row>
    <row r="139" spans="1:7" ht="27.95" customHeight="1">
      <c r="A139" s="3" t="s">
        <v>1156</v>
      </c>
      <c r="B139" s="4" t="s">
        <v>1157</v>
      </c>
      <c r="C139" s="4" t="s">
        <v>551</v>
      </c>
      <c r="D139" s="18">
        <v>0</v>
      </c>
      <c r="E139" s="13">
        <f>IF($F139=0,0,D139/$F139)</f>
        <v>0</v>
      </c>
      <c r="F139" s="12">
        <f>$F$136</f>
        <v>25</v>
      </c>
      <c r="G139" s="3" t="s">
        <v>1128</v>
      </c>
    </row>
    <row r="140" spans="1:7" ht="27.95" customHeight="1">
      <c r="A140" s="3" t="s">
        <v>1156</v>
      </c>
      <c r="B140" s="4" t="s">
        <v>1157</v>
      </c>
      <c r="C140" s="4" t="s">
        <v>548</v>
      </c>
      <c r="D140" s="18">
        <v>0</v>
      </c>
      <c r="E140" s="13">
        <f>IF($F140=0,0,D140/$F140)</f>
        <v>0</v>
      </c>
      <c r="F140" s="12">
        <f>$F$136</f>
        <v>25</v>
      </c>
      <c r="G140" s="3" t="s">
        <v>1128</v>
      </c>
    </row>
    <row r="141" spans="1:7" ht="27.95" customHeight="1">
      <c r="A141" s="3" t="s">
        <v>1156</v>
      </c>
      <c r="B141" s="4" t="s">
        <v>1157</v>
      </c>
      <c r="C141" s="4" t="s">
        <v>550</v>
      </c>
      <c r="D141" s="18">
        <v>0</v>
      </c>
      <c r="E141" s="13">
        <f>IF($F141=0,0,D141/$F141)</f>
        <v>0</v>
      </c>
      <c r="F141" s="12">
        <f>$F$136</f>
        <v>25</v>
      </c>
      <c r="G141" s="3" t="s">
        <v>1128</v>
      </c>
    </row>
    <row r="142" spans="1:7" ht="27.95" customHeight="1">
      <c r="A142" s="3" t="s">
        <v>1156</v>
      </c>
      <c r="B142" s="4" t="s">
        <v>1157</v>
      </c>
      <c r="C142" s="4" t="s">
        <v>553</v>
      </c>
      <c r="D142" s="18">
        <v>0</v>
      </c>
      <c r="E142" s="13">
        <f>IF($F142=0,0,D142/$F142)</f>
        <v>0</v>
      </c>
      <c r="F142" s="12">
        <f>$F$136</f>
        <v>25</v>
      </c>
      <c r="G142" s="3" t="s">
        <v>1128</v>
      </c>
    </row>
    <row r="143" spans="1:7" ht="27.95" customHeight="1">
      <c r="A143" s="3" t="s">
        <v>1156</v>
      </c>
      <c r="B143" s="4" t="s">
        <v>1157</v>
      </c>
      <c r="C143" s="4" t="s">
        <v>544</v>
      </c>
      <c r="D143" s="18">
        <v>0</v>
      </c>
      <c r="E143" s="13">
        <f>IF($F143=0,0,D143/$F143)</f>
        <v>0</v>
      </c>
      <c r="F143" s="12">
        <f>$F$136</f>
        <v>25</v>
      </c>
      <c r="G143" s="3" t="s">
        <v>1128</v>
      </c>
    </row>
    <row r="144" spans="1:7" ht="27.95" customHeight="1">
      <c r="A144" s="3" t="s">
        <v>1156</v>
      </c>
      <c r="B144" s="4" t="s">
        <v>1157</v>
      </c>
      <c r="C144" s="4" t="s">
        <v>546</v>
      </c>
      <c r="D144" s="18">
        <v>0</v>
      </c>
      <c r="E144" s="13">
        <f>IF($F144=0,0,D144/$F144)</f>
        <v>0</v>
      </c>
      <c r="F144" s="12">
        <f>$F$136</f>
        <v>25</v>
      </c>
      <c r="G144" s="3" t="s">
        <v>1128</v>
      </c>
    </row>
    <row r="145" spans="1:7" ht="27.95" customHeight="1">
      <c r="A145" s="3" t="s">
        <v>1156</v>
      </c>
      <c r="B145" s="4" t="s">
        <v>1157</v>
      </c>
      <c r="C145" s="4" t="s">
        <v>545</v>
      </c>
      <c r="D145" s="18">
        <v>0</v>
      </c>
      <c r="E145" s="13">
        <f>IF($F145=0,0,D145/$F145)</f>
        <v>0</v>
      </c>
      <c r="F145" s="12">
        <f>$F$136</f>
        <v>25</v>
      </c>
      <c r="G145" s="3" t="s">
        <v>1128</v>
      </c>
    </row>
    <row r="146" spans="1:7" ht="27.95" customHeight="1">
      <c r="A146" s="3" t="s">
        <v>1156</v>
      </c>
      <c r="B146" s="4" t="s">
        <v>1157</v>
      </c>
      <c r="C146" s="4" t="s">
        <v>543</v>
      </c>
      <c r="D146" s="18">
        <v>4</v>
      </c>
      <c r="E146" s="13">
        <f>IF($F146=0,0,D146/$F146)</f>
        <v>0.16</v>
      </c>
      <c r="F146" s="12">
        <f>$F$136</f>
        <v>25</v>
      </c>
      <c r="G146" s="3" t="s">
        <v>1128</v>
      </c>
    </row>
    <row r="147" spans="1:7" ht="27.95" customHeight="1">
      <c r="A147" s="3" t="s">
        <v>1156</v>
      </c>
      <c r="B147" s="4" t="s">
        <v>1157</v>
      </c>
      <c r="C147" s="4" t="s">
        <v>437</v>
      </c>
      <c r="D147" s="18">
        <v>1</v>
      </c>
      <c r="E147" s="13">
        <f>IF($F147=0,0,D147/$F147)</f>
        <v>0.04</v>
      </c>
      <c r="F147" s="12">
        <f>$F$136</f>
        <v>25</v>
      </c>
      <c r="G147" s="3" t="s">
        <v>1128</v>
      </c>
    </row>
    <row r="148" spans="1:7" ht="27.95" customHeight="1">
      <c r="A148" s="3" t="s">
        <v>1156</v>
      </c>
      <c r="B148" s="4" t="s">
        <v>1157</v>
      </c>
      <c r="C148" s="4" t="s">
        <v>438</v>
      </c>
      <c r="D148" s="18">
        <v>20</v>
      </c>
      <c r="E148" s="13">
        <f>IF($F148=0,0,D148/$F148)</f>
        <v>0.8</v>
      </c>
      <c r="F148" s="12">
        <f>$F$136</f>
        <v>25</v>
      </c>
      <c r="G148" s="3" t="s">
        <v>1128</v>
      </c>
    </row>
    <row r="149" spans="1:7" ht="27.95" customHeight="1">
      <c r="A149" s="3" t="s">
        <v>393</v>
      </c>
      <c r="B149" s="4" t="s">
        <v>1167</v>
      </c>
      <c r="C149" s="4" t="s">
        <v>826</v>
      </c>
      <c r="D149" s="18">
        <v>3</v>
      </c>
      <c r="E149" s="13">
        <f>IF($F149=0,0,D149/$F149)</f>
        <v>0.12</v>
      </c>
      <c r="F149" s="18">
        <v>25</v>
      </c>
      <c r="G149" s="3" t="s">
        <v>1121</v>
      </c>
    </row>
    <row r="150" spans="1:7" ht="27.95" customHeight="1">
      <c r="A150" s="3" t="s">
        <v>393</v>
      </c>
      <c r="B150" s="4" t="s">
        <v>1167</v>
      </c>
      <c r="C150" s="4" t="s">
        <v>827</v>
      </c>
      <c r="D150" s="18">
        <v>10</v>
      </c>
      <c r="E150" s="13">
        <f>IF($F150=0,0,D150/$F150)</f>
        <v>0.4</v>
      </c>
      <c r="F150" s="12">
        <f>$F$149</f>
        <v>25</v>
      </c>
      <c r="G150" s="3" t="s">
        <v>1121</v>
      </c>
    </row>
    <row r="151" spans="1:7" ht="27.95" customHeight="1">
      <c r="A151" s="3" t="s">
        <v>393</v>
      </c>
      <c r="B151" s="4" t="s">
        <v>1167</v>
      </c>
      <c r="C151" s="4" t="s">
        <v>828</v>
      </c>
      <c r="D151" s="18">
        <v>4</v>
      </c>
      <c r="E151" s="13">
        <f>IF($F151=0,0,D151/$F151)</f>
        <v>0.16</v>
      </c>
      <c r="F151" s="12">
        <f>$F$149</f>
        <v>25</v>
      </c>
      <c r="G151" s="3" t="s">
        <v>1121</v>
      </c>
    </row>
    <row r="152" spans="1:7" ht="27.95" customHeight="1">
      <c r="A152" s="3" t="s">
        <v>393</v>
      </c>
      <c r="B152" s="4" t="s">
        <v>1167</v>
      </c>
      <c r="C152" s="4" t="s">
        <v>829</v>
      </c>
      <c r="D152" s="18">
        <v>1</v>
      </c>
      <c r="E152" s="13">
        <f>IF($F152=0,0,D152/$F152)</f>
        <v>0.04</v>
      </c>
      <c r="F152" s="12">
        <f>$F$149</f>
        <v>25</v>
      </c>
      <c r="G152" s="3" t="s">
        <v>1121</v>
      </c>
    </row>
    <row r="153" spans="1:7" ht="27.95" customHeight="1">
      <c r="A153" s="3" t="s">
        <v>393</v>
      </c>
      <c r="B153" s="4" t="s">
        <v>1167</v>
      </c>
      <c r="C153" s="4" t="s">
        <v>613</v>
      </c>
      <c r="D153" s="18">
        <v>1</v>
      </c>
      <c r="E153" s="13">
        <f>IF($F153=0,0,D153/$F153)</f>
        <v>0.04</v>
      </c>
      <c r="F153" s="12">
        <f>$F$149</f>
        <v>25</v>
      </c>
      <c r="G153" s="3" t="s">
        <v>1121</v>
      </c>
    </row>
    <row r="154" spans="1:7" ht="27.95" customHeight="1">
      <c r="A154" s="3" t="s">
        <v>393</v>
      </c>
      <c r="B154" s="4" t="s">
        <v>1167</v>
      </c>
      <c r="C154" s="4" t="s">
        <v>614</v>
      </c>
      <c r="D154" s="18">
        <v>5</v>
      </c>
      <c r="E154" s="13">
        <f>IF($F154=0,0,D154/$F154)</f>
        <v>0.2</v>
      </c>
      <c r="F154" s="12">
        <f>$F$149</f>
        <v>25</v>
      </c>
      <c r="G154" s="3" t="s">
        <v>1121</v>
      </c>
    </row>
    <row r="155" spans="1:7" ht="27.95" customHeight="1">
      <c r="A155" s="3" t="s">
        <v>393</v>
      </c>
      <c r="B155" s="4" t="s">
        <v>1167</v>
      </c>
      <c r="C155" s="4" t="s">
        <v>611</v>
      </c>
      <c r="D155" s="18">
        <v>0</v>
      </c>
      <c r="E155" s="13">
        <f>IF($F155=0,0,D155/$F155)</f>
        <v>0</v>
      </c>
      <c r="F155" s="12">
        <f>$F$149</f>
        <v>25</v>
      </c>
      <c r="G155" s="3" t="s">
        <v>1121</v>
      </c>
    </row>
    <row r="156" spans="1:7" ht="27.95" customHeight="1">
      <c r="A156" s="3" t="s">
        <v>393</v>
      </c>
      <c r="B156" s="4" t="s">
        <v>1167</v>
      </c>
      <c r="C156" s="4" t="s">
        <v>612</v>
      </c>
      <c r="D156" s="18">
        <v>0</v>
      </c>
      <c r="E156" s="13">
        <f>IF($F156=0,0,D156/$F156)</f>
        <v>0</v>
      </c>
      <c r="F156" s="12">
        <f>$F$149</f>
        <v>25</v>
      </c>
      <c r="G156" s="3" t="s">
        <v>1121</v>
      </c>
    </row>
    <row r="157" spans="1:7" ht="27.95" customHeight="1">
      <c r="A157" s="3" t="s">
        <v>393</v>
      </c>
      <c r="B157" s="4" t="s">
        <v>1167</v>
      </c>
      <c r="C157" s="4" t="s">
        <v>437</v>
      </c>
      <c r="D157" s="18">
        <v>1</v>
      </c>
      <c r="E157" s="13">
        <f>IF($F157=0,0,D157/$F157)</f>
        <v>0.04</v>
      </c>
      <c r="F157" s="12">
        <f>$F$149</f>
        <v>25</v>
      </c>
      <c r="G157" s="3" t="s">
        <v>1121</v>
      </c>
    </row>
    <row r="158" spans="1:7" ht="27.95" customHeight="1">
      <c r="A158" s="3" t="s">
        <v>393</v>
      </c>
      <c r="B158" s="4" t="s">
        <v>1167</v>
      </c>
      <c r="C158" s="4" t="s">
        <v>438</v>
      </c>
      <c r="D158" s="18">
        <v>0</v>
      </c>
      <c r="E158" s="13">
        <f>IF($F158=0,0,D158/$F158)</f>
        <v>0</v>
      </c>
      <c r="F158" s="12">
        <f>$F$149</f>
        <v>25</v>
      </c>
      <c r="G158" s="3" t="s">
        <v>1121</v>
      </c>
    </row>
    <row r="159" spans="1:7" ht="40.5" customHeight="1">
      <c r="A159" s="3" t="s">
        <v>396</v>
      </c>
      <c r="B159" s="4" t="s">
        <v>1204</v>
      </c>
      <c r="C159" s="4" t="s">
        <v>831</v>
      </c>
      <c r="D159" s="18">
        <v>16</v>
      </c>
      <c r="E159" s="13">
        <f>IF($F159=0,0,D159/$F159)</f>
        <v>0.64</v>
      </c>
      <c r="F159" s="18">
        <v>25</v>
      </c>
      <c r="G159" s="3" t="s">
        <v>1128</v>
      </c>
    </row>
    <row r="160" spans="1:7" ht="40.5" customHeight="1">
      <c r="A160" s="3" t="s">
        <v>396</v>
      </c>
      <c r="B160" s="4" t="s">
        <v>1204</v>
      </c>
      <c r="C160" s="4" t="s">
        <v>832</v>
      </c>
      <c r="D160" s="18">
        <v>10</v>
      </c>
      <c r="E160" s="13">
        <f>IF($F160=0,0,D160/$F160)</f>
        <v>0.4</v>
      </c>
      <c r="F160" s="12">
        <f>$F$159</f>
        <v>25</v>
      </c>
      <c r="G160" s="3" t="s">
        <v>1128</v>
      </c>
    </row>
    <row r="161" spans="1:7" ht="40.5" customHeight="1">
      <c r="A161" s="3" t="s">
        <v>396</v>
      </c>
      <c r="B161" s="4" t="s">
        <v>1204</v>
      </c>
      <c r="C161" s="4" t="s">
        <v>833</v>
      </c>
      <c r="D161" s="18">
        <v>4</v>
      </c>
      <c r="E161" s="13">
        <f>IF($F161=0,0,D161/$F161)</f>
        <v>0.16</v>
      </c>
      <c r="F161" s="12">
        <f>$F$159</f>
        <v>25</v>
      </c>
      <c r="G161" s="3" t="s">
        <v>1128</v>
      </c>
    </row>
    <row r="162" spans="1:7" ht="40.5" customHeight="1">
      <c r="A162" s="3" t="s">
        <v>396</v>
      </c>
      <c r="B162" s="4" t="s">
        <v>1204</v>
      </c>
      <c r="C162" s="4" t="s">
        <v>835</v>
      </c>
      <c r="D162" s="18">
        <v>1</v>
      </c>
      <c r="E162" s="13">
        <f>IF($F162=0,0,D162/$F162)</f>
        <v>0.04</v>
      </c>
      <c r="F162" s="12">
        <f>$F$159</f>
        <v>25</v>
      </c>
      <c r="G162" s="3" t="s">
        <v>1128</v>
      </c>
    </row>
    <row r="163" spans="1:7" ht="40.5" customHeight="1">
      <c r="A163" s="3" t="s">
        <v>396</v>
      </c>
      <c r="B163" s="4" t="s">
        <v>1204</v>
      </c>
      <c r="C163" s="4" t="s">
        <v>836</v>
      </c>
      <c r="D163" s="18">
        <v>1</v>
      </c>
      <c r="E163" s="13">
        <f>IF($F163=0,0,D163/$F163)</f>
        <v>0.04</v>
      </c>
      <c r="F163" s="12">
        <f>$F$159</f>
        <v>25</v>
      </c>
      <c r="G163" s="3" t="s">
        <v>1128</v>
      </c>
    </row>
    <row r="164" spans="1:7" ht="40.5" customHeight="1">
      <c r="A164" s="3" t="s">
        <v>396</v>
      </c>
      <c r="B164" s="4" t="s">
        <v>1204</v>
      </c>
      <c r="C164" s="4" t="s">
        <v>834</v>
      </c>
      <c r="D164" s="18">
        <v>2</v>
      </c>
      <c r="E164" s="13">
        <f>IF($F164=0,0,D164/$F164)</f>
        <v>0.08</v>
      </c>
      <c r="F164" s="12">
        <f>$F$159</f>
        <v>25</v>
      </c>
      <c r="G164" s="3" t="s">
        <v>1128</v>
      </c>
    </row>
    <row r="165" spans="1:7" ht="40.5" customHeight="1">
      <c r="A165" s="3" t="s">
        <v>396</v>
      </c>
      <c r="B165" s="4" t="s">
        <v>1204</v>
      </c>
      <c r="C165" s="4" t="s">
        <v>437</v>
      </c>
      <c r="D165" s="18">
        <v>0</v>
      </c>
      <c r="E165" s="13">
        <f>IF($F165=0,0,D165/$F165)</f>
        <v>0</v>
      </c>
      <c r="F165" s="12">
        <f>$F$159</f>
        <v>25</v>
      </c>
      <c r="G165" s="3" t="s">
        <v>1128</v>
      </c>
    </row>
    <row r="166" spans="1:7" ht="40.5" customHeight="1">
      <c r="A166" s="3" t="s">
        <v>396</v>
      </c>
      <c r="B166" s="4" t="s">
        <v>1204</v>
      </c>
      <c r="C166" s="4" t="s">
        <v>604</v>
      </c>
      <c r="D166" s="18">
        <v>1</v>
      </c>
      <c r="E166" s="13">
        <f>IF($F166=0,0,D166/$F166)</f>
        <v>0.04</v>
      </c>
      <c r="F166" s="12">
        <f>$F$159</f>
        <v>25</v>
      </c>
      <c r="G166" s="3" t="s">
        <v>1128</v>
      </c>
    </row>
    <row r="167" spans="1:7" ht="40.5" customHeight="1">
      <c r="A167" s="3" t="s">
        <v>396</v>
      </c>
      <c r="B167" s="4" t="s">
        <v>1204</v>
      </c>
      <c r="C167" s="4" t="s">
        <v>438</v>
      </c>
      <c r="D167" s="18">
        <v>7</v>
      </c>
      <c r="E167" s="13">
        <f>IF($F167=0,0,D167/$F167)</f>
        <v>0.28000000000000003</v>
      </c>
      <c r="F167" s="12">
        <f>$F$159</f>
        <v>25</v>
      </c>
      <c r="G167" s="3" t="s">
        <v>1128</v>
      </c>
    </row>
    <row r="168" spans="1:7" ht="40.5" customHeight="1">
      <c r="A168" s="3" t="s">
        <v>1160</v>
      </c>
      <c r="B168" s="4" t="s">
        <v>1205</v>
      </c>
      <c r="C168" s="4" t="s">
        <v>838</v>
      </c>
      <c r="D168" s="18">
        <v>13</v>
      </c>
      <c r="E168" s="13">
        <f>IF($F168=0,0,D168/$F168)</f>
        <v>0.52</v>
      </c>
      <c r="F168" s="18">
        <v>25</v>
      </c>
      <c r="G168" s="3" t="s">
        <v>1121</v>
      </c>
    </row>
    <row r="169" spans="1:7" ht="40.5" customHeight="1">
      <c r="A169" s="3" t="s">
        <v>1160</v>
      </c>
      <c r="B169" s="4" t="s">
        <v>1205</v>
      </c>
      <c r="C169" s="4" t="s">
        <v>839</v>
      </c>
      <c r="D169" s="18">
        <v>2</v>
      </c>
      <c r="E169" s="13">
        <f>IF($F169=0,0,D169/$F169)</f>
        <v>0.08</v>
      </c>
      <c r="F169" s="12">
        <f>$F$168</f>
        <v>25</v>
      </c>
      <c r="G169" s="3" t="s">
        <v>1121</v>
      </c>
    </row>
    <row r="170" spans="1:7" ht="40.5" customHeight="1">
      <c r="A170" s="3" t="s">
        <v>1160</v>
      </c>
      <c r="B170" s="4" t="s">
        <v>1205</v>
      </c>
      <c r="C170" s="4" t="s">
        <v>840</v>
      </c>
      <c r="D170" s="18">
        <v>0</v>
      </c>
      <c r="E170" s="13">
        <f>IF($F170=0,0,D170/$F170)</f>
        <v>0</v>
      </c>
      <c r="F170" s="12">
        <f>$F$168</f>
        <v>25</v>
      </c>
      <c r="G170" s="3" t="s">
        <v>1121</v>
      </c>
    </row>
    <row r="171" spans="1:7" ht="40.5" customHeight="1">
      <c r="A171" s="3" t="s">
        <v>1160</v>
      </c>
      <c r="B171" s="4" t="s">
        <v>1205</v>
      </c>
      <c r="C171" s="4" t="s">
        <v>841</v>
      </c>
      <c r="D171" s="18">
        <v>0</v>
      </c>
      <c r="E171" s="13">
        <f>IF($F171=0,0,D171/$F171)</f>
        <v>0</v>
      </c>
      <c r="F171" s="12">
        <f>$F$168</f>
        <v>25</v>
      </c>
      <c r="G171" s="3" t="s">
        <v>1121</v>
      </c>
    </row>
    <row r="172" spans="1:7" ht="40.5" customHeight="1">
      <c r="A172" s="3" t="s">
        <v>1160</v>
      </c>
      <c r="B172" s="4" t="s">
        <v>1205</v>
      </c>
      <c r="C172" s="4" t="s">
        <v>842</v>
      </c>
      <c r="D172" s="18">
        <v>1</v>
      </c>
      <c r="E172" s="13">
        <f>IF($F172=0,0,D172/$F172)</f>
        <v>0.04</v>
      </c>
      <c r="F172" s="12">
        <f>$F$168</f>
        <v>25</v>
      </c>
      <c r="G172" s="3" t="s">
        <v>1121</v>
      </c>
    </row>
    <row r="173" spans="1:7" ht="40.5" customHeight="1">
      <c r="A173" s="3" t="s">
        <v>1160</v>
      </c>
      <c r="B173" s="4" t="s">
        <v>1205</v>
      </c>
      <c r="C173" s="4" t="s">
        <v>437</v>
      </c>
      <c r="D173" s="18">
        <v>0</v>
      </c>
      <c r="E173" s="13">
        <f>IF($F173=0,0,D173/$F173)</f>
        <v>0</v>
      </c>
      <c r="F173" s="12">
        <f>$F$168</f>
        <v>25</v>
      </c>
      <c r="G173" s="3" t="s">
        <v>1121</v>
      </c>
    </row>
    <row r="174" spans="1:7" ht="40.5" customHeight="1">
      <c r="A174" s="3" t="s">
        <v>1160</v>
      </c>
      <c r="B174" s="4" t="s">
        <v>1205</v>
      </c>
      <c r="C174" s="4" t="s">
        <v>442</v>
      </c>
      <c r="D174" s="18">
        <v>1</v>
      </c>
      <c r="E174" s="13">
        <f>IF($F174=0,0,D174/$F174)</f>
        <v>0.04</v>
      </c>
      <c r="F174" s="12">
        <f>$F$168</f>
        <v>25</v>
      </c>
      <c r="G174" s="3" t="s">
        <v>1121</v>
      </c>
    </row>
    <row r="175" spans="1:7" ht="40.5" customHeight="1">
      <c r="A175" s="3" t="s">
        <v>1160</v>
      </c>
      <c r="B175" s="4" t="s">
        <v>1205</v>
      </c>
      <c r="C175" s="4" t="s">
        <v>438</v>
      </c>
      <c r="D175" s="18">
        <v>8</v>
      </c>
      <c r="E175" s="13">
        <f>IF($F175=0,0,D175/$F175)</f>
        <v>0.32</v>
      </c>
      <c r="F175" s="12">
        <f>$F$168</f>
        <v>25</v>
      </c>
      <c r="G175" s="3" t="s">
        <v>1121</v>
      </c>
    </row>
    <row r="176" spans="1:7" ht="40.5" customHeight="1">
      <c r="A176" s="3" t="s">
        <v>1162</v>
      </c>
      <c r="B176" s="4" t="s">
        <v>1206</v>
      </c>
      <c r="C176" s="4" t="s">
        <v>844</v>
      </c>
      <c r="D176" s="18">
        <v>0</v>
      </c>
      <c r="E176" s="13">
        <f>IF($F176=0,0,D176/$F176)</f>
        <v>0</v>
      </c>
      <c r="F176" s="18">
        <v>25</v>
      </c>
      <c r="G176" s="3" t="s">
        <v>1121</v>
      </c>
    </row>
    <row r="177" spans="1:7" ht="40.5" customHeight="1">
      <c r="A177" s="3" t="s">
        <v>1162</v>
      </c>
      <c r="B177" s="4" t="s">
        <v>1206</v>
      </c>
      <c r="C177" s="4" t="s">
        <v>845</v>
      </c>
      <c r="D177" s="18">
        <v>1</v>
      </c>
      <c r="E177" s="13">
        <f>IF($F177=0,0,D177/$F177)</f>
        <v>0.04</v>
      </c>
      <c r="F177" s="12">
        <f>$F$176</f>
        <v>25</v>
      </c>
      <c r="G177" s="3" t="s">
        <v>1121</v>
      </c>
    </row>
    <row r="178" spans="1:7" ht="40.5" customHeight="1">
      <c r="A178" s="3" t="s">
        <v>1162</v>
      </c>
      <c r="B178" s="4" t="s">
        <v>1206</v>
      </c>
      <c r="C178" s="4" t="s">
        <v>846</v>
      </c>
      <c r="D178" s="18">
        <v>0</v>
      </c>
      <c r="E178" s="13">
        <f>IF($F178=0,0,D178/$F178)</f>
        <v>0</v>
      </c>
      <c r="F178" s="12">
        <f>$F$176</f>
        <v>25</v>
      </c>
      <c r="G178" s="3" t="s">
        <v>1121</v>
      </c>
    </row>
    <row r="179" spans="1:7" ht="40.5" customHeight="1">
      <c r="A179" s="3" t="s">
        <v>1162</v>
      </c>
      <c r="B179" s="4" t="s">
        <v>1206</v>
      </c>
      <c r="C179" s="4" t="s">
        <v>847</v>
      </c>
      <c r="D179" s="18">
        <v>9</v>
      </c>
      <c r="E179" s="13">
        <f>IF($F179=0,0,D179/$F179)</f>
        <v>0.36</v>
      </c>
      <c r="F179" s="12">
        <f>$F$176</f>
        <v>25</v>
      </c>
      <c r="G179" s="3" t="s">
        <v>1121</v>
      </c>
    </row>
    <row r="180" spans="1:7" ht="40.5" customHeight="1">
      <c r="A180" s="3" t="s">
        <v>1162</v>
      </c>
      <c r="B180" s="4" t="s">
        <v>1206</v>
      </c>
      <c r="C180" s="4" t="s">
        <v>848</v>
      </c>
      <c r="D180" s="18">
        <v>0</v>
      </c>
      <c r="E180" s="13">
        <f>IF($F180=0,0,D180/$F180)</f>
        <v>0</v>
      </c>
      <c r="F180" s="12">
        <f>$F$176</f>
        <v>25</v>
      </c>
      <c r="G180" s="3" t="s">
        <v>1121</v>
      </c>
    </row>
    <row r="181" spans="1:7" ht="40.5" customHeight="1">
      <c r="A181" s="3" t="s">
        <v>1162</v>
      </c>
      <c r="B181" s="4" t="s">
        <v>1206</v>
      </c>
      <c r="C181" s="4" t="s">
        <v>849</v>
      </c>
      <c r="D181" s="18">
        <v>1</v>
      </c>
      <c r="E181" s="13">
        <f>IF($F181=0,0,D181/$F181)</f>
        <v>0.04</v>
      </c>
      <c r="F181" s="12">
        <f>$F$176</f>
        <v>25</v>
      </c>
      <c r="G181" s="3" t="s">
        <v>1121</v>
      </c>
    </row>
    <row r="182" spans="1:7" ht="40.5" customHeight="1">
      <c r="A182" s="3" t="s">
        <v>1162</v>
      </c>
      <c r="B182" s="4" t="s">
        <v>1206</v>
      </c>
      <c r="C182" s="4" t="s">
        <v>842</v>
      </c>
      <c r="D182" s="18">
        <v>0</v>
      </c>
      <c r="E182" s="13">
        <f>IF($F182=0,0,D182/$F182)</f>
        <v>0</v>
      </c>
      <c r="F182" s="12">
        <f>$F$176</f>
        <v>25</v>
      </c>
      <c r="G182" s="3" t="s">
        <v>1121</v>
      </c>
    </row>
    <row r="183" spans="1:7" ht="40.5" customHeight="1">
      <c r="A183" s="3" t="s">
        <v>1162</v>
      </c>
      <c r="B183" s="4" t="s">
        <v>1206</v>
      </c>
      <c r="C183" s="4" t="s">
        <v>437</v>
      </c>
      <c r="D183" s="18">
        <v>0</v>
      </c>
      <c r="E183" s="13">
        <f>IF($F183=0,0,D183/$F183)</f>
        <v>0</v>
      </c>
      <c r="F183" s="12">
        <f>$F$176</f>
        <v>25</v>
      </c>
      <c r="G183" s="3" t="s">
        <v>1121</v>
      </c>
    </row>
    <row r="184" spans="1:7" ht="40.5" customHeight="1">
      <c r="A184" s="3" t="s">
        <v>1162</v>
      </c>
      <c r="B184" s="4" t="s">
        <v>1206</v>
      </c>
      <c r="C184" s="4" t="s">
        <v>442</v>
      </c>
      <c r="D184" s="18">
        <v>8</v>
      </c>
      <c r="E184" s="13">
        <f>IF($F184=0,0,D184/$F184)</f>
        <v>0.32</v>
      </c>
      <c r="F184" s="12">
        <f>$F$176</f>
        <v>25</v>
      </c>
      <c r="G184" s="3" t="s">
        <v>1121</v>
      </c>
    </row>
    <row r="185" spans="1:7" ht="40.5" customHeight="1">
      <c r="A185" s="3" t="s">
        <v>1162</v>
      </c>
      <c r="B185" s="4" t="s">
        <v>1206</v>
      </c>
      <c r="C185" s="4" t="s">
        <v>438</v>
      </c>
      <c r="D185" s="18">
        <v>6</v>
      </c>
      <c r="E185" s="13">
        <f>IF($F185=0,0,D185/$F185)</f>
        <v>0.24</v>
      </c>
      <c r="F185" s="12">
        <f>$F$176</f>
        <v>25</v>
      </c>
      <c r="G185" s="3" t="s">
        <v>1121</v>
      </c>
    </row>
    <row r="186" spans="1:7" ht="40.5" customHeight="1">
      <c r="A186" s="3" t="s">
        <v>1164</v>
      </c>
      <c r="B186" s="4" t="s">
        <v>1207</v>
      </c>
      <c r="C186" s="4" t="s">
        <v>624</v>
      </c>
      <c r="D186" s="18">
        <v>0</v>
      </c>
      <c r="E186" s="13">
        <f>IF($F186=0,0,D186/$F186)</f>
        <v>0</v>
      </c>
      <c r="F186" s="18">
        <v>25</v>
      </c>
      <c r="G186" s="3" t="s">
        <v>1121</v>
      </c>
    </row>
    <row r="187" spans="1:7" ht="40.5" customHeight="1">
      <c r="A187" s="3" t="s">
        <v>1164</v>
      </c>
      <c r="B187" s="4" t="s">
        <v>1207</v>
      </c>
      <c r="C187" s="4" t="s">
        <v>625</v>
      </c>
      <c r="D187" s="18">
        <v>7</v>
      </c>
      <c r="E187" s="13">
        <f>IF($F187=0,0,D187/$F187)</f>
        <v>0.28000000000000003</v>
      </c>
      <c r="F187" s="12">
        <f>$F$186</f>
        <v>25</v>
      </c>
      <c r="G187" s="3" t="s">
        <v>1121</v>
      </c>
    </row>
    <row r="188" spans="1:7" ht="40.5" customHeight="1">
      <c r="A188" s="3" t="s">
        <v>1164</v>
      </c>
      <c r="B188" s="4" t="s">
        <v>1207</v>
      </c>
      <c r="C188" s="4" t="s">
        <v>442</v>
      </c>
      <c r="D188" s="18">
        <v>0</v>
      </c>
      <c r="E188" s="13">
        <f>IF($F188=0,0,D188/$F188)</f>
        <v>0</v>
      </c>
      <c r="F188" s="12">
        <f>$F$186</f>
        <v>25</v>
      </c>
      <c r="G188" s="3" t="s">
        <v>1121</v>
      </c>
    </row>
    <row r="189" spans="1:7" ht="40.5" customHeight="1">
      <c r="A189" s="3" t="s">
        <v>1164</v>
      </c>
      <c r="B189" s="4" t="s">
        <v>1207</v>
      </c>
      <c r="C189" s="4" t="s">
        <v>438</v>
      </c>
      <c r="D189" s="18">
        <v>18</v>
      </c>
      <c r="E189" s="13">
        <f>IF($F189=0,0,D189/$F189)</f>
        <v>0.72</v>
      </c>
      <c r="F189" s="12">
        <f>$F$186</f>
        <v>25</v>
      </c>
      <c r="G189" s="3" t="s">
        <v>1121</v>
      </c>
    </row>
    <row r="190" spans="1:7" ht="40.5" customHeight="1">
      <c r="A190" s="3" t="s">
        <v>399</v>
      </c>
      <c r="B190" s="4" t="s">
        <v>1208</v>
      </c>
      <c r="C190" s="4" t="s">
        <v>629</v>
      </c>
      <c r="D190" s="18">
        <v>0</v>
      </c>
      <c r="E190" s="13">
        <f>IF($F190=0,0,D190/$F190)</f>
        <v>0</v>
      </c>
      <c r="F190" s="18">
        <v>25</v>
      </c>
      <c r="G190" s="3" t="s">
        <v>1121</v>
      </c>
    </row>
    <row r="191" spans="1:7" ht="40.5" customHeight="1">
      <c r="A191" s="3" t="s">
        <v>399</v>
      </c>
      <c r="B191" s="4" t="s">
        <v>1208</v>
      </c>
      <c r="C191" s="4" t="s">
        <v>630</v>
      </c>
      <c r="D191" s="18">
        <v>0</v>
      </c>
      <c r="E191" s="13">
        <f>IF($F191=0,0,D191/$F191)</f>
        <v>0</v>
      </c>
      <c r="F191" s="12">
        <f>$F$190</f>
        <v>25</v>
      </c>
      <c r="G191" s="3" t="s">
        <v>1121</v>
      </c>
    </row>
    <row r="192" spans="1:7" ht="40.5" customHeight="1">
      <c r="A192" s="3" t="s">
        <v>399</v>
      </c>
      <c r="B192" s="4" t="s">
        <v>1208</v>
      </c>
      <c r="C192" s="4" t="s">
        <v>438</v>
      </c>
      <c r="D192" s="18">
        <v>25</v>
      </c>
      <c r="E192" s="13">
        <f>IF($F192=0,0,D192/$F192)</f>
        <v>1</v>
      </c>
      <c r="F192" s="12">
        <f>$F$190</f>
        <v>25</v>
      </c>
      <c r="G192" s="3" t="s">
        <v>1121</v>
      </c>
    </row>
    <row r="193" spans="1:7" ht="27.95" customHeight="1">
      <c r="A193" s="3" t="s">
        <v>402</v>
      </c>
      <c r="B193" s="4" t="s">
        <v>1158</v>
      </c>
      <c r="C193" s="4" t="s">
        <v>556</v>
      </c>
      <c r="D193" s="18">
        <v>22</v>
      </c>
      <c r="E193" s="13">
        <f>IF($F193=0,0,D193/$F193)</f>
        <v>0.88</v>
      </c>
      <c r="F193" s="18">
        <v>25</v>
      </c>
      <c r="G193" s="3" t="s">
        <v>1121</v>
      </c>
    </row>
    <row r="194" spans="1:7" ht="27.95" customHeight="1">
      <c r="A194" s="3" t="s">
        <v>402</v>
      </c>
      <c r="B194" s="4" t="s">
        <v>1158</v>
      </c>
      <c r="C194" s="4" t="s">
        <v>557</v>
      </c>
      <c r="D194" s="18">
        <v>3</v>
      </c>
      <c r="E194" s="13">
        <f>IF($F194=0,0,D194/$F194)</f>
        <v>0.12</v>
      </c>
      <c r="F194" s="12">
        <f>$F$193</f>
        <v>25</v>
      </c>
      <c r="G194" s="3" t="s">
        <v>1121</v>
      </c>
    </row>
    <row r="195" spans="1:7" ht="27.95" customHeight="1">
      <c r="A195" s="3" t="s">
        <v>402</v>
      </c>
      <c r="B195" s="4" t="s">
        <v>1158</v>
      </c>
      <c r="C195" s="4" t="s">
        <v>558</v>
      </c>
      <c r="D195" s="18">
        <v>0</v>
      </c>
      <c r="E195" s="13">
        <f>IF($F195=0,0,D195/$F195)</f>
        <v>0</v>
      </c>
      <c r="F195" s="12">
        <f>$F$193</f>
        <v>25</v>
      </c>
      <c r="G195" s="3" t="s">
        <v>1121</v>
      </c>
    </row>
    <row r="196" spans="1:7" ht="27.95" customHeight="1">
      <c r="A196" s="3" t="s">
        <v>402</v>
      </c>
      <c r="B196" s="4" t="s">
        <v>1158</v>
      </c>
      <c r="C196" s="4" t="s">
        <v>559</v>
      </c>
      <c r="D196" s="18">
        <v>0</v>
      </c>
      <c r="E196" s="13">
        <f>IF($F196=0,0,D196/$F196)</f>
        <v>0</v>
      </c>
      <c r="F196" s="12">
        <f>$F$193</f>
        <v>25</v>
      </c>
      <c r="G196" s="3" t="s">
        <v>1121</v>
      </c>
    </row>
    <row r="197" spans="1:7" ht="27.95" customHeight="1">
      <c r="A197" s="3" t="s">
        <v>402</v>
      </c>
      <c r="B197" s="4" t="s">
        <v>1158</v>
      </c>
      <c r="C197" s="4" t="s">
        <v>437</v>
      </c>
      <c r="D197" s="18">
        <v>0</v>
      </c>
      <c r="E197" s="13">
        <f>IF($F197=0,0,D197/$F197)</f>
        <v>0</v>
      </c>
      <c r="F197" s="12">
        <f>$F$193</f>
        <v>25</v>
      </c>
      <c r="G197" s="3" t="s">
        <v>1121</v>
      </c>
    </row>
    <row r="198" spans="1:7" ht="27.95" customHeight="1">
      <c r="A198" s="3" t="s">
        <v>402</v>
      </c>
      <c r="B198" s="4" t="s">
        <v>1158</v>
      </c>
      <c r="C198" s="4" t="s">
        <v>438</v>
      </c>
      <c r="D198" s="18">
        <v>0</v>
      </c>
      <c r="E198" s="13">
        <f>IF($F198=0,0,D198/$F198)</f>
        <v>0</v>
      </c>
      <c r="F198" s="12">
        <f>$F$193</f>
        <v>25</v>
      </c>
      <c r="G198" s="3" t="s">
        <v>1121</v>
      </c>
    </row>
    <row r="199" spans="1:7" ht="27.95" customHeight="1">
      <c r="A199" s="3" t="s">
        <v>1168</v>
      </c>
      <c r="B199" s="4" t="s">
        <v>1159</v>
      </c>
      <c r="C199" s="4" t="s">
        <v>564</v>
      </c>
      <c r="D199" s="18">
        <v>8</v>
      </c>
      <c r="E199" s="13">
        <f>IF($F199=0,0,D199/$F199)</f>
        <v>0.32</v>
      </c>
      <c r="F199" s="18">
        <v>25</v>
      </c>
      <c r="G199" s="3" t="s">
        <v>1128</v>
      </c>
    </row>
    <row r="200" spans="1:7" ht="27.95" customHeight="1">
      <c r="A200" s="3" t="s">
        <v>1168</v>
      </c>
      <c r="B200" s="4" t="s">
        <v>1159</v>
      </c>
      <c r="C200" s="4" t="s">
        <v>565</v>
      </c>
      <c r="D200" s="18">
        <v>10</v>
      </c>
      <c r="E200" s="13">
        <f>IF($F200=0,0,D200/$F200)</f>
        <v>0.4</v>
      </c>
      <c r="F200" s="12">
        <f>$F$199</f>
        <v>25</v>
      </c>
      <c r="G200" s="3" t="s">
        <v>1128</v>
      </c>
    </row>
    <row r="201" spans="1:7" ht="27.95" customHeight="1">
      <c r="A201" s="3" t="s">
        <v>1168</v>
      </c>
      <c r="B201" s="4" t="s">
        <v>1159</v>
      </c>
      <c r="C201" s="4" t="s">
        <v>563</v>
      </c>
      <c r="D201" s="18">
        <v>11</v>
      </c>
      <c r="E201" s="13">
        <f>IF($F201=0,0,D201/$F201)</f>
        <v>0.44</v>
      </c>
      <c r="F201" s="12">
        <f>$F$199</f>
        <v>25</v>
      </c>
      <c r="G201" s="3" t="s">
        <v>1128</v>
      </c>
    </row>
    <row r="202" spans="1:7" ht="27.95" customHeight="1">
      <c r="A202" s="3" t="s">
        <v>1168</v>
      </c>
      <c r="B202" s="4" t="s">
        <v>1159</v>
      </c>
      <c r="C202" s="4" t="s">
        <v>570</v>
      </c>
      <c r="D202" s="18">
        <v>4</v>
      </c>
      <c r="E202" s="13">
        <f>IF($F202=0,0,D202/$F202)</f>
        <v>0.16</v>
      </c>
      <c r="F202" s="12">
        <f>$F$199</f>
        <v>25</v>
      </c>
      <c r="G202" s="3" t="s">
        <v>1128</v>
      </c>
    </row>
    <row r="203" spans="1:7" ht="27.95" customHeight="1">
      <c r="A203" s="3" t="s">
        <v>1168</v>
      </c>
      <c r="B203" s="4" t="s">
        <v>1159</v>
      </c>
      <c r="C203" s="4" t="s">
        <v>562</v>
      </c>
      <c r="D203" s="18">
        <v>12</v>
      </c>
      <c r="E203" s="13">
        <f>IF($F203=0,0,D203/$F203)</f>
        <v>0.48</v>
      </c>
      <c r="F203" s="12">
        <f>$F$199</f>
        <v>25</v>
      </c>
      <c r="G203" s="3" t="s">
        <v>1128</v>
      </c>
    </row>
    <row r="204" spans="1:7" ht="27.95" customHeight="1">
      <c r="A204" s="3" t="s">
        <v>1168</v>
      </c>
      <c r="B204" s="4" t="s">
        <v>1159</v>
      </c>
      <c r="C204" s="4" t="s">
        <v>567</v>
      </c>
      <c r="D204" s="18">
        <v>9</v>
      </c>
      <c r="E204" s="13">
        <f>IF($F204=0,0,D204/$F204)</f>
        <v>0.36</v>
      </c>
      <c r="F204" s="12">
        <f>$F$199</f>
        <v>25</v>
      </c>
      <c r="G204" s="3" t="s">
        <v>1128</v>
      </c>
    </row>
    <row r="205" spans="1:7" ht="27.95" customHeight="1">
      <c r="A205" s="3" t="s">
        <v>1168</v>
      </c>
      <c r="B205" s="4" t="s">
        <v>1159</v>
      </c>
      <c r="C205" s="4" t="s">
        <v>568</v>
      </c>
      <c r="D205" s="18">
        <v>4</v>
      </c>
      <c r="E205" s="13">
        <f>IF($F205=0,0,D205/$F205)</f>
        <v>0.16</v>
      </c>
      <c r="F205" s="12">
        <f>$F$199</f>
        <v>25</v>
      </c>
      <c r="G205" s="3" t="s">
        <v>1128</v>
      </c>
    </row>
    <row r="206" spans="1:7" ht="27.95" customHeight="1">
      <c r="A206" s="3" t="s">
        <v>1168</v>
      </c>
      <c r="B206" s="4" t="s">
        <v>1159</v>
      </c>
      <c r="C206" s="4" t="s">
        <v>569</v>
      </c>
      <c r="D206" s="18">
        <v>6</v>
      </c>
      <c r="E206" s="13">
        <f>IF($F206=0,0,D206/$F206)</f>
        <v>0.24</v>
      </c>
      <c r="F206" s="12">
        <f>$F$199</f>
        <v>25</v>
      </c>
      <c r="G206" s="3" t="s">
        <v>1128</v>
      </c>
    </row>
    <row r="207" spans="1:7" ht="27.95" customHeight="1">
      <c r="A207" s="3" t="s">
        <v>1168</v>
      </c>
      <c r="B207" s="4" t="s">
        <v>1159</v>
      </c>
      <c r="C207" s="4" t="s">
        <v>572</v>
      </c>
      <c r="D207" s="18">
        <v>1</v>
      </c>
      <c r="E207" s="13">
        <f>IF($F207=0,0,D207/$F207)</f>
        <v>0.04</v>
      </c>
      <c r="F207" s="12">
        <f>$F$199</f>
        <v>25</v>
      </c>
      <c r="G207" s="3" t="s">
        <v>1128</v>
      </c>
    </row>
    <row r="208" spans="1:7" ht="27.95" customHeight="1">
      <c r="A208" s="3" t="s">
        <v>1168</v>
      </c>
      <c r="B208" s="4" t="s">
        <v>1159</v>
      </c>
      <c r="C208" s="4" t="s">
        <v>566</v>
      </c>
      <c r="D208" s="18">
        <v>7</v>
      </c>
      <c r="E208" s="13">
        <f>IF($F208=0,0,D208/$F208)</f>
        <v>0.28000000000000003</v>
      </c>
      <c r="F208" s="12">
        <f>$F$199</f>
        <v>25</v>
      </c>
      <c r="G208" s="3" t="s">
        <v>1128</v>
      </c>
    </row>
    <row r="209" spans="1:7" ht="27.95" customHeight="1">
      <c r="A209" s="3" t="s">
        <v>1168</v>
      </c>
      <c r="B209" s="4" t="s">
        <v>1159</v>
      </c>
      <c r="C209" s="4" t="s">
        <v>437</v>
      </c>
      <c r="D209" s="18">
        <v>0</v>
      </c>
      <c r="E209" s="13">
        <f>IF($F209=0,0,D209/$F209)</f>
        <v>0</v>
      </c>
      <c r="F209" s="12">
        <f>$F$199</f>
        <v>25</v>
      </c>
      <c r="G209" s="3" t="s">
        <v>1128</v>
      </c>
    </row>
    <row r="210" spans="1:7" ht="27.95" customHeight="1">
      <c r="A210" s="3" t="s">
        <v>1168</v>
      </c>
      <c r="B210" s="4" t="s">
        <v>1159</v>
      </c>
      <c r="C210" s="4" t="s">
        <v>438</v>
      </c>
      <c r="D210" s="18">
        <v>1</v>
      </c>
      <c r="E210" s="13">
        <f>IF($F210=0,0,D210/$F210)</f>
        <v>0.04</v>
      </c>
      <c r="F210" s="12">
        <f>$F$199</f>
        <v>25</v>
      </c>
      <c r="G210" s="3" t="s">
        <v>1128</v>
      </c>
    </row>
    <row r="211" spans="1:7" ht="27.95" customHeight="1">
      <c r="A211" s="3" t="s">
        <v>1170</v>
      </c>
      <c r="B211" s="4" t="s">
        <v>1161</v>
      </c>
      <c r="C211" s="4" t="s">
        <v>575</v>
      </c>
      <c r="D211" s="18">
        <v>16</v>
      </c>
      <c r="E211" s="13">
        <f>IF($F211=0,0,D211/$F211)</f>
        <v>0.64</v>
      </c>
      <c r="F211" s="18">
        <v>25</v>
      </c>
      <c r="G211" s="3" t="s">
        <v>1121</v>
      </c>
    </row>
    <row r="212" spans="1:7" ht="27.95" customHeight="1">
      <c r="A212" s="3" t="s">
        <v>1170</v>
      </c>
      <c r="B212" s="4" t="s">
        <v>1161</v>
      </c>
      <c r="C212" s="4" t="s">
        <v>576</v>
      </c>
      <c r="D212" s="18">
        <v>8</v>
      </c>
      <c r="E212" s="13">
        <f>IF($F212=0,0,D212/$F212)</f>
        <v>0.32</v>
      </c>
      <c r="F212" s="12">
        <f>$F$211</f>
        <v>25</v>
      </c>
      <c r="G212" s="3" t="s">
        <v>1121</v>
      </c>
    </row>
    <row r="213" spans="1:7" ht="27.95" customHeight="1">
      <c r="A213" s="3" t="s">
        <v>1170</v>
      </c>
      <c r="B213" s="4" t="s">
        <v>1161</v>
      </c>
      <c r="C213" s="4" t="s">
        <v>577</v>
      </c>
      <c r="D213" s="18">
        <v>1</v>
      </c>
      <c r="E213" s="13">
        <f>IF($F213=0,0,D213/$F213)</f>
        <v>0.04</v>
      </c>
      <c r="F213" s="12">
        <f>$F$211</f>
        <v>25</v>
      </c>
      <c r="G213" s="3" t="s">
        <v>1121</v>
      </c>
    </row>
    <row r="214" spans="1:7" ht="27.95" customHeight="1">
      <c r="A214" s="3" t="s">
        <v>1170</v>
      </c>
      <c r="B214" s="4" t="s">
        <v>1161</v>
      </c>
      <c r="C214" s="4" t="s">
        <v>578</v>
      </c>
      <c r="D214" s="18">
        <v>0</v>
      </c>
      <c r="E214" s="13">
        <f>IF($F214=0,0,D214/$F214)</f>
        <v>0</v>
      </c>
      <c r="F214" s="12">
        <f>$F$211</f>
        <v>25</v>
      </c>
      <c r="G214" s="3" t="s">
        <v>1121</v>
      </c>
    </row>
    <row r="215" spans="1:7" ht="27.95" customHeight="1">
      <c r="A215" s="3" t="s">
        <v>1170</v>
      </c>
      <c r="B215" s="4" t="s">
        <v>1161</v>
      </c>
      <c r="C215" s="4" t="s">
        <v>438</v>
      </c>
      <c r="D215" s="18">
        <v>0</v>
      </c>
      <c r="E215" s="13">
        <f>IF($F215=0,0,D215/$F215)</f>
        <v>0</v>
      </c>
      <c r="F215" s="12">
        <f>$F$211</f>
        <v>25</v>
      </c>
      <c r="G215" s="3" t="s">
        <v>1121</v>
      </c>
    </row>
    <row r="216" spans="1:7" ht="40.5" customHeight="1">
      <c r="A216" s="3" t="s">
        <v>1172</v>
      </c>
      <c r="B216" s="4" t="s">
        <v>1209</v>
      </c>
      <c r="C216" s="4" t="s">
        <v>586</v>
      </c>
      <c r="D216" s="18">
        <v>23</v>
      </c>
      <c r="E216" s="13">
        <f>IF($F216=0,0,D216/$F216)</f>
        <v>0.92</v>
      </c>
      <c r="F216" s="18">
        <v>25</v>
      </c>
      <c r="G216" s="3" t="s">
        <v>1128</v>
      </c>
    </row>
    <row r="217" spans="1:7" ht="40.5" customHeight="1">
      <c r="A217" s="3" t="s">
        <v>1172</v>
      </c>
      <c r="B217" s="4" t="s">
        <v>1209</v>
      </c>
      <c r="C217" s="4" t="s">
        <v>590</v>
      </c>
      <c r="D217" s="18">
        <v>0</v>
      </c>
      <c r="E217" s="13">
        <f>IF($F217=0,0,D217/$F217)</f>
        <v>0</v>
      </c>
      <c r="F217" s="12">
        <f>$F$216</f>
        <v>25</v>
      </c>
      <c r="G217" s="3" t="s">
        <v>1128</v>
      </c>
    </row>
    <row r="218" spans="1:7" ht="40.5" customHeight="1">
      <c r="A218" s="3" t="s">
        <v>1172</v>
      </c>
      <c r="B218" s="4" t="s">
        <v>1209</v>
      </c>
      <c r="C218" s="4" t="s">
        <v>584</v>
      </c>
      <c r="D218" s="18">
        <v>4</v>
      </c>
      <c r="E218" s="13">
        <f>IF($F218=0,0,D218/$F218)</f>
        <v>0.16</v>
      </c>
      <c r="F218" s="12">
        <f>$F$216</f>
        <v>25</v>
      </c>
      <c r="G218" s="3" t="s">
        <v>1128</v>
      </c>
    </row>
    <row r="219" spans="1:7" ht="40.5" customHeight="1">
      <c r="A219" s="3" t="s">
        <v>1172</v>
      </c>
      <c r="B219" s="4" t="s">
        <v>1209</v>
      </c>
      <c r="C219" s="4" t="s">
        <v>585</v>
      </c>
      <c r="D219" s="18">
        <v>14</v>
      </c>
      <c r="E219" s="13">
        <f>IF($F219=0,0,D219/$F219)</f>
        <v>0.56000000000000005</v>
      </c>
      <c r="F219" s="12">
        <f>$F$216</f>
        <v>25</v>
      </c>
      <c r="G219" s="3" t="s">
        <v>1128</v>
      </c>
    </row>
    <row r="220" spans="1:7" ht="40.5" customHeight="1">
      <c r="A220" s="3" t="s">
        <v>1172</v>
      </c>
      <c r="B220" s="4" t="s">
        <v>1209</v>
      </c>
      <c r="C220" s="4" t="s">
        <v>588</v>
      </c>
      <c r="D220" s="18">
        <v>5</v>
      </c>
      <c r="E220" s="13">
        <f>IF($F220=0,0,D220/$F220)</f>
        <v>0.2</v>
      </c>
      <c r="F220" s="12">
        <f>$F$216</f>
        <v>25</v>
      </c>
      <c r="G220" s="3" t="s">
        <v>1128</v>
      </c>
    </row>
    <row r="221" spans="1:7" ht="40.5" customHeight="1">
      <c r="A221" s="3" t="s">
        <v>1172</v>
      </c>
      <c r="B221" s="4" t="s">
        <v>1209</v>
      </c>
      <c r="C221" s="4" t="s">
        <v>589</v>
      </c>
      <c r="D221" s="18">
        <v>1</v>
      </c>
      <c r="E221" s="13">
        <f>IF($F221=0,0,D221/$F221)</f>
        <v>0.04</v>
      </c>
      <c r="F221" s="12">
        <f>$F$216</f>
        <v>25</v>
      </c>
      <c r="G221" s="3" t="s">
        <v>1128</v>
      </c>
    </row>
    <row r="222" spans="1:7" ht="40.5" customHeight="1">
      <c r="A222" s="3" t="s">
        <v>1172</v>
      </c>
      <c r="B222" s="4" t="s">
        <v>1209</v>
      </c>
      <c r="C222" s="4" t="s">
        <v>591</v>
      </c>
      <c r="D222" s="18">
        <v>0</v>
      </c>
      <c r="E222" s="13">
        <f>IF($F222=0,0,D222/$F222)</f>
        <v>0</v>
      </c>
      <c r="F222" s="12">
        <f>$F$216</f>
        <v>25</v>
      </c>
      <c r="G222" s="3" t="s">
        <v>1128</v>
      </c>
    </row>
    <row r="223" spans="1:7" ht="40.5" customHeight="1">
      <c r="A223" s="3" t="s">
        <v>1172</v>
      </c>
      <c r="B223" s="4" t="s">
        <v>1209</v>
      </c>
      <c r="C223" s="4" t="s">
        <v>587</v>
      </c>
      <c r="D223" s="18">
        <v>2</v>
      </c>
      <c r="E223" s="13">
        <f>IF($F223=0,0,D223/$F223)</f>
        <v>0.08</v>
      </c>
      <c r="F223" s="12">
        <f>$F$216</f>
        <v>25</v>
      </c>
      <c r="G223" s="3" t="s">
        <v>1128</v>
      </c>
    </row>
    <row r="224" spans="1:7" ht="40.5" customHeight="1">
      <c r="A224" s="3" t="s">
        <v>1172</v>
      </c>
      <c r="B224" s="4" t="s">
        <v>1209</v>
      </c>
      <c r="C224" s="4" t="s">
        <v>437</v>
      </c>
      <c r="D224" s="18">
        <v>1</v>
      </c>
      <c r="E224" s="13">
        <f>IF($F224=0,0,D224/$F224)</f>
        <v>0.04</v>
      </c>
      <c r="F224" s="12">
        <f>$F$216</f>
        <v>25</v>
      </c>
      <c r="G224" s="3" t="s">
        <v>1128</v>
      </c>
    </row>
    <row r="225" spans="1:7" ht="40.5" customHeight="1">
      <c r="A225" s="3" t="s">
        <v>1172</v>
      </c>
      <c r="B225" s="4" t="s">
        <v>1209</v>
      </c>
      <c r="C225" s="4" t="s">
        <v>438</v>
      </c>
      <c r="D225" s="18">
        <v>0</v>
      </c>
      <c r="E225" s="13">
        <f>IF($F225=0,0,D225/$F225)</f>
        <v>0</v>
      </c>
      <c r="F225" s="12">
        <f>$F$216</f>
        <v>25</v>
      </c>
      <c r="G225" s="3" t="s">
        <v>1128</v>
      </c>
    </row>
    <row r="226" spans="1:7" ht="27.95" customHeight="1">
      <c r="A226" s="3" t="s">
        <v>405</v>
      </c>
      <c r="B226" s="4" t="s">
        <v>1166</v>
      </c>
      <c r="C226" s="4" t="s">
        <v>596</v>
      </c>
      <c r="D226" s="18">
        <v>8</v>
      </c>
      <c r="E226" s="13">
        <f>IF($F226=0,0,D226/$F226)</f>
        <v>0.32</v>
      </c>
      <c r="F226" s="18">
        <v>25</v>
      </c>
      <c r="G226" s="3" t="s">
        <v>1128</v>
      </c>
    </row>
    <row r="227" spans="1:7" ht="27.95" customHeight="1">
      <c r="A227" s="3" t="s">
        <v>405</v>
      </c>
      <c r="B227" s="4" t="s">
        <v>1166</v>
      </c>
      <c r="C227" s="4" t="s">
        <v>599</v>
      </c>
      <c r="D227" s="18">
        <v>5</v>
      </c>
      <c r="E227" s="13">
        <f>IF($F227=0,0,D227/$F227)</f>
        <v>0.2</v>
      </c>
      <c r="F227" s="12">
        <f>$F$226</f>
        <v>25</v>
      </c>
      <c r="G227" s="3" t="s">
        <v>1128</v>
      </c>
    </row>
    <row r="228" spans="1:7" ht="27.95" customHeight="1">
      <c r="A228" s="3" t="s">
        <v>405</v>
      </c>
      <c r="B228" s="4" t="s">
        <v>1166</v>
      </c>
      <c r="C228" s="4" t="s">
        <v>597</v>
      </c>
      <c r="D228" s="18">
        <v>0</v>
      </c>
      <c r="E228" s="13">
        <f>IF($F228=0,0,D228/$F228)</f>
        <v>0</v>
      </c>
      <c r="F228" s="12">
        <f>$F$226</f>
        <v>25</v>
      </c>
      <c r="G228" s="3" t="s">
        <v>1128</v>
      </c>
    </row>
    <row r="229" spans="1:7" ht="27.95" customHeight="1">
      <c r="A229" s="3" t="s">
        <v>405</v>
      </c>
      <c r="B229" s="4" t="s">
        <v>1166</v>
      </c>
      <c r="C229" s="4" t="s">
        <v>601</v>
      </c>
      <c r="D229" s="18">
        <v>3</v>
      </c>
      <c r="E229" s="13">
        <f>IF($F229=0,0,D229/$F229)</f>
        <v>0.12</v>
      </c>
      <c r="F229" s="12">
        <f>$F$226</f>
        <v>25</v>
      </c>
      <c r="G229" s="3" t="s">
        <v>1128</v>
      </c>
    </row>
    <row r="230" spans="1:7" ht="27.95" customHeight="1">
      <c r="A230" s="3" t="s">
        <v>405</v>
      </c>
      <c r="B230" s="4" t="s">
        <v>1166</v>
      </c>
      <c r="C230" s="4" t="s">
        <v>602</v>
      </c>
      <c r="D230" s="18">
        <v>1</v>
      </c>
      <c r="E230" s="13">
        <f>IF($F230=0,0,D230/$F230)</f>
        <v>0.04</v>
      </c>
      <c r="F230" s="12">
        <f>$F$226</f>
        <v>25</v>
      </c>
      <c r="G230" s="3" t="s">
        <v>1128</v>
      </c>
    </row>
    <row r="231" spans="1:7" ht="27.95" customHeight="1">
      <c r="A231" s="3" t="s">
        <v>405</v>
      </c>
      <c r="B231" s="4" t="s">
        <v>1166</v>
      </c>
      <c r="C231" s="4" t="s">
        <v>600</v>
      </c>
      <c r="D231" s="18">
        <v>2</v>
      </c>
      <c r="E231" s="13">
        <f>IF($F231=0,0,D231/$F231)</f>
        <v>0.08</v>
      </c>
      <c r="F231" s="12">
        <f>$F$226</f>
        <v>25</v>
      </c>
      <c r="G231" s="3" t="s">
        <v>1128</v>
      </c>
    </row>
    <row r="232" spans="1:7" ht="27.95" customHeight="1">
      <c r="A232" s="3" t="s">
        <v>405</v>
      </c>
      <c r="B232" s="4" t="s">
        <v>1166</v>
      </c>
      <c r="C232" s="4" t="s">
        <v>594</v>
      </c>
      <c r="D232" s="18">
        <v>9</v>
      </c>
      <c r="E232" s="13">
        <f>IF($F232=0,0,D232/$F232)</f>
        <v>0.36</v>
      </c>
      <c r="F232" s="12">
        <f>$F$226</f>
        <v>25</v>
      </c>
      <c r="G232" s="3" t="s">
        <v>1128</v>
      </c>
    </row>
    <row r="233" spans="1:7" ht="27.95" customHeight="1">
      <c r="A233" s="3" t="s">
        <v>405</v>
      </c>
      <c r="B233" s="4" t="s">
        <v>1166</v>
      </c>
      <c r="C233" s="4" t="s">
        <v>603</v>
      </c>
      <c r="D233" s="18">
        <v>1</v>
      </c>
      <c r="E233" s="13">
        <f>IF($F233=0,0,D233/$F233)</f>
        <v>0.04</v>
      </c>
      <c r="F233" s="12">
        <f>$F$226</f>
        <v>25</v>
      </c>
      <c r="G233" s="3" t="s">
        <v>1128</v>
      </c>
    </row>
    <row r="234" spans="1:7" ht="27.95" customHeight="1">
      <c r="A234" s="3" t="s">
        <v>405</v>
      </c>
      <c r="B234" s="4" t="s">
        <v>1166</v>
      </c>
      <c r="C234" s="4" t="s">
        <v>598</v>
      </c>
      <c r="D234" s="18">
        <v>0</v>
      </c>
      <c r="E234" s="13">
        <f>IF($F234=0,0,D234/$F234)</f>
        <v>0</v>
      </c>
      <c r="F234" s="12">
        <f>$F$226</f>
        <v>25</v>
      </c>
      <c r="G234" s="3" t="s">
        <v>1128</v>
      </c>
    </row>
    <row r="235" spans="1:7" ht="27.95" customHeight="1">
      <c r="A235" s="3" t="s">
        <v>405</v>
      </c>
      <c r="B235" s="4" t="s">
        <v>1166</v>
      </c>
      <c r="C235" s="4" t="s">
        <v>595</v>
      </c>
      <c r="D235" s="18">
        <v>11</v>
      </c>
      <c r="E235" s="13">
        <f>IF($F235=0,0,D235/$F235)</f>
        <v>0.44</v>
      </c>
      <c r="F235" s="12">
        <f>$F$226</f>
        <v>25</v>
      </c>
      <c r="G235" s="3" t="s">
        <v>1128</v>
      </c>
    </row>
    <row r="236" spans="1:7" ht="27.95" customHeight="1">
      <c r="A236" s="3" t="s">
        <v>405</v>
      </c>
      <c r="B236" s="4" t="s">
        <v>1166</v>
      </c>
      <c r="C236" s="4" t="s">
        <v>437</v>
      </c>
      <c r="D236" s="18">
        <v>0</v>
      </c>
      <c r="E236" s="13">
        <f>IF($F236=0,0,D236/$F236)</f>
        <v>0</v>
      </c>
      <c r="F236" s="12">
        <f>$F$226</f>
        <v>25</v>
      </c>
      <c r="G236" s="3" t="s">
        <v>1128</v>
      </c>
    </row>
    <row r="237" spans="1:7" ht="27.95" customHeight="1">
      <c r="A237" s="3" t="s">
        <v>405</v>
      </c>
      <c r="B237" s="4" t="s">
        <v>1166</v>
      </c>
      <c r="C237" s="4" t="s">
        <v>604</v>
      </c>
      <c r="D237" s="18">
        <v>3</v>
      </c>
      <c r="E237" s="13">
        <f>IF($F237=0,0,D237/$F237)</f>
        <v>0.12</v>
      </c>
      <c r="F237" s="12">
        <f>$F$226</f>
        <v>25</v>
      </c>
      <c r="G237" s="3" t="s">
        <v>1128</v>
      </c>
    </row>
    <row r="238" spans="1:7" ht="27.95" customHeight="1">
      <c r="A238" s="3" t="s">
        <v>405</v>
      </c>
      <c r="B238" s="4" t="s">
        <v>1166</v>
      </c>
      <c r="C238" s="4" t="s">
        <v>438</v>
      </c>
      <c r="D238" s="18">
        <v>1</v>
      </c>
      <c r="E238" s="13">
        <f>IF($F238=0,0,D238/$F238)</f>
        <v>0.04</v>
      </c>
      <c r="F238" s="12">
        <f>$F$226</f>
        <v>25</v>
      </c>
      <c r="G238" s="3" t="s">
        <v>1128</v>
      </c>
    </row>
    <row r="239" spans="1:7" ht="15.95" customHeight="1">
      <c r="A239" s="3" t="s">
        <v>1210</v>
      </c>
      <c r="B239" s="4" t="s">
        <v>668</v>
      </c>
      <c r="C239" s="4" t="s">
        <v>652</v>
      </c>
      <c r="D239" s="18">
        <v>0</v>
      </c>
      <c r="E239" s="13">
        <f>IF($F239=0,0,D239/$F239)</f>
        <v>0</v>
      </c>
      <c r="F239" s="18">
        <v>25</v>
      </c>
      <c r="G239" s="3" t="s">
        <v>1130</v>
      </c>
    </row>
    <row r="240" spans="1:7" ht="15.95" customHeight="1">
      <c r="A240" s="3" t="s">
        <v>1210</v>
      </c>
      <c r="B240" s="4" t="s">
        <v>668</v>
      </c>
      <c r="C240" s="4" t="s">
        <v>653</v>
      </c>
      <c r="D240" s="18">
        <v>23</v>
      </c>
      <c r="E240" s="13">
        <f>IF($F240=0,0,D240/$F240)</f>
        <v>0.92</v>
      </c>
      <c r="F240" s="12">
        <f>$F$239</f>
        <v>25</v>
      </c>
      <c r="G240" s="3" t="s">
        <v>1130</v>
      </c>
    </row>
    <row r="241" spans="1:7" ht="15.95" customHeight="1">
      <c r="A241" s="3" t="s">
        <v>1210</v>
      </c>
      <c r="B241" s="4" t="s">
        <v>668</v>
      </c>
      <c r="C241" s="4" t="s">
        <v>438</v>
      </c>
      <c r="D241" s="18">
        <v>2</v>
      </c>
      <c r="E241" s="13">
        <f>IF($F241=0,0,D241/$F241)</f>
        <v>0.08</v>
      </c>
      <c r="F241" s="12">
        <f>$F$239</f>
        <v>25</v>
      </c>
      <c r="G241" s="3" t="s">
        <v>1130</v>
      </c>
    </row>
    <row r="242" spans="1:7" ht="15.95" customHeight="1">
      <c r="A242" s="3" t="s">
        <v>1210</v>
      </c>
      <c r="B242" s="4" t="s">
        <v>669</v>
      </c>
      <c r="C242" s="4" t="s">
        <v>652</v>
      </c>
      <c r="D242" s="18">
        <v>0</v>
      </c>
      <c r="E242" s="13">
        <f>IF($F242=0,0,D242/$F242)</f>
        <v>0</v>
      </c>
      <c r="F242" s="18">
        <v>25</v>
      </c>
      <c r="G242" s="3" t="s">
        <v>1130</v>
      </c>
    </row>
    <row r="243" spans="1:7" ht="15.95" customHeight="1">
      <c r="A243" s="3" t="s">
        <v>1210</v>
      </c>
      <c r="B243" s="4" t="s">
        <v>669</v>
      </c>
      <c r="C243" s="4" t="s">
        <v>653</v>
      </c>
      <c r="D243" s="18">
        <v>23</v>
      </c>
      <c r="E243" s="13">
        <f>IF($F243=0,0,D243/$F243)</f>
        <v>0.92</v>
      </c>
      <c r="F243" s="12">
        <f>$F$242</f>
        <v>25</v>
      </c>
      <c r="G243" s="3" t="s">
        <v>1130</v>
      </c>
    </row>
    <row r="244" spans="1:7" ht="15.95" customHeight="1">
      <c r="A244" s="3" t="s">
        <v>1210</v>
      </c>
      <c r="B244" s="4" t="s">
        <v>669</v>
      </c>
      <c r="C244" s="4" t="s">
        <v>438</v>
      </c>
      <c r="D244" s="18">
        <v>2</v>
      </c>
      <c r="E244" s="13">
        <f>IF($F244=0,0,D244/$F244)</f>
        <v>0.08</v>
      </c>
      <c r="F244" s="12">
        <f>$F$242</f>
        <v>25</v>
      </c>
      <c r="G244" s="3" t="s">
        <v>1130</v>
      </c>
    </row>
    <row r="245" spans="1:7" ht="15.95" customHeight="1">
      <c r="A245" s="3" t="s">
        <v>1210</v>
      </c>
      <c r="B245" s="4" t="s">
        <v>670</v>
      </c>
      <c r="C245" s="4" t="s">
        <v>652</v>
      </c>
      <c r="D245" s="18">
        <v>0</v>
      </c>
      <c r="E245" s="13">
        <f>IF($F245=0,0,D245/$F245)</f>
        <v>0</v>
      </c>
      <c r="F245" s="18">
        <v>25</v>
      </c>
      <c r="G245" s="3" t="s">
        <v>1130</v>
      </c>
    </row>
    <row r="246" spans="1:7" ht="15.95" customHeight="1">
      <c r="A246" s="3" t="s">
        <v>1210</v>
      </c>
      <c r="B246" s="4" t="s">
        <v>670</v>
      </c>
      <c r="C246" s="4" t="s">
        <v>653</v>
      </c>
      <c r="D246" s="18">
        <v>23</v>
      </c>
      <c r="E246" s="13">
        <f>IF($F246=0,0,D246/$F246)</f>
        <v>0.92</v>
      </c>
      <c r="F246" s="12">
        <f>$F$245</f>
        <v>25</v>
      </c>
      <c r="G246" s="3" t="s">
        <v>1130</v>
      </c>
    </row>
    <row r="247" spans="1:7" ht="15.95" customHeight="1">
      <c r="A247" s="3" t="s">
        <v>1210</v>
      </c>
      <c r="B247" s="4" t="s">
        <v>670</v>
      </c>
      <c r="C247" s="4" t="s">
        <v>438</v>
      </c>
      <c r="D247" s="18">
        <v>2</v>
      </c>
      <c r="E247" s="13">
        <f>IF($F247=0,0,D247/$F247)</f>
        <v>0.08</v>
      </c>
      <c r="F247" s="12">
        <f>$F$245</f>
        <v>25</v>
      </c>
      <c r="G247" s="3" t="s">
        <v>1130</v>
      </c>
    </row>
    <row r="248" spans="1:7" ht="15.95" customHeight="1">
      <c r="A248" s="3" t="s">
        <v>1210</v>
      </c>
      <c r="B248" s="4" t="s">
        <v>671</v>
      </c>
      <c r="C248" s="4" t="s">
        <v>652</v>
      </c>
      <c r="D248" s="18">
        <v>0</v>
      </c>
      <c r="E248" s="13">
        <f>IF($F248=0,0,D248/$F248)</f>
        <v>0</v>
      </c>
      <c r="F248" s="18">
        <v>25</v>
      </c>
      <c r="G248" s="3" t="s">
        <v>1130</v>
      </c>
    </row>
    <row r="249" spans="1:7" ht="15.95" customHeight="1">
      <c r="A249" s="3" t="s">
        <v>1210</v>
      </c>
      <c r="B249" s="4" t="s">
        <v>671</v>
      </c>
      <c r="C249" s="4" t="s">
        <v>653</v>
      </c>
      <c r="D249" s="18">
        <v>23</v>
      </c>
      <c r="E249" s="13">
        <f>IF($F249=0,0,D249/$F249)</f>
        <v>0.92</v>
      </c>
      <c r="F249" s="12">
        <f>$F$248</f>
        <v>25</v>
      </c>
      <c r="G249" s="3" t="s">
        <v>1130</v>
      </c>
    </row>
    <row r="250" spans="1:7" ht="15.95" customHeight="1">
      <c r="A250" s="3" t="s">
        <v>1210</v>
      </c>
      <c r="B250" s="4" t="s">
        <v>671</v>
      </c>
      <c r="C250" s="4" t="s">
        <v>438</v>
      </c>
      <c r="D250" s="18">
        <v>2</v>
      </c>
      <c r="E250" s="13">
        <f>IF($F250=0,0,D250/$F250)</f>
        <v>0.08</v>
      </c>
      <c r="F250" s="12">
        <f>$F$248</f>
        <v>25</v>
      </c>
      <c r="G250" s="3" t="s">
        <v>1130</v>
      </c>
    </row>
    <row r="251" spans="1:7" ht="15.95" customHeight="1">
      <c r="A251" s="3" t="s">
        <v>1210</v>
      </c>
      <c r="B251" s="4" t="s">
        <v>672</v>
      </c>
      <c r="C251" s="4" t="s">
        <v>652</v>
      </c>
      <c r="D251" s="18">
        <v>0</v>
      </c>
      <c r="E251" s="13">
        <f>IF($F251=0,0,D251/$F251)</f>
        <v>0</v>
      </c>
      <c r="F251" s="18">
        <v>25</v>
      </c>
      <c r="G251" s="3" t="s">
        <v>1130</v>
      </c>
    </row>
    <row r="252" spans="1:7" ht="15.95" customHeight="1">
      <c r="A252" s="3" t="s">
        <v>1210</v>
      </c>
      <c r="B252" s="4" t="s">
        <v>672</v>
      </c>
      <c r="C252" s="4" t="s">
        <v>653</v>
      </c>
      <c r="D252" s="18">
        <v>23</v>
      </c>
      <c r="E252" s="13">
        <f>IF($F252=0,0,D252/$F252)</f>
        <v>0.92</v>
      </c>
      <c r="F252" s="12">
        <f>$F$251</f>
        <v>25</v>
      </c>
      <c r="G252" s="3" t="s">
        <v>1130</v>
      </c>
    </row>
    <row r="253" spans="1:7" ht="15.95" customHeight="1">
      <c r="A253" s="3" t="s">
        <v>1210</v>
      </c>
      <c r="B253" s="4" t="s">
        <v>672</v>
      </c>
      <c r="C253" s="4" t="s">
        <v>438</v>
      </c>
      <c r="D253" s="18">
        <v>2</v>
      </c>
      <c r="E253" s="13">
        <f>IF($F253=0,0,D253/$F253)</f>
        <v>0.08</v>
      </c>
      <c r="F253" s="12">
        <f>$F$251</f>
        <v>25</v>
      </c>
      <c r="G253" s="3" t="s">
        <v>1130</v>
      </c>
    </row>
    <row r="254" spans="1:7" ht="15.95" customHeight="1">
      <c r="A254" s="3" t="s">
        <v>1210</v>
      </c>
      <c r="B254" s="4" t="s">
        <v>673</v>
      </c>
      <c r="C254" s="4" t="s">
        <v>652</v>
      </c>
      <c r="D254" s="18">
        <v>0</v>
      </c>
      <c r="E254" s="13">
        <f>IF($F254=0,0,D254/$F254)</f>
        <v>0</v>
      </c>
      <c r="F254" s="18">
        <v>25</v>
      </c>
      <c r="G254" s="3" t="s">
        <v>1130</v>
      </c>
    </row>
    <row r="255" spans="1:7" ht="15.95" customHeight="1">
      <c r="A255" s="3" t="s">
        <v>1210</v>
      </c>
      <c r="B255" s="4" t="s">
        <v>673</v>
      </c>
      <c r="C255" s="4" t="s">
        <v>653</v>
      </c>
      <c r="D255" s="18">
        <v>23</v>
      </c>
      <c r="E255" s="13">
        <f>IF($F255=0,0,D255/$F255)</f>
        <v>0.92</v>
      </c>
      <c r="F255" s="12">
        <f>$F$254</f>
        <v>25</v>
      </c>
      <c r="G255" s="3" t="s">
        <v>1130</v>
      </c>
    </row>
    <row r="256" spans="1:7" ht="15.95" customHeight="1">
      <c r="A256" s="3" t="s">
        <v>1210</v>
      </c>
      <c r="B256" s="4" t="s">
        <v>673</v>
      </c>
      <c r="C256" s="4" t="s">
        <v>438</v>
      </c>
      <c r="D256" s="18">
        <v>2</v>
      </c>
      <c r="E256" s="13">
        <f>IF($F256=0,0,D256/$F256)</f>
        <v>0.08</v>
      </c>
      <c r="F256" s="12">
        <f>$F$254</f>
        <v>25</v>
      </c>
      <c r="G256" s="3" t="s">
        <v>1130</v>
      </c>
    </row>
    <row r="257" spans="1:7" ht="15.95" customHeight="1">
      <c r="A257" s="3" t="s">
        <v>1210</v>
      </c>
      <c r="B257" s="4" t="s">
        <v>674</v>
      </c>
      <c r="C257" s="4" t="s">
        <v>652</v>
      </c>
      <c r="D257" s="18">
        <v>0</v>
      </c>
      <c r="E257" s="13">
        <f>IF($F257=0,0,D257/$F257)</f>
        <v>0</v>
      </c>
      <c r="F257" s="18">
        <v>25</v>
      </c>
      <c r="G257" s="3" t="s">
        <v>1130</v>
      </c>
    </row>
    <row r="258" spans="1:7" ht="15.95" customHeight="1">
      <c r="A258" s="3" t="s">
        <v>1210</v>
      </c>
      <c r="B258" s="4" t="s">
        <v>674</v>
      </c>
      <c r="C258" s="4" t="s">
        <v>653</v>
      </c>
      <c r="D258" s="18">
        <v>23</v>
      </c>
      <c r="E258" s="13">
        <f>IF($F258=0,0,D258/$F258)</f>
        <v>0.92</v>
      </c>
      <c r="F258" s="12">
        <f>$F$257</f>
        <v>25</v>
      </c>
      <c r="G258" s="3" t="s">
        <v>1130</v>
      </c>
    </row>
    <row r="259" spans="1:7" ht="15.95" customHeight="1">
      <c r="A259" s="3" t="s">
        <v>1210</v>
      </c>
      <c r="B259" s="4" t="s">
        <v>674</v>
      </c>
      <c r="C259" s="4" t="s">
        <v>438</v>
      </c>
      <c r="D259" s="18">
        <v>2</v>
      </c>
      <c r="E259" s="13">
        <f>IF($F259=0,0,D259/$F259)</f>
        <v>0.08</v>
      </c>
      <c r="F259" s="12">
        <f>$F$257</f>
        <v>25</v>
      </c>
      <c r="G259" s="3" t="s">
        <v>1130</v>
      </c>
    </row>
    <row r="260" spans="1:7" ht="15.95" customHeight="1">
      <c r="A260" s="3" t="s">
        <v>1210</v>
      </c>
      <c r="B260" s="4" t="s">
        <v>675</v>
      </c>
      <c r="C260" s="4" t="s">
        <v>652</v>
      </c>
      <c r="D260" s="18">
        <v>0</v>
      </c>
      <c r="E260" s="13">
        <f>IF($F260=0,0,D260/$F260)</f>
        <v>0</v>
      </c>
      <c r="F260" s="18">
        <v>25</v>
      </c>
      <c r="G260" s="3" t="s">
        <v>1130</v>
      </c>
    </row>
    <row r="261" spans="1:7" ht="15.95" customHeight="1">
      <c r="A261" s="3" t="s">
        <v>1210</v>
      </c>
      <c r="B261" s="4" t="s">
        <v>675</v>
      </c>
      <c r="C261" s="4" t="s">
        <v>653</v>
      </c>
      <c r="D261" s="18">
        <v>23</v>
      </c>
      <c r="E261" s="13">
        <f>IF($F261=0,0,D261/$F261)</f>
        <v>0.92</v>
      </c>
      <c r="F261" s="12">
        <f>$F$260</f>
        <v>25</v>
      </c>
      <c r="G261" s="3" t="s">
        <v>1130</v>
      </c>
    </row>
    <row r="262" spans="1:7" ht="15.95" customHeight="1">
      <c r="A262" s="3" t="s">
        <v>1210</v>
      </c>
      <c r="B262" s="4" t="s">
        <v>675</v>
      </c>
      <c r="C262" s="4" t="s">
        <v>438</v>
      </c>
      <c r="D262" s="18">
        <v>2</v>
      </c>
      <c r="E262" s="13">
        <f>IF($F262=0,0,D262/$F262)</f>
        <v>0.08</v>
      </c>
      <c r="F262" s="12">
        <f>$F$260</f>
        <v>25</v>
      </c>
      <c r="G262" s="3" t="s">
        <v>1130</v>
      </c>
    </row>
    <row r="263" spans="1:7" ht="15.95" customHeight="1">
      <c r="A263" s="3" t="s">
        <v>1210</v>
      </c>
      <c r="B263" s="4" t="s">
        <v>682</v>
      </c>
      <c r="C263" s="4" t="s">
        <v>652</v>
      </c>
      <c r="D263" s="18">
        <v>0</v>
      </c>
      <c r="E263" s="13">
        <f>IF($F263=0,0,D263/$F263)</f>
        <v>0</v>
      </c>
      <c r="F263" s="18">
        <v>25</v>
      </c>
      <c r="G263" s="3" t="s">
        <v>1130</v>
      </c>
    </row>
    <row r="264" spans="1:7" ht="15.95" customHeight="1">
      <c r="A264" s="3" t="s">
        <v>1210</v>
      </c>
      <c r="B264" s="4" t="s">
        <v>682</v>
      </c>
      <c r="C264" s="4" t="s">
        <v>653</v>
      </c>
      <c r="D264" s="18">
        <v>23</v>
      </c>
      <c r="E264" s="13">
        <f>IF($F264=0,0,D264/$F264)</f>
        <v>0.92</v>
      </c>
      <c r="F264" s="12">
        <f>$F$263</f>
        <v>25</v>
      </c>
      <c r="G264" s="3" t="s">
        <v>1130</v>
      </c>
    </row>
    <row r="265" spans="1:7" ht="15.95" customHeight="1">
      <c r="A265" s="3" t="s">
        <v>1210</v>
      </c>
      <c r="B265" s="4" t="s">
        <v>682</v>
      </c>
      <c r="C265" s="4" t="s">
        <v>438</v>
      </c>
      <c r="D265" s="18">
        <v>2</v>
      </c>
      <c r="E265" s="13">
        <f>IF($F265=0,0,D265/$F265)</f>
        <v>0.08</v>
      </c>
      <c r="F265" s="12">
        <f>$F$263</f>
        <v>25</v>
      </c>
      <c r="G265" s="3" t="s">
        <v>1130</v>
      </c>
    </row>
    <row r="266" spans="1:7" ht="15.95" customHeight="1">
      <c r="A266" s="3" t="s">
        <v>1210</v>
      </c>
      <c r="B266" s="4" t="s">
        <v>676</v>
      </c>
      <c r="C266" s="4" t="s">
        <v>652</v>
      </c>
      <c r="D266" s="18">
        <v>5</v>
      </c>
      <c r="E266" s="13">
        <f>IF($F266=0,0,D266/$F266)</f>
        <v>0.2</v>
      </c>
      <c r="F266" s="18">
        <v>25</v>
      </c>
      <c r="G266" s="3" t="s">
        <v>1130</v>
      </c>
    </row>
    <row r="267" spans="1:7" ht="15.95" customHeight="1">
      <c r="A267" s="3" t="s">
        <v>1210</v>
      </c>
      <c r="B267" s="4" t="s">
        <v>676</v>
      </c>
      <c r="C267" s="4" t="s">
        <v>653</v>
      </c>
      <c r="D267" s="18">
        <v>19</v>
      </c>
      <c r="E267" s="13">
        <f>IF($F267=0,0,D267/$F267)</f>
        <v>0.76</v>
      </c>
      <c r="F267" s="12">
        <f>$F$266</f>
        <v>25</v>
      </c>
      <c r="G267" s="3" t="s">
        <v>1130</v>
      </c>
    </row>
    <row r="268" spans="1:7" ht="15.95" customHeight="1">
      <c r="A268" s="3" t="s">
        <v>1210</v>
      </c>
      <c r="B268" s="4" t="s">
        <v>676</v>
      </c>
      <c r="C268" s="4" t="s">
        <v>438</v>
      </c>
      <c r="D268" s="18">
        <v>1</v>
      </c>
      <c r="E268" s="13">
        <f>IF($F268=0,0,D268/$F268)</f>
        <v>0.04</v>
      </c>
      <c r="F268" s="12">
        <f>$F$266</f>
        <v>25</v>
      </c>
      <c r="G268" s="3" t="s">
        <v>1130</v>
      </c>
    </row>
    <row r="269" spans="1:7" ht="15.95" customHeight="1">
      <c r="A269" s="3" t="s">
        <v>1210</v>
      </c>
      <c r="B269" s="4" t="s">
        <v>677</v>
      </c>
      <c r="C269" s="4" t="s">
        <v>652</v>
      </c>
      <c r="D269" s="18">
        <v>1</v>
      </c>
      <c r="E269" s="13">
        <f>IF($F269=0,0,D269/$F269)</f>
        <v>0.04</v>
      </c>
      <c r="F269" s="18">
        <v>25</v>
      </c>
      <c r="G269" s="3" t="s">
        <v>1130</v>
      </c>
    </row>
    <row r="270" spans="1:7" ht="15.95" customHeight="1">
      <c r="A270" s="3" t="s">
        <v>1210</v>
      </c>
      <c r="B270" s="4" t="s">
        <v>677</v>
      </c>
      <c r="C270" s="4" t="s">
        <v>653</v>
      </c>
      <c r="D270" s="18">
        <v>23</v>
      </c>
      <c r="E270" s="13">
        <f>IF($F270=0,0,D270/$F270)</f>
        <v>0.92</v>
      </c>
      <c r="F270" s="12">
        <f>$F$269</f>
        <v>25</v>
      </c>
      <c r="G270" s="3" t="s">
        <v>1130</v>
      </c>
    </row>
    <row r="271" spans="1:7" ht="15.95" customHeight="1">
      <c r="A271" s="3" t="s">
        <v>1210</v>
      </c>
      <c r="B271" s="4" t="s">
        <v>677</v>
      </c>
      <c r="C271" s="4" t="s">
        <v>438</v>
      </c>
      <c r="D271" s="18">
        <v>1</v>
      </c>
      <c r="E271" s="13">
        <f>IF($F271=0,0,D271/$F271)</f>
        <v>0.04</v>
      </c>
      <c r="F271" s="12">
        <f>$F$269</f>
        <v>25</v>
      </c>
      <c r="G271" s="3" t="s">
        <v>1130</v>
      </c>
    </row>
    <row r="272" spans="1:7" ht="15.95" customHeight="1">
      <c r="A272" s="3" t="s">
        <v>1210</v>
      </c>
      <c r="B272" s="4" t="s">
        <v>678</v>
      </c>
      <c r="C272" s="4" t="s">
        <v>652</v>
      </c>
      <c r="D272" s="18">
        <v>0</v>
      </c>
      <c r="E272" s="13">
        <f>IF($F272=0,0,D272/$F272)</f>
        <v>0</v>
      </c>
      <c r="F272" s="18">
        <v>25</v>
      </c>
      <c r="G272" s="3" t="s">
        <v>1130</v>
      </c>
    </row>
    <row r="273" spans="1:7" ht="15.95" customHeight="1">
      <c r="A273" s="3" t="s">
        <v>1210</v>
      </c>
      <c r="B273" s="4" t="s">
        <v>678</v>
      </c>
      <c r="C273" s="4" t="s">
        <v>653</v>
      </c>
      <c r="D273" s="18">
        <v>24</v>
      </c>
      <c r="E273" s="13">
        <f>IF($F273=0,0,D273/$F273)</f>
        <v>0.96</v>
      </c>
      <c r="F273" s="12">
        <f>$F$272</f>
        <v>25</v>
      </c>
      <c r="G273" s="3" t="s">
        <v>1130</v>
      </c>
    </row>
    <row r="274" spans="1:7" ht="15.95" customHeight="1">
      <c r="A274" s="3" t="s">
        <v>1210</v>
      </c>
      <c r="B274" s="4" t="s">
        <v>678</v>
      </c>
      <c r="C274" s="4" t="s">
        <v>438</v>
      </c>
      <c r="D274" s="18">
        <v>1</v>
      </c>
      <c r="E274" s="13">
        <f>IF($F274=0,0,D274/$F274)</f>
        <v>0.04</v>
      </c>
      <c r="F274" s="12">
        <f>$F$272</f>
        <v>25</v>
      </c>
      <c r="G274" s="3" t="s">
        <v>1130</v>
      </c>
    </row>
    <row r="275" spans="1:7" ht="15.95" customHeight="1">
      <c r="A275" s="3" t="s">
        <v>1210</v>
      </c>
      <c r="B275" s="4" t="s">
        <v>679</v>
      </c>
      <c r="C275" s="4" t="s">
        <v>652</v>
      </c>
      <c r="D275" s="18">
        <v>0</v>
      </c>
      <c r="E275" s="13">
        <f>IF($F275=0,0,D275/$F275)</f>
        <v>0</v>
      </c>
      <c r="F275" s="18">
        <v>25</v>
      </c>
      <c r="G275" s="3" t="s">
        <v>1130</v>
      </c>
    </row>
    <row r="276" spans="1:7" ht="15.95" customHeight="1">
      <c r="A276" s="3" t="s">
        <v>1210</v>
      </c>
      <c r="B276" s="4" t="s">
        <v>679</v>
      </c>
      <c r="C276" s="4" t="s">
        <v>653</v>
      </c>
      <c r="D276" s="18">
        <v>24</v>
      </c>
      <c r="E276" s="13">
        <f>IF($F276=0,0,D276/$F276)</f>
        <v>0.96</v>
      </c>
      <c r="F276" s="12">
        <f>$F$275</f>
        <v>25</v>
      </c>
      <c r="G276" s="3" t="s">
        <v>1130</v>
      </c>
    </row>
    <row r="277" spans="1:7" ht="15.95" customHeight="1">
      <c r="A277" s="3" t="s">
        <v>1210</v>
      </c>
      <c r="B277" s="4" t="s">
        <v>679</v>
      </c>
      <c r="C277" s="4" t="s">
        <v>438</v>
      </c>
      <c r="D277" s="18">
        <v>1</v>
      </c>
      <c r="E277" s="13">
        <f>IF($F277=0,0,D277/$F277)</f>
        <v>0.04</v>
      </c>
      <c r="F277" s="12">
        <f>$F$275</f>
        <v>25</v>
      </c>
      <c r="G277" s="3" t="s">
        <v>1130</v>
      </c>
    </row>
    <row r="278" spans="1:7" ht="15.95" customHeight="1">
      <c r="A278" s="3" t="s">
        <v>1210</v>
      </c>
      <c r="B278" s="4" t="s">
        <v>680</v>
      </c>
      <c r="C278" s="4" t="s">
        <v>652</v>
      </c>
      <c r="D278" s="18">
        <v>0</v>
      </c>
      <c r="E278" s="13">
        <f>IF($F278=0,0,D278/$F278)</f>
        <v>0</v>
      </c>
      <c r="F278" s="18">
        <v>25</v>
      </c>
      <c r="G278" s="3" t="s">
        <v>1130</v>
      </c>
    </row>
    <row r="279" spans="1:7" ht="15.95" customHeight="1">
      <c r="A279" s="3" t="s">
        <v>1210</v>
      </c>
      <c r="B279" s="4" t="s">
        <v>680</v>
      </c>
      <c r="C279" s="4" t="s">
        <v>653</v>
      </c>
      <c r="D279" s="18">
        <v>24</v>
      </c>
      <c r="E279" s="13">
        <f>IF($F279=0,0,D279/$F279)</f>
        <v>0.96</v>
      </c>
      <c r="F279" s="12">
        <f>$F$278</f>
        <v>25</v>
      </c>
      <c r="G279" s="3" t="s">
        <v>1130</v>
      </c>
    </row>
    <row r="280" spans="1:7" ht="15.95" customHeight="1">
      <c r="A280" s="3" t="s">
        <v>1210</v>
      </c>
      <c r="B280" s="4" t="s">
        <v>680</v>
      </c>
      <c r="C280" s="4" t="s">
        <v>438</v>
      </c>
      <c r="D280" s="18">
        <v>1</v>
      </c>
      <c r="E280" s="13">
        <f>IF($F280=0,0,D280/$F280)</f>
        <v>0.04</v>
      </c>
      <c r="F280" s="12">
        <f>$F$278</f>
        <v>25</v>
      </c>
      <c r="G280" s="3" t="s">
        <v>1130</v>
      </c>
    </row>
    <row r="281" spans="1:7" ht="15.95" customHeight="1">
      <c r="A281" s="3" t="s">
        <v>1210</v>
      </c>
      <c r="B281" s="4" t="s">
        <v>681</v>
      </c>
      <c r="C281" s="4" t="s">
        <v>652</v>
      </c>
      <c r="D281" s="18">
        <v>1</v>
      </c>
      <c r="E281" s="13">
        <f>IF($F281=0,0,D281/$F281)</f>
        <v>0.04</v>
      </c>
      <c r="F281" s="18">
        <v>25</v>
      </c>
      <c r="G281" s="3" t="s">
        <v>1130</v>
      </c>
    </row>
    <row r="282" spans="1:7" ht="15.95" customHeight="1">
      <c r="A282" s="3" t="s">
        <v>1210</v>
      </c>
      <c r="B282" s="4" t="s">
        <v>681</v>
      </c>
      <c r="C282" s="4" t="s">
        <v>653</v>
      </c>
      <c r="D282" s="18">
        <v>23</v>
      </c>
      <c r="E282" s="13">
        <f>IF($F282=0,0,D282/$F282)</f>
        <v>0.92</v>
      </c>
      <c r="F282" s="12">
        <f>$F$281</f>
        <v>25</v>
      </c>
      <c r="G282" s="3" t="s">
        <v>1130</v>
      </c>
    </row>
    <row r="283" spans="1:7" ht="15.95" customHeight="1">
      <c r="A283" s="3" t="s">
        <v>1210</v>
      </c>
      <c r="B283" s="4" t="s">
        <v>681</v>
      </c>
      <c r="C283" s="4" t="s">
        <v>438</v>
      </c>
      <c r="D283" s="18">
        <v>1</v>
      </c>
      <c r="E283" s="13">
        <f>IF($F283=0,0,D283/$F283)</f>
        <v>0.04</v>
      </c>
      <c r="F283" s="12">
        <f>$F$281</f>
        <v>25</v>
      </c>
      <c r="G283" s="3" t="s">
        <v>1130</v>
      </c>
    </row>
    <row r="284" spans="1:7" ht="15.95" customHeight="1">
      <c r="A284" s="3" t="s">
        <v>1210</v>
      </c>
      <c r="B284" s="4" t="s">
        <v>858</v>
      </c>
      <c r="C284" s="4" t="s">
        <v>652</v>
      </c>
      <c r="D284" s="18">
        <v>2</v>
      </c>
      <c r="E284" s="13">
        <f>IF($F284=0,0,D284/$F284)</f>
        <v>0.08</v>
      </c>
      <c r="F284" s="18">
        <v>25</v>
      </c>
      <c r="G284" s="3" t="s">
        <v>1130</v>
      </c>
    </row>
    <row r="285" spans="1:7" ht="15.95" customHeight="1">
      <c r="A285" s="3" t="s">
        <v>1210</v>
      </c>
      <c r="B285" s="4" t="s">
        <v>858</v>
      </c>
      <c r="C285" s="4" t="s">
        <v>653</v>
      </c>
      <c r="D285" s="18">
        <v>22</v>
      </c>
      <c r="E285" s="13">
        <f>IF($F285=0,0,D285/$F285)</f>
        <v>0.88</v>
      </c>
      <c r="F285" s="12">
        <f>$F$284</f>
        <v>25</v>
      </c>
      <c r="G285" s="3" t="s">
        <v>1130</v>
      </c>
    </row>
    <row r="286" spans="1:7" ht="15.95" customHeight="1">
      <c r="A286" s="3" t="s">
        <v>1210</v>
      </c>
      <c r="B286" s="4" t="s">
        <v>858</v>
      </c>
      <c r="C286" s="4" t="s">
        <v>438</v>
      </c>
      <c r="D286" s="18">
        <v>1</v>
      </c>
      <c r="E286" s="13">
        <f>IF($F286=0,0,D286/$F286)</f>
        <v>0.04</v>
      </c>
      <c r="F286" s="12">
        <f>$F$284</f>
        <v>25</v>
      </c>
      <c r="G286" s="3" t="s">
        <v>1130</v>
      </c>
    </row>
    <row r="287" spans="1:7" ht="15.95" customHeight="1">
      <c r="A287" s="3" t="s">
        <v>1210</v>
      </c>
      <c r="B287" s="4" t="s">
        <v>859</v>
      </c>
      <c r="C287" s="4" t="s">
        <v>652</v>
      </c>
      <c r="D287" s="18">
        <v>1</v>
      </c>
      <c r="E287" s="13">
        <f>IF($F287=0,0,D287/$F287)</f>
        <v>0.04</v>
      </c>
      <c r="F287" s="18">
        <v>25</v>
      </c>
      <c r="G287" s="3" t="s">
        <v>1130</v>
      </c>
    </row>
    <row r="288" spans="1:7" ht="15.95" customHeight="1">
      <c r="A288" s="3" t="s">
        <v>1210</v>
      </c>
      <c r="B288" s="4" t="s">
        <v>859</v>
      </c>
      <c r="C288" s="4" t="s">
        <v>653</v>
      </c>
      <c r="D288" s="18">
        <v>23</v>
      </c>
      <c r="E288" s="13">
        <f>IF($F288=0,0,D288/$F288)</f>
        <v>0.92</v>
      </c>
      <c r="F288" s="12">
        <f>$F$287</f>
        <v>25</v>
      </c>
      <c r="G288" s="3" t="s">
        <v>1130</v>
      </c>
    </row>
    <row r="289" spans="1:7" ht="15.95" customHeight="1">
      <c r="A289" s="3" t="s">
        <v>1210</v>
      </c>
      <c r="B289" s="4" t="s">
        <v>859</v>
      </c>
      <c r="C289" s="4" t="s">
        <v>438</v>
      </c>
      <c r="D289" s="18">
        <v>1</v>
      </c>
      <c r="E289" s="13">
        <f>IF($F289=0,0,D289/$F289)</f>
        <v>0.04</v>
      </c>
      <c r="F289" s="12">
        <f>$F$287</f>
        <v>25</v>
      </c>
      <c r="G289" s="3" t="s">
        <v>1130</v>
      </c>
    </row>
    <row r="290" spans="1:7" ht="15.95" customHeight="1">
      <c r="A290" s="3" t="s">
        <v>1210</v>
      </c>
      <c r="B290" s="4" t="s">
        <v>860</v>
      </c>
      <c r="C290" s="4" t="s">
        <v>652</v>
      </c>
      <c r="D290" s="18">
        <v>0</v>
      </c>
      <c r="E290" s="13">
        <f>IF($F290=0,0,D290/$F290)</f>
        <v>0</v>
      </c>
      <c r="F290" s="18">
        <v>25</v>
      </c>
      <c r="G290" s="3" t="s">
        <v>1130</v>
      </c>
    </row>
    <row r="291" spans="1:7" ht="15.95" customHeight="1">
      <c r="A291" s="3" t="s">
        <v>1210</v>
      </c>
      <c r="B291" s="4" t="s">
        <v>860</v>
      </c>
      <c r="C291" s="4" t="s">
        <v>653</v>
      </c>
      <c r="D291" s="18">
        <v>24</v>
      </c>
      <c r="E291" s="13">
        <f>IF($F291=0,0,D291/$F291)</f>
        <v>0.96</v>
      </c>
      <c r="F291" s="12">
        <f>$F$290</f>
        <v>25</v>
      </c>
      <c r="G291" s="3" t="s">
        <v>1130</v>
      </c>
    </row>
    <row r="292" spans="1:7" ht="15.95" customHeight="1">
      <c r="A292" s="3" t="s">
        <v>1210</v>
      </c>
      <c r="B292" s="4" t="s">
        <v>860</v>
      </c>
      <c r="C292" s="4" t="s">
        <v>438</v>
      </c>
      <c r="D292" s="18">
        <v>1</v>
      </c>
      <c r="E292" s="13">
        <f>IF($F292=0,0,D292/$F292)</f>
        <v>0.04</v>
      </c>
      <c r="F292" s="12">
        <f>$F$290</f>
        <v>25</v>
      </c>
      <c r="G292" s="3" t="s">
        <v>1130</v>
      </c>
    </row>
    <row r="293" spans="1:7" ht="15.95" customHeight="1">
      <c r="A293" s="3" t="s">
        <v>1210</v>
      </c>
      <c r="B293" s="4" t="s">
        <v>861</v>
      </c>
      <c r="C293" s="4" t="s">
        <v>652</v>
      </c>
      <c r="D293" s="18">
        <v>0</v>
      </c>
      <c r="E293" s="13">
        <f>IF($F293=0,0,D293/$F293)</f>
        <v>0</v>
      </c>
      <c r="F293" s="18">
        <v>25</v>
      </c>
      <c r="G293" s="3" t="s">
        <v>1130</v>
      </c>
    </row>
    <row r="294" spans="1:7" ht="15.95" customHeight="1">
      <c r="A294" s="3" t="s">
        <v>1210</v>
      </c>
      <c r="B294" s="4" t="s">
        <v>861</v>
      </c>
      <c r="C294" s="4" t="s">
        <v>653</v>
      </c>
      <c r="D294" s="18">
        <v>24</v>
      </c>
      <c r="E294" s="13">
        <f>IF($F294=0,0,D294/$F294)</f>
        <v>0.96</v>
      </c>
      <c r="F294" s="12">
        <f>$F$293</f>
        <v>25</v>
      </c>
      <c r="G294" s="3" t="s">
        <v>1130</v>
      </c>
    </row>
    <row r="295" spans="1:7" ht="15.95" customHeight="1">
      <c r="A295" s="3" t="s">
        <v>1210</v>
      </c>
      <c r="B295" s="4" t="s">
        <v>861</v>
      </c>
      <c r="C295" s="4" t="s">
        <v>438</v>
      </c>
      <c r="D295" s="18">
        <v>1</v>
      </c>
      <c r="E295" s="13">
        <f>IF($F295=0,0,D295/$F295)</f>
        <v>0.04</v>
      </c>
      <c r="F295" s="12">
        <f>$F$293</f>
        <v>25</v>
      </c>
      <c r="G295" s="3" t="s">
        <v>1130</v>
      </c>
    </row>
    <row r="296" spans="1:7" ht="15.95" customHeight="1">
      <c r="A296" s="3" t="s">
        <v>1210</v>
      </c>
      <c r="B296" s="4" t="s">
        <v>862</v>
      </c>
      <c r="C296" s="4" t="s">
        <v>652</v>
      </c>
      <c r="D296" s="18">
        <v>0</v>
      </c>
      <c r="E296" s="13">
        <f>IF($F296=0,0,D296/$F296)</f>
        <v>0</v>
      </c>
      <c r="F296" s="18">
        <v>25</v>
      </c>
      <c r="G296" s="3" t="s">
        <v>1130</v>
      </c>
    </row>
    <row r="297" spans="1:7" ht="15.95" customHeight="1">
      <c r="A297" s="3" t="s">
        <v>1210</v>
      </c>
      <c r="B297" s="4" t="s">
        <v>862</v>
      </c>
      <c r="C297" s="4" t="s">
        <v>653</v>
      </c>
      <c r="D297" s="18">
        <v>24</v>
      </c>
      <c r="E297" s="13">
        <f>IF($F297=0,0,D297/$F297)</f>
        <v>0.96</v>
      </c>
      <c r="F297" s="12">
        <f>$F$296</f>
        <v>25</v>
      </c>
      <c r="G297" s="3" t="s">
        <v>1130</v>
      </c>
    </row>
    <row r="298" spans="1:7" ht="15.95" customHeight="1">
      <c r="A298" s="3" t="s">
        <v>1210</v>
      </c>
      <c r="B298" s="4" t="s">
        <v>862</v>
      </c>
      <c r="C298" s="4" t="s">
        <v>438</v>
      </c>
      <c r="D298" s="18">
        <v>1</v>
      </c>
      <c r="E298" s="13">
        <f>IF($F298=0,0,D298/$F298)</f>
        <v>0.04</v>
      </c>
      <c r="F298" s="12">
        <f>$F$296</f>
        <v>25</v>
      </c>
      <c r="G298" s="3" t="s">
        <v>1130</v>
      </c>
    </row>
    <row r="299" spans="1:7" ht="15.95" customHeight="1">
      <c r="A299" s="3" t="s">
        <v>1210</v>
      </c>
      <c r="B299" s="4" t="s">
        <v>863</v>
      </c>
      <c r="C299" s="4" t="s">
        <v>652</v>
      </c>
      <c r="D299" s="18">
        <v>0</v>
      </c>
      <c r="E299" s="13">
        <f>IF($F299=0,0,D299/$F299)</f>
        <v>0</v>
      </c>
      <c r="F299" s="18">
        <v>25</v>
      </c>
      <c r="G299" s="3" t="s">
        <v>1130</v>
      </c>
    </row>
    <row r="300" spans="1:7" ht="15.95" customHeight="1">
      <c r="A300" s="3" t="s">
        <v>1210</v>
      </c>
      <c r="B300" s="4" t="s">
        <v>863</v>
      </c>
      <c r="C300" s="4" t="s">
        <v>653</v>
      </c>
      <c r="D300" s="18">
        <v>23</v>
      </c>
      <c r="E300" s="13">
        <f>IF($F300=0,0,D300/$F300)</f>
        <v>0.92</v>
      </c>
      <c r="F300" s="12">
        <f>$F$299</f>
        <v>25</v>
      </c>
      <c r="G300" s="3" t="s">
        <v>1130</v>
      </c>
    </row>
    <row r="301" spans="1:7" ht="15.95" customHeight="1">
      <c r="A301" s="3" t="s">
        <v>1210</v>
      </c>
      <c r="B301" s="4" t="s">
        <v>863</v>
      </c>
      <c r="C301" s="4" t="s">
        <v>438</v>
      </c>
      <c r="D301" s="18">
        <v>2</v>
      </c>
      <c r="E301" s="13">
        <f>IF($F301=0,0,D301/$F301)</f>
        <v>0.08</v>
      </c>
      <c r="F301" s="12">
        <f>$F$299</f>
        <v>25</v>
      </c>
      <c r="G301" s="3" t="s">
        <v>1130</v>
      </c>
    </row>
    <row r="302" spans="1:7" ht="15.95" customHeight="1">
      <c r="A302" s="3" t="s">
        <v>1211</v>
      </c>
      <c r="B302" s="4" t="s">
        <v>668</v>
      </c>
      <c r="C302" s="4" t="s">
        <v>1182</v>
      </c>
      <c r="D302" s="18">
        <v>1</v>
      </c>
      <c r="E302" s="13">
        <f>IF($F302=0,0,D302/$F302)</f>
        <v>0.04</v>
      </c>
      <c r="F302" s="18">
        <v>25</v>
      </c>
      <c r="G302" s="3" t="s">
        <v>1130</v>
      </c>
    </row>
    <row r="303" spans="1:7" ht="15.95" customHeight="1">
      <c r="A303" s="3" t="s">
        <v>1211</v>
      </c>
      <c r="B303" s="4" t="s">
        <v>668</v>
      </c>
      <c r="C303" s="4" t="s">
        <v>1183</v>
      </c>
      <c r="D303" s="18">
        <v>21</v>
      </c>
      <c r="E303" s="13">
        <f>IF($F303=0,0,D303/$F303)</f>
        <v>0.84</v>
      </c>
      <c r="F303" s="12">
        <f>$F$302</f>
        <v>25</v>
      </c>
      <c r="G303" s="3" t="s">
        <v>1130</v>
      </c>
    </row>
    <row r="304" spans="1:7" ht="15.95" customHeight="1">
      <c r="A304" s="3" t="s">
        <v>1211</v>
      </c>
      <c r="B304" s="4" t="s">
        <v>668</v>
      </c>
      <c r="C304" s="4" t="s">
        <v>438</v>
      </c>
      <c r="D304" s="18">
        <v>3</v>
      </c>
      <c r="E304" s="13">
        <f>IF($F304=0,0,D304/$F304)</f>
        <v>0.12</v>
      </c>
      <c r="F304" s="12">
        <f>$F$302</f>
        <v>25</v>
      </c>
      <c r="G304" s="3" t="s">
        <v>1130</v>
      </c>
    </row>
    <row r="305" spans="1:7" ht="15.95" customHeight="1">
      <c r="A305" s="3" t="s">
        <v>1211</v>
      </c>
      <c r="B305" s="4" t="s">
        <v>669</v>
      </c>
      <c r="C305" s="4" t="s">
        <v>1182</v>
      </c>
      <c r="D305" s="18">
        <v>0</v>
      </c>
      <c r="E305" s="13">
        <f>IF($F305=0,0,D305/$F305)</f>
        <v>0</v>
      </c>
      <c r="F305" s="18">
        <v>25</v>
      </c>
      <c r="G305" s="3" t="s">
        <v>1130</v>
      </c>
    </row>
    <row r="306" spans="1:7" ht="15.95" customHeight="1">
      <c r="A306" s="3" t="s">
        <v>1211</v>
      </c>
      <c r="B306" s="4" t="s">
        <v>669</v>
      </c>
      <c r="C306" s="4" t="s">
        <v>1183</v>
      </c>
      <c r="D306" s="18">
        <v>22</v>
      </c>
      <c r="E306" s="13">
        <f>IF($F306=0,0,D306/$F306)</f>
        <v>0.88</v>
      </c>
      <c r="F306" s="12">
        <f>$F$305</f>
        <v>25</v>
      </c>
      <c r="G306" s="3" t="s">
        <v>1130</v>
      </c>
    </row>
    <row r="307" spans="1:7" ht="15.95" customHeight="1">
      <c r="A307" s="3" t="s">
        <v>1211</v>
      </c>
      <c r="B307" s="4" t="s">
        <v>669</v>
      </c>
      <c r="C307" s="4" t="s">
        <v>438</v>
      </c>
      <c r="D307" s="18">
        <v>3</v>
      </c>
      <c r="E307" s="13">
        <f>IF($F307=0,0,D307/$F307)</f>
        <v>0.12</v>
      </c>
      <c r="F307" s="12">
        <f>$F$305</f>
        <v>25</v>
      </c>
      <c r="G307" s="3" t="s">
        <v>1130</v>
      </c>
    </row>
    <row r="308" spans="1:7" ht="15.95" customHeight="1">
      <c r="A308" s="3" t="s">
        <v>1211</v>
      </c>
      <c r="B308" s="4" t="s">
        <v>670</v>
      </c>
      <c r="C308" s="4" t="s">
        <v>1182</v>
      </c>
      <c r="D308" s="18">
        <v>0</v>
      </c>
      <c r="E308" s="13">
        <f>IF($F308=0,0,D308/$F308)</f>
        <v>0</v>
      </c>
      <c r="F308" s="18">
        <v>25</v>
      </c>
      <c r="G308" s="3" t="s">
        <v>1130</v>
      </c>
    </row>
    <row r="309" spans="1:7" ht="15.95" customHeight="1">
      <c r="A309" s="3" t="s">
        <v>1211</v>
      </c>
      <c r="B309" s="4" t="s">
        <v>670</v>
      </c>
      <c r="C309" s="4" t="s">
        <v>1183</v>
      </c>
      <c r="D309" s="18">
        <v>22</v>
      </c>
      <c r="E309" s="13">
        <f>IF($F309=0,0,D309/$F309)</f>
        <v>0.88</v>
      </c>
      <c r="F309" s="12">
        <f>$F$308</f>
        <v>25</v>
      </c>
      <c r="G309" s="3" t="s">
        <v>1130</v>
      </c>
    </row>
    <row r="310" spans="1:7" ht="15.95" customHeight="1">
      <c r="A310" s="3" t="s">
        <v>1211</v>
      </c>
      <c r="B310" s="4" t="s">
        <v>670</v>
      </c>
      <c r="C310" s="4" t="s">
        <v>438</v>
      </c>
      <c r="D310" s="18">
        <v>3</v>
      </c>
      <c r="E310" s="13">
        <f>IF($F310=0,0,D310/$F310)</f>
        <v>0.12</v>
      </c>
      <c r="F310" s="12">
        <f>$F$308</f>
        <v>25</v>
      </c>
      <c r="G310" s="3" t="s">
        <v>1130</v>
      </c>
    </row>
    <row r="311" spans="1:7" ht="15.95" customHeight="1">
      <c r="A311" s="3" t="s">
        <v>1211</v>
      </c>
      <c r="B311" s="4" t="s">
        <v>671</v>
      </c>
      <c r="C311" s="4" t="s">
        <v>1182</v>
      </c>
      <c r="D311" s="18">
        <v>4</v>
      </c>
      <c r="E311" s="13">
        <f>IF($F311=0,0,D311/$F311)</f>
        <v>0.16</v>
      </c>
      <c r="F311" s="18">
        <v>25</v>
      </c>
      <c r="G311" s="3" t="s">
        <v>1130</v>
      </c>
    </row>
    <row r="312" spans="1:7" ht="15.95" customHeight="1">
      <c r="A312" s="3" t="s">
        <v>1211</v>
      </c>
      <c r="B312" s="4" t="s">
        <v>671</v>
      </c>
      <c r="C312" s="4" t="s">
        <v>1183</v>
      </c>
      <c r="D312" s="18">
        <v>18</v>
      </c>
      <c r="E312" s="13">
        <f>IF($F312=0,0,D312/$F312)</f>
        <v>0.72</v>
      </c>
      <c r="F312" s="12">
        <f>$F$311</f>
        <v>25</v>
      </c>
      <c r="G312" s="3" t="s">
        <v>1130</v>
      </c>
    </row>
    <row r="313" spans="1:7" ht="15.95" customHeight="1">
      <c r="A313" s="3" t="s">
        <v>1211</v>
      </c>
      <c r="B313" s="4" t="s">
        <v>671</v>
      </c>
      <c r="C313" s="4" t="s">
        <v>438</v>
      </c>
      <c r="D313" s="18">
        <v>3</v>
      </c>
      <c r="E313" s="13">
        <f>IF($F313=0,0,D313/$F313)</f>
        <v>0.12</v>
      </c>
      <c r="F313" s="12">
        <f>$F$311</f>
        <v>25</v>
      </c>
      <c r="G313" s="3" t="s">
        <v>1130</v>
      </c>
    </row>
    <row r="314" spans="1:7" ht="15.95" customHeight="1">
      <c r="A314" s="3" t="s">
        <v>1211</v>
      </c>
      <c r="B314" s="4" t="s">
        <v>672</v>
      </c>
      <c r="C314" s="4" t="s">
        <v>1182</v>
      </c>
      <c r="D314" s="18">
        <v>0</v>
      </c>
      <c r="E314" s="13">
        <f>IF($F314=0,0,D314/$F314)</f>
        <v>0</v>
      </c>
      <c r="F314" s="18">
        <v>25</v>
      </c>
      <c r="G314" s="3" t="s">
        <v>1130</v>
      </c>
    </row>
    <row r="315" spans="1:7" ht="15.95" customHeight="1">
      <c r="A315" s="3" t="s">
        <v>1211</v>
      </c>
      <c r="B315" s="4" t="s">
        <v>672</v>
      </c>
      <c r="C315" s="4" t="s">
        <v>1183</v>
      </c>
      <c r="D315" s="18">
        <v>22</v>
      </c>
      <c r="E315" s="13">
        <f>IF($F315=0,0,D315/$F315)</f>
        <v>0.88</v>
      </c>
      <c r="F315" s="12">
        <f>$F$314</f>
        <v>25</v>
      </c>
      <c r="G315" s="3" t="s">
        <v>1130</v>
      </c>
    </row>
    <row r="316" spans="1:7" ht="15.95" customHeight="1">
      <c r="A316" s="3" t="s">
        <v>1211</v>
      </c>
      <c r="B316" s="4" t="s">
        <v>672</v>
      </c>
      <c r="C316" s="4" t="s">
        <v>438</v>
      </c>
      <c r="D316" s="18">
        <v>3</v>
      </c>
      <c r="E316" s="13">
        <f>IF($F316=0,0,D316/$F316)</f>
        <v>0.12</v>
      </c>
      <c r="F316" s="12">
        <f>$F$314</f>
        <v>25</v>
      </c>
      <c r="G316" s="3" t="s">
        <v>1130</v>
      </c>
    </row>
    <row r="317" spans="1:7" ht="15.95" customHeight="1">
      <c r="A317" s="3" t="s">
        <v>1211</v>
      </c>
      <c r="B317" s="4" t="s">
        <v>673</v>
      </c>
      <c r="C317" s="4" t="s">
        <v>1182</v>
      </c>
      <c r="D317" s="18">
        <v>0</v>
      </c>
      <c r="E317" s="13">
        <f>IF($F317=0,0,D317/$F317)</f>
        <v>0</v>
      </c>
      <c r="F317" s="18">
        <v>25</v>
      </c>
      <c r="G317" s="3" t="s">
        <v>1130</v>
      </c>
    </row>
    <row r="318" spans="1:7" ht="15.95" customHeight="1">
      <c r="A318" s="3" t="s">
        <v>1211</v>
      </c>
      <c r="B318" s="4" t="s">
        <v>673</v>
      </c>
      <c r="C318" s="4" t="s">
        <v>1183</v>
      </c>
      <c r="D318" s="18">
        <v>22</v>
      </c>
      <c r="E318" s="13">
        <f>IF($F318=0,0,D318/$F318)</f>
        <v>0.88</v>
      </c>
      <c r="F318" s="12">
        <f>$F$317</f>
        <v>25</v>
      </c>
      <c r="G318" s="3" t="s">
        <v>1130</v>
      </c>
    </row>
    <row r="319" spans="1:7" ht="15.95" customHeight="1">
      <c r="A319" s="3" t="s">
        <v>1211</v>
      </c>
      <c r="B319" s="4" t="s">
        <v>673</v>
      </c>
      <c r="C319" s="4" t="s">
        <v>438</v>
      </c>
      <c r="D319" s="18">
        <v>3</v>
      </c>
      <c r="E319" s="13">
        <f>IF($F319=0,0,D319/$F319)</f>
        <v>0.12</v>
      </c>
      <c r="F319" s="12">
        <f>$F$317</f>
        <v>25</v>
      </c>
      <c r="G319" s="3" t="s">
        <v>1130</v>
      </c>
    </row>
    <row r="320" spans="1:7" ht="15.95" customHeight="1">
      <c r="A320" s="3" t="s">
        <v>1211</v>
      </c>
      <c r="B320" s="4" t="s">
        <v>674</v>
      </c>
      <c r="C320" s="4" t="s">
        <v>1182</v>
      </c>
      <c r="D320" s="18">
        <v>1</v>
      </c>
      <c r="E320" s="13">
        <f>IF($F320=0,0,D320/$F320)</f>
        <v>0.04</v>
      </c>
      <c r="F320" s="18">
        <v>25</v>
      </c>
      <c r="G320" s="3" t="s">
        <v>1130</v>
      </c>
    </row>
    <row r="321" spans="1:7" ht="15.95" customHeight="1">
      <c r="A321" s="3" t="s">
        <v>1211</v>
      </c>
      <c r="B321" s="4" t="s">
        <v>674</v>
      </c>
      <c r="C321" s="4" t="s">
        <v>1183</v>
      </c>
      <c r="D321" s="18">
        <v>21</v>
      </c>
      <c r="E321" s="13">
        <f>IF($F321=0,0,D321/$F321)</f>
        <v>0.84</v>
      </c>
      <c r="F321" s="12">
        <f>$F$320</f>
        <v>25</v>
      </c>
      <c r="G321" s="3" t="s">
        <v>1130</v>
      </c>
    </row>
    <row r="322" spans="1:7" ht="15.95" customHeight="1">
      <c r="A322" s="3" t="s">
        <v>1211</v>
      </c>
      <c r="B322" s="4" t="s">
        <v>674</v>
      </c>
      <c r="C322" s="4" t="s">
        <v>438</v>
      </c>
      <c r="D322" s="18">
        <v>3</v>
      </c>
      <c r="E322" s="13">
        <f>IF($F322=0,0,D322/$F322)</f>
        <v>0.12</v>
      </c>
      <c r="F322" s="12">
        <f>$F$320</f>
        <v>25</v>
      </c>
      <c r="G322" s="3" t="s">
        <v>1130</v>
      </c>
    </row>
    <row r="323" spans="1:7" ht="15.95" customHeight="1">
      <c r="A323" s="3" t="s">
        <v>1211</v>
      </c>
      <c r="B323" s="4" t="s">
        <v>675</v>
      </c>
      <c r="C323" s="4" t="s">
        <v>1182</v>
      </c>
      <c r="D323" s="18">
        <v>2</v>
      </c>
      <c r="E323" s="13">
        <f>IF($F323=0,0,D323/$F323)</f>
        <v>0.08</v>
      </c>
      <c r="F323" s="18">
        <v>25</v>
      </c>
      <c r="G323" s="3" t="s">
        <v>1130</v>
      </c>
    </row>
    <row r="324" spans="1:7" ht="15.95" customHeight="1">
      <c r="A324" s="3" t="s">
        <v>1211</v>
      </c>
      <c r="B324" s="4" t="s">
        <v>675</v>
      </c>
      <c r="C324" s="4" t="s">
        <v>1183</v>
      </c>
      <c r="D324" s="18">
        <v>20</v>
      </c>
      <c r="E324" s="13">
        <f>IF($F324=0,0,D324/$F324)</f>
        <v>0.8</v>
      </c>
      <c r="F324" s="12">
        <f>$F$323</f>
        <v>25</v>
      </c>
      <c r="G324" s="3" t="s">
        <v>1130</v>
      </c>
    </row>
    <row r="325" spans="1:7" ht="15.95" customHeight="1">
      <c r="A325" s="3" t="s">
        <v>1211</v>
      </c>
      <c r="B325" s="4" t="s">
        <v>675</v>
      </c>
      <c r="C325" s="4" t="s">
        <v>438</v>
      </c>
      <c r="D325" s="18">
        <v>3</v>
      </c>
      <c r="E325" s="13">
        <f>IF($F325=0,0,D325/$F325)</f>
        <v>0.12</v>
      </c>
      <c r="F325" s="12">
        <f>$F$323</f>
        <v>25</v>
      </c>
      <c r="G325" s="3" t="s">
        <v>1130</v>
      </c>
    </row>
    <row r="326" spans="1:7" ht="15.95" customHeight="1">
      <c r="A326" s="3" t="s">
        <v>1211</v>
      </c>
      <c r="B326" s="4" t="s">
        <v>682</v>
      </c>
      <c r="C326" s="4" t="s">
        <v>1182</v>
      </c>
      <c r="D326" s="18">
        <v>2</v>
      </c>
      <c r="E326" s="13">
        <f>IF($F326=0,0,D326/$F326)</f>
        <v>0.08</v>
      </c>
      <c r="F326" s="18">
        <v>25</v>
      </c>
      <c r="G326" s="3" t="s">
        <v>1130</v>
      </c>
    </row>
    <row r="327" spans="1:7" ht="15.95" customHeight="1">
      <c r="A327" s="3" t="s">
        <v>1211</v>
      </c>
      <c r="B327" s="4" t="s">
        <v>682</v>
      </c>
      <c r="C327" s="4" t="s">
        <v>1183</v>
      </c>
      <c r="D327" s="18">
        <v>20</v>
      </c>
      <c r="E327" s="13">
        <f>IF($F327=0,0,D327/$F327)</f>
        <v>0.8</v>
      </c>
      <c r="F327" s="12">
        <f>$F$326</f>
        <v>25</v>
      </c>
      <c r="G327" s="3" t="s">
        <v>1130</v>
      </c>
    </row>
    <row r="328" spans="1:7" ht="15.95" customHeight="1">
      <c r="A328" s="3" t="s">
        <v>1211</v>
      </c>
      <c r="B328" s="4" t="s">
        <v>682</v>
      </c>
      <c r="C328" s="4" t="s">
        <v>438</v>
      </c>
      <c r="D328" s="18">
        <v>3</v>
      </c>
      <c r="E328" s="13">
        <f>IF($F328=0,0,D328/$F328)</f>
        <v>0.12</v>
      </c>
      <c r="F328" s="12">
        <f>$F$326</f>
        <v>25</v>
      </c>
      <c r="G328" s="3" t="s">
        <v>1130</v>
      </c>
    </row>
    <row r="329" spans="1:7" ht="15.95" customHeight="1">
      <c r="A329" s="3" t="s">
        <v>1211</v>
      </c>
      <c r="B329" s="4" t="s">
        <v>676</v>
      </c>
      <c r="C329" s="4" t="s">
        <v>1182</v>
      </c>
      <c r="D329" s="18">
        <v>8</v>
      </c>
      <c r="E329" s="13">
        <f>IF($F329=0,0,D329/$F329)</f>
        <v>0.32</v>
      </c>
      <c r="F329" s="18">
        <v>25</v>
      </c>
      <c r="G329" s="3" t="s">
        <v>1130</v>
      </c>
    </row>
    <row r="330" spans="1:7" ht="15.95" customHeight="1">
      <c r="A330" s="3" t="s">
        <v>1211</v>
      </c>
      <c r="B330" s="4" t="s">
        <v>676</v>
      </c>
      <c r="C330" s="4" t="s">
        <v>1183</v>
      </c>
      <c r="D330" s="18">
        <v>14</v>
      </c>
      <c r="E330" s="13">
        <f>IF($F330=0,0,D330/$F330)</f>
        <v>0.56000000000000005</v>
      </c>
      <c r="F330" s="12">
        <f>$F$329</f>
        <v>25</v>
      </c>
      <c r="G330" s="3" t="s">
        <v>1130</v>
      </c>
    </row>
    <row r="331" spans="1:7" ht="15.95" customHeight="1">
      <c r="A331" s="3" t="s">
        <v>1211</v>
      </c>
      <c r="B331" s="4" t="s">
        <v>676</v>
      </c>
      <c r="C331" s="4" t="s">
        <v>438</v>
      </c>
      <c r="D331" s="18">
        <v>3</v>
      </c>
      <c r="E331" s="13">
        <f>IF($F331=0,0,D331/$F331)</f>
        <v>0.12</v>
      </c>
      <c r="F331" s="12">
        <f>$F$329</f>
        <v>25</v>
      </c>
      <c r="G331" s="3" t="s">
        <v>1130</v>
      </c>
    </row>
    <row r="332" spans="1:7" ht="15.95" customHeight="1">
      <c r="A332" s="3" t="s">
        <v>1211</v>
      </c>
      <c r="B332" s="4" t="s">
        <v>677</v>
      </c>
      <c r="C332" s="4" t="s">
        <v>1182</v>
      </c>
      <c r="D332" s="18">
        <v>0</v>
      </c>
      <c r="E332" s="13">
        <f>IF($F332=0,0,D332/$F332)</f>
        <v>0</v>
      </c>
      <c r="F332" s="18">
        <v>25</v>
      </c>
      <c r="G332" s="3" t="s">
        <v>1130</v>
      </c>
    </row>
    <row r="333" spans="1:7" ht="15.95" customHeight="1">
      <c r="A333" s="3" t="s">
        <v>1211</v>
      </c>
      <c r="B333" s="4" t="s">
        <v>677</v>
      </c>
      <c r="C333" s="4" t="s">
        <v>1183</v>
      </c>
      <c r="D333" s="18">
        <v>23</v>
      </c>
      <c r="E333" s="13">
        <f>IF($F333=0,0,D333/$F333)</f>
        <v>0.92</v>
      </c>
      <c r="F333" s="12">
        <f>$F$332</f>
        <v>25</v>
      </c>
      <c r="G333" s="3" t="s">
        <v>1130</v>
      </c>
    </row>
    <row r="334" spans="1:7" ht="15.95" customHeight="1">
      <c r="A334" s="3" t="s">
        <v>1211</v>
      </c>
      <c r="B334" s="4" t="s">
        <v>677</v>
      </c>
      <c r="C334" s="4" t="s">
        <v>438</v>
      </c>
      <c r="D334" s="18">
        <v>2</v>
      </c>
      <c r="E334" s="13">
        <f>IF($F334=0,0,D334/$F334)</f>
        <v>0.08</v>
      </c>
      <c r="F334" s="12">
        <f>$F$332</f>
        <v>25</v>
      </c>
      <c r="G334" s="3" t="s">
        <v>1130</v>
      </c>
    </row>
    <row r="335" spans="1:7" ht="15.95" customHeight="1">
      <c r="A335" s="3" t="s">
        <v>1211</v>
      </c>
      <c r="B335" s="4" t="s">
        <v>678</v>
      </c>
      <c r="C335" s="4" t="s">
        <v>1182</v>
      </c>
      <c r="D335" s="18">
        <v>0</v>
      </c>
      <c r="E335" s="13">
        <f>IF($F335=0,0,D335/$F335)</f>
        <v>0</v>
      </c>
      <c r="F335" s="18">
        <v>25</v>
      </c>
      <c r="G335" s="3" t="s">
        <v>1130</v>
      </c>
    </row>
    <row r="336" spans="1:7" ht="15.95" customHeight="1">
      <c r="A336" s="3" t="s">
        <v>1211</v>
      </c>
      <c r="B336" s="4" t="s">
        <v>678</v>
      </c>
      <c r="C336" s="4" t="s">
        <v>1183</v>
      </c>
      <c r="D336" s="18">
        <v>23</v>
      </c>
      <c r="E336" s="13">
        <f>IF($F336=0,0,D336/$F336)</f>
        <v>0.92</v>
      </c>
      <c r="F336" s="12">
        <f>$F$335</f>
        <v>25</v>
      </c>
      <c r="G336" s="3" t="s">
        <v>1130</v>
      </c>
    </row>
    <row r="337" spans="1:7" ht="15.95" customHeight="1">
      <c r="A337" s="3" t="s">
        <v>1211</v>
      </c>
      <c r="B337" s="4" t="s">
        <v>678</v>
      </c>
      <c r="C337" s="4" t="s">
        <v>438</v>
      </c>
      <c r="D337" s="18">
        <v>2</v>
      </c>
      <c r="E337" s="13">
        <f>IF($F337=0,0,D337/$F337)</f>
        <v>0.08</v>
      </c>
      <c r="F337" s="12">
        <f>$F$335</f>
        <v>25</v>
      </c>
      <c r="G337" s="3" t="s">
        <v>1130</v>
      </c>
    </row>
    <row r="338" spans="1:7" ht="15.95" customHeight="1">
      <c r="A338" s="3" t="s">
        <v>1211</v>
      </c>
      <c r="B338" s="4" t="s">
        <v>679</v>
      </c>
      <c r="C338" s="4" t="s">
        <v>1182</v>
      </c>
      <c r="D338" s="18">
        <v>1</v>
      </c>
      <c r="E338" s="13">
        <f>IF($F338=0,0,D338/$F338)</f>
        <v>0.04</v>
      </c>
      <c r="F338" s="18">
        <v>25</v>
      </c>
      <c r="G338" s="3" t="s">
        <v>1130</v>
      </c>
    </row>
    <row r="339" spans="1:7" ht="15.95" customHeight="1">
      <c r="A339" s="3" t="s">
        <v>1211</v>
      </c>
      <c r="B339" s="4" t="s">
        <v>679</v>
      </c>
      <c r="C339" s="4" t="s">
        <v>1183</v>
      </c>
      <c r="D339" s="18">
        <v>22</v>
      </c>
      <c r="E339" s="13">
        <f>IF($F339=0,0,D339/$F339)</f>
        <v>0.88</v>
      </c>
      <c r="F339" s="12">
        <f>$F$338</f>
        <v>25</v>
      </c>
      <c r="G339" s="3" t="s">
        <v>1130</v>
      </c>
    </row>
    <row r="340" spans="1:7" ht="15.95" customHeight="1">
      <c r="A340" s="3" t="s">
        <v>1211</v>
      </c>
      <c r="B340" s="4" t="s">
        <v>679</v>
      </c>
      <c r="C340" s="4" t="s">
        <v>438</v>
      </c>
      <c r="D340" s="18">
        <v>2</v>
      </c>
      <c r="E340" s="13">
        <f>IF($F340=0,0,D340/$F340)</f>
        <v>0.08</v>
      </c>
      <c r="F340" s="12">
        <f>$F$338</f>
        <v>25</v>
      </c>
      <c r="G340" s="3" t="s">
        <v>1130</v>
      </c>
    </row>
    <row r="341" spans="1:7" ht="15.95" customHeight="1">
      <c r="A341" s="3" t="s">
        <v>1211</v>
      </c>
      <c r="B341" s="4" t="s">
        <v>680</v>
      </c>
      <c r="C341" s="4" t="s">
        <v>1182</v>
      </c>
      <c r="D341" s="18">
        <v>0</v>
      </c>
      <c r="E341" s="13">
        <f>IF($F341=0,0,D341/$F341)</f>
        <v>0</v>
      </c>
      <c r="F341" s="18">
        <v>25</v>
      </c>
      <c r="G341" s="3" t="s">
        <v>1130</v>
      </c>
    </row>
    <row r="342" spans="1:7" ht="15.95" customHeight="1">
      <c r="A342" s="3" t="s">
        <v>1211</v>
      </c>
      <c r="B342" s="4" t="s">
        <v>680</v>
      </c>
      <c r="C342" s="4" t="s">
        <v>1183</v>
      </c>
      <c r="D342" s="18">
        <v>23</v>
      </c>
      <c r="E342" s="13">
        <f>IF($F342=0,0,D342/$F342)</f>
        <v>0.92</v>
      </c>
      <c r="F342" s="12">
        <f>$F$341</f>
        <v>25</v>
      </c>
      <c r="G342" s="3" t="s">
        <v>1130</v>
      </c>
    </row>
    <row r="343" spans="1:7" ht="15.95" customHeight="1">
      <c r="A343" s="3" t="s">
        <v>1211</v>
      </c>
      <c r="B343" s="4" t="s">
        <v>680</v>
      </c>
      <c r="C343" s="4" t="s">
        <v>438</v>
      </c>
      <c r="D343" s="18">
        <v>2</v>
      </c>
      <c r="E343" s="13">
        <f>IF($F343=0,0,D343/$F343)</f>
        <v>0.08</v>
      </c>
      <c r="F343" s="12">
        <f>$F$341</f>
        <v>25</v>
      </c>
      <c r="G343" s="3" t="s">
        <v>1130</v>
      </c>
    </row>
    <row r="344" spans="1:7" ht="15.95" customHeight="1">
      <c r="A344" s="3" t="s">
        <v>1211</v>
      </c>
      <c r="B344" s="4" t="s">
        <v>681</v>
      </c>
      <c r="C344" s="4" t="s">
        <v>1182</v>
      </c>
      <c r="D344" s="18">
        <v>2</v>
      </c>
      <c r="E344" s="13">
        <f>IF($F344=0,0,D344/$F344)</f>
        <v>0.08</v>
      </c>
      <c r="F344" s="18">
        <v>25</v>
      </c>
      <c r="G344" s="3" t="s">
        <v>1130</v>
      </c>
    </row>
    <row r="345" spans="1:7" ht="15.95" customHeight="1">
      <c r="A345" s="3" t="s">
        <v>1211</v>
      </c>
      <c r="B345" s="4" t="s">
        <v>681</v>
      </c>
      <c r="C345" s="4" t="s">
        <v>1183</v>
      </c>
      <c r="D345" s="18">
        <v>21</v>
      </c>
      <c r="E345" s="13">
        <f>IF($F345=0,0,D345/$F345)</f>
        <v>0.84</v>
      </c>
      <c r="F345" s="12">
        <f>$F$344</f>
        <v>25</v>
      </c>
      <c r="G345" s="3" t="s">
        <v>1130</v>
      </c>
    </row>
    <row r="346" spans="1:7" ht="15.95" customHeight="1">
      <c r="A346" s="3" t="s">
        <v>1211</v>
      </c>
      <c r="B346" s="4" t="s">
        <v>681</v>
      </c>
      <c r="C346" s="4" t="s">
        <v>438</v>
      </c>
      <c r="D346" s="18">
        <v>2</v>
      </c>
      <c r="E346" s="13">
        <f>IF($F346=0,0,D346/$F346)</f>
        <v>0.08</v>
      </c>
      <c r="F346" s="12">
        <f>$F$344</f>
        <v>25</v>
      </c>
      <c r="G346" s="3" t="s">
        <v>1130</v>
      </c>
    </row>
    <row r="347" spans="1:7" ht="15.95" customHeight="1">
      <c r="A347" s="3" t="s">
        <v>1211</v>
      </c>
      <c r="B347" s="4" t="s">
        <v>858</v>
      </c>
      <c r="C347" s="4" t="s">
        <v>1182</v>
      </c>
      <c r="D347" s="18">
        <v>6</v>
      </c>
      <c r="E347" s="13">
        <f>IF($F347=0,0,D347/$F347)</f>
        <v>0.24</v>
      </c>
      <c r="F347" s="18">
        <v>25</v>
      </c>
      <c r="G347" s="3" t="s">
        <v>1130</v>
      </c>
    </row>
    <row r="348" spans="1:7" ht="15.95" customHeight="1">
      <c r="A348" s="3" t="s">
        <v>1211</v>
      </c>
      <c r="B348" s="4" t="s">
        <v>858</v>
      </c>
      <c r="C348" s="4" t="s">
        <v>1183</v>
      </c>
      <c r="D348" s="18">
        <v>17</v>
      </c>
      <c r="E348" s="13">
        <f>IF($F348=0,0,D348/$F348)</f>
        <v>0.68</v>
      </c>
      <c r="F348" s="12">
        <f>$F$347</f>
        <v>25</v>
      </c>
      <c r="G348" s="3" t="s">
        <v>1130</v>
      </c>
    </row>
    <row r="349" spans="1:7" ht="15.95" customHeight="1">
      <c r="A349" s="3" t="s">
        <v>1211</v>
      </c>
      <c r="B349" s="4" t="s">
        <v>858</v>
      </c>
      <c r="C349" s="4" t="s">
        <v>438</v>
      </c>
      <c r="D349" s="18">
        <v>2</v>
      </c>
      <c r="E349" s="13">
        <f>IF($F349=0,0,D349/$F349)</f>
        <v>0.08</v>
      </c>
      <c r="F349" s="12">
        <f>$F$347</f>
        <v>25</v>
      </c>
      <c r="G349" s="3" t="s">
        <v>1130</v>
      </c>
    </row>
    <row r="350" spans="1:7" ht="15.95" customHeight="1">
      <c r="A350" s="3" t="s">
        <v>1211</v>
      </c>
      <c r="B350" s="4" t="s">
        <v>859</v>
      </c>
      <c r="C350" s="4" t="s">
        <v>1182</v>
      </c>
      <c r="D350" s="18">
        <v>1</v>
      </c>
      <c r="E350" s="13">
        <f>IF($F350=0,0,D350/$F350)</f>
        <v>0.04</v>
      </c>
      <c r="F350" s="18">
        <v>25</v>
      </c>
      <c r="G350" s="3" t="s">
        <v>1130</v>
      </c>
    </row>
    <row r="351" spans="1:7" ht="15.95" customHeight="1">
      <c r="A351" s="3" t="s">
        <v>1211</v>
      </c>
      <c r="B351" s="4" t="s">
        <v>859</v>
      </c>
      <c r="C351" s="4" t="s">
        <v>1183</v>
      </c>
      <c r="D351" s="18">
        <v>22</v>
      </c>
      <c r="E351" s="13">
        <f>IF($F351=0,0,D351/$F351)</f>
        <v>0.88</v>
      </c>
      <c r="F351" s="12">
        <f>$F$350</f>
        <v>25</v>
      </c>
      <c r="G351" s="3" t="s">
        <v>1130</v>
      </c>
    </row>
    <row r="352" spans="1:7" ht="15.95" customHeight="1">
      <c r="A352" s="3" t="s">
        <v>1211</v>
      </c>
      <c r="B352" s="4" t="s">
        <v>859</v>
      </c>
      <c r="C352" s="4" t="s">
        <v>438</v>
      </c>
      <c r="D352" s="18">
        <v>2</v>
      </c>
      <c r="E352" s="13">
        <f>IF($F352=0,0,D352/$F352)</f>
        <v>0.08</v>
      </c>
      <c r="F352" s="12">
        <f>$F$350</f>
        <v>25</v>
      </c>
      <c r="G352" s="3" t="s">
        <v>1130</v>
      </c>
    </row>
    <row r="353" spans="1:7" ht="15.95" customHeight="1">
      <c r="A353" s="3" t="s">
        <v>1211</v>
      </c>
      <c r="B353" s="4" t="s">
        <v>860</v>
      </c>
      <c r="C353" s="4" t="s">
        <v>1182</v>
      </c>
      <c r="D353" s="18">
        <v>1</v>
      </c>
      <c r="E353" s="13">
        <f>IF($F353=0,0,D353/$F353)</f>
        <v>0.04</v>
      </c>
      <c r="F353" s="18">
        <v>25</v>
      </c>
      <c r="G353" s="3" t="s">
        <v>1130</v>
      </c>
    </row>
    <row r="354" spans="1:7" ht="15.95" customHeight="1">
      <c r="A354" s="3" t="s">
        <v>1211</v>
      </c>
      <c r="B354" s="4" t="s">
        <v>860</v>
      </c>
      <c r="C354" s="4" t="s">
        <v>1183</v>
      </c>
      <c r="D354" s="18">
        <v>22</v>
      </c>
      <c r="E354" s="13">
        <f>IF($F354=0,0,D354/$F354)</f>
        <v>0.88</v>
      </c>
      <c r="F354" s="12">
        <f>$F$353</f>
        <v>25</v>
      </c>
      <c r="G354" s="3" t="s">
        <v>1130</v>
      </c>
    </row>
    <row r="355" spans="1:7" ht="15.95" customHeight="1">
      <c r="A355" s="3" t="s">
        <v>1211</v>
      </c>
      <c r="B355" s="4" t="s">
        <v>860</v>
      </c>
      <c r="C355" s="4" t="s">
        <v>438</v>
      </c>
      <c r="D355" s="18">
        <v>2</v>
      </c>
      <c r="E355" s="13">
        <f>IF($F355=0,0,D355/$F355)</f>
        <v>0.08</v>
      </c>
      <c r="F355" s="12">
        <f>$F$353</f>
        <v>25</v>
      </c>
      <c r="G355" s="3" t="s">
        <v>1130</v>
      </c>
    </row>
    <row r="356" spans="1:7" ht="15.95" customHeight="1">
      <c r="A356" s="3" t="s">
        <v>1211</v>
      </c>
      <c r="B356" s="4" t="s">
        <v>861</v>
      </c>
      <c r="C356" s="4" t="s">
        <v>1182</v>
      </c>
      <c r="D356" s="18">
        <v>2</v>
      </c>
      <c r="E356" s="13">
        <f>IF($F356=0,0,D356/$F356)</f>
        <v>0.08</v>
      </c>
      <c r="F356" s="18">
        <v>25</v>
      </c>
      <c r="G356" s="3" t="s">
        <v>1130</v>
      </c>
    </row>
    <row r="357" spans="1:7" ht="15.95" customHeight="1">
      <c r="A357" s="3" t="s">
        <v>1211</v>
      </c>
      <c r="B357" s="4" t="s">
        <v>861</v>
      </c>
      <c r="C357" s="4" t="s">
        <v>1183</v>
      </c>
      <c r="D357" s="18">
        <v>21</v>
      </c>
      <c r="E357" s="13">
        <f>IF($F357=0,0,D357/$F357)</f>
        <v>0.84</v>
      </c>
      <c r="F357" s="12">
        <f>$F$356</f>
        <v>25</v>
      </c>
      <c r="G357" s="3" t="s">
        <v>1130</v>
      </c>
    </row>
    <row r="358" spans="1:7" ht="15.95" customHeight="1">
      <c r="A358" s="3" t="s">
        <v>1211</v>
      </c>
      <c r="B358" s="4" t="s">
        <v>861</v>
      </c>
      <c r="C358" s="4" t="s">
        <v>438</v>
      </c>
      <c r="D358" s="18">
        <v>2</v>
      </c>
      <c r="E358" s="13">
        <f>IF($F358=0,0,D358/$F358)</f>
        <v>0.08</v>
      </c>
      <c r="F358" s="12">
        <f>$F$356</f>
        <v>25</v>
      </c>
      <c r="G358" s="3" t="s">
        <v>1130</v>
      </c>
    </row>
    <row r="359" spans="1:7" ht="15.95" customHeight="1">
      <c r="A359" s="3" t="s">
        <v>1211</v>
      </c>
      <c r="B359" s="4" t="s">
        <v>862</v>
      </c>
      <c r="C359" s="4" t="s">
        <v>1182</v>
      </c>
      <c r="D359" s="18">
        <v>0</v>
      </c>
      <c r="E359" s="13">
        <f>IF($F359=0,0,D359/$F359)</f>
        <v>0</v>
      </c>
      <c r="F359" s="18">
        <v>25</v>
      </c>
      <c r="G359" s="3" t="s">
        <v>1130</v>
      </c>
    </row>
    <row r="360" spans="1:7" ht="15.95" customHeight="1">
      <c r="A360" s="3" t="s">
        <v>1211</v>
      </c>
      <c r="B360" s="4" t="s">
        <v>862</v>
      </c>
      <c r="C360" s="4" t="s">
        <v>1183</v>
      </c>
      <c r="D360" s="18">
        <v>23</v>
      </c>
      <c r="E360" s="13">
        <f>IF($F360=0,0,D360/$F360)</f>
        <v>0.92</v>
      </c>
      <c r="F360" s="12">
        <f>$F$359</f>
        <v>25</v>
      </c>
      <c r="G360" s="3" t="s">
        <v>1130</v>
      </c>
    </row>
    <row r="361" spans="1:7" ht="15.95" customHeight="1">
      <c r="A361" s="3" t="s">
        <v>1211</v>
      </c>
      <c r="B361" s="4" t="s">
        <v>862</v>
      </c>
      <c r="C361" s="4" t="s">
        <v>438</v>
      </c>
      <c r="D361" s="18">
        <v>2</v>
      </c>
      <c r="E361" s="13">
        <f>IF($F361=0,0,D361/$F361)</f>
        <v>0.08</v>
      </c>
      <c r="F361" s="12">
        <f>$F$359</f>
        <v>25</v>
      </c>
      <c r="G361" s="3" t="s">
        <v>1130</v>
      </c>
    </row>
    <row r="362" spans="1:7" ht="15.95" customHeight="1">
      <c r="A362" s="3" t="s">
        <v>1211</v>
      </c>
      <c r="B362" s="4" t="s">
        <v>863</v>
      </c>
      <c r="C362" s="4" t="s">
        <v>1182</v>
      </c>
      <c r="D362" s="18">
        <v>0</v>
      </c>
      <c r="E362" s="13">
        <f>IF($F362=0,0,D362/$F362)</f>
        <v>0</v>
      </c>
      <c r="F362" s="18">
        <v>25</v>
      </c>
      <c r="G362" s="3" t="s">
        <v>1130</v>
      </c>
    </row>
    <row r="363" spans="1:7" ht="15.95" customHeight="1">
      <c r="A363" s="3" t="s">
        <v>1211</v>
      </c>
      <c r="B363" s="4" t="s">
        <v>863</v>
      </c>
      <c r="C363" s="4" t="s">
        <v>1183</v>
      </c>
      <c r="D363" s="18">
        <v>23</v>
      </c>
      <c r="E363" s="13">
        <f>IF($F363=0,0,D363/$F363)</f>
        <v>0.92</v>
      </c>
      <c r="F363" s="12">
        <f>$F$362</f>
        <v>25</v>
      </c>
      <c r="G363" s="3" t="s">
        <v>1130</v>
      </c>
    </row>
    <row r="364" spans="1:7" ht="15.95" customHeight="1">
      <c r="A364" s="3" t="s">
        <v>1211</v>
      </c>
      <c r="B364" s="4" t="s">
        <v>863</v>
      </c>
      <c r="C364" s="4" t="s">
        <v>438</v>
      </c>
      <c r="D364" s="18">
        <v>2</v>
      </c>
      <c r="E364" s="13">
        <f>IF($F364=0,0,D364/$F364)</f>
        <v>0.08</v>
      </c>
      <c r="F364" s="12">
        <f>$F$362</f>
        <v>25</v>
      </c>
      <c r="G364" s="3" t="s">
        <v>1130</v>
      </c>
    </row>
    <row r="365" spans="1:7" ht="27.95" customHeight="1">
      <c r="A365" s="3" t="s">
        <v>1178</v>
      </c>
      <c r="B365" s="4" t="s">
        <v>1184</v>
      </c>
      <c r="C365" s="4" t="s">
        <v>697</v>
      </c>
      <c r="D365" s="18">
        <v>25</v>
      </c>
      <c r="E365" s="13">
        <f>IF($F365=0,0,D365/$F365)</f>
        <v>1</v>
      </c>
      <c r="F365" s="18">
        <v>25</v>
      </c>
      <c r="G365" s="3" t="s">
        <v>1128</v>
      </c>
    </row>
    <row r="366" spans="1:7" ht="27.95" customHeight="1">
      <c r="A366" s="3" t="s">
        <v>1178</v>
      </c>
      <c r="B366" s="4" t="s">
        <v>1184</v>
      </c>
      <c r="C366" s="4" t="s">
        <v>699</v>
      </c>
      <c r="D366" s="18">
        <v>11</v>
      </c>
      <c r="E366" s="13">
        <f>IF($F366=0,0,D366/$F366)</f>
        <v>0.44</v>
      </c>
      <c r="F366" s="12">
        <f>$F$365</f>
        <v>25</v>
      </c>
      <c r="G366" s="3" t="s">
        <v>1128</v>
      </c>
    </row>
    <row r="367" spans="1:7" ht="27.95" customHeight="1">
      <c r="A367" s="3" t="s">
        <v>1178</v>
      </c>
      <c r="B367" s="4" t="s">
        <v>1184</v>
      </c>
      <c r="C367" s="4" t="s">
        <v>704</v>
      </c>
      <c r="D367" s="18">
        <v>0</v>
      </c>
      <c r="E367" s="13">
        <f>IF($F367=0,0,D367/$F367)</f>
        <v>0</v>
      </c>
      <c r="F367" s="12">
        <f>$F$365</f>
        <v>25</v>
      </c>
      <c r="G367" s="3" t="s">
        <v>1128</v>
      </c>
    </row>
    <row r="368" spans="1:7" ht="27.95" customHeight="1">
      <c r="A368" s="3" t="s">
        <v>1178</v>
      </c>
      <c r="B368" s="4" t="s">
        <v>1184</v>
      </c>
      <c r="C368" s="4" t="s">
        <v>700</v>
      </c>
      <c r="D368" s="18">
        <v>4</v>
      </c>
      <c r="E368" s="13">
        <f>IF($F368=0,0,D368/$F368)</f>
        <v>0.16</v>
      </c>
      <c r="F368" s="12">
        <f>$F$365</f>
        <v>25</v>
      </c>
      <c r="G368" s="3" t="s">
        <v>1128</v>
      </c>
    </row>
    <row r="369" spans="1:7" ht="27.95" customHeight="1">
      <c r="A369" s="3" t="s">
        <v>1178</v>
      </c>
      <c r="B369" s="4" t="s">
        <v>1184</v>
      </c>
      <c r="C369" s="4" t="s">
        <v>705</v>
      </c>
      <c r="D369" s="18">
        <v>0</v>
      </c>
      <c r="E369" s="13">
        <f>IF($F369=0,0,D369/$F369)</f>
        <v>0</v>
      </c>
      <c r="F369" s="12">
        <f>$F$365</f>
        <v>25</v>
      </c>
      <c r="G369" s="3" t="s">
        <v>1128</v>
      </c>
    </row>
    <row r="370" spans="1:7" ht="27.95" customHeight="1">
      <c r="A370" s="3" t="s">
        <v>1178</v>
      </c>
      <c r="B370" s="4" t="s">
        <v>1184</v>
      </c>
      <c r="C370" s="4" t="s">
        <v>710</v>
      </c>
      <c r="D370" s="18">
        <v>0</v>
      </c>
      <c r="E370" s="13">
        <f>IF($F370=0,0,D370/$F370)</f>
        <v>0</v>
      </c>
      <c r="F370" s="12">
        <f>$F$365</f>
        <v>25</v>
      </c>
      <c r="G370" s="3" t="s">
        <v>1128</v>
      </c>
    </row>
    <row r="371" spans="1:7" ht="27.95" customHeight="1">
      <c r="A371" s="3" t="s">
        <v>1178</v>
      </c>
      <c r="B371" s="4" t="s">
        <v>1184</v>
      </c>
      <c r="C371" s="4" t="s">
        <v>698</v>
      </c>
      <c r="D371" s="18">
        <v>0</v>
      </c>
      <c r="E371" s="13">
        <f>IF($F371=0,0,D371/$F371)</f>
        <v>0</v>
      </c>
      <c r="F371" s="12">
        <f>$F$365</f>
        <v>25</v>
      </c>
      <c r="G371" s="3" t="s">
        <v>1128</v>
      </c>
    </row>
    <row r="372" spans="1:7" ht="27.95" customHeight="1">
      <c r="A372" s="3" t="s">
        <v>1178</v>
      </c>
      <c r="B372" s="4" t="s">
        <v>1184</v>
      </c>
      <c r="C372" s="4" t="s">
        <v>701</v>
      </c>
      <c r="D372" s="18">
        <v>0</v>
      </c>
      <c r="E372" s="13">
        <f>IF($F372=0,0,D372/$F372)</f>
        <v>0</v>
      </c>
      <c r="F372" s="12">
        <f>$F$365</f>
        <v>25</v>
      </c>
      <c r="G372" s="3" t="s">
        <v>1128</v>
      </c>
    </row>
    <row r="373" spans="1:7" ht="27.95" customHeight="1">
      <c r="A373" s="3" t="s">
        <v>1178</v>
      </c>
      <c r="B373" s="4" t="s">
        <v>1184</v>
      </c>
      <c r="C373" s="4" t="s">
        <v>708</v>
      </c>
      <c r="D373" s="18">
        <v>0</v>
      </c>
      <c r="E373" s="13">
        <f>IF($F373=0,0,D373/$F373)</f>
        <v>0</v>
      </c>
      <c r="F373" s="12">
        <f>$F$365</f>
        <v>25</v>
      </c>
      <c r="G373" s="3" t="s">
        <v>1128</v>
      </c>
    </row>
    <row r="374" spans="1:7" ht="27.95" customHeight="1">
      <c r="A374" s="3" t="s">
        <v>1178</v>
      </c>
      <c r="B374" s="4" t="s">
        <v>1184</v>
      </c>
      <c r="C374" s="4" t="s">
        <v>867</v>
      </c>
      <c r="D374" s="18">
        <v>16</v>
      </c>
      <c r="E374" s="13">
        <f>IF($F374=0,0,D374/$F374)</f>
        <v>0.64</v>
      </c>
      <c r="F374" s="12">
        <f>$F$365</f>
        <v>25</v>
      </c>
      <c r="G374" s="3" t="s">
        <v>1128</v>
      </c>
    </row>
    <row r="375" spans="1:7" ht="27.95" customHeight="1">
      <c r="A375" s="3" t="s">
        <v>1178</v>
      </c>
      <c r="B375" s="4" t="s">
        <v>1184</v>
      </c>
      <c r="C375" s="4" t="s">
        <v>702</v>
      </c>
      <c r="D375" s="18">
        <v>0</v>
      </c>
      <c r="E375" s="13">
        <f>IF($F375=0,0,D375/$F375)</f>
        <v>0</v>
      </c>
      <c r="F375" s="12">
        <f>$F$365</f>
        <v>25</v>
      </c>
      <c r="G375" s="3" t="s">
        <v>1128</v>
      </c>
    </row>
    <row r="376" spans="1:7" ht="27.95" customHeight="1">
      <c r="A376" s="3" t="s">
        <v>1178</v>
      </c>
      <c r="B376" s="4" t="s">
        <v>1184</v>
      </c>
      <c r="C376" s="4" t="s">
        <v>703</v>
      </c>
      <c r="D376" s="18">
        <v>0</v>
      </c>
      <c r="E376" s="13">
        <f>IF($F376=0,0,D376/$F376)</f>
        <v>0</v>
      </c>
      <c r="F376" s="12">
        <f>$F$365</f>
        <v>25</v>
      </c>
      <c r="G376" s="3" t="s">
        <v>1128</v>
      </c>
    </row>
    <row r="377" spans="1:7" ht="27.95" customHeight="1">
      <c r="A377" s="3" t="s">
        <v>1178</v>
      </c>
      <c r="B377" s="4" t="s">
        <v>1184</v>
      </c>
      <c r="C377" s="4" t="s">
        <v>437</v>
      </c>
      <c r="D377" s="18">
        <v>0</v>
      </c>
      <c r="E377" s="13">
        <f>IF($F377=0,0,D377/$F377)</f>
        <v>0</v>
      </c>
      <c r="F377" s="12">
        <f>$F$365</f>
        <v>25</v>
      </c>
      <c r="G377" s="3" t="s">
        <v>1128</v>
      </c>
    </row>
    <row r="378" spans="1:7" ht="27.95" customHeight="1">
      <c r="A378" s="3" t="s">
        <v>1178</v>
      </c>
      <c r="B378" s="4" t="s">
        <v>1184</v>
      </c>
      <c r="C378" s="4" t="s">
        <v>707</v>
      </c>
      <c r="D378" s="18">
        <v>0</v>
      </c>
      <c r="E378" s="13">
        <f>IF($F378=0,0,D378/$F378)</f>
        <v>0</v>
      </c>
      <c r="F378" s="12">
        <f>$F$365</f>
        <v>25</v>
      </c>
      <c r="G378" s="3" t="s">
        <v>1128</v>
      </c>
    </row>
    <row r="379" spans="1:7" ht="27.95" customHeight="1">
      <c r="A379" s="3" t="s">
        <v>1178</v>
      </c>
      <c r="B379" s="4" t="s">
        <v>1184</v>
      </c>
      <c r="C379" s="4" t="s">
        <v>438</v>
      </c>
      <c r="D379" s="18">
        <v>0</v>
      </c>
      <c r="E379" s="13">
        <f>IF($F379=0,0,D379/$F379)</f>
        <v>0</v>
      </c>
      <c r="F379" s="12">
        <f>$F$365</f>
        <v>25</v>
      </c>
      <c r="G379" s="3" t="s">
        <v>1128</v>
      </c>
    </row>
    <row r="380" spans="1:7" ht="40.5" customHeight="1">
      <c r="A380" s="3" t="s">
        <v>1212</v>
      </c>
      <c r="B380" s="4" t="s">
        <v>1185</v>
      </c>
      <c r="C380" s="4" t="s">
        <v>713</v>
      </c>
      <c r="D380" s="18">
        <v>3</v>
      </c>
      <c r="E380" s="13">
        <f>IF($F380=0,0,D380/$F380)</f>
        <v>0.12</v>
      </c>
      <c r="F380" s="18">
        <v>25</v>
      </c>
      <c r="G380" s="3" t="s">
        <v>1128</v>
      </c>
    </row>
    <row r="381" spans="1:7" ht="40.5" customHeight="1">
      <c r="A381" s="3" t="s">
        <v>1212</v>
      </c>
      <c r="B381" s="4" t="s">
        <v>1185</v>
      </c>
      <c r="C381" s="4" t="s">
        <v>715</v>
      </c>
      <c r="D381" s="18">
        <v>0</v>
      </c>
      <c r="E381" s="13">
        <f>IF($F381=0,0,D381/$F381)</f>
        <v>0</v>
      </c>
      <c r="F381" s="12">
        <f>$F$380</f>
        <v>25</v>
      </c>
      <c r="G381" s="3" t="s">
        <v>1128</v>
      </c>
    </row>
    <row r="382" spans="1:7" ht="40.5" customHeight="1">
      <c r="A382" s="3" t="s">
        <v>1212</v>
      </c>
      <c r="B382" s="4" t="s">
        <v>1185</v>
      </c>
      <c r="C382" s="4" t="s">
        <v>717</v>
      </c>
      <c r="D382" s="18">
        <v>18</v>
      </c>
      <c r="E382" s="13">
        <f>IF($F382=0,0,D382/$F382)</f>
        <v>0.72</v>
      </c>
      <c r="F382" s="12">
        <f>$F$380</f>
        <v>25</v>
      </c>
      <c r="G382" s="3" t="s">
        <v>1128</v>
      </c>
    </row>
    <row r="383" spans="1:7" ht="40.5" customHeight="1">
      <c r="A383" s="3" t="s">
        <v>1212</v>
      </c>
      <c r="B383" s="4" t="s">
        <v>1185</v>
      </c>
      <c r="C383" s="4" t="s">
        <v>714</v>
      </c>
      <c r="D383" s="18">
        <v>9</v>
      </c>
      <c r="E383" s="13">
        <f>IF($F383=0,0,D383/$F383)</f>
        <v>0.36</v>
      </c>
      <c r="F383" s="12">
        <f>$F$380</f>
        <v>25</v>
      </c>
      <c r="G383" s="3" t="s">
        <v>1128</v>
      </c>
    </row>
    <row r="384" spans="1:7" ht="40.5" customHeight="1">
      <c r="A384" s="3" t="s">
        <v>1212</v>
      </c>
      <c r="B384" s="4" t="s">
        <v>1185</v>
      </c>
      <c r="C384" s="4" t="s">
        <v>716</v>
      </c>
      <c r="D384" s="18">
        <v>5</v>
      </c>
      <c r="E384" s="13">
        <f>IF($F384=0,0,D384/$F384)</f>
        <v>0.2</v>
      </c>
      <c r="F384" s="12">
        <f>$F$380</f>
        <v>25</v>
      </c>
      <c r="G384" s="3" t="s">
        <v>1128</v>
      </c>
    </row>
    <row r="385" spans="1:7" ht="40.5" customHeight="1">
      <c r="A385" s="3" t="s">
        <v>1212</v>
      </c>
      <c r="B385" s="4" t="s">
        <v>1185</v>
      </c>
      <c r="C385" s="4" t="s">
        <v>719</v>
      </c>
      <c r="D385" s="18">
        <v>0</v>
      </c>
      <c r="E385" s="13">
        <f>IF($F385=0,0,D385/$F385)</f>
        <v>0</v>
      </c>
      <c r="F385" s="12">
        <f>$F$380</f>
        <v>25</v>
      </c>
      <c r="G385" s="3" t="s">
        <v>1128</v>
      </c>
    </row>
    <row r="386" spans="1:7" ht="40.5" customHeight="1">
      <c r="A386" s="3" t="s">
        <v>1212</v>
      </c>
      <c r="B386" s="4" t="s">
        <v>1185</v>
      </c>
      <c r="C386" s="4" t="s">
        <v>698</v>
      </c>
      <c r="D386" s="18">
        <v>1</v>
      </c>
      <c r="E386" s="13">
        <f>IF($F386=0,0,D386/$F386)</f>
        <v>0.04</v>
      </c>
      <c r="F386" s="12">
        <f>$F$380</f>
        <v>25</v>
      </c>
      <c r="G386" s="3" t="s">
        <v>1128</v>
      </c>
    </row>
    <row r="387" spans="1:7" ht="40.5" customHeight="1">
      <c r="A387" s="3" t="s">
        <v>1212</v>
      </c>
      <c r="B387" s="4" t="s">
        <v>1185</v>
      </c>
      <c r="C387" s="4" t="s">
        <v>701</v>
      </c>
      <c r="D387" s="18">
        <v>0</v>
      </c>
      <c r="E387" s="13">
        <f>IF($F387=0,0,D387/$F387)</f>
        <v>0</v>
      </c>
      <c r="F387" s="12">
        <f>$F$380</f>
        <v>25</v>
      </c>
      <c r="G387" s="3" t="s">
        <v>1128</v>
      </c>
    </row>
    <row r="388" spans="1:7" ht="40.5" customHeight="1">
      <c r="A388" s="3" t="s">
        <v>1212</v>
      </c>
      <c r="B388" s="4" t="s">
        <v>1185</v>
      </c>
      <c r="C388" s="4" t="s">
        <v>708</v>
      </c>
      <c r="D388" s="18">
        <v>0</v>
      </c>
      <c r="E388" s="13">
        <f>IF($F388=0,0,D388/$F388)</f>
        <v>0</v>
      </c>
      <c r="F388" s="12">
        <f>$F$380</f>
        <v>25</v>
      </c>
      <c r="G388" s="3" t="s">
        <v>1128</v>
      </c>
    </row>
    <row r="389" spans="1:7" ht="40.5" customHeight="1">
      <c r="A389" s="3" t="s">
        <v>1212</v>
      </c>
      <c r="B389" s="4" t="s">
        <v>1185</v>
      </c>
      <c r="C389" s="4" t="s">
        <v>709</v>
      </c>
      <c r="D389" s="18">
        <v>7</v>
      </c>
      <c r="E389" s="13">
        <f>IF($F389=0,0,D389/$F389)</f>
        <v>0.28000000000000003</v>
      </c>
      <c r="F389" s="12">
        <f>$F$380</f>
        <v>25</v>
      </c>
      <c r="G389" s="3" t="s">
        <v>1128</v>
      </c>
    </row>
    <row r="390" spans="1:7" ht="40.5" customHeight="1">
      <c r="A390" s="3" t="s">
        <v>1212</v>
      </c>
      <c r="B390" s="4" t="s">
        <v>1185</v>
      </c>
      <c r="C390" s="4" t="s">
        <v>702</v>
      </c>
      <c r="D390" s="18">
        <v>1</v>
      </c>
      <c r="E390" s="13">
        <f>IF($F390=0,0,D390/$F390)</f>
        <v>0.04</v>
      </c>
      <c r="F390" s="12">
        <f>$F$380</f>
        <v>25</v>
      </c>
      <c r="G390" s="3" t="s">
        <v>1128</v>
      </c>
    </row>
    <row r="391" spans="1:7" ht="40.5" customHeight="1">
      <c r="A391" s="3" t="s">
        <v>1212</v>
      </c>
      <c r="B391" s="4" t="s">
        <v>1185</v>
      </c>
      <c r="C391" s="4" t="s">
        <v>703</v>
      </c>
      <c r="D391" s="18">
        <v>1</v>
      </c>
      <c r="E391" s="13">
        <f>IF($F391=0,0,D391/$F391)</f>
        <v>0.04</v>
      </c>
      <c r="F391" s="12">
        <f>$F$380</f>
        <v>25</v>
      </c>
      <c r="G391" s="3" t="s">
        <v>1128</v>
      </c>
    </row>
    <row r="392" spans="1:7" ht="40.5" customHeight="1">
      <c r="A392" s="3" t="s">
        <v>1212</v>
      </c>
      <c r="B392" s="4" t="s">
        <v>1185</v>
      </c>
      <c r="C392" s="4" t="s">
        <v>437</v>
      </c>
      <c r="D392" s="18">
        <v>0</v>
      </c>
      <c r="E392" s="13">
        <f>IF($F392=0,0,D392/$F392)</f>
        <v>0</v>
      </c>
      <c r="F392" s="12">
        <f>$F$380</f>
        <v>25</v>
      </c>
      <c r="G392" s="3" t="s">
        <v>1128</v>
      </c>
    </row>
    <row r="393" spans="1:7" ht="40.5" customHeight="1">
      <c r="A393" s="3" t="s">
        <v>1212</v>
      </c>
      <c r="B393" s="4" t="s">
        <v>1185</v>
      </c>
      <c r="C393" s="4" t="s">
        <v>718</v>
      </c>
      <c r="D393" s="18">
        <v>0</v>
      </c>
      <c r="E393" s="13">
        <f>IF($F393=0,0,D393/$F393)</f>
        <v>0</v>
      </c>
      <c r="F393" s="12">
        <f>$F$380</f>
        <v>25</v>
      </c>
      <c r="G393" s="3" t="s">
        <v>1128</v>
      </c>
    </row>
    <row r="394" spans="1:7" ht="40.5" customHeight="1">
      <c r="A394" s="3" t="s">
        <v>1212</v>
      </c>
      <c r="B394" s="4" t="s">
        <v>1185</v>
      </c>
      <c r="C394" s="4" t="s">
        <v>720</v>
      </c>
      <c r="D394" s="18">
        <v>0</v>
      </c>
      <c r="E394" s="13">
        <f>IF($F394=0,0,D394/$F394)</f>
        <v>0</v>
      </c>
      <c r="F394" s="12">
        <f>$F$380</f>
        <v>25</v>
      </c>
      <c r="G394" s="3" t="s">
        <v>1128</v>
      </c>
    </row>
    <row r="395" spans="1:7" ht="40.5" customHeight="1">
      <c r="A395" s="3" t="s">
        <v>1212</v>
      </c>
      <c r="B395" s="4" t="s">
        <v>1185</v>
      </c>
      <c r="C395" s="4" t="s">
        <v>438</v>
      </c>
      <c r="D395" s="18">
        <v>0</v>
      </c>
      <c r="E395" s="13">
        <f>IF($F395=0,0,D395/$F395)</f>
        <v>0</v>
      </c>
      <c r="F395" s="12">
        <f>$F$380</f>
        <v>25</v>
      </c>
      <c r="G395" s="3" t="s">
        <v>1128</v>
      </c>
    </row>
    <row r="396" spans="1:7" ht="27.95" customHeight="1">
      <c r="A396" s="3" t="s">
        <v>1213</v>
      </c>
      <c r="B396" s="4" t="s">
        <v>1186</v>
      </c>
      <c r="C396" s="4" t="s">
        <v>534</v>
      </c>
      <c r="D396" s="18">
        <v>0</v>
      </c>
      <c r="E396" s="13">
        <f>IF($F396=0,0,D396/$F396)</f>
        <v>0</v>
      </c>
      <c r="F396" s="18">
        <v>25</v>
      </c>
      <c r="G396" s="3" t="s">
        <v>1121</v>
      </c>
    </row>
    <row r="397" spans="1:7" ht="27.95" customHeight="1">
      <c r="A397" s="3" t="s">
        <v>1213</v>
      </c>
      <c r="B397" s="4" t="s">
        <v>1186</v>
      </c>
      <c r="C397" s="4" t="s">
        <v>723</v>
      </c>
      <c r="D397" s="18">
        <v>7</v>
      </c>
      <c r="E397" s="13">
        <f>IF($F397=0,0,D397/$F397)</f>
        <v>0.28000000000000003</v>
      </c>
      <c r="F397" s="12">
        <f>$F$396</f>
        <v>25</v>
      </c>
      <c r="G397" s="3" t="s">
        <v>1121</v>
      </c>
    </row>
    <row r="398" spans="1:7" ht="27.95" customHeight="1">
      <c r="A398" s="3" t="s">
        <v>1213</v>
      </c>
      <c r="B398" s="4" t="s">
        <v>1186</v>
      </c>
      <c r="C398" s="4" t="s">
        <v>535</v>
      </c>
      <c r="D398" s="18">
        <v>18</v>
      </c>
      <c r="E398" s="13">
        <f>IF($F398=0,0,D398/$F398)</f>
        <v>0.72</v>
      </c>
      <c r="F398" s="12">
        <f>$F$396</f>
        <v>25</v>
      </c>
      <c r="G398" s="3" t="s">
        <v>1121</v>
      </c>
    </row>
    <row r="399" spans="1:7" ht="27.95" customHeight="1">
      <c r="A399" s="3" t="s">
        <v>1213</v>
      </c>
      <c r="B399" s="4" t="s">
        <v>1186</v>
      </c>
      <c r="C399" s="4" t="s">
        <v>438</v>
      </c>
      <c r="D399" s="18">
        <v>0</v>
      </c>
      <c r="E399" s="13">
        <f>IF($F399=0,0,D399/$F399)</f>
        <v>0</v>
      </c>
      <c r="F399" s="12">
        <f>$F$396</f>
        <v>25</v>
      </c>
      <c r="G399" s="3" t="s">
        <v>1121</v>
      </c>
    </row>
    <row r="400" spans="1:7" ht="27.95" customHeight="1">
      <c r="A400" s="3" t="s">
        <v>1214</v>
      </c>
      <c r="B400" s="4" t="s">
        <v>1188</v>
      </c>
      <c r="C400" s="4" t="s">
        <v>727</v>
      </c>
      <c r="D400" s="18">
        <v>6</v>
      </c>
      <c r="E400" s="13">
        <f>IF($F400=0,0,D400/$F400)</f>
        <v>0.24</v>
      </c>
      <c r="F400" s="18">
        <v>25</v>
      </c>
      <c r="G400" s="3" t="s">
        <v>1128</v>
      </c>
    </row>
    <row r="401" spans="1:7" ht="27.95" customHeight="1">
      <c r="A401" s="3" t="s">
        <v>1214</v>
      </c>
      <c r="B401" s="4" t="s">
        <v>1188</v>
      </c>
      <c r="C401" s="4" t="s">
        <v>726</v>
      </c>
      <c r="D401" s="18">
        <v>2</v>
      </c>
      <c r="E401" s="13">
        <f>IF($F401=0,0,D401/$F401)</f>
        <v>0.08</v>
      </c>
      <c r="F401" s="12">
        <f>$F$400</f>
        <v>25</v>
      </c>
      <c r="G401" s="3" t="s">
        <v>1128</v>
      </c>
    </row>
    <row r="402" spans="1:7" ht="27.95" customHeight="1">
      <c r="A402" s="3" t="s">
        <v>1214</v>
      </c>
      <c r="B402" s="4" t="s">
        <v>1188</v>
      </c>
      <c r="C402" s="4" t="s">
        <v>731</v>
      </c>
      <c r="D402" s="18">
        <v>0</v>
      </c>
      <c r="E402" s="13">
        <f>IF($F402=0,0,D402/$F402)</f>
        <v>0</v>
      </c>
      <c r="F402" s="12">
        <f>$F$400</f>
        <v>25</v>
      </c>
      <c r="G402" s="3" t="s">
        <v>1128</v>
      </c>
    </row>
    <row r="403" spans="1:7" ht="27.95" customHeight="1">
      <c r="A403" s="3" t="s">
        <v>1214</v>
      </c>
      <c r="B403" s="4" t="s">
        <v>1188</v>
      </c>
      <c r="C403" s="4" t="s">
        <v>732</v>
      </c>
      <c r="D403" s="18">
        <v>0</v>
      </c>
      <c r="E403" s="13">
        <f>IF($F403=0,0,D403/$F403)</f>
        <v>0</v>
      </c>
      <c r="F403" s="12">
        <f>$F$400</f>
        <v>25</v>
      </c>
      <c r="G403" s="3" t="s">
        <v>1128</v>
      </c>
    </row>
    <row r="404" spans="1:7" ht="27.95" customHeight="1">
      <c r="A404" s="3" t="s">
        <v>1214</v>
      </c>
      <c r="B404" s="4" t="s">
        <v>1188</v>
      </c>
      <c r="C404" s="4" t="s">
        <v>728</v>
      </c>
      <c r="D404" s="18">
        <v>1</v>
      </c>
      <c r="E404" s="13">
        <f>IF($F404=0,0,D404/$F404)</f>
        <v>0.04</v>
      </c>
      <c r="F404" s="12">
        <f>$F$400</f>
        <v>25</v>
      </c>
      <c r="G404" s="3" t="s">
        <v>1128</v>
      </c>
    </row>
    <row r="405" spans="1:7" ht="27.95" customHeight="1">
      <c r="A405" s="3" t="s">
        <v>1214</v>
      </c>
      <c r="B405" s="4" t="s">
        <v>1188</v>
      </c>
      <c r="C405" s="4" t="s">
        <v>730</v>
      </c>
      <c r="D405" s="18">
        <v>0</v>
      </c>
      <c r="E405" s="13">
        <f>IF($F405=0,0,D405/$F405)</f>
        <v>0</v>
      </c>
      <c r="F405" s="12">
        <f>$F$400</f>
        <v>25</v>
      </c>
      <c r="G405" s="3" t="s">
        <v>1128</v>
      </c>
    </row>
    <row r="406" spans="1:7" ht="27.95" customHeight="1">
      <c r="A406" s="3" t="s">
        <v>1214</v>
      </c>
      <c r="B406" s="4" t="s">
        <v>1188</v>
      </c>
      <c r="C406" s="4" t="s">
        <v>437</v>
      </c>
      <c r="D406" s="18">
        <v>0</v>
      </c>
      <c r="E406" s="13">
        <f>IF($F406=0,0,D406/$F406)</f>
        <v>0</v>
      </c>
      <c r="F406" s="12">
        <f>$F$400</f>
        <v>25</v>
      </c>
      <c r="G406" s="3" t="s">
        <v>1128</v>
      </c>
    </row>
    <row r="407" spans="1:7" ht="27.95" customHeight="1">
      <c r="A407" s="3" t="s">
        <v>1214</v>
      </c>
      <c r="B407" s="4" t="s">
        <v>1188</v>
      </c>
      <c r="C407" s="4" t="s">
        <v>438</v>
      </c>
      <c r="D407" s="18">
        <v>18</v>
      </c>
      <c r="E407" s="13">
        <f>IF($F407=0,0,D407/$F407)</f>
        <v>0.72</v>
      </c>
      <c r="F407" s="12">
        <f>$F$400</f>
        <v>25</v>
      </c>
      <c r="G407" s="3" t="s">
        <v>1128</v>
      </c>
    </row>
    <row r="408" spans="1:7" ht="27.95" customHeight="1">
      <c r="A408" s="3" t="s">
        <v>414</v>
      </c>
      <c r="B408" s="4" t="s">
        <v>1189</v>
      </c>
      <c r="C408" s="4" t="s">
        <v>735</v>
      </c>
      <c r="D408" s="18">
        <v>0</v>
      </c>
      <c r="E408" s="13">
        <f>IF($F408=0,0,D408/$F408)</f>
        <v>0</v>
      </c>
      <c r="F408" s="18">
        <v>25</v>
      </c>
      <c r="G408" s="3" t="s">
        <v>1121</v>
      </c>
    </row>
    <row r="409" spans="1:7" ht="27.95" customHeight="1">
      <c r="A409" s="3" t="s">
        <v>414</v>
      </c>
      <c r="B409" s="4" t="s">
        <v>1189</v>
      </c>
      <c r="C409" s="4" t="s">
        <v>736</v>
      </c>
      <c r="D409" s="18">
        <v>5</v>
      </c>
      <c r="E409" s="13">
        <f>IF($F409=0,0,D409/$F409)</f>
        <v>0.2</v>
      </c>
      <c r="F409" s="12">
        <f>$F$408</f>
        <v>25</v>
      </c>
      <c r="G409" s="3" t="s">
        <v>1121</v>
      </c>
    </row>
    <row r="410" spans="1:7" ht="27.95" customHeight="1">
      <c r="A410" s="3" t="s">
        <v>414</v>
      </c>
      <c r="B410" s="4" t="s">
        <v>1189</v>
      </c>
      <c r="C410" s="4" t="s">
        <v>737</v>
      </c>
      <c r="D410" s="18">
        <v>20</v>
      </c>
      <c r="E410" s="13">
        <f>IF($F410=0,0,D410/$F410)</f>
        <v>0.8</v>
      </c>
      <c r="F410" s="12">
        <f>$F$408</f>
        <v>25</v>
      </c>
      <c r="G410" s="3" t="s">
        <v>1121</v>
      </c>
    </row>
    <row r="411" spans="1:7" ht="27.95" customHeight="1">
      <c r="A411" s="3" t="s">
        <v>414</v>
      </c>
      <c r="B411" s="4" t="s">
        <v>1189</v>
      </c>
      <c r="C411" s="4" t="s">
        <v>438</v>
      </c>
      <c r="D411" s="18">
        <v>0</v>
      </c>
      <c r="E411" s="13">
        <f>IF($F411=0,0,D411/$F411)</f>
        <v>0</v>
      </c>
      <c r="F411" s="12">
        <f>$F$408</f>
        <v>25</v>
      </c>
      <c r="G411" s="3" t="s">
        <v>1121</v>
      </c>
    </row>
    <row r="412" spans="1:7" ht="40.5" customHeight="1">
      <c r="A412" s="3" t="s">
        <v>417</v>
      </c>
      <c r="B412" s="4" t="s">
        <v>1191</v>
      </c>
      <c r="C412" s="4" t="s">
        <v>740</v>
      </c>
      <c r="D412" s="18">
        <v>3</v>
      </c>
      <c r="E412" s="13">
        <f>IF($F412=0,0,D412/$F412)</f>
        <v>0.12</v>
      </c>
      <c r="F412" s="18">
        <v>25</v>
      </c>
      <c r="G412" s="3" t="s">
        <v>1128</v>
      </c>
    </row>
    <row r="413" spans="1:7" ht="40.5" customHeight="1">
      <c r="A413" s="3" t="s">
        <v>417</v>
      </c>
      <c r="B413" s="4" t="s">
        <v>1191</v>
      </c>
      <c r="C413" s="4" t="s">
        <v>741</v>
      </c>
      <c r="D413" s="18">
        <v>0</v>
      </c>
      <c r="E413" s="13">
        <f>IF($F413=0,0,D413/$F413)</f>
        <v>0</v>
      </c>
      <c r="F413" s="12">
        <f>$F$412</f>
        <v>25</v>
      </c>
      <c r="G413" s="3" t="s">
        <v>1128</v>
      </c>
    </row>
    <row r="414" spans="1:7" ht="40.5" customHeight="1">
      <c r="A414" s="3" t="s">
        <v>417</v>
      </c>
      <c r="B414" s="4" t="s">
        <v>1191</v>
      </c>
      <c r="C414" s="4" t="s">
        <v>743</v>
      </c>
      <c r="D414" s="18">
        <v>0</v>
      </c>
      <c r="E414" s="13">
        <f>IF($F414=0,0,D414/$F414)</f>
        <v>0</v>
      </c>
      <c r="F414" s="12">
        <f>$F$412</f>
        <v>25</v>
      </c>
      <c r="G414" s="3" t="s">
        <v>1128</v>
      </c>
    </row>
    <row r="415" spans="1:7" ht="40.5" customHeight="1">
      <c r="A415" s="3" t="s">
        <v>417</v>
      </c>
      <c r="B415" s="4" t="s">
        <v>1191</v>
      </c>
      <c r="C415" s="4" t="s">
        <v>745</v>
      </c>
      <c r="D415" s="18">
        <v>0</v>
      </c>
      <c r="E415" s="13">
        <f>IF($F415=0,0,D415/$F415)</f>
        <v>0</v>
      </c>
      <c r="F415" s="12">
        <f>$F$412</f>
        <v>25</v>
      </c>
      <c r="G415" s="3" t="s">
        <v>1128</v>
      </c>
    </row>
    <row r="416" spans="1:7" ht="40.5" customHeight="1">
      <c r="A416" s="3" t="s">
        <v>417</v>
      </c>
      <c r="B416" s="4" t="s">
        <v>1191</v>
      </c>
      <c r="C416" s="4" t="s">
        <v>742</v>
      </c>
      <c r="D416" s="18">
        <v>0</v>
      </c>
      <c r="E416" s="13">
        <f>IF($F416=0,0,D416/$F416)</f>
        <v>0</v>
      </c>
      <c r="F416" s="12">
        <f>$F$412</f>
        <v>25</v>
      </c>
      <c r="G416" s="3" t="s">
        <v>1128</v>
      </c>
    </row>
    <row r="417" spans="1:7" ht="40.5" customHeight="1">
      <c r="A417" s="3" t="s">
        <v>417</v>
      </c>
      <c r="B417" s="4" t="s">
        <v>1191</v>
      </c>
      <c r="C417" s="4" t="s">
        <v>744</v>
      </c>
      <c r="D417" s="18">
        <v>0</v>
      </c>
      <c r="E417" s="13">
        <f>IF($F417=0,0,D417/$F417)</f>
        <v>0</v>
      </c>
      <c r="F417" s="12">
        <f>$F$412</f>
        <v>25</v>
      </c>
      <c r="G417" s="3" t="s">
        <v>1128</v>
      </c>
    </row>
    <row r="418" spans="1:7" ht="40.5" customHeight="1">
      <c r="A418" s="3" t="s">
        <v>417</v>
      </c>
      <c r="B418" s="4" t="s">
        <v>1191</v>
      </c>
      <c r="C418" s="4" t="s">
        <v>437</v>
      </c>
      <c r="D418" s="18">
        <v>2</v>
      </c>
      <c r="E418" s="13">
        <f>IF($F418=0,0,D418/$F418)</f>
        <v>0.08</v>
      </c>
      <c r="F418" s="12">
        <f>$F$412</f>
        <v>25</v>
      </c>
      <c r="G418" s="3" t="s">
        <v>1128</v>
      </c>
    </row>
    <row r="419" spans="1:7" ht="40.5" customHeight="1">
      <c r="A419" s="3" t="s">
        <v>417</v>
      </c>
      <c r="B419" s="4" t="s">
        <v>1191</v>
      </c>
      <c r="C419" s="4" t="s">
        <v>438</v>
      </c>
      <c r="D419" s="18">
        <v>20</v>
      </c>
      <c r="E419" s="13">
        <f>IF($F419=0,0,D419/$F419)</f>
        <v>0.8</v>
      </c>
      <c r="F419" s="12">
        <f>$F$412</f>
        <v>25</v>
      </c>
      <c r="G419" s="3" t="s">
        <v>1128</v>
      </c>
    </row>
    <row r="420" spans="1:7" ht="40.5" customHeight="1">
      <c r="A420" s="3" t="s">
        <v>1215</v>
      </c>
      <c r="B420" s="4" t="s">
        <v>1193</v>
      </c>
      <c r="C420" s="4" t="s">
        <v>748</v>
      </c>
      <c r="D420" s="18">
        <v>1</v>
      </c>
      <c r="E420" s="13">
        <f>IF($F420=0,0,D420/$F420)</f>
        <v>0.04</v>
      </c>
      <c r="F420" s="18">
        <v>25</v>
      </c>
      <c r="G420" s="3" t="s">
        <v>1121</v>
      </c>
    </row>
    <row r="421" spans="1:7" ht="40.5" customHeight="1">
      <c r="A421" s="3" t="s">
        <v>1215</v>
      </c>
      <c r="B421" s="4" t="s">
        <v>1193</v>
      </c>
      <c r="C421" s="4" t="s">
        <v>749</v>
      </c>
      <c r="D421" s="18">
        <v>24</v>
      </c>
      <c r="E421" s="13">
        <f>IF($F421=0,0,D421/$F421)</f>
        <v>0.96</v>
      </c>
      <c r="F421" s="12">
        <f>$F$420</f>
        <v>25</v>
      </c>
      <c r="G421" s="3" t="s">
        <v>1121</v>
      </c>
    </row>
    <row r="422" spans="1:7" ht="40.5" customHeight="1">
      <c r="A422" s="3" t="s">
        <v>1215</v>
      </c>
      <c r="B422" s="4" t="s">
        <v>1193</v>
      </c>
      <c r="C422" s="4" t="s">
        <v>438</v>
      </c>
      <c r="D422" s="18">
        <v>0</v>
      </c>
      <c r="E422" s="13">
        <f>IF($F422=0,0,D422/$F422)</f>
        <v>0</v>
      </c>
      <c r="F422" s="12">
        <f>$F$420</f>
        <v>25</v>
      </c>
      <c r="G422" s="3" t="s">
        <v>1121</v>
      </c>
    </row>
    <row r="423" spans="1:7" ht="40.5" customHeight="1">
      <c r="A423" s="3" t="s">
        <v>419</v>
      </c>
      <c r="B423" s="4" t="s">
        <v>1195</v>
      </c>
      <c r="C423" s="4" t="s">
        <v>748</v>
      </c>
      <c r="D423" s="18">
        <v>1</v>
      </c>
      <c r="E423" s="13">
        <f>IF($F423=0,0,D423/$F423)</f>
        <v>0.04</v>
      </c>
      <c r="F423" s="18">
        <v>25</v>
      </c>
      <c r="G423" s="3" t="s">
        <v>1121</v>
      </c>
    </row>
    <row r="424" spans="1:7" ht="40.5" customHeight="1">
      <c r="A424" s="3" t="s">
        <v>419</v>
      </c>
      <c r="B424" s="4" t="s">
        <v>1195</v>
      </c>
      <c r="C424" s="4" t="s">
        <v>749</v>
      </c>
      <c r="D424" s="18">
        <v>24</v>
      </c>
      <c r="E424" s="13">
        <f>IF($F424=0,0,D424/$F424)</f>
        <v>0.96</v>
      </c>
      <c r="F424" s="12">
        <f>$F$423</f>
        <v>25</v>
      </c>
      <c r="G424" s="3" t="s">
        <v>1121</v>
      </c>
    </row>
    <row r="425" spans="1:7" ht="40.5" customHeight="1">
      <c r="A425" s="3" t="s">
        <v>419</v>
      </c>
      <c r="B425" s="4" t="s">
        <v>1195</v>
      </c>
      <c r="C425" s="4" t="s">
        <v>438</v>
      </c>
      <c r="D425" s="18">
        <v>0</v>
      </c>
      <c r="E425" s="13">
        <f>IF($F425=0,0,D425/$F425)</f>
        <v>0</v>
      </c>
      <c r="F425" s="12">
        <f>$F$423</f>
        <v>25</v>
      </c>
      <c r="G425" s="3" t="s">
        <v>1121</v>
      </c>
    </row>
    <row r="426" spans="1:7" ht="27.95" customHeight="1">
      <c r="A426" s="3" t="s">
        <v>1190</v>
      </c>
      <c r="B426" s="4" t="s">
        <v>1196</v>
      </c>
      <c r="C426" s="4" t="s">
        <v>754</v>
      </c>
      <c r="D426" s="18">
        <v>7</v>
      </c>
      <c r="E426" s="13">
        <f>IF($F426=0,0,D426/$F426)</f>
        <v>0.28000000000000003</v>
      </c>
      <c r="F426" s="18">
        <v>25</v>
      </c>
      <c r="G426" s="3" t="s">
        <v>1121</v>
      </c>
    </row>
    <row r="427" spans="1:7" ht="27.95" customHeight="1">
      <c r="A427" s="3" t="s">
        <v>1190</v>
      </c>
      <c r="B427" s="4" t="s">
        <v>1196</v>
      </c>
      <c r="C427" s="4" t="s">
        <v>755</v>
      </c>
      <c r="D427" s="18">
        <v>11</v>
      </c>
      <c r="E427" s="13">
        <f>IF($F427=0,0,D427/$F427)</f>
        <v>0.44</v>
      </c>
      <c r="F427" s="12">
        <f>$F$426</f>
        <v>25</v>
      </c>
      <c r="G427" s="3" t="s">
        <v>1121</v>
      </c>
    </row>
    <row r="428" spans="1:7" ht="27.95" customHeight="1">
      <c r="A428" s="3" t="s">
        <v>1190</v>
      </c>
      <c r="B428" s="4" t="s">
        <v>1196</v>
      </c>
      <c r="C428" s="4" t="s">
        <v>442</v>
      </c>
      <c r="D428" s="18">
        <v>7</v>
      </c>
      <c r="E428" s="13">
        <f>IF($F428=0,0,D428/$F428)</f>
        <v>0.28000000000000003</v>
      </c>
      <c r="F428" s="12">
        <f>$F$426</f>
        <v>25</v>
      </c>
      <c r="G428" s="3" t="s">
        <v>1121</v>
      </c>
    </row>
    <row r="429" spans="1:7" ht="27.95" customHeight="1">
      <c r="A429" s="3" t="s">
        <v>1190</v>
      </c>
      <c r="B429" s="4" t="s">
        <v>1196</v>
      </c>
      <c r="C429" s="4" t="s">
        <v>438</v>
      </c>
      <c r="D429" s="18">
        <v>0</v>
      </c>
      <c r="E429" s="13">
        <f>IF($F429=0,0,D429/$F429)</f>
        <v>0</v>
      </c>
      <c r="F429" s="12">
        <f>$F$426</f>
        <v>25</v>
      </c>
      <c r="G429" s="3" t="s">
        <v>1121</v>
      </c>
    </row>
    <row r="430" spans="1:7" ht="27.95" customHeight="1">
      <c r="A430" s="3" t="s">
        <v>1192</v>
      </c>
      <c r="B430" s="4" t="s">
        <v>1197</v>
      </c>
      <c r="C430" s="4" t="s">
        <v>758</v>
      </c>
      <c r="D430" s="18">
        <v>10</v>
      </c>
      <c r="E430" s="13">
        <f>IF($F430=0,0,D430/$F430)</f>
        <v>0.4</v>
      </c>
      <c r="F430" s="18">
        <v>25</v>
      </c>
      <c r="G430" s="3" t="s">
        <v>1121</v>
      </c>
    </row>
    <row r="431" spans="1:7" ht="27.95" customHeight="1">
      <c r="A431" s="3" t="s">
        <v>1192</v>
      </c>
      <c r="B431" s="4" t="s">
        <v>1197</v>
      </c>
      <c r="C431" s="4" t="s">
        <v>759</v>
      </c>
      <c r="D431" s="18">
        <v>5</v>
      </c>
      <c r="E431" s="13">
        <f>IF($F431=0,0,D431/$F431)</f>
        <v>0.2</v>
      </c>
      <c r="F431" s="12">
        <f>$F$430</f>
        <v>25</v>
      </c>
      <c r="G431" s="3" t="s">
        <v>1121</v>
      </c>
    </row>
    <row r="432" spans="1:7" ht="27.95" customHeight="1">
      <c r="A432" s="3" t="s">
        <v>1192</v>
      </c>
      <c r="B432" s="4" t="s">
        <v>1197</v>
      </c>
      <c r="C432" s="4" t="s">
        <v>442</v>
      </c>
      <c r="D432" s="18">
        <v>8</v>
      </c>
      <c r="E432" s="13">
        <f>IF($F432=0,0,D432/$F432)</f>
        <v>0.32</v>
      </c>
      <c r="F432" s="12">
        <f>$F$430</f>
        <v>25</v>
      </c>
      <c r="G432" s="3" t="s">
        <v>1121</v>
      </c>
    </row>
    <row r="433" spans="1:7" ht="27.95" customHeight="1">
      <c r="A433" s="3" t="s">
        <v>1192</v>
      </c>
      <c r="B433" s="4" t="s">
        <v>1197</v>
      </c>
      <c r="C433" s="4" t="s">
        <v>438</v>
      </c>
      <c r="D433" s="18">
        <v>2</v>
      </c>
      <c r="E433" s="13">
        <f>IF($F433=0,0,D433/$F433)</f>
        <v>0.08</v>
      </c>
      <c r="F433" s="12">
        <f>$F$430</f>
        <v>25</v>
      </c>
      <c r="G433" s="3" t="s">
        <v>1121</v>
      </c>
    </row>
    <row r="434" spans="1:7" ht="27.95" customHeight="1">
      <c r="A434" s="3" t="s">
        <v>1194</v>
      </c>
      <c r="B434" s="4" t="s">
        <v>1198</v>
      </c>
      <c r="C434" s="4" t="s">
        <v>762</v>
      </c>
      <c r="D434" s="18">
        <v>2</v>
      </c>
      <c r="E434" s="13">
        <f>IF($F434=0,0,D434/$F434)</f>
        <v>0.08</v>
      </c>
      <c r="F434" s="18">
        <v>25</v>
      </c>
      <c r="G434" s="3" t="s">
        <v>1128</v>
      </c>
    </row>
    <row r="435" spans="1:7" ht="27.95" customHeight="1">
      <c r="A435" s="3" t="s">
        <v>1194</v>
      </c>
      <c r="B435" s="4" t="s">
        <v>1198</v>
      </c>
      <c r="C435" s="4" t="s">
        <v>770</v>
      </c>
      <c r="D435" s="18">
        <v>0</v>
      </c>
      <c r="E435" s="13">
        <f>IF($F435=0,0,D435/$F435)</f>
        <v>0</v>
      </c>
      <c r="F435" s="12">
        <f>$F$434</f>
        <v>25</v>
      </c>
      <c r="G435" s="3" t="s">
        <v>1128</v>
      </c>
    </row>
    <row r="436" spans="1:7" ht="27.95" customHeight="1">
      <c r="A436" s="3" t="s">
        <v>1194</v>
      </c>
      <c r="B436" s="4" t="s">
        <v>1198</v>
      </c>
      <c r="C436" s="4" t="s">
        <v>769</v>
      </c>
      <c r="D436" s="18">
        <v>0</v>
      </c>
      <c r="E436" s="13">
        <f>IF($F436=0,0,D436/$F436)</f>
        <v>0</v>
      </c>
      <c r="F436" s="12">
        <f>$F$434</f>
        <v>25</v>
      </c>
      <c r="G436" s="3" t="s">
        <v>1128</v>
      </c>
    </row>
    <row r="437" spans="1:7" ht="27.95" customHeight="1">
      <c r="A437" s="3" t="s">
        <v>1194</v>
      </c>
      <c r="B437" s="4" t="s">
        <v>1198</v>
      </c>
      <c r="C437" s="4" t="s">
        <v>765</v>
      </c>
      <c r="D437" s="18">
        <v>6</v>
      </c>
      <c r="E437" s="13">
        <f>IF($F437=0,0,D437/$F437)</f>
        <v>0.24</v>
      </c>
      <c r="F437" s="12">
        <f>$F$434</f>
        <v>25</v>
      </c>
      <c r="G437" s="3" t="s">
        <v>1128</v>
      </c>
    </row>
    <row r="438" spans="1:7" ht="27.95" customHeight="1">
      <c r="A438" s="3" t="s">
        <v>1194</v>
      </c>
      <c r="B438" s="4" t="s">
        <v>1198</v>
      </c>
      <c r="C438" s="4" t="s">
        <v>764</v>
      </c>
      <c r="D438" s="18">
        <v>6</v>
      </c>
      <c r="E438" s="13">
        <f>IF($F438=0,0,D438/$F438)</f>
        <v>0.24</v>
      </c>
      <c r="F438" s="12">
        <f>$F$434</f>
        <v>25</v>
      </c>
      <c r="G438" s="3" t="s">
        <v>1128</v>
      </c>
    </row>
    <row r="439" spans="1:7" ht="27.95" customHeight="1">
      <c r="A439" s="3" t="s">
        <v>1194</v>
      </c>
      <c r="B439" s="4" t="s">
        <v>1198</v>
      </c>
      <c r="C439" s="4" t="s">
        <v>767</v>
      </c>
      <c r="D439" s="18">
        <v>3</v>
      </c>
      <c r="E439" s="13">
        <f>IF($F439=0,0,D439/$F439)</f>
        <v>0.12</v>
      </c>
      <c r="F439" s="12">
        <f>$F$434</f>
        <v>25</v>
      </c>
      <c r="G439" s="3" t="s">
        <v>1128</v>
      </c>
    </row>
    <row r="440" spans="1:7" ht="27.95" customHeight="1">
      <c r="A440" s="3" t="s">
        <v>1194</v>
      </c>
      <c r="B440" s="4" t="s">
        <v>1198</v>
      </c>
      <c r="C440" s="4" t="s">
        <v>766</v>
      </c>
      <c r="D440" s="18">
        <v>11</v>
      </c>
      <c r="E440" s="13">
        <f>IF($F440=0,0,D440/$F440)</f>
        <v>0.44</v>
      </c>
      <c r="F440" s="12">
        <f>$F$434</f>
        <v>25</v>
      </c>
      <c r="G440" s="3" t="s">
        <v>1128</v>
      </c>
    </row>
    <row r="441" spans="1:7" ht="27.95" customHeight="1">
      <c r="A441" s="3" t="s">
        <v>1194</v>
      </c>
      <c r="B441" s="4" t="s">
        <v>1198</v>
      </c>
      <c r="C441" s="4" t="s">
        <v>763</v>
      </c>
      <c r="D441" s="18">
        <v>10</v>
      </c>
      <c r="E441" s="13">
        <f>IF($F441=0,0,D441/$F441)</f>
        <v>0.4</v>
      </c>
      <c r="F441" s="12">
        <f>$F$434</f>
        <v>25</v>
      </c>
      <c r="G441" s="3" t="s">
        <v>1128</v>
      </c>
    </row>
    <row r="442" spans="1:7" ht="27.95" customHeight="1">
      <c r="A442" s="3" t="s">
        <v>1194</v>
      </c>
      <c r="B442" s="4" t="s">
        <v>1198</v>
      </c>
      <c r="C442" s="4" t="s">
        <v>768</v>
      </c>
      <c r="D442" s="18">
        <v>0</v>
      </c>
      <c r="E442" s="13">
        <f>IF($F442=0,0,D442/$F442)</f>
        <v>0</v>
      </c>
      <c r="F442" s="12">
        <f>$F$434</f>
        <v>25</v>
      </c>
      <c r="G442" s="3" t="s">
        <v>1128</v>
      </c>
    </row>
    <row r="443" spans="1:7" ht="27.95" customHeight="1">
      <c r="A443" s="3" t="s">
        <v>1194</v>
      </c>
      <c r="B443" s="4" t="s">
        <v>1198</v>
      </c>
      <c r="C443" s="4" t="s">
        <v>437</v>
      </c>
      <c r="D443" s="18">
        <v>0</v>
      </c>
      <c r="E443" s="13">
        <f>IF($F443=0,0,D443/$F443)</f>
        <v>0</v>
      </c>
      <c r="F443" s="12">
        <f>$F$434</f>
        <v>25</v>
      </c>
      <c r="G443" s="3" t="s">
        <v>1128</v>
      </c>
    </row>
    <row r="444" spans="1:7" ht="27.95" customHeight="1">
      <c r="A444" s="3" t="s">
        <v>1194</v>
      </c>
      <c r="B444" s="4" t="s">
        <v>1198</v>
      </c>
      <c r="C444" s="4" t="s">
        <v>604</v>
      </c>
      <c r="D444" s="18">
        <v>7</v>
      </c>
      <c r="E444" s="13">
        <f>IF($F444=0,0,D444/$F444)</f>
        <v>0.28000000000000003</v>
      </c>
      <c r="F444" s="12">
        <f>$F$434</f>
        <v>25</v>
      </c>
      <c r="G444" s="3" t="s">
        <v>1128</v>
      </c>
    </row>
    <row r="445" spans="1:7" ht="27.95" customHeight="1">
      <c r="A445" s="3" t="s">
        <v>1194</v>
      </c>
      <c r="B445" s="4" t="s">
        <v>1198</v>
      </c>
      <c r="C445" s="4" t="s">
        <v>438</v>
      </c>
      <c r="D445" s="18">
        <v>1</v>
      </c>
      <c r="E445" s="13">
        <f>IF($F445=0,0,D445/$F445)</f>
        <v>0.04</v>
      </c>
      <c r="F445" s="12">
        <f>$F$434</f>
        <v>25</v>
      </c>
      <c r="G445" s="3" t="s">
        <v>1128</v>
      </c>
    </row>
    <row r="446" spans="1:7" ht="27.95" customHeight="1">
      <c r="A446" s="3" t="s">
        <v>422</v>
      </c>
      <c r="B446" s="4" t="s">
        <v>1200</v>
      </c>
      <c r="C446" s="4" t="s">
        <v>773</v>
      </c>
      <c r="D446" s="18">
        <v>1</v>
      </c>
      <c r="E446" s="13">
        <f>IF($F446=0,0,D446/$F446)</f>
        <v>0.04</v>
      </c>
      <c r="F446" s="18">
        <v>25</v>
      </c>
      <c r="G446" s="3" t="s">
        <v>1121</v>
      </c>
    </row>
    <row r="447" spans="1:7" ht="27.95" customHeight="1">
      <c r="A447" s="3" t="s">
        <v>422</v>
      </c>
      <c r="B447" s="4" t="s">
        <v>1200</v>
      </c>
      <c r="C447" s="4" t="s">
        <v>774</v>
      </c>
      <c r="D447" s="18">
        <v>24</v>
      </c>
      <c r="E447" s="13">
        <f>IF($F447=0,0,D447/$F447)</f>
        <v>0.96</v>
      </c>
      <c r="F447" s="12">
        <f>$F$446</f>
        <v>25</v>
      </c>
      <c r="G447" s="3" t="s">
        <v>1121</v>
      </c>
    </row>
    <row r="448" spans="1:7" ht="27.95" customHeight="1">
      <c r="A448" s="3" t="s">
        <v>422</v>
      </c>
      <c r="B448" s="4" t="s">
        <v>1200</v>
      </c>
      <c r="C448" s="4" t="s">
        <v>438</v>
      </c>
      <c r="D448" s="18">
        <v>0</v>
      </c>
      <c r="E448" s="13">
        <f>IF($F448=0,0,D448/$F448)</f>
        <v>0</v>
      </c>
      <c r="F448" s="12">
        <f>$F$446</f>
        <v>25</v>
      </c>
      <c r="G448" s="3" t="s">
        <v>1121</v>
      </c>
    </row>
    <row r="449" spans="1:7" ht="27.95" customHeight="1">
      <c r="A449" s="3" t="s">
        <v>424</v>
      </c>
      <c r="B449" s="4" t="s">
        <v>1201</v>
      </c>
      <c r="C449" s="4" t="s">
        <v>773</v>
      </c>
      <c r="D449" s="18">
        <v>0</v>
      </c>
      <c r="E449" s="13">
        <f>IF($F449=0,0,D449/$F449)</f>
        <v>0</v>
      </c>
      <c r="F449" s="18">
        <v>25</v>
      </c>
      <c r="G449" s="3" t="s">
        <v>1121</v>
      </c>
    </row>
    <row r="450" spans="1:7" ht="27.95" customHeight="1">
      <c r="A450" s="3" t="s">
        <v>424</v>
      </c>
      <c r="B450" s="4" t="s">
        <v>1201</v>
      </c>
      <c r="C450" s="4" t="s">
        <v>774</v>
      </c>
      <c r="D450" s="18">
        <v>25</v>
      </c>
      <c r="E450" s="13">
        <f>IF($F450=0,0,D450/$F450)</f>
        <v>1</v>
      </c>
      <c r="F450" s="12">
        <f>$F$449</f>
        <v>25</v>
      </c>
      <c r="G450" s="3" t="s">
        <v>1121</v>
      </c>
    </row>
    <row r="451" spans="1:7" ht="27.95" customHeight="1">
      <c r="A451" s="3" t="s">
        <v>424</v>
      </c>
      <c r="B451" s="4" t="s">
        <v>1201</v>
      </c>
      <c r="C451" s="4" t="s">
        <v>438</v>
      </c>
      <c r="D451" s="18">
        <v>0</v>
      </c>
      <c r="E451" s="13">
        <f>IF($F451=0,0,D451/$F451)</f>
        <v>0</v>
      </c>
      <c r="F451" s="12">
        <f>$F$449</f>
        <v>25</v>
      </c>
      <c r="G451" s="3" t="s">
        <v>1121</v>
      </c>
    </row>
  </sheetData>
  <autoFilter ref="A4:G45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41"/>
  <sheetViews>
    <sheetView workbookViewId="0">
      <pane xSplit="3" ySplit="5" topLeftCell="D6" activePane="bottomRight" state="frozen"/>
      <selection pane="bottomRight"/>
      <selection pane="bottomLeft"/>
      <selection pane="topRight"/>
    </sheetView>
  </sheetViews>
  <sheetFormatPr defaultRowHeight="15"/>
  <cols>
    <col min="1" max="1" width="10" customWidth="1"/>
    <col min="2" max="3" width="44" customWidth="1"/>
    <col min="4" max="9" width="11" customWidth="1"/>
  </cols>
  <sheetData>
    <row r="1" spans="1:9">
      <c r="A1" s="21" t="s">
        <v>1216</v>
      </c>
    </row>
    <row r="2" spans="1:9">
      <c r="A2" s="11" t="s">
        <v>1217</v>
      </c>
    </row>
    <row r="4" spans="1:9" ht="30" customHeight="1">
      <c r="A4" s="2" t="s">
        <v>1117</v>
      </c>
      <c r="B4" s="2" t="s">
        <v>1218</v>
      </c>
      <c r="C4" s="2" t="s">
        <v>429</v>
      </c>
      <c r="D4" s="2" t="s">
        <v>1219</v>
      </c>
      <c r="E4" s="2" t="s">
        <v>1220</v>
      </c>
      <c r="F4" s="2" t="s">
        <v>1221</v>
      </c>
      <c r="G4" s="2" t="s">
        <v>1222</v>
      </c>
      <c r="H4" s="2" t="s">
        <v>1223</v>
      </c>
      <c r="I4" s="2" t="s">
        <v>1224</v>
      </c>
    </row>
    <row r="5" spans="1:9">
      <c r="C5" s="8" t="s">
        <v>780</v>
      </c>
      <c r="D5" s="17">
        <v>193</v>
      </c>
      <c r="E5" s="17">
        <v>33</v>
      </c>
      <c r="F5" s="17">
        <v>44</v>
      </c>
    </row>
    <row r="6" spans="1:9">
      <c r="A6" s="3" t="s">
        <v>1119</v>
      </c>
      <c r="B6" s="4" t="s">
        <v>1120</v>
      </c>
      <c r="C6" s="4" t="s">
        <v>432</v>
      </c>
      <c r="D6" s="18">
        <v>109</v>
      </c>
      <c r="E6" s="18">
        <v>10</v>
      </c>
      <c r="F6" s="18">
        <v>29</v>
      </c>
      <c r="G6" s="13">
        <f>IF(D$5=0,0,D6/D$5)</f>
        <v>0.56476683937823802</v>
      </c>
      <c r="H6" s="13">
        <f>IF(E$5=0,0,E6/E$5)</f>
        <v>0.30303030303030298</v>
      </c>
      <c r="I6" s="13">
        <f>IF(F$5=0,0,F6/F$5)</f>
        <v>0.65909090909090895</v>
      </c>
    </row>
    <row r="7" spans="1:9">
      <c r="A7" s="3" t="s">
        <v>1119</v>
      </c>
      <c r="B7" s="4"/>
      <c r="C7" s="4" t="s">
        <v>433</v>
      </c>
      <c r="D7" s="18">
        <v>27</v>
      </c>
      <c r="E7" s="18">
        <v>5</v>
      </c>
      <c r="F7" s="18">
        <v>5</v>
      </c>
      <c r="G7" s="13">
        <f>IF(D$5=0,0,D7/D$5)</f>
        <v>0.13989637305699501</v>
      </c>
      <c r="H7" s="13">
        <f>IF(E$5=0,0,E7/E$5)</f>
        <v>0.15151515151515199</v>
      </c>
      <c r="I7" s="13">
        <f>IF(F$5=0,0,F7/F$5)</f>
        <v>0.11363636363636399</v>
      </c>
    </row>
    <row r="8" spans="1:9">
      <c r="A8" s="3" t="s">
        <v>1119</v>
      </c>
      <c r="B8" s="4"/>
      <c r="C8" s="4" t="s">
        <v>434</v>
      </c>
      <c r="D8" s="18">
        <v>39</v>
      </c>
      <c r="E8" s="18">
        <v>5</v>
      </c>
      <c r="F8" s="18">
        <v>3</v>
      </c>
      <c r="G8" s="13">
        <f>IF(D$5=0,0,D8/D$5)</f>
        <v>0.20207253886010401</v>
      </c>
      <c r="H8" s="13">
        <f>IF(E$5=0,0,E8/E$5)</f>
        <v>0.15151515151515199</v>
      </c>
      <c r="I8" s="13">
        <f>IF(F$5=0,0,F8/F$5)</f>
        <v>6.8181818181818205E-2</v>
      </c>
    </row>
    <row r="9" spans="1:9">
      <c r="A9" s="3" t="s">
        <v>1119</v>
      </c>
      <c r="B9" s="4"/>
      <c r="C9" s="4" t="s">
        <v>435</v>
      </c>
      <c r="D9" s="18">
        <v>8</v>
      </c>
      <c r="E9" s="18">
        <v>3</v>
      </c>
      <c r="F9" s="18">
        <v>2</v>
      </c>
      <c r="G9" s="13">
        <f>IF(D$5=0,0,D9/D$5)</f>
        <v>4.1450777202072499E-2</v>
      </c>
      <c r="H9" s="13">
        <f>IF(E$5=0,0,E9/E$5)</f>
        <v>9.0909090909090898E-2</v>
      </c>
      <c r="I9" s="13">
        <f>IF(F$5=0,0,F9/F$5)</f>
        <v>4.5454545454545497E-2</v>
      </c>
    </row>
    <row r="10" spans="1:9">
      <c r="A10" s="3" t="s">
        <v>1119</v>
      </c>
      <c r="B10" s="4"/>
      <c r="C10" s="4" t="s">
        <v>436</v>
      </c>
      <c r="D10" s="18">
        <v>3</v>
      </c>
      <c r="E10" s="18">
        <v>5</v>
      </c>
      <c r="F10" s="18">
        <v>2</v>
      </c>
      <c r="G10" s="13">
        <f>IF(D$5=0,0,D10/D$5)</f>
        <v>1.55440414507772E-2</v>
      </c>
      <c r="H10" s="13">
        <f>IF(E$5=0,0,E10/E$5)</f>
        <v>0.15151515151515199</v>
      </c>
      <c r="I10" s="13">
        <f>IF(F$5=0,0,F10/F$5)</f>
        <v>4.5454545454545497E-2</v>
      </c>
    </row>
    <row r="11" spans="1:9">
      <c r="A11" s="3" t="s">
        <v>1119</v>
      </c>
      <c r="B11" s="4"/>
      <c r="C11" s="4" t="s">
        <v>437</v>
      </c>
      <c r="D11" s="18">
        <v>2</v>
      </c>
      <c r="E11" s="18">
        <v>2</v>
      </c>
      <c r="F11" s="18">
        <v>1</v>
      </c>
      <c r="G11" s="13">
        <f>IF(D$5=0,0,D11/D$5)</f>
        <v>1.03626943005181E-2</v>
      </c>
      <c r="H11" s="13">
        <f>IF(E$5=0,0,E11/E$5)</f>
        <v>6.0606060606060601E-2</v>
      </c>
      <c r="I11" s="13">
        <f>IF(F$5=0,0,F11/F$5)</f>
        <v>2.27272727272727E-2</v>
      </c>
    </row>
    <row r="12" spans="1:9">
      <c r="A12" s="3" t="s">
        <v>1119</v>
      </c>
      <c r="B12" s="4"/>
      <c r="C12" s="4" t="s">
        <v>438</v>
      </c>
      <c r="D12" s="18">
        <v>5</v>
      </c>
      <c r="E12" s="18">
        <v>3</v>
      </c>
      <c r="F12" s="18">
        <v>2</v>
      </c>
      <c r="G12" s="13">
        <f>IF(D$5=0,0,D12/D$5)</f>
        <v>2.59067357512953E-2</v>
      </c>
      <c r="H12" s="13">
        <f>IF(E$5=0,0,E12/E$5)</f>
        <v>9.0909090909090898E-2</v>
      </c>
      <c r="I12" s="13">
        <f>IF(F$5=0,0,F12/F$5)</f>
        <v>4.5454545454545497E-2</v>
      </c>
    </row>
    <row r="13" spans="1:9">
      <c r="A13" s="3" t="s">
        <v>1122</v>
      </c>
      <c r="B13" s="4" t="s">
        <v>1123</v>
      </c>
      <c r="C13" s="4" t="s">
        <v>440</v>
      </c>
      <c r="D13" s="18">
        <v>110</v>
      </c>
      <c r="E13" s="18">
        <v>20</v>
      </c>
      <c r="F13" s="18">
        <v>24</v>
      </c>
      <c r="G13" s="13">
        <f>IF(D$5=0,0,D13/D$5)</f>
        <v>0.56994818652849699</v>
      </c>
      <c r="H13" s="13">
        <f>IF(E$5=0,0,E13/E$5)</f>
        <v>0.60606060606060597</v>
      </c>
      <c r="I13" s="13">
        <f>IF(F$5=0,0,F13/F$5)</f>
        <v>0.54545454545454497</v>
      </c>
    </row>
    <row r="14" spans="1:9">
      <c r="A14" s="3" t="s">
        <v>1122</v>
      </c>
      <c r="B14" s="4"/>
      <c r="C14" s="4" t="s">
        <v>441</v>
      </c>
      <c r="D14" s="18">
        <v>78</v>
      </c>
      <c r="E14" s="18">
        <v>12</v>
      </c>
      <c r="F14" s="18">
        <v>18</v>
      </c>
      <c r="G14" s="13">
        <f>IF(D$5=0,0,D14/D$5)</f>
        <v>0.40414507772020702</v>
      </c>
      <c r="H14" s="13">
        <f>IF(E$5=0,0,E14/E$5)</f>
        <v>0.36363636363636398</v>
      </c>
      <c r="I14" s="13">
        <f>IF(F$5=0,0,F14/F$5)</f>
        <v>0.40909090909090901</v>
      </c>
    </row>
    <row r="15" spans="1:9">
      <c r="A15" s="3" t="s">
        <v>1122</v>
      </c>
      <c r="B15" s="4"/>
      <c r="C15" s="4" t="s">
        <v>442</v>
      </c>
      <c r="D15" s="18">
        <v>0</v>
      </c>
      <c r="E15" s="18">
        <v>0</v>
      </c>
      <c r="F15" s="18">
        <v>0</v>
      </c>
      <c r="G15" s="13">
        <f>IF(D$5=0,0,D15/D$5)</f>
        <v>0</v>
      </c>
      <c r="H15" s="13">
        <f>IF(E$5=0,0,E15/E$5)</f>
        <v>0</v>
      </c>
      <c r="I15" s="13">
        <f>IF(F$5=0,0,F15/F$5)</f>
        <v>0</v>
      </c>
    </row>
    <row r="16" spans="1:9">
      <c r="A16" s="3" t="s">
        <v>1122</v>
      </c>
      <c r="B16" s="4"/>
      <c r="C16" s="4" t="s">
        <v>443</v>
      </c>
      <c r="D16" s="18">
        <v>0</v>
      </c>
      <c r="E16" s="18">
        <v>0</v>
      </c>
      <c r="F16" s="18">
        <v>0</v>
      </c>
      <c r="G16" s="13">
        <f>IF(D$5=0,0,D16/D$5)</f>
        <v>0</v>
      </c>
      <c r="H16" s="13">
        <f>IF(E$5=0,0,E16/E$5)</f>
        <v>0</v>
      </c>
      <c r="I16" s="13">
        <f>IF(F$5=0,0,F16/F$5)</f>
        <v>0</v>
      </c>
    </row>
    <row r="17" spans="1:9">
      <c r="A17" s="3" t="s">
        <v>1122</v>
      </c>
      <c r="B17" s="4"/>
      <c r="C17" s="4" t="s">
        <v>438</v>
      </c>
      <c r="D17" s="18">
        <v>5</v>
      </c>
      <c r="E17" s="18">
        <v>1</v>
      </c>
      <c r="F17" s="18">
        <v>2</v>
      </c>
      <c r="G17" s="13">
        <f>IF(D$5=0,0,D17/D$5)</f>
        <v>2.59067357512953E-2</v>
      </c>
      <c r="H17" s="13">
        <f>IF(E$5=0,0,E17/E$5)</f>
        <v>3.03030303030303E-2</v>
      </c>
      <c r="I17" s="13">
        <f>IF(F$5=0,0,F17/F$5)</f>
        <v>4.5454545454545497E-2</v>
      </c>
    </row>
    <row r="18" spans="1:9">
      <c r="A18" s="3" t="s">
        <v>384</v>
      </c>
      <c r="B18" s="4" t="s">
        <v>1124</v>
      </c>
      <c r="C18" s="4" t="s">
        <v>451</v>
      </c>
      <c r="D18" s="18">
        <v>1</v>
      </c>
      <c r="E18" s="18">
        <v>7</v>
      </c>
      <c r="F18" s="18">
        <v>6</v>
      </c>
      <c r="G18" s="13">
        <f>IF(D$5=0,0,D18/D$5)</f>
        <v>5.1813471502590702E-3</v>
      </c>
      <c r="H18" s="13">
        <f>IF(E$5=0,0,E18/E$5)</f>
        <v>0.21212121212121199</v>
      </c>
      <c r="I18" s="13">
        <f>IF(F$5=0,0,F18/F$5)</f>
        <v>0.13636363636363599</v>
      </c>
    </row>
    <row r="19" spans="1:9">
      <c r="A19" s="3" t="s">
        <v>384</v>
      </c>
      <c r="B19" s="4"/>
      <c r="C19" s="4" t="s">
        <v>452</v>
      </c>
      <c r="D19" s="18">
        <v>3</v>
      </c>
      <c r="E19" s="18">
        <v>4</v>
      </c>
      <c r="F19" s="18">
        <v>6</v>
      </c>
      <c r="G19" s="13">
        <f>IF(D$5=0,0,D19/D$5)</f>
        <v>1.55440414507772E-2</v>
      </c>
      <c r="H19" s="13">
        <f>IF(E$5=0,0,E19/E$5)</f>
        <v>0.12121212121212099</v>
      </c>
      <c r="I19" s="13">
        <f>IF(F$5=0,0,F19/F$5)</f>
        <v>0.13636363636363599</v>
      </c>
    </row>
    <row r="20" spans="1:9">
      <c r="A20" s="3" t="s">
        <v>384</v>
      </c>
      <c r="B20" s="4"/>
      <c r="C20" s="4" t="s">
        <v>453</v>
      </c>
      <c r="D20" s="18">
        <v>5</v>
      </c>
      <c r="E20" s="18">
        <v>2</v>
      </c>
      <c r="F20" s="18">
        <v>9</v>
      </c>
      <c r="G20" s="13">
        <f>IF(D$5=0,0,D20/D$5)</f>
        <v>2.59067357512953E-2</v>
      </c>
      <c r="H20" s="13">
        <f>IF(E$5=0,0,E20/E$5)</f>
        <v>6.0606060606060601E-2</v>
      </c>
      <c r="I20" s="13">
        <f>IF(F$5=0,0,F20/F$5)</f>
        <v>0.204545454545455</v>
      </c>
    </row>
    <row r="21" spans="1:9">
      <c r="A21" s="3" t="s">
        <v>384</v>
      </c>
      <c r="B21" s="4"/>
      <c r="C21" s="4" t="s">
        <v>454</v>
      </c>
      <c r="D21" s="18">
        <v>18</v>
      </c>
      <c r="E21" s="18">
        <v>10</v>
      </c>
      <c r="F21" s="18">
        <v>10</v>
      </c>
      <c r="G21" s="13">
        <f>IF(D$5=0,0,D21/D$5)</f>
        <v>9.3264248704663197E-2</v>
      </c>
      <c r="H21" s="13">
        <f>IF(E$5=0,0,E21/E$5)</f>
        <v>0.30303030303030298</v>
      </c>
      <c r="I21" s="13">
        <f>IF(F$5=0,0,F21/F$5)</f>
        <v>0.22727272727272699</v>
      </c>
    </row>
    <row r="22" spans="1:9">
      <c r="A22" s="3" t="s">
        <v>384</v>
      </c>
      <c r="B22" s="4"/>
      <c r="C22" s="4" t="s">
        <v>455</v>
      </c>
      <c r="D22" s="18">
        <v>159</v>
      </c>
      <c r="E22" s="18">
        <v>9</v>
      </c>
      <c r="F22" s="18">
        <v>11</v>
      </c>
      <c r="G22" s="13">
        <f>IF(D$5=0,0,D22/D$5)</f>
        <v>0.82383419689119197</v>
      </c>
      <c r="H22" s="13">
        <f>IF(E$5=0,0,E22/E$5)</f>
        <v>0.27272727272727298</v>
      </c>
      <c r="I22" s="13">
        <f>IF(F$5=0,0,F22/F$5)</f>
        <v>0.25</v>
      </c>
    </row>
    <row r="23" spans="1:9">
      <c r="A23" s="3" t="s">
        <v>384</v>
      </c>
      <c r="B23" s="4"/>
      <c r="C23" s="4" t="s">
        <v>438</v>
      </c>
      <c r="D23" s="18">
        <v>7</v>
      </c>
      <c r="E23" s="18">
        <v>1</v>
      </c>
      <c r="F23" s="18">
        <v>2</v>
      </c>
      <c r="G23" s="13">
        <f>IF(D$5=0,0,D23/D$5)</f>
        <v>3.6269430051813503E-2</v>
      </c>
      <c r="H23" s="13">
        <f>IF(E$5=0,0,E23/E$5)</f>
        <v>3.03030303030303E-2</v>
      </c>
      <c r="I23" s="13">
        <f>IF(F$5=0,0,F23/F$5)</f>
        <v>4.5454545454545497E-2</v>
      </c>
    </row>
    <row r="24" spans="1:9">
      <c r="A24" s="3" t="s">
        <v>387</v>
      </c>
      <c r="B24" s="4" t="s">
        <v>1125</v>
      </c>
      <c r="C24" s="4" t="s">
        <v>458</v>
      </c>
      <c r="D24" s="18">
        <v>35</v>
      </c>
      <c r="E24" s="18">
        <v>4</v>
      </c>
      <c r="F24" s="18">
        <v>8</v>
      </c>
      <c r="G24" s="13">
        <f>IF(D$5=0,0,D24/D$5)</f>
        <v>0.181347150259067</v>
      </c>
      <c r="H24" s="13">
        <f>IF(E$5=0,0,E24/E$5)</f>
        <v>0.12121212121212099</v>
      </c>
      <c r="I24" s="13">
        <f>IF(F$5=0,0,F24/F$5)</f>
        <v>0.18181818181818199</v>
      </c>
    </row>
    <row r="25" spans="1:9">
      <c r="A25" s="3" t="s">
        <v>387</v>
      </c>
      <c r="B25" s="4"/>
      <c r="C25" s="4" t="s">
        <v>459</v>
      </c>
      <c r="D25" s="18">
        <v>123</v>
      </c>
      <c r="E25" s="18">
        <v>17</v>
      </c>
      <c r="F25" s="18">
        <v>27</v>
      </c>
      <c r="G25" s="13">
        <f>IF(D$5=0,0,D25/D$5)</f>
        <v>0.637305699481865</v>
      </c>
      <c r="H25" s="13">
        <f>IF(E$5=0,0,E25/E$5)</f>
        <v>0.51515151515151503</v>
      </c>
      <c r="I25" s="13">
        <f>IF(F$5=0,0,F25/F$5)</f>
        <v>0.61363636363636398</v>
      </c>
    </row>
    <row r="26" spans="1:9">
      <c r="A26" s="3" t="s">
        <v>387</v>
      </c>
      <c r="B26" s="4"/>
      <c r="C26" s="4" t="s">
        <v>460</v>
      </c>
      <c r="D26" s="18">
        <v>7</v>
      </c>
      <c r="E26" s="18">
        <v>3</v>
      </c>
      <c r="F26" s="18">
        <v>2</v>
      </c>
      <c r="G26" s="13">
        <f>IF(D$5=0,0,D26/D$5)</f>
        <v>3.6269430051813503E-2</v>
      </c>
      <c r="H26" s="13">
        <f>IF(E$5=0,0,E26/E$5)</f>
        <v>9.0909090909090898E-2</v>
      </c>
      <c r="I26" s="13">
        <f>IF(F$5=0,0,F26/F$5)</f>
        <v>4.5454545454545497E-2</v>
      </c>
    </row>
    <row r="27" spans="1:9">
      <c r="A27" s="3" t="s">
        <v>387</v>
      </c>
      <c r="B27" s="4"/>
      <c r="C27" s="4" t="s">
        <v>461</v>
      </c>
      <c r="D27" s="18">
        <v>16</v>
      </c>
      <c r="E27" s="18">
        <v>8</v>
      </c>
      <c r="F27" s="18">
        <v>5</v>
      </c>
      <c r="G27" s="13">
        <f>IF(D$5=0,0,D27/D$5)</f>
        <v>8.2901554404145095E-2</v>
      </c>
      <c r="H27" s="13">
        <f>IF(E$5=0,0,E27/E$5)</f>
        <v>0.24242424242424199</v>
      </c>
      <c r="I27" s="13">
        <f>IF(F$5=0,0,F27/F$5)</f>
        <v>0.11363636363636399</v>
      </c>
    </row>
    <row r="28" spans="1:9">
      <c r="A28" s="3" t="s">
        <v>387</v>
      </c>
      <c r="B28" s="4"/>
      <c r="C28" s="4" t="s">
        <v>462</v>
      </c>
      <c r="D28" s="18">
        <v>5</v>
      </c>
      <c r="E28" s="18">
        <v>0</v>
      </c>
      <c r="F28" s="18">
        <v>0</v>
      </c>
      <c r="G28" s="13">
        <f>IF(D$5=0,0,D28/D$5)</f>
        <v>2.59067357512953E-2</v>
      </c>
      <c r="H28" s="13">
        <f>IF(E$5=0,0,E28/E$5)</f>
        <v>0</v>
      </c>
      <c r="I28" s="13">
        <f>IF(F$5=0,0,F28/F$5)</f>
        <v>0</v>
      </c>
    </row>
    <row r="29" spans="1:9">
      <c r="A29" s="3" t="s">
        <v>387</v>
      </c>
      <c r="B29" s="4"/>
      <c r="C29" s="4" t="s">
        <v>437</v>
      </c>
      <c r="D29" s="18">
        <v>1</v>
      </c>
      <c r="E29" s="18">
        <v>0</v>
      </c>
      <c r="F29" s="18">
        <v>0</v>
      </c>
      <c r="G29" s="13">
        <f>IF(D$5=0,0,D29/D$5)</f>
        <v>5.1813471502590702E-3</v>
      </c>
      <c r="H29" s="13">
        <f>IF(E$5=0,0,E29/E$5)</f>
        <v>0</v>
      </c>
      <c r="I29" s="13">
        <f>IF(F$5=0,0,F29/F$5)</f>
        <v>0</v>
      </c>
    </row>
    <row r="30" spans="1:9">
      <c r="A30" s="3" t="s">
        <v>387</v>
      </c>
      <c r="B30" s="4"/>
      <c r="C30" s="4" t="s">
        <v>438</v>
      </c>
      <c r="D30" s="18">
        <v>6</v>
      </c>
      <c r="E30" s="18">
        <v>1</v>
      </c>
      <c r="F30" s="18">
        <v>2</v>
      </c>
      <c r="G30" s="13">
        <f>IF(D$5=0,0,D30/D$5)</f>
        <v>3.10880829015544E-2</v>
      </c>
      <c r="H30" s="13">
        <f>IF(E$5=0,0,E30/E$5)</f>
        <v>3.03030303030303E-2</v>
      </c>
      <c r="I30" s="13">
        <f>IF(F$5=0,0,F30/F$5)</f>
        <v>4.5454545454545497E-2</v>
      </c>
    </row>
    <row r="31" spans="1:9">
      <c r="A31" s="3" t="s">
        <v>1126</v>
      </c>
      <c r="B31" s="4" t="s">
        <v>1127</v>
      </c>
      <c r="C31" s="4" t="s">
        <v>466</v>
      </c>
      <c r="D31" s="18">
        <v>16</v>
      </c>
      <c r="E31" s="18">
        <v>12</v>
      </c>
      <c r="F31" s="18">
        <v>22</v>
      </c>
      <c r="G31" s="13">
        <f>IF(D$5=0,0,D31/D$5)</f>
        <v>8.2901554404145095E-2</v>
      </c>
      <c r="H31" s="13">
        <f>IF(E$5=0,0,E31/E$5)</f>
        <v>0.36363636363636398</v>
      </c>
      <c r="I31" s="13">
        <f>IF(F$5=0,0,F31/F$5)</f>
        <v>0.5</v>
      </c>
    </row>
    <row r="32" spans="1:9">
      <c r="A32" s="3" t="s">
        <v>1126</v>
      </c>
      <c r="B32" s="4"/>
      <c r="C32" s="4" t="s">
        <v>468</v>
      </c>
      <c r="D32" s="18">
        <v>3</v>
      </c>
      <c r="E32" s="18">
        <v>4</v>
      </c>
      <c r="F32" s="18">
        <v>2</v>
      </c>
      <c r="G32" s="13">
        <f>IF(D$5=0,0,D32/D$5)</f>
        <v>1.55440414507772E-2</v>
      </c>
      <c r="H32" s="13">
        <f>IF(E$5=0,0,E32/E$5)</f>
        <v>0.12121212121212099</v>
      </c>
      <c r="I32" s="13">
        <f>IF(F$5=0,0,F32/F$5)</f>
        <v>4.5454545454545497E-2</v>
      </c>
    </row>
    <row r="33" spans="1:9">
      <c r="A33" s="3" t="s">
        <v>1126</v>
      </c>
      <c r="B33" s="4"/>
      <c r="C33" s="4" t="s">
        <v>467</v>
      </c>
      <c r="D33" s="18">
        <v>8</v>
      </c>
      <c r="E33" s="18">
        <v>6</v>
      </c>
      <c r="F33" s="18">
        <v>13</v>
      </c>
      <c r="G33" s="13">
        <f>IF(D$5=0,0,D33/D$5)</f>
        <v>4.1450777202072499E-2</v>
      </c>
      <c r="H33" s="13">
        <f>IF(E$5=0,0,E33/E$5)</f>
        <v>0.18181818181818199</v>
      </c>
      <c r="I33" s="13">
        <f>IF(F$5=0,0,F33/F$5)</f>
        <v>0.29545454545454503</v>
      </c>
    </row>
    <row r="34" spans="1:9">
      <c r="A34" s="3" t="s">
        <v>1126</v>
      </c>
      <c r="B34" s="4"/>
      <c r="C34" s="4" t="s">
        <v>465</v>
      </c>
      <c r="D34" s="18">
        <v>82</v>
      </c>
      <c r="E34" s="18">
        <v>2</v>
      </c>
      <c r="F34" s="18">
        <v>5</v>
      </c>
      <c r="G34" s="13">
        <f>IF(D$5=0,0,D34/D$5)</f>
        <v>0.42487046632124398</v>
      </c>
      <c r="H34" s="13">
        <f>IF(E$5=0,0,E34/E$5)</f>
        <v>6.0606060606060601E-2</v>
      </c>
      <c r="I34" s="13">
        <f>IF(F$5=0,0,F34/F$5)</f>
        <v>0.11363636363636399</v>
      </c>
    </row>
    <row r="35" spans="1:9">
      <c r="A35" s="3" t="s">
        <v>1126</v>
      </c>
      <c r="B35" s="4"/>
      <c r="C35" s="4" t="s">
        <v>437</v>
      </c>
      <c r="D35" s="18">
        <v>52</v>
      </c>
      <c r="E35" s="18">
        <v>4</v>
      </c>
      <c r="F35" s="18">
        <v>4</v>
      </c>
      <c r="G35" s="13">
        <f>IF(D$5=0,0,D35/D$5)</f>
        <v>0.26943005181347202</v>
      </c>
      <c r="H35" s="13">
        <f>IF(E$5=0,0,E35/E$5)</f>
        <v>0.12121212121212099</v>
      </c>
      <c r="I35" s="13">
        <f>IF(F$5=0,0,F35/F$5)</f>
        <v>9.0909090909090898E-2</v>
      </c>
    </row>
    <row r="36" spans="1:9">
      <c r="A36" s="3" t="s">
        <v>1126</v>
      </c>
      <c r="B36" s="4"/>
      <c r="C36" s="4" t="s">
        <v>438</v>
      </c>
      <c r="D36" s="18">
        <v>70</v>
      </c>
      <c r="E36" s="18">
        <v>16</v>
      </c>
      <c r="F36" s="18">
        <v>17</v>
      </c>
      <c r="G36" s="13">
        <f>IF(D$5=0,0,D36/D$5)</f>
        <v>0.362694300518135</v>
      </c>
      <c r="H36" s="13">
        <f>IF(E$5=0,0,E36/E$5)</f>
        <v>0.48484848484848497</v>
      </c>
      <c r="I36" s="13">
        <f>IF(F$5=0,0,F36/F$5)</f>
        <v>0.38636363636363602</v>
      </c>
    </row>
    <row r="37" spans="1:9">
      <c r="A37" s="3" t="s">
        <v>1129</v>
      </c>
      <c r="B37" s="4" t="s">
        <v>474</v>
      </c>
      <c r="C37" s="4" t="s">
        <v>471</v>
      </c>
      <c r="D37" s="18">
        <v>158</v>
      </c>
      <c r="E37" s="18">
        <v>28</v>
      </c>
      <c r="F37" s="18">
        <v>36</v>
      </c>
      <c r="G37" s="13">
        <f>IF(D$5=0,0,D37/D$5)</f>
        <v>0.818652849740933</v>
      </c>
      <c r="H37" s="13">
        <f>IF(E$5=0,0,E37/E$5)</f>
        <v>0.84848484848484895</v>
      </c>
      <c r="I37" s="13">
        <f>IF(F$5=0,0,F37/F$5)</f>
        <v>0.81818181818181801</v>
      </c>
    </row>
    <row r="38" spans="1:9">
      <c r="A38" s="3" t="s">
        <v>1129</v>
      </c>
      <c r="B38" s="4"/>
      <c r="C38" s="4" t="s">
        <v>472</v>
      </c>
      <c r="D38" s="18">
        <v>17</v>
      </c>
      <c r="E38" s="18">
        <v>1</v>
      </c>
      <c r="F38" s="18">
        <v>4</v>
      </c>
      <c r="G38" s="13">
        <f>IF(D$5=0,0,D38/D$5)</f>
        <v>8.8082901554404097E-2</v>
      </c>
      <c r="H38" s="13">
        <f>IF(E$5=0,0,E38/E$5)</f>
        <v>3.03030303030303E-2</v>
      </c>
      <c r="I38" s="13">
        <f>IF(F$5=0,0,F38/F$5)</f>
        <v>9.0909090909090898E-2</v>
      </c>
    </row>
    <row r="39" spans="1:9">
      <c r="A39" s="3" t="s">
        <v>1129</v>
      </c>
      <c r="B39" s="4"/>
      <c r="C39" s="4" t="s">
        <v>473</v>
      </c>
      <c r="D39" s="18">
        <v>9</v>
      </c>
      <c r="E39" s="18">
        <v>2</v>
      </c>
      <c r="F39" s="18">
        <v>1</v>
      </c>
      <c r="G39" s="13">
        <f>IF(D$5=0,0,D39/D$5)</f>
        <v>4.6632124352331598E-2</v>
      </c>
      <c r="H39" s="13">
        <f>IF(E$5=0,0,E39/E$5)</f>
        <v>6.0606060606060601E-2</v>
      </c>
      <c r="I39" s="13">
        <f>IF(F$5=0,0,F39/F$5)</f>
        <v>2.27272727272727E-2</v>
      </c>
    </row>
    <row r="40" spans="1:9">
      <c r="A40" s="3" t="s">
        <v>1129</v>
      </c>
      <c r="B40" s="4"/>
      <c r="C40" s="4" t="s">
        <v>438</v>
      </c>
      <c r="D40" s="18">
        <v>9</v>
      </c>
      <c r="E40" s="18">
        <v>2</v>
      </c>
      <c r="F40" s="18">
        <v>3</v>
      </c>
      <c r="G40" s="13">
        <f>IF(D$5=0,0,D40/D$5)</f>
        <v>4.6632124352331598E-2</v>
      </c>
      <c r="H40" s="13">
        <f>IF(E$5=0,0,E40/E$5)</f>
        <v>6.0606060606060601E-2</v>
      </c>
      <c r="I40" s="13">
        <f>IF(F$5=0,0,F40/F$5)</f>
        <v>6.8181818181818205E-2</v>
      </c>
    </row>
    <row r="41" spans="1:9">
      <c r="A41" s="3" t="s">
        <v>1129</v>
      </c>
      <c r="B41" s="4" t="s">
        <v>475</v>
      </c>
      <c r="C41" s="4" t="s">
        <v>471</v>
      </c>
      <c r="D41" s="18">
        <v>153</v>
      </c>
      <c r="E41" s="18">
        <v>26</v>
      </c>
      <c r="F41" s="18">
        <v>39</v>
      </c>
      <c r="G41" s="13">
        <f>IF(D$5=0,0,D41/D$5)</f>
        <v>0.79274611398963701</v>
      </c>
      <c r="H41" s="13">
        <f>IF(E$5=0,0,E41/E$5)</f>
        <v>0.78787878787878796</v>
      </c>
      <c r="I41" s="13">
        <f>IF(F$5=0,0,F41/F$5)</f>
        <v>0.88636363636363602</v>
      </c>
    </row>
    <row r="42" spans="1:9">
      <c r="A42" s="3" t="s">
        <v>1129</v>
      </c>
      <c r="B42" s="4"/>
      <c r="C42" s="4" t="s">
        <v>472</v>
      </c>
      <c r="D42" s="18">
        <v>19</v>
      </c>
      <c r="E42" s="18">
        <v>1</v>
      </c>
      <c r="F42" s="18">
        <v>0</v>
      </c>
      <c r="G42" s="13">
        <f>IF(D$5=0,0,D42/D$5)</f>
        <v>9.8445595854922296E-2</v>
      </c>
      <c r="H42" s="13">
        <f>IF(E$5=0,0,E42/E$5)</f>
        <v>3.03030303030303E-2</v>
      </c>
      <c r="I42" s="13">
        <f>IF(F$5=0,0,F42/F$5)</f>
        <v>0</v>
      </c>
    </row>
    <row r="43" spans="1:9">
      <c r="A43" s="3" t="s">
        <v>1129</v>
      </c>
      <c r="B43" s="4"/>
      <c r="C43" s="4" t="s">
        <v>473</v>
      </c>
      <c r="D43" s="18">
        <v>13</v>
      </c>
      <c r="E43" s="18">
        <v>4</v>
      </c>
      <c r="F43" s="18">
        <v>2</v>
      </c>
      <c r="G43" s="13">
        <f>IF(D$5=0,0,D43/D$5)</f>
        <v>6.7357512953367907E-2</v>
      </c>
      <c r="H43" s="13">
        <f>IF(E$5=0,0,E43/E$5)</f>
        <v>0.12121212121212099</v>
      </c>
      <c r="I43" s="13">
        <f>IF(F$5=0,0,F43/F$5)</f>
        <v>4.5454545454545497E-2</v>
      </c>
    </row>
    <row r="44" spans="1:9">
      <c r="A44" s="3" t="s">
        <v>1129</v>
      </c>
      <c r="B44" s="4"/>
      <c r="C44" s="4" t="s">
        <v>438</v>
      </c>
      <c r="D44" s="18">
        <v>8</v>
      </c>
      <c r="E44" s="18">
        <v>2</v>
      </c>
      <c r="F44" s="18">
        <v>3</v>
      </c>
      <c r="G44" s="13">
        <f>IF(D$5=0,0,D44/D$5)</f>
        <v>4.1450777202072499E-2</v>
      </c>
      <c r="H44" s="13">
        <f>IF(E$5=0,0,E44/E$5)</f>
        <v>6.0606060606060601E-2</v>
      </c>
      <c r="I44" s="13">
        <f>IF(F$5=0,0,F44/F$5)</f>
        <v>6.8181818181818205E-2</v>
      </c>
    </row>
    <row r="45" spans="1:9">
      <c r="A45" s="3" t="s">
        <v>1129</v>
      </c>
      <c r="B45" s="4" t="s">
        <v>476</v>
      </c>
      <c r="C45" s="4" t="s">
        <v>471</v>
      </c>
      <c r="D45" s="18">
        <v>139</v>
      </c>
      <c r="E45" s="18">
        <v>22</v>
      </c>
      <c r="F45" s="18">
        <v>33</v>
      </c>
      <c r="G45" s="13">
        <f>IF(D$5=0,0,D45/D$5)</f>
        <v>0.72020725388601003</v>
      </c>
      <c r="H45" s="13">
        <f>IF(E$5=0,0,E45/E$5)</f>
        <v>0.66666666666666696</v>
      </c>
      <c r="I45" s="13">
        <f>IF(F$5=0,0,F45/F$5)</f>
        <v>0.75</v>
      </c>
    </row>
    <row r="46" spans="1:9">
      <c r="A46" s="3" t="s">
        <v>1129</v>
      </c>
      <c r="B46" s="4"/>
      <c r="C46" s="4" t="s">
        <v>472</v>
      </c>
      <c r="D46" s="18">
        <v>21</v>
      </c>
      <c r="E46" s="18">
        <v>4</v>
      </c>
      <c r="F46" s="18">
        <v>5</v>
      </c>
      <c r="G46" s="13">
        <f>IF(D$5=0,0,D46/D$5)</f>
        <v>0.10880829015544</v>
      </c>
      <c r="H46" s="13">
        <f>IF(E$5=0,0,E46/E$5)</f>
        <v>0.12121212121212099</v>
      </c>
      <c r="I46" s="13">
        <f>IF(F$5=0,0,F46/F$5)</f>
        <v>0.11363636363636399</v>
      </c>
    </row>
    <row r="47" spans="1:9">
      <c r="A47" s="3" t="s">
        <v>1129</v>
      </c>
      <c r="B47" s="4"/>
      <c r="C47" s="4" t="s">
        <v>473</v>
      </c>
      <c r="D47" s="18">
        <v>24</v>
      </c>
      <c r="E47" s="18">
        <v>4</v>
      </c>
      <c r="F47" s="18">
        <v>2</v>
      </c>
      <c r="G47" s="13">
        <f>IF(D$5=0,0,D47/D$5)</f>
        <v>0.124352331606218</v>
      </c>
      <c r="H47" s="13">
        <f>IF(E$5=0,0,E47/E$5)</f>
        <v>0.12121212121212099</v>
      </c>
      <c r="I47" s="13">
        <f>IF(F$5=0,0,F47/F$5)</f>
        <v>4.5454545454545497E-2</v>
      </c>
    </row>
    <row r="48" spans="1:9">
      <c r="A48" s="3" t="s">
        <v>1129</v>
      </c>
      <c r="B48" s="4"/>
      <c r="C48" s="4" t="s">
        <v>438</v>
      </c>
      <c r="D48" s="18">
        <v>9</v>
      </c>
      <c r="E48" s="18">
        <v>3</v>
      </c>
      <c r="F48" s="18">
        <v>4</v>
      </c>
      <c r="G48" s="13">
        <f>IF(D$5=0,0,D48/D$5)</f>
        <v>4.6632124352331598E-2</v>
      </c>
      <c r="H48" s="13">
        <f>IF(E$5=0,0,E48/E$5)</f>
        <v>9.0909090909090898E-2</v>
      </c>
      <c r="I48" s="13">
        <f>IF(F$5=0,0,F48/F$5)</f>
        <v>9.0909090909090898E-2</v>
      </c>
    </row>
    <row r="49" spans="1:9">
      <c r="A49" s="3" t="s">
        <v>1129</v>
      </c>
      <c r="B49" s="4" t="s">
        <v>477</v>
      </c>
      <c r="C49" s="4" t="s">
        <v>471</v>
      </c>
      <c r="D49" s="18">
        <v>148</v>
      </c>
      <c r="E49" s="18">
        <v>23</v>
      </c>
      <c r="F49" s="18">
        <v>35</v>
      </c>
      <c r="G49" s="13">
        <f>IF(D$5=0,0,D49/D$5)</f>
        <v>0.76683937823834203</v>
      </c>
      <c r="H49" s="13">
        <f>IF(E$5=0,0,E49/E$5)</f>
        <v>0.69696969696969702</v>
      </c>
      <c r="I49" s="13">
        <f>IF(F$5=0,0,F49/F$5)</f>
        <v>0.79545454545454497</v>
      </c>
    </row>
    <row r="50" spans="1:9">
      <c r="A50" s="3" t="s">
        <v>1129</v>
      </c>
      <c r="B50" s="4"/>
      <c r="C50" s="4" t="s">
        <v>472</v>
      </c>
      <c r="D50" s="18">
        <v>22</v>
      </c>
      <c r="E50" s="18">
        <v>4</v>
      </c>
      <c r="F50" s="18">
        <v>4</v>
      </c>
      <c r="G50" s="13">
        <f>IF(D$5=0,0,D50/D$5)</f>
        <v>0.113989637305699</v>
      </c>
      <c r="H50" s="13">
        <f>IF(E$5=0,0,E50/E$5)</f>
        <v>0.12121212121212099</v>
      </c>
      <c r="I50" s="13">
        <f>IF(F$5=0,0,F50/F$5)</f>
        <v>9.0909090909090898E-2</v>
      </c>
    </row>
    <row r="51" spans="1:9">
      <c r="A51" s="3" t="s">
        <v>1129</v>
      </c>
      <c r="B51" s="4"/>
      <c r="C51" s="4" t="s">
        <v>473</v>
      </c>
      <c r="D51" s="18">
        <v>14</v>
      </c>
      <c r="E51" s="18">
        <v>3</v>
      </c>
      <c r="F51" s="18">
        <v>2</v>
      </c>
      <c r="G51" s="13">
        <f>IF(D$5=0,0,D51/D$5)</f>
        <v>7.2538860103626895E-2</v>
      </c>
      <c r="H51" s="13">
        <f>IF(E$5=0,0,E51/E$5)</f>
        <v>9.0909090909090898E-2</v>
      </c>
      <c r="I51" s="13">
        <f>IF(F$5=0,0,F51/F$5)</f>
        <v>4.5454545454545497E-2</v>
      </c>
    </row>
    <row r="52" spans="1:9">
      <c r="A52" s="3" t="s">
        <v>1129</v>
      </c>
      <c r="B52" s="4"/>
      <c r="C52" s="4" t="s">
        <v>438</v>
      </c>
      <c r="D52" s="18">
        <v>9</v>
      </c>
      <c r="E52" s="18">
        <v>3</v>
      </c>
      <c r="F52" s="18">
        <v>3</v>
      </c>
      <c r="G52" s="13">
        <f>IF(D$5=0,0,D52/D$5)</f>
        <v>4.6632124352331598E-2</v>
      </c>
      <c r="H52" s="13">
        <f>IF(E$5=0,0,E52/E$5)</f>
        <v>9.0909090909090898E-2</v>
      </c>
      <c r="I52" s="13">
        <f>IF(F$5=0,0,F52/F$5)</f>
        <v>6.8181818181818205E-2</v>
      </c>
    </row>
    <row r="53" spans="1:9">
      <c r="A53" s="3" t="s">
        <v>1129</v>
      </c>
      <c r="B53" s="4" t="s">
        <v>478</v>
      </c>
      <c r="C53" s="4" t="s">
        <v>471</v>
      </c>
      <c r="D53" s="18">
        <v>143</v>
      </c>
      <c r="E53" s="18">
        <v>20</v>
      </c>
      <c r="F53" s="18">
        <v>35</v>
      </c>
      <c r="G53" s="13">
        <f>IF(D$5=0,0,D53/D$5)</f>
        <v>0.74093264248704704</v>
      </c>
      <c r="H53" s="13">
        <f>IF(E$5=0,0,E53/E$5)</f>
        <v>0.60606060606060597</v>
      </c>
      <c r="I53" s="13">
        <f>IF(F$5=0,0,F53/F$5)</f>
        <v>0.79545454545454497</v>
      </c>
    </row>
    <row r="54" spans="1:9">
      <c r="A54" s="3" t="s">
        <v>1129</v>
      </c>
      <c r="B54" s="4"/>
      <c r="C54" s="4" t="s">
        <v>472</v>
      </c>
      <c r="D54" s="18">
        <v>28</v>
      </c>
      <c r="E54" s="18">
        <v>7</v>
      </c>
      <c r="F54" s="18">
        <v>5</v>
      </c>
      <c r="G54" s="13">
        <f>IF(D$5=0,0,D54/D$5)</f>
        <v>0.14507772020725401</v>
      </c>
      <c r="H54" s="13">
        <f>IF(E$5=0,0,E54/E$5)</f>
        <v>0.21212121212121199</v>
      </c>
      <c r="I54" s="13">
        <f>IF(F$5=0,0,F54/F$5)</f>
        <v>0.11363636363636399</v>
      </c>
    </row>
    <row r="55" spans="1:9">
      <c r="A55" s="3" t="s">
        <v>1129</v>
      </c>
      <c r="B55" s="4"/>
      <c r="C55" s="4" t="s">
        <v>473</v>
      </c>
      <c r="D55" s="18">
        <v>12</v>
      </c>
      <c r="E55" s="18">
        <v>3</v>
      </c>
      <c r="F55" s="18">
        <v>1</v>
      </c>
      <c r="G55" s="13">
        <f>IF(D$5=0,0,D55/D$5)</f>
        <v>6.21761658031088E-2</v>
      </c>
      <c r="H55" s="13">
        <f>IF(E$5=0,0,E55/E$5)</f>
        <v>9.0909090909090898E-2</v>
      </c>
      <c r="I55" s="13">
        <f>IF(F$5=0,0,F55/F$5)</f>
        <v>2.27272727272727E-2</v>
      </c>
    </row>
    <row r="56" spans="1:9">
      <c r="A56" s="3" t="s">
        <v>1129</v>
      </c>
      <c r="B56" s="4"/>
      <c r="C56" s="4" t="s">
        <v>438</v>
      </c>
      <c r="D56" s="18">
        <v>10</v>
      </c>
      <c r="E56" s="18">
        <v>3</v>
      </c>
      <c r="F56" s="18">
        <v>3</v>
      </c>
      <c r="G56" s="13">
        <f>IF(D$5=0,0,D56/D$5)</f>
        <v>5.1813471502590698E-2</v>
      </c>
      <c r="H56" s="13">
        <f>IF(E$5=0,0,E56/E$5)</f>
        <v>9.0909090909090898E-2</v>
      </c>
      <c r="I56" s="13">
        <f>IF(F$5=0,0,F56/F$5)</f>
        <v>6.8181818181818205E-2</v>
      </c>
    </row>
    <row r="57" spans="1:9">
      <c r="A57" s="3" t="s">
        <v>1129</v>
      </c>
      <c r="B57" s="4" t="s">
        <v>479</v>
      </c>
      <c r="C57" s="4" t="s">
        <v>471</v>
      </c>
      <c r="D57" s="18">
        <v>153</v>
      </c>
      <c r="E57" s="18">
        <v>26</v>
      </c>
      <c r="F57" s="18">
        <v>37</v>
      </c>
      <c r="G57" s="13">
        <f>IF(D$5=0,0,D57/D$5)</f>
        <v>0.79274611398963701</v>
      </c>
      <c r="H57" s="13">
        <f>IF(E$5=0,0,E57/E$5)</f>
        <v>0.78787878787878796</v>
      </c>
      <c r="I57" s="13">
        <f>IF(F$5=0,0,F57/F$5)</f>
        <v>0.84090909090909105</v>
      </c>
    </row>
    <row r="58" spans="1:9">
      <c r="A58" s="3" t="s">
        <v>1129</v>
      </c>
      <c r="B58" s="4"/>
      <c r="C58" s="4" t="s">
        <v>472</v>
      </c>
      <c r="D58" s="18">
        <v>12</v>
      </c>
      <c r="E58" s="18">
        <v>0</v>
      </c>
      <c r="F58" s="18">
        <v>1</v>
      </c>
      <c r="G58" s="13">
        <f>IF(D$5=0,0,D58/D$5)</f>
        <v>6.21761658031088E-2</v>
      </c>
      <c r="H58" s="13">
        <f>IF(E$5=0,0,E58/E$5)</f>
        <v>0</v>
      </c>
      <c r="I58" s="13">
        <f>IF(F$5=0,0,F58/F$5)</f>
        <v>2.27272727272727E-2</v>
      </c>
    </row>
    <row r="59" spans="1:9">
      <c r="A59" s="3" t="s">
        <v>1129</v>
      </c>
      <c r="B59" s="4"/>
      <c r="C59" s="4" t="s">
        <v>473</v>
      </c>
      <c r="D59" s="18">
        <v>19</v>
      </c>
      <c r="E59" s="18">
        <v>4</v>
      </c>
      <c r="F59" s="18">
        <v>3</v>
      </c>
      <c r="G59" s="13">
        <f>IF(D$5=0,0,D59/D$5)</f>
        <v>9.8445595854922296E-2</v>
      </c>
      <c r="H59" s="13">
        <f>IF(E$5=0,0,E59/E$5)</f>
        <v>0.12121212121212099</v>
      </c>
      <c r="I59" s="13">
        <f>IF(F$5=0,0,F59/F$5)</f>
        <v>6.8181818181818205E-2</v>
      </c>
    </row>
    <row r="60" spans="1:9">
      <c r="A60" s="3" t="s">
        <v>1129</v>
      </c>
      <c r="B60" s="4"/>
      <c r="C60" s="4" t="s">
        <v>438</v>
      </c>
      <c r="D60" s="18">
        <v>9</v>
      </c>
      <c r="E60" s="18">
        <v>3</v>
      </c>
      <c r="F60" s="18">
        <v>3</v>
      </c>
      <c r="G60" s="13">
        <f>IF(D$5=0,0,D60/D$5)</f>
        <v>4.6632124352331598E-2</v>
      </c>
      <c r="H60" s="13">
        <f>IF(E$5=0,0,E60/E$5)</f>
        <v>9.0909090909090898E-2</v>
      </c>
      <c r="I60" s="13">
        <f>IF(F$5=0,0,F60/F$5)</f>
        <v>6.8181818181818205E-2</v>
      </c>
    </row>
    <row r="61" spans="1:9">
      <c r="A61" s="3" t="s">
        <v>1129</v>
      </c>
      <c r="B61" s="4" t="s">
        <v>397</v>
      </c>
      <c r="C61" s="4" t="s">
        <v>471</v>
      </c>
      <c r="D61" s="18">
        <v>108</v>
      </c>
      <c r="E61" s="18">
        <v>15</v>
      </c>
      <c r="F61" s="18">
        <v>25</v>
      </c>
      <c r="G61" s="13">
        <f>IF(D$5=0,0,D61/D$5)</f>
        <v>0.55958549222797904</v>
      </c>
      <c r="H61" s="13">
        <f>IF(E$5=0,0,E61/E$5)</f>
        <v>0.45454545454545497</v>
      </c>
      <c r="I61" s="13">
        <f>IF(F$5=0,0,F61/F$5)</f>
        <v>0.56818181818181801</v>
      </c>
    </row>
    <row r="62" spans="1:9">
      <c r="A62" s="3" t="s">
        <v>1129</v>
      </c>
      <c r="B62" s="4"/>
      <c r="C62" s="4" t="s">
        <v>472</v>
      </c>
      <c r="D62" s="18">
        <v>45</v>
      </c>
      <c r="E62" s="18">
        <v>7</v>
      </c>
      <c r="F62" s="18">
        <v>10</v>
      </c>
      <c r="G62" s="13">
        <f>IF(D$5=0,0,D62/D$5)</f>
        <v>0.233160621761658</v>
      </c>
      <c r="H62" s="13">
        <f>IF(E$5=0,0,E62/E$5)</f>
        <v>0.21212121212121199</v>
      </c>
      <c r="I62" s="13">
        <f>IF(F$5=0,0,F62/F$5)</f>
        <v>0.22727272727272699</v>
      </c>
    </row>
    <row r="63" spans="1:9">
      <c r="A63" s="3" t="s">
        <v>1129</v>
      </c>
      <c r="B63" s="4"/>
      <c r="C63" s="4" t="s">
        <v>473</v>
      </c>
      <c r="D63" s="18">
        <v>28</v>
      </c>
      <c r="E63" s="18">
        <v>8</v>
      </c>
      <c r="F63" s="18">
        <v>5</v>
      </c>
      <c r="G63" s="13">
        <f>IF(D$5=0,0,D63/D$5)</f>
        <v>0.14507772020725401</v>
      </c>
      <c r="H63" s="13">
        <f>IF(E$5=0,0,E63/E$5)</f>
        <v>0.24242424242424199</v>
      </c>
      <c r="I63" s="13">
        <f>IF(F$5=0,0,F63/F$5)</f>
        <v>0.11363636363636399</v>
      </c>
    </row>
    <row r="64" spans="1:9">
      <c r="A64" s="3" t="s">
        <v>1129</v>
      </c>
      <c r="B64" s="4"/>
      <c r="C64" s="4" t="s">
        <v>438</v>
      </c>
      <c r="D64" s="18">
        <v>12</v>
      </c>
      <c r="E64" s="18">
        <v>3</v>
      </c>
      <c r="F64" s="18">
        <v>4</v>
      </c>
      <c r="G64" s="13">
        <f>IF(D$5=0,0,D64/D$5)</f>
        <v>6.21761658031088E-2</v>
      </c>
      <c r="H64" s="13">
        <f>IF(E$5=0,0,E64/E$5)</f>
        <v>9.0909090909090898E-2</v>
      </c>
      <c r="I64" s="13">
        <f>IF(F$5=0,0,F64/F$5)</f>
        <v>9.0909090909090898E-2</v>
      </c>
    </row>
    <row r="65" spans="1:9">
      <c r="A65" s="3" t="s">
        <v>1129</v>
      </c>
      <c r="B65" s="4" t="s">
        <v>480</v>
      </c>
      <c r="C65" s="4" t="s">
        <v>471</v>
      </c>
      <c r="D65" s="18">
        <v>149</v>
      </c>
      <c r="E65" s="18">
        <v>16</v>
      </c>
      <c r="F65" s="18">
        <v>27</v>
      </c>
      <c r="G65" s="13">
        <f>IF(D$5=0,0,D65/D$5)</f>
        <v>0.772020725388601</v>
      </c>
      <c r="H65" s="13">
        <f>IF(E$5=0,0,E65/E$5)</f>
        <v>0.48484848484848497</v>
      </c>
      <c r="I65" s="13">
        <f>IF(F$5=0,0,F65/F$5)</f>
        <v>0.61363636363636398</v>
      </c>
    </row>
    <row r="66" spans="1:9">
      <c r="A66" s="3" t="s">
        <v>1129</v>
      </c>
      <c r="B66" s="4"/>
      <c r="C66" s="4" t="s">
        <v>472</v>
      </c>
      <c r="D66" s="18">
        <v>23</v>
      </c>
      <c r="E66" s="18">
        <v>13</v>
      </c>
      <c r="F66" s="18">
        <v>12</v>
      </c>
      <c r="G66" s="13">
        <f>IF(D$5=0,0,D66/D$5)</f>
        <v>0.119170984455959</v>
      </c>
      <c r="H66" s="13">
        <f>IF(E$5=0,0,E66/E$5)</f>
        <v>0.39393939393939398</v>
      </c>
      <c r="I66" s="13">
        <f>IF(F$5=0,0,F66/F$5)</f>
        <v>0.27272727272727298</v>
      </c>
    </row>
    <row r="67" spans="1:9">
      <c r="A67" s="3" t="s">
        <v>1129</v>
      </c>
      <c r="B67" s="4"/>
      <c r="C67" s="4" t="s">
        <v>473</v>
      </c>
      <c r="D67" s="18">
        <v>7</v>
      </c>
      <c r="E67" s="18">
        <v>2</v>
      </c>
      <c r="F67" s="18">
        <v>3</v>
      </c>
      <c r="G67" s="13">
        <f>IF(D$5=0,0,D67/D$5)</f>
        <v>3.6269430051813503E-2</v>
      </c>
      <c r="H67" s="13">
        <f>IF(E$5=0,0,E67/E$5)</f>
        <v>6.0606060606060601E-2</v>
      </c>
      <c r="I67" s="13">
        <f>IF(F$5=0,0,F67/F$5)</f>
        <v>6.8181818181818205E-2</v>
      </c>
    </row>
    <row r="68" spans="1:9">
      <c r="A68" s="3" t="s">
        <v>1129</v>
      </c>
      <c r="B68" s="4"/>
      <c r="C68" s="4" t="s">
        <v>438</v>
      </c>
      <c r="D68" s="18">
        <v>14</v>
      </c>
      <c r="E68" s="18">
        <v>2</v>
      </c>
      <c r="F68" s="18">
        <v>2</v>
      </c>
      <c r="G68" s="13">
        <f>IF(D$5=0,0,D68/D$5)</f>
        <v>7.2538860103626895E-2</v>
      </c>
      <c r="H68" s="13">
        <f>IF(E$5=0,0,E68/E$5)</f>
        <v>6.0606060606060601E-2</v>
      </c>
      <c r="I68" s="13">
        <f>IF(F$5=0,0,F68/F$5)</f>
        <v>4.5454545454545497E-2</v>
      </c>
    </row>
    <row r="69" spans="1:9">
      <c r="A69" s="3" t="s">
        <v>1129</v>
      </c>
      <c r="B69" s="4" t="s">
        <v>481</v>
      </c>
      <c r="C69" s="4" t="s">
        <v>471</v>
      </c>
      <c r="D69" s="18">
        <v>120</v>
      </c>
      <c r="E69" s="18">
        <v>8</v>
      </c>
      <c r="F69" s="18">
        <v>26</v>
      </c>
      <c r="G69" s="13">
        <f>IF(D$5=0,0,D69/D$5)</f>
        <v>0.62176165803108796</v>
      </c>
      <c r="H69" s="13">
        <f>IF(E$5=0,0,E69/E$5)</f>
        <v>0.24242424242424199</v>
      </c>
      <c r="I69" s="13">
        <f>IF(F$5=0,0,F69/F$5)</f>
        <v>0.59090909090909105</v>
      </c>
    </row>
    <row r="70" spans="1:9">
      <c r="A70" s="3" t="s">
        <v>1129</v>
      </c>
      <c r="B70" s="4"/>
      <c r="C70" s="4" t="s">
        <v>472</v>
      </c>
      <c r="D70" s="18">
        <v>32</v>
      </c>
      <c r="E70" s="18">
        <v>11</v>
      </c>
      <c r="F70" s="18">
        <v>10</v>
      </c>
      <c r="G70" s="13">
        <f>IF(D$5=0,0,D70/D$5)</f>
        <v>0.16580310880829</v>
      </c>
      <c r="H70" s="13">
        <f>IF(E$5=0,0,E70/E$5)</f>
        <v>0.33333333333333298</v>
      </c>
      <c r="I70" s="13">
        <f>IF(F$5=0,0,F70/F$5)</f>
        <v>0.22727272727272699</v>
      </c>
    </row>
    <row r="71" spans="1:9">
      <c r="A71" s="3" t="s">
        <v>1129</v>
      </c>
      <c r="B71" s="4"/>
      <c r="C71" s="4" t="s">
        <v>473</v>
      </c>
      <c r="D71" s="18">
        <v>29</v>
      </c>
      <c r="E71" s="18">
        <v>11</v>
      </c>
      <c r="F71" s="18">
        <v>5</v>
      </c>
      <c r="G71" s="13">
        <f>IF(D$5=0,0,D71/D$5)</f>
        <v>0.15025906735751299</v>
      </c>
      <c r="H71" s="13">
        <f>IF(E$5=0,0,E71/E$5)</f>
        <v>0.33333333333333298</v>
      </c>
      <c r="I71" s="13">
        <f>IF(F$5=0,0,F71/F$5)</f>
        <v>0.11363636363636399</v>
      </c>
    </row>
    <row r="72" spans="1:9">
      <c r="A72" s="3" t="s">
        <v>1129</v>
      </c>
      <c r="B72" s="4"/>
      <c r="C72" s="4" t="s">
        <v>438</v>
      </c>
      <c r="D72" s="18">
        <v>12</v>
      </c>
      <c r="E72" s="18">
        <v>3</v>
      </c>
      <c r="F72" s="18">
        <v>3</v>
      </c>
      <c r="G72" s="13">
        <f>IF(D$5=0,0,D72/D$5)</f>
        <v>6.21761658031088E-2</v>
      </c>
      <c r="H72" s="13">
        <f>IF(E$5=0,0,E72/E$5)</f>
        <v>9.0909090909090898E-2</v>
      </c>
      <c r="I72" s="13">
        <f>IF(F$5=0,0,F72/F$5)</f>
        <v>6.8181818181818205E-2</v>
      </c>
    </row>
    <row r="73" spans="1:9">
      <c r="A73" s="3" t="s">
        <v>1129</v>
      </c>
      <c r="B73" s="4" t="s">
        <v>482</v>
      </c>
      <c r="C73" s="4" t="s">
        <v>471</v>
      </c>
      <c r="D73" s="18">
        <v>131</v>
      </c>
      <c r="E73" s="18">
        <v>12</v>
      </c>
      <c r="F73" s="18">
        <v>30</v>
      </c>
      <c r="G73" s="13">
        <f>IF(D$5=0,0,D73/D$5)</f>
        <v>0.67875647668393801</v>
      </c>
      <c r="H73" s="13">
        <f>IF(E$5=0,0,E73/E$5)</f>
        <v>0.36363636363636398</v>
      </c>
      <c r="I73" s="13">
        <f>IF(F$5=0,0,F73/F$5)</f>
        <v>0.68181818181818199</v>
      </c>
    </row>
    <row r="74" spans="1:9">
      <c r="A74" s="3" t="s">
        <v>1129</v>
      </c>
      <c r="B74" s="4"/>
      <c r="C74" s="4" t="s">
        <v>472</v>
      </c>
      <c r="D74" s="18">
        <v>28</v>
      </c>
      <c r="E74" s="18">
        <v>8</v>
      </c>
      <c r="F74" s="18">
        <v>7</v>
      </c>
      <c r="G74" s="13">
        <f>IF(D$5=0,0,D74/D$5)</f>
        <v>0.14507772020725401</v>
      </c>
      <c r="H74" s="13">
        <f>IF(E$5=0,0,E74/E$5)</f>
        <v>0.24242424242424199</v>
      </c>
      <c r="I74" s="13">
        <f>IF(F$5=0,0,F74/F$5)</f>
        <v>0.15909090909090901</v>
      </c>
    </row>
    <row r="75" spans="1:9">
      <c r="A75" s="3" t="s">
        <v>1129</v>
      </c>
      <c r="B75" s="4"/>
      <c r="C75" s="4" t="s">
        <v>473</v>
      </c>
      <c r="D75" s="18">
        <v>23</v>
      </c>
      <c r="E75" s="18">
        <v>10</v>
      </c>
      <c r="F75" s="18">
        <v>4</v>
      </c>
      <c r="G75" s="13">
        <f>IF(D$5=0,0,D75/D$5)</f>
        <v>0.119170984455959</v>
      </c>
      <c r="H75" s="13">
        <f>IF(E$5=0,0,E75/E$5)</f>
        <v>0.30303030303030298</v>
      </c>
      <c r="I75" s="13">
        <f>IF(F$5=0,0,F75/F$5)</f>
        <v>9.0909090909090898E-2</v>
      </c>
    </row>
    <row r="76" spans="1:9">
      <c r="A76" s="3" t="s">
        <v>1129</v>
      </c>
      <c r="B76" s="4"/>
      <c r="C76" s="4" t="s">
        <v>438</v>
      </c>
      <c r="D76" s="18">
        <v>11</v>
      </c>
      <c r="E76" s="18">
        <v>3</v>
      </c>
      <c r="F76" s="18">
        <v>3</v>
      </c>
      <c r="G76" s="13">
        <f>IF(D$5=0,0,D76/D$5)</f>
        <v>5.6994818652849701E-2</v>
      </c>
      <c r="H76" s="13">
        <f>IF(E$5=0,0,E76/E$5)</f>
        <v>9.0909090909090898E-2</v>
      </c>
      <c r="I76" s="13">
        <f>IF(F$5=0,0,F76/F$5)</f>
        <v>6.8181818181818205E-2</v>
      </c>
    </row>
    <row r="77" spans="1:9">
      <c r="A77" s="3" t="s">
        <v>1131</v>
      </c>
      <c r="B77" s="4" t="s">
        <v>1132</v>
      </c>
      <c r="C77" s="4" t="s">
        <v>489</v>
      </c>
      <c r="D77" s="18">
        <v>5</v>
      </c>
      <c r="E77" s="18">
        <v>9</v>
      </c>
      <c r="F77" s="18">
        <v>10</v>
      </c>
      <c r="G77" s="13">
        <f>IF(D$5=0,0,D77/D$5)</f>
        <v>2.59067357512953E-2</v>
      </c>
      <c r="H77" s="13">
        <f>IF(E$5=0,0,E77/E$5)</f>
        <v>0.27272727272727298</v>
      </c>
      <c r="I77" s="13">
        <f>IF(F$5=0,0,F77/F$5)</f>
        <v>0.22727272727272699</v>
      </c>
    </row>
    <row r="78" spans="1:9">
      <c r="A78" s="3" t="s">
        <v>1131</v>
      </c>
      <c r="B78" s="4"/>
      <c r="C78" s="4" t="s">
        <v>487</v>
      </c>
      <c r="D78" s="18">
        <v>39</v>
      </c>
      <c r="E78" s="18">
        <v>1</v>
      </c>
      <c r="F78" s="18">
        <v>6</v>
      </c>
      <c r="G78" s="13">
        <f>IF(D$5=0,0,D78/D$5)</f>
        <v>0.20207253886010401</v>
      </c>
      <c r="H78" s="13">
        <f>IF(E$5=0,0,E78/E$5)</f>
        <v>3.03030303030303E-2</v>
      </c>
      <c r="I78" s="13">
        <f>IF(F$5=0,0,F78/F$5)</f>
        <v>0.13636363636363599</v>
      </c>
    </row>
    <row r="79" spans="1:9">
      <c r="A79" s="3" t="s">
        <v>1131</v>
      </c>
      <c r="B79" s="4"/>
      <c r="C79" s="4" t="s">
        <v>486</v>
      </c>
      <c r="D79" s="18">
        <v>43</v>
      </c>
      <c r="E79" s="18">
        <v>0</v>
      </c>
      <c r="F79" s="18">
        <v>1</v>
      </c>
      <c r="G79" s="13">
        <f>IF(D$5=0,0,D79/D$5)</f>
        <v>0.22279792746113999</v>
      </c>
      <c r="H79" s="13">
        <f>IF(E$5=0,0,E79/E$5)</f>
        <v>0</v>
      </c>
      <c r="I79" s="13">
        <f>IF(F$5=0,0,F79/F$5)</f>
        <v>2.27272727272727E-2</v>
      </c>
    </row>
    <row r="80" spans="1:9">
      <c r="A80" s="3" t="s">
        <v>1131</v>
      </c>
      <c r="B80" s="4"/>
      <c r="C80" s="4" t="s">
        <v>488</v>
      </c>
      <c r="D80" s="18">
        <v>33</v>
      </c>
      <c r="E80" s="18">
        <v>11</v>
      </c>
      <c r="F80" s="18">
        <v>11</v>
      </c>
      <c r="G80" s="13">
        <f>IF(D$5=0,0,D80/D$5)</f>
        <v>0.170984455958549</v>
      </c>
      <c r="H80" s="13">
        <f>IF(E$5=0,0,E80/E$5)</f>
        <v>0.33333333333333298</v>
      </c>
      <c r="I80" s="13">
        <f>IF(F$5=0,0,F80/F$5)</f>
        <v>0.25</v>
      </c>
    </row>
    <row r="81" spans="1:9">
      <c r="A81" s="3" t="s">
        <v>1131</v>
      </c>
      <c r="B81" s="4"/>
      <c r="C81" s="4" t="s">
        <v>490</v>
      </c>
      <c r="D81" s="18">
        <v>7</v>
      </c>
      <c r="E81" s="18">
        <v>1</v>
      </c>
      <c r="F81" s="18">
        <v>0</v>
      </c>
      <c r="G81" s="13">
        <f>IF(D$5=0,0,D81/D$5)</f>
        <v>3.6269430051813503E-2</v>
      </c>
      <c r="H81" s="13">
        <f>IF(E$5=0,0,E81/E$5)</f>
        <v>3.03030303030303E-2</v>
      </c>
      <c r="I81" s="13">
        <f>IF(F$5=0,0,F81/F$5)</f>
        <v>0</v>
      </c>
    </row>
    <row r="82" spans="1:9">
      <c r="A82" s="3" t="s">
        <v>1131</v>
      </c>
      <c r="B82" s="4"/>
      <c r="C82" s="4" t="s">
        <v>438</v>
      </c>
      <c r="D82" s="18">
        <v>87</v>
      </c>
      <c r="E82" s="18">
        <v>11</v>
      </c>
      <c r="F82" s="18">
        <v>19</v>
      </c>
      <c r="G82" s="13">
        <f>IF(D$5=0,0,D82/D$5)</f>
        <v>0.45077720207253902</v>
      </c>
      <c r="H82" s="13">
        <f>IF(E$5=0,0,E82/E$5)</f>
        <v>0.33333333333333298</v>
      </c>
      <c r="I82" s="13">
        <f>IF(F$5=0,0,F82/F$5)</f>
        <v>0.43181818181818199</v>
      </c>
    </row>
    <row r="83" spans="1:9">
      <c r="A83" s="3" t="s">
        <v>390</v>
      </c>
      <c r="B83" s="4" t="s">
        <v>1133</v>
      </c>
      <c r="C83" s="4" t="s">
        <v>493</v>
      </c>
      <c r="D83" s="18">
        <v>3</v>
      </c>
      <c r="E83" s="18">
        <v>1</v>
      </c>
      <c r="F83" s="18">
        <v>1</v>
      </c>
      <c r="G83" s="13">
        <f>IF(D$5=0,0,D83/D$5)</f>
        <v>1.55440414507772E-2</v>
      </c>
      <c r="H83" s="13">
        <f>IF(E$5=0,0,E83/E$5)</f>
        <v>3.03030303030303E-2</v>
      </c>
      <c r="I83" s="13">
        <f>IF(F$5=0,0,F83/F$5)</f>
        <v>2.27272727272727E-2</v>
      </c>
    </row>
    <row r="84" spans="1:9">
      <c r="A84" s="3" t="s">
        <v>390</v>
      </c>
      <c r="B84" s="4"/>
      <c r="C84" s="4" t="s">
        <v>453</v>
      </c>
      <c r="D84" s="18">
        <v>4</v>
      </c>
      <c r="E84" s="18">
        <v>0</v>
      </c>
      <c r="F84" s="18">
        <v>1</v>
      </c>
      <c r="G84" s="13">
        <f>IF(D$5=0,0,D84/D$5)</f>
        <v>2.0725388601036301E-2</v>
      </c>
      <c r="H84" s="13">
        <f>IF(E$5=0,0,E84/E$5)</f>
        <v>0</v>
      </c>
      <c r="I84" s="13">
        <f>IF(F$5=0,0,F84/F$5)</f>
        <v>2.27272727272727E-2</v>
      </c>
    </row>
    <row r="85" spans="1:9">
      <c r="A85" s="3" t="s">
        <v>390</v>
      </c>
      <c r="B85" s="4"/>
      <c r="C85" s="4" t="s">
        <v>494</v>
      </c>
      <c r="D85" s="18">
        <v>17</v>
      </c>
      <c r="E85" s="18">
        <v>4</v>
      </c>
      <c r="F85" s="18">
        <v>5</v>
      </c>
      <c r="G85" s="13">
        <f>IF(D$5=0,0,D85/D$5)</f>
        <v>8.8082901554404097E-2</v>
      </c>
      <c r="H85" s="13">
        <f>IF(E$5=0,0,E85/E$5)</f>
        <v>0.12121212121212099</v>
      </c>
      <c r="I85" s="13">
        <f>IF(F$5=0,0,F85/F$5)</f>
        <v>0.11363636363636399</v>
      </c>
    </row>
    <row r="86" spans="1:9">
      <c r="A86" s="3" t="s">
        <v>390</v>
      </c>
      <c r="B86" s="4"/>
      <c r="C86" s="4" t="s">
        <v>495</v>
      </c>
      <c r="D86" s="18">
        <v>26</v>
      </c>
      <c r="E86" s="18">
        <v>2</v>
      </c>
      <c r="F86" s="18">
        <v>5</v>
      </c>
      <c r="G86" s="13">
        <f>IF(D$5=0,0,D86/D$5)</f>
        <v>0.13471502590673601</v>
      </c>
      <c r="H86" s="13">
        <f>IF(E$5=0,0,E86/E$5)</f>
        <v>6.0606060606060601E-2</v>
      </c>
      <c r="I86" s="13">
        <f>IF(F$5=0,0,F86/F$5)</f>
        <v>0.11363636363636399</v>
      </c>
    </row>
    <row r="87" spans="1:9">
      <c r="A87" s="3" t="s">
        <v>390</v>
      </c>
      <c r="B87" s="4"/>
      <c r="C87" s="4" t="s">
        <v>496</v>
      </c>
      <c r="D87" s="18">
        <v>27</v>
      </c>
      <c r="E87" s="18">
        <v>3</v>
      </c>
      <c r="F87" s="18">
        <v>4</v>
      </c>
      <c r="G87" s="13">
        <f>IF(D$5=0,0,D87/D$5)</f>
        <v>0.13989637305699501</v>
      </c>
      <c r="H87" s="13">
        <f>IF(E$5=0,0,E87/E$5)</f>
        <v>9.0909090909090898E-2</v>
      </c>
      <c r="I87" s="13">
        <f>IF(F$5=0,0,F87/F$5)</f>
        <v>9.0909090909090898E-2</v>
      </c>
    </row>
    <row r="88" spans="1:9">
      <c r="A88" s="3" t="s">
        <v>390</v>
      </c>
      <c r="B88" s="4"/>
      <c r="C88" s="4" t="s">
        <v>438</v>
      </c>
      <c r="D88" s="18">
        <v>116</v>
      </c>
      <c r="E88" s="18">
        <v>23</v>
      </c>
      <c r="F88" s="18">
        <v>28</v>
      </c>
      <c r="G88" s="13">
        <f>IF(D$5=0,0,D88/D$5)</f>
        <v>0.60103626943005195</v>
      </c>
      <c r="H88" s="13">
        <f>IF(E$5=0,0,E88/E$5)</f>
        <v>0.69696969696969702</v>
      </c>
      <c r="I88" s="13">
        <f>IF(F$5=0,0,F88/F$5)</f>
        <v>0.63636363636363602</v>
      </c>
    </row>
    <row r="89" spans="1:9">
      <c r="A89" s="3" t="s">
        <v>1134</v>
      </c>
      <c r="B89" s="4" t="s">
        <v>1135</v>
      </c>
      <c r="C89" s="4" t="s">
        <v>440</v>
      </c>
      <c r="D89" s="18">
        <v>24</v>
      </c>
      <c r="E89" s="18">
        <v>4</v>
      </c>
      <c r="F89" s="18">
        <v>5</v>
      </c>
      <c r="G89" s="13">
        <f>IF(D$5=0,0,D89/D$5)</f>
        <v>0.124352331606218</v>
      </c>
      <c r="H89" s="13">
        <f>IF(E$5=0,0,E89/E$5)</f>
        <v>0.12121212121212099</v>
      </c>
      <c r="I89" s="13">
        <f>IF(F$5=0,0,F89/F$5)</f>
        <v>0.11363636363636399</v>
      </c>
    </row>
    <row r="90" spans="1:9">
      <c r="A90" s="3" t="s">
        <v>1134</v>
      </c>
      <c r="B90" s="4"/>
      <c r="C90" s="4" t="s">
        <v>441</v>
      </c>
      <c r="D90" s="18">
        <v>55</v>
      </c>
      <c r="E90" s="18">
        <v>6</v>
      </c>
      <c r="F90" s="18">
        <v>11</v>
      </c>
      <c r="G90" s="13">
        <f>IF(D$5=0,0,D90/D$5)</f>
        <v>0.284974093264249</v>
      </c>
      <c r="H90" s="13">
        <f>IF(E$5=0,0,E90/E$5)</f>
        <v>0.18181818181818199</v>
      </c>
      <c r="I90" s="13">
        <f>IF(F$5=0,0,F90/F$5)</f>
        <v>0.25</v>
      </c>
    </row>
    <row r="91" spans="1:9">
      <c r="A91" s="3" t="s">
        <v>1134</v>
      </c>
      <c r="B91" s="4"/>
      <c r="C91" s="4" t="s">
        <v>438</v>
      </c>
      <c r="D91" s="18">
        <v>114</v>
      </c>
      <c r="E91" s="18">
        <v>23</v>
      </c>
      <c r="F91" s="18">
        <v>28</v>
      </c>
      <c r="G91" s="13">
        <f>IF(D$5=0,0,D91/D$5)</f>
        <v>0.590673575129534</v>
      </c>
      <c r="H91" s="13">
        <f>IF(E$5=0,0,E91/E$5)</f>
        <v>0.69696969696969702</v>
      </c>
      <c r="I91" s="13">
        <f>IF(F$5=0,0,F91/F$5)</f>
        <v>0.63636363636363602</v>
      </c>
    </row>
    <row r="92" spans="1:9">
      <c r="A92" s="3" t="s">
        <v>1136</v>
      </c>
      <c r="B92" s="4" t="s">
        <v>1137</v>
      </c>
      <c r="C92" s="4" t="s">
        <v>501</v>
      </c>
      <c r="D92" s="18">
        <v>16</v>
      </c>
      <c r="E92" s="18">
        <v>1</v>
      </c>
      <c r="F92" s="18">
        <v>1</v>
      </c>
      <c r="G92" s="13">
        <f>IF(D$5=0,0,D92/D$5)</f>
        <v>8.2901554404145095E-2</v>
      </c>
      <c r="H92" s="13">
        <f>IF(E$5=0,0,E92/E$5)</f>
        <v>3.03030303030303E-2</v>
      </c>
      <c r="I92" s="13">
        <f>IF(F$5=0,0,F92/F$5)</f>
        <v>2.27272727272727E-2</v>
      </c>
    </row>
    <row r="93" spans="1:9">
      <c r="A93" s="3" t="s">
        <v>1136</v>
      </c>
      <c r="B93" s="4"/>
      <c r="C93" s="4" t="s">
        <v>502</v>
      </c>
      <c r="D93" s="18">
        <v>53</v>
      </c>
      <c r="E93" s="18">
        <v>8</v>
      </c>
      <c r="F93" s="18">
        <v>11</v>
      </c>
      <c r="G93" s="13">
        <f>IF(D$5=0,0,D93/D$5)</f>
        <v>0.27461139896373099</v>
      </c>
      <c r="H93" s="13">
        <f>IF(E$5=0,0,E93/E$5)</f>
        <v>0.24242424242424199</v>
      </c>
      <c r="I93" s="13">
        <f>IF(F$5=0,0,F93/F$5)</f>
        <v>0.25</v>
      </c>
    </row>
    <row r="94" spans="1:9">
      <c r="A94" s="3" t="s">
        <v>1136</v>
      </c>
      <c r="B94" s="4"/>
      <c r="C94" s="4" t="s">
        <v>503</v>
      </c>
      <c r="D94" s="18">
        <v>9</v>
      </c>
      <c r="E94" s="18">
        <v>1</v>
      </c>
      <c r="F94" s="18">
        <v>4</v>
      </c>
      <c r="G94" s="13">
        <f>IF(D$5=0,0,D94/D$5)</f>
        <v>4.6632124352331598E-2</v>
      </c>
      <c r="H94" s="13">
        <f>IF(E$5=0,0,E94/E$5)</f>
        <v>3.03030303030303E-2</v>
      </c>
      <c r="I94" s="13">
        <f>IF(F$5=0,0,F94/F$5)</f>
        <v>9.0909090909090898E-2</v>
      </c>
    </row>
    <row r="95" spans="1:9">
      <c r="A95" s="3" t="s">
        <v>1136</v>
      </c>
      <c r="B95" s="4"/>
      <c r="C95" s="4" t="s">
        <v>438</v>
      </c>
      <c r="D95" s="18">
        <v>115</v>
      </c>
      <c r="E95" s="18">
        <v>23</v>
      </c>
      <c r="F95" s="18">
        <v>28</v>
      </c>
      <c r="G95" s="13">
        <f>IF(D$5=0,0,D95/D$5)</f>
        <v>0.59585492227979298</v>
      </c>
      <c r="H95" s="13">
        <f>IF(E$5=0,0,E95/E$5)</f>
        <v>0.69696969696969702</v>
      </c>
      <c r="I95" s="13">
        <f>IF(F$5=0,0,F95/F$5)</f>
        <v>0.63636363636363602</v>
      </c>
    </row>
    <row r="96" spans="1:9">
      <c r="A96" s="3" t="s">
        <v>1138</v>
      </c>
      <c r="B96" s="4" t="s">
        <v>1139</v>
      </c>
      <c r="C96" s="4" t="s">
        <v>506</v>
      </c>
      <c r="D96" s="18">
        <v>72</v>
      </c>
      <c r="E96" s="18">
        <v>4</v>
      </c>
      <c r="F96" s="18">
        <v>7</v>
      </c>
      <c r="G96" s="13">
        <f>IF(D$5=0,0,D96/D$5)</f>
        <v>0.37305699481865301</v>
      </c>
      <c r="H96" s="13">
        <f>IF(E$5=0,0,E96/E$5)</f>
        <v>0.12121212121212099</v>
      </c>
      <c r="I96" s="13">
        <f>IF(F$5=0,0,F96/F$5)</f>
        <v>0.15909090909090901</v>
      </c>
    </row>
    <row r="97" spans="1:9">
      <c r="A97" s="3" t="s">
        <v>1138</v>
      </c>
      <c r="B97" s="4"/>
      <c r="C97" s="4" t="s">
        <v>507</v>
      </c>
      <c r="D97" s="18">
        <v>34</v>
      </c>
      <c r="E97" s="18">
        <v>4</v>
      </c>
      <c r="F97" s="18">
        <v>6</v>
      </c>
      <c r="G97" s="13">
        <f>IF(D$5=0,0,D97/D$5)</f>
        <v>0.176165803108808</v>
      </c>
      <c r="H97" s="13">
        <f>IF(E$5=0,0,E97/E$5)</f>
        <v>0.12121212121212099</v>
      </c>
      <c r="I97" s="13">
        <f>IF(F$5=0,0,F97/F$5)</f>
        <v>0.13636363636363599</v>
      </c>
    </row>
    <row r="98" spans="1:9">
      <c r="A98" s="3" t="s">
        <v>1138</v>
      </c>
      <c r="B98" s="4"/>
      <c r="C98" s="4" t="s">
        <v>508</v>
      </c>
      <c r="D98" s="18">
        <v>28</v>
      </c>
      <c r="E98" s="18">
        <v>1</v>
      </c>
      <c r="F98" s="18">
        <v>1</v>
      </c>
      <c r="G98" s="13">
        <f>IF(D$5=0,0,D98/D$5)</f>
        <v>0.14507772020725401</v>
      </c>
      <c r="H98" s="13">
        <f>IF(E$5=0,0,E98/E$5)</f>
        <v>3.03030303030303E-2</v>
      </c>
      <c r="I98" s="13">
        <f>IF(F$5=0,0,F98/F$5)</f>
        <v>2.27272727272727E-2</v>
      </c>
    </row>
    <row r="99" spans="1:9">
      <c r="A99" s="3" t="s">
        <v>1138</v>
      </c>
      <c r="B99" s="4"/>
      <c r="C99" s="4" t="s">
        <v>509</v>
      </c>
      <c r="D99" s="18">
        <v>33</v>
      </c>
      <c r="E99" s="18">
        <v>1</v>
      </c>
      <c r="F99" s="18">
        <v>1</v>
      </c>
      <c r="G99" s="13">
        <f>IF(D$5=0,0,D99/D$5)</f>
        <v>0.170984455958549</v>
      </c>
      <c r="H99" s="13">
        <f>IF(E$5=0,0,E99/E$5)</f>
        <v>3.03030303030303E-2</v>
      </c>
      <c r="I99" s="13">
        <f>IF(F$5=0,0,F99/F$5)</f>
        <v>2.27272727272727E-2</v>
      </c>
    </row>
    <row r="100" spans="1:9">
      <c r="A100" s="3" t="s">
        <v>1138</v>
      </c>
      <c r="B100" s="4"/>
      <c r="C100" s="4" t="s">
        <v>510</v>
      </c>
      <c r="D100" s="18">
        <v>16</v>
      </c>
      <c r="E100" s="18">
        <v>0</v>
      </c>
      <c r="F100" s="18">
        <v>2</v>
      </c>
      <c r="G100" s="13">
        <f>IF(D$5=0,0,D100/D$5)</f>
        <v>8.2901554404145095E-2</v>
      </c>
      <c r="H100" s="13">
        <f>IF(E$5=0,0,E100/E$5)</f>
        <v>0</v>
      </c>
      <c r="I100" s="13">
        <f>IF(F$5=0,0,F100/F$5)</f>
        <v>4.5454545454545497E-2</v>
      </c>
    </row>
    <row r="101" spans="1:9">
      <c r="A101" s="3" t="s">
        <v>1138</v>
      </c>
      <c r="B101" s="4"/>
      <c r="C101" s="4" t="s">
        <v>511</v>
      </c>
      <c r="D101" s="18">
        <v>10</v>
      </c>
      <c r="E101" s="18">
        <v>0</v>
      </c>
      <c r="F101" s="18">
        <v>0</v>
      </c>
      <c r="G101" s="13">
        <f>IF(D$5=0,0,D101/D$5)</f>
        <v>5.1813471502590698E-2</v>
      </c>
      <c r="H101" s="13">
        <f>IF(E$5=0,0,E101/E$5)</f>
        <v>0</v>
      </c>
      <c r="I101" s="13">
        <f>IF(F$5=0,0,F101/F$5)</f>
        <v>0</v>
      </c>
    </row>
    <row r="102" spans="1:9">
      <c r="A102" s="3" t="s">
        <v>1138</v>
      </c>
      <c r="B102" s="4"/>
      <c r="C102" s="4" t="s">
        <v>512</v>
      </c>
      <c r="D102" s="18">
        <v>0</v>
      </c>
      <c r="E102" s="18">
        <v>17</v>
      </c>
      <c r="F102" s="18">
        <v>22</v>
      </c>
      <c r="G102" s="13">
        <f>IF(D$5=0,0,D102/D$5)</f>
        <v>0</v>
      </c>
      <c r="H102" s="13">
        <f>IF(E$5=0,0,E102/E$5)</f>
        <v>0.51515151515151503</v>
      </c>
      <c r="I102" s="13">
        <f>IF(F$5=0,0,F102/F$5)</f>
        <v>0.5</v>
      </c>
    </row>
    <row r="103" spans="1:9">
      <c r="A103" s="3" t="s">
        <v>1138</v>
      </c>
      <c r="B103" s="4"/>
      <c r="C103" s="4" t="s">
        <v>438</v>
      </c>
      <c r="D103" s="18">
        <v>0</v>
      </c>
      <c r="E103" s="18">
        <v>6</v>
      </c>
      <c r="F103" s="18">
        <v>5</v>
      </c>
      <c r="G103" s="13">
        <f>IF(D$5=0,0,D103/D$5)</f>
        <v>0</v>
      </c>
      <c r="H103" s="13">
        <f>IF(E$5=0,0,E103/E$5)</f>
        <v>0.18181818181818199</v>
      </c>
      <c r="I103" s="13">
        <f>IF(F$5=0,0,F103/F$5)</f>
        <v>0.11363636363636399</v>
      </c>
    </row>
    <row r="104" spans="1:9">
      <c r="A104" s="3" t="s">
        <v>1140</v>
      </c>
      <c r="B104" s="4" t="s">
        <v>1141</v>
      </c>
      <c r="C104" s="4" t="s">
        <v>514</v>
      </c>
      <c r="D104" s="18">
        <v>14</v>
      </c>
      <c r="E104" s="18">
        <v>0</v>
      </c>
      <c r="F104" s="18">
        <v>1</v>
      </c>
      <c r="G104" s="13">
        <f>IF(D$5=0,0,D104/D$5)</f>
        <v>7.2538860103626895E-2</v>
      </c>
      <c r="H104" s="13">
        <f>IF(E$5=0,0,E104/E$5)</f>
        <v>0</v>
      </c>
      <c r="I104" s="13">
        <f>IF(F$5=0,0,F104/F$5)</f>
        <v>2.27272727272727E-2</v>
      </c>
    </row>
    <row r="105" spans="1:9">
      <c r="A105" s="3" t="s">
        <v>1140</v>
      </c>
      <c r="B105" s="4"/>
      <c r="C105" s="4" t="s">
        <v>515</v>
      </c>
      <c r="D105" s="18">
        <v>17</v>
      </c>
      <c r="E105" s="18">
        <v>0</v>
      </c>
      <c r="F105" s="18">
        <v>0</v>
      </c>
      <c r="G105" s="13">
        <f>IF(D$5=0,0,D105/D$5)</f>
        <v>8.8082901554404097E-2</v>
      </c>
      <c r="H105" s="13">
        <f>IF(E$5=0,0,E105/E$5)</f>
        <v>0</v>
      </c>
      <c r="I105" s="13">
        <f>IF(F$5=0,0,F105/F$5)</f>
        <v>0</v>
      </c>
    </row>
    <row r="106" spans="1:9">
      <c r="A106" s="3" t="s">
        <v>1140</v>
      </c>
      <c r="B106" s="4"/>
      <c r="C106" s="4" t="s">
        <v>516</v>
      </c>
      <c r="D106" s="18">
        <v>4</v>
      </c>
      <c r="E106" s="18">
        <v>1</v>
      </c>
      <c r="F106" s="18">
        <v>0</v>
      </c>
      <c r="G106" s="13">
        <f>IF(D$5=0,0,D106/D$5)</f>
        <v>2.0725388601036301E-2</v>
      </c>
      <c r="H106" s="13">
        <f>IF(E$5=0,0,E106/E$5)</f>
        <v>3.03030303030303E-2</v>
      </c>
      <c r="I106" s="13">
        <f>IF(F$5=0,0,F106/F$5)</f>
        <v>0</v>
      </c>
    </row>
    <row r="107" spans="1:9">
      <c r="A107" s="3" t="s">
        <v>1140</v>
      </c>
      <c r="B107" s="4"/>
      <c r="C107" s="4" t="s">
        <v>517</v>
      </c>
      <c r="D107" s="18">
        <v>12</v>
      </c>
      <c r="E107" s="18">
        <v>0</v>
      </c>
      <c r="F107" s="18">
        <v>0</v>
      </c>
      <c r="G107" s="13">
        <f>IF(D$5=0,0,D107/D$5)</f>
        <v>6.21761658031088E-2</v>
      </c>
      <c r="H107" s="13">
        <f>IF(E$5=0,0,E107/E$5)</f>
        <v>0</v>
      </c>
      <c r="I107" s="13">
        <f>IF(F$5=0,0,F107/F$5)</f>
        <v>0</v>
      </c>
    </row>
    <row r="108" spans="1:9">
      <c r="A108" s="3" t="s">
        <v>1140</v>
      </c>
      <c r="B108" s="4"/>
      <c r="C108" s="4" t="s">
        <v>518</v>
      </c>
      <c r="D108" s="18">
        <v>37</v>
      </c>
      <c r="E108" s="18">
        <v>1</v>
      </c>
      <c r="F108" s="18">
        <v>0</v>
      </c>
      <c r="G108" s="13">
        <f>IF(D$5=0,0,D108/D$5)</f>
        <v>0.19170984455958501</v>
      </c>
      <c r="H108" s="13">
        <f>IF(E$5=0,0,E108/E$5)</f>
        <v>3.03030303030303E-2</v>
      </c>
      <c r="I108" s="13">
        <f>IF(F$5=0,0,F108/F$5)</f>
        <v>0</v>
      </c>
    </row>
    <row r="109" spans="1:9">
      <c r="A109" s="3" t="s">
        <v>1140</v>
      </c>
      <c r="B109" s="4"/>
      <c r="C109" s="4" t="s">
        <v>519</v>
      </c>
      <c r="D109" s="18">
        <v>11</v>
      </c>
      <c r="E109" s="18">
        <v>2</v>
      </c>
      <c r="F109" s="18">
        <v>0</v>
      </c>
      <c r="G109" s="13">
        <f>IF(D$5=0,0,D109/D$5)</f>
        <v>5.6994818652849701E-2</v>
      </c>
      <c r="H109" s="13">
        <f>IF(E$5=0,0,E109/E$5)</f>
        <v>6.0606060606060601E-2</v>
      </c>
      <c r="I109" s="13">
        <f>IF(F$5=0,0,F109/F$5)</f>
        <v>0</v>
      </c>
    </row>
    <row r="110" spans="1:9">
      <c r="A110" s="3" t="s">
        <v>1140</v>
      </c>
      <c r="B110" s="4"/>
      <c r="C110" s="4" t="s">
        <v>520</v>
      </c>
      <c r="D110" s="18">
        <v>80</v>
      </c>
      <c r="E110" s="18">
        <v>0</v>
      </c>
      <c r="F110" s="18">
        <v>5</v>
      </c>
      <c r="G110" s="13">
        <f>IF(D$5=0,0,D110/D$5)</f>
        <v>0.41450777202072497</v>
      </c>
      <c r="H110" s="13">
        <f>IF(E$5=0,0,E110/E$5)</f>
        <v>0</v>
      </c>
      <c r="I110" s="13">
        <f>IF(F$5=0,0,F110/F$5)</f>
        <v>0.11363636363636399</v>
      </c>
    </row>
    <row r="111" spans="1:9">
      <c r="A111" s="3" t="s">
        <v>1140</v>
      </c>
      <c r="B111" s="4"/>
      <c r="C111" s="4" t="s">
        <v>438</v>
      </c>
      <c r="D111" s="18">
        <v>18</v>
      </c>
      <c r="E111" s="18">
        <v>29</v>
      </c>
      <c r="F111" s="18">
        <v>38</v>
      </c>
      <c r="G111" s="13">
        <f>IF(D$5=0,0,D111/D$5)</f>
        <v>9.3264248704663197E-2</v>
      </c>
      <c r="H111" s="13">
        <f>IF(E$5=0,0,E111/E$5)</f>
        <v>0.87878787878787901</v>
      </c>
      <c r="I111" s="13">
        <f>IF(F$5=0,0,F111/F$5)</f>
        <v>0.86363636363636398</v>
      </c>
    </row>
    <row r="112" spans="1:9">
      <c r="A112" s="3" t="s">
        <v>1142</v>
      </c>
      <c r="B112" s="4" t="s">
        <v>1143</v>
      </c>
      <c r="C112" s="4" t="s">
        <v>522</v>
      </c>
      <c r="D112" s="18">
        <v>5</v>
      </c>
      <c r="E112" s="18">
        <v>10</v>
      </c>
      <c r="F112" s="18">
        <v>7</v>
      </c>
      <c r="G112" s="13">
        <f>IF(D$5=0,0,D112/D$5)</f>
        <v>2.59067357512953E-2</v>
      </c>
      <c r="H112" s="13">
        <f>IF(E$5=0,0,E112/E$5)</f>
        <v>0.30303030303030298</v>
      </c>
      <c r="I112" s="13">
        <f>IF(F$5=0,0,F112/F$5)</f>
        <v>0.15909090909090901</v>
      </c>
    </row>
    <row r="113" spans="1:9">
      <c r="A113" s="3" t="s">
        <v>1142</v>
      </c>
      <c r="B113" s="4"/>
      <c r="C113" s="4" t="s">
        <v>523</v>
      </c>
      <c r="D113" s="18">
        <v>5</v>
      </c>
      <c r="E113" s="18">
        <v>23</v>
      </c>
      <c r="F113" s="18">
        <v>3</v>
      </c>
      <c r="G113" s="13">
        <f>IF(D$5=0,0,D113/D$5)</f>
        <v>2.59067357512953E-2</v>
      </c>
      <c r="H113" s="13">
        <f>IF(E$5=0,0,E113/E$5)</f>
        <v>0.69696969696969702</v>
      </c>
      <c r="I113" s="13">
        <f>IF(F$5=0,0,F113/F$5)</f>
        <v>6.8181818181818205E-2</v>
      </c>
    </row>
    <row r="114" spans="1:9">
      <c r="A114" s="3" t="s">
        <v>1142</v>
      </c>
      <c r="B114" s="4"/>
      <c r="C114" s="4" t="s">
        <v>512</v>
      </c>
      <c r="D114" s="18">
        <v>163</v>
      </c>
      <c r="E114" s="18">
        <v>0</v>
      </c>
      <c r="F114" s="18">
        <v>28</v>
      </c>
      <c r="G114" s="13">
        <f>IF(D$5=0,0,D114/D$5)</f>
        <v>0.84455958549222798</v>
      </c>
      <c r="H114" s="13">
        <f>IF(E$5=0,0,E114/E$5)</f>
        <v>0</v>
      </c>
      <c r="I114" s="13">
        <f>IF(F$5=0,0,F114/F$5)</f>
        <v>0.63636363636363602</v>
      </c>
    </row>
    <row r="115" spans="1:9">
      <c r="A115" s="3" t="s">
        <v>1142</v>
      </c>
      <c r="B115" s="4"/>
      <c r="C115" s="4" t="s">
        <v>438</v>
      </c>
      <c r="D115" s="18">
        <v>20</v>
      </c>
      <c r="E115" s="18">
        <v>0</v>
      </c>
      <c r="F115" s="18">
        <v>6</v>
      </c>
      <c r="G115" s="13">
        <f>IF(D$5=0,0,D115/D$5)</f>
        <v>0.10362694300518099</v>
      </c>
      <c r="H115" s="13">
        <f>IF(E$5=0,0,E115/E$5)</f>
        <v>0</v>
      </c>
      <c r="I115" s="13">
        <f>IF(F$5=0,0,F115/F$5)</f>
        <v>0.13636363636363599</v>
      </c>
    </row>
    <row r="116" spans="1:9">
      <c r="A116" s="3" t="s">
        <v>1144</v>
      </c>
      <c r="B116" s="4" t="s">
        <v>1145</v>
      </c>
      <c r="C116" s="4" t="s">
        <v>506</v>
      </c>
      <c r="D116" s="18">
        <v>8</v>
      </c>
      <c r="E116" s="18">
        <v>5</v>
      </c>
      <c r="F116" s="18">
        <v>13</v>
      </c>
      <c r="G116" s="13">
        <f>IF(D$5=0,0,D116/D$5)</f>
        <v>4.1450777202072499E-2</v>
      </c>
      <c r="H116" s="13">
        <f>IF(E$5=0,0,E116/E$5)</f>
        <v>0.15151515151515199</v>
      </c>
      <c r="I116" s="13">
        <f>IF(F$5=0,0,F116/F$5)</f>
        <v>0.29545454545454503</v>
      </c>
    </row>
    <row r="117" spans="1:9">
      <c r="A117" s="3" t="s">
        <v>1144</v>
      </c>
      <c r="B117" s="4"/>
      <c r="C117" s="4" t="s">
        <v>507</v>
      </c>
      <c r="D117" s="18">
        <v>8</v>
      </c>
      <c r="E117" s="18">
        <v>4</v>
      </c>
      <c r="F117" s="18">
        <v>23</v>
      </c>
      <c r="G117" s="13">
        <f>IF(D$5=0,0,D117/D$5)</f>
        <v>4.1450777202072499E-2</v>
      </c>
      <c r="H117" s="13">
        <f>IF(E$5=0,0,E117/E$5)</f>
        <v>0.12121212121212099</v>
      </c>
      <c r="I117" s="13">
        <f>IF(F$5=0,0,F117/F$5)</f>
        <v>0.52272727272727304</v>
      </c>
    </row>
    <row r="118" spans="1:9">
      <c r="A118" s="3" t="s">
        <v>1144</v>
      </c>
      <c r="B118" s="4"/>
      <c r="C118" s="4" t="s">
        <v>508</v>
      </c>
      <c r="D118" s="18">
        <v>1</v>
      </c>
      <c r="E118" s="18">
        <v>1</v>
      </c>
      <c r="F118" s="18">
        <v>8</v>
      </c>
      <c r="G118" s="13">
        <f>IF(D$5=0,0,D118/D$5)</f>
        <v>5.1813471502590702E-3</v>
      </c>
      <c r="H118" s="13">
        <f>IF(E$5=0,0,E118/E$5)</f>
        <v>3.03030303030303E-2</v>
      </c>
      <c r="I118" s="13">
        <f>IF(F$5=0,0,F118/F$5)</f>
        <v>0.18181818181818199</v>
      </c>
    </row>
    <row r="119" spans="1:9">
      <c r="A119" s="3" t="s">
        <v>1144</v>
      </c>
      <c r="B119" s="4"/>
      <c r="C119" s="4" t="s">
        <v>512</v>
      </c>
      <c r="D119" s="18">
        <v>163</v>
      </c>
      <c r="E119" s="18">
        <v>19</v>
      </c>
      <c r="F119" s="18">
        <v>0</v>
      </c>
      <c r="G119" s="13">
        <f>IF(D$5=0,0,D119/D$5)</f>
        <v>0.84455958549222798</v>
      </c>
      <c r="H119" s="13">
        <f>IF(E$5=0,0,E119/E$5)</f>
        <v>0.57575757575757602</v>
      </c>
      <c r="I119" s="13">
        <f>IF(F$5=0,0,F119/F$5)</f>
        <v>0</v>
      </c>
    </row>
    <row r="120" spans="1:9">
      <c r="A120" s="3" t="s">
        <v>1144</v>
      </c>
      <c r="B120" s="4"/>
      <c r="C120" s="4" t="s">
        <v>438</v>
      </c>
      <c r="D120" s="18">
        <v>13</v>
      </c>
      <c r="E120" s="18">
        <v>4</v>
      </c>
      <c r="F120" s="18">
        <v>0</v>
      </c>
      <c r="G120" s="13">
        <f>IF(D$5=0,0,D120/D$5)</f>
        <v>6.7357512953367907E-2</v>
      </c>
      <c r="H120" s="13">
        <f>IF(E$5=0,0,E120/E$5)</f>
        <v>0.12121212121212099</v>
      </c>
      <c r="I120" s="13">
        <f>IF(F$5=0,0,F120/F$5)</f>
        <v>0</v>
      </c>
    </row>
    <row r="121" spans="1:9">
      <c r="A121" s="3" t="s">
        <v>1146</v>
      </c>
      <c r="B121" s="4" t="s">
        <v>1147</v>
      </c>
      <c r="C121" s="4" t="s">
        <v>526</v>
      </c>
      <c r="D121" s="18">
        <v>5</v>
      </c>
      <c r="E121" s="18">
        <v>5</v>
      </c>
      <c r="F121" s="18">
        <v>5</v>
      </c>
      <c r="G121" s="13">
        <f>IF(D$5=0,0,D121/D$5)</f>
        <v>2.59067357512953E-2</v>
      </c>
      <c r="H121" s="13">
        <f>IF(E$5=0,0,E121/E$5)</f>
        <v>0.15151515151515199</v>
      </c>
      <c r="I121" s="13">
        <f>IF(F$5=0,0,F121/F$5)</f>
        <v>0.11363636363636399</v>
      </c>
    </row>
    <row r="122" spans="1:9">
      <c r="A122" s="3" t="s">
        <v>1146</v>
      </c>
      <c r="B122" s="4"/>
      <c r="C122" s="4" t="s">
        <v>527</v>
      </c>
      <c r="D122" s="18">
        <v>165</v>
      </c>
      <c r="E122" s="18">
        <v>24</v>
      </c>
      <c r="F122" s="18">
        <v>33</v>
      </c>
      <c r="G122" s="13">
        <f>IF(D$5=0,0,D122/D$5)</f>
        <v>0.85492227979274604</v>
      </c>
      <c r="H122" s="13">
        <f>IF(E$5=0,0,E122/E$5)</f>
        <v>0.72727272727272696</v>
      </c>
      <c r="I122" s="13">
        <f>IF(F$5=0,0,F122/F$5)</f>
        <v>0.75</v>
      </c>
    </row>
    <row r="123" spans="1:9">
      <c r="A123" s="3" t="s">
        <v>1146</v>
      </c>
      <c r="B123" s="4"/>
      <c r="C123" s="4" t="s">
        <v>438</v>
      </c>
      <c r="D123" s="18">
        <v>23</v>
      </c>
      <c r="E123" s="18">
        <v>4</v>
      </c>
      <c r="F123" s="18">
        <v>6</v>
      </c>
      <c r="G123" s="13">
        <f>IF(D$5=0,0,D123/D$5)</f>
        <v>0.119170984455959</v>
      </c>
      <c r="H123" s="13">
        <f>IF(E$5=0,0,E123/E$5)</f>
        <v>0.12121212121212099</v>
      </c>
      <c r="I123" s="13">
        <f>IF(F$5=0,0,F123/F$5)</f>
        <v>0.13636363636363599</v>
      </c>
    </row>
    <row r="124" spans="1:9">
      <c r="A124" s="3" t="s">
        <v>1148</v>
      </c>
      <c r="B124" s="4" t="s">
        <v>1149</v>
      </c>
      <c r="C124" s="4" t="s">
        <v>530</v>
      </c>
      <c r="D124" s="18">
        <v>13</v>
      </c>
      <c r="E124" s="18">
        <v>2</v>
      </c>
      <c r="F124" s="18">
        <v>2</v>
      </c>
      <c r="G124" s="13">
        <f>IF(D$5=0,0,D124/D$5)</f>
        <v>6.7357512953367907E-2</v>
      </c>
      <c r="H124" s="13">
        <f>IF(E$5=0,0,E124/E$5)</f>
        <v>6.0606060606060601E-2</v>
      </c>
      <c r="I124" s="13">
        <f>IF(F$5=0,0,F124/F$5)</f>
        <v>4.5454545454545497E-2</v>
      </c>
    </row>
    <row r="125" spans="1:9">
      <c r="A125" s="3" t="s">
        <v>1148</v>
      </c>
      <c r="B125" s="4"/>
      <c r="C125" s="4" t="s">
        <v>531</v>
      </c>
      <c r="D125" s="18">
        <v>164</v>
      </c>
      <c r="E125" s="18">
        <v>28</v>
      </c>
      <c r="F125" s="18">
        <v>39</v>
      </c>
      <c r="G125" s="13">
        <f>IF(D$5=0,0,D125/D$5)</f>
        <v>0.84974093264248696</v>
      </c>
      <c r="H125" s="13">
        <f>IF(E$5=0,0,E125/E$5)</f>
        <v>0.84848484848484895</v>
      </c>
      <c r="I125" s="13">
        <f>IF(F$5=0,0,F125/F$5)</f>
        <v>0.88636363636363602</v>
      </c>
    </row>
    <row r="126" spans="1:9">
      <c r="A126" s="3" t="s">
        <v>1148</v>
      </c>
      <c r="B126" s="4"/>
      <c r="C126" s="4" t="s">
        <v>438</v>
      </c>
      <c r="D126" s="18">
        <v>16</v>
      </c>
      <c r="E126" s="18">
        <v>3</v>
      </c>
      <c r="F126" s="18">
        <v>3</v>
      </c>
      <c r="G126" s="13">
        <f>IF(D$5=0,0,D126/D$5)</f>
        <v>8.2901554404145095E-2</v>
      </c>
      <c r="H126" s="13">
        <f>IF(E$5=0,0,E126/E$5)</f>
        <v>9.0909090909090898E-2</v>
      </c>
      <c r="I126" s="13">
        <f>IF(F$5=0,0,F126/F$5)</f>
        <v>6.8181818181818205E-2</v>
      </c>
    </row>
    <row r="127" spans="1:9">
      <c r="A127" s="3" t="s">
        <v>1150</v>
      </c>
      <c r="B127" s="4" t="s">
        <v>1151</v>
      </c>
      <c r="C127" s="4" t="s">
        <v>534</v>
      </c>
      <c r="D127" s="18">
        <v>5</v>
      </c>
      <c r="E127" s="18">
        <v>14</v>
      </c>
      <c r="F127" s="18">
        <v>19</v>
      </c>
      <c r="G127" s="13">
        <f>IF(D$5=0,0,D127/D$5)</f>
        <v>2.59067357512953E-2</v>
      </c>
      <c r="H127" s="13">
        <f>IF(E$5=0,0,E127/E$5)</f>
        <v>0.42424242424242398</v>
      </c>
      <c r="I127" s="13">
        <f>IF(F$5=0,0,F127/F$5)</f>
        <v>0.43181818181818199</v>
      </c>
    </row>
    <row r="128" spans="1:9">
      <c r="A128" s="3" t="s">
        <v>1150</v>
      </c>
      <c r="B128" s="4"/>
      <c r="C128" s="4" t="s">
        <v>535</v>
      </c>
      <c r="D128" s="18">
        <v>174</v>
      </c>
      <c r="E128" s="18">
        <v>17</v>
      </c>
      <c r="F128" s="18">
        <v>22</v>
      </c>
      <c r="G128" s="13">
        <f>IF(D$5=0,0,D128/D$5)</f>
        <v>0.90155440414507804</v>
      </c>
      <c r="H128" s="13">
        <f>IF(E$5=0,0,E128/E$5)</f>
        <v>0.51515151515151503</v>
      </c>
      <c r="I128" s="13">
        <f>IF(F$5=0,0,F128/F$5)</f>
        <v>0.5</v>
      </c>
    </row>
    <row r="129" spans="1:9">
      <c r="A129" s="3" t="s">
        <v>1150</v>
      </c>
      <c r="B129" s="4"/>
      <c r="C129" s="4" t="s">
        <v>438</v>
      </c>
      <c r="D129" s="18">
        <v>14</v>
      </c>
      <c r="E129" s="18">
        <v>2</v>
      </c>
      <c r="F129" s="18">
        <v>3</v>
      </c>
      <c r="G129" s="13">
        <f>IF(D$5=0,0,D129/D$5)</f>
        <v>7.2538860103626895E-2</v>
      </c>
      <c r="H129" s="13">
        <f>IF(E$5=0,0,E129/E$5)</f>
        <v>6.0606060606060601E-2</v>
      </c>
      <c r="I129" s="13">
        <f>IF(F$5=0,0,F129/F$5)</f>
        <v>6.8181818181818205E-2</v>
      </c>
    </row>
    <row r="130" spans="1:9">
      <c r="A130" s="3" t="s">
        <v>1152</v>
      </c>
      <c r="B130" s="4" t="s">
        <v>1153</v>
      </c>
      <c r="C130" s="4" t="s">
        <v>534</v>
      </c>
      <c r="D130" s="18">
        <v>8</v>
      </c>
      <c r="E130" s="18">
        <v>1</v>
      </c>
      <c r="F130" s="18">
        <v>3</v>
      </c>
      <c r="G130" s="13">
        <f>IF(D$5=0,0,D130/D$5)</f>
        <v>4.1450777202072499E-2</v>
      </c>
      <c r="H130" s="13">
        <f>IF(E$5=0,0,E130/E$5)</f>
        <v>3.03030303030303E-2</v>
      </c>
      <c r="I130" s="13">
        <f>IF(F$5=0,0,F130/F$5)</f>
        <v>6.8181818181818205E-2</v>
      </c>
    </row>
    <row r="131" spans="1:9">
      <c r="A131" s="3" t="s">
        <v>1152</v>
      </c>
      <c r="B131" s="4"/>
      <c r="C131" s="4" t="s">
        <v>535</v>
      </c>
      <c r="D131" s="18">
        <v>158</v>
      </c>
      <c r="E131" s="18">
        <v>26</v>
      </c>
      <c r="F131" s="18">
        <v>35</v>
      </c>
      <c r="G131" s="13">
        <f>IF(D$5=0,0,D131/D$5)</f>
        <v>0.818652849740933</v>
      </c>
      <c r="H131" s="13">
        <f>IF(E$5=0,0,E131/E$5)</f>
        <v>0.78787878787878796</v>
      </c>
      <c r="I131" s="13">
        <f>IF(F$5=0,0,F131/F$5)</f>
        <v>0.79545454545454497</v>
      </c>
    </row>
    <row r="132" spans="1:9">
      <c r="A132" s="3" t="s">
        <v>1152</v>
      </c>
      <c r="B132" s="4"/>
      <c r="C132" s="4" t="s">
        <v>438</v>
      </c>
      <c r="D132" s="18">
        <v>27</v>
      </c>
      <c r="E132" s="18">
        <v>6</v>
      </c>
      <c r="F132" s="18">
        <v>6</v>
      </c>
      <c r="G132" s="13">
        <f>IF(D$5=0,0,D132/D$5)</f>
        <v>0.13989637305699501</v>
      </c>
      <c r="H132" s="13">
        <f>IF(E$5=0,0,E132/E$5)</f>
        <v>0.18181818181818199</v>
      </c>
      <c r="I132" s="13">
        <f>IF(F$5=0,0,F132/F$5)</f>
        <v>0.13636363636363599</v>
      </c>
    </row>
    <row r="133" spans="1:9">
      <c r="A133" s="3" t="s">
        <v>1154</v>
      </c>
      <c r="B133" s="4" t="s">
        <v>1155</v>
      </c>
      <c r="C133" s="4" t="s">
        <v>514</v>
      </c>
      <c r="D133" s="18">
        <v>0</v>
      </c>
      <c r="E133" s="18">
        <v>0</v>
      </c>
      <c r="F133" s="18">
        <v>0</v>
      </c>
      <c r="G133" s="13">
        <f>IF(D$5=0,0,D133/D$5)</f>
        <v>0</v>
      </c>
      <c r="H133" s="13">
        <f>IF(E$5=0,0,E133/E$5)</f>
        <v>0</v>
      </c>
      <c r="I133" s="13">
        <f>IF(F$5=0,0,F133/F$5)</f>
        <v>0</v>
      </c>
    </row>
    <row r="134" spans="1:9">
      <c r="A134" s="3" t="s">
        <v>1154</v>
      </c>
      <c r="B134" s="4"/>
      <c r="C134" s="4" t="s">
        <v>515</v>
      </c>
      <c r="D134" s="18">
        <v>0</v>
      </c>
      <c r="E134" s="18">
        <v>0</v>
      </c>
      <c r="F134" s="18">
        <v>0</v>
      </c>
      <c r="G134" s="13">
        <f>IF(D$5=0,0,D134/D$5)</f>
        <v>0</v>
      </c>
      <c r="H134" s="13">
        <f>IF(E$5=0,0,E134/E$5)</f>
        <v>0</v>
      </c>
      <c r="I134" s="13">
        <f>IF(F$5=0,0,F134/F$5)</f>
        <v>0</v>
      </c>
    </row>
    <row r="135" spans="1:9">
      <c r="A135" s="3" t="s">
        <v>1154</v>
      </c>
      <c r="B135" s="4"/>
      <c r="C135" s="4" t="s">
        <v>516</v>
      </c>
      <c r="D135" s="18">
        <v>3</v>
      </c>
      <c r="E135" s="18">
        <v>0</v>
      </c>
      <c r="F135" s="18">
        <v>1</v>
      </c>
      <c r="G135" s="13">
        <f>IF(D$5=0,0,D135/D$5)</f>
        <v>1.55440414507772E-2</v>
      </c>
      <c r="H135" s="13">
        <f>IF(E$5=0,0,E135/E$5)</f>
        <v>0</v>
      </c>
      <c r="I135" s="13">
        <f>IF(F$5=0,0,F135/F$5)</f>
        <v>2.27272727272727E-2</v>
      </c>
    </row>
    <row r="136" spans="1:9">
      <c r="A136" s="3" t="s">
        <v>1154</v>
      </c>
      <c r="B136" s="4"/>
      <c r="C136" s="4" t="s">
        <v>517</v>
      </c>
      <c r="D136" s="18">
        <v>3</v>
      </c>
      <c r="E136" s="18">
        <v>0</v>
      </c>
      <c r="F136" s="18">
        <v>1</v>
      </c>
      <c r="G136" s="13">
        <f>IF(D$5=0,0,D136/D$5)</f>
        <v>1.55440414507772E-2</v>
      </c>
      <c r="H136" s="13">
        <f>IF(E$5=0,0,E136/E$5)</f>
        <v>0</v>
      </c>
      <c r="I136" s="13">
        <f>IF(F$5=0,0,F136/F$5)</f>
        <v>2.27272727272727E-2</v>
      </c>
    </row>
    <row r="137" spans="1:9">
      <c r="A137" s="3" t="s">
        <v>1154</v>
      </c>
      <c r="B137" s="4"/>
      <c r="C137" s="4" t="s">
        <v>518</v>
      </c>
      <c r="D137" s="18">
        <v>5</v>
      </c>
      <c r="E137" s="18">
        <v>1</v>
      </c>
      <c r="F137" s="18">
        <v>2</v>
      </c>
      <c r="G137" s="13">
        <f>IF(D$5=0,0,D137/D$5)</f>
        <v>2.59067357512953E-2</v>
      </c>
      <c r="H137" s="13">
        <f>IF(E$5=0,0,E137/E$5)</f>
        <v>3.03030303030303E-2</v>
      </c>
      <c r="I137" s="13">
        <f>IF(F$5=0,0,F137/F$5)</f>
        <v>4.5454545454545497E-2</v>
      </c>
    </row>
    <row r="138" spans="1:9">
      <c r="A138" s="3" t="s">
        <v>1154</v>
      </c>
      <c r="B138" s="4"/>
      <c r="C138" s="4" t="s">
        <v>519</v>
      </c>
      <c r="D138" s="18">
        <v>3</v>
      </c>
      <c r="E138" s="18">
        <v>0</v>
      </c>
      <c r="F138" s="18">
        <v>1</v>
      </c>
      <c r="G138" s="13">
        <f>IF(D$5=0,0,D138/D$5)</f>
        <v>1.55440414507772E-2</v>
      </c>
      <c r="H138" s="13">
        <f>IF(E$5=0,0,E138/E$5)</f>
        <v>0</v>
      </c>
      <c r="I138" s="13">
        <f>IF(F$5=0,0,F138/F$5)</f>
        <v>2.27272727272727E-2</v>
      </c>
    </row>
    <row r="139" spans="1:9">
      <c r="A139" s="3" t="s">
        <v>1154</v>
      </c>
      <c r="B139" s="4"/>
      <c r="C139" s="4" t="s">
        <v>520</v>
      </c>
      <c r="D139" s="18">
        <v>1</v>
      </c>
      <c r="E139" s="18">
        <v>0</v>
      </c>
      <c r="F139" s="18">
        <v>1</v>
      </c>
      <c r="G139" s="13">
        <f>IF(D$5=0,0,D139/D$5)</f>
        <v>5.1813471502590702E-3</v>
      </c>
      <c r="H139" s="13">
        <f>IF(E$5=0,0,E139/E$5)</f>
        <v>0</v>
      </c>
      <c r="I139" s="13">
        <f>IF(F$5=0,0,F139/F$5)</f>
        <v>2.27272727272727E-2</v>
      </c>
    </row>
    <row r="140" spans="1:9">
      <c r="A140" s="3" t="s">
        <v>1154</v>
      </c>
      <c r="B140" s="4"/>
      <c r="C140" s="4" t="s">
        <v>438</v>
      </c>
      <c r="D140" s="18">
        <v>185</v>
      </c>
      <c r="E140" s="18">
        <v>32</v>
      </c>
      <c r="F140" s="18">
        <v>41</v>
      </c>
      <c r="G140" s="13">
        <f>IF(D$5=0,0,D140/D$5)</f>
        <v>0.95854922279792698</v>
      </c>
      <c r="H140" s="13">
        <f>IF(E$5=0,0,E140/E$5)</f>
        <v>0.96969696969696995</v>
      </c>
      <c r="I140" s="13">
        <f>IF(F$5=0,0,F140/F$5)</f>
        <v>0.93181818181818199</v>
      </c>
    </row>
    <row r="141" spans="1:9">
      <c r="A141" s="3" t="s">
        <v>1156</v>
      </c>
      <c r="B141" s="4" t="s">
        <v>1157</v>
      </c>
      <c r="C141" s="4" t="s">
        <v>552</v>
      </c>
      <c r="D141" s="18">
        <v>1</v>
      </c>
      <c r="E141" s="18">
        <v>0</v>
      </c>
      <c r="F141" s="18">
        <v>0</v>
      </c>
      <c r="G141" s="13">
        <f>IF(D$5=0,0,D141/D$5)</f>
        <v>5.1813471502590702E-3</v>
      </c>
      <c r="H141" s="13">
        <f>IF(E$5=0,0,E141/E$5)</f>
        <v>0</v>
      </c>
      <c r="I141" s="13">
        <f>IF(F$5=0,0,F141/F$5)</f>
        <v>0</v>
      </c>
    </row>
    <row r="142" spans="1:9">
      <c r="A142" s="3" t="s">
        <v>1156</v>
      </c>
      <c r="B142" s="4"/>
      <c r="C142" s="4" t="s">
        <v>547</v>
      </c>
      <c r="D142" s="18">
        <v>4</v>
      </c>
      <c r="E142" s="18">
        <v>0</v>
      </c>
      <c r="F142" s="18">
        <v>0</v>
      </c>
      <c r="G142" s="13">
        <f>IF(D$5=0,0,D142/D$5)</f>
        <v>2.0725388601036301E-2</v>
      </c>
      <c r="H142" s="13">
        <f>IF(E$5=0,0,E142/E$5)</f>
        <v>0</v>
      </c>
      <c r="I142" s="13">
        <f>IF(F$5=0,0,F142/F$5)</f>
        <v>0</v>
      </c>
    </row>
    <row r="143" spans="1:9">
      <c r="A143" s="3" t="s">
        <v>1156</v>
      </c>
      <c r="B143" s="4"/>
      <c r="C143" s="4" t="s">
        <v>549</v>
      </c>
      <c r="D143" s="18">
        <v>3</v>
      </c>
      <c r="E143" s="18">
        <v>0</v>
      </c>
      <c r="F143" s="18">
        <v>0</v>
      </c>
      <c r="G143" s="13">
        <f>IF(D$5=0,0,D143/D$5)</f>
        <v>1.55440414507772E-2</v>
      </c>
      <c r="H143" s="13">
        <f>IF(E$5=0,0,E143/E$5)</f>
        <v>0</v>
      </c>
      <c r="I143" s="13">
        <f>IF(F$5=0,0,F143/F$5)</f>
        <v>0</v>
      </c>
    </row>
    <row r="144" spans="1:9">
      <c r="A144" s="3" t="s">
        <v>1156</v>
      </c>
      <c r="B144" s="4"/>
      <c r="C144" s="4" t="s">
        <v>551</v>
      </c>
      <c r="D144" s="18">
        <v>2</v>
      </c>
      <c r="E144" s="18">
        <v>0</v>
      </c>
      <c r="F144" s="18">
        <v>0</v>
      </c>
      <c r="G144" s="13">
        <f>IF(D$5=0,0,D144/D$5)</f>
        <v>1.03626943005181E-2</v>
      </c>
      <c r="H144" s="13">
        <f>IF(E$5=0,0,E144/E$5)</f>
        <v>0</v>
      </c>
      <c r="I144" s="13">
        <f>IF(F$5=0,0,F144/F$5)</f>
        <v>0</v>
      </c>
    </row>
    <row r="145" spans="1:9">
      <c r="A145" s="3" t="s">
        <v>1156</v>
      </c>
      <c r="B145" s="4"/>
      <c r="C145" s="4" t="s">
        <v>548</v>
      </c>
      <c r="D145" s="18">
        <v>4</v>
      </c>
      <c r="E145" s="18">
        <v>0</v>
      </c>
      <c r="F145" s="18">
        <v>1</v>
      </c>
      <c r="G145" s="13">
        <f>IF(D$5=0,0,D145/D$5)</f>
        <v>2.0725388601036301E-2</v>
      </c>
      <c r="H145" s="13">
        <f>IF(E$5=0,0,E145/E$5)</f>
        <v>0</v>
      </c>
      <c r="I145" s="13">
        <f>IF(F$5=0,0,F145/F$5)</f>
        <v>2.27272727272727E-2</v>
      </c>
    </row>
    <row r="146" spans="1:9">
      <c r="A146" s="3" t="s">
        <v>1156</v>
      </c>
      <c r="B146" s="4"/>
      <c r="C146" s="4" t="s">
        <v>550</v>
      </c>
      <c r="D146" s="18">
        <v>3</v>
      </c>
      <c r="E146" s="18">
        <v>0</v>
      </c>
      <c r="F146" s="18">
        <v>0</v>
      </c>
      <c r="G146" s="13">
        <f>IF(D$5=0,0,D146/D$5)</f>
        <v>1.55440414507772E-2</v>
      </c>
      <c r="H146" s="13">
        <f>IF(E$5=0,0,E146/E$5)</f>
        <v>0</v>
      </c>
      <c r="I146" s="13">
        <f>IF(F$5=0,0,F146/F$5)</f>
        <v>0</v>
      </c>
    </row>
    <row r="147" spans="1:9">
      <c r="A147" s="3" t="s">
        <v>1156</v>
      </c>
      <c r="B147" s="4"/>
      <c r="C147" s="4" t="s">
        <v>553</v>
      </c>
      <c r="D147" s="18">
        <v>0</v>
      </c>
      <c r="E147" s="18">
        <v>0</v>
      </c>
      <c r="F147" s="18">
        <v>0</v>
      </c>
      <c r="G147" s="13">
        <f>IF(D$5=0,0,D147/D$5)</f>
        <v>0</v>
      </c>
      <c r="H147" s="13">
        <f>IF(E$5=0,0,E147/E$5)</f>
        <v>0</v>
      </c>
      <c r="I147" s="13">
        <f>IF(F$5=0,0,F147/F$5)</f>
        <v>0</v>
      </c>
    </row>
    <row r="148" spans="1:9">
      <c r="A148" s="3" t="s">
        <v>1156</v>
      </c>
      <c r="B148" s="4"/>
      <c r="C148" s="4" t="s">
        <v>544</v>
      </c>
      <c r="D148" s="18">
        <v>19</v>
      </c>
      <c r="E148" s="18">
        <v>1</v>
      </c>
      <c r="F148" s="18">
        <v>1</v>
      </c>
      <c r="G148" s="13">
        <f>IF(D$5=0,0,D148/D$5)</f>
        <v>9.8445595854922296E-2</v>
      </c>
      <c r="H148" s="13">
        <f>IF(E$5=0,0,E148/E$5)</f>
        <v>3.03030303030303E-2</v>
      </c>
      <c r="I148" s="13">
        <f>IF(F$5=0,0,F148/F$5)</f>
        <v>2.27272727272727E-2</v>
      </c>
    </row>
    <row r="149" spans="1:9">
      <c r="A149" s="3" t="s">
        <v>1156</v>
      </c>
      <c r="B149" s="4"/>
      <c r="C149" s="4" t="s">
        <v>546</v>
      </c>
      <c r="D149" s="18">
        <v>5</v>
      </c>
      <c r="E149" s="18">
        <v>1</v>
      </c>
      <c r="F149" s="18">
        <v>1</v>
      </c>
      <c r="G149" s="13">
        <f>IF(D$5=0,0,D149/D$5)</f>
        <v>2.59067357512953E-2</v>
      </c>
      <c r="H149" s="13">
        <f>IF(E$5=0,0,E149/E$5)</f>
        <v>3.03030303030303E-2</v>
      </c>
      <c r="I149" s="13">
        <f>IF(F$5=0,0,F149/F$5)</f>
        <v>2.27272727272727E-2</v>
      </c>
    </row>
    <row r="150" spans="1:9">
      <c r="A150" s="3" t="s">
        <v>1156</v>
      </c>
      <c r="B150" s="4"/>
      <c r="C150" s="4" t="s">
        <v>545</v>
      </c>
      <c r="D150" s="18">
        <v>15</v>
      </c>
      <c r="E150" s="18">
        <v>0</v>
      </c>
      <c r="F150" s="18">
        <v>1</v>
      </c>
      <c r="G150" s="13">
        <f>IF(D$5=0,0,D150/D$5)</f>
        <v>7.7720207253885995E-2</v>
      </c>
      <c r="H150" s="13">
        <f>IF(E$5=0,0,E150/E$5)</f>
        <v>0</v>
      </c>
      <c r="I150" s="13">
        <f>IF(F$5=0,0,F150/F$5)</f>
        <v>2.27272727272727E-2</v>
      </c>
    </row>
    <row r="151" spans="1:9">
      <c r="A151" s="3" t="s">
        <v>1156</v>
      </c>
      <c r="B151" s="4"/>
      <c r="C151" s="4" t="s">
        <v>543</v>
      </c>
      <c r="D151" s="18">
        <v>81</v>
      </c>
      <c r="E151" s="18">
        <v>12</v>
      </c>
      <c r="F151" s="18">
        <v>20</v>
      </c>
      <c r="G151" s="13">
        <f>IF(D$5=0,0,D151/D$5)</f>
        <v>0.419689119170984</v>
      </c>
      <c r="H151" s="13">
        <f>IF(E$5=0,0,E151/E$5)</f>
        <v>0.36363636363636398</v>
      </c>
      <c r="I151" s="13">
        <f>IF(F$5=0,0,F151/F$5)</f>
        <v>0.45454545454545497</v>
      </c>
    </row>
    <row r="152" spans="1:9">
      <c r="A152" s="3" t="s">
        <v>1156</v>
      </c>
      <c r="B152" s="4"/>
      <c r="C152" s="4" t="s">
        <v>437</v>
      </c>
      <c r="D152" s="18">
        <v>27</v>
      </c>
      <c r="E152" s="18">
        <v>2</v>
      </c>
      <c r="F152" s="18">
        <v>6</v>
      </c>
      <c r="G152" s="13">
        <f>IF(D$5=0,0,D152/D$5)</f>
        <v>0.13989637305699501</v>
      </c>
      <c r="H152" s="13">
        <f>IF(E$5=0,0,E152/E$5)</f>
        <v>6.0606060606060601E-2</v>
      </c>
      <c r="I152" s="13">
        <f>IF(F$5=0,0,F152/F$5)</f>
        <v>0.13636363636363599</v>
      </c>
    </row>
    <row r="153" spans="1:9">
      <c r="A153" s="3" t="s">
        <v>1156</v>
      </c>
      <c r="B153" s="4"/>
      <c r="C153" s="4" t="s">
        <v>438</v>
      </c>
      <c r="D153" s="18">
        <v>58</v>
      </c>
      <c r="E153" s="18">
        <v>17</v>
      </c>
      <c r="F153" s="18">
        <v>15</v>
      </c>
      <c r="G153" s="13">
        <f>IF(D$5=0,0,D153/D$5)</f>
        <v>0.30051813471502598</v>
      </c>
      <c r="H153" s="13">
        <f>IF(E$5=0,0,E153/E$5)</f>
        <v>0.51515151515151503</v>
      </c>
      <c r="I153" s="13">
        <f>IF(F$5=0,0,F153/F$5)</f>
        <v>0.34090909090909099</v>
      </c>
    </row>
    <row r="154" spans="1:9">
      <c r="A154" s="3" t="s">
        <v>393</v>
      </c>
      <c r="B154" s="4" t="s">
        <v>1158</v>
      </c>
      <c r="C154" s="4" t="s">
        <v>556</v>
      </c>
      <c r="D154" s="18">
        <v>127</v>
      </c>
      <c r="E154" s="18">
        <v>11</v>
      </c>
      <c r="F154" s="18">
        <v>23</v>
      </c>
      <c r="G154" s="13">
        <f>IF(D$5=0,0,D154/D$5)</f>
        <v>0.658031088082902</v>
      </c>
      <c r="H154" s="13">
        <f>IF(E$5=0,0,E154/E$5)</f>
        <v>0.33333333333333298</v>
      </c>
      <c r="I154" s="13">
        <f>IF(F$5=0,0,F154/F$5)</f>
        <v>0.52272727272727304</v>
      </c>
    </row>
    <row r="155" spans="1:9">
      <c r="A155" s="3" t="s">
        <v>393</v>
      </c>
      <c r="B155" s="4"/>
      <c r="C155" s="4" t="s">
        <v>557</v>
      </c>
      <c r="D155" s="18">
        <v>12</v>
      </c>
      <c r="E155" s="18">
        <v>6</v>
      </c>
      <c r="F155" s="18">
        <v>8</v>
      </c>
      <c r="G155" s="13">
        <f>IF(D$5=0,0,D155/D$5)</f>
        <v>6.21761658031088E-2</v>
      </c>
      <c r="H155" s="13">
        <f>IF(E$5=0,0,E155/E$5)</f>
        <v>0.18181818181818199</v>
      </c>
      <c r="I155" s="13">
        <f>IF(F$5=0,0,F155/F$5)</f>
        <v>0.18181818181818199</v>
      </c>
    </row>
    <row r="156" spans="1:9">
      <c r="A156" s="3" t="s">
        <v>393</v>
      </c>
      <c r="B156" s="4"/>
      <c r="C156" s="4" t="s">
        <v>558</v>
      </c>
      <c r="D156" s="18">
        <v>12</v>
      </c>
      <c r="E156" s="18">
        <v>5</v>
      </c>
      <c r="F156" s="18">
        <v>2</v>
      </c>
      <c r="G156" s="13">
        <f>IF(D$5=0,0,D156/D$5)</f>
        <v>6.21761658031088E-2</v>
      </c>
      <c r="H156" s="13">
        <f>IF(E$5=0,0,E156/E$5)</f>
        <v>0.15151515151515199</v>
      </c>
      <c r="I156" s="13">
        <f>IF(F$5=0,0,F156/F$5)</f>
        <v>4.5454545454545497E-2</v>
      </c>
    </row>
    <row r="157" spans="1:9">
      <c r="A157" s="3" t="s">
        <v>393</v>
      </c>
      <c r="B157" s="4"/>
      <c r="C157" s="4" t="s">
        <v>559</v>
      </c>
      <c r="D157" s="18">
        <v>27</v>
      </c>
      <c r="E157" s="18">
        <v>7</v>
      </c>
      <c r="F157" s="18">
        <v>5</v>
      </c>
      <c r="G157" s="13">
        <f>IF(D$5=0,0,D157/D$5)</f>
        <v>0.13989637305699501</v>
      </c>
      <c r="H157" s="13">
        <f>IF(E$5=0,0,E157/E$5)</f>
        <v>0.21212121212121199</v>
      </c>
      <c r="I157" s="13">
        <f>IF(F$5=0,0,F157/F$5)</f>
        <v>0.11363636363636399</v>
      </c>
    </row>
    <row r="158" spans="1:9">
      <c r="A158" s="3" t="s">
        <v>393</v>
      </c>
      <c r="B158" s="4"/>
      <c r="C158" s="4" t="s">
        <v>437</v>
      </c>
      <c r="D158" s="18">
        <v>5</v>
      </c>
      <c r="E158" s="18">
        <v>2</v>
      </c>
      <c r="F158" s="18">
        <v>5</v>
      </c>
      <c r="G158" s="13">
        <f>IF(D$5=0,0,D158/D$5)</f>
        <v>2.59067357512953E-2</v>
      </c>
      <c r="H158" s="13">
        <f>IF(E$5=0,0,E158/E$5)</f>
        <v>6.0606060606060601E-2</v>
      </c>
      <c r="I158" s="13">
        <f>IF(F$5=0,0,F158/F$5)</f>
        <v>0.11363636363636399</v>
      </c>
    </row>
    <row r="159" spans="1:9">
      <c r="A159" s="3" t="s">
        <v>393</v>
      </c>
      <c r="B159" s="4"/>
      <c r="C159" s="4" t="s">
        <v>438</v>
      </c>
      <c r="D159" s="18">
        <v>10</v>
      </c>
      <c r="E159" s="18">
        <v>2</v>
      </c>
      <c r="F159" s="18">
        <v>1</v>
      </c>
      <c r="G159" s="13">
        <f>IF(D$5=0,0,D159/D$5)</f>
        <v>5.1813471502590698E-2</v>
      </c>
      <c r="H159" s="13">
        <f>IF(E$5=0,0,E159/E$5)</f>
        <v>6.0606060606060601E-2</v>
      </c>
      <c r="I159" s="13">
        <f>IF(F$5=0,0,F159/F$5)</f>
        <v>2.27272727272727E-2</v>
      </c>
    </row>
    <row r="160" spans="1:9">
      <c r="A160" s="3" t="s">
        <v>396</v>
      </c>
      <c r="B160" s="4" t="s">
        <v>1159</v>
      </c>
      <c r="C160" s="4" t="s">
        <v>564</v>
      </c>
      <c r="D160" s="18">
        <v>90</v>
      </c>
      <c r="E160" s="18">
        <v>5</v>
      </c>
      <c r="F160" s="18">
        <v>12</v>
      </c>
      <c r="G160" s="13">
        <f>IF(D$5=0,0,D160/D$5)</f>
        <v>0.466321243523316</v>
      </c>
      <c r="H160" s="13">
        <f>IF(E$5=0,0,E160/E$5)</f>
        <v>0.15151515151515199</v>
      </c>
      <c r="I160" s="13">
        <f>IF(F$5=0,0,F160/F$5)</f>
        <v>0.27272727272727298</v>
      </c>
    </row>
    <row r="161" spans="1:9">
      <c r="A161" s="3" t="s">
        <v>396</v>
      </c>
      <c r="B161" s="4"/>
      <c r="C161" s="4" t="s">
        <v>565</v>
      </c>
      <c r="D161" s="18">
        <v>54</v>
      </c>
      <c r="E161" s="18">
        <v>15</v>
      </c>
      <c r="F161" s="18">
        <v>18</v>
      </c>
      <c r="G161" s="13">
        <f>IF(D$5=0,0,D161/D$5)</f>
        <v>0.27979274611399002</v>
      </c>
      <c r="H161" s="13">
        <f>IF(E$5=0,0,E161/E$5)</f>
        <v>0.45454545454545497</v>
      </c>
      <c r="I161" s="13">
        <f>IF(F$5=0,0,F161/F$5)</f>
        <v>0.40909090909090901</v>
      </c>
    </row>
    <row r="162" spans="1:9">
      <c r="A162" s="3" t="s">
        <v>396</v>
      </c>
      <c r="B162" s="4"/>
      <c r="C162" s="4" t="s">
        <v>563</v>
      </c>
      <c r="D162" s="18">
        <v>91</v>
      </c>
      <c r="E162" s="18">
        <v>8</v>
      </c>
      <c r="F162" s="18">
        <v>15</v>
      </c>
      <c r="G162" s="13">
        <f>IF(D$5=0,0,D162/D$5)</f>
        <v>0.47150259067357497</v>
      </c>
      <c r="H162" s="13">
        <f>IF(E$5=0,0,E162/E$5)</f>
        <v>0.24242424242424199</v>
      </c>
      <c r="I162" s="13">
        <f>IF(F$5=0,0,F162/F$5)</f>
        <v>0.34090909090909099</v>
      </c>
    </row>
    <row r="163" spans="1:9">
      <c r="A163" s="3" t="s">
        <v>396</v>
      </c>
      <c r="B163" s="4"/>
      <c r="C163" s="4" t="s">
        <v>570</v>
      </c>
      <c r="D163" s="18">
        <v>18</v>
      </c>
      <c r="E163" s="18">
        <v>6</v>
      </c>
      <c r="F163" s="18">
        <v>9</v>
      </c>
      <c r="G163" s="13">
        <f>IF(D$5=0,0,D163/D$5)</f>
        <v>9.3264248704663197E-2</v>
      </c>
      <c r="H163" s="13">
        <f>IF(E$5=0,0,E163/E$5)</f>
        <v>0.18181818181818199</v>
      </c>
      <c r="I163" s="13">
        <f>IF(F$5=0,0,F163/F$5)</f>
        <v>0.204545454545455</v>
      </c>
    </row>
    <row r="164" spans="1:9">
      <c r="A164" s="3" t="s">
        <v>396</v>
      </c>
      <c r="B164" s="4"/>
      <c r="C164" s="4" t="s">
        <v>562</v>
      </c>
      <c r="D164" s="18">
        <v>88</v>
      </c>
      <c r="E164" s="18">
        <v>11</v>
      </c>
      <c r="F164" s="18">
        <v>25</v>
      </c>
      <c r="G164" s="13">
        <f>IF(D$5=0,0,D164/D$5)</f>
        <v>0.45595854922279799</v>
      </c>
      <c r="H164" s="13">
        <f>IF(E$5=0,0,E164/E$5)</f>
        <v>0.33333333333333298</v>
      </c>
      <c r="I164" s="13">
        <f>IF(F$5=0,0,F164/F$5)</f>
        <v>0.56818181818181801</v>
      </c>
    </row>
    <row r="165" spans="1:9">
      <c r="A165" s="3" t="s">
        <v>396</v>
      </c>
      <c r="B165" s="4"/>
      <c r="C165" s="4" t="s">
        <v>567</v>
      </c>
      <c r="D165" s="18">
        <v>34</v>
      </c>
      <c r="E165" s="18">
        <v>9</v>
      </c>
      <c r="F165" s="18">
        <v>19</v>
      </c>
      <c r="G165" s="13">
        <f>IF(D$5=0,0,D165/D$5)</f>
        <v>0.176165803108808</v>
      </c>
      <c r="H165" s="13">
        <f>IF(E$5=0,0,E165/E$5)</f>
        <v>0.27272727272727298</v>
      </c>
      <c r="I165" s="13">
        <f>IF(F$5=0,0,F165/F$5)</f>
        <v>0.43181818181818199</v>
      </c>
    </row>
    <row r="166" spans="1:9">
      <c r="A166" s="3" t="s">
        <v>396</v>
      </c>
      <c r="B166" s="4"/>
      <c r="C166" s="4" t="s">
        <v>568</v>
      </c>
      <c r="D166" s="18">
        <v>23</v>
      </c>
      <c r="E166" s="18">
        <v>10</v>
      </c>
      <c r="F166" s="18">
        <v>15</v>
      </c>
      <c r="G166" s="13">
        <f>IF(D$5=0,0,D166/D$5)</f>
        <v>0.119170984455959</v>
      </c>
      <c r="H166" s="13">
        <f>IF(E$5=0,0,E166/E$5)</f>
        <v>0.30303030303030298</v>
      </c>
      <c r="I166" s="13">
        <f>IF(F$5=0,0,F166/F$5)</f>
        <v>0.34090909090909099</v>
      </c>
    </row>
    <row r="167" spans="1:9">
      <c r="A167" s="3" t="s">
        <v>396</v>
      </c>
      <c r="B167" s="4"/>
      <c r="C167" s="4" t="s">
        <v>569</v>
      </c>
      <c r="D167" s="18">
        <v>17</v>
      </c>
      <c r="E167" s="18">
        <v>8</v>
      </c>
      <c r="F167" s="18">
        <v>13</v>
      </c>
      <c r="G167" s="13">
        <f>IF(D$5=0,0,D167/D$5)</f>
        <v>8.8082901554404097E-2</v>
      </c>
      <c r="H167" s="13">
        <f>IF(E$5=0,0,E167/E$5)</f>
        <v>0.24242424242424199</v>
      </c>
      <c r="I167" s="13">
        <f>IF(F$5=0,0,F167/F$5)</f>
        <v>0.29545454545454503</v>
      </c>
    </row>
    <row r="168" spans="1:9">
      <c r="A168" s="3" t="s">
        <v>396</v>
      </c>
      <c r="B168" s="4"/>
      <c r="C168" s="4" t="s">
        <v>572</v>
      </c>
      <c r="D168" s="18">
        <v>12</v>
      </c>
      <c r="E168" s="18">
        <v>6</v>
      </c>
      <c r="F168" s="18">
        <v>9</v>
      </c>
      <c r="G168" s="13">
        <f>IF(D$5=0,0,D168/D$5)</f>
        <v>6.21761658031088E-2</v>
      </c>
      <c r="H168" s="13">
        <f>IF(E$5=0,0,E168/E$5)</f>
        <v>0.18181818181818199</v>
      </c>
      <c r="I168" s="13">
        <f>IF(F$5=0,0,F168/F$5)</f>
        <v>0.204545454545455</v>
      </c>
    </row>
    <row r="169" spans="1:9">
      <c r="A169" s="3" t="s">
        <v>396</v>
      </c>
      <c r="B169" s="4"/>
      <c r="C169" s="4" t="s">
        <v>571</v>
      </c>
      <c r="D169" s="18">
        <v>13</v>
      </c>
      <c r="E169" s="18">
        <v>6</v>
      </c>
      <c r="F169" s="18">
        <v>11</v>
      </c>
      <c r="G169" s="13">
        <f>IF(D$5=0,0,D169/D$5)</f>
        <v>6.7357512953367907E-2</v>
      </c>
      <c r="H169" s="13">
        <f>IF(E$5=0,0,E169/E$5)</f>
        <v>0.18181818181818199</v>
      </c>
      <c r="I169" s="13">
        <f>IF(F$5=0,0,F169/F$5)</f>
        <v>0.25</v>
      </c>
    </row>
    <row r="170" spans="1:9">
      <c r="A170" s="3" t="s">
        <v>396</v>
      </c>
      <c r="B170" s="4"/>
      <c r="C170" s="4" t="s">
        <v>566</v>
      </c>
      <c r="D170" s="18">
        <v>46</v>
      </c>
      <c r="E170" s="18">
        <v>9</v>
      </c>
      <c r="F170" s="18">
        <v>9</v>
      </c>
      <c r="G170" s="13">
        <f>IF(D$5=0,0,D170/D$5)</f>
        <v>0.238341968911917</v>
      </c>
      <c r="H170" s="13">
        <f>IF(E$5=0,0,E170/E$5)</f>
        <v>0.27272727272727298</v>
      </c>
      <c r="I170" s="13">
        <f>IF(F$5=0,0,F170/F$5)</f>
        <v>0.204545454545455</v>
      </c>
    </row>
    <row r="171" spans="1:9">
      <c r="A171" s="3" t="s">
        <v>396</v>
      </c>
      <c r="B171" s="4"/>
      <c r="C171" s="4" t="s">
        <v>437</v>
      </c>
      <c r="D171" s="18">
        <v>9</v>
      </c>
      <c r="E171" s="18">
        <v>1</v>
      </c>
      <c r="F171" s="18">
        <v>3</v>
      </c>
      <c r="G171" s="13">
        <f>IF(D$5=0,0,D171/D$5)</f>
        <v>4.6632124352331598E-2</v>
      </c>
      <c r="H171" s="13">
        <f>IF(E$5=0,0,E171/E$5)</f>
        <v>3.03030303030303E-2</v>
      </c>
      <c r="I171" s="13">
        <f>IF(F$5=0,0,F171/F$5)</f>
        <v>6.8181818181818205E-2</v>
      </c>
    </row>
    <row r="172" spans="1:9">
      <c r="A172" s="3" t="s">
        <v>396</v>
      </c>
      <c r="B172" s="4"/>
      <c r="C172" s="4" t="s">
        <v>438</v>
      </c>
      <c r="D172" s="18">
        <v>24</v>
      </c>
      <c r="E172" s="18">
        <v>7</v>
      </c>
      <c r="F172" s="18">
        <v>4</v>
      </c>
      <c r="G172" s="13">
        <f>IF(D$5=0,0,D172/D$5)</f>
        <v>0.124352331606218</v>
      </c>
      <c r="H172" s="13">
        <f>IF(E$5=0,0,E172/E$5)</f>
        <v>0.21212121212121199</v>
      </c>
      <c r="I172" s="13">
        <f>IF(F$5=0,0,F172/F$5)</f>
        <v>9.0909090909090898E-2</v>
      </c>
    </row>
    <row r="173" spans="1:9">
      <c r="A173" s="3" t="s">
        <v>1160</v>
      </c>
      <c r="B173" s="4" t="s">
        <v>1161</v>
      </c>
      <c r="C173" s="4" t="s">
        <v>575</v>
      </c>
      <c r="D173" s="18">
        <v>39</v>
      </c>
      <c r="E173" s="18">
        <v>10</v>
      </c>
      <c r="F173" s="18">
        <v>16</v>
      </c>
      <c r="G173" s="13">
        <f>IF(D$5=0,0,D173/D$5)</f>
        <v>0.20207253886010401</v>
      </c>
      <c r="H173" s="13">
        <f>IF(E$5=0,0,E173/E$5)</f>
        <v>0.30303030303030298</v>
      </c>
      <c r="I173" s="13">
        <f>IF(F$5=0,0,F173/F$5)</f>
        <v>0.36363636363636398</v>
      </c>
    </row>
    <row r="174" spans="1:9">
      <c r="A174" s="3" t="s">
        <v>1160</v>
      </c>
      <c r="B174" s="4"/>
      <c r="C174" s="4" t="s">
        <v>576</v>
      </c>
      <c r="D174" s="18">
        <v>89</v>
      </c>
      <c r="E174" s="18">
        <v>13</v>
      </c>
      <c r="F174" s="18">
        <v>16</v>
      </c>
      <c r="G174" s="13">
        <f>IF(D$5=0,0,D174/D$5)</f>
        <v>0.46113989637305702</v>
      </c>
      <c r="H174" s="13">
        <f>IF(E$5=0,0,E174/E$5)</f>
        <v>0.39393939393939398</v>
      </c>
      <c r="I174" s="13">
        <f>IF(F$5=0,0,F174/F$5)</f>
        <v>0.36363636363636398</v>
      </c>
    </row>
    <row r="175" spans="1:9">
      <c r="A175" s="3" t="s">
        <v>1160</v>
      </c>
      <c r="B175" s="4"/>
      <c r="C175" s="4" t="s">
        <v>577</v>
      </c>
      <c r="D175" s="18">
        <v>39</v>
      </c>
      <c r="E175" s="18">
        <v>3</v>
      </c>
      <c r="F175" s="18">
        <v>6</v>
      </c>
      <c r="G175" s="13">
        <f>IF(D$5=0,0,D175/D$5)</f>
        <v>0.20207253886010401</v>
      </c>
      <c r="H175" s="13">
        <f>IF(E$5=0,0,E175/E$5)</f>
        <v>9.0909090909090898E-2</v>
      </c>
      <c r="I175" s="13">
        <f>IF(F$5=0,0,F175/F$5)</f>
        <v>0.13636363636363599</v>
      </c>
    </row>
    <row r="176" spans="1:9">
      <c r="A176" s="3" t="s">
        <v>1160</v>
      </c>
      <c r="B176" s="4"/>
      <c r="C176" s="4" t="s">
        <v>578</v>
      </c>
      <c r="D176" s="18">
        <v>19</v>
      </c>
      <c r="E176" s="18">
        <v>4</v>
      </c>
      <c r="F176" s="18">
        <v>3</v>
      </c>
      <c r="G176" s="13">
        <f>IF(D$5=0,0,D176/D$5)</f>
        <v>9.8445595854922296E-2</v>
      </c>
      <c r="H176" s="13">
        <f>IF(E$5=0,0,E176/E$5)</f>
        <v>0.12121212121212099</v>
      </c>
      <c r="I176" s="13">
        <f>IF(F$5=0,0,F176/F$5)</f>
        <v>6.8181818181818205E-2</v>
      </c>
    </row>
    <row r="177" spans="1:9">
      <c r="A177" s="3" t="s">
        <v>1160</v>
      </c>
      <c r="B177" s="4"/>
      <c r="C177" s="4" t="s">
        <v>438</v>
      </c>
      <c r="D177" s="18">
        <v>7</v>
      </c>
      <c r="E177" s="18">
        <v>3</v>
      </c>
      <c r="F177" s="18">
        <v>3</v>
      </c>
      <c r="G177" s="13">
        <f>IF(D$5=0,0,D177/D$5)</f>
        <v>3.6269430051813503E-2</v>
      </c>
      <c r="H177" s="13">
        <f>IF(E$5=0,0,E177/E$5)</f>
        <v>9.0909090909090898E-2</v>
      </c>
      <c r="I177" s="13">
        <f>IF(F$5=0,0,F177/F$5)</f>
        <v>6.8181818181818205E-2</v>
      </c>
    </row>
    <row r="178" spans="1:9">
      <c r="A178" s="3" t="s">
        <v>1162</v>
      </c>
      <c r="B178" s="4" t="s">
        <v>1163</v>
      </c>
      <c r="C178" s="4" t="s">
        <v>489</v>
      </c>
      <c r="D178" s="18">
        <v>7</v>
      </c>
      <c r="E178" s="18">
        <v>10</v>
      </c>
      <c r="F178" s="18">
        <v>9</v>
      </c>
      <c r="G178" s="13">
        <f>IF(D$5=0,0,D178/D$5)</f>
        <v>3.6269430051813503E-2</v>
      </c>
      <c r="H178" s="13">
        <f>IF(E$5=0,0,E178/E$5)</f>
        <v>0.30303030303030298</v>
      </c>
      <c r="I178" s="13">
        <f>IF(F$5=0,0,F178/F$5)</f>
        <v>0.204545454545455</v>
      </c>
    </row>
    <row r="179" spans="1:9">
      <c r="A179" s="3" t="s">
        <v>1162</v>
      </c>
      <c r="B179" s="4"/>
      <c r="C179" s="4" t="s">
        <v>487</v>
      </c>
      <c r="D179" s="18">
        <v>41</v>
      </c>
      <c r="E179" s="18">
        <v>0</v>
      </c>
      <c r="F179" s="18">
        <v>3</v>
      </c>
      <c r="G179" s="13">
        <f>IF(D$5=0,0,D179/D$5)</f>
        <v>0.21243523316062199</v>
      </c>
      <c r="H179" s="13">
        <f>IF(E$5=0,0,E179/E$5)</f>
        <v>0</v>
      </c>
      <c r="I179" s="13">
        <f>IF(F$5=0,0,F179/F$5)</f>
        <v>6.8181818181818205E-2</v>
      </c>
    </row>
    <row r="180" spans="1:9">
      <c r="A180" s="3" t="s">
        <v>1162</v>
      </c>
      <c r="B180" s="4"/>
      <c r="C180" s="4" t="s">
        <v>486</v>
      </c>
      <c r="D180" s="18">
        <v>28</v>
      </c>
      <c r="E180" s="18">
        <v>0</v>
      </c>
      <c r="F180" s="18">
        <v>1</v>
      </c>
      <c r="G180" s="13">
        <f>IF(D$5=0,0,D180/D$5)</f>
        <v>0.14507772020725401</v>
      </c>
      <c r="H180" s="13">
        <f>IF(E$5=0,0,E180/E$5)</f>
        <v>0</v>
      </c>
      <c r="I180" s="13">
        <f>IF(F$5=0,0,F180/F$5)</f>
        <v>2.27272727272727E-2</v>
      </c>
    </row>
    <row r="181" spans="1:9">
      <c r="A181" s="3" t="s">
        <v>1162</v>
      </c>
      <c r="B181" s="4"/>
      <c r="C181" s="4" t="s">
        <v>488</v>
      </c>
      <c r="D181" s="18">
        <v>19</v>
      </c>
      <c r="E181" s="18">
        <v>6</v>
      </c>
      <c r="F181" s="18">
        <v>4</v>
      </c>
      <c r="G181" s="13">
        <f>IF(D$5=0,0,D181/D$5)</f>
        <v>9.8445595854922296E-2</v>
      </c>
      <c r="H181" s="13">
        <f>IF(E$5=0,0,E181/E$5)</f>
        <v>0.18181818181818199</v>
      </c>
      <c r="I181" s="13">
        <f>IF(F$5=0,0,F181/F$5)</f>
        <v>9.0909090909090898E-2</v>
      </c>
    </row>
    <row r="182" spans="1:9">
      <c r="A182" s="3" t="s">
        <v>1162</v>
      </c>
      <c r="B182" s="4"/>
      <c r="C182" s="4" t="s">
        <v>490</v>
      </c>
      <c r="D182" s="18">
        <v>3</v>
      </c>
      <c r="E182" s="18">
        <v>1</v>
      </c>
      <c r="F182" s="18">
        <v>1</v>
      </c>
      <c r="G182" s="13">
        <f>IF(D$5=0,0,D182/D$5)</f>
        <v>1.55440414507772E-2</v>
      </c>
      <c r="H182" s="13">
        <f>IF(E$5=0,0,E182/E$5)</f>
        <v>3.03030303030303E-2</v>
      </c>
      <c r="I182" s="13">
        <f>IF(F$5=0,0,F182/F$5)</f>
        <v>2.27272727272727E-2</v>
      </c>
    </row>
    <row r="183" spans="1:9">
      <c r="A183" s="3" t="s">
        <v>1162</v>
      </c>
      <c r="B183" s="4"/>
      <c r="C183" s="4" t="s">
        <v>581</v>
      </c>
      <c r="D183" s="18">
        <v>64</v>
      </c>
      <c r="E183" s="18">
        <v>8</v>
      </c>
      <c r="F183" s="18">
        <v>20</v>
      </c>
      <c r="G183" s="13">
        <f>IF(D$5=0,0,D183/D$5)</f>
        <v>0.33160621761657999</v>
      </c>
      <c r="H183" s="13">
        <f>IF(E$5=0,0,E183/E$5)</f>
        <v>0.24242424242424199</v>
      </c>
      <c r="I183" s="13">
        <f>IF(F$5=0,0,F183/F$5)</f>
        <v>0.45454545454545497</v>
      </c>
    </row>
    <row r="184" spans="1:9">
      <c r="A184" s="3" t="s">
        <v>1162</v>
      </c>
      <c r="B184" s="4"/>
      <c r="C184" s="4" t="s">
        <v>438</v>
      </c>
      <c r="D184" s="18">
        <v>31</v>
      </c>
      <c r="E184" s="18">
        <v>8</v>
      </c>
      <c r="F184" s="18">
        <v>6</v>
      </c>
      <c r="G184" s="13">
        <f>IF(D$5=0,0,D184/D$5)</f>
        <v>0.16062176165803099</v>
      </c>
      <c r="H184" s="13">
        <f>IF(E$5=0,0,E184/E$5)</f>
        <v>0.24242424242424199</v>
      </c>
      <c r="I184" s="13">
        <f>IF(F$5=0,0,F184/F$5)</f>
        <v>0.13636363636363599</v>
      </c>
    </row>
    <row r="185" spans="1:9">
      <c r="A185" s="3" t="s">
        <v>1164</v>
      </c>
      <c r="B185" s="4" t="s">
        <v>1165</v>
      </c>
      <c r="C185" s="4" t="s">
        <v>586</v>
      </c>
      <c r="D185" s="18">
        <v>24</v>
      </c>
      <c r="E185" s="18">
        <v>15</v>
      </c>
      <c r="F185" s="18">
        <v>19</v>
      </c>
      <c r="G185" s="13">
        <f>IF(D$5=0,0,D185/D$5)</f>
        <v>0.124352331606218</v>
      </c>
      <c r="H185" s="13">
        <f>IF(E$5=0,0,E185/E$5)</f>
        <v>0.45454545454545497</v>
      </c>
      <c r="I185" s="13">
        <f>IF(F$5=0,0,F185/F$5)</f>
        <v>0.43181818181818199</v>
      </c>
    </row>
    <row r="186" spans="1:9">
      <c r="A186" s="3" t="s">
        <v>1164</v>
      </c>
      <c r="B186" s="4"/>
      <c r="C186" s="4" t="s">
        <v>590</v>
      </c>
      <c r="D186" s="18">
        <v>16</v>
      </c>
      <c r="E186" s="18">
        <v>0</v>
      </c>
      <c r="F186" s="18">
        <v>5</v>
      </c>
      <c r="G186" s="13">
        <f>IF(D$5=0,0,D186/D$5)</f>
        <v>8.2901554404145095E-2</v>
      </c>
      <c r="H186" s="13">
        <f>IF(E$5=0,0,E186/E$5)</f>
        <v>0</v>
      </c>
      <c r="I186" s="13">
        <f>IF(F$5=0,0,F186/F$5)</f>
        <v>0.11363636363636399</v>
      </c>
    </row>
    <row r="187" spans="1:9">
      <c r="A187" s="3" t="s">
        <v>1164</v>
      </c>
      <c r="B187" s="4"/>
      <c r="C187" s="4" t="s">
        <v>584</v>
      </c>
      <c r="D187" s="18">
        <v>124</v>
      </c>
      <c r="E187" s="18">
        <v>11</v>
      </c>
      <c r="F187" s="18">
        <v>26</v>
      </c>
      <c r="G187" s="13">
        <f>IF(D$5=0,0,D187/D$5)</f>
        <v>0.64248704663212397</v>
      </c>
      <c r="H187" s="13">
        <f>IF(E$5=0,0,E187/E$5)</f>
        <v>0.33333333333333298</v>
      </c>
      <c r="I187" s="13">
        <f>IF(F$5=0,0,F187/F$5)</f>
        <v>0.59090909090909105</v>
      </c>
    </row>
    <row r="188" spans="1:9">
      <c r="A188" s="3" t="s">
        <v>1164</v>
      </c>
      <c r="B188" s="4"/>
      <c r="C188" s="4" t="s">
        <v>585</v>
      </c>
      <c r="D188" s="18">
        <v>98</v>
      </c>
      <c r="E188" s="18">
        <v>19</v>
      </c>
      <c r="F188" s="18">
        <v>28</v>
      </c>
      <c r="G188" s="13">
        <f>IF(D$5=0,0,D188/D$5)</f>
        <v>0.50777202072538896</v>
      </c>
      <c r="H188" s="13">
        <f>IF(E$5=0,0,E188/E$5)</f>
        <v>0.57575757575757602</v>
      </c>
      <c r="I188" s="13">
        <f>IF(F$5=0,0,F188/F$5)</f>
        <v>0.63636363636363602</v>
      </c>
    </row>
    <row r="189" spans="1:9">
      <c r="A189" s="3" t="s">
        <v>1164</v>
      </c>
      <c r="B189" s="4"/>
      <c r="C189" s="4" t="s">
        <v>588</v>
      </c>
      <c r="D189" s="18">
        <v>41</v>
      </c>
      <c r="E189" s="18">
        <v>2</v>
      </c>
      <c r="F189" s="18">
        <v>8</v>
      </c>
      <c r="G189" s="13">
        <f>IF(D$5=0,0,D189/D$5)</f>
        <v>0.21243523316062199</v>
      </c>
      <c r="H189" s="13">
        <f>IF(E$5=0,0,E189/E$5)</f>
        <v>6.0606060606060601E-2</v>
      </c>
      <c r="I189" s="13">
        <f>IF(F$5=0,0,F189/F$5)</f>
        <v>0.18181818181818199</v>
      </c>
    </row>
    <row r="190" spans="1:9">
      <c r="A190" s="3" t="s">
        <v>1164</v>
      </c>
      <c r="B190" s="4"/>
      <c r="C190" s="4" t="s">
        <v>589</v>
      </c>
      <c r="D190" s="18">
        <v>28</v>
      </c>
      <c r="E190" s="18">
        <v>3</v>
      </c>
      <c r="F190" s="18">
        <v>9</v>
      </c>
      <c r="G190" s="13">
        <f>IF(D$5=0,0,D190/D$5)</f>
        <v>0.14507772020725401</v>
      </c>
      <c r="H190" s="13">
        <f>IF(E$5=0,0,E190/E$5)</f>
        <v>9.0909090909090898E-2</v>
      </c>
      <c r="I190" s="13">
        <f>IF(F$5=0,0,F190/F$5)</f>
        <v>0.204545454545455</v>
      </c>
    </row>
    <row r="191" spans="1:9">
      <c r="A191" s="3" t="s">
        <v>1164</v>
      </c>
      <c r="B191" s="4"/>
      <c r="C191" s="4" t="s">
        <v>591</v>
      </c>
      <c r="D191" s="18">
        <v>19</v>
      </c>
      <c r="E191" s="18">
        <v>2</v>
      </c>
      <c r="F191" s="18">
        <v>3</v>
      </c>
      <c r="G191" s="13">
        <f>IF(D$5=0,0,D191/D$5)</f>
        <v>9.8445595854922296E-2</v>
      </c>
      <c r="H191" s="13">
        <f>IF(E$5=0,0,E191/E$5)</f>
        <v>6.0606060606060601E-2</v>
      </c>
      <c r="I191" s="13">
        <f>IF(F$5=0,0,F191/F$5)</f>
        <v>6.8181818181818205E-2</v>
      </c>
    </row>
    <row r="192" spans="1:9">
      <c r="A192" s="3" t="s">
        <v>1164</v>
      </c>
      <c r="B192" s="4"/>
      <c r="C192" s="4" t="s">
        <v>587</v>
      </c>
      <c r="D192" s="18">
        <v>40</v>
      </c>
      <c r="E192" s="18">
        <v>8</v>
      </c>
      <c r="F192" s="18">
        <v>10</v>
      </c>
      <c r="G192" s="13">
        <f>IF(D$5=0,0,D192/D$5)</f>
        <v>0.20725388601036299</v>
      </c>
      <c r="H192" s="13">
        <f>IF(E$5=0,0,E192/E$5)</f>
        <v>0.24242424242424199</v>
      </c>
      <c r="I192" s="13">
        <f>IF(F$5=0,0,F192/F$5)</f>
        <v>0.22727272727272699</v>
      </c>
    </row>
    <row r="193" spans="1:9">
      <c r="A193" s="3" t="s">
        <v>1164</v>
      </c>
      <c r="B193" s="4"/>
      <c r="C193" s="4" t="s">
        <v>437</v>
      </c>
      <c r="D193" s="18">
        <v>11</v>
      </c>
      <c r="E193" s="18">
        <v>0</v>
      </c>
      <c r="F193" s="18">
        <v>0</v>
      </c>
      <c r="G193" s="13">
        <f>IF(D$5=0,0,D193/D$5)</f>
        <v>5.6994818652849701E-2</v>
      </c>
      <c r="H193" s="13">
        <f>IF(E$5=0,0,E193/E$5)</f>
        <v>0</v>
      </c>
      <c r="I193" s="13">
        <f>IF(F$5=0,0,F193/F$5)</f>
        <v>0</v>
      </c>
    </row>
    <row r="194" spans="1:9">
      <c r="A194" s="3" t="s">
        <v>1164</v>
      </c>
      <c r="B194" s="4"/>
      <c r="C194" s="4" t="s">
        <v>438</v>
      </c>
      <c r="D194" s="18">
        <v>29</v>
      </c>
      <c r="E194" s="18">
        <v>7</v>
      </c>
      <c r="F194" s="18">
        <v>6</v>
      </c>
      <c r="G194" s="13">
        <f>IF(D$5=0,0,D194/D$5)</f>
        <v>0.15025906735751299</v>
      </c>
      <c r="H194" s="13">
        <f>IF(E$5=0,0,E194/E$5)</f>
        <v>0.21212121212121199</v>
      </c>
      <c r="I194" s="13">
        <f>IF(F$5=0,0,F194/F$5)</f>
        <v>0.13636363636363599</v>
      </c>
    </row>
    <row r="195" spans="1:9">
      <c r="A195" s="3" t="s">
        <v>399</v>
      </c>
      <c r="B195" s="4" t="s">
        <v>1166</v>
      </c>
      <c r="C195" s="4" t="s">
        <v>596</v>
      </c>
      <c r="D195" s="18">
        <v>38</v>
      </c>
      <c r="E195" s="18">
        <v>6</v>
      </c>
      <c r="F195" s="18">
        <v>7</v>
      </c>
      <c r="G195" s="13">
        <f>IF(D$5=0,0,D195/D$5)</f>
        <v>0.19689119170984501</v>
      </c>
      <c r="H195" s="13">
        <f>IF(E$5=0,0,E195/E$5)</f>
        <v>0.18181818181818199</v>
      </c>
      <c r="I195" s="13">
        <f>IF(F$5=0,0,F195/F$5)</f>
        <v>0.15909090909090901</v>
      </c>
    </row>
    <row r="196" spans="1:9">
      <c r="A196" s="3" t="s">
        <v>399</v>
      </c>
      <c r="B196" s="4"/>
      <c r="C196" s="4" t="s">
        <v>599</v>
      </c>
      <c r="D196" s="18">
        <v>28</v>
      </c>
      <c r="E196" s="18">
        <v>1</v>
      </c>
      <c r="F196" s="18">
        <v>3</v>
      </c>
      <c r="G196" s="13">
        <f>IF(D$5=0,0,D196/D$5)</f>
        <v>0.14507772020725401</v>
      </c>
      <c r="H196" s="13">
        <f>IF(E$5=0,0,E196/E$5)</f>
        <v>3.03030303030303E-2</v>
      </c>
      <c r="I196" s="13">
        <f>IF(F$5=0,0,F196/F$5)</f>
        <v>6.8181818181818205E-2</v>
      </c>
    </row>
    <row r="197" spans="1:9">
      <c r="A197" s="3" t="s">
        <v>399</v>
      </c>
      <c r="B197" s="4"/>
      <c r="C197" s="4" t="s">
        <v>597</v>
      </c>
      <c r="D197" s="18">
        <v>35</v>
      </c>
      <c r="E197" s="18">
        <v>2</v>
      </c>
      <c r="F197" s="18">
        <v>6</v>
      </c>
      <c r="G197" s="13">
        <f>IF(D$5=0,0,D197/D$5)</f>
        <v>0.181347150259067</v>
      </c>
      <c r="H197" s="13">
        <f>IF(E$5=0,0,E197/E$5)</f>
        <v>6.0606060606060601E-2</v>
      </c>
      <c r="I197" s="13">
        <f>IF(F$5=0,0,F197/F$5)</f>
        <v>0.13636363636363599</v>
      </c>
    </row>
    <row r="198" spans="1:9">
      <c r="A198" s="3" t="s">
        <v>399</v>
      </c>
      <c r="B198" s="4"/>
      <c r="C198" s="4" t="s">
        <v>601</v>
      </c>
      <c r="D198" s="18">
        <v>11</v>
      </c>
      <c r="E198" s="18">
        <v>6</v>
      </c>
      <c r="F198" s="18">
        <v>8</v>
      </c>
      <c r="G198" s="13">
        <f>IF(D$5=0,0,D198/D$5)</f>
        <v>5.6994818652849701E-2</v>
      </c>
      <c r="H198" s="13">
        <f>IF(E$5=0,0,E198/E$5)</f>
        <v>0.18181818181818199</v>
      </c>
      <c r="I198" s="13">
        <f>IF(F$5=0,0,F198/F$5)</f>
        <v>0.18181818181818199</v>
      </c>
    </row>
    <row r="199" spans="1:9">
      <c r="A199" s="3" t="s">
        <v>399</v>
      </c>
      <c r="B199" s="4"/>
      <c r="C199" s="4" t="s">
        <v>602</v>
      </c>
      <c r="D199" s="18">
        <v>17</v>
      </c>
      <c r="E199" s="18">
        <v>0</v>
      </c>
      <c r="F199" s="18">
        <v>3</v>
      </c>
      <c r="G199" s="13">
        <f>IF(D$5=0,0,D199/D$5)</f>
        <v>8.8082901554404097E-2</v>
      </c>
      <c r="H199" s="13">
        <f>IF(E$5=0,0,E199/E$5)</f>
        <v>0</v>
      </c>
      <c r="I199" s="13">
        <f>IF(F$5=0,0,F199/F$5)</f>
        <v>6.8181818181818205E-2</v>
      </c>
    </row>
    <row r="200" spans="1:9">
      <c r="A200" s="3" t="s">
        <v>399</v>
      </c>
      <c r="B200" s="4"/>
      <c r="C200" s="4" t="s">
        <v>600</v>
      </c>
      <c r="D200" s="18">
        <v>24</v>
      </c>
      <c r="E200" s="18">
        <v>4</v>
      </c>
      <c r="F200" s="18">
        <v>2</v>
      </c>
      <c r="G200" s="13">
        <f>IF(D$5=0,0,D200/D$5)</f>
        <v>0.124352331606218</v>
      </c>
      <c r="H200" s="13">
        <f>IF(E$5=0,0,E200/E$5)</f>
        <v>0.12121212121212099</v>
      </c>
      <c r="I200" s="13">
        <f>IF(F$5=0,0,F200/F$5)</f>
        <v>4.5454545454545497E-2</v>
      </c>
    </row>
    <row r="201" spans="1:9">
      <c r="A201" s="3" t="s">
        <v>399</v>
      </c>
      <c r="B201" s="4"/>
      <c r="C201" s="4" t="s">
        <v>594</v>
      </c>
      <c r="D201" s="18">
        <v>44</v>
      </c>
      <c r="E201" s="18">
        <v>9</v>
      </c>
      <c r="F201" s="18">
        <v>15</v>
      </c>
      <c r="G201" s="13">
        <f>IF(D$5=0,0,D201/D$5)</f>
        <v>0.227979274611399</v>
      </c>
      <c r="H201" s="13">
        <f>IF(E$5=0,0,E201/E$5)</f>
        <v>0.27272727272727298</v>
      </c>
      <c r="I201" s="13">
        <f>IF(F$5=0,0,F201/F$5)</f>
        <v>0.34090909090909099</v>
      </c>
    </row>
    <row r="202" spans="1:9">
      <c r="A202" s="3" t="s">
        <v>399</v>
      </c>
      <c r="B202" s="4"/>
      <c r="C202" s="4" t="s">
        <v>603</v>
      </c>
      <c r="D202" s="18">
        <v>9</v>
      </c>
      <c r="E202" s="18">
        <v>0</v>
      </c>
      <c r="F202" s="18">
        <v>8</v>
      </c>
      <c r="G202" s="13">
        <f>IF(D$5=0,0,D202/D$5)</f>
        <v>4.6632124352331598E-2</v>
      </c>
      <c r="H202" s="13">
        <f>IF(E$5=0,0,E202/E$5)</f>
        <v>0</v>
      </c>
      <c r="I202" s="13">
        <f>IF(F$5=0,0,F202/F$5)</f>
        <v>0.18181818181818199</v>
      </c>
    </row>
    <row r="203" spans="1:9">
      <c r="A203" s="3" t="s">
        <v>399</v>
      </c>
      <c r="B203" s="4"/>
      <c r="C203" s="4" t="s">
        <v>598</v>
      </c>
      <c r="D203" s="18">
        <v>29</v>
      </c>
      <c r="E203" s="18">
        <v>1</v>
      </c>
      <c r="F203" s="18">
        <v>10</v>
      </c>
      <c r="G203" s="13">
        <f>IF(D$5=0,0,D203/D$5)</f>
        <v>0.15025906735751299</v>
      </c>
      <c r="H203" s="13">
        <f>IF(E$5=0,0,E203/E$5)</f>
        <v>3.03030303030303E-2</v>
      </c>
      <c r="I203" s="13">
        <f>IF(F$5=0,0,F203/F$5)</f>
        <v>0.22727272727272699</v>
      </c>
    </row>
    <row r="204" spans="1:9">
      <c r="A204" s="3" t="s">
        <v>399</v>
      </c>
      <c r="B204" s="4"/>
      <c r="C204" s="4" t="s">
        <v>595</v>
      </c>
      <c r="D204" s="18">
        <v>37</v>
      </c>
      <c r="E204" s="18">
        <v>13</v>
      </c>
      <c r="F204" s="18">
        <v>17</v>
      </c>
      <c r="G204" s="13">
        <f>IF(D$5=0,0,D204/D$5)</f>
        <v>0.19170984455958501</v>
      </c>
      <c r="H204" s="13">
        <f>IF(E$5=0,0,E204/E$5)</f>
        <v>0.39393939393939398</v>
      </c>
      <c r="I204" s="13">
        <f>IF(F$5=0,0,F204/F$5)</f>
        <v>0.38636363636363602</v>
      </c>
    </row>
    <row r="205" spans="1:9">
      <c r="A205" s="3" t="s">
        <v>399</v>
      </c>
      <c r="B205" s="4"/>
      <c r="C205" s="4" t="s">
        <v>437</v>
      </c>
      <c r="D205" s="18">
        <v>8</v>
      </c>
      <c r="E205" s="18">
        <v>1</v>
      </c>
      <c r="F205" s="18">
        <v>3</v>
      </c>
      <c r="G205" s="13">
        <f>IF(D$5=0,0,D205/D$5)</f>
        <v>4.1450777202072499E-2</v>
      </c>
      <c r="H205" s="13">
        <f>IF(E$5=0,0,E205/E$5)</f>
        <v>3.03030303030303E-2</v>
      </c>
      <c r="I205" s="13">
        <f>IF(F$5=0,0,F205/F$5)</f>
        <v>6.8181818181818205E-2</v>
      </c>
    </row>
    <row r="206" spans="1:9">
      <c r="A206" s="3" t="s">
        <v>399</v>
      </c>
      <c r="B206" s="4"/>
      <c r="C206" s="4" t="s">
        <v>604</v>
      </c>
      <c r="D206" s="18">
        <v>50</v>
      </c>
      <c r="E206" s="18">
        <v>7</v>
      </c>
      <c r="F206" s="18">
        <v>7</v>
      </c>
      <c r="G206" s="13">
        <f>IF(D$5=0,0,D206/D$5)</f>
        <v>0.25906735751295301</v>
      </c>
      <c r="H206" s="13">
        <f>IF(E$5=0,0,E206/E$5)</f>
        <v>0.21212121212121199</v>
      </c>
      <c r="I206" s="13">
        <f>IF(F$5=0,0,F206/F$5)</f>
        <v>0.15909090909090901</v>
      </c>
    </row>
    <row r="207" spans="1:9">
      <c r="A207" s="3" t="s">
        <v>399</v>
      </c>
      <c r="B207" s="4"/>
      <c r="C207" s="4" t="s">
        <v>438</v>
      </c>
      <c r="D207" s="18">
        <v>35</v>
      </c>
      <c r="E207" s="18">
        <v>9</v>
      </c>
      <c r="F207" s="18">
        <v>7</v>
      </c>
      <c r="G207" s="13">
        <f>IF(D$5=0,0,D207/D$5)</f>
        <v>0.181347150259067</v>
      </c>
      <c r="H207" s="13">
        <f>IF(E$5=0,0,E207/E$5)</f>
        <v>0.27272727272727298</v>
      </c>
      <c r="I207" s="13">
        <f>IF(F$5=0,0,F207/F$5)</f>
        <v>0.15909090909090901</v>
      </c>
    </row>
    <row r="208" spans="1:9">
      <c r="A208" s="3" t="s">
        <v>402</v>
      </c>
      <c r="B208" s="4" t="s">
        <v>1167</v>
      </c>
      <c r="C208" s="4" t="s">
        <v>607</v>
      </c>
      <c r="D208" s="18">
        <v>29</v>
      </c>
      <c r="E208" s="18">
        <v>5</v>
      </c>
      <c r="F208" s="18">
        <v>8</v>
      </c>
      <c r="G208" s="13">
        <f>IF(D$5=0,0,D208/D$5)</f>
        <v>0.15025906735751299</v>
      </c>
      <c r="H208" s="13">
        <f>IF(E$5=0,0,E208/E$5)</f>
        <v>0.15151515151515199</v>
      </c>
      <c r="I208" s="13">
        <f>IF(F$5=0,0,F208/F$5)</f>
        <v>0.18181818181818199</v>
      </c>
    </row>
    <row r="209" spans="1:9">
      <c r="A209" s="3" t="s">
        <v>402</v>
      </c>
      <c r="B209" s="4"/>
      <c r="C209" s="4" t="s">
        <v>608</v>
      </c>
      <c r="D209" s="18">
        <v>2</v>
      </c>
      <c r="E209" s="18">
        <v>0</v>
      </c>
      <c r="F209" s="18">
        <v>0</v>
      </c>
      <c r="G209" s="13">
        <f>IF(D$5=0,0,D209/D$5)</f>
        <v>1.03626943005181E-2</v>
      </c>
      <c r="H209" s="13">
        <f>IF(E$5=0,0,E209/E$5)</f>
        <v>0</v>
      </c>
      <c r="I209" s="13">
        <f>IF(F$5=0,0,F209/F$5)</f>
        <v>0</v>
      </c>
    </row>
    <row r="210" spans="1:9">
      <c r="A210" s="3" t="s">
        <v>402</v>
      </c>
      <c r="B210" s="4"/>
      <c r="C210" s="4" t="s">
        <v>609</v>
      </c>
      <c r="D210" s="18">
        <v>8</v>
      </c>
      <c r="E210" s="18">
        <v>0</v>
      </c>
      <c r="F210" s="18">
        <v>0</v>
      </c>
      <c r="G210" s="13">
        <f>IF(D$5=0,0,D210/D$5)</f>
        <v>4.1450777202072499E-2</v>
      </c>
      <c r="H210" s="13">
        <f>IF(E$5=0,0,E210/E$5)</f>
        <v>0</v>
      </c>
      <c r="I210" s="13">
        <f>IF(F$5=0,0,F210/F$5)</f>
        <v>0</v>
      </c>
    </row>
    <row r="211" spans="1:9">
      <c r="A211" s="3" t="s">
        <v>402</v>
      </c>
      <c r="B211" s="4"/>
      <c r="C211" s="4" t="s">
        <v>610</v>
      </c>
      <c r="D211" s="18">
        <v>7</v>
      </c>
      <c r="E211" s="18">
        <v>14</v>
      </c>
      <c r="F211" s="18">
        <v>13</v>
      </c>
      <c r="G211" s="13">
        <f>IF(D$5=0,0,D211/D$5)</f>
        <v>3.6269430051813503E-2</v>
      </c>
      <c r="H211" s="13">
        <f>IF(E$5=0,0,E211/E$5)</f>
        <v>0.42424242424242398</v>
      </c>
      <c r="I211" s="13">
        <f>IF(F$5=0,0,F211/F$5)</f>
        <v>0.29545454545454503</v>
      </c>
    </row>
    <row r="212" spans="1:9">
      <c r="A212" s="3" t="s">
        <v>402</v>
      </c>
      <c r="B212" s="4"/>
      <c r="C212" s="4" t="s">
        <v>611</v>
      </c>
      <c r="D212" s="18">
        <v>3</v>
      </c>
      <c r="E212" s="18">
        <v>0</v>
      </c>
      <c r="F212" s="18">
        <v>1</v>
      </c>
      <c r="G212" s="13">
        <f>IF(D$5=0,0,D212/D$5)</f>
        <v>1.55440414507772E-2</v>
      </c>
      <c r="H212" s="13">
        <f>IF(E$5=0,0,E212/E$5)</f>
        <v>0</v>
      </c>
      <c r="I212" s="13">
        <f>IF(F$5=0,0,F212/F$5)</f>
        <v>2.27272727272727E-2</v>
      </c>
    </row>
    <row r="213" spans="1:9">
      <c r="A213" s="3" t="s">
        <v>402</v>
      </c>
      <c r="B213" s="4"/>
      <c r="C213" s="4" t="s">
        <v>612</v>
      </c>
      <c r="D213" s="18">
        <v>2</v>
      </c>
      <c r="E213" s="18">
        <v>0</v>
      </c>
      <c r="F213" s="18">
        <v>1</v>
      </c>
      <c r="G213" s="13">
        <f>IF(D$5=0,0,D213/D$5)</f>
        <v>1.03626943005181E-2</v>
      </c>
      <c r="H213" s="13">
        <f>IF(E$5=0,0,E213/E$5)</f>
        <v>0</v>
      </c>
      <c r="I213" s="13">
        <f>IF(F$5=0,0,F213/F$5)</f>
        <v>2.27272727272727E-2</v>
      </c>
    </row>
    <row r="214" spans="1:9">
      <c r="A214" s="3" t="s">
        <v>402</v>
      </c>
      <c r="B214" s="4"/>
      <c r="C214" s="4" t="s">
        <v>613</v>
      </c>
      <c r="D214" s="18">
        <v>96</v>
      </c>
      <c r="E214" s="18">
        <v>6</v>
      </c>
      <c r="F214" s="18">
        <v>16</v>
      </c>
      <c r="G214" s="13">
        <f>IF(D$5=0,0,D214/D$5)</f>
        <v>0.49740932642487001</v>
      </c>
      <c r="H214" s="13">
        <f>IF(E$5=0,0,E214/E$5)</f>
        <v>0.18181818181818199</v>
      </c>
      <c r="I214" s="13">
        <f>IF(F$5=0,0,F214/F$5)</f>
        <v>0.36363636363636398</v>
      </c>
    </row>
    <row r="215" spans="1:9">
      <c r="A215" s="3" t="s">
        <v>402</v>
      </c>
      <c r="B215" s="4"/>
      <c r="C215" s="4" t="s">
        <v>614</v>
      </c>
      <c r="D215" s="18">
        <v>17</v>
      </c>
      <c r="E215" s="18">
        <v>5</v>
      </c>
      <c r="F215" s="18">
        <v>2</v>
      </c>
      <c r="G215" s="13">
        <f>IF(D$5=0,0,D215/D$5)</f>
        <v>8.8082901554404097E-2</v>
      </c>
      <c r="H215" s="13">
        <f>IF(E$5=0,0,E215/E$5)</f>
        <v>0.15151515151515199</v>
      </c>
      <c r="I215" s="13">
        <f>IF(F$5=0,0,F215/F$5)</f>
        <v>4.5454545454545497E-2</v>
      </c>
    </row>
    <row r="216" spans="1:9">
      <c r="A216" s="3" t="s">
        <v>402</v>
      </c>
      <c r="B216" s="4"/>
      <c r="C216" s="4" t="s">
        <v>615</v>
      </c>
      <c r="D216" s="18">
        <v>1</v>
      </c>
      <c r="E216" s="18">
        <v>1</v>
      </c>
      <c r="F216" s="18">
        <v>1</v>
      </c>
      <c r="G216" s="13">
        <f>IF(D$5=0,0,D216/D$5)</f>
        <v>5.1813471502590702E-3</v>
      </c>
      <c r="H216" s="13">
        <f>IF(E$5=0,0,E216/E$5)</f>
        <v>3.03030303030303E-2</v>
      </c>
      <c r="I216" s="13">
        <f>IF(F$5=0,0,F216/F$5)</f>
        <v>2.27272727272727E-2</v>
      </c>
    </row>
    <row r="217" spans="1:9">
      <c r="A217" s="3" t="s">
        <v>402</v>
      </c>
      <c r="B217" s="4"/>
      <c r="C217" s="4" t="s">
        <v>437</v>
      </c>
      <c r="D217" s="18">
        <v>6</v>
      </c>
      <c r="E217" s="18">
        <v>1</v>
      </c>
      <c r="F217" s="18">
        <v>1</v>
      </c>
      <c r="G217" s="13">
        <f>IF(D$5=0,0,D217/D$5)</f>
        <v>3.10880829015544E-2</v>
      </c>
      <c r="H217" s="13">
        <f>IF(E$5=0,0,E217/E$5)</f>
        <v>3.03030303030303E-2</v>
      </c>
      <c r="I217" s="13">
        <f>IF(F$5=0,0,F217/F$5)</f>
        <v>2.27272727272727E-2</v>
      </c>
    </row>
    <row r="218" spans="1:9">
      <c r="A218" s="3" t="s">
        <v>402</v>
      </c>
      <c r="B218" s="4"/>
      <c r="C218" s="4" t="s">
        <v>438</v>
      </c>
      <c r="D218" s="18">
        <v>22</v>
      </c>
      <c r="E218" s="18">
        <v>1</v>
      </c>
      <c r="F218" s="18">
        <v>1</v>
      </c>
      <c r="G218" s="13">
        <f>IF(D$5=0,0,D218/D$5)</f>
        <v>0.113989637305699</v>
      </c>
      <c r="H218" s="13">
        <f>IF(E$5=0,0,E218/E$5)</f>
        <v>3.03030303030303E-2</v>
      </c>
      <c r="I218" s="13">
        <f>IF(F$5=0,0,F218/F$5)</f>
        <v>2.27272727272727E-2</v>
      </c>
    </row>
    <row r="219" spans="1:9">
      <c r="A219" s="3" t="s">
        <v>1168</v>
      </c>
      <c r="B219" s="4" t="s">
        <v>1169</v>
      </c>
      <c r="C219" s="4" t="s">
        <v>618</v>
      </c>
      <c r="D219" s="18">
        <v>8</v>
      </c>
      <c r="E219" s="18">
        <v>1</v>
      </c>
      <c r="F219" s="18">
        <v>1</v>
      </c>
      <c r="G219" s="13">
        <f>IF(D$5=0,0,D219/D$5)</f>
        <v>4.1450777202072499E-2</v>
      </c>
      <c r="H219" s="13">
        <f>IF(E$5=0,0,E219/E$5)</f>
        <v>3.03030303030303E-2</v>
      </c>
      <c r="I219" s="13">
        <f>IF(F$5=0,0,F219/F$5)</f>
        <v>2.27272727272727E-2</v>
      </c>
    </row>
    <row r="220" spans="1:9">
      <c r="A220" s="3" t="s">
        <v>1168</v>
      </c>
      <c r="B220" s="4"/>
      <c r="C220" s="4" t="s">
        <v>619</v>
      </c>
      <c r="D220" s="18">
        <v>4</v>
      </c>
      <c r="E220" s="18">
        <v>1</v>
      </c>
      <c r="F220" s="18">
        <v>2</v>
      </c>
      <c r="G220" s="13">
        <f>IF(D$5=0,0,D220/D$5)</f>
        <v>2.0725388601036301E-2</v>
      </c>
      <c r="H220" s="13">
        <f>IF(E$5=0,0,E220/E$5)</f>
        <v>3.03030303030303E-2</v>
      </c>
      <c r="I220" s="13">
        <f>IF(F$5=0,0,F220/F$5)</f>
        <v>4.5454545454545497E-2</v>
      </c>
    </row>
    <row r="221" spans="1:9">
      <c r="A221" s="3" t="s">
        <v>1168</v>
      </c>
      <c r="B221" s="4"/>
      <c r="C221" s="4" t="s">
        <v>620</v>
      </c>
      <c r="D221" s="18">
        <v>9</v>
      </c>
      <c r="E221" s="18">
        <v>3</v>
      </c>
      <c r="F221" s="18">
        <v>4</v>
      </c>
      <c r="G221" s="13">
        <f>IF(D$5=0,0,D221/D$5)</f>
        <v>4.6632124352331598E-2</v>
      </c>
      <c r="H221" s="13">
        <f>IF(E$5=0,0,E221/E$5)</f>
        <v>9.0909090909090898E-2</v>
      </c>
      <c r="I221" s="13">
        <f>IF(F$5=0,0,F221/F$5)</f>
        <v>9.0909090909090898E-2</v>
      </c>
    </row>
    <row r="222" spans="1:9">
      <c r="A222" s="3" t="s">
        <v>1168</v>
      </c>
      <c r="B222" s="4"/>
      <c r="C222" s="4" t="s">
        <v>621</v>
      </c>
      <c r="D222" s="18">
        <v>7</v>
      </c>
      <c r="E222" s="18">
        <v>0</v>
      </c>
      <c r="F222" s="18">
        <v>0</v>
      </c>
      <c r="G222" s="13">
        <f>IF(D$5=0,0,D222/D$5)</f>
        <v>3.6269430051813503E-2</v>
      </c>
      <c r="H222" s="13">
        <f>IF(E$5=0,0,E222/E$5)</f>
        <v>0</v>
      </c>
      <c r="I222" s="13">
        <f>IF(F$5=0,0,F222/F$5)</f>
        <v>0</v>
      </c>
    </row>
    <row r="223" spans="1:9">
      <c r="A223" s="3" t="s">
        <v>1168</v>
      </c>
      <c r="B223" s="4"/>
      <c r="C223" s="4" t="s">
        <v>437</v>
      </c>
      <c r="D223" s="18">
        <v>1</v>
      </c>
      <c r="E223" s="18">
        <v>0</v>
      </c>
      <c r="F223" s="18">
        <v>1</v>
      </c>
      <c r="G223" s="13">
        <f>IF(D$5=0,0,D223/D$5)</f>
        <v>5.1813471502590702E-3</v>
      </c>
      <c r="H223" s="13">
        <f>IF(E$5=0,0,E223/E$5)</f>
        <v>0</v>
      </c>
      <c r="I223" s="13">
        <f>IF(F$5=0,0,F223/F$5)</f>
        <v>2.27272727272727E-2</v>
      </c>
    </row>
    <row r="224" spans="1:9">
      <c r="A224" s="3" t="s">
        <v>1168</v>
      </c>
      <c r="B224" s="4"/>
      <c r="C224" s="4" t="s">
        <v>438</v>
      </c>
      <c r="D224" s="18">
        <v>164</v>
      </c>
      <c r="E224" s="18">
        <v>28</v>
      </c>
      <c r="F224" s="18">
        <v>36</v>
      </c>
      <c r="G224" s="13">
        <f>IF(D$5=0,0,D224/D$5)</f>
        <v>0.84974093264248696</v>
      </c>
      <c r="H224" s="13">
        <f>IF(E$5=0,0,E224/E$5)</f>
        <v>0.84848484848484895</v>
      </c>
      <c r="I224" s="13">
        <f>IF(F$5=0,0,F224/F$5)</f>
        <v>0.81818181818181801</v>
      </c>
    </row>
    <row r="225" spans="1:9">
      <c r="A225" s="3" t="s">
        <v>1170</v>
      </c>
      <c r="B225" s="4" t="s">
        <v>1171</v>
      </c>
      <c r="C225" s="4" t="s">
        <v>624</v>
      </c>
      <c r="D225" s="18">
        <v>5</v>
      </c>
      <c r="E225" s="18">
        <v>8</v>
      </c>
      <c r="F225" s="18">
        <v>13</v>
      </c>
      <c r="G225" s="13">
        <f>IF(D$5=0,0,D225/D$5)</f>
        <v>2.59067357512953E-2</v>
      </c>
      <c r="H225" s="13">
        <f>IF(E$5=0,0,E225/E$5)</f>
        <v>0.24242424242424199</v>
      </c>
      <c r="I225" s="13">
        <f>IF(F$5=0,0,F225/F$5)</f>
        <v>0.29545454545454503</v>
      </c>
    </row>
    <row r="226" spans="1:9">
      <c r="A226" s="3" t="s">
        <v>1170</v>
      </c>
      <c r="B226" s="4"/>
      <c r="C226" s="4" t="s">
        <v>625</v>
      </c>
      <c r="D226" s="18">
        <v>46</v>
      </c>
      <c r="E226" s="18">
        <v>5</v>
      </c>
      <c r="F226" s="18">
        <v>9</v>
      </c>
      <c r="G226" s="13">
        <f>IF(D$5=0,0,D226/D$5)</f>
        <v>0.238341968911917</v>
      </c>
      <c r="H226" s="13">
        <f>IF(E$5=0,0,E226/E$5)</f>
        <v>0.15151515151515199</v>
      </c>
      <c r="I226" s="13">
        <f>IF(F$5=0,0,F226/F$5)</f>
        <v>0.204545454545455</v>
      </c>
    </row>
    <row r="227" spans="1:9">
      <c r="A227" s="3" t="s">
        <v>1170</v>
      </c>
      <c r="B227" s="4"/>
      <c r="C227" s="4" t="s">
        <v>442</v>
      </c>
      <c r="D227" s="18">
        <v>8</v>
      </c>
      <c r="E227" s="18">
        <v>6</v>
      </c>
      <c r="F227" s="18">
        <v>6</v>
      </c>
      <c r="G227" s="13">
        <f>IF(D$5=0,0,D227/D$5)</f>
        <v>4.1450777202072499E-2</v>
      </c>
      <c r="H227" s="13">
        <f>IF(E$5=0,0,E227/E$5)</f>
        <v>0.18181818181818199</v>
      </c>
      <c r="I227" s="13">
        <f>IF(F$5=0,0,F227/F$5)</f>
        <v>0.13636363636363599</v>
      </c>
    </row>
    <row r="228" spans="1:9">
      <c r="A228" s="3" t="s">
        <v>1170</v>
      </c>
      <c r="B228" s="4"/>
      <c r="C228" s="4" t="s">
        <v>438</v>
      </c>
      <c r="D228" s="18">
        <v>134</v>
      </c>
      <c r="E228" s="18">
        <v>14</v>
      </c>
      <c r="F228" s="18">
        <v>16</v>
      </c>
      <c r="G228" s="13">
        <f>IF(D$5=0,0,D228/D$5)</f>
        <v>0.69430051813471505</v>
      </c>
      <c r="H228" s="13">
        <f>IF(E$5=0,0,E228/E$5)</f>
        <v>0.42424242424242398</v>
      </c>
      <c r="I228" s="13">
        <f>IF(F$5=0,0,F228/F$5)</f>
        <v>0.36363636363636398</v>
      </c>
    </row>
    <row r="229" spans="1:9">
      <c r="A229" s="3" t="s">
        <v>1172</v>
      </c>
      <c r="B229" s="4" t="s">
        <v>1173</v>
      </c>
      <c r="C229" s="4" t="s">
        <v>628</v>
      </c>
      <c r="D229" s="18">
        <v>1</v>
      </c>
      <c r="E229" s="18">
        <v>3</v>
      </c>
      <c r="F229" s="18">
        <v>1</v>
      </c>
      <c r="G229" s="13">
        <f>IF(D$5=0,0,D229/D$5)</f>
        <v>5.1813471502590702E-3</v>
      </c>
      <c r="H229" s="13">
        <f>IF(E$5=0,0,E229/E$5)</f>
        <v>9.0909090909090898E-2</v>
      </c>
      <c r="I229" s="13">
        <f>IF(F$5=0,0,F229/F$5)</f>
        <v>2.27272727272727E-2</v>
      </c>
    </row>
    <row r="230" spans="1:9">
      <c r="A230" s="3" t="s">
        <v>1172</v>
      </c>
      <c r="B230" s="4"/>
      <c r="C230" s="4" t="s">
        <v>629</v>
      </c>
      <c r="D230" s="18">
        <v>4</v>
      </c>
      <c r="E230" s="18">
        <v>4</v>
      </c>
      <c r="F230" s="18">
        <v>9</v>
      </c>
      <c r="G230" s="13">
        <f>IF(D$5=0,0,D230/D$5)</f>
        <v>2.0725388601036301E-2</v>
      </c>
      <c r="H230" s="13">
        <f>IF(E$5=0,0,E230/E$5)</f>
        <v>0.12121212121212099</v>
      </c>
      <c r="I230" s="13">
        <f>IF(F$5=0,0,F230/F$5)</f>
        <v>0.204545454545455</v>
      </c>
    </row>
    <row r="231" spans="1:9">
      <c r="A231" s="3" t="s">
        <v>1172</v>
      </c>
      <c r="B231" s="4"/>
      <c r="C231" s="4" t="s">
        <v>630</v>
      </c>
      <c r="D231" s="18">
        <v>6</v>
      </c>
      <c r="E231" s="18">
        <v>5</v>
      </c>
      <c r="F231" s="18">
        <v>6</v>
      </c>
      <c r="G231" s="13">
        <f>IF(D$5=0,0,D231/D$5)</f>
        <v>3.10880829015544E-2</v>
      </c>
      <c r="H231" s="13">
        <f>IF(E$5=0,0,E231/E$5)</f>
        <v>0.15151515151515199</v>
      </c>
      <c r="I231" s="13">
        <f>IF(F$5=0,0,F231/F$5)</f>
        <v>0.13636363636363599</v>
      </c>
    </row>
    <row r="232" spans="1:9">
      <c r="A232" s="3" t="s">
        <v>1172</v>
      </c>
      <c r="B232" s="4"/>
      <c r="C232" s="4" t="s">
        <v>438</v>
      </c>
      <c r="D232" s="18">
        <v>182</v>
      </c>
      <c r="E232" s="18">
        <v>21</v>
      </c>
      <c r="F232" s="18">
        <v>28</v>
      </c>
      <c r="G232" s="13">
        <f>IF(D$5=0,0,D232/D$5)</f>
        <v>0.94300518134714995</v>
      </c>
      <c r="H232" s="13">
        <f>IF(E$5=0,0,E232/E$5)</f>
        <v>0.63636363636363602</v>
      </c>
      <c r="I232" s="13">
        <f>IF(F$5=0,0,F232/F$5)</f>
        <v>0.63636363636363602</v>
      </c>
    </row>
    <row r="233" spans="1:9">
      <c r="A233" s="3" t="s">
        <v>405</v>
      </c>
      <c r="B233" s="4" t="s">
        <v>1174</v>
      </c>
      <c r="C233" s="4" t="s">
        <v>634</v>
      </c>
      <c r="D233" s="18">
        <v>62</v>
      </c>
      <c r="E233" s="18">
        <v>11</v>
      </c>
      <c r="F233" s="18">
        <v>19</v>
      </c>
      <c r="G233" s="13">
        <f>IF(D$5=0,0,D233/D$5)</f>
        <v>0.32124352331606199</v>
      </c>
      <c r="H233" s="13">
        <f>IF(E$5=0,0,E233/E$5)</f>
        <v>0.33333333333333298</v>
      </c>
      <c r="I233" s="13">
        <f>IF(F$5=0,0,F233/F$5)</f>
        <v>0.43181818181818199</v>
      </c>
    </row>
    <row r="234" spans="1:9">
      <c r="A234" s="3" t="s">
        <v>405</v>
      </c>
      <c r="B234" s="4"/>
      <c r="C234" s="4" t="s">
        <v>636</v>
      </c>
      <c r="D234" s="18">
        <v>52</v>
      </c>
      <c r="E234" s="18">
        <v>6</v>
      </c>
      <c r="F234" s="18">
        <v>7</v>
      </c>
      <c r="G234" s="13">
        <f>IF(D$5=0,0,D234/D$5)</f>
        <v>0.26943005181347202</v>
      </c>
      <c r="H234" s="13">
        <f>IF(E$5=0,0,E234/E$5)</f>
        <v>0.18181818181818199</v>
      </c>
      <c r="I234" s="13">
        <f>IF(F$5=0,0,F234/F$5)</f>
        <v>0.15909090909090901</v>
      </c>
    </row>
    <row r="235" spans="1:9">
      <c r="A235" s="3" t="s">
        <v>405</v>
      </c>
      <c r="B235" s="4"/>
      <c r="C235" s="4" t="s">
        <v>635</v>
      </c>
      <c r="D235" s="18">
        <v>59</v>
      </c>
      <c r="E235" s="18">
        <v>7</v>
      </c>
      <c r="F235" s="18">
        <v>20</v>
      </c>
      <c r="G235" s="13">
        <f>IF(D$5=0,0,D235/D$5)</f>
        <v>0.30569948186528501</v>
      </c>
      <c r="H235" s="13">
        <f>IF(E$5=0,0,E235/E$5)</f>
        <v>0.21212121212121199</v>
      </c>
      <c r="I235" s="13">
        <f>IF(F$5=0,0,F235/F$5)</f>
        <v>0.45454545454545497</v>
      </c>
    </row>
    <row r="236" spans="1:9">
      <c r="A236" s="3" t="s">
        <v>405</v>
      </c>
      <c r="B236" s="4"/>
      <c r="C236" s="4" t="s">
        <v>640</v>
      </c>
      <c r="D236" s="18">
        <v>35</v>
      </c>
      <c r="E236" s="18">
        <v>4</v>
      </c>
      <c r="F236" s="18">
        <v>11</v>
      </c>
      <c r="G236" s="13">
        <f>IF(D$5=0,0,D236/D$5)</f>
        <v>0.181347150259067</v>
      </c>
      <c r="H236" s="13">
        <f>IF(E$5=0,0,E236/E$5)</f>
        <v>0.12121212121212099</v>
      </c>
      <c r="I236" s="13">
        <f>IF(F$5=0,0,F236/F$5)</f>
        <v>0.25</v>
      </c>
    </row>
    <row r="237" spans="1:9">
      <c r="A237" s="3" t="s">
        <v>405</v>
      </c>
      <c r="B237" s="4"/>
      <c r="C237" s="4" t="s">
        <v>633</v>
      </c>
      <c r="D237" s="18">
        <v>58</v>
      </c>
      <c r="E237" s="18">
        <v>11</v>
      </c>
      <c r="F237" s="18">
        <v>29</v>
      </c>
      <c r="G237" s="13">
        <f>IF(D$5=0,0,D237/D$5)</f>
        <v>0.30051813471502598</v>
      </c>
      <c r="H237" s="13">
        <f>IF(E$5=0,0,E237/E$5)</f>
        <v>0.33333333333333298</v>
      </c>
      <c r="I237" s="13">
        <f>IF(F$5=0,0,F237/F$5)</f>
        <v>0.65909090909090895</v>
      </c>
    </row>
    <row r="238" spans="1:9">
      <c r="A238" s="3" t="s">
        <v>405</v>
      </c>
      <c r="B238" s="4"/>
      <c r="C238" s="4" t="s">
        <v>637</v>
      </c>
      <c r="D238" s="18">
        <v>39</v>
      </c>
      <c r="E238" s="18">
        <v>7</v>
      </c>
      <c r="F238" s="18">
        <v>10</v>
      </c>
      <c r="G238" s="13">
        <f>IF(D$5=0,0,D238/D$5)</f>
        <v>0.20207253886010401</v>
      </c>
      <c r="H238" s="13">
        <f>IF(E$5=0,0,E238/E$5)</f>
        <v>0.21212121212121199</v>
      </c>
      <c r="I238" s="13">
        <f>IF(F$5=0,0,F238/F$5)</f>
        <v>0.22727272727272699</v>
      </c>
    </row>
    <row r="239" spans="1:9">
      <c r="A239" s="3" t="s">
        <v>405</v>
      </c>
      <c r="B239" s="4"/>
      <c r="C239" s="4" t="s">
        <v>638</v>
      </c>
      <c r="D239" s="18">
        <v>29</v>
      </c>
      <c r="E239" s="18">
        <v>8</v>
      </c>
      <c r="F239" s="18">
        <v>19</v>
      </c>
      <c r="G239" s="13">
        <f>IF(D$5=0,0,D239/D$5)</f>
        <v>0.15025906735751299</v>
      </c>
      <c r="H239" s="13">
        <f>IF(E$5=0,0,E239/E$5)</f>
        <v>0.24242424242424199</v>
      </c>
      <c r="I239" s="13">
        <f>IF(F$5=0,0,F239/F$5)</f>
        <v>0.43181818181818199</v>
      </c>
    </row>
    <row r="240" spans="1:9">
      <c r="A240" s="3" t="s">
        <v>405</v>
      </c>
      <c r="B240" s="4"/>
      <c r="C240" s="4" t="s">
        <v>641</v>
      </c>
      <c r="D240" s="18">
        <v>16</v>
      </c>
      <c r="E240" s="18">
        <v>3</v>
      </c>
      <c r="F240" s="18">
        <v>9</v>
      </c>
      <c r="G240" s="13">
        <f>IF(D$5=0,0,D240/D$5)</f>
        <v>8.2901554404145095E-2</v>
      </c>
      <c r="H240" s="13">
        <f>IF(E$5=0,0,E240/E$5)</f>
        <v>9.0909090909090898E-2</v>
      </c>
      <c r="I240" s="13">
        <f>IF(F$5=0,0,F240/F$5)</f>
        <v>0.204545454545455</v>
      </c>
    </row>
    <row r="241" spans="1:9">
      <c r="A241" s="3" t="s">
        <v>405</v>
      </c>
      <c r="B241" s="4"/>
      <c r="C241" s="4" t="s">
        <v>639</v>
      </c>
      <c r="D241" s="18">
        <v>25</v>
      </c>
      <c r="E241" s="18">
        <v>8</v>
      </c>
      <c r="F241" s="18">
        <v>19</v>
      </c>
      <c r="G241" s="13">
        <f>IF(D$5=0,0,D241/D$5)</f>
        <v>0.12953367875647701</v>
      </c>
      <c r="H241" s="13">
        <f>IF(E$5=0,0,E241/E$5)</f>
        <v>0.24242424242424199</v>
      </c>
      <c r="I241" s="13">
        <f>IF(F$5=0,0,F241/F$5)</f>
        <v>0.43181818181818199</v>
      </c>
    </row>
    <row r="242" spans="1:9">
      <c r="A242" s="3" t="s">
        <v>405</v>
      </c>
      <c r="B242" s="4"/>
      <c r="C242" s="4" t="s">
        <v>437</v>
      </c>
      <c r="D242" s="18">
        <v>9</v>
      </c>
      <c r="E242" s="18">
        <v>3</v>
      </c>
      <c r="F242" s="18">
        <v>4</v>
      </c>
      <c r="G242" s="13">
        <f>IF(D$5=0,0,D242/D$5)</f>
        <v>4.6632124352331598E-2</v>
      </c>
      <c r="H242" s="13">
        <f>IF(E$5=0,0,E242/E$5)</f>
        <v>9.0909090909090898E-2</v>
      </c>
      <c r="I242" s="13">
        <f>IF(F$5=0,0,F242/F$5)</f>
        <v>9.0909090909090898E-2</v>
      </c>
    </row>
    <row r="243" spans="1:9">
      <c r="A243" s="3" t="s">
        <v>405</v>
      </c>
      <c r="B243" s="4"/>
      <c r="C243" s="4" t="s">
        <v>438</v>
      </c>
      <c r="D243" s="18">
        <v>75</v>
      </c>
      <c r="E243" s="18">
        <v>8</v>
      </c>
      <c r="F243" s="18">
        <v>7</v>
      </c>
      <c r="G243" s="13">
        <f>IF(D$5=0,0,D243/D$5)</f>
        <v>0.38860103626942999</v>
      </c>
      <c r="H243" s="13">
        <f>IF(E$5=0,0,E243/E$5)</f>
        <v>0.24242424242424199</v>
      </c>
      <c r="I243" s="13">
        <f>IF(F$5=0,0,F243/F$5)</f>
        <v>0.15909090909090901</v>
      </c>
    </row>
    <row r="244" spans="1:9">
      <c r="A244" s="3" t="s">
        <v>1175</v>
      </c>
      <c r="B244" s="4" t="s">
        <v>1176</v>
      </c>
      <c r="C244" s="4" t="s">
        <v>644</v>
      </c>
      <c r="D244" s="18">
        <v>7</v>
      </c>
      <c r="E244" s="18">
        <v>2</v>
      </c>
      <c r="F244" s="18">
        <v>3</v>
      </c>
      <c r="G244" s="13">
        <f>IF(D$5=0,0,D244/D$5)</f>
        <v>3.6269430051813503E-2</v>
      </c>
      <c r="H244" s="13">
        <f>IF(E$5=0,0,E244/E$5)</f>
        <v>6.0606060606060601E-2</v>
      </c>
      <c r="I244" s="13">
        <f>IF(F$5=0,0,F244/F$5)</f>
        <v>6.8181818181818205E-2</v>
      </c>
    </row>
    <row r="245" spans="1:9">
      <c r="A245" s="3" t="s">
        <v>1175</v>
      </c>
      <c r="B245" s="4"/>
      <c r="C245" s="4" t="s">
        <v>645</v>
      </c>
      <c r="D245" s="18">
        <v>5</v>
      </c>
      <c r="E245" s="18">
        <v>2</v>
      </c>
      <c r="F245" s="18">
        <v>3</v>
      </c>
      <c r="G245" s="13">
        <f>IF(D$5=0,0,D245/D$5)</f>
        <v>2.59067357512953E-2</v>
      </c>
      <c r="H245" s="13">
        <f>IF(E$5=0,0,E245/E$5)</f>
        <v>6.0606060606060601E-2</v>
      </c>
      <c r="I245" s="13">
        <f>IF(F$5=0,0,F245/F$5)</f>
        <v>6.8181818181818205E-2</v>
      </c>
    </row>
    <row r="246" spans="1:9">
      <c r="A246" s="3" t="s">
        <v>1175</v>
      </c>
      <c r="B246" s="4"/>
      <c r="C246" s="4" t="s">
        <v>646</v>
      </c>
      <c r="D246" s="18">
        <v>1</v>
      </c>
      <c r="E246" s="18">
        <v>4</v>
      </c>
      <c r="F246" s="18">
        <v>3</v>
      </c>
      <c r="G246" s="13">
        <f>IF(D$5=0,0,D246/D$5)</f>
        <v>5.1813471502590702E-3</v>
      </c>
      <c r="H246" s="13">
        <f>IF(E$5=0,0,E246/E$5)</f>
        <v>0.12121212121212099</v>
      </c>
      <c r="I246" s="13">
        <f>IF(F$5=0,0,F246/F$5)</f>
        <v>6.8181818181818205E-2</v>
      </c>
    </row>
    <row r="247" spans="1:9">
      <c r="A247" s="3" t="s">
        <v>1175</v>
      </c>
      <c r="B247" s="4"/>
      <c r="C247" s="4" t="s">
        <v>647</v>
      </c>
      <c r="D247" s="18">
        <v>1</v>
      </c>
      <c r="E247" s="18">
        <v>1</v>
      </c>
      <c r="F247" s="18">
        <v>0</v>
      </c>
      <c r="G247" s="13">
        <f>IF(D$5=0,0,D247/D$5)</f>
        <v>5.1813471502590702E-3</v>
      </c>
      <c r="H247" s="13">
        <f>IF(E$5=0,0,E247/E$5)</f>
        <v>3.03030303030303E-2</v>
      </c>
      <c r="I247" s="13">
        <f>IF(F$5=0,0,F247/F$5)</f>
        <v>0</v>
      </c>
    </row>
    <row r="248" spans="1:9">
      <c r="A248" s="3" t="s">
        <v>1175</v>
      </c>
      <c r="B248" s="4"/>
      <c r="C248" s="4" t="s">
        <v>648</v>
      </c>
      <c r="D248" s="18">
        <v>2</v>
      </c>
      <c r="E248" s="18">
        <v>2</v>
      </c>
      <c r="F248" s="18">
        <v>2</v>
      </c>
      <c r="G248" s="13">
        <f>IF(D$5=0,0,D248/D$5)</f>
        <v>1.03626943005181E-2</v>
      </c>
      <c r="H248" s="13">
        <f>IF(E$5=0,0,E248/E$5)</f>
        <v>6.0606060606060601E-2</v>
      </c>
      <c r="I248" s="13">
        <f>IF(F$5=0,0,F248/F$5)</f>
        <v>4.5454545454545497E-2</v>
      </c>
    </row>
    <row r="249" spans="1:9">
      <c r="A249" s="3" t="s">
        <v>1175</v>
      </c>
      <c r="B249" s="4"/>
      <c r="C249" s="4" t="s">
        <v>649</v>
      </c>
      <c r="D249" s="18">
        <v>2</v>
      </c>
      <c r="E249" s="18">
        <v>2</v>
      </c>
      <c r="F249" s="18">
        <v>1</v>
      </c>
      <c r="G249" s="13">
        <f>IF(D$5=0,0,D249/D$5)</f>
        <v>1.03626943005181E-2</v>
      </c>
      <c r="H249" s="13">
        <f>IF(E$5=0,0,E249/E$5)</f>
        <v>6.0606060606060601E-2</v>
      </c>
      <c r="I249" s="13">
        <f>IF(F$5=0,0,F249/F$5)</f>
        <v>2.27272727272727E-2</v>
      </c>
    </row>
    <row r="250" spans="1:9">
      <c r="A250" s="3" t="s">
        <v>1175</v>
      </c>
      <c r="B250" s="4"/>
      <c r="C250" s="4" t="s">
        <v>531</v>
      </c>
      <c r="D250" s="18">
        <v>116</v>
      </c>
      <c r="E250" s="18">
        <v>15</v>
      </c>
      <c r="F250" s="18">
        <v>21</v>
      </c>
      <c r="G250" s="13">
        <f>IF(D$5=0,0,D250/D$5)</f>
        <v>0.60103626943005195</v>
      </c>
      <c r="H250" s="13">
        <f>IF(E$5=0,0,E250/E$5)</f>
        <v>0.45454545454545497</v>
      </c>
      <c r="I250" s="13">
        <f>IF(F$5=0,0,F250/F$5)</f>
        <v>0.47727272727272702</v>
      </c>
    </row>
    <row r="251" spans="1:9">
      <c r="A251" s="3" t="s">
        <v>1175</v>
      </c>
      <c r="B251" s="4"/>
      <c r="C251" s="4" t="s">
        <v>438</v>
      </c>
      <c r="D251" s="18">
        <v>59</v>
      </c>
      <c r="E251" s="18">
        <v>5</v>
      </c>
      <c r="F251" s="18">
        <v>11</v>
      </c>
      <c r="G251" s="13">
        <f>IF(D$5=0,0,D251/D$5)</f>
        <v>0.30569948186528501</v>
      </c>
      <c r="H251" s="13">
        <f>IF(E$5=0,0,E251/E$5)</f>
        <v>0.15151515151515199</v>
      </c>
      <c r="I251" s="13">
        <f>IF(F$5=0,0,F251/F$5)</f>
        <v>0.25</v>
      </c>
    </row>
    <row r="252" spans="1:9">
      <c r="A252" s="3" t="s">
        <v>408</v>
      </c>
      <c r="B252" s="4" t="s">
        <v>1177</v>
      </c>
      <c r="C252" s="4" t="s">
        <v>652</v>
      </c>
      <c r="D252" s="18">
        <v>65</v>
      </c>
      <c r="E252" s="18">
        <v>4</v>
      </c>
      <c r="F252" s="18">
        <v>7</v>
      </c>
      <c r="G252" s="13">
        <f>IF(D$5=0,0,D252/D$5)</f>
        <v>0.33678756476683902</v>
      </c>
      <c r="H252" s="13">
        <f>IF(E$5=0,0,E252/E$5)</f>
        <v>0.12121212121212099</v>
      </c>
      <c r="I252" s="13">
        <f>IF(F$5=0,0,F252/F$5)</f>
        <v>0.15909090909090901</v>
      </c>
    </row>
    <row r="253" spans="1:9">
      <c r="A253" s="3" t="s">
        <v>408</v>
      </c>
      <c r="B253" s="4"/>
      <c r="C253" s="4" t="s">
        <v>653</v>
      </c>
      <c r="D253" s="18">
        <v>115</v>
      </c>
      <c r="E253" s="18">
        <v>24</v>
      </c>
      <c r="F253" s="18">
        <v>31</v>
      </c>
      <c r="G253" s="13">
        <f>IF(D$5=0,0,D253/D$5)</f>
        <v>0.59585492227979298</v>
      </c>
      <c r="H253" s="13">
        <f>IF(E$5=0,0,E253/E$5)</f>
        <v>0.72727272727272696</v>
      </c>
      <c r="I253" s="13">
        <f>IF(F$5=0,0,F253/F$5)</f>
        <v>0.70454545454545503</v>
      </c>
    </row>
    <row r="254" spans="1:9">
      <c r="A254" s="3" t="s">
        <v>408</v>
      </c>
      <c r="B254" s="4"/>
      <c r="C254" s="4" t="s">
        <v>438</v>
      </c>
      <c r="D254" s="18">
        <v>13</v>
      </c>
      <c r="E254" s="18">
        <v>5</v>
      </c>
      <c r="F254" s="18">
        <v>6</v>
      </c>
      <c r="G254" s="13">
        <f>IF(D$5=0,0,D254/D$5)</f>
        <v>6.7357512953367907E-2</v>
      </c>
      <c r="H254" s="13">
        <f>IF(E$5=0,0,E254/E$5)</f>
        <v>0.15151515151515199</v>
      </c>
      <c r="I254" s="13">
        <f>IF(F$5=0,0,F254/F$5)</f>
        <v>0.13636363636363599</v>
      </c>
    </row>
    <row r="255" spans="1:9">
      <c r="A255" s="3" t="s">
        <v>1178</v>
      </c>
      <c r="B255" s="4" t="s">
        <v>1179</v>
      </c>
      <c r="C255" s="4" t="s">
        <v>656</v>
      </c>
      <c r="D255" s="18">
        <v>6</v>
      </c>
      <c r="E255" s="18">
        <v>0</v>
      </c>
      <c r="F255" s="18">
        <v>1</v>
      </c>
      <c r="G255" s="13">
        <f>IF(D$5=0,0,D255/D$5)</f>
        <v>3.10880829015544E-2</v>
      </c>
      <c r="H255" s="13">
        <f>IF(E$5=0,0,E255/E$5)</f>
        <v>0</v>
      </c>
      <c r="I255" s="13">
        <f>IF(F$5=0,0,F255/F$5)</f>
        <v>2.27272727272727E-2</v>
      </c>
    </row>
    <row r="256" spans="1:9">
      <c r="A256" s="3" t="s">
        <v>1178</v>
      </c>
      <c r="B256" s="4"/>
      <c r="C256" s="4" t="s">
        <v>657</v>
      </c>
      <c r="D256" s="18">
        <v>14</v>
      </c>
      <c r="E256" s="18">
        <v>2</v>
      </c>
      <c r="F256" s="18">
        <v>3</v>
      </c>
      <c r="G256" s="13">
        <f>IF(D$5=0,0,D256/D$5)</f>
        <v>7.2538860103626895E-2</v>
      </c>
      <c r="H256" s="13">
        <f>IF(E$5=0,0,E256/E$5)</f>
        <v>6.0606060606060601E-2</v>
      </c>
      <c r="I256" s="13">
        <f>IF(F$5=0,0,F256/F$5)</f>
        <v>6.8181818181818205E-2</v>
      </c>
    </row>
    <row r="257" spans="1:9">
      <c r="A257" s="3" t="s">
        <v>1178</v>
      </c>
      <c r="B257" s="4"/>
      <c r="C257" s="4" t="s">
        <v>658</v>
      </c>
      <c r="D257" s="18">
        <v>4</v>
      </c>
      <c r="E257" s="18">
        <v>0</v>
      </c>
      <c r="F257" s="18">
        <v>0</v>
      </c>
      <c r="G257" s="13">
        <f>IF(D$5=0,0,D257/D$5)</f>
        <v>2.0725388601036301E-2</v>
      </c>
      <c r="H257" s="13">
        <f>IF(E$5=0,0,E257/E$5)</f>
        <v>0</v>
      </c>
      <c r="I257" s="13">
        <f>IF(F$5=0,0,F257/F$5)</f>
        <v>0</v>
      </c>
    </row>
    <row r="258" spans="1:9">
      <c r="A258" s="3" t="s">
        <v>1178</v>
      </c>
      <c r="B258" s="4"/>
      <c r="C258" s="4" t="s">
        <v>659</v>
      </c>
      <c r="D258" s="18">
        <v>18</v>
      </c>
      <c r="E258" s="18">
        <v>0</v>
      </c>
      <c r="F258" s="18">
        <v>0</v>
      </c>
      <c r="G258" s="13">
        <f>IF(D$5=0,0,D258/D$5)</f>
        <v>9.3264248704663197E-2</v>
      </c>
      <c r="H258" s="13">
        <f>IF(E$5=0,0,E258/E$5)</f>
        <v>0</v>
      </c>
      <c r="I258" s="13">
        <f>IF(F$5=0,0,F258/F$5)</f>
        <v>0</v>
      </c>
    </row>
    <row r="259" spans="1:9">
      <c r="A259" s="3" t="s">
        <v>1178</v>
      </c>
      <c r="B259" s="4"/>
      <c r="C259" s="4" t="s">
        <v>660</v>
      </c>
      <c r="D259" s="18">
        <v>6</v>
      </c>
      <c r="E259" s="18">
        <v>0</v>
      </c>
      <c r="F259" s="18">
        <v>1</v>
      </c>
      <c r="G259" s="13">
        <f>IF(D$5=0,0,D259/D$5)</f>
        <v>3.10880829015544E-2</v>
      </c>
      <c r="H259" s="13">
        <f>IF(E$5=0,0,E259/E$5)</f>
        <v>0</v>
      </c>
      <c r="I259" s="13">
        <f>IF(F$5=0,0,F259/F$5)</f>
        <v>2.27272727272727E-2</v>
      </c>
    </row>
    <row r="260" spans="1:9">
      <c r="A260" s="3" t="s">
        <v>1178</v>
      </c>
      <c r="B260" s="4"/>
      <c r="C260" s="4" t="s">
        <v>661</v>
      </c>
      <c r="D260" s="18">
        <v>10</v>
      </c>
      <c r="E260" s="18">
        <v>1</v>
      </c>
      <c r="F260" s="18">
        <v>1</v>
      </c>
      <c r="G260" s="13">
        <f>IF(D$5=0,0,D260/D$5)</f>
        <v>5.1813471502590698E-2</v>
      </c>
      <c r="H260" s="13">
        <f>IF(E$5=0,0,E260/E$5)</f>
        <v>3.03030303030303E-2</v>
      </c>
      <c r="I260" s="13">
        <f>IF(F$5=0,0,F260/F$5)</f>
        <v>2.27272727272727E-2</v>
      </c>
    </row>
    <row r="261" spans="1:9">
      <c r="A261" s="3" t="s">
        <v>1178</v>
      </c>
      <c r="B261" s="4"/>
      <c r="C261" s="4" t="s">
        <v>662</v>
      </c>
      <c r="D261" s="18">
        <v>7</v>
      </c>
      <c r="E261" s="18">
        <v>0</v>
      </c>
      <c r="F261" s="18">
        <v>1</v>
      </c>
      <c r="G261" s="13">
        <f>IF(D$5=0,0,D261/D$5)</f>
        <v>3.6269430051813503E-2</v>
      </c>
      <c r="H261" s="13">
        <f>IF(E$5=0,0,E261/E$5)</f>
        <v>0</v>
      </c>
      <c r="I261" s="13">
        <f>IF(F$5=0,0,F261/F$5)</f>
        <v>2.27272727272727E-2</v>
      </c>
    </row>
    <row r="262" spans="1:9">
      <c r="A262" s="3" t="s">
        <v>1178</v>
      </c>
      <c r="B262" s="4"/>
      <c r="C262" s="4" t="s">
        <v>438</v>
      </c>
      <c r="D262" s="18">
        <v>128</v>
      </c>
      <c r="E262" s="18">
        <v>30</v>
      </c>
      <c r="F262" s="18">
        <v>37</v>
      </c>
      <c r="G262" s="13">
        <f>IF(D$5=0,0,D262/D$5)</f>
        <v>0.66321243523316098</v>
      </c>
      <c r="H262" s="13">
        <f>IF(E$5=0,0,E262/E$5)</f>
        <v>0.90909090909090895</v>
      </c>
      <c r="I262" s="13">
        <f>IF(F$5=0,0,F262/F$5)</f>
        <v>0.84090909090909105</v>
      </c>
    </row>
    <row r="263" spans="1:9">
      <c r="A263" s="3" t="s">
        <v>1180</v>
      </c>
      <c r="B263" s="4" t="s">
        <v>668</v>
      </c>
      <c r="C263" s="4" t="s">
        <v>652</v>
      </c>
      <c r="D263" s="18">
        <v>15</v>
      </c>
      <c r="E263" s="18">
        <v>3</v>
      </c>
      <c r="F263" s="18">
        <v>3</v>
      </c>
      <c r="G263" s="13">
        <f>IF(D$5=0,0,D263/D$5)</f>
        <v>7.7720207253885995E-2</v>
      </c>
      <c r="H263" s="13">
        <f>IF(E$5=0,0,E263/E$5)</f>
        <v>9.0909090909090898E-2</v>
      </c>
      <c r="I263" s="13">
        <f>IF(F$5=0,0,F263/F$5)</f>
        <v>6.8181818181818205E-2</v>
      </c>
    </row>
    <row r="264" spans="1:9">
      <c r="A264" s="3" t="s">
        <v>1180</v>
      </c>
      <c r="B264" s="4"/>
      <c r="C264" s="4" t="s">
        <v>653</v>
      </c>
      <c r="D264" s="18">
        <v>128</v>
      </c>
      <c r="E264" s="18">
        <v>22</v>
      </c>
      <c r="F264" s="18">
        <v>31</v>
      </c>
      <c r="G264" s="13">
        <f>IF(D$5=0,0,D264/D$5)</f>
        <v>0.66321243523316098</v>
      </c>
      <c r="H264" s="13">
        <f>IF(E$5=0,0,E264/E$5)</f>
        <v>0.66666666666666696</v>
      </c>
      <c r="I264" s="13">
        <f>IF(F$5=0,0,F264/F$5)</f>
        <v>0.70454545454545503</v>
      </c>
    </row>
    <row r="265" spans="1:9">
      <c r="A265" s="3" t="s">
        <v>1180</v>
      </c>
      <c r="B265" s="4"/>
      <c r="C265" s="4" t="s">
        <v>438</v>
      </c>
      <c r="D265" s="18">
        <v>50</v>
      </c>
      <c r="E265" s="18">
        <v>8</v>
      </c>
      <c r="F265" s="18">
        <v>10</v>
      </c>
      <c r="G265" s="13">
        <f>IF(D$5=0,0,D265/D$5)</f>
        <v>0.25906735751295301</v>
      </c>
      <c r="H265" s="13">
        <f>IF(E$5=0,0,E265/E$5)</f>
        <v>0.24242424242424199</v>
      </c>
      <c r="I265" s="13">
        <f>IF(F$5=0,0,F265/F$5)</f>
        <v>0.22727272727272699</v>
      </c>
    </row>
    <row r="266" spans="1:9">
      <c r="A266" s="3" t="s">
        <v>1180</v>
      </c>
      <c r="B266" s="4" t="s">
        <v>669</v>
      </c>
      <c r="C266" s="4" t="s">
        <v>652</v>
      </c>
      <c r="D266" s="18">
        <v>5</v>
      </c>
      <c r="E266" s="18">
        <v>1</v>
      </c>
      <c r="F266" s="18">
        <v>1</v>
      </c>
      <c r="G266" s="13">
        <f>IF(D$5=0,0,D266/D$5)</f>
        <v>2.59067357512953E-2</v>
      </c>
      <c r="H266" s="13">
        <f>IF(E$5=0,0,E266/E$5)</f>
        <v>3.03030303030303E-2</v>
      </c>
      <c r="I266" s="13">
        <f>IF(F$5=0,0,F266/F$5)</f>
        <v>2.27272727272727E-2</v>
      </c>
    </row>
    <row r="267" spans="1:9">
      <c r="A267" s="3" t="s">
        <v>1180</v>
      </c>
      <c r="B267" s="4"/>
      <c r="C267" s="4" t="s">
        <v>653</v>
      </c>
      <c r="D267" s="18">
        <v>137</v>
      </c>
      <c r="E267" s="18">
        <v>23</v>
      </c>
      <c r="F267" s="18">
        <v>33</v>
      </c>
      <c r="G267" s="13">
        <f>IF(D$5=0,0,D267/D$5)</f>
        <v>0.70984455958549197</v>
      </c>
      <c r="H267" s="13">
        <f>IF(E$5=0,0,E267/E$5)</f>
        <v>0.69696969696969702</v>
      </c>
      <c r="I267" s="13">
        <f>IF(F$5=0,0,F267/F$5)</f>
        <v>0.75</v>
      </c>
    </row>
    <row r="268" spans="1:9">
      <c r="A268" s="3" t="s">
        <v>1180</v>
      </c>
      <c r="B268" s="4"/>
      <c r="C268" s="4" t="s">
        <v>438</v>
      </c>
      <c r="D268" s="18">
        <v>51</v>
      </c>
      <c r="E268" s="18">
        <v>9</v>
      </c>
      <c r="F268" s="18">
        <v>10</v>
      </c>
      <c r="G268" s="13">
        <f>IF(D$5=0,0,D268/D$5)</f>
        <v>0.26424870466321199</v>
      </c>
      <c r="H268" s="13">
        <f>IF(E$5=0,0,E268/E$5)</f>
        <v>0.27272727272727298</v>
      </c>
      <c r="I268" s="13">
        <f>IF(F$5=0,0,F268/F$5)</f>
        <v>0.22727272727272699</v>
      </c>
    </row>
    <row r="269" spans="1:9">
      <c r="A269" s="3" t="s">
        <v>1180</v>
      </c>
      <c r="B269" s="4" t="s">
        <v>670</v>
      </c>
      <c r="C269" s="4" t="s">
        <v>652</v>
      </c>
      <c r="D269" s="18">
        <v>1</v>
      </c>
      <c r="E269" s="18">
        <v>0</v>
      </c>
      <c r="F269" s="18">
        <v>0</v>
      </c>
      <c r="G269" s="13">
        <f>IF(D$5=0,0,D269/D$5)</f>
        <v>5.1813471502590702E-3</v>
      </c>
      <c r="H269" s="13">
        <f>IF(E$5=0,0,E269/E$5)</f>
        <v>0</v>
      </c>
      <c r="I269" s="13">
        <f>IF(F$5=0,0,F269/F$5)</f>
        <v>0</v>
      </c>
    </row>
    <row r="270" spans="1:9">
      <c r="A270" s="3" t="s">
        <v>1180</v>
      </c>
      <c r="B270" s="4"/>
      <c r="C270" s="4" t="s">
        <v>653</v>
      </c>
      <c r="D270" s="18">
        <v>141</v>
      </c>
      <c r="E270" s="18">
        <v>24</v>
      </c>
      <c r="F270" s="18">
        <v>33</v>
      </c>
      <c r="G270" s="13">
        <f>IF(D$5=0,0,D270/D$5)</f>
        <v>0.73056994818652898</v>
      </c>
      <c r="H270" s="13">
        <f>IF(E$5=0,0,E270/E$5)</f>
        <v>0.72727272727272696</v>
      </c>
      <c r="I270" s="13">
        <f>IF(F$5=0,0,F270/F$5)</f>
        <v>0.75</v>
      </c>
    </row>
    <row r="271" spans="1:9">
      <c r="A271" s="3" t="s">
        <v>1180</v>
      </c>
      <c r="B271" s="4"/>
      <c r="C271" s="4" t="s">
        <v>438</v>
      </c>
      <c r="D271" s="18">
        <v>51</v>
      </c>
      <c r="E271" s="18">
        <v>9</v>
      </c>
      <c r="F271" s="18">
        <v>11</v>
      </c>
      <c r="G271" s="13">
        <f>IF(D$5=0,0,D271/D$5)</f>
        <v>0.26424870466321199</v>
      </c>
      <c r="H271" s="13">
        <f>IF(E$5=0,0,E271/E$5)</f>
        <v>0.27272727272727298</v>
      </c>
      <c r="I271" s="13">
        <f>IF(F$5=0,0,F271/F$5)</f>
        <v>0.25</v>
      </c>
    </row>
    <row r="272" spans="1:9">
      <c r="A272" s="3" t="s">
        <v>1180</v>
      </c>
      <c r="B272" s="4" t="s">
        <v>671</v>
      </c>
      <c r="C272" s="4" t="s">
        <v>652</v>
      </c>
      <c r="D272" s="18">
        <v>0</v>
      </c>
      <c r="E272" s="18">
        <v>0</v>
      </c>
      <c r="F272" s="18">
        <v>0</v>
      </c>
      <c r="G272" s="13">
        <f>IF(D$5=0,0,D272/D$5)</f>
        <v>0</v>
      </c>
      <c r="H272" s="13">
        <f>IF(E$5=0,0,E272/E$5)</f>
        <v>0</v>
      </c>
      <c r="I272" s="13">
        <f>IF(F$5=0,0,F272/F$5)</f>
        <v>0</v>
      </c>
    </row>
    <row r="273" spans="1:9">
      <c r="A273" s="3" t="s">
        <v>1180</v>
      </c>
      <c r="B273" s="4"/>
      <c r="C273" s="4" t="s">
        <v>653</v>
      </c>
      <c r="D273" s="18">
        <v>141</v>
      </c>
      <c r="E273" s="18">
        <v>23</v>
      </c>
      <c r="F273" s="18">
        <v>33</v>
      </c>
      <c r="G273" s="13">
        <f>IF(D$5=0,0,D273/D$5)</f>
        <v>0.73056994818652898</v>
      </c>
      <c r="H273" s="13">
        <f>IF(E$5=0,0,E273/E$5)</f>
        <v>0.69696969696969702</v>
      </c>
      <c r="I273" s="13">
        <f>IF(F$5=0,0,F273/F$5)</f>
        <v>0.75</v>
      </c>
    </row>
    <row r="274" spans="1:9">
      <c r="A274" s="3" t="s">
        <v>1180</v>
      </c>
      <c r="B274" s="4"/>
      <c r="C274" s="4" t="s">
        <v>438</v>
      </c>
      <c r="D274" s="18">
        <v>52</v>
      </c>
      <c r="E274" s="18">
        <v>10</v>
      </c>
      <c r="F274" s="18">
        <v>11</v>
      </c>
      <c r="G274" s="13">
        <f>IF(D$5=0,0,D274/D$5)</f>
        <v>0.26943005181347202</v>
      </c>
      <c r="H274" s="13">
        <f>IF(E$5=0,0,E274/E$5)</f>
        <v>0.30303030303030298</v>
      </c>
      <c r="I274" s="13">
        <f>IF(F$5=0,0,F274/F$5)</f>
        <v>0.25</v>
      </c>
    </row>
    <row r="275" spans="1:9">
      <c r="A275" s="3" t="s">
        <v>1180</v>
      </c>
      <c r="B275" s="4" t="s">
        <v>672</v>
      </c>
      <c r="C275" s="4" t="s">
        <v>652</v>
      </c>
      <c r="D275" s="18">
        <v>5</v>
      </c>
      <c r="E275" s="18">
        <v>1</v>
      </c>
      <c r="F275" s="18">
        <v>1</v>
      </c>
      <c r="G275" s="13">
        <f>IF(D$5=0,0,D275/D$5)</f>
        <v>2.59067357512953E-2</v>
      </c>
      <c r="H275" s="13">
        <f>IF(E$5=0,0,E275/E$5)</f>
        <v>3.03030303030303E-2</v>
      </c>
      <c r="I275" s="13">
        <f>IF(F$5=0,0,F275/F$5)</f>
        <v>2.27272727272727E-2</v>
      </c>
    </row>
    <row r="276" spans="1:9">
      <c r="A276" s="3" t="s">
        <v>1180</v>
      </c>
      <c r="B276" s="4"/>
      <c r="C276" s="4" t="s">
        <v>653</v>
      </c>
      <c r="D276" s="18">
        <v>137</v>
      </c>
      <c r="E276" s="18">
        <v>23</v>
      </c>
      <c r="F276" s="18">
        <v>32</v>
      </c>
      <c r="G276" s="13">
        <f>IF(D$5=0,0,D276/D$5)</f>
        <v>0.70984455958549197</v>
      </c>
      <c r="H276" s="13">
        <f>IF(E$5=0,0,E276/E$5)</f>
        <v>0.69696969696969702</v>
      </c>
      <c r="I276" s="13">
        <f>IF(F$5=0,0,F276/F$5)</f>
        <v>0.72727272727272696</v>
      </c>
    </row>
    <row r="277" spans="1:9">
      <c r="A277" s="3" t="s">
        <v>1180</v>
      </c>
      <c r="B277" s="4"/>
      <c r="C277" s="4" t="s">
        <v>438</v>
      </c>
      <c r="D277" s="18">
        <v>51</v>
      </c>
      <c r="E277" s="18">
        <v>9</v>
      </c>
      <c r="F277" s="18">
        <v>11</v>
      </c>
      <c r="G277" s="13">
        <f>IF(D$5=0,0,D277/D$5)</f>
        <v>0.26424870466321199</v>
      </c>
      <c r="H277" s="13">
        <f>IF(E$5=0,0,E277/E$5)</f>
        <v>0.27272727272727298</v>
      </c>
      <c r="I277" s="13">
        <f>IF(F$5=0,0,F277/F$5)</f>
        <v>0.25</v>
      </c>
    </row>
    <row r="278" spans="1:9">
      <c r="A278" s="3" t="s">
        <v>1180</v>
      </c>
      <c r="B278" s="4" t="s">
        <v>673</v>
      </c>
      <c r="C278" s="4" t="s">
        <v>652</v>
      </c>
      <c r="D278" s="18">
        <v>18</v>
      </c>
      <c r="E278" s="18">
        <v>7</v>
      </c>
      <c r="F278" s="18">
        <v>4</v>
      </c>
      <c r="G278" s="13">
        <f>IF(D$5=0,0,D278/D$5)</f>
        <v>9.3264248704663197E-2</v>
      </c>
      <c r="H278" s="13">
        <f>IF(E$5=0,0,E278/E$5)</f>
        <v>0.21212121212121199</v>
      </c>
      <c r="I278" s="13">
        <f>IF(F$5=0,0,F278/F$5)</f>
        <v>9.0909090909090898E-2</v>
      </c>
    </row>
    <row r="279" spans="1:9">
      <c r="A279" s="3" t="s">
        <v>1180</v>
      </c>
      <c r="B279" s="4"/>
      <c r="C279" s="4" t="s">
        <v>653</v>
      </c>
      <c r="D279" s="18">
        <v>123</v>
      </c>
      <c r="E279" s="18">
        <v>16</v>
      </c>
      <c r="F279" s="18">
        <v>29</v>
      </c>
      <c r="G279" s="13">
        <f>IF(D$5=0,0,D279/D$5)</f>
        <v>0.637305699481865</v>
      </c>
      <c r="H279" s="13">
        <f>IF(E$5=0,0,E279/E$5)</f>
        <v>0.48484848484848497</v>
      </c>
      <c r="I279" s="13">
        <f>IF(F$5=0,0,F279/F$5)</f>
        <v>0.65909090909090895</v>
      </c>
    </row>
    <row r="280" spans="1:9">
      <c r="A280" s="3" t="s">
        <v>1180</v>
      </c>
      <c r="B280" s="4"/>
      <c r="C280" s="4" t="s">
        <v>438</v>
      </c>
      <c r="D280" s="18">
        <v>52</v>
      </c>
      <c r="E280" s="18">
        <v>10</v>
      </c>
      <c r="F280" s="18">
        <v>11</v>
      </c>
      <c r="G280" s="13">
        <f>IF(D$5=0,0,D280/D$5)</f>
        <v>0.26943005181347202</v>
      </c>
      <c r="H280" s="13">
        <f>IF(E$5=0,0,E280/E$5)</f>
        <v>0.30303030303030298</v>
      </c>
      <c r="I280" s="13">
        <f>IF(F$5=0,0,F280/F$5)</f>
        <v>0.25</v>
      </c>
    </row>
    <row r="281" spans="1:9">
      <c r="A281" s="3" t="s">
        <v>1180</v>
      </c>
      <c r="B281" s="4" t="s">
        <v>674</v>
      </c>
      <c r="C281" s="4" t="s">
        <v>652</v>
      </c>
      <c r="D281" s="18">
        <v>1</v>
      </c>
      <c r="E281" s="18">
        <v>0</v>
      </c>
      <c r="F281" s="18">
        <v>0</v>
      </c>
      <c r="G281" s="13">
        <f>IF(D$5=0,0,D281/D$5)</f>
        <v>5.1813471502590702E-3</v>
      </c>
      <c r="H281" s="13">
        <f>IF(E$5=0,0,E281/E$5)</f>
        <v>0</v>
      </c>
      <c r="I281" s="13">
        <f>IF(F$5=0,0,F281/F$5)</f>
        <v>0</v>
      </c>
    </row>
    <row r="282" spans="1:9">
      <c r="A282" s="3" t="s">
        <v>1180</v>
      </c>
      <c r="B282" s="4"/>
      <c r="C282" s="4" t="s">
        <v>653</v>
      </c>
      <c r="D282" s="18">
        <v>138</v>
      </c>
      <c r="E282" s="18">
        <v>24</v>
      </c>
      <c r="F282" s="18">
        <v>33</v>
      </c>
      <c r="G282" s="13">
        <f>IF(D$5=0,0,D282/D$5)</f>
        <v>0.71502590673575095</v>
      </c>
      <c r="H282" s="13">
        <f>IF(E$5=0,0,E282/E$5)</f>
        <v>0.72727272727272696</v>
      </c>
      <c r="I282" s="13">
        <f>IF(F$5=0,0,F282/F$5)</f>
        <v>0.75</v>
      </c>
    </row>
    <row r="283" spans="1:9">
      <c r="A283" s="3" t="s">
        <v>1180</v>
      </c>
      <c r="B283" s="4"/>
      <c r="C283" s="4" t="s">
        <v>438</v>
      </c>
      <c r="D283" s="18">
        <v>54</v>
      </c>
      <c r="E283" s="18">
        <v>9</v>
      </c>
      <c r="F283" s="18">
        <v>11</v>
      </c>
      <c r="G283" s="13">
        <f>IF(D$5=0,0,D283/D$5)</f>
        <v>0.27979274611399002</v>
      </c>
      <c r="H283" s="13">
        <f>IF(E$5=0,0,E283/E$5)</f>
        <v>0.27272727272727298</v>
      </c>
      <c r="I283" s="13">
        <f>IF(F$5=0,0,F283/F$5)</f>
        <v>0.25</v>
      </c>
    </row>
    <row r="284" spans="1:9">
      <c r="A284" s="3" t="s">
        <v>1180</v>
      </c>
      <c r="B284" s="4" t="s">
        <v>675</v>
      </c>
      <c r="C284" s="4" t="s">
        <v>652</v>
      </c>
      <c r="D284" s="18">
        <v>0</v>
      </c>
      <c r="E284" s="18">
        <v>0</v>
      </c>
      <c r="F284" s="18">
        <v>1</v>
      </c>
      <c r="G284" s="13">
        <f>IF(D$5=0,0,D284/D$5)</f>
        <v>0</v>
      </c>
      <c r="H284" s="13">
        <f>IF(E$5=0,0,E284/E$5)</f>
        <v>0</v>
      </c>
      <c r="I284" s="13">
        <f>IF(F$5=0,0,F284/F$5)</f>
        <v>2.27272727272727E-2</v>
      </c>
    </row>
    <row r="285" spans="1:9">
      <c r="A285" s="3" t="s">
        <v>1180</v>
      </c>
      <c r="B285" s="4"/>
      <c r="C285" s="4" t="s">
        <v>653</v>
      </c>
      <c r="D285" s="18">
        <v>140</v>
      </c>
      <c r="E285" s="18">
        <v>24</v>
      </c>
      <c r="F285" s="18">
        <v>32</v>
      </c>
      <c r="G285" s="13">
        <f>IF(D$5=0,0,D285/D$5)</f>
        <v>0.72538860103627001</v>
      </c>
      <c r="H285" s="13">
        <f>IF(E$5=0,0,E285/E$5)</f>
        <v>0.72727272727272696</v>
      </c>
      <c r="I285" s="13">
        <f>IF(F$5=0,0,F285/F$5)</f>
        <v>0.72727272727272696</v>
      </c>
    </row>
    <row r="286" spans="1:9">
      <c r="A286" s="3" t="s">
        <v>1180</v>
      </c>
      <c r="B286" s="4"/>
      <c r="C286" s="4" t="s">
        <v>438</v>
      </c>
      <c r="D286" s="18">
        <v>53</v>
      </c>
      <c r="E286" s="18">
        <v>9</v>
      </c>
      <c r="F286" s="18">
        <v>11</v>
      </c>
      <c r="G286" s="13">
        <f>IF(D$5=0,0,D286/D$5)</f>
        <v>0.27461139896373099</v>
      </c>
      <c r="H286" s="13">
        <f>IF(E$5=0,0,E286/E$5)</f>
        <v>0.27272727272727298</v>
      </c>
      <c r="I286" s="13">
        <f>IF(F$5=0,0,F286/F$5)</f>
        <v>0.25</v>
      </c>
    </row>
    <row r="287" spans="1:9">
      <c r="A287" s="3" t="s">
        <v>1180</v>
      </c>
      <c r="B287" s="4" t="s">
        <v>676</v>
      </c>
      <c r="C287" s="4" t="s">
        <v>652</v>
      </c>
      <c r="D287" s="18">
        <v>3</v>
      </c>
      <c r="E287" s="18">
        <v>7</v>
      </c>
      <c r="F287" s="18">
        <v>9</v>
      </c>
      <c r="G287" s="13">
        <f>IF(D$5=0,0,D287/D$5)</f>
        <v>1.55440414507772E-2</v>
      </c>
      <c r="H287" s="13">
        <f>IF(E$5=0,0,E287/E$5)</f>
        <v>0.21212121212121199</v>
      </c>
      <c r="I287" s="13">
        <f>IF(F$5=0,0,F287/F$5)</f>
        <v>0.204545454545455</v>
      </c>
    </row>
    <row r="288" spans="1:9">
      <c r="A288" s="3" t="s">
        <v>1180</v>
      </c>
      <c r="B288" s="4"/>
      <c r="C288" s="4" t="s">
        <v>653</v>
      </c>
      <c r="D288" s="18">
        <v>138</v>
      </c>
      <c r="E288" s="18">
        <v>18</v>
      </c>
      <c r="F288" s="18">
        <v>26</v>
      </c>
      <c r="G288" s="13">
        <f>IF(D$5=0,0,D288/D$5)</f>
        <v>0.71502590673575095</v>
      </c>
      <c r="H288" s="13">
        <f>IF(E$5=0,0,E288/E$5)</f>
        <v>0.54545454545454497</v>
      </c>
      <c r="I288" s="13">
        <f>IF(F$5=0,0,F288/F$5)</f>
        <v>0.59090909090909105</v>
      </c>
    </row>
    <row r="289" spans="1:9">
      <c r="A289" s="3" t="s">
        <v>1180</v>
      </c>
      <c r="B289" s="4"/>
      <c r="C289" s="4" t="s">
        <v>438</v>
      </c>
      <c r="D289" s="18">
        <v>52</v>
      </c>
      <c r="E289" s="18">
        <v>8</v>
      </c>
      <c r="F289" s="18">
        <v>9</v>
      </c>
      <c r="G289" s="13">
        <f>IF(D$5=0,0,D289/D$5)</f>
        <v>0.26943005181347202</v>
      </c>
      <c r="H289" s="13">
        <f>IF(E$5=0,0,E289/E$5)</f>
        <v>0.24242424242424199</v>
      </c>
      <c r="I289" s="13">
        <f>IF(F$5=0,0,F289/F$5)</f>
        <v>0.204545454545455</v>
      </c>
    </row>
    <row r="290" spans="1:9">
      <c r="A290" s="3" t="s">
        <v>1180</v>
      </c>
      <c r="B290" s="4" t="s">
        <v>677</v>
      </c>
      <c r="C290" s="4" t="s">
        <v>652</v>
      </c>
      <c r="D290" s="18">
        <v>2</v>
      </c>
      <c r="E290" s="18">
        <v>2</v>
      </c>
      <c r="F290" s="18">
        <v>3</v>
      </c>
      <c r="G290" s="13">
        <f>IF(D$5=0,0,D290/D$5)</f>
        <v>1.03626943005181E-2</v>
      </c>
      <c r="H290" s="13">
        <f>IF(E$5=0,0,E290/E$5)</f>
        <v>6.0606060606060601E-2</v>
      </c>
      <c r="I290" s="13">
        <f>IF(F$5=0,0,F290/F$5)</f>
        <v>6.8181818181818205E-2</v>
      </c>
    </row>
    <row r="291" spans="1:9">
      <c r="A291" s="3" t="s">
        <v>1180</v>
      </c>
      <c r="B291" s="4"/>
      <c r="C291" s="4" t="s">
        <v>653</v>
      </c>
      <c r="D291" s="18">
        <v>138</v>
      </c>
      <c r="E291" s="18">
        <v>23</v>
      </c>
      <c r="F291" s="18">
        <v>29</v>
      </c>
      <c r="G291" s="13">
        <f>IF(D$5=0,0,D291/D$5)</f>
        <v>0.71502590673575095</v>
      </c>
      <c r="H291" s="13">
        <f>IF(E$5=0,0,E291/E$5)</f>
        <v>0.69696969696969702</v>
      </c>
      <c r="I291" s="13">
        <f>IF(F$5=0,0,F291/F$5)</f>
        <v>0.65909090909090895</v>
      </c>
    </row>
    <row r="292" spans="1:9">
      <c r="A292" s="3" t="s">
        <v>1180</v>
      </c>
      <c r="B292" s="4"/>
      <c r="C292" s="4" t="s">
        <v>438</v>
      </c>
      <c r="D292" s="18">
        <v>53</v>
      </c>
      <c r="E292" s="18">
        <v>8</v>
      </c>
      <c r="F292" s="18">
        <v>12</v>
      </c>
      <c r="G292" s="13">
        <f>IF(D$5=0,0,D292/D$5)</f>
        <v>0.27461139896373099</v>
      </c>
      <c r="H292" s="13">
        <f>IF(E$5=0,0,E292/E$5)</f>
        <v>0.24242424242424199</v>
      </c>
      <c r="I292" s="13">
        <f>IF(F$5=0,0,F292/F$5)</f>
        <v>0.27272727272727298</v>
      </c>
    </row>
    <row r="293" spans="1:9">
      <c r="A293" s="3" t="s">
        <v>1180</v>
      </c>
      <c r="B293" s="4" t="s">
        <v>678</v>
      </c>
      <c r="C293" s="4" t="s">
        <v>652</v>
      </c>
      <c r="D293" s="18">
        <v>6</v>
      </c>
      <c r="E293" s="18">
        <v>0</v>
      </c>
      <c r="F293" s="18">
        <v>1</v>
      </c>
      <c r="G293" s="13">
        <f>IF(D$5=0,0,D293/D$5)</f>
        <v>3.10880829015544E-2</v>
      </c>
      <c r="H293" s="13">
        <f>IF(E$5=0,0,E293/E$5)</f>
        <v>0</v>
      </c>
      <c r="I293" s="13">
        <f>IF(F$5=0,0,F293/F$5)</f>
        <v>2.27272727272727E-2</v>
      </c>
    </row>
    <row r="294" spans="1:9">
      <c r="A294" s="3" t="s">
        <v>1180</v>
      </c>
      <c r="B294" s="4"/>
      <c r="C294" s="4" t="s">
        <v>653</v>
      </c>
      <c r="D294" s="18">
        <v>133</v>
      </c>
      <c r="E294" s="18">
        <v>23</v>
      </c>
      <c r="F294" s="18">
        <v>32</v>
      </c>
      <c r="G294" s="13">
        <f>IF(D$5=0,0,D294/D$5)</f>
        <v>0.68911917098445596</v>
      </c>
      <c r="H294" s="13">
        <f>IF(E$5=0,0,E294/E$5)</f>
        <v>0.69696969696969702</v>
      </c>
      <c r="I294" s="13">
        <f>IF(F$5=0,0,F294/F$5)</f>
        <v>0.72727272727272696</v>
      </c>
    </row>
    <row r="295" spans="1:9">
      <c r="A295" s="3" t="s">
        <v>1180</v>
      </c>
      <c r="B295" s="4"/>
      <c r="C295" s="4" t="s">
        <v>438</v>
      </c>
      <c r="D295" s="18">
        <v>54</v>
      </c>
      <c r="E295" s="18">
        <v>10</v>
      </c>
      <c r="F295" s="18">
        <v>11</v>
      </c>
      <c r="G295" s="13">
        <f>IF(D$5=0,0,D295/D$5)</f>
        <v>0.27979274611399002</v>
      </c>
      <c r="H295" s="13">
        <f>IF(E$5=0,0,E295/E$5)</f>
        <v>0.30303030303030298</v>
      </c>
      <c r="I295" s="13">
        <f>IF(F$5=0,0,F295/F$5)</f>
        <v>0.25</v>
      </c>
    </row>
    <row r="296" spans="1:9">
      <c r="A296" s="3" t="s">
        <v>1180</v>
      </c>
      <c r="B296" s="4" t="s">
        <v>679</v>
      </c>
      <c r="C296" s="4" t="s">
        <v>652</v>
      </c>
      <c r="D296" s="18">
        <v>5</v>
      </c>
      <c r="E296" s="18">
        <v>3</v>
      </c>
      <c r="F296" s="18">
        <v>2</v>
      </c>
      <c r="G296" s="13">
        <f>IF(D$5=0,0,D296/D$5)</f>
        <v>2.59067357512953E-2</v>
      </c>
      <c r="H296" s="13">
        <f>IF(E$5=0,0,E296/E$5)</f>
        <v>9.0909090909090898E-2</v>
      </c>
      <c r="I296" s="13">
        <f>IF(F$5=0,0,F296/F$5)</f>
        <v>4.5454545454545497E-2</v>
      </c>
    </row>
    <row r="297" spans="1:9">
      <c r="A297" s="3" t="s">
        <v>1180</v>
      </c>
      <c r="B297" s="4"/>
      <c r="C297" s="4" t="s">
        <v>653</v>
      </c>
      <c r="D297" s="18">
        <v>136</v>
      </c>
      <c r="E297" s="18">
        <v>21</v>
      </c>
      <c r="F297" s="18">
        <v>31</v>
      </c>
      <c r="G297" s="13">
        <f>IF(D$5=0,0,D297/D$5)</f>
        <v>0.704663212435233</v>
      </c>
      <c r="H297" s="13">
        <f>IF(E$5=0,0,E297/E$5)</f>
        <v>0.63636363636363602</v>
      </c>
      <c r="I297" s="13">
        <f>IF(F$5=0,0,F297/F$5)</f>
        <v>0.70454545454545503</v>
      </c>
    </row>
    <row r="298" spans="1:9">
      <c r="A298" s="3" t="s">
        <v>1180</v>
      </c>
      <c r="B298" s="4"/>
      <c r="C298" s="4" t="s">
        <v>438</v>
      </c>
      <c r="D298" s="18">
        <v>52</v>
      </c>
      <c r="E298" s="18">
        <v>9</v>
      </c>
      <c r="F298" s="18">
        <v>11</v>
      </c>
      <c r="G298" s="13">
        <f>IF(D$5=0,0,D298/D$5)</f>
        <v>0.26943005181347202</v>
      </c>
      <c r="H298" s="13">
        <f>IF(E$5=0,0,E298/E$5)</f>
        <v>0.27272727272727298</v>
      </c>
      <c r="I298" s="13">
        <f>IF(F$5=0,0,F298/F$5)</f>
        <v>0.25</v>
      </c>
    </row>
    <row r="299" spans="1:9">
      <c r="A299" s="3" t="s">
        <v>1180</v>
      </c>
      <c r="B299" s="4" t="s">
        <v>680</v>
      </c>
      <c r="C299" s="4" t="s">
        <v>652</v>
      </c>
      <c r="D299" s="18">
        <v>9</v>
      </c>
      <c r="E299" s="18">
        <v>6</v>
      </c>
      <c r="F299" s="18">
        <v>3</v>
      </c>
      <c r="G299" s="13">
        <f>IF(D$5=0,0,D299/D$5)</f>
        <v>4.6632124352331598E-2</v>
      </c>
      <c r="H299" s="13">
        <f>IF(E$5=0,0,E299/E$5)</f>
        <v>0.18181818181818199</v>
      </c>
      <c r="I299" s="13">
        <f>IF(F$5=0,0,F299/F$5)</f>
        <v>6.8181818181818205E-2</v>
      </c>
    </row>
    <row r="300" spans="1:9">
      <c r="A300" s="3" t="s">
        <v>1180</v>
      </c>
      <c r="B300" s="4"/>
      <c r="C300" s="4" t="s">
        <v>653</v>
      </c>
      <c r="D300" s="18">
        <v>131</v>
      </c>
      <c r="E300" s="18">
        <v>18</v>
      </c>
      <c r="F300" s="18">
        <v>30</v>
      </c>
      <c r="G300" s="13">
        <f>IF(D$5=0,0,D300/D$5)</f>
        <v>0.67875647668393801</v>
      </c>
      <c r="H300" s="13">
        <f>IF(E$5=0,0,E300/E$5)</f>
        <v>0.54545454545454497</v>
      </c>
      <c r="I300" s="13">
        <f>IF(F$5=0,0,F300/F$5)</f>
        <v>0.68181818181818199</v>
      </c>
    </row>
    <row r="301" spans="1:9">
      <c r="A301" s="3" t="s">
        <v>1180</v>
      </c>
      <c r="B301" s="4"/>
      <c r="C301" s="4" t="s">
        <v>438</v>
      </c>
      <c r="D301" s="18">
        <v>53</v>
      </c>
      <c r="E301" s="18">
        <v>9</v>
      </c>
      <c r="F301" s="18">
        <v>11</v>
      </c>
      <c r="G301" s="13">
        <f>IF(D$5=0,0,D301/D$5)</f>
        <v>0.27461139896373099</v>
      </c>
      <c r="H301" s="13">
        <f>IF(E$5=0,0,E301/E$5)</f>
        <v>0.27272727272727298</v>
      </c>
      <c r="I301" s="13">
        <f>IF(F$5=0,0,F301/F$5)</f>
        <v>0.25</v>
      </c>
    </row>
    <row r="302" spans="1:9">
      <c r="A302" s="3" t="s">
        <v>1180</v>
      </c>
      <c r="B302" s="4" t="s">
        <v>681</v>
      </c>
      <c r="C302" s="4" t="s">
        <v>652</v>
      </c>
      <c r="D302" s="18">
        <v>21</v>
      </c>
      <c r="E302" s="18">
        <v>10</v>
      </c>
      <c r="F302" s="18">
        <v>9</v>
      </c>
      <c r="G302" s="13">
        <f>IF(D$5=0,0,D302/D$5)</f>
        <v>0.10880829015544</v>
      </c>
      <c r="H302" s="13">
        <f>IF(E$5=0,0,E302/E$5)</f>
        <v>0.30303030303030298</v>
      </c>
      <c r="I302" s="13">
        <f>IF(F$5=0,0,F302/F$5)</f>
        <v>0.204545454545455</v>
      </c>
    </row>
    <row r="303" spans="1:9">
      <c r="A303" s="3" t="s">
        <v>1180</v>
      </c>
      <c r="B303" s="4"/>
      <c r="C303" s="4" t="s">
        <v>653</v>
      </c>
      <c r="D303" s="18">
        <v>121</v>
      </c>
      <c r="E303" s="18">
        <v>15</v>
      </c>
      <c r="F303" s="18">
        <v>25</v>
      </c>
      <c r="G303" s="13">
        <f>IF(D$5=0,0,D303/D$5)</f>
        <v>0.62694300518134705</v>
      </c>
      <c r="H303" s="13">
        <f>IF(E$5=0,0,E303/E$5)</f>
        <v>0.45454545454545497</v>
      </c>
      <c r="I303" s="13">
        <f>IF(F$5=0,0,F303/F$5)</f>
        <v>0.56818181818181801</v>
      </c>
    </row>
    <row r="304" spans="1:9">
      <c r="A304" s="3" t="s">
        <v>1180</v>
      </c>
      <c r="B304" s="4"/>
      <c r="C304" s="4" t="s">
        <v>438</v>
      </c>
      <c r="D304" s="18">
        <v>51</v>
      </c>
      <c r="E304" s="18">
        <v>8</v>
      </c>
      <c r="F304" s="18">
        <v>10</v>
      </c>
      <c r="G304" s="13">
        <f>IF(D$5=0,0,D304/D$5)</f>
        <v>0.26424870466321199</v>
      </c>
      <c r="H304" s="13">
        <f>IF(E$5=0,0,E304/E$5)</f>
        <v>0.24242424242424199</v>
      </c>
      <c r="I304" s="13">
        <f>IF(F$5=0,0,F304/F$5)</f>
        <v>0.22727272727272699</v>
      </c>
    </row>
    <row r="305" spans="1:9">
      <c r="A305" s="3" t="s">
        <v>1180</v>
      </c>
      <c r="B305" s="4" t="s">
        <v>682</v>
      </c>
      <c r="C305" s="4" t="s">
        <v>652</v>
      </c>
      <c r="D305" s="18">
        <v>0</v>
      </c>
      <c r="E305" s="18">
        <v>1</v>
      </c>
      <c r="F305" s="18">
        <v>1</v>
      </c>
      <c r="G305" s="13">
        <f>IF(D$5=0,0,D305/D$5)</f>
        <v>0</v>
      </c>
      <c r="H305" s="13">
        <f>IF(E$5=0,0,E305/E$5)</f>
        <v>3.03030303030303E-2</v>
      </c>
      <c r="I305" s="13">
        <f>IF(F$5=0,0,F305/F$5)</f>
        <v>2.27272727272727E-2</v>
      </c>
    </row>
    <row r="306" spans="1:9">
      <c r="A306" s="3" t="s">
        <v>1180</v>
      </c>
      <c r="B306" s="4"/>
      <c r="C306" s="4" t="s">
        <v>653</v>
      </c>
      <c r="D306" s="18">
        <v>138</v>
      </c>
      <c r="E306" s="18">
        <v>21</v>
      </c>
      <c r="F306" s="18">
        <v>31</v>
      </c>
      <c r="G306" s="13">
        <f>IF(D$5=0,0,D306/D$5)</f>
        <v>0.71502590673575095</v>
      </c>
      <c r="H306" s="13">
        <f>IF(E$5=0,0,E306/E$5)</f>
        <v>0.63636363636363602</v>
      </c>
      <c r="I306" s="13">
        <f>IF(F$5=0,0,F306/F$5)</f>
        <v>0.70454545454545503</v>
      </c>
    </row>
    <row r="307" spans="1:9">
      <c r="A307" s="3" t="s">
        <v>1180</v>
      </c>
      <c r="B307" s="4"/>
      <c r="C307" s="4" t="s">
        <v>438</v>
      </c>
      <c r="D307" s="18">
        <v>55</v>
      </c>
      <c r="E307" s="18">
        <v>11</v>
      </c>
      <c r="F307" s="18">
        <v>12</v>
      </c>
      <c r="G307" s="13">
        <f>IF(D$5=0,0,D307/D$5)</f>
        <v>0.284974093264249</v>
      </c>
      <c r="H307" s="13">
        <f>IF(E$5=0,0,E307/E$5)</f>
        <v>0.33333333333333298</v>
      </c>
      <c r="I307" s="13">
        <f>IF(F$5=0,0,F307/F$5)</f>
        <v>0.27272727272727298</v>
      </c>
    </row>
    <row r="308" spans="1:9">
      <c r="A308" s="3" t="s">
        <v>1181</v>
      </c>
      <c r="B308" s="4" t="s">
        <v>668</v>
      </c>
      <c r="C308" s="4" t="s">
        <v>1182</v>
      </c>
      <c r="D308" s="18">
        <v>66</v>
      </c>
      <c r="E308" s="18">
        <v>6</v>
      </c>
      <c r="F308" s="18">
        <v>6</v>
      </c>
      <c r="G308" s="13">
        <f>IF(D$5=0,0,D308/D$5)</f>
        <v>0.341968911917098</v>
      </c>
      <c r="H308" s="13">
        <f>IF(E$5=0,0,E308/E$5)</f>
        <v>0.18181818181818199</v>
      </c>
      <c r="I308" s="13">
        <f>IF(F$5=0,0,F308/F$5)</f>
        <v>0.13636363636363599</v>
      </c>
    </row>
    <row r="309" spans="1:9">
      <c r="A309" s="3" t="s">
        <v>1181</v>
      </c>
      <c r="B309" s="4"/>
      <c r="C309" s="4" t="s">
        <v>1183</v>
      </c>
      <c r="D309" s="18">
        <v>70</v>
      </c>
      <c r="E309" s="18">
        <v>17</v>
      </c>
      <c r="F309" s="18">
        <v>27</v>
      </c>
      <c r="G309" s="13">
        <f>IF(D$5=0,0,D309/D$5)</f>
        <v>0.362694300518135</v>
      </c>
      <c r="H309" s="13">
        <f>IF(E$5=0,0,E309/E$5)</f>
        <v>0.51515151515151503</v>
      </c>
      <c r="I309" s="13">
        <f>IF(F$5=0,0,F309/F$5)</f>
        <v>0.61363636363636398</v>
      </c>
    </row>
    <row r="310" spans="1:9">
      <c r="A310" s="3" t="s">
        <v>1181</v>
      </c>
      <c r="B310" s="4"/>
      <c r="C310" s="4" t="s">
        <v>438</v>
      </c>
      <c r="D310" s="18">
        <v>57</v>
      </c>
      <c r="E310" s="18">
        <v>10</v>
      </c>
      <c r="F310" s="18">
        <v>11</v>
      </c>
      <c r="G310" s="13">
        <f>IF(D$5=0,0,D310/D$5)</f>
        <v>0.295336787564767</v>
      </c>
      <c r="H310" s="13">
        <f>IF(E$5=0,0,E310/E$5)</f>
        <v>0.30303030303030298</v>
      </c>
      <c r="I310" s="13">
        <f>IF(F$5=0,0,F310/F$5)</f>
        <v>0.25</v>
      </c>
    </row>
    <row r="311" spans="1:9">
      <c r="A311" s="3" t="s">
        <v>1181</v>
      </c>
      <c r="B311" s="4" t="s">
        <v>669</v>
      </c>
      <c r="C311" s="4" t="s">
        <v>1182</v>
      </c>
      <c r="D311" s="18">
        <v>34</v>
      </c>
      <c r="E311" s="18">
        <v>3</v>
      </c>
      <c r="F311" s="18">
        <v>3</v>
      </c>
      <c r="G311" s="13">
        <f>IF(D$5=0,0,D311/D$5)</f>
        <v>0.176165803108808</v>
      </c>
      <c r="H311" s="13">
        <f>IF(E$5=0,0,E311/E$5)</f>
        <v>9.0909090909090898E-2</v>
      </c>
      <c r="I311" s="13">
        <f>IF(F$5=0,0,F311/F$5)</f>
        <v>6.8181818181818205E-2</v>
      </c>
    </row>
    <row r="312" spans="1:9">
      <c r="A312" s="3" t="s">
        <v>1181</v>
      </c>
      <c r="B312" s="4"/>
      <c r="C312" s="4" t="s">
        <v>1183</v>
      </c>
      <c r="D312" s="18">
        <v>91</v>
      </c>
      <c r="E312" s="18">
        <v>19</v>
      </c>
      <c r="F312" s="18">
        <v>29</v>
      </c>
      <c r="G312" s="13">
        <f>IF(D$5=0,0,D312/D$5)</f>
        <v>0.47150259067357497</v>
      </c>
      <c r="H312" s="13">
        <f>IF(E$5=0,0,E312/E$5)</f>
        <v>0.57575757575757602</v>
      </c>
      <c r="I312" s="13">
        <f>IF(F$5=0,0,F312/F$5)</f>
        <v>0.65909090909090895</v>
      </c>
    </row>
    <row r="313" spans="1:9">
      <c r="A313" s="3" t="s">
        <v>1181</v>
      </c>
      <c r="B313" s="4"/>
      <c r="C313" s="4" t="s">
        <v>438</v>
      </c>
      <c r="D313" s="18">
        <v>68</v>
      </c>
      <c r="E313" s="18">
        <v>11</v>
      </c>
      <c r="F313" s="18">
        <v>12</v>
      </c>
      <c r="G313" s="13">
        <f>IF(D$5=0,0,D313/D$5)</f>
        <v>0.352331606217617</v>
      </c>
      <c r="H313" s="13">
        <f>IF(E$5=0,0,E313/E$5)</f>
        <v>0.33333333333333298</v>
      </c>
      <c r="I313" s="13">
        <f>IF(F$5=0,0,F313/F$5)</f>
        <v>0.27272727272727298</v>
      </c>
    </row>
    <row r="314" spans="1:9">
      <c r="A314" s="3" t="s">
        <v>1181</v>
      </c>
      <c r="B314" s="4" t="s">
        <v>670</v>
      </c>
      <c r="C314" s="4" t="s">
        <v>1182</v>
      </c>
      <c r="D314" s="18">
        <v>15</v>
      </c>
      <c r="E314" s="18">
        <v>3</v>
      </c>
      <c r="F314" s="18">
        <v>3</v>
      </c>
      <c r="G314" s="13">
        <f>IF(D$5=0,0,D314/D$5)</f>
        <v>7.7720207253885995E-2</v>
      </c>
      <c r="H314" s="13">
        <f>IF(E$5=0,0,E314/E$5)</f>
        <v>9.0909090909090898E-2</v>
      </c>
      <c r="I314" s="13">
        <f>IF(F$5=0,0,F314/F$5)</f>
        <v>6.8181818181818205E-2</v>
      </c>
    </row>
    <row r="315" spans="1:9">
      <c r="A315" s="3" t="s">
        <v>1181</v>
      </c>
      <c r="B315" s="4"/>
      <c r="C315" s="4" t="s">
        <v>1183</v>
      </c>
      <c r="D315" s="18">
        <v>110</v>
      </c>
      <c r="E315" s="18">
        <v>18</v>
      </c>
      <c r="F315" s="18">
        <v>29</v>
      </c>
      <c r="G315" s="13">
        <f>IF(D$5=0,0,D315/D$5)</f>
        <v>0.56994818652849699</v>
      </c>
      <c r="H315" s="13">
        <f>IF(E$5=0,0,E315/E$5)</f>
        <v>0.54545454545454497</v>
      </c>
      <c r="I315" s="13">
        <f>IF(F$5=0,0,F315/F$5)</f>
        <v>0.65909090909090895</v>
      </c>
    </row>
    <row r="316" spans="1:9">
      <c r="A316" s="3" t="s">
        <v>1181</v>
      </c>
      <c r="B316" s="4"/>
      <c r="C316" s="4" t="s">
        <v>438</v>
      </c>
      <c r="D316" s="18">
        <v>68</v>
      </c>
      <c r="E316" s="18">
        <v>12</v>
      </c>
      <c r="F316" s="18">
        <v>12</v>
      </c>
      <c r="G316" s="13">
        <f>IF(D$5=0,0,D316/D$5)</f>
        <v>0.352331606217617</v>
      </c>
      <c r="H316" s="13">
        <f>IF(E$5=0,0,E316/E$5)</f>
        <v>0.36363636363636398</v>
      </c>
      <c r="I316" s="13">
        <f>IF(F$5=0,0,F316/F$5)</f>
        <v>0.27272727272727298</v>
      </c>
    </row>
    <row r="317" spans="1:9">
      <c r="A317" s="3" t="s">
        <v>1181</v>
      </c>
      <c r="B317" s="4" t="s">
        <v>671</v>
      </c>
      <c r="C317" s="4" t="s">
        <v>1182</v>
      </c>
      <c r="D317" s="18">
        <v>18</v>
      </c>
      <c r="E317" s="18">
        <v>6</v>
      </c>
      <c r="F317" s="18">
        <v>7</v>
      </c>
      <c r="G317" s="13">
        <f>IF(D$5=0,0,D317/D$5)</f>
        <v>9.3264248704663197E-2</v>
      </c>
      <c r="H317" s="13">
        <f>IF(E$5=0,0,E317/E$5)</f>
        <v>0.18181818181818199</v>
      </c>
      <c r="I317" s="13">
        <f>IF(F$5=0,0,F317/F$5)</f>
        <v>0.15909090909090901</v>
      </c>
    </row>
    <row r="318" spans="1:9">
      <c r="A318" s="3" t="s">
        <v>1181</v>
      </c>
      <c r="B318" s="4"/>
      <c r="C318" s="4" t="s">
        <v>1183</v>
      </c>
      <c r="D318" s="18">
        <v>109</v>
      </c>
      <c r="E318" s="18">
        <v>16</v>
      </c>
      <c r="F318" s="18">
        <v>25</v>
      </c>
      <c r="G318" s="13">
        <f>IF(D$5=0,0,D318/D$5)</f>
        <v>0.56476683937823802</v>
      </c>
      <c r="H318" s="13">
        <f>IF(E$5=0,0,E318/E$5)</f>
        <v>0.48484848484848497</v>
      </c>
      <c r="I318" s="13">
        <f>IF(F$5=0,0,F318/F$5)</f>
        <v>0.56818181818181801</v>
      </c>
    </row>
    <row r="319" spans="1:9">
      <c r="A319" s="3" t="s">
        <v>1181</v>
      </c>
      <c r="B319" s="4"/>
      <c r="C319" s="4" t="s">
        <v>438</v>
      </c>
      <c r="D319" s="18">
        <v>66</v>
      </c>
      <c r="E319" s="18">
        <v>11</v>
      </c>
      <c r="F319" s="18">
        <v>12</v>
      </c>
      <c r="G319" s="13">
        <f>IF(D$5=0,0,D319/D$5)</f>
        <v>0.341968911917098</v>
      </c>
      <c r="H319" s="13">
        <f>IF(E$5=0,0,E319/E$5)</f>
        <v>0.33333333333333298</v>
      </c>
      <c r="I319" s="13">
        <f>IF(F$5=0,0,F319/F$5)</f>
        <v>0.27272727272727298</v>
      </c>
    </row>
    <row r="320" spans="1:9">
      <c r="A320" s="3" t="s">
        <v>1181</v>
      </c>
      <c r="B320" s="4" t="s">
        <v>672</v>
      </c>
      <c r="C320" s="4" t="s">
        <v>1182</v>
      </c>
      <c r="D320" s="18">
        <v>32</v>
      </c>
      <c r="E320" s="18">
        <v>3</v>
      </c>
      <c r="F320" s="18">
        <v>2</v>
      </c>
      <c r="G320" s="13">
        <f>IF(D$5=0,0,D320/D$5)</f>
        <v>0.16580310880829</v>
      </c>
      <c r="H320" s="13">
        <f>IF(E$5=0,0,E320/E$5)</f>
        <v>9.0909090909090898E-2</v>
      </c>
      <c r="I320" s="13">
        <f>IF(F$5=0,0,F320/F$5)</f>
        <v>4.5454545454545497E-2</v>
      </c>
    </row>
    <row r="321" spans="1:9">
      <c r="A321" s="3" t="s">
        <v>1181</v>
      </c>
      <c r="B321" s="4"/>
      <c r="C321" s="4" t="s">
        <v>1183</v>
      </c>
      <c r="D321" s="18">
        <v>91</v>
      </c>
      <c r="E321" s="18">
        <v>18</v>
      </c>
      <c r="F321" s="18">
        <v>30</v>
      </c>
      <c r="G321" s="13">
        <f>IF(D$5=0,0,D321/D$5)</f>
        <v>0.47150259067357497</v>
      </c>
      <c r="H321" s="13">
        <f>IF(E$5=0,0,E321/E$5)</f>
        <v>0.54545454545454497</v>
      </c>
      <c r="I321" s="13">
        <f>IF(F$5=0,0,F321/F$5)</f>
        <v>0.68181818181818199</v>
      </c>
    </row>
    <row r="322" spans="1:9">
      <c r="A322" s="3" t="s">
        <v>1181</v>
      </c>
      <c r="B322" s="4"/>
      <c r="C322" s="4" t="s">
        <v>438</v>
      </c>
      <c r="D322" s="18">
        <v>70</v>
      </c>
      <c r="E322" s="18">
        <v>12</v>
      </c>
      <c r="F322" s="18">
        <v>12</v>
      </c>
      <c r="G322" s="13">
        <f>IF(D$5=0,0,D322/D$5)</f>
        <v>0.362694300518135</v>
      </c>
      <c r="H322" s="13">
        <f>IF(E$5=0,0,E322/E$5)</f>
        <v>0.36363636363636398</v>
      </c>
      <c r="I322" s="13">
        <f>IF(F$5=0,0,F322/F$5)</f>
        <v>0.27272727272727298</v>
      </c>
    </row>
    <row r="323" spans="1:9">
      <c r="A323" s="3" t="s">
        <v>1181</v>
      </c>
      <c r="B323" s="4" t="s">
        <v>673</v>
      </c>
      <c r="C323" s="4" t="s">
        <v>1182</v>
      </c>
      <c r="D323" s="18">
        <v>57</v>
      </c>
      <c r="E323" s="18">
        <v>9</v>
      </c>
      <c r="F323" s="18">
        <v>5</v>
      </c>
      <c r="G323" s="13">
        <f>IF(D$5=0,0,D323/D$5)</f>
        <v>0.295336787564767</v>
      </c>
      <c r="H323" s="13">
        <f>IF(E$5=0,0,E323/E$5)</f>
        <v>0.27272727272727298</v>
      </c>
      <c r="I323" s="13">
        <f>IF(F$5=0,0,F323/F$5)</f>
        <v>0.11363636363636399</v>
      </c>
    </row>
    <row r="324" spans="1:9">
      <c r="A324" s="3" t="s">
        <v>1181</v>
      </c>
      <c r="B324" s="4"/>
      <c r="C324" s="4" t="s">
        <v>1183</v>
      </c>
      <c r="D324" s="18">
        <v>69</v>
      </c>
      <c r="E324" s="18">
        <v>13</v>
      </c>
      <c r="F324" s="18">
        <v>26</v>
      </c>
      <c r="G324" s="13">
        <f>IF(D$5=0,0,D324/D$5)</f>
        <v>0.35751295336787597</v>
      </c>
      <c r="H324" s="13">
        <f>IF(E$5=0,0,E324/E$5)</f>
        <v>0.39393939393939398</v>
      </c>
      <c r="I324" s="13">
        <f>IF(F$5=0,0,F324/F$5)</f>
        <v>0.59090909090909105</v>
      </c>
    </row>
    <row r="325" spans="1:9">
      <c r="A325" s="3" t="s">
        <v>1181</v>
      </c>
      <c r="B325" s="4"/>
      <c r="C325" s="4" t="s">
        <v>438</v>
      </c>
      <c r="D325" s="18">
        <v>67</v>
      </c>
      <c r="E325" s="18">
        <v>11</v>
      </c>
      <c r="F325" s="18">
        <v>13</v>
      </c>
      <c r="G325" s="13">
        <f>IF(D$5=0,0,D325/D$5)</f>
        <v>0.34715025906735802</v>
      </c>
      <c r="H325" s="13">
        <f>IF(E$5=0,0,E325/E$5)</f>
        <v>0.33333333333333298</v>
      </c>
      <c r="I325" s="13">
        <f>IF(F$5=0,0,F325/F$5)</f>
        <v>0.29545454545454503</v>
      </c>
    </row>
    <row r="326" spans="1:9">
      <c r="A326" s="3" t="s">
        <v>1181</v>
      </c>
      <c r="B326" s="4" t="s">
        <v>674</v>
      </c>
      <c r="C326" s="4" t="s">
        <v>1182</v>
      </c>
      <c r="D326" s="18">
        <v>14</v>
      </c>
      <c r="E326" s="18">
        <v>4</v>
      </c>
      <c r="F326" s="18">
        <v>4</v>
      </c>
      <c r="G326" s="13">
        <f>IF(D$5=0,0,D326/D$5)</f>
        <v>7.2538860103626895E-2</v>
      </c>
      <c r="H326" s="13">
        <f>IF(E$5=0,0,E326/E$5)</f>
        <v>0.12121212121212099</v>
      </c>
      <c r="I326" s="13">
        <f>IF(F$5=0,0,F326/F$5)</f>
        <v>9.0909090909090898E-2</v>
      </c>
    </row>
    <row r="327" spans="1:9">
      <c r="A327" s="3" t="s">
        <v>1181</v>
      </c>
      <c r="B327" s="4"/>
      <c r="C327" s="4" t="s">
        <v>1183</v>
      </c>
      <c r="D327" s="18">
        <v>108</v>
      </c>
      <c r="E327" s="18">
        <v>17</v>
      </c>
      <c r="F327" s="18">
        <v>28</v>
      </c>
      <c r="G327" s="13">
        <f>IF(D$5=0,0,D327/D$5)</f>
        <v>0.55958549222797904</v>
      </c>
      <c r="H327" s="13">
        <f>IF(E$5=0,0,E327/E$5)</f>
        <v>0.51515151515151503</v>
      </c>
      <c r="I327" s="13">
        <f>IF(F$5=0,0,F327/F$5)</f>
        <v>0.63636363636363602</v>
      </c>
    </row>
    <row r="328" spans="1:9">
      <c r="A328" s="3" t="s">
        <v>1181</v>
      </c>
      <c r="B328" s="4"/>
      <c r="C328" s="4" t="s">
        <v>438</v>
      </c>
      <c r="D328" s="18">
        <v>71</v>
      </c>
      <c r="E328" s="18">
        <v>12</v>
      </c>
      <c r="F328" s="18">
        <v>12</v>
      </c>
      <c r="G328" s="13">
        <f>IF(D$5=0,0,D328/D$5)</f>
        <v>0.36787564766839398</v>
      </c>
      <c r="H328" s="13">
        <f>IF(E$5=0,0,E328/E$5)</f>
        <v>0.36363636363636398</v>
      </c>
      <c r="I328" s="13">
        <f>IF(F$5=0,0,F328/F$5)</f>
        <v>0.27272727272727298</v>
      </c>
    </row>
    <row r="329" spans="1:9">
      <c r="A329" s="3" t="s">
        <v>1181</v>
      </c>
      <c r="B329" s="4" t="s">
        <v>675</v>
      </c>
      <c r="C329" s="4" t="s">
        <v>1182</v>
      </c>
      <c r="D329" s="18">
        <v>9</v>
      </c>
      <c r="E329" s="18">
        <v>5</v>
      </c>
      <c r="F329" s="18">
        <v>11</v>
      </c>
      <c r="G329" s="13">
        <f>IF(D$5=0,0,D329/D$5)</f>
        <v>4.6632124352331598E-2</v>
      </c>
      <c r="H329" s="13">
        <f>IF(E$5=0,0,E329/E$5)</f>
        <v>0.15151515151515199</v>
      </c>
      <c r="I329" s="13">
        <f>IF(F$5=0,0,F329/F$5)</f>
        <v>0.25</v>
      </c>
    </row>
    <row r="330" spans="1:9">
      <c r="A330" s="3" t="s">
        <v>1181</v>
      </c>
      <c r="B330" s="4"/>
      <c r="C330" s="4" t="s">
        <v>1183</v>
      </c>
      <c r="D330" s="18">
        <v>115</v>
      </c>
      <c r="E330" s="18">
        <v>16</v>
      </c>
      <c r="F330" s="18">
        <v>21</v>
      </c>
      <c r="G330" s="13">
        <f>IF(D$5=0,0,D330/D$5)</f>
        <v>0.59585492227979298</v>
      </c>
      <c r="H330" s="13">
        <f>IF(E$5=0,0,E330/E$5)</f>
        <v>0.48484848484848497</v>
      </c>
      <c r="I330" s="13">
        <f>IF(F$5=0,0,F330/F$5)</f>
        <v>0.47727272727272702</v>
      </c>
    </row>
    <row r="331" spans="1:9">
      <c r="A331" s="3" t="s">
        <v>1181</v>
      </c>
      <c r="B331" s="4"/>
      <c r="C331" s="4" t="s">
        <v>438</v>
      </c>
      <c r="D331" s="18">
        <v>69</v>
      </c>
      <c r="E331" s="18">
        <v>12</v>
      </c>
      <c r="F331" s="18">
        <v>12</v>
      </c>
      <c r="G331" s="13">
        <f>IF(D$5=0,0,D331/D$5)</f>
        <v>0.35751295336787597</v>
      </c>
      <c r="H331" s="13">
        <f>IF(E$5=0,0,E331/E$5)</f>
        <v>0.36363636363636398</v>
      </c>
      <c r="I331" s="13">
        <f>IF(F$5=0,0,F331/F$5)</f>
        <v>0.27272727272727298</v>
      </c>
    </row>
    <row r="332" spans="1:9">
      <c r="A332" s="3" t="s">
        <v>1181</v>
      </c>
      <c r="B332" s="4" t="s">
        <v>676</v>
      </c>
      <c r="C332" s="4" t="s">
        <v>1182</v>
      </c>
      <c r="D332" s="18">
        <v>9</v>
      </c>
      <c r="E332" s="18">
        <v>5</v>
      </c>
      <c r="F332" s="18">
        <v>13</v>
      </c>
      <c r="G332" s="13">
        <f>IF(D$5=0,0,D332/D$5)</f>
        <v>4.6632124352331598E-2</v>
      </c>
      <c r="H332" s="13">
        <f>IF(E$5=0,0,E332/E$5)</f>
        <v>0.15151515151515199</v>
      </c>
      <c r="I332" s="13">
        <f>IF(F$5=0,0,F332/F$5)</f>
        <v>0.29545454545454503</v>
      </c>
    </row>
    <row r="333" spans="1:9">
      <c r="A333" s="3" t="s">
        <v>1181</v>
      </c>
      <c r="B333" s="4"/>
      <c r="C333" s="4" t="s">
        <v>1183</v>
      </c>
      <c r="D333" s="18">
        <v>116</v>
      </c>
      <c r="E333" s="18">
        <v>16</v>
      </c>
      <c r="F333" s="18">
        <v>19</v>
      </c>
      <c r="G333" s="13">
        <f>IF(D$5=0,0,D333/D$5)</f>
        <v>0.60103626943005195</v>
      </c>
      <c r="H333" s="13">
        <f>IF(E$5=0,0,E333/E$5)</f>
        <v>0.48484848484848497</v>
      </c>
      <c r="I333" s="13">
        <f>IF(F$5=0,0,F333/F$5)</f>
        <v>0.43181818181818199</v>
      </c>
    </row>
    <row r="334" spans="1:9">
      <c r="A334" s="3" t="s">
        <v>1181</v>
      </c>
      <c r="B334" s="4"/>
      <c r="C334" s="4" t="s">
        <v>438</v>
      </c>
      <c r="D334" s="18">
        <v>68</v>
      </c>
      <c r="E334" s="18">
        <v>12</v>
      </c>
      <c r="F334" s="18">
        <v>12</v>
      </c>
      <c r="G334" s="13">
        <f>IF(D$5=0,0,D334/D$5)</f>
        <v>0.352331606217617</v>
      </c>
      <c r="H334" s="13">
        <f>IF(E$5=0,0,E334/E$5)</f>
        <v>0.36363636363636398</v>
      </c>
      <c r="I334" s="13">
        <f>IF(F$5=0,0,F334/F$5)</f>
        <v>0.27272727272727298</v>
      </c>
    </row>
    <row r="335" spans="1:9">
      <c r="A335" s="3" t="s">
        <v>1181</v>
      </c>
      <c r="B335" s="4" t="s">
        <v>677</v>
      </c>
      <c r="C335" s="4" t="s">
        <v>1182</v>
      </c>
      <c r="D335" s="18">
        <v>23</v>
      </c>
      <c r="E335" s="18">
        <v>3</v>
      </c>
      <c r="F335" s="18">
        <v>2</v>
      </c>
      <c r="G335" s="13">
        <f>IF(D$5=0,0,D335/D$5)</f>
        <v>0.119170984455959</v>
      </c>
      <c r="H335" s="13">
        <f>IF(E$5=0,0,E335/E$5)</f>
        <v>9.0909090909090898E-2</v>
      </c>
      <c r="I335" s="13">
        <f>IF(F$5=0,0,F335/F$5)</f>
        <v>4.5454545454545497E-2</v>
      </c>
    </row>
    <row r="336" spans="1:9">
      <c r="A336" s="3" t="s">
        <v>1181</v>
      </c>
      <c r="B336" s="4"/>
      <c r="C336" s="4" t="s">
        <v>1183</v>
      </c>
      <c r="D336" s="18">
        <v>102</v>
      </c>
      <c r="E336" s="18">
        <v>17</v>
      </c>
      <c r="F336" s="18">
        <v>29</v>
      </c>
      <c r="G336" s="13">
        <f>IF(D$5=0,0,D336/D$5)</f>
        <v>0.52849740932642497</v>
      </c>
      <c r="H336" s="13">
        <f>IF(E$5=0,0,E336/E$5)</f>
        <v>0.51515151515151503</v>
      </c>
      <c r="I336" s="13">
        <f>IF(F$5=0,0,F336/F$5)</f>
        <v>0.65909090909090895</v>
      </c>
    </row>
    <row r="337" spans="1:9">
      <c r="A337" s="3" t="s">
        <v>1181</v>
      </c>
      <c r="B337" s="4"/>
      <c r="C337" s="4" t="s">
        <v>438</v>
      </c>
      <c r="D337" s="18">
        <v>68</v>
      </c>
      <c r="E337" s="18">
        <v>13</v>
      </c>
      <c r="F337" s="18">
        <v>13</v>
      </c>
      <c r="G337" s="13">
        <f>IF(D$5=0,0,D337/D$5)</f>
        <v>0.352331606217617</v>
      </c>
      <c r="H337" s="13">
        <f>IF(E$5=0,0,E337/E$5)</f>
        <v>0.39393939393939398</v>
      </c>
      <c r="I337" s="13">
        <f>IF(F$5=0,0,F337/F$5)</f>
        <v>0.29545454545454503</v>
      </c>
    </row>
    <row r="338" spans="1:9">
      <c r="A338" s="3" t="s">
        <v>1181</v>
      </c>
      <c r="B338" s="4" t="s">
        <v>678</v>
      </c>
      <c r="C338" s="4" t="s">
        <v>1182</v>
      </c>
      <c r="D338" s="18">
        <v>49</v>
      </c>
      <c r="E338" s="18">
        <v>7</v>
      </c>
      <c r="F338" s="18">
        <v>5</v>
      </c>
      <c r="G338" s="13">
        <f>IF(D$5=0,0,D338/D$5)</f>
        <v>0.25388601036269398</v>
      </c>
      <c r="H338" s="13">
        <f>IF(E$5=0,0,E338/E$5)</f>
        <v>0.21212121212121199</v>
      </c>
      <c r="I338" s="13">
        <f>IF(F$5=0,0,F338/F$5)</f>
        <v>0.11363636363636399</v>
      </c>
    </row>
    <row r="339" spans="1:9">
      <c r="A339" s="3" t="s">
        <v>1181</v>
      </c>
      <c r="B339" s="4"/>
      <c r="C339" s="4" t="s">
        <v>1183</v>
      </c>
      <c r="D339" s="18">
        <v>80</v>
      </c>
      <c r="E339" s="18">
        <v>15</v>
      </c>
      <c r="F339" s="18">
        <v>26</v>
      </c>
      <c r="G339" s="13">
        <f>IF(D$5=0,0,D339/D$5)</f>
        <v>0.41450777202072497</v>
      </c>
      <c r="H339" s="13">
        <f>IF(E$5=0,0,E339/E$5)</f>
        <v>0.45454545454545497</v>
      </c>
      <c r="I339" s="13">
        <f>IF(F$5=0,0,F339/F$5)</f>
        <v>0.59090909090909105</v>
      </c>
    </row>
    <row r="340" spans="1:9">
      <c r="A340" s="3" t="s">
        <v>1181</v>
      </c>
      <c r="B340" s="4"/>
      <c r="C340" s="4" t="s">
        <v>438</v>
      </c>
      <c r="D340" s="18">
        <v>64</v>
      </c>
      <c r="E340" s="18">
        <v>11</v>
      </c>
      <c r="F340" s="18">
        <v>13</v>
      </c>
      <c r="G340" s="13">
        <f>IF(D$5=0,0,D340/D$5)</f>
        <v>0.33160621761657999</v>
      </c>
      <c r="H340" s="13">
        <f>IF(E$5=0,0,E340/E$5)</f>
        <v>0.33333333333333298</v>
      </c>
      <c r="I340" s="13">
        <f>IF(F$5=0,0,F340/F$5)</f>
        <v>0.29545454545454503</v>
      </c>
    </row>
    <row r="341" spans="1:9">
      <c r="A341" s="3" t="s">
        <v>1181</v>
      </c>
      <c r="B341" s="4" t="s">
        <v>679</v>
      </c>
      <c r="C341" s="4" t="s">
        <v>1182</v>
      </c>
      <c r="D341" s="18">
        <v>31</v>
      </c>
      <c r="E341" s="18">
        <v>11</v>
      </c>
      <c r="F341" s="18">
        <v>7</v>
      </c>
      <c r="G341" s="13">
        <f>IF(D$5=0,0,D341/D$5)</f>
        <v>0.16062176165803099</v>
      </c>
      <c r="H341" s="13">
        <f>IF(E$5=0,0,E341/E$5)</f>
        <v>0.33333333333333298</v>
      </c>
      <c r="I341" s="13">
        <f>IF(F$5=0,0,F341/F$5)</f>
        <v>0.15909090909090901</v>
      </c>
    </row>
    <row r="342" spans="1:9">
      <c r="A342" s="3" t="s">
        <v>1181</v>
      </c>
      <c r="B342" s="4"/>
      <c r="C342" s="4" t="s">
        <v>1183</v>
      </c>
      <c r="D342" s="18">
        <v>96</v>
      </c>
      <c r="E342" s="18">
        <v>10</v>
      </c>
      <c r="F342" s="18">
        <v>25</v>
      </c>
      <c r="G342" s="13">
        <f>IF(D$5=0,0,D342/D$5)</f>
        <v>0.49740932642487001</v>
      </c>
      <c r="H342" s="13">
        <f>IF(E$5=0,0,E342/E$5)</f>
        <v>0.30303030303030298</v>
      </c>
      <c r="I342" s="13">
        <f>IF(F$5=0,0,F342/F$5)</f>
        <v>0.56818181818181801</v>
      </c>
    </row>
    <row r="343" spans="1:9">
      <c r="A343" s="3" t="s">
        <v>1181</v>
      </c>
      <c r="B343" s="4"/>
      <c r="C343" s="4" t="s">
        <v>438</v>
      </c>
      <c r="D343" s="18">
        <v>66</v>
      </c>
      <c r="E343" s="18">
        <v>12</v>
      </c>
      <c r="F343" s="18">
        <v>12</v>
      </c>
      <c r="G343" s="13">
        <f>IF(D$5=0,0,D343/D$5)</f>
        <v>0.341968911917098</v>
      </c>
      <c r="H343" s="13">
        <f>IF(E$5=0,0,E343/E$5)</f>
        <v>0.36363636363636398</v>
      </c>
      <c r="I343" s="13">
        <f>IF(F$5=0,0,F343/F$5)</f>
        <v>0.27272727272727298</v>
      </c>
    </row>
    <row r="344" spans="1:9">
      <c r="A344" s="3" t="s">
        <v>1181</v>
      </c>
      <c r="B344" s="4" t="s">
        <v>680</v>
      </c>
      <c r="C344" s="4" t="s">
        <v>1182</v>
      </c>
      <c r="D344" s="18">
        <v>40</v>
      </c>
      <c r="E344" s="18">
        <v>6</v>
      </c>
      <c r="F344" s="18">
        <v>3</v>
      </c>
      <c r="G344" s="13">
        <f>IF(D$5=0,0,D344/D$5)</f>
        <v>0.20725388601036299</v>
      </c>
      <c r="H344" s="13">
        <f>IF(E$5=0,0,E344/E$5)</f>
        <v>0.18181818181818199</v>
      </c>
      <c r="I344" s="13">
        <f>IF(F$5=0,0,F344/F$5)</f>
        <v>6.8181818181818205E-2</v>
      </c>
    </row>
    <row r="345" spans="1:9">
      <c r="A345" s="3" t="s">
        <v>1181</v>
      </c>
      <c r="B345" s="4"/>
      <c r="C345" s="4" t="s">
        <v>1183</v>
      </c>
      <c r="D345" s="18">
        <v>87</v>
      </c>
      <c r="E345" s="18">
        <v>16</v>
      </c>
      <c r="F345" s="18">
        <v>29</v>
      </c>
      <c r="G345" s="13">
        <f>IF(D$5=0,0,D345/D$5)</f>
        <v>0.45077720207253902</v>
      </c>
      <c r="H345" s="13">
        <f>IF(E$5=0,0,E345/E$5)</f>
        <v>0.48484848484848497</v>
      </c>
      <c r="I345" s="13">
        <f>IF(F$5=0,0,F345/F$5)</f>
        <v>0.65909090909090895</v>
      </c>
    </row>
    <row r="346" spans="1:9">
      <c r="A346" s="3" t="s">
        <v>1181</v>
      </c>
      <c r="B346" s="4"/>
      <c r="C346" s="4" t="s">
        <v>438</v>
      </c>
      <c r="D346" s="18">
        <v>66</v>
      </c>
      <c r="E346" s="18">
        <v>11</v>
      </c>
      <c r="F346" s="18">
        <v>12</v>
      </c>
      <c r="G346" s="13">
        <f>IF(D$5=0,0,D346/D$5)</f>
        <v>0.341968911917098</v>
      </c>
      <c r="H346" s="13">
        <f>IF(E$5=0,0,E346/E$5)</f>
        <v>0.33333333333333298</v>
      </c>
      <c r="I346" s="13">
        <f>IF(F$5=0,0,F346/F$5)</f>
        <v>0.27272727272727298</v>
      </c>
    </row>
    <row r="347" spans="1:9">
      <c r="A347" s="3" t="s">
        <v>1181</v>
      </c>
      <c r="B347" s="4" t="s">
        <v>681</v>
      </c>
      <c r="C347" s="4" t="s">
        <v>1182</v>
      </c>
      <c r="D347" s="18">
        <v>57</v>
      </c>
      <c r="E347" s="18">
        <v>12</v>
      </c>
      <c r="F347" s="18">
        <v>12</v>
      </c>
      <c r="G347" s="13">
        <f>IF(D$5=0,0,D347/D$5)</f>
        <v>0.295336787564767</v>
      </c>
      <c r="H347" s="13">
        <f>IF(E$5=0,0,E347/E$5)</f>
        <v>0.36363636363636398</v>
      </c>
      <c r="I347" s="13">
        <f>IF(F$5=0,0,F347/F$5)</f>
        <v>0.27272727272727298</v>
      </c>
    </row>
    <row r="348" spans="1:9">
      <c r="A348" s="3" t="s">
        <v>1181</v>
      </c>
      <c r="B348" s="4"/>
      <c r="C348" s="4" t="s">
        <v>1183</v>
      </c>
      <c r="D348" s="18">
        <v>76</v>
      </c>
      <c r="E348" s="18">
        <v>10</v>
      </c>
      <c r="F348" s="18">
        <v>20</v>
      </c>
      <c r="G348" s="13">
        <f>IF(D$5=0,0,D348/D$5)</f>
        <v>0.39378238341968902</v>
      </c>
      <c r="H348" s="13">
        <f>IF(E$5=0,0,E348/E$5)</f>
        <v>0.30303030303030298</v>
      </c>
      <c r="I348" s="13">
        <f>IF(F$5=0,0,F348/F$5)</f>
        <v>0.45454545454545497</v>
      </c>
    </row>
    <row r="349" spans="1:9">
      <c r="A349" s="3" t="s">
        <v>1181</v>
      </c>
      <c r="B349" s="4"/>
      <c r="C349" s="4" t="s">
        <v>438</v>
      </c>
      <c r="D349" s="18">
        <v>60</v>
      </c>
      <c r="E349" s="18">
        <v>11</v>
      </c>
      <c r="F349" s="18">
        <v>12</v>
      </c>
      <c r="G349" s="13">
        <f>IF(D$5=0,0,D349/D$5)</f>
        <v>0.31088082901554398</v>
      </c>
      <c r="H349" s="13">
        <f>IF(E$5=0,0,E349/E$5)</f>
        <v>0.33333333333333298</v>
      </c>
      <c r="I349" s="13">
        <f>IF(F$5=0,0,F349/F$5)</f>
        <v>0.27272727272727298</v>
      </c>
    </row>
    <row r="350" spans="1:9">
      <c r="A350" s="3" t="s">
        <v>1181</v>
      </c>
      <c r="B350" s="4" t="s">
        <v>682</v>
      </c>
      <c r="C350" s="4" t="s">
        <v>1182</v>
      </c>
      <c r="D350" s="18">
        <v>13</v>
      </c>
      <c r="E350" s="18">
        <v>6</v>
      </c>
      <c r="F350" s="18">
        <v>15</v>
      </c>
      <c r="G350" s="13">
        <f>IF(D$5=0,0,D350/D$5)</f>
        <v>6.7357512953367907E-2</v>
      </c>
      <c r="H350" s="13">
        <f>IF(E$5=0,0,E350/E$5)</f>
        <v>0.18181818181818199</v>
      </c>
      <c r="I350" s="13">
        <f>IF(F$5=0,0,F350/F$5)</f>
        <v>0.34090909090909099</v>
      </c>
    </row>
    <row r="351" spans="1:9">
      <c r="A351" s="3" t="s">
        <v>1181</v>
      </c>
      <c r="B351" s="4"/>
      <c r="C351" s="4" t="s">
        <v>1183</v>
      </c>
      <c r="D351" s="18">
        <v>111</v>
      </c>
      <c r="E351" s="18">
        <v>16</v>
      </c>
      <c r="F351" s="18">
        <v>17</v>
      </c>
      <c r="G351" s="13">
        <f>IF(D$5=0,0,D351/D$5)</f>
        <v>0.57512953367875697</v>
      </c>
      <c r="H351" s="13">
        <f>IF(E$5=0,0,E351/E$5)</f>
        <v>0.48484848484848497</v>
      </c>
      <c r="I351" s="13">
        <f>IF(F$5=0,0,F351/F$5)</f>
        <v>0.38636363636363602</v>
      </c>
    </row>
    <row r="352" spans="1:9">
      <c r="A352" s="3" t="s">
        <v>1181</v>
      </c>
      <c r="B352" s="4"/>
      <c r="C352" s="4" t="s">
        <v>438</v>
      </c>
      <c r="D352" s="18">
        <v>69</v>
      </c>
      <c r="E352" s="18">
        <v>11</v>
      </c>
      <c r="F352" s="18">
        <v>12</v>
      </c>
      <c r="G352" s="13">
        <f>IF(D$5=0,0,D352/D$5)</f>
        <v>0.35751295336787597</v>
      </c>
      <c r="H352" s="13">
        <f>IF(E$5=0,0,E352/E$5)</f>
        <v>0.33333333333333298</v>
      </c>
      <c r="I352" s="13">
        <f>IF(F$5=0,0,F352/F$5)</f>
        <v>0.27272727272727298</v>
      </c>
    </row>
    <row r="353" spans="1:9">
      <c r="A353" s="3" t="s">
        <v>411</v>
      </c>
      <c r="B353" s="4" t="s">
        <v>1184</v>
      </c>
      <c r="C353" s="4" t="s">
        <v>697</v>
      </c>
      <c r="D353" s="18">
        <v>148</v>
      </c>
      <c r="E353" s="18">
        <v>17</v>
      </c>
      <c r="F353" s="18">
        <v>31</v>
      </c>
      <c r="G353" s="13">
        <f>IF(D$5=0,0,D353/D$5)</f>
        <v>0.76683937823834203</v>
      </c>
      <c r="H353" s="13">
        <f>IF(E$5=0,0,E353/E$5)</f>
        <v>0.51515151515151503</v>
      </c>
      <c r="I353" s="13">
        <f>IF(F$5=0,0,F353/F$5)</f>
        <v>0.70454545454545503</v>
      </c>
    </row>
    <row r="354" spans="1:9">
      <c r="A354" s="3" t="s">
        <v>411</v>
      </c>
      <c r="B354" s="4"/>
      <c r="C354" s="4" t="s">
        <v>699</v>
      </c>
      <c r="D354" s="18">
        <v>51</v>
      </c>
      <c r="E354" s="18">
        <v>5</v>
      </c>
      <c r="F354" s="18">
        <v>10</v>
      </c>
      <c r="G354" s="13">
        <f>IF(D$5=0,0,D354/D$5)</f>
        <v>0.26424870466321199</v>
      </c>
      <c r="H354" s="13">
        <f>IF(E$5=0,0,E354/E$5)</f>
        <v>0.15151515151515199</v>
      </c>
      <c r="I354" s="13">
        <f>IF(F$5=0,0,F354/F$5)</f>
        <v>0.22727272727272699</v>
      </c>
    </row>
    <row r="355" spans="1:9">
      <c r="A355" s="3" t="s">
        <v>411</v>
      </c>
      <c r="B355" s="4"/>
      <c r="C355" s="4" t="s">
        <v>704</v>
      </c>
      <c r="D355" s="18">
        <v>20</v>
      </c>
      <c r="E355" s="18">
        <v>0</v>
      </c>
      <c r="F355" s="18">
        <v>0</v>
      </c>
      <c r="G355" s="13">
        <f>IF(D$5=0,0,D355/D$5)</f>
        <v>0.10362694300518099</v>
      </c>
      <c r="H355" s="13">
        <f>IF(E$5=0,0,E355/E$5)</f>
        <v>0</v>
      </c>
      <c r="I355" s="13">
        <f>IF(F$5=0,0,F355/F$5)</f>
        <v>0</v>
      </c>
    </row>
    <row r="356" spans="1:9">
      <c r="A356" s="3" t="s">
        <v>411</v>
      </c>
      <c r="B356" s="4"/>
      <c r="C356" s="4" t="s">
        <v>706</v>
      </c>
      <c r="D356" s="18">
        <v>7</v>
      </c>
      <c r="E356" s="18">
        <v>5</v>
      </c>
      <c r="F356" s="18">
        <v>4</v>
      </c>
      <c r="G356" s="13">
        <f>IF(D$5=0,0,D356/D$5)</f>
        <v>3.6269430051813503E-2</v>
      </c>
      <c r="H356" s="13">
        <f>IF(E$5=0,0,E356/E$5)</f>
        <v>0.15151515151515199</v>
      </c>
      <c r="I356" s="13">
        <f>IF(F$5=0,0,F356/F$5)</f>
        <v>9.0909090909090898E-2</v>
      </c>
    </row>
    <row r="357" spans="1:9">
      <c r="A357" s="3" t="s">
        <v>411</v>
      </c>
      <c r="B357" s="4"/>
      <c r="C357" s="4" t="s">
        <v>700</v>
      </c>
      <c r="D357" s="18">
        <v>19</v>
      </c>
      <c r="E357" s="18">
        <v>12</v>
      </c>
      <c r="F357" s="18">
        <v>9</v>
      </c>
      <c r="G357" s="13">
        <f>IF(D$5=0,0,D357/D$5)</f>
        <v>9.8445595854922296E-2</v>
      </c>
      <c r="H357" s="13">
        <f>IF(E$5=0,0,E357/E$5)</f>
        <v>0.36363636363636398</v>
      </c>
      <c r="I357" s="13">
        <f>IF(F$5=0,0,F357/F$5)</f>
        <v>0.204545454545455</v>
      </c>
    </row>
    <row r="358" spans="1:9">
      <c r="A358" s="3" t="s">
        <v>411</v>
      </c>
      <c r="B358" s="4"/>
      <c r="C358" s="4" t="s">
        <v>705</v>
      </c>
      <c r="D358" s="18">
        <v>11</v>
      </c>
      <c r="E358" s="18">
        <v>5</v>
      </c>
      <c r="F358" s="18">
        <v>5</v>
      </c>
      <c r="G358" s="13">
        <f>IF(D$5=0,0,D358/D$5)</f>
        <v>5.6994818652849701E-2</v>
      </c>
      <c r="H358" s="13">
        <f>IF(E$5=0,0,E358/E$5)</f>
        <v>0.15151515151515199</v>
      </c>
      <c r="I358" s="13">
        <f>IF(F$5=0,0,F358/F$5)</f>
        <v>0.11363636363636399</v>
      </c>
    </row>
    <row r="359" spans="1:9">
      <c r="A359" s="3" t="s">
        <v>411</v>
      </c>
      <c r="B359" s="4"/>
      <c r="C359" s="4" t="s">
        <v>710</v>
      </c>
      <c r="D359" s="18">
        <v>0</v>
      </c>
      <c r="E359" s="18">
        <v>0</v>
      </c>
      <c r="F359" s="18">
        <v>1</v>
      </c>
      <c r="G359" s="13">
        <f>IF(D$5=0,0,D359/D$5)</f>
        <v>0</v>
      </c>
      <c r="H359" s="13">
        <f>IF(E$5=0,0,E359/E$5)</f>
        <v>0</v>
      </c>
      <c r="I359" s="13">
        <f>IF(F$5=0,0,F359/F$5)</f>
        <v>2.27272727272727E-2</v>
      </c>
    </row>
    <row r="360" spans="1:9">
      <c r="A360" s="3" t="s">
        <v>411</v>
      </c>
      <c r="B360" s="4"/>
      <c r="C360" s="4" t="s">
        <v>698</v>
      </c>
      <c r="D360" s="18">
        <v>45</v>
      </c>
      <c r="E360" s="18">
        <v>4</v>
      </c>
      <c r="F360" s="18">
        <v>16</v>
      </c>
      <c r="G360" s="13">
        <f>IF(D$5=0,0,D360/D$5)</f>
        <v>0.233160621761658</v>
      </c>
      <c r="H360" s="13">
        <f>IF(E$5=0,0,E360/E$5)</f>
        <v>0.12121212121212099</v>
      </c>
      <c r="I360" s="13">
        <f>IF(F$5=0,0,F360/F$5)</f>
        <v>0.36363636363636398</v>
      </c>
    </row>
    <row r="361" spans="1:9">
      <c r="A361" s="3" t="s">
        <v>411</v>
      </c>
      <c r="B361" s="4"/>
      <c r="C361" s="4" t="s">
        <v>701</v>
      </c>
      <c r="D361" s="18">
        <v>25</v>
      </c>
      <c r="E361" s="18">
        <v>2</v>
      </c>
      <c r="F361" s="18">
        <v>6</v>
      </c>
      <c r="G361" s="13">
        <f>IF(D$5=0,0,D361/D$5)</f>
        <v>0.12953367875647701</v>
      </c>
      <c r="H361" s="13">
        <f>IF(E$5=0,0,E361/E$5)</f>
        <v>6.0606060606060601E-2</v>
      </c>
      <c r="I361" s="13">
        <f>IF(F$5=0,0,F361/F$5)</f>
        <v>0.13636363636363599</v>
      </c>
    </row>
    <row r="362" spans="1:9">
      <c r="A362" s="3" t="s">
        <v>411</v>
      </c>
      <c r="B362" s="4"/>
      <c r="C362" s="4" t="s">
        <v>708</v>
      </c>
      <c r="D362" s="18">
        <v>4</v>
      </c>
      <c r="E362" s="18">
        <v>0</v>
      </c>
      <c r="F362" s="18">
        <v>1</v>
      </c>
      <c r="G362" s="13">
        <f>IF(D$5=0,0,D362/D$5)</f>
        <v>2.0725388601036301E-2</v>
      </c>
      <c r="H362" s="13">
        <f>IF(E$5=0,0,E362/E$5)</f>
        <v>0</v>
      </c>
      <c r="I362" s="13">
        <f>IF(F$5=0,0,F362/F$5)</f>
        <v>2.27272727272727E-2</v>
      </c>
    </row>
    <row r="363" spans="1:9">
      <c r="A363" s="3" t="s">
        <v>411</v>
      </c>
      <c r="B363" s="4"/>
      <c r="C363" s="4" t="s">
        <v>709</v>
      </c>
      <c r="D363" s="18">
        <v>0</v>
      </c>
      <c r="E363" s="18">
        <v>1</v>
      </c>
      <c r="F363" s="18">
        <v>3</v>
      </c>
      <c r="G363" s="13">
        <f>IF(D$5=0,0,D363/D$5)</f>
        <v>0</v>
      </c>
      <c r="H363" s="13">
        <f>IF(E$5=0,0,E363/E$5)</f>
        <v>3.03030303030303E-2</v>
      </c>
      <c r="I363" s="13">
        <f>IF(F$5=0,0,F363/F$5)</f>
        <v>6.8181818181818205E-2</v>
      </c>
    </row>
    <row r="364" spans="1:9">
      <c r="A364" s="3" t="s">
        <v>411</v>
      </c>
      <c r="B364" s="4"/>
      <c r="C364" s="4" t="s">
        <v>702</v>
      </c>
      <c r="D364" s="18">
        <v>11</v>
      </c>
      <c r="E364" s="18">
        <v>5</v>
      </c>
      <c r="F364" s="18">
        <v>7</v>
      </c>
      <c r="G364" s="13">
        <f>IF(D$5=0,0,D364/D$5)</f>
        <v>5.6994818652849701E-2</v>
      </c>
      <c r="H364" s="13">
        <f>IF(E$5=0,0,E364/E$5)</f>
        <v>0.15151515151515199</v>
      </c>
      <c r="I364" s="13">
        <f>IF(F$5=0,0,F364/F$5)</f>
        <v>0.15909090909090901</v>
      </c>
    </row>
    <row r="365" spans="1:9">
      <c r="A365" s="3" t="s">
        <v>411</v>
      </c>
      <c r="B365" s="4"/>
      <c r="C365" s="4" t="s">
        <v>703</v>
      </c>
      <c r="D365" s="18">
        <v>18</v>
      </c>
      <c r="E365" s="18">
        <v>1</v>
      </c>
      <c r="F365" s="18">
        <v>5</v>
      </c>
      <c r="G365" s="13">
        <f>IF(D$5=0,0,D365/D$5)</f>
        <v>9.3264248704663197E-2</v>
      </c>
      <c r="H365" s="13">
        <f>IF(E$5=0,0,E365/E$5)</f>
        <v>3.03030303030303E-2</v>
      </c>
      <c r="I365" s="13">
        <f>IF(F$5=0,0,F365/F$5)</f>
        <v>0.11363636363636399</v>
      </c>
    </row>
    <row r="366" spans="1:9">
      <c r="A366" s="3" t="s">
        <v>411</v>
      </c>
      <c r="B366" s="4"/>
      <c r="C366" s="4" t="s">
        <v>437</v>
      </c>
      <c r="D366" s="18">
        <v>4</v>
      </c>
      <c r="E366" s="18">
        <v>1</v>
      </c>
      <c r="F366" s="18">
        <v>2</v>
      </c>
      <c r="G366" s="13">
        <f>IF(D$5=0,0,D366/D$5)</f>
        <v>2.0725388601036301E-2</v>
      </c>
      <c r="H366" s="13">
        <f>IF(E$5=0,0,E366/E$5)</f>
        <v>3.03030303030303E-2</v>
      </c>
      <c r="I366" s="13">
        <f>IF(F$5=0,0,F366/F$5)</f>
        <v>4.5454545454545497E-2</v>
      </c>
    </row>
    <row r="367" spans="1:9">
      <c r="A367" s="3" t="s">
        <v>411</v>
      </c>
      <c r="B367" s="4"/>
      <c r="C367" s="4" t="s">
        <v>707</v>
      </c>
      <c r="D367" s="18">
        <v>9</v>
      </c>
      <c r="E367" s="18">
        <v>1</v>
      </c>
      <c r="F367" s="18">
        <v>2</v>
      </c>
      <c r="G367" s="13">
        <f>IF(D$5=0,0,D367/D$5)</f>
        <v>4.6632124352331598E-2</v>
      </c>
      <c r="H367" s="13">
        <f>IF(E$5=0,0,E367/E$5)</f>
        <v>3.03030303030303E-2</v>
      </c>
      <c r="I367" s="13">
        <f>IF(F$5=0,0,F367/F$5)</f>
        <v>4.5454545454545497E-2</v>
      </c>
    </row>
    <row r="368" spans="1:9">
      <c r="A368" s="3" t="s">
        <v>411</v>
      </c>
      <c r="B368" s="4"/>
      <c r="C368" s="4" t="s">
        <v>438</v>
      </c>
      <c r="D368" s="18">
        <v>8</v>
      </c>
      <c r="E368" s="18">
        <v>3</v>
      </c>
      <c r="F368" s="18">
        <v>4</v>
      </c>
      <c r="G368" s="13">
        <f>IF(D$5=0,0,D368/D$5)</f>
        <v>4.1450777202072499E-2</v>
      </c>
      <c r="H368" s="13">
        <f>IF(E$5=0,0,E368/E$5)</f>
        <v>9.0909090909090898E-2</v>
      </c>
      <c r="I368" s="13">
        <f>IF(F$5=0,0,F368/F$5)</f>
        <v>9.0909090909090898E-2</v>
      </c>
    </row>
    <row r="369" spans="1:9">
      <c r="A369" s="3" t="s">
        <v>414</v>
      </c>
      <c r="B369" s="4" t="s">
        <v>1185</v>
      </c>
      <c r="C369" s="4" t="s">
        <v>713</v>
      </c>
      <c r="D369" s="18">
        <v>78</v>
      </c>
      <c r="E369" s="18">
        <v>5</v>
      </c>
      <c r="F369" s="18">
        <v>15</v>
      </c>
      <c r="G369" s="13">
        <f>IF(D$5=0,0,D369/D$5)</f>
        <v>0.40414507772020702</v>
      </c>
      <c r="H369" s="13">
        <f>IF(E$5=0,0,E369/E$5)</f>
        <v>0.15151515151515199</v>
      </c>
      <c r="I369" s="13">
        <f>IF(F$5=0,0,F369/F$5)</f>
        <v>0.34090909090909099</v>
      </c>
    </row>
    <row r="370" spans="1:9">
      <c r="A370" s="3" t="s">
        <v>414</v>
      </c>
      <c r="B370" s="4"/>
      <c r="C370" s="4" t="s">
        <v>715</v>
      </c>
      <c r="D370" s="18">
        <v>51</v>
      </c>
      <c r="E370" s="18">
        <v>1</v>
      </c>
      <c r="F370" s="18">
        <v>10</v>
      </c>
      <c r="G370" s="13">
        <f>IF(D$5=0,0,D370/D$5)</f>
        <v>0.26424870466321199</v>
      </c>
      <c r="H370" s="13">
        <f>IF(E$5=0,0,E370/E$5)</f>
        <v>3.03030303030303E-2</v>
      </c>
      <c r="I370" s="13">
        <f>IF(F$5=0,0,F370/F$5)</f>
        <v>0.22727272727272699</v>
      </c>
    </row>
    <row r="371" spans="1:9">
      <c r="A371" s="3" t="s">
        <v>414</v>
      </c>
      <c r="B371" s="4"/>
      <c r="C371" s="4" t="s">
        <v>717</v>
      </c>
      <c r="D371" s="18">
        <v>24</v>
      </c>
      <c r="E371" s="18">
        <v>4</v>
      </c>
      <c r="F371" s="18">
        <v>15</v>
      </c>
      <c r="G371" s="13">
        <f>IF(D$5=0,0,D371/D$5)</f>
        <v>0.124352331606218</v>
      </c>
      <c r="H371" s="13">
        <f>IF(E$5=0,0,E371/E$5)</f>
        <v>0.12121212121212099</v>
      </c>
      <c r="I371" s="13">
        <f>IF(F$5=0,0,F371/F$5)</f>
        <v>0.34090909090909099</v>
      </c>
    </row>
    <row r="372" spans="1:9">
      <c r="A372" s="3" t="s">
        <v>414</v>
      </c>
      <c r="B372" s="4"/>
      <c r="C372" s="4" t="s">
        <v>714</v>
      </c>
      <c r="D372" s="18">
        <v>55</v>
      </c>
      <c r="E372" s="18">
        <v>8</v>
      </c>
      <c r="F372" s="18">
        <v>7</v>
      </c>
      <c r="G372" s="13">
        <f>IF(D$5=0,0,D372/D$5)</f>
        <v>0.284974093264249</v>
      </c>
      <c r="H372" s="13">
        <f>IF(E$5=0,0,E372/E$5)</f>
        <v>0.24242424242424199</v>
      </c>
      <c r="I372" s="13">
        <f>IF(F$5=0,0,F372/F$5)</f>
        <v>0.15909090909090901</v>
      </c>
    </row>
    <row r="373" spans="1:9">
      <c r="A373" s="3" t="s">
        <v>414</v>
      </c>
      <c r="B373" s="4"/>
      <c r="C373" s="4" t="s">
        <v>716</v>
      </c>
      <c r="D373" s="18">
        <v>33</v>
      </c>
      <c r="E373" s="18">
        <v>12</v>
      </c>
      <c r="F373" s="18">
        <v>16</v>
      </c>
      <c r="G373" s="13">
        <f>IF(D$5=0,0,D373/D$5)</f>
        <v>0.170984455958549</v>
      </c>
      <c r="H373" s="13">
        <f>IF(E$5=0,0,E373/E$5)</f>
        <v>0.36363636363636398</v>
      </c>
      <c r="I373" s="13">
        <f>IF(F$5=0,0,F373/F$5)</f>
        <v>0.36363636363636398</v>
      </c>
    </row>
    <row r="374" spans="1:9">
      <c r="A374" s="3" t="s">
        <v>414</v>
      </c>
      <c r="B374" s="4"/>
      <c r="C374" s="4" t="s">
        <v>719</v>
      </c>
      <c r="D374" s="18">
        <v>1</v>
      </c>
      <c r="E374" s="18">
        <v>1</v>
      </c>
      <c r="F374" s="18">
        <v>0</v>
      </c>
      <c r="G374" s="13">
        <f>IF(D$5=0,0,D374/D$5)</f>
        <v>5.1813471502590702E-3</v>
      </c>
      <c r="H374" s="13">
        <f>IF(E$5=0,0,E374/E$5)</f>
        <v>3.03030303030303E-2</v>
      </c>
      <c r="I374" s="13">
        <f>IF(F$5=0,0,F374/F$5)</f>
        <v>0</v>
      </c>
    </row>
    <row r="375" spans="1:9">
      <c r="A375" s="3" t="s">
        <v>414</v>
      </c>
      <c r="B375" s="4"/>
      <c r="C375" s="4" t="s">
        <v>698</v>
      </c>
      <c r="D375" s="18">
        <v>50</v>
      </c>
      <c r="E375" s="18">
        <v>4</v>
      </c>
      <c r="F375" s="18">
        <v>16</v>
      </c>
      <c r="G375" s="13">
        <f>IF(D$5=0,0,D375/D$5)</f>
        <v>0.25906735751295301</v>
      </c>
      <c r="H375" s="13">
        <f>IF(E$5=0,0,E375/E$5)</f>
        <v>0.12121212121212099</v>
      </c>
      <c r="I375" s="13">
        <f>IF(F$5=0,0,F375/F$5)</f>
        <v>0.36363636363636398</v>
      </c>
    </row>
    <row r="376" spans="1:9">
      <c r="A376" s="3" t="s">
        <v>414</v>
      </c>
      <c r="B376" s="4"/>
      <c r="C376" s="4" t="s">
        <v>701</v>
      </c>
      <c r="D376" s="18">
        <v>34</v>
      </c>
      <c r="E376" s="18">
        <v>2</v>
      </c>
      <c r="F376" s="18">
        <v>7</v>
      </c>
      <c r="G376" s="13">
        <f>IF(D$5=0,0,D376/D$5)</f>
        <v>0.176165803108808</v>
      </c>
      <c r="H376" s="13">
        <f>IF(E$5=0,0,E376/E$5)</f>
        <v>6.0606060606060601E-2</v>
      </c>
      <c r="I376" s="13">
        <f>IF(F$5=0,0,F376/F$5)</f>
        <v>0.15909090909090901</v>
      </c>
    </row>
    <row r="377" spans="1:9">
      <c r="A377" s="3" t="s">
        <v>414</v>
      </c>
      <c r="B377" s="4"/>
      <c r="C377" s="4" t="s">
        <v>708</v>
      </c>
      <c r="D377" s="18">
        <v>4</v>
      </c>
      <c r="E377" s="18">
        <v>0</v>
      </c>
      <c r="F377" s="18">
        <v>2</v>
      </c>
      <c r="G377" s="13">
        <f>IF(D$5=0,0,D377/D$5)</f>
        <v>2.0725388601036301E-2</v>
      </c>
      <c r="H377" s="13">
        <f>IF(E$5=0,0,E377/E$5)</f>
        <v>0</v>
      </c>
      <c r="I377" s="13">
        <f>IF(F$5=0,0,F377/F$5)</f>
        <v>4.5454545454545497E-2</v>
      </c>
    </row>
    <row r="378" spans="1:9">
      <c r="A378" s="3" t="s">
        <v>414</v>
      </c>
      <c r="B378" s="4"/>
      <c r="C378" s="4" t="s">
        <v>709</v>
      </c>
      <c r="D378" s="18">
        <v>1</v>
      </c>
      <c r="E378" s="18">
        <v>0</v>
      </c>
      <c r="F378" s="18">
        <v>1</v>
      </c>
      <c r="G378" s="13">
        <f>IF(D$5=0,0,D378/D$5)</f>
        <v>5.1813471502590702E-3</v>
      </c>
      <c r="H378" s="13">
        <f>IF(E$5=0,0,E378/E$5)</f>
        <v>0</v>
      </c>
      <c r="I378" s="13">
        <f>IF(F$5=0,0,F378/F$5)</f>
        <v>2.27272727272727E-2</v>
      </c>
    </row>
    <row r="379" spans="1:9">
      <c r="A379" s="3" t="s">
        <v>414</v>
      </c>
      <c r="B379" s="4"/>
      <c r="C379" s="4" t="s">
        <v>702</v>
      </c>
      <c r="D379" s="18">
        <v>12</v>
      </c>
      <c r="E379" s="18">
        <v>4</v>
      </c>
      <c r="F379" s="18">
        <v>4</v>
      </c>
      <c r="G379" s="13">
        <f>IF(D$5=0,0,D379/D$5)</f>
        <v>6.21761658031088E-2</v>
      </c>
      <c r="H379" s="13">
        <f>IF(E$5=0,0,E379/E$5)</f>
        <v>0.12121212121212099</v>
      </c>
      <c r="I379" s="13">
        <f>IF(F$5=0,0,F379/F$5)</f>
        <v>9.0909090909090898E-2</v>
      </c>
    </row>
    <row r="380" spans="1:9">
      <c r="A380" s="3" t="s">
        <v>414</v>
      </c>
      <c r="B380" s="4"/>
      <c r="C380" s="4" t="s">
        <v>703</v>
      </c>
      <c r="D380" s="18">
        <v>29</v>
      </c>
      <c r="E380" s="18">
        <v>3</v>
      </c>
      <c r="F380" s="18">
        <v>6</v>
      </c>
      <c r="G380" s="13">
        <f>IF(D$5=0,0,D380/D$5)</f>
        <v>0.15025906735751299</v>
      </c>
      <c r="H380" s="13">
        <f>IF(E$5=0,0,E380/E$5)</f>
        <v>9.0909090909090898E-2</v>
      </c>
      <c r="I380" s="13">
        <f>IF(F$5=0,0,F380/F$5)</f>
        <v>0.13636363636363599</v>
      </c>
    </row>
    <row r="381" spans="1:9">
      <c r="A381" s="3" t="s">
        <v>414</v>
      </c>
      <c r="B381" s="4"/>
      <c r="C381" s="4" t="s">
        <v>437</v>
      </c>
      <c r="D381" s="18">
        <v>1</v>
      </c>
      <c r="E381" s="18">
        <v>0</v>
      </c>
      <c r="F381" s="18">
        <v>0</v>
      </c>
      <c r="G381" s="13">
        <f>IF(D$5=0,0,D381/D$5)</f>
        <v>5.1813471502590702E-3</v>
      </c>
      <c r="H381" s="13">
        <f>IF(E$5=0,0,E381/E$5)</f>
        <v>0</v>
      </c>
      <c r="I381" s="13">
        <f>IF(F$5=0,0,F381/F$5)</f>
        <v>0</v>
      </c>
    </row>
    <row r="382" spans="1:9">
      <c r="A382" s="3" t="s">
        <v>414</v>
      </c>
      <c r="B382" s="4"/>
      <c r="C382" s="4" t="s">
        <v>718</v>
      </c>
      <c r="D382" s="18">
        <v>20</v>
      </c>
      <c r="E382" s="18">
        <v>4</v>
      </c>
      <c r="F382" s="18">
        <v>7</v>
      </c>
      <c r="G382" s="13">
        <f>IF(D$5=0,0,D382/D$5)</f>
        <v>0.10362694300518099</v>
      </c>
      <c r="H382" s="13">
        <f>IF(E$5=0,0,E382/E$5)</f>
        <v>0.12121212121212099</v>
      </c>
      <c r="I382" s="13">
        <f>IF(F$5=0,0,F382/F$5)</f>
        <v>0.15909090909090901</v>
      </c>
    </row>
    <row r="383" spans="1:9">
      <c r="A383" s="3" t="s">
        <v>414</v>
      </c>
      <c r="B383" s="4"/>
      <c r="C383" s="4" t="s">
        <v>720</v>
      </c>
      <c r="D383" s="18">
        <v>11</v>
      </c>
      <c r="E383" s="18">
        <v>4</v>
      </c>
      <c r="F383" s="18">
        <v>2</v>
      </c>
      <c r="G383" s="13">
        <f>IF(D$5=0,0,D383/D$5)</f>
        <v>5.6994818652849701E-2</v>
      </c>
      <c r="H383" s="13">
        <f>IF(E$5=0,0,E383/E$5)</f>
        <v>0.12121212121212099</v>
      </c>
      <c r="I383" s="13">
        <f>IF(F$5=0,0,F383/F$5)</f>
        <v>4.5454545454545497E-2</v>
      </c>
    </row>
    <row r="384" spans="1:9">
      <c r="A384" s="3" t="s">
        <v>414</v>
      </c>
      <c r="B384" s="4"/>
      <c r="C384" s="4" t="s">
        <v>438</v>
      </c>
      <c r="D384" s="18">
        <v>8</v>
      </c>
      <c r="E384" s="18">
        <v>6</v>
      </c>
      <c r="F384" s="18">
        <v>4</v>
      </c>
      <c r="G384" s="13">
        <f>IF(D$5=0,0,D384/D$5)</f>
        <v>4.1450777202072499E-2</v>
      </c>
      <c r="H384" s="13">
        <f>IF(E$5=0,0,E384/E$5)</f>
        <v>0.18181818181818199</v>
      </c>
      <c r="I384" s="13">
        <f>IF(F$5=0,0,F384/F$5)</f>
        <v>9.0909090909090898E-2</v>
      </c>
    </row>
    <row r="385" spans="1:9">
      <c r="A385" s="3" t="s">
        <v>417</v>
      </c>
      <c r="B385" s="4" t="s">
        <v>1186</v>
      </c>
      <c r="C385" s="4" t="s">
        <v>534</v>
      </c>
      <c r="D385" s="18">
        <v>15</v>
      </c>
      <c r="E385" s="18">
        <v>4</v>
      </c>
      <c r="F385" s="18">
        <v>9</v>
      </c>
      <c r="G385" s="13">
        <f>IF(D$5=0,0,D385/D$5)</f>
        <v>7.7720207253885995E-2</v>
      </c>
      <c r="H385" s="13">
        <f>IF(E$5=0,0,E385/E$5)</f>
        <v>0.12121212121212099</v>
      </c>
      <c r="I385" s="13">
        <f>IF(F$5=0,0,F385/F$5)</f>
        <v>0.204545454545455</v>
      </c>
    </row>
    <row r="386" spans="1:9">
      <c r="A386" s="3" t="s">
        <v>417</v>
      </c>
      <c r="B386" s="4"/>
      <c r="C386" s="4" t="s">
        <v>723</v>
      </c>
      <c r="D386" s="18">
        <v>21</v>
      </c>
      <c r="E386" s="18">
        <v>9</v>
      </c>
      <c r="F386" s="18">
        <v>13</v>
      </c>
      <c r="G386" s="13">
        <f>IF(D$5=0,0,D386/D$5)</f>
        <v>0.10880829015544</v>
      </c>
      <c r="H386" s="13">
        <f>IF(E$5=0,0,E386/E$5)</f>
        <v>0.27272727272727298</v>
      </c>
      <c r="I386" s="13">
        <f>IF(F$5=0,0,F386/F$5)</f>
        <v>0.29545454545454503</v>
      </c>
    </row>
    <row r="387" spans="1:9">
      <c r="A387" s="3" t="s">
        <v>417</v>
      </c>
      <c r="B387" s="4"/>
      <c r="C387" s="4" t="s">
        <v>535</v>
      </c>
      <c r="D387" s="18">
        <v>147</v>
      </c>
      <c r="E387" s="18">
        <v>19</v>
      </c>
      <c r="F387" s="18">
        <v>17</v>
      </c>
      <c r="G387" s="13">
        <f>IF(D$5=0,0,D387/D$5)</f>
        <v>0.76165803108808305</v>
      </c>
      <c r="H387" s="13">
        <f>IF(E$5=0,0,E387/E$5)</f>
        <v>0.57575757575757602</v>
      </c>
      <c r="I387" s="13">
        <f>IF(F$5=0,0,F387/F$5)</f>
        <v>0.38636363636363602</v>
      </c>
    </row>
    <row r="388" spans="1:9">
      <c r="A388" s="3" t="s">
        <v>417</v>
      </c>
      <c r="B388" s="4"/>
      <c r="C388" s="4" t="s">
        <v>438</v>
      </c>
      <c r="D388" s="18">
        <v>10</v>
      </c>
      <c r="E388" s="18">
        <v>1</v>
      </c>
      <c r="F388" s="18">
        <v>5</v>
      </c>
      <c r="G388" s="13">
        <f>IF(D$5=0,0,D388/D$5)</f>
        <v>5.1813471502590698E-2</v>
      </c>
      <c r="H388" s="13">
        <f>IF(E$5=0,0,E388/E$5)</f>
        <v>3.03030303030303E-2</v>
      </c>
      <c r="I388" s="13">
        <f>IF(F$5=0,0,F388/F$5)</f>
        <v>0.11363636363636399</v>
      </c>
    </row>
    <row r="389" spans="1:9">
      <c r="A389" s="3" t="s">
        <v>1187</v>
      </c>
      <c r="B389" s="4" t="s">
        <v>1188</v>
      </c>
      <c r="C389" s="4" t="s">
        <v>727</v>
      </c>
      <c r="D389" s="18">
        <v>6</v>
      </c>
      <c r="E389" s="18">
        <v>7</v>
      </c>
      <c r="F389" s="18">
        <v>10</v>
      </c>
      <c r="G389" s="13">
        <f>IF(D$5=0,0,D389/D$5)</f>
        <v>3.10880829015544E-2</v>
      </c>
      <c r="H389" s="13">
        <f>IF(E$5=0,0,E389/E$5)</f>
        <v>0.21212121212121199</v>
      </c>
      <c r="I389" s="13">
        <f>IF(F$5=0,0,F389/F$5)</f>
        <v>0.22727272727272699</v>
      </c>
    </row>
    <row r="390" spans="1:9">
      <c r="A390" s="3" t="s">
        <v>1187</v>
      </c>
      <c r="B390" s="4"/>
      <c r="C390" s="4" t="s">
        <v>729</v>
      </c>
      <c r="D390" s="18">
        <v>4</v>
      </c>
      <c r="E390" s="18">
        <v>2</v>
      </c>
      <c r="F390" s="18">
        <v>3</v>
      </c>
      <c r="G390" s="13">
        <f>IF(D$5=0,0,D390/D$5)</f>
        <v>2.0725388601036301E-2</v>
      </c>
      <c r="H390" s="13">
        <f>IF(E$5=0,0,E390/E$5)</f>
        <v>6.0606060606060601E-2</v>
      </c>
      <c r="I390" s="13">
        <f>IF(F$5=0,0,F390/F$5)</f>
        <v>6.8181818181818205E-2</v>
      </c>
    </row>
    <row r="391" spans="1:9">
      <c r="A391" s="3" t="s">
        <v>1187</v>
      </c>
      <c r="B391" s="4"/>
      <c r="C391" s="4" t="s">
        <v>726</v>
      </c>
      <c r="D391" s="18">
        <v>19</v>
      </c>
      <c r="E391" s="18">
        <v>5</v>
      </c>
      <c r="F391" s="18">
        <v>5</v>
      </c>
      <c r="G391" s="13">
        <f>IF(D$5=0,0,D391/D$5)</f>
        <v>9.8445595854922296E-2</v>
      </c>
      <c r="H391" s="13">
        <f>IF(E$5=0,0,E391/E$5)</f>
        <v>0.15151515151515199</v>
      </c>
      <c r="I391" s="13">
        <f>IF(F$5=0,0,F391/F$5)</f>
        <v>0.11363636363636399</v>
      </c>
    </row>
    <row r="392" spans="1:9">
      <c r="A392" s="3" t="s">
        <v>1187</v>
      </c>
      <c r="B392" s="4"/>
      <c r="C392" s="4" t="s">
        <v>731</v>
      </c>
      <c r="D392" s="18">
        <v>5</v>
      </c>
      <c r="E392" s="18">
        <v>1</v>
      </c>
      <c r="F392" s="18">
        <v>1</v>
      </c>
      <c r="G392" s="13">
        <f>IF(D$5=0,0,D392/D$5)</f>
        <v>2.59067357512953E-2</v>
      </c>
      <c r="H392" s="13">
        <f>IF(E$5=0,0,E392/E$5)</f>
        <v>3.03030303030303E-2</v>
      </c>
      <c r="I392" s="13">
        <f>IF(F$5=0,0,F392/F$5)</f>
        <v>2.27272727272727E-2</v>
      </c>
    </row>
    <row r="393" spans="1:9">
      <c r="A393" s="3" t="s">
        <v>1187</v>
      </c>
      <c r="B393" s="4"/>
      <c r="C393" s="4" t="s">
        <v>732</v>
      </c>
      <c r="D393" s="18">
        <v>3</v>
      </c>
      <c r="E393" s="18">
        <v>0</v>
      </c>
      <c r="F393" s="18">
        <v>1</v>
      </c>
      <c r="G393" s="13">
        <f>IF(D$5=0,0,D393/D$5)</f>
        <v>1.55440414507772E-2</v>
      </c>
      <c r="H393" s="13">
        <f>IF(E$5=0,0,E393/E$5)</f>
        <v>0</v>
      </c>
      <c r="I393" s="13">
        <f>IF(F$5=0,0,F393/F$5)</f>
        <v>2.27272727272727E-2</v>
      </c>
    </row>
    <row r="394" spans="1:9">
      <c r="A394" s="3" t="s">
        <v>1187</v>
      </c>
      <c r="B394" s="4"/>
      <c r="C394" s="4" t="s">
        <v>728</v>
      </c>
      <c r="D394" s="18">
        <v>11</v>
      </c>
      <c r="E394" s="18">
        <v>3</v>
      </c>
      <c r="F394" s="18">
        <v>3</v>
      </c>
      <c r="G394" s="13">
        <f>IF(D$5=0,0,D394/D$5)</f>
        <v>5.6994818652849701E-2</v>
      </c>
      <c r="H394" s="13">
        <f>IF(E$5=0,0,E394/E$5)</f>
        <v>9.0909090909090898E-2</v>
      </c>
      <c r="I394" s="13">
        <f>IF(F$5=0,0,F394/F$5)</f>
        <v>6.8181818181818205E-2</v>
      </c>
    </row>
    <row r="395" spans="1:9">
      <c r="A395" s="3" t="s">
        <v>1187</v>
      </c>
      <c r="B395" s="4"/>
      <c r="C395" s="4" t="s">
        <v>730</v>
      </c>
      <c r="D395" s="18">
        <v>4</v>
      </c>
      <c r="E395" s="18">
        <v>1</v>
      </c>
      <c r="F395" s="18">
        <v>5</v>
      </c>
      <c r="G395" s="13">
        <f>IF(D$5=0,0,D395/D$5)</f>
        <v>2.0725388601036301E-2</v>
      </c>
      <c r="H395" s="13">
        <f>IF(E$5=0,0,E395/E$5)</f>
        <v>3.03030303030303E-2</v>
      </c>
      <c r="I395" s="13">
        <f>IF(F$5=0,0,F395/F$5)</f>
        <v>0.11363636363636399</v>
      </c>
    </row>
    <row r="396" spans="1:9">
      <c r="A396" s="3" t="s">
        <v>1187</v>
      </c>
      <c r="B396" s="4"/>
      <c r="C396" s="4" t="s">
        <v>437</v>
      </c>
      <c r="D396" s="18">
        <v>1</v>
      </c>
      <c r="E396" s="18">
        <v>1</v>
      </c>
      <c r="F396" s="18">
        <v>2</v>
      </c>
      <c r="G396" s="13">
        <f>IF(D$5=0,0,D396/D$5)</f>
        <v>5.1813471502590702E-3</v>
      </c>
      <c r="H396" s="13">
        <f>IF(E$5=0,0,E396/E$5)</f>
        <v>3.03030303030303E-2</v>
      </c>
      <c r="I396" s="13">
        <f>IF(F$5=0,0,F396/F$5)</f>
        <v>4.5454545454545497E-2</v>
      </c>
    </row>
    <row r="397" spans="1:9">
      <c r="A397" s="3" t="s">
        <v>1187</v>
      </c>
      <c r="B397" s="4"/>
      <c r="C397" s="4" t="s">
        <v>438</v>
      </c>
      <c r="D397" s="18">
        <v>162</v>
      </c>
      <c r="E397" s="18">
        <v>20</v>
      </c>
      <c r="F397" s="18">
        <v>25</v>
      </c>
      <c r="G397" s="13">
        <f>IF(D$5=0,0,D397/D$5)</f>
        <v>0.83937823834196901</v>
      </c>
      <c r="H397" s="13">
        <f>IF(E$5=0,0,E397/E$5)</f>
        <v>0.60606060606060597</v>
      </c>
      <c r="I397" s="13">
        <f>IF(F$5=0,0,F397/F$5)</f>
        <v>0.56818181818181801</v>
      </c>
    </row>
    <row r="398" spans="1:9">
      <c r="A398" s="3" t="s">
        <v>419</v>
      </c>
      <c r="B398" s="4" t="s">
        <v>1189</v>
      </c>
      <c r="C398" s="4" t="s">
        <v>735</v>
      </c>
      <c r="D398" s="18">
        <v>42</v>
      </c>
      <c r="E398" s="18">
        <v>7</v>
      </c>
      <c r="F398" s="18">
        <v>8</v>
      </c>
      <c r="G398" s="13">
        <f>IF(D$5=0,0,D398/D$5)</f>
        <v>0.21761658031088099</v>
      </c>
      <c r="H398" s="13">
        <f>IF(E$5=0,0,E398/E$5)</f>
        <v>0.21212121212121199</v>
      </c>
      <c r="I398" s="13">
        <f>IF(F$5=0,0,F398/F$5)</f>
        <v>0.18181818181818199</v>
      </c>
    </row>
    <row r="399" spans="1:9">
      <c r="A399" s="3" t="s">
        <v>419</v>
      </c>
      <c r="B399" s="4"/>
      <c r="C399" s="4" t="s">
        <v>736</v>
      </c>
      <c r="D399" s="18">
        <v>71</v>
      </c>
      <c r="E399" s="18">
        <v>7</v>
      </c>
      <c r="F399" s="18">
        <v>15</v>
      </c>
      <c r="G399" s="13">
        <f>IF(D$5=0,0,D399/D$5)</f>
        <v>0.36787564766839398</v>
      </c>
      <c r="H399" s="13">
        <f>IF(E$5=0,0,E399/E$5)</f>
        <v>0.21212121212121199</v>
      </c>
      <c r="I399" s="13">
        <f>IF(F$5=0,0,F399/F$5)</f>
        <v>0.34090909090909099</v>
      </c>
    </row>
    <row r="400" spans="1:9">
      <c r="A400" s="3" t="s">
        <v>419</v>
      </c>
      <c r="B400" s="4"/>
      <c r="C400" s="4" t="s">
        <v>737</v>
      </c>
      <c r="D400" s="18">
        <v>62</v>
      </c>
      <c r="E400" s="18">
        <v>16</v>
      </c>
      <c r="F400" s="18">
        <v>17</v>
      </c>
      <c r="G400" s="13">
        <f>IF(D$5=0,0,D400/D$5)</f>
        <v>0.32124352331606199</v>
      </c>
      <c r="H400" s="13">
        <f>IF(E$5=0,0,E400/E$5)</f>
        <v>0.48484848484848497</v>
      </c>
      <c r="I400" s="13">
        <f>IF(F$5=0,0,F400/F$5)</f>
        <v>0.38636363636363602</v>
      </c>
    </row>
    <row r="401" spans="1:9">
      <c r="A401" s="3" t="s">
        <v>419</v>
      </c>
      <c r="B401" s="4"/>
      <c r="C401" s="4" t="s">
        <v>438</v>
      </c>
      <c r="D401" s="18">
        <v>18</v>
      </c>
      <c r="E401" s="18">
        <v>3</v>
      </c>
      <c r="F401" s="18">
        <v>4</v>
      </c>
      <c r="G401" s="13">
        <f>IF(D$5=0,0,D401/D$5)</f>
        <v>9.3264248704663197E-2</v>
      </c>
      <c r="H401" s="13">
        <f>IF(E$5=0,0,E401/E$5)</f>
        <v>9.0909090909090898E-2</v>
      </c>
      <c r="I401" s="13">
        <f>IF(F$5=0,0,F401/F$5)</f>
        <v>9.0909090909090898E-2</v>
      </c>
    </row>
    <row r="402" spans="1:9">
      <c r="A402" s="3" t="s">
        <v>1190</v>
      </c>
      <c r="B402" s="4" t="s">
        <v>1191</v>
      </c>
      <c r="C402" s="4" t="s">
        <v>740</v>
      </c>
      <c r="D402" s="18">
        <v>77</v>
      </c>
      <c r="E402" s="18">
        <v>12</v>
      </c>
      <c r="F402" s="18">
        <v>13</v>
      </c>
      <c r="G402" s="13">
        <f>IF(D$5=0,0,D402/D$5)</f>
        <v>0.39896373056994799</v>
      </c>
      <c r="H402" s="13">
        <f>IF(E$5=0,0,E402/E$5)</f>
        <v>0.36363636363636398</v>
      </c>
      <c r="I402" s="13">
        <f>IF(F$5=0,0,F402/F$5)</f>
        <v>0.29545454545454503</v>
      </c>
    </row>
    <row r="403" spans="1:9">
      <c r="A403" s="3" t="s">
        <v>1190</v>
      </c>
      <c r="B403" s="4"/>
      <c r="C403" s="4" t="s">
        <v>741</v>
      </c>
      <c r="D403" s="18">
        <v>41</v>
      </c>
      <c r="E403" s="18">
        <v>10</v>
      </c>
      <c r="F403" s="18">
        <v>7</v>
      </c>
      <c r="G403" s="13">
        <f>IF(D$5=0,0,D403/D$5)</f>
        <v>0.21243523316062199</v>
      </c>
      <c r="H403" s="13">
        <f>IF(E$5=0,0,E403/E$5)</f>
        <v>0.30303030303030298</v>
      </c>
      <c r="I403" s="13">
        <f>IF(F$5=0,0,F403/F$5)</f>
        <v>0.15909090909090901</v>
      </c>
    </row>
    <row r="404" spans="1:9">
      <c r="A404" s="3" t="s">
        <v>1190</v>
      </c>
      <c r="B404" s="4"/>
      <c r="C404" s="4" t="s">
        <v>743</v>
      </c>
      <c r="D404" s="18">
        <v>20</v>
      </c>
      <c r="E404" s="18">
        <v>3</v>
      </c>
      <c r="F404" s="18">
        <v>2</v>
      </c>
      <c r="G404" s="13">
        <f>IF(D$5=0,0,D404/D$5)</f>
        <v>0.10362694300518099</v>
      </c>
      <c r="H404" s="13">
        <f>IF(E$5=0,0,E404/E$5)</f>
        <v>9.0909090909090898E-2</v>
      </c>
      <c r="I404" s="13">
        <f>IF(F$5=0,0,F404/F$5)</f>
        <v>4.5454545454545497E-2</v>
      </c>
    </row>
    <row r="405" spans="1:9">
      <c r="A405" s="3" t="s">
        <v>1190</v>
      </c>
      <c r="B405" s="4"/>
      <c r="C405" s="4" t="s">
        <v>745</v>
      </c>
      <c r="D405" s="18">
        <v>4</v>
      </c>
      <c r="E405" s="18">
        <v>0</v>
      </c>
      <c r="F405" s="18">
        <v>0</v>
      </c>
      <c r="G405" s="13">
        <f>IF(D$5=0,0,D405/D$5)</f>
        <v>2.0725388601036301E-2</v>
      </c>
      <c r="H405" s="13">
        <f>IF(E$5=0,0,E405/E$5)</f>
        <v>0</v>
      </c>
      <c r="I405" s="13">
        <f>IF(F$5=0,0,F405/F$5)</f>
        <v>0</v>
      </c>
    </row>
    <row r="406" spans="1:9">
      <c r="A406" s="3" t="s">
        <v>1190</v>
      </c>
      <c r="B406" s="4"/>
      <c r="C406" s="4" t="s">
        <v>742</v>
      </c>
      <c r="D406" s="18">
        <v>22</v>
      </c>
      <c r="E406" s="18">
        <v>3</v>
      </c>
      <c r="F406" s="18">
        <v>5</v>
      </c>
      <c r="G406" s="13">
        <f>IF(D$5=0,0,D406/D$5)</f>
        <v>0.113989637305699</v>
      </c>
      <c r="H406" s="13">
        <f>IF(E$5=0,0,E406/E$5)</f>
        <v>9.0909090909090898E-2</v>
      </c>
      <c r="I406" s="13">
        <f>IF(F$5=0,0,F406/F$5)</f>
        <v>0.11363636363636399</v>
      </c>
    </row>
    <row r="407" spans="1:9">
      <c r="A407" s="3" t="s">
        <v>1190</v>
      </c>
      <c r="B407" s="4"/>
      <c r="C407" s="4" t="s">
        <v>744</v>
      </c>
      <c r="D407" s="18">
        <v>3</v>
      </c>
      <c r="E407" s="18">
        <v>1</v>
      </c>
      <c r="F407" s="18">
        <v>1</v>
      </c>
      <c r="G407" s="13">
        <f>IF(D$5=0,0,D407/D$5)</f>
        <v>1.55440414507772E-2</v>
      </c>
      <c r="H407" s="13">
        <f>IF(E$5=0,0,E407/E$5)</f>
        <v>3.03030303030303E-2</v>
      </c>
      <c r="I407" s="13">
        <f>IF(F$5=0,0,F407/F$5)</f>
        <v>2.27272727272727E-2</v>
      </c>
    </row>
    <row r="408" spans="1:9">
      <c r="A408" s="3" t="s">
        <v>1190</v>
      </c>
      <c r="B408" s="4"/>
      <c r="C408" s="4" t="s">
        <v>437</v>
      </c>
      <c r="D408" s="18">
        <v>6</v>
      </c>
      <c r="E408" s="18">
        <v>2</v>
      </c>
      <c r="F408" s="18">
        <v>4</v>
      </c>
      <c r="G408" s="13">
        <f>IF(D$5=0,0,D408/D$5)</f>
        <v>3.10880829015544E-2</v>
      </c>
      <c r="H408" s="13">
        <f>IF(E$5=0,0,E408/E$5)</f>
        <v>6.0606060606060601E-2</v>
      </c>
      <c r="I408" s="13">
        <f>IF(F$5=0,0,F408/F$5)</f>
        <v>9.0909090909090898E-2</v>
      </c>
    </row>
    <row r="409" spans="1:9">
      <c r="A409" s="3" t="s">
        <v>1190</v>
      </c>
      <c r="B409" s="4"/>
      <c r="C409" s="4" t="s">
        <v>438</v>
      </c>
      <c r="D409" s="18">
        <v>88</v>
      </c>
      <c r="E409" s="18">
        <v>14</v>
      </c>
      <c r="F409" s="18">
        <v>20</v>
      </c>
      <c r="G409" s="13">
        <f>IF(D$5=0,0,D409/D$5)</f>
        <v>0.45595854922279799</v>
      </c>
      <c r="H409" s="13">
        <f>IF(E$5=0,0,E409/E$5)</f>
        <v>0.42424242424242398</v>
      </c>
      <c r="I409" s="13">
        <f>IF(F$5=0,0,F409/F$5)</f>
        <v>0.45454545454545497</v>
      </c>
    </row>
    <row r="410" spans="1:9">
      <c r="A410" s="3" t="s">
        <v>1192</v>
      </c>
      <c r="B410" s="4" t="s">
        <v>1193</v>
      </c>
      <c r="C410" s="4" t="s">
        <v>748</v>
      </c>
      <c r="D410" s="18">
        <v>36</v>
      </c>
      <c r="E410" s="18">
        <v>6</v>
      </c>
      <c r="F410" s="18">
        <v>8</v>
      </c>
      <c r="G410" s="13">
        <f>IF(D$5=0,0,D410/D$5)</f>
        <v>0.18652849740932601</v>
      </c>
      <c r="H410" s="13">
        <f>IF(E$5=0,0,E410/E$5)</f>
        <v>0.18181818181818199</v>
      </c>
      <c r="I410" s="13">
        <f>IF(F$5=0,0,F410/F$5)</f>
        <v>0.18181818181818199</v>
      </c>
    </row>
    <row r="411" spans="1:9">
      <c r="A411" s="3" t="s">
        <v>1192</v>
      </c>
      <c r="B411" s="4"/>
      <c r="C411" s="4" t="s">
        <v>749</v>
      </c>
      <c r="D411" s="18">
        <v>141</v>
      </c>
      <c r="E411" s="18">
        <v>25</v>
      </c>
      <c r="F411" s="18">
        <v>32</v>
      </c>
      <c r="G411" s="13">
        <f>IF(D$5=0,0,D411/D$5)</f>
        <v>0.73056994818652898</v>
      </c>
      <c r="H411" s="13">
        <f>IF(E$5=0,0,E411/E$5)</f>
        <v>0.75757575757575801</v>
      </c>
      <c r="I411" s="13">
        <f>IF(F$5=0,0,F411/F$5)</f>
        <v>0.72727272727272696</v>
      </c>
    </row>
    <row r="412" spans="1:9">
      <c r="A412" s="3" t="s">
        <v>1192</v>
      </c>
      <c r="B412" s="4"/>
      <c r="C412" s="4" t="s">
        <v>438</v>
      </c>
      <c r="D412" s="18">
        <v>16</v>
      </c>
      <c r="E412" s="18">
        <v>2</v>
      </c>
      <c r="F412" s="18">
        <v>4</v>
      </c>
      <c r="G412" s="13">
        <f>IF(D$5=0,0,D412/D$5)</f>
        <v>8.2901554404145095E-2</v>
      </c>
      <c r="H412" s="13">
        <f>IF(E$5=0,0,E412/E$5)</f>
        <v>6.0606060606060601E-2</v>
      </c>
      <c r="I412" s="13">
        <f>IF(F$5=0,0,F412/F$5)</f>
        <v>9.0909090909090898E-2</v>
      </c>
    </row>
    <row r="413" spans="1:9">
      <c r="A413" s="3" t="s">
        <v>1194</v>
      </c>
      <c r="B413" s="4" t="s">
        <v>1195</v>
      </c>
      <c r="C413" s="4" t="s">
        <v>748</v>
      </c>
      <c r="D413" s="18">
        <v>21</v>
      </c>
      <c r="E413" s="18">
        <v>6</v>
      </c>
      <c r="F413" s="18">
        <v>7</v>
      </c>
      <c r="G413" s="13">
        <f>IF(D$5=0,0,D413/D$5)</f>
        <v>0.10880829015544</v>
      </c>
      <c r="H413" s="13">
        <f>IF(E$5=0,0,E413/E$5)</f>
        <v>0.18181818181818199</v>
      </c>
      <c r="I413" s="13">
        <f>IF(F$5=0,0,F413/F$5)</f>
        <v>0.15909090909090901</v>
      </c>
    </row>
    <row r="414" spans="1:9">
      <c r="A414" s="3" t="s">
        <v>1194</v>
      </c>
      <c r="B414" s="4"/>
      <c r="C414" s="4" t="s">
        <v>749</v>
      </c>
      <c r="D414" s="18">
        <v>150</v>
      </c>
      <c r="E414" s="18">
        <v>25</v>
      </c>
      <c r="F414" s="18">
        <v>32</v>
      </c>
      <c r="G414" s="13">
        <f>IF(D$5=0,0,D414/D$5)</f>
        <v>0.77720207253885998</v>
      </c>
      <c r="H414" s="13">
        <f>IF(E$5=0,0,E414/E$5)</f>
        <v>0.75757575757575801</v>
      </c>
      <c r="I414" s="13">
        <f>IF(F$5=0,0,F414/F$5)</f>
        <v>0.72727272727272696</v>
      </c>
    </row>
    <row r="415" spans="1:9">
      <c r="A415" s="3" t="s">
        <v>1194</v>
      </c>
      <c r="B415" s="4"/>
      <c r="C415" s="4" t="s">
        <v>438</v>
      </c>
      <c r="D415" s="18">
        <v>22</v>
      </c>
      <c r="E415" s="18">
        <v>2</v>
      </c>
      <c r="F415" s="18">
        <v>5</v>
      </c>
      <c r="G415" s="13">
        <f>IF(D$5=0,0,D415/D$5)</f>
        <v>0.113989637305699</v>
      </c>
      <c r="H415" s="13">
        <f>IF(E$5=0,0,E415/E$5)</f>
        <v>6.0606060606060601E-2</v>
      </c>
      <c r="I415" s="13">
        <f>IF(F$5=0,0,F415/F$5)</f>
        <v>0.11363636363636399</v>
      </c>
    </row>
    <row r="416" spans="1:9">
      <c r="A416" s="3" t="s">
        <v>422</v>
      </c>
      <c r="B416" s="4" t="s">
        <v>1196</v>
      </c>
      <c r="C416" s="4" t="s">
        <v>754</v>
      </c>
      <c r="D416" s="18">
        <v>79</v>
      </c>
      <c r="E416" s="18">
        <v>11</v>
      </c>
      <c r="F416" s="18">
        <v>13</v>
      </c>
      <c r="G416" s="13">
        <f>IF(D$5=0,0,D416/D$5)</f>
        <v>0.409326424870466</v>
      </c>
      <c r="H416" s="13">
        <f>IF(E$5=0,0,E416/E$5)</f>
        <v>0.33333333333333298</v>
      </c>
      <c r="I416" s="13">
        <f>IF(F$5=0,0,F416/F$5)</f>
        <v>0.29545454545454503</v>
      </c>
    </row>
    <row r="417" spans="1:9">
      <c r="A417" s="3" t="s">
        <v>422</v>
      </c>
      <c r="B417" s="4"/>
      <c r="C417" s="4" t="s">
        <v>755</v>
      </c>
      <c r="D417" s="18">
        <v>68</v>
      </c>
      <c r="E417" s="18">
        <v>12</v>
      </c>
      <c r="F417" s="18">
        <v>8</v>
      </c>
      <c r="G417" s="13">
        <f>IF(D$5=0,0,D417/D$5)</f>
        <v>0.352331606217617</v>
      </c>
      <c r="H417" s="13">
        <f>IF(E$5=0,0,E417/E$5)</f>
        <v>0.36363636363636398</v>
      </c>
      <c r="I417" s="13">
        <f>IF(F$5=0,0,F417/F$5)</f>
        <v>0.18181818181818199</v>
      </c>
    </row>
    <row r="418" spans="1:9">
      <c r="A418" s="3" t="s">
        <v>422</v>
      </c>
      <c r="B418" s="4"/>
      <c r="C418" s="4" t="s">
        <v>442</v>
      </c>
      <c r="D418" s="18">
        <v>33</v>
      </c>
      <c r="E418" s="18">
        <v>8</v>
      </c>
      <c r="F418" s="18">
        <v>18</v>
      </c>
      <c r="G418" s="13">
        <f>IF(D$5=0,0,D418/D$5)</f>
        <v>0.170984455958549</v>
      </c>
      <c r="H418" s="13">
        <f>IF(E$5=0,0,E418/E$5)</f>
        <v>0.24242424242424199</v>
      </c>
      <c r="I418" s="13">
        <f>IF(F$5=0,0,F418/F$5)</f>
        <v>0.40909090909090901</v>
      </c>
    </row>
    <row r="419" spans="1:9">
      <c r="A419" s="3" t="s">
        <v>422</v>
      </c>
      <c r="B419" s="4"/>
      <c r="C419" s="4" t="s">
        <v>438</v>
      </c>
      <c r="D419" s="18">
        <v>13</v>
      </c>
      <c r="E419" s="18">
        <v>2</v>
      </c>
      <c r="F419" s="18">
        <v>5</v>
      </c>
      <c r="G419" s="13">
        <f>IF(D$5=0,0,D419/D$5)</f>
        <v>6.7357512953367907E-2</v>
      </c>
      <c r="H419" s="13">
        <f>IF(E$5=0,0,E419/E$5)</f>
        <v>6.0606060606060601E-2</v>
      </c>
      <c r="I419" s="13">
        <f>IF(F$5=0,0,F419/F$5)</f>
        <v>0.11363636363636399</v>
      </c>
    </row>
    <row r="420" spans="1:9">
      <c r="A420" s="3" t="s">
        <v>424</v>
      </c>
      <c r="B420" s="4" t="s">
        <v>1197</v>
      </c>
      <c r="C420" s="4" t="s">
        <v>758</v>
      </c>
      <c r="D420" s="18">
        <v>72</v>
      </c>
      <c r="E420" s="18">
        <v>6</v>
      </c>
      <c r="F420" s="18">
        <v>6</v>
      </c>
      <c r="G420" s="13">
        <f>IF(D$5=0,0,D420/D$5)</f>
        <v>0.37305699481865301</v>
      </c>
      <c r="H420" s="13">
        <f>IF(E$5=0,0,E420/E$5)</f>
        <v>0.18181818181818199</v>
      </c>
      <c r="I420" s="13">
        <f>IF(F$5=0,0,F420/F$5)</f>
        <v>0.13636363636363599</v>
      </c>
    </row>
    <row r="421" spans="1:9">
      <c r="A421" s="3" t="s">
        <v>424</v>
      </c>
      <c r="B421" s="4"/>
      <c r="C421" s="4" t="s">
        <v>759</v>
      </c>
      <c r="D421" s="18">
        <v>37</v>
      </c>
      <c r="E421" s="18">
        <v>9</v>
      </c>
      <c r="F421" s="18">
        <v>11</v>
      </c>
      <c r="G421" s="13">
        <f>IF(D$5=0,0,D421/D$5)</f>
        <v>0.19170984455958501</v>
      </c>
      <c r="H421" s="13">
        <f>IF(E$5=0,0,E421/E$5)</f>
        <v>0.27272727272727298</v>
      </c>
      <c r="I421" s="13">
        <f>IF(F$5=0,0,F421/F$5)</f>
        <v>0.25</v>
      </c>
    </row>
    <row r="422" spans="1:9">
      <c r="A422" s="3" t="s">
        <v>424</v>
      </c>
      <c r="B422" s="4"/>
      <c r="C422" s="4" t="s">
        <v>442</v>
      </c>
      <c r="D422" s="18">
        <v>67</v>
      </c>
      <c r="E422" s="18">
        <v>12</v>
      </c>
      <c r="F422" s="18">
        <v>20</v>
      </c>
      <c r="G422" s="13">
        <f>IF(D$5=0,0,D422/D$5)</f>
        <v>0.34715025906735802</v>
      </c>
      <c r="H422" s="13">
        <f>IF(E$5=0,0,E422/E$5)</f>
        <v>0.36363636363636398</v>
      </c>
      <c r="I422" s="13">
        <f>IF(F$5=0,0,F422/F$5)</f>
        <v>0.45454545454545497</v>
      </c>
    </row>
    <row r="423" spans="1:9">
      <c r="A423" s="3" t="s">
        <v>424</v>
      </c>
      <c r="B423" s="4"/>
      <c r="C423" s="4" t="s">
        <v>438</v>
      </c>
      <c r="D423" s="18">
        <v>17</v>
      </c>
      <c r="E423" s="18">
        <v>6</v>
      </c>
      <c r="F423" s="18">
        <v>7</v>
      </c>
      <c r="G423" s="13">
        <f>IF(D$5=0,0,D423/D$5)</f>
        <v>8.8082901554404097E-2</v>
      </c>
      <c r="H423" s="13">
        <f>IF(E$5=0,0,E423/E$5)</f>
        <v>0.18181818181818199</v>
      </c>
      <c r="I423" s="13">
        <f>IF(F$5=0,0,F423/F$5)</f>
        <v>0.15909090909090901</v>
      </c>
    </row>
    <row r="424" spans="1:9">
      <c r="A424" s="3" t="s">
        <v>377</v>
      </c>
      <c r="B424" s="4" t="s">
        <v>1198</v>
      </c>
      <c r="C424" s="4" t="s">
        <v>762</v>
      </c>
      <c r="D424" s="18">
        <v>108</v>
      </c>
      <c r="E424" s="18">
        <v>8</v>
      </c>
      <c r="F424" s="18">
        <v>21</v>
      </c>
      <c r="G424" s="13">
        <f>IF(D$5=0,0,D424/D$5)</f>
        <v>0.55958549222797904</v>
      </c>
      <c r="H424" s="13">
        <f>IF(E$5=0,0,E424/E$5)</f>
        <v>0.24242424242424199</v>
      </c>
      <c r="I424" s="13">
        <f>IF(F$5=0,0,F424/F$5)</f>
        <v>0.47727272727272702</v>
      </c>
    </row>
    <row r="425" spans="1:9">
      <c r="A425" s="3" t="s">
        <v>377</v>
      </c>
      <c r="B425" s="4"/>
      <c r="C425" s="4" t="s">
        <v>770</v>
      </c>
      <c r="D425" s="18">
        <v>19</v>
      </c>
      <c r="E425" s="18">
        <v>2</v>
      </c>
      <c r="F425" s="18">
        <v>5</v>
      </c>
      <c r="G425" s="13">
        <f>IF(D$5=0,0,D425/D$5)</f>
        <v>9.8445595854922296E-2</v>
      </c>
      <c r="H425" s="13">
        <f>IF(E$5=0,0,E425/E$5)</f>
        <v>6.0606060606060601E-2</v>
      </c>
      <c r="I425" s="13">
        <f>IF(F$5=0,0,F425/F$5)</f>
        <v>0.11363636363636399</v>
      </c>
    </row>
    <row r="426" spans="1:9">
      <c r="A426" s="3" t="s">
        <v>377</v>
      </c>
      <c r="B426" s="4"/>
      <c r="C426" s="4" t="s">
        <v>769</v>
      </c>
      <c r="D426" s="18">
        <v>26</v>
      </c>
      <c r="E426" s="18">
        <v>3</v>
      </c>
      <c r="F426" s="18">
        <v>4</v>
      </c>
      <c r="G426" s="13">
        <f>IF(D$5=0,0,D426/D$5)</f>
        <v>0.13471502590673601</v>
      </c>
      <c r="H426" s="13">
        <f>IF(E$5=0,0,E426/E$5)</f>
        <v>9.0909090909090898E-2</v>
      </c>
      <c r="I426" s="13">
        <f>IF(F$5=0,0,F426/F$5)</f>
        <v>9.0909090909090898E-2</v>
      </c>
    </row>
    <row r="427" spans="1:9">
      <c r="A427" s="3" t="s">
        <v>377</v>
      </c>
      <c r="B427" s="4"/>
      <c r="C427" s="4" t="s">
        <v>765</v>
      </c>
      <c r="D427" s="18">
        <v>37</v>
      </c>
      <c r="E427" s="18">
        <v>7</v>
      </c>
      <c r="F427" s="18">
        <v>10</v>
      </c>
      <c r="G427" s="13">
        <f>IF(D$5=0,0,D427/D$5)</f>
        <v>0.19170984455958501</v>
      </c>
      <c r="H427" s="13">
        <f>IF(E$5=0,0,E427/E$5)</f>
        <v>0.21212121212121199</v>
      </c>
      <c r="I427" s="13">
        <f>IF(F$5=0,0,F427/F$5)</f>
        <v>0.22727272727272699</v>
      </c>
    </row>
    <row r="428" spans="1:9">
      <c r="A428" s="3" t="s">
        <v>377</v>
      </c>
      <c r="B428" s="4"/>
      <c r="C428" s="4" t="s">
        <v>764</v>
      </c>
      <c r="D428" s="18">
        <v>76</v>
      </c>
      <c r="E428" s="18">
        <v>10</v>
      </c>
      <c r="F428" s="18">
        <v>14</v>
      </c>
      <c r="G428" s="13">
        <f>IF(D$5=0,0,D428/D$5)</f>
        <v>0.39378238341968902</v>
      </c>
      <c r="H428" s="13">
        <f>IF(E$5=0,0,E428/E$5)</f>
        <v>0.30303030303030298</v>
      </c>
      <c r="I428" s="13">
        <f>IF(F$5=0,0,F428/F$5)</f>
        <v>0.31818181818181801</v>
      </c>
    </row>
    <row r="429" spans="1:9">
      <c r="A429" s="3" t="s">
        <v>377</v>
      </c>
      <c r="B429" s="4"/>
      <c r="C429" s="4" t="s">
        <v>767</v>
      </c>
      <c r="D429" s="18">
        <v>33</v>
      </c>
      <c r="E429" s="18">
        <v>5</v>
      </c>
      <c r="F429" s="18">
        <v>8</v>
      </c>
      <c r="G429" s="13">
        <f>IF(D$5=0,0,D429/D$5)</f>
        <v>0.170984455958549</v>
      </c>
      <c r="H429" s="13">
        <f>IF(E$5=0,0,E429/E$5)</f>
        <v>0.15151515151515199</v>
      </c>
      <c r="I429" s="13">
        <f>IF(F$5=0,0,F429/F$5)</f>
        <v>0.18181818181818199</v>
      </c>
    </row>
    <row r="430" spans="1:9">
      <c r="A430" s="3" t="s">
        <v>377</v>
      </c>
      <c r="B430" s="4"/>
      <c r="C430" s="4" t="s">
        <v>766</v>
      </c>
      <c r="D430" s="18">
        <v>24</v>
      </c>
      <c r="E430" s="18">
        <v>8</v>
      </c>
      <c r="F430" s="18">
        <v>16</v>
      </c>
      <c r="G430" s="13">
        <f>IF(D$5=0,0,D430/D$5)</f>
        <v>0.124352331606218</v>
      </c>
      <c r="H430" s="13">
        <f>IF(E$5=0,0,E430/E$5)</f>
        <v>0.24242424242424199</v>
      </c>
      <c r="I430" s="13">
        <f>IF(F$5=0,0,F430/F$5)</f>
        <v>0.36363636363636398</v>
      </c>
    </row>
    <row r="431" spans="1:9">
      <c r="A431" s="3" t="s">
        <v>377</v>
      </c>
      <c r="B431" s="4"/>
      <c r="C431" s="4" t="s">
        <v>763</v>
      </c>
      <c r="D431" s="18">
        <v>91</v>
      </c>
      <c r="E431" s="18">
        <v>10</v>
      </c>
      <c r="F431" s="18">
        <v>20</v>
      </c>
      <c r="G431" s="13">
        <f>IF(D$5=0,0,D431/D$5)</f>
        <v>0.47150259067357497</v>
      </c>
      <c r="H431" s="13">
        <f>IF(E$5=0,0,E431/E$5)</f>
        <v>0.30303030303030298</v>
      </c>
      <c r="I431" s="13">
        <f>IF(F$5=0,0,F431/F$5)</f>
        <v>0.45454545454545497</v>
      </c>
    </row>
    <row r="432" spans="1:9">
      <c r="A432" s="3" t="s">
        <v>377</v>
      </c>
      <c r="B432" s="4"/>
      <c r="C432" s="4" t="s">
        <v>768</v>
      </c>
      <c r="D432" s="18">
        <v>34</v>
      </c>
      <c r="E432" s="18">
        <v>2</v>
      </c>
      <c r="F432" s="18">
        <v>3</v>
      </c>
      <c r="G432" s="13">
        <f>IF(D$5=0,0,D432/D$5)</f>
        <v>0.176165803108808</v>
      </c>
      <c r="H432" s="13">
        <f>IF(E$5=0,0,E432/E$5)</f>
        <v>6.0606060606060601E-2</v>
      </c>
      <c r="I432" s="13">
        <f>IF(F$5=0,0,F432/F$5)</f>
        <v>6.8181818181818205E-2</v>
      </c>
    </row>
    <row r="433" spans="1:9">
      <c r="A433" s="3" t="s">
        <v>377</v>
      </c>
      <c r="B433" s="4"/>
      <c r="C433" s="4" t="s">
        <v>437</v>
      </c>
      <c r="D433" s="18">
        <v>3</v>
      </c>
      <c r="E433" s="18">
        <v>0</v>
      </c>
      <c r="F433" s="18">
        <v>2</v>
      </c>
      <c r="G433" s="13">
        <f>IF(D$5=0,0,D433/D$5)</f>
        <v>1.55440414507772E-2</v>
      </c>
      <c r="H433" s="13">
        <f>IF(E$5=0,0,E433/E$5)</f>
        <v>0</v>
      </c>
      <c r="I433" s="13">
        <f>IF(F$5=0,0,F433/F$5)</f>
        <v>4.5454545454545497E-2</v>
      </c>
    </row>
    <row r="434" spans="1:9">
      <c r="A434" s="3" t="s">
        <v>377</v>
      </c>
      <c r="B434" s="4"/>
      <c r="C434" s="4" t="s">
        <v>604</v>
      </c>
      <c r="D434" s="18">
        <v>23</v>
      </c>
      <c r="E434" s="18">
        <v>9</v>
      </c>
      <c r="F434" s="18">
        <v>3</v>
      </c>
      <c r="G434" s="13">
        <f>IF(D$5=0,0,D434/D$5)</f>
        <v>0.119170984455959</v>
      </c>
      <c r="H434" s="13">
        <f>IF(E$5=0,0,E434/E$5)</f>
        <v>0.27272727272727298</v>
      </c>
      <c r="I434" s="13">
        <f>IF(F$5=0,0,F434/F$5)</f>
        <v>6.8181818181818205E-2</v>
      </c>
    </row>
    <row r="435" spans="1:9">
      <c r="A435" s="3" t="s">
        <v>377</v>
      </c>
      <c r="B435" s="4"/>
      <c r="C435" s="4" t="s">
        <v>438</v>
      </c>
      <c r="D435" s="18">
        <v>17</v>
      </c>
      <c r="E435" s="18">
        <v>4</v>
      </c>
      <c r="F435" s="18">
        <v>6</v>
      </c>
      <c r="G435" s="13">
        <f>IF(D$5=0,0,D435/D$5)</f>
        <v>8.8082901554404097E-2</v>
      </c>
      <c r="H435" s="13">
        <f>IF(E$5=0,0,E435/E$5)</f>
        <v>0.12121212121212099</v>
      </c>
      <c r="I435" s="13">
        <f>IF(F$5=0,0,F435/F$5)</f>
        <v>0.13636363636363599</v>
      </c>
    </row>
    <row r="436" spans="1:9">
      <c r="A436" s="3" t="s">
        <v>1199</v>
      </c>
      <c r="B436" s="4" t="s">
        <v>1200</v>
      </c>
      <c r="C436" s="4" t="s">
        <v>773</v>
      </c>
      <c r="D436" s="18">
        <v>53</v>
      </c>
      <c r="E436" s="18">
        <v>10</v>
      </c>
      <c r="F436" s="18">
        <v>14</v>
      </c>
      <c r="G436" s="13">
        <f>IF(D$5=0,0,D436/D$5)</f>
        <v>0.27461139896373099</v>
      </c>
      <c r="H436" s="13">
        <f>IF(E$5=0,0,E436/E$5)</f>
        <v>0.30303030303030298</v>
      </c>
      <c r="I436" s="13">
        <f>IF(F$5=0,0,F436/F$5)</f>
        <v>0.31818181818181801</v>
      </c>
    </row>
    <row r="437" spans="1:9">
      <c r="A437" s="3" t="s">
        <v>1199</v>
      </c>
      <c r="B437" s="4"/>
      <c r="C437" s="4" t="s">
        <v>774</v>
      </c>
      <c r="D437" s="18">
        <v>120</v>
      </c>
      <c r="E437" s="18">
        <v>18</v>
      </c>
      <c r="F437" s="18">
        <v>26</v>
      </c>
      <c r="G437" s="13">
        <f>IF(D$5=0,0,D437/D$5)</f>
        <v>0.62176165803108796</v>
      </c>
      <c r="H437" s="13">
        <f>IF(E$5=0,0,E437/E$5)</f>
        <v>0.54545454545454497</v>
      </c>
      <c r="I437" s="13">
        <f>IF(F$5=0,0,F437/F$5)</f>
        <v>0.59090909090909105</v>
      </c>
    </row>
    <row r="438" spans="1:9">
      <c r="A438" s="3" t="s">
        <v>1199</v>
      </c>
      <c r="B438" s="4"/>
      <c r="C438" s="4" t="s">
        <v>438</v>
      </c>
      <c r="D438" s="18">
        <v>20</v>
      </c>
      <c r="E438" s="18">
        <v>5</v>
      </c>
      <c r="F438" s="18">
        <v>4</v>
      </c>
      <c r="G438" s="13">
        <f>IF(D$5=0,0,D438/D$5)</f>
        <v>0.10362694300518099</v>
      </c>
      <c r="H438" s="13">
        <f>IF(E$5=0,0,E438/E$5)</f>
        <v>0.15151515151515199</v>
      </c>
      <c r="I438" s="13">
        <f>IF(F$5=0,0,F438/F$5)</f>
        <v>9.0909090909090898E-2</v>
      </c>
    </row>
    <row r="439" spans="1:9">
      <c r="A439" s="3" t="s">
        <v>426</v>
      </c>
      <c r="B439" s="4" t="s">
        <v>1201</v>
      </c>
      <c r="C439" s="4" t="s">
        <v>773</v>
      </c>
      <c r="D439" s="18">
        <v>48</v>
      </c>
      <c r="E439" s="18">
        <v>7</v>
      </c>
      <c r="F439" s="18">
        <v>13</v>
      </c>
      <c r="G439" s="13">
        <f>IF(D$5=0,0,D439/D$5)</f>
        <v>0.24870466321243501</v>
      </c>
      <c r="H439" s="13">
        <f>IF(E$5=0,0,E439/E$5)</f>
        <v>0.21212121212121199</v>
      </c>
      <c r="I439" s="13">
        <f>IF(F$5=0,0,F439/F$5)</f>
        <v>0.29545454545454503</v>
      </c>
    </row>
    <row r="440" spans="1:9">
      <c r="A440" s="3" t="s">
        <v>426</v>
      </c>
      <c r="B440" s="4"/>
      <c r="C440" s="4" t="s">
        <v>774</v>
      </c>
      <c r="D440" s="18">
        <v>122</v>
      </c>
      <c r="E440" s="18">
        <v>20</v>
      </c>
      <c r="F440" s="18">
        <v>27</v>
      </c>
      <c r="G440" s="13">
        <f>IF(D$5=0,0,D440/D$5)</f>
        <v>0.63212435233160602</v>
      </c>
      <c r="H440" s="13">
        <f>IF(E$5=0,0,E440/E$5)</f>
        <v>0.60606060606060597</v>
      </c>
      <c r="I440" s="13">
        <f>IF(F$5=0,0,F440/F$5)</f>
        <v>0.61363636363636398</v>
      </c>
    </row>
    <row r="441" spans="1:9">
      <c r="A441" s="3" t="s">
        <v>426</v>
      </c>
      <c r="B441" s="4"/>
      <c r="C441" s="4" t="s">
        <v>438</v>
      </c>
      <c r="D441" s="18">
        <v>23</v>
      </c>
      <c r="E441" s="18">
        <v>6</v>
      </c>
      <c r="F441" s="18">
        <v>4</v>
      </c>
      <c r="G441" s="13">
        <f>IF(D$5=0,0,D441/D$5)</f>
        <v>0.119170984455959</v>
      </c>
      <c r="H441" s="13">
        <f>IF(E$5=0,0,E441/E$5)</f>
        <v>0.18181818181818199</v>
      </c>
      <c r="I441" s="13">
        <f>IF(F$5=0,0,F441/F$5)</f>
        <v>9.0909090909090898E-2</v>
      </c>
    </row>
  </sheetData>
  <autoFilter ref="A4:I441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高橋 直也</cp:lastModifiedBy>
  <cp:revision/>
  <dcterms:created xsi:type="dcterms:W3CDTF">2026-10-06T01:28:45Z</dcterms:created>
  <dcterms:modified xsi:type="dcterms:W3CDTF">2026-10-06T11:26:55Z</dcterms:modified>
  <cp:category/>
  <cp:contentStatus/>
</cp:coreProperties>
</file>