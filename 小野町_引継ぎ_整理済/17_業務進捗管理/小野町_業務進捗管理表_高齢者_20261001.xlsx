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'01_WBS'!$A$1:$O$77</definedName>
    <definedName name="_xlnm._FilterDatabase" localSheetId="11" hidden="1">'11_進捗の乖離'!$A$1:$M$77</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基準日：令和8年10月1日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0.5327357512953368</v>
      </c>
      <c r="C7" s="2" t="inlineStr">
        <is>
          <t>実績進捗率</t>
        </is>
      </c>
      <c r="D7" s="6" t="n">
        <v>0.6909326424870466</v>
      </c>
      <c r="E7" s="2" t="inlineStr">
        <is>
          <t>乖離</t>
        </is>
      </c>
      <c r="F7" s="7" t="n">
        <v>0.1581968911917098</v>
      </c>
    </row>
    <row r="8">
      <c r="A8" s="8" t="inlineStr">
        <is>
          <t>おおむね予定どおり 45件／前倒し 23件／遅れ 4件／期限超過（2か月）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介護給付費準備基金の保有額が12.0百万円しかない</t>
        </is>
      </c>
      <c r="C63" s="13" t="inlineStr">
        <is>
          <t>第9期が見込んだ基金取崩35.0百万円は実行できない。保険料水準の判断に直結する</t>
        </is>
      </c>
      <c r="D63" s="13" t="inlineStr">
        <is>
          <t>**令和4年度末120.0百万円から令和5年度末12.0百万円へ1桁減っている。取崩実績か入力誤りかを町に確認する。繰越金144.2百万円の基金積立も選択肢**</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令和9年2月下旬の校了から逆算し、12月までに印刷業者を押さえる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**12月までに発注しないと2月の校了に間に合わない**</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t>
        </is>
      </c>
      <c r="O9" s="19" t="inlineStr">
        <is>
          <t>**町との協議。協議会の回数が決まらないとP6・P8・P9・P10の日程が引けない**</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様式4により令和6年度まで確定。歳入歳出差引残額144.2百万円、介護給付費準備基金の保有額12.0百万円。**保険料収納率は令和7年度99.35％（様式3）</t>
        </is>
      </c>
      <c r="O18" s="19" t="inlineStr">
        <is>
          <t>**令和7年度の様式4が全て0で未入力。また基金保有額が令和4年度末120百万円から令和5年度末12百万円へ1桁減っており、取崩実績か入力誤りかの確認が要る**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2026-10</t>
        </is>
      </c>
      <c r="K19" s="23" t="inlineStr">
        <is>
          <t>進行中</t>
        </is>
      </c>
      <c r="L19" s="22" t="n">
        <v>30</v>
      </c>
      <c r="M19" s="23" t="n">
        <v>2</v>
      </c>
      <c r="N19" s="19" t="inlineStr">
        <is>
          <t>**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**9月29日に調査結果報告書の原本（104頁）を受領し、集計値を1件ずつ突き合わせた（286件・NG0）。**認知症の設問の項目名を1件訂正し、報告書そのものの食い違い3件を注記した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95</v>
      </c>
      <c r="M47" s="23" t="n">
        <v>5</v>
      </c>
      <c r="N47" s="19" t="inlineStr">
        <is>
          <t>**第6版（5章＋資料編・84表・図3点）。****第4章④に「人材の供給制約からみた見込量の妥当性」と「見える化システムによる算定との突合」を加えた。****第4章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65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t>
        </is>
      </c>
      <c r="O55" s="19" t="inlineStr">
        <is>
          <t>**残る未対応は、第5章の各施策の記載を5項目にそろえること、事業所調査（未実施。実施の可否を町と相談）、介護保険制度改正の内容（公布状況の確認）、中長期（令和22年度）の給付費見通し、図表番号一覧**</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7" t="inlineStr">
        <is>
          <t>未着手</t>
        </is>
      </c>
      <c r="L58" s="22" t="n">
        <v>0</v>
      </c>
      <c r="M58" s="23" t="n">
        <v>2</v>
      </c>
      <c r="N58" s="19" t="inlineStr">
        <is>
          <t>骨子案第3版・成果指標目標値案は作成済み</t>
        </is>
      </c>
      <c r="O58" s="19" t="inlineStr">
        <is>
          <t>P7の完了、開催日の確定</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2026-08</t>
        </is>
      </c>
      <c r="K67" s="21" t="inlineStr">
        <is>
          <t>完了</t>
        </is>
      </c>
      <c r="L67" s="22" t="n">
        <v>100</v>
      </c>
      <c r="M67" s="23" t="n">
        <v>1</v>
      </c>
      <c r="N67" s="19" t="inlineStr">
        <is>
          <t>計画策定業務設計書 第2章（02_キックオフ・業務計画）</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構成案は作成済み</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**逆算表を作成済み。12月までに印刷業者を押さえる必要がある**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P11 品質・進捗管理</t>
        </is>
      </c>
      <c r="B72" s="20" t="inlineStr">
        <is>
          <t>11-1</t>
        </is>
      </c>
      <c r="C72" s="19" t="inlineStr">
        <is>
          <t>一次資料との全件突合</t>
        </is>
      </c>
      <c r="D72" s="19" t="inlineStr">
        <is>
          <t>成果品に載せた数値を、町から受領した原本（年報・月報・調査結果報告書・交付金の集計表）と1件ずつ突き合わせる</t>
        </is>
      </c>
      <c r="E72" s="19" t="inlineStr">
        <is>
          <t>B10 業務管理・計画の基本的な考え方</t>
        </is>
      </c>
      <c r="F72" s="20" t="inlineStr">
        <is>
          <t>仕様書全般</t>
        </is>
      </c>
      <c r="G72" s="19" t="inlineStr">
        <is>
          <t>【全般】委託仕様書及び公告の全体（成果品要件・工程・作業分担の確認）</t>
        </is>
      </c>
      <c r="H72" s="20" t="inlineStr">
        <is>
          <t>受託者</t>
        </is>
      </c>
      <c r="I72" s="20" t="inlineStr">
        <is>
          <t>2026-09</t>
        </is>
      </c>
      <c r="J72" s="20" t="inlineStr">
        <is>
          <t>2027-02</t>
        </is>
      </c>
      <c r="K72" s="23" t="inlineStr">
        <is>
          <t>進行中</t>
        </is>
      </c>
      <c r="L72" s="22" t="n">
        <v>85</v>
      </c>
      <c r="M72" s="23" t="n">
        <v>4</v>
      </c>
      <c r="N72" s="19" t="inlineStr">
        <is>
          <t>**check_ono_ichiji.py が286件を毎回照合し、NGがあれば止まる。現在NGは0件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あわせて、当方の成果品にあった項目名の取り違えを正した。**問36の54.1％は「相談窓口の充実」ではなく**「地域での見守りや声掛け」**であり、選択肢に「相談窓口の充実」は存在しない（素案・協議会資料・調査結果の分析・交付金の4点を訂正）。**点検の結果はOK 280件・NG 0件・説明のつく相違4件・一次資料が手元にないもの2件である。**相違はいずれも理由とともに記録している</t>
        </is>
      </c>
      <c r="O72" s="19" t="inlineStr">
        <is>
          <t>**町データが届くたびに突合対象が増える。とくに成果指標の現状値17項目と令和7年度決算が入ると、素案・算定シート・協議会資料の3系統を同時に照合する必要がある**</t>
        </is>
      </c>
      <c r="P72" s="24" t="n"/>
      <c r="Q72" s="24" t="n"/>
      <c r="R72" s="24" t="n"/>
      <c r="S72" s="24" t="n"/>
      <c r="T72" s="24" t="n"/>
      <c r="U72" s="24" t="n"/>
      <c r="V72" s="24" t="n"/>
      <c r="W72" s="24" t="n"/>
    </row>
    <row r="73">
      <c r="A73" s="19" t="inlineStr">
        <is>
          <t>P11 品質・進捗管理</t>
        </is>
      </c>
      <c r="B73" s="20" t="inlineStr">
        <is>
          <t>11-2</t>
        </is>
      </c>
      <c r="C73" s="19" t="inlineStr">
        <is>
          <t>図表データ管理台帳の整備と運用</t>
        </is>
      </c>
      <c r="D73" s="19" t="inlineStr">
        <is>
          <t>成果品に載せる図表の出所・算定根拠・差し込み先を1枚で追えるようにする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70</v>
      </c>
      <c r="M73" s="23" t="n">
        <v>3</v>
      </c>
      <c r="N73"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3" s="19" t="inlineStr">
        <is>
          <t>**足りない図6件のうち3件が未着手。要介護度の維持・改善率（見える化Ｂ系列・資料は手元にある）、地域ケア会議の開催回数・検討件数（町の事業実績待ち）、介護給付適正化の主要3事業の実施状況（町の実施報告待ち）**</t>
        </is>
      </c>
      <c r="P73" s="24" t="n"/>
      <c r="Q73" s="24" t="n"/>
      <c r="R73" s="24" t="n"/>
      <c r="S73" s="24" t="n"/>
      <c r="T73" s="24" t="n"/>
      <c r="U73" s="24" t="n"/>
      <c r="V73" s="24" t="n"/>
      <c r="W73" s="24" t="n"/>
    </row>
    <row r="74">
      <c r="A74" s="19" t="inlineStr">
        <is>
          <t>P11 品質・進捗管理</t>
        </is>
      </c>
      <c r="B74" s="20" t="inlineStr">
        <is>
          <t>11-3</t>
        </is>
      </c>
      <c r="C74" s="19" t="inlineStr">
        <is>
          <t>図表の追加作成</t>
        </is>
      </c>
      <c r="D74" s="19" t="inlineStr">
        <is>
          <t>交付金の評価結果・調査結果の裏づけとなる図の作成</t>
        </is>
      </c>
      <c r="E74" s="19" t="inlineStr">
        <is>
          <t>B1 現状分析（基礎データ・資料の整理分析）</t>
        </is>
      </c>
      <c r="F74" s="20" t="inlineStr">
        <is>
          <t>仕様書4(1)</t>
        </is>
      </c>
      <c r="G74"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4" s="20" t="inlineStr">
        <is>
          <t>受託者</t>
        </is>
      </c>
      <c r="I74" s="20" t="inlineStr">
        <is>
          <t>2026-09</t>
        </is>
      </c>
      <c r="J74" s="20" t="inlineStr">
        <is>
          <t>2026-12</t>
        </is>
      </c>
      <c r="K74" s="23" t="inlineStr">
        <is>
          <t>進行中</t>
        </is>
      </c>
      <c r="L74" s="22" t="n">
        <v>60</v>
      </c>
      <c r="M74" s="23" t="n">
        <v>2</v>
      </c>
      <c r="N74" s="19" t="inlineStr">
        <is>
          <t>**台帳が洗い出した「足りない図」のうち3点を作成した。****①入院時・退院時の加算算定率（f46）**──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見える化の箇所数（平成28年度以降0か所）と調査の参加頻度（年に数回以上13.8％）を並べ、食い違いを可視化した。いずれも素案・協議会資料に差し込み済み</t>
        </is>
      </c>
      <c r="O74" s="19" t="inlineStr">
        <is>
          <t>**残る3点は11-2のとおり。うち要介護度の維持・改善率は手元の資料で作成できる**</t>
        </is>
      </c>
      <c r="P74" s="24" t="n"/>
      <c r="Q74" s="24" t="n"/>
      <c r="R74" s="24" t="n"/>
      <c r="S74" s="24" t="n"/>
      <c r="T74" s="24" t="n"/>
      <c r="U74" s="24" t="n"/>
      <c r="V74" s="24" t="n"/>
      <c r="W74" s="24" t="n"/>
    </row>
    <row r="75">
      <c r="A75" s="19" t="inlineStr">
        <is>
          <t>P11 品質・進捗管理</t>
        </is>
      </c>
      <c r="B75" s="20" t="inlineStr">
        <is>
          <t>11-4</t>
        </is>
      </c>
      <c r="C75" s="19" t="inlineStr">
        <is>
          <t>成果品の体裁の統一と機械点検</t>
        </is>
      </c>
      <c r="D75" s="19" t="inlineStr">
        <is>
          <t>書体・余白・見出し・表の体裁をそろえ、崩れを機械で検出する</t>
        </is>
      </c>
      <c r="E75" s="19" t="inlineStr">
        <is>
          <t>B9 成果品の納品</t>
        </is>
      </c>
      <c r="F75" s="20" t="inlineStr">
        <is>
          <t>仕様書4 成果品</t>
        </is>
      </c>
      <c r="G75" s="19" t="inlineStr">
        <is>
          <t>【成果品】（1）〜（4）のデータ（CD-R）1部、冊子（簡易製本）各3部／（5）（6）のデータ（CD-R）1部、計画書印刷50部／概要版印刷50部</t>
        </is>
      </c>
      <c r="H75" s="20" t="inlineStr">
        <is>
          <t>受託者</t>
        </is>
      </c>
      <c r="I75" s="20" t="inlineStr">
        <is>
          <t>2026-09</t>
        </is>
      </c>
      <c r="J75" s="20" t="inlineStr">
        <is>
          <t>2026-12</t>
        </is>
      </c>
      <c r="K75" s="23" t="inlineStr">
        <is>
          <t>進行中</t>
        </is>
      </c>
      <c r="L75" s="22" t="n">
        <v>80</v>
      </c>
      <c r="M75" s="23" t="n">
        <v>2</v>
      </c>
      <c r="N75"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5" s="19" t="inlineStr">
        <is>
          <t>**印刷用の最終体裁（4色刷り・80頁）は組版工程（10-2）で別に点検する**</t>
        </is>
      </c>
      <c r="P75" s="24" t="n"/>
      <c r="Q75" s="24" t="n"/>
      <c r="R75" s="24" t="n"/>
      <c r="S75" s="24" t="n"/>
      <c r="T75" s="24" t="n"/>
      <c r="U75" s="24" t="n"/>
      <c r="V75" s="24" t="n"/>
      <c r="W75" s="24" t="n"/>
    </row>
    <row r="76">
      <c r="A76" s="19" t="inlineStr">
        <is>
          <t>P11 品質・進捗管理</t>
        </is>
      </c>
      <c r="B76" s="20" t="inlineStr">
        <is>
          <t>11-5</t>
        </is>
      </c>
      <c r="C76" s="19" t="inlineStr">
        <is>
          <t>他団体の資料・データの取扱いの点検</t>
        </is>
      </c>
      <c r="D76" s="19" t="inlineStr">
        <is>
          <t>他団体から受領していない資料の数値・団体名が成果品に混入していないかの全件走査</t>
        </is>
      </c>
      <c r="E76" s="19" t="inlineStr">
        <is>
          <t>B10 業務管理・計画の基本的な考え方</t>
        </is>
      </c>
      <c r="F76" s="20" t="inlineStr">
        <is>
          <t>仕様書全般</t>
        </is>
      </c>
      <c r="G76" s="19" t="inlineStr">
        <is>
          <t>【全般】委託仕様書及び公告の全体（成果品要件・工程・作業分担の確認）</t>
        </is>
      </c>
      <c r="H76" s="20" t="inlineStr">
        <is>
          <t>受託者</t>
        </is>
      </c>
      <c r="I76" s="20" t="inlineStr">
        <is>
          <t>2026-09</t>
        </is>
      </c>
      <c r="J76" s="20" t="inlineStr">
        <is>
          <t>2026-10</t>
        </is>
      </c>
      <c r="K76" s="21" t="inlineStr">
        <is>
          <t>完了</t>
        </is>
      </c>
      <c r="L76" s="22" t="n">
        <v>100</v>
      </c>
      <c r="M76" s="23" t="n">
        <v>2</v>
      </c>
      <c r="N76"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6" s="19" t="inlineStr">
        <is>
          <t>―</t>
        </is>
      </c>
      <c r="P76" s="24" t="n"/>
      <c r="Q76" s="24" t="n"/>
      <c r="R76" s="24" t="n"/>
      <c r="S76" s="24" t="n"/>
      <c r="T76" s="24" t="n"/>
      <c r="U76" s="24" t="n"/>
      <c r="V76" s="24" t="n"/>
      <c r="W76" s="24" t="n"/>
    </row>
    <row r="77">
      <c r="A77" s="19" t="inlineStr">
        <is>
          <t>P11 品質・進捗管理</t>
        </is>
      </c>
      <c r="B77" s="20" t="inlineStr">
        <is>
          <t>11-6</t>
        </is>
      </c>
      <c r="C77" s="19" t="inlineStr">
        <is>
          <t>ペンディング項目の整理と作業順位の管理</t>
        </is>
      </c>
      <c r="D77" s="19" t="inlineStr">
        <is>
          <t>止まっている項目の影響度・優先順位と、止まっていない作業の着手順を1枚で追えるようにする</t>
        </is>
      </c>
      <c r="E77" s="19" t="inlineStr">
        <is>
          <t>B10 業務管理・計画の基本的な考え方</t>
        </is>
      </c>
      <c r="F77" s="20" t="inlineStr">
        <is>
          <t>仕様書5(3)</t>
        </is>
      </c>
      <c r="G77" s="19" t="inlineStr">
        <is>
          <t>【5(3)】本仕様書に定めのない事項及び疑義が生じた場合は、小野町と受託者で協議するものとする。</t>
        </is>
      </c>
      <c r="H77" s="20" t="inlineStr">
        <is>
          <t>受託者</t>
        </is>
      </c>
      <c r="I77" s="20" t="inlineStr">
        <is>
          <t>2026-10</t>
        </is>
      </c>
      <c r="J77" s="20" t="inlineStr">
        <is>
          <t>2027-03</t>
        </is>
      </c>
      <c r="K77" s="23" t="inlineStr">
        <is>
          <t>進行中</t>
        </is>
      </c>
      <c r="L77" s="22" t="n">
        <v>70</v>
      </c>
      <c r="M77" s="23" t="n">
        <v>2</v>
      </c>
      <c r="N77"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7" s="19" t="inlineStr">
        <is>
          <t>**町の回答が届くたびに順位を組み替える。優先1位（基金運用状況調書）の回答が来た時点で、その日の作業を止めて差し替えに回す**</t>
        </is>
      </c>
      <c r="P77" s="24" t="n"/>
      <c r="Q77" s="24" t="n"/>
      <c r="R77" s="24" t="n"/>
      <c r="S77" s="24" t="n"/>
      <c r="T77" s="24" t="n"/>
      <c r="U77" s="24" t="n"/>
      <c r="V77" s="24" t="n"/>
      <c r="W77" s="24" t="n"/>
    </row>
  </sheetData>
  <autoFilter ref="A1:O77"/>
  <conditionalFormatting sqref="L2:L77">
    <cfRule type="cellIs" priority="1" operator="equal" dxfId="0">
      <formula>100</formula>
    </cfRule>
    <cfRule type="cellIs" priority="2" operator="equal" dxfId="1">
      <formula>0</formula>
    </cfRule>
  </conditionalFormatting>
  <dataValidations count="2">
    <dataValidation sqref="K2:K77" showDropDown="0" showInputMessage="0" showErrorMessage="0" allowBlank="1" type="list">
      <formula1>"完了,進行中,要対応,データ待ち,未着手"</formula1>
    </dataValidation>
    <dataValidation sqref="L2:L77"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COUNTIF('01_WBS'!$A$2:$A$77,$A2)</f>
        <v/>
      </c>
      <c r="C2" s="20">
        <f>COUNTIFS('01_WBS'!$A$2:$A$77,$A2,'01_WBS'!$K$2:$K$77,"完了")</f>
        <v/>
      </c>
      <c r="D2" s="20">
        <f>COUNTIFS('01_WBS'!$A$2:$A$77,$A2,'01_WBS'!$K$2:$K$77,"進行中")</f>
        <v/>
      </c>
      <c r="E2" s="20">
        <f>COUNTIFS('01_WBS'!$A$2:$A$77,$A2,'01_WBS'!$K$2:$K$77,"要対応")</f>
        <v/>
      </c>
      <c r="F2" s="20">
        <f>COUNTIFS('01_WBS'!$A$2:$A$77,$A2,'01_WBS'!$K$2:$K$77,"データ待ち")</f>
        <v/>
      </c>
      <c r="G2" s="20">
        <f>COUNTIFS('01_WBS'!$A$2:$A$77,$A2,'01_WBS'!$K$2:$K$77,"未着手")</f>
        <v/>
      </c>
      <c r="H2" s="28">
        <f>IF(SUMPRODUCT(('01_WBS'!$A$2:$A$77=$A2)*'01_WBS'!$M$2:$M$77)=0,0,SUMPRODUCT(('01_WBS'!$A$2:$A$77=$A2)*'01_WBS'!$L$2:$L$77*'01_WBS'!$M$2:$M$77)/SUMPRODUCT(('01_WBS'!$A$2:$A$77=$A2)*'01_WBS'!$M$2:$M$77)/100)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COUNTIF('01_WBS'!$A$2:$A$77,$A3)</f>
        <v/>
      </c>
      <c r="C3" s="20">
        <f>COUNTIFS('01_WBS'!$A$2:$A$77,$A3,'01_WBS'!$K$2:$K$77,"完了")</f>
        <v/>
      </c>
      <c r="D3" s="20">
        <f>COUNTIFS('01_WBS'!$A$2:$A$77,$A3,'01_WBS'!$K$2:$K$77,"進行中")</f>
        <v/>
      </c>
      <c r="E3" s="20">
        <f>COUNTIFS('01_WBS'!$A$2:$A$77,$A3,'01_WBS'!$K$2:$K$77,"要対応")</f>
        <v/>
      </c>
      <c r="F3" s="20">
        <f>COUNTIFS('01_WBS'!$A$2:$A$77,$A3,'01_WBS'!$K$2:$K$77,"データ待ち")</f>
        <v/>
      </c>
      <c r="G3" s="20">
        <f>COUNTIFS('01_WBS'!$A$2:$A$77,$A3,'01_WBS'!$K$2:$K$77,"未着手")</f>
        <v/>
      </c>
      <c r="H3" s="28">
        <f>IF(SUMPRODUCT(('01_WBS'!$A$2:$A$77=$A3)*'01_WBS'!$M$2:$M$77)=0,0,SUMPRODUCT(('01_WBS'!$A$2:$A$77=$A3)*'01_WBS'!$L$2:$L$77*'01_WBS'!$M$2:$M$77)/SUMPRODUCT(('01_WBS'!$A$2:$A$77=$A3)*'01_WBS'!$M$2:$M$77)/100)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COUNTIF('01_WBS'!$A$2:$A$77,$A4)</f>
        <v/>
      </c>
      <c r="C4" s="20">
        <f>COUNTIFS('01_WBS'!$A$2:$A$77,$A4,'01_WBS'!$K$2:$K$77,"完了")</f>
        <v/>
      </c>
      <c r="D4" s="20">
        <f>COUNTIFS('01_WBS'!$A$2:$A$77,$A4,'01_WBS'!$K$2:$K$77,"進行中")</f>
        <v/>
      </c>
      <c r="E4" s="20">
        <f>COUNTIFS('01_WBS'!$A$2:$A$77,$A4,'01_WBS'!$K$2:$K$77,"要対応")</f>
        <v/>
      </c>
      <c r="F4" s="20">
        <f>COUNTIFS('01_WBS'!$A$2:$A$77,$A4,'01_WBS'!$K$2:$K$77,"データ待ち")</f>
        <v/>
      </c>
      <c r="G4" s="20">
        <f>COUNTIFS('01_WBS'!$A$2:$A$77,$A4,'01_WBS'!$K$2:$K$77,"未着手")</f>
        <v/>
      </c>
      <c r="H4" s="28">
        <f>IF(SUMPRODUCT(('01_WBS'!$A$2:$A$77=$A4)*'01_WBS'!$M$2:$M$77)=0,0,SUMPRODUCT(('01_WBS'!$A$2:$A$77=$A4)*'01_WBS'!$L$2:$L$77*'01_WBS'!$M$2:$M$77)/SUMPRODUCT(('01_WBS'!$A$2:$A$77=$A4)*'01_WBS'!$M$2:$M$77)/100)</f>
        <v/>
      </c>
      <c r="I4" s="20" t="inlineStr">
        <is>
          <t>2026-07</t>
        </is>
      </c>
      <c r="J4" s="20" t="inlineStr">
        <is>
          <t>2027-03</t>
        </is>
      </c>
      <c r="K4" s="19" t="inlineStr">
        <is>
          <t>町の給付実績（令和3〜7年度）</t>
        </is>
      </c>
    </row>
    <row r="5">
      <c r="A5" s="19" t="inlineStr">
        <is>
          <t>P4 調査結果の反映</t>
        </is>
      </c>
      <c r="B5" s="20">
        <f>COUNTIF('01_WBS'!$A$2:$A$77,$A5)</f>
        <v/>
      </c>
      <c r="C5" s="20">
        <f>COUNTIFS('01_WBS'!$A$2:$A$77,$A5,'01_WBS'!$K$2:$K$77,"完了")</f>
        <v/>
      </c>
      <c r="D5" s="20">
        <f>COUNTIFS('01_WBS'!$A$2:$A$77,$A5,'01_WBS'!$K$2:$K$77,"進行中")</f>
        <v/>
      </c>
      <c r="E5" s="20">
        <f>COUNTIFS('01_WBS'!$A$2:$A$77,$A5,'01_WBS'!$K$2:$K$77,"要対応")</f>
        <v/>
      </c>
      <c r="F5" s="20">
        <f>COUNTIFS('01_WBS'!$A$2:$A$77,$A5,'01_WBS'!$K$2:$K$77,"データ待ち")</f>
        <v/>
      </c>
      <c r="G5" s="20">
        <f>COUNTIFS('01_WBS'!$A$2:$A$77,$A5,'01_WBS'!$K$2:$K$77,"未着手")</f>
        <v/>
      </c>
      <c r="H5" s="28">
        <f>IF(SUMPRODUCT(('01_WBS'!$A$2:$A$77=$A5)*'01_WBS'!$M$2:$M$77)=0,0,SUMPRODUCT(('01_WBS'!$A$2:$A$77=$A5)*'01_WBS'!$L$2:$L$77*'01_WBS'!$M$2:$M$77)/SUMPRODUCT(('01_WBS'!$A$2:$A$77=$A5)*'01_WBS'!$M$2:$M$77)/100)</f>
        <v/>
      </c>
      <c r="I5" s="20" t="inlineStr">
        <is>
          <t>2026-08</t>
        </is>
      </c>
      <c r="J5" s="20" t="inlineStr">
        <is>
          <t>2026-10</t>
        </is>
      </c>
      <c r="K5" s="19" t="inlineStr">
        <is>
          <t>令和7年度調査の個票データ（クロス集計17件）</t>
        </is>
      </c>
    </row>
    <row r="6">
      <c r="A6" s="19" t="inlineStr">
        <is>
          <t>P5 第9期の評価</t>
        </is>
      </c>
      <c r="B6" s="20">
        <f>COUNTIF('01_WBS'!$A$2:$A$77,$A6)</f>
        <v/>
      </c>
      <c r="C6" s="20">
        <f>COUNTIFS('01_WBS'!$A$2:$A$77,$A6,'01_WBS'!$K$2:$K$77,"完了")</f>
        <v/>
      </c>
      <c r="D6" s="20">
        <f>COUNTIFS('01_WBS'!$A$2:$A$77,$A6,'01_WBS'!$K$2:$K$77,"進行中")</f>
        <v/>
      </c>
      <c r="E6" s="20">
        <f>COUNTIFS('01_WBS'!$A$2:$A$77,$A6,'01_WBS'!$K$2:$K$77,"要対応")</f>
        <v/>
      </c>
      <c r="F6" s="20">
        <f>COUNTIFS('01_WBS'!$A$2:$A$77,$A6,'01_WBS'!$K$2:$K$77,"データ待ち")</f>
        <v/>
      </c>
      <c r="G6" s="20">
        <f>COUNTIFS('01_WBS'!$A$2:$A$77,$A6,'01_WBS'!$K$2:$K$77,"未着手")</f>
        <v/>
      </c>
      <c r="H6" s="28">
        <f>IF(SUMPRODUCT(('01_WBS'!$A$2:$A$77=$A6)*'01_WBS'!$M$2:$M$77)=0,0,SUMPRODUCT(('01_WBS'!$A$2:$A$77=$A6)*'01_WBS'!$L$2:$L$77*'01_WBS'!$M$2:$M$77)/SUMPRODUCT(('01_WBS'!$A$2:$A$77=$A6)*'01_WBS'!$M$2:$M$77)/100)</f>
        <v/>
      </c>
      <c r="I6" s="20" t="inlineStr">
        <is>
          <t>2026-08</t>
        </is>
      </c>
      <c r="J6" s="20" t="inlineStr">
        <is>
          <t>2026-10</t>
        </is>
      </c>
      <c r="K6" s="19" t="inlineStr">
        <is>
          <t>町の事業実績。とくに総合事業・通いの場</t>
        </is>
      </c>
    </row>
    <row r="7">
      <c r="A7" s="19" t="inlineStr">
        <is>
          <t>P6 骨子案</t>
        </is>
      </c>
      <c r="B7" s="20">
        <f>COUNTIF('01_WBS'!$A$2:$A$77,$A7)</f>
        <v/>
      </c>
      <c r="C7" s="20">
        <f>COUNTIFS('01_WBS'!$A$2:$A$77,$A7,'01_WBS'!$K$2:$K$77,"完了")</f>
        <v/>
      </c>
      <c r="D7" s="20">
        <f>COUNTIFS('01_WBS'!$A$2:$A$77,$A7,'01_WBS'!$K$2:$K$77,"進行中")</f>
        <v/>
      </c>
      <c r="E7" s="20">
        <f>COUNTIFS('01_WBS'!$A$2:$A$77,$A7,'01_WBS'!$K$2:$K$77,"要対応")</f>
        <v/>
      </c>
      <c r="F7" s="20">
        <f>COUNTIFS('01_WBS'!$A$2:$A$77,$A7,'01_WBS'!$K$2:$K$77,"データ待ち")</f>
        <v/>
      </c>
      <c r="G7" s="20">
        <f>COUNTIFS('01_WBS'!$A$2:$A$77,$A7,'01_WBS'!$K$2:$K$77,"未着手")</f>
        <v/>
      </c>
      <c r="H7" s="28">
        <f>IF(SUMPRODUCT(('01_WBS'!$A$2:$A$77=$A7)*'01_WBS'!$M$2:$M$77)=0,0,SUMPRODUCT(('01_WBS'!$A$2:$A$77=$A7)*'01_WBS'!$L$2:$L$77*'01_WBS'!$M$2:$M$77)/SUMPRODUCT(('01_WBS'!$A$2:$A$77=$A7)*'01_WBS'!$M$2:$M$77)/100)</f>
        <v/>
      </c>
      <c r="I7" s="20" t="inlineStr">
        <is>
          <t>2026-07</t>
        </is>
      </c>
      <c r="J7" s="20" t="inlineStr">
        <is>
          <t>2027-03</t>
        </is>
      </c>
      <c r="K7" s="19" t="inlineStr">
        <is>
          <t>協議会の開催回数・時期が未定</t>
        </is>
      </c>
    </row>
    <row r="8">
      <c r="A8" s="19" t="inlineStr">
        <is>
          <t>P7 推計・算定</t>
        </is>
      </c>
      <c r="B8" s="20">
        <f>COUNTIF('01_WBS'!$A$2:$A$77,$A8)</f>
        <v/>
      </c>
      <c r="C8" s="20">
        <f>COUNTIFS('01_WBS'!$A$2:$A$77,$A8,'01_WBS'!$K$2:$K$77,"完了")</f>
        <v/>
      </c>
      <c r="D8" s="20">
        <f>COUNTIFS('01_WBS'!$A$2:$A$77,$A8,'01_WBS'!$K$2:$K$77,"進行中")</f>
        <v/>
      </c>
      <c r="E8" s="20">
        <f>COUNTIFS('01_WBS'!$A$2:$A$77,$A8,'01_WBS'!$K$2:$K$77,"要対応")</f>
        <v/>
      </c>
      <c r="F8" s="20">
        <f>COUNTIFS('01_WBS'!$A$2:$A$77,$A8,'01_WBS'!$K$2:$K$77,"データ待ち")</f>
        <v/>
      </c>
      <c r="G8" s="20">
        <f>COUNTIFS('01_WBS'!$A$2:$A$77,$A8,'01_WBS'!$K$2:$K$77,"未着手")</f>
        <v/>
      </c>
      <c r="H8" s="28">
        <f>IF(SUMPRODUCT(('01_WBS'!$A$2:$A$77=$A8)*'01_WBS'!$M$2:$M$77)=0,0,SUMPRODUCT(('01_WBS'!$A$2:$A$77=$A8)*'01_WBS'!$L$2:$L$77*'01_WBS'!$M$2:$M$77)/SUMPRODUCT(('01_WBS'!$A$2:$A$77=$A8)*'01_WBS'!$M$2:$M$77)/100)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COUNTIF('01_WBS'!$A$2:$A$77,$A9)</f>
        <v/>
      </c>
      <c r="C9" s="20">
        <f>COUNTIFS('01_WBS'!$A$2:$A$77,$A9,'01_WBS'!$K$2:$K$77,"完了")</f>
        <v/>
      </c>
      <c r="D9" s="20">
        <f>COUNTIFS('01_WBS'!$A$2:$A$77,$A9,'01_WBS'!$K$2:$K$77,"進行中")</f>
        <v/>
      </c>
      <c r="E9" s="20">
        <f>COUNTIFS('01_WBS'!$A$2:$A$77,$A9,'01_WBS'!$K$2:$K$77,"要対応")</f>
        <v/>
      </c>
      <c r="F9" s="20">
        <f>COUNTIFS('01_WBS'!$A$2:$A$77,$A9,'01_WBS'!$K$2:$K$77,"データ待ち")</f>
        <v/>
      </c>
      <c r="G9" s="20">
        <f>COUNTIFS('01_WBS'!$A$2:$A$77,$A9,'01_WBS'!$K$2:$K$77,"未着手")</f>
        <v/>
      </c>
      <c r="H9" s="28">
        <f>IF(SUMPRODUCT(('01_WBS'!$A$2:$A$77=$A9)*'01_WBS'!$M$2:$M$77)=0,0,SUMPRODUCT(('01_WBS'!$A$2:$A$77=$A9)*'01_WBS'!$L$2:$L$77*'01_WBS'!$M$2:$M$77)/SUMPRODUCT(('01_WBS'!$A$2:$A$77=$A9)*'01_WBS'!$M$2:$M$77)/100)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COUNTIF('01_WBS'!$A$2:$A$77,$A10)</f>
        <v/>
      </c>
      <c r="C10" s="20">
        <f>COUNTIFS('01_WBS'!$A$2:$A$77,$A10,'01_WBS'!$K$2:$K$77,"完了")</f>
        <v/>
      </c>
      <c r="D10" s="20">
        <f>COUNTIFS('01_WBS'!$A$2:$A$77,$A10,'01_WBS'!$K$2:$K$77,"進行中")</f>
        <v/>
      </c>
      <c r="E10" s="20">
        <f>COUNTIFS('01_WBS'!$A$2:$A$77,$A10,'01_WBS'!$K$2:$K$77,"要対応")</f>
        <v/>
      </c>
      <c r="F10" s="20">
        <f>COUNTIFS('01_WBS'!$A$2:$A$77,$A10,'01_WBS'!$K$2:$K$77,"データ待ち")</f>
        <v/>
      </c>
      <c r="G10" s="20">
        <f>COUNTIFS('01_WBS'!$A$2:$A$77,$A10,'01_WBS'!$K$2:$K$77,"未着手")</f>
        <v/>
      </c>
      <c r="H10" s="28">
        <f>IF(SUMPRODUCT(('01_WBS'!$A$2:$A$77=$A10)*'01_WBS'!$M$2:$M$77)=0,0,SUMPRODUCT(('01_WBS'!$A$2:$A$77=$A10)*'01_WBS'!$L$2:$L$77*'01_WBS'!$M$2:$M$77)/SUMPRODUCT(('01_WBS'!$A$2:$A$77=$A10)*'01_WBS'!$M$2:$M$77)/100)</f>
        <v/>
      </c>
      <c r="I10" s="20" t="inlineStr">
        <is>
          <t>2026-08</t>
        </is>
      </c>
      <c r="J10" s="20" t="inlineStr">
        <is>
          <t>2027-02</t>
        </is>
      </c>
      <c r="K10" s="19" t="inlineStr">
        <is>
          <t>**協議会の開催回数・時期が未定。工程が引けない**</t>
        </is>
      </c>
    </row>
    <row r="11">
      <c r="A11" s="19" t="inlineStr">
        <is>
          <t>P10 完成・納品</t>
        </is>
      </c>
      <c r="B11" s="20">
        <f>COUNTIF('01_WBS'!$A$2:$A$77,$A11)</f>
        <v/>
      </c>
      <c r="C11" s="20">
        <f>COUNTIFS('01_WBS'!$A$2:$A$77,$A11,'01_WBS'!$K$2:$K$77,"完了")</f>
        <v/>
      </c>
      <c r="D11" s="20">
        <f>COUNTIFS('01_WBS'!$A$2:$A$77,$A11,'01_WBS'!$K$2:$K$77,"進行中")</f>
        <v/>
      </c>
      <c r="E11" s="20">
        <f>COUNTIFS('01_WBS'!$A$2:$A$77,$A11,'01_WBS'!$K$2:$K$77,"要対応")</f>
        <v/>
      </c>
      <c r="F11" s="20">
        <f>COUNTIFS('01_WBS'!$A$2:$A$77,$A11,'01_WBS'!$K$2:$K$77,"データ待ち")</f>
        <v/>
      </c>
      <c r="G11" s="20">
        <f>COUNTIFS('01_WBS'!$A$2:$A$77,$A11,'01_WBS'!$K$2:$K$77,"未着手")</f>
        <v/>
      </c>
      <c r="H11" s="28">
        <f>IF(SUMPRODUCT(('01_WBS'!$A$2:$A$77=$A11)*'01_WBS'!$M$2:$M$77)=0,0,SUMPRODUCT(('01_WBS'!$A$2:$A$77=$A11)*'01_WBS'!$L$2:$L$77*'01_WBS'!$M$2:$M$77)/SUMPRODUCT(('01_WBS'!$A$2:$A$77=$A11)*'01_WBS'!$M$2:$M$77)/100)</f>
        <v/>
      </c>
      <c r="I11" s="20" t="inlineStr">
        <is>
          <t>2026-08</t>
        </is>
      </c>
      <c r="J11" s="20" t="inlineStr">
        <is>
          <t>2027-03</t>
        </is>
      </c>
      <c r="K11" s="19" t="inlineStr">
        <is>
          <t>令和9年2月下旬の校了が動かせない期限</t>
        </is>
      </c>
    </row>
    <row r="12">
      <c r="A12" s="19" t="inlineStr">
        <is>
          <t>P11 品質・進捗管理</t>
        </is>
      </c>
      <c r="B12" s="20">
        <f>COUNTIF('01_WBS'!$A$2:$A$77,$A12)</f>
        <v/>
      </c>
      <c r="C12" s="20">
        <f>COUNTIFS('01_WBS'!$A$2:$A$77,$A12,'01_WBS'!$K$2:$K$77,"完了")</f>
        <v/>
      </c>
      <c r="D12" s="20">
        <f>COUNTIFS('01_WBS'!$A$2:$A$77,$A12,'01_WBS'!$K$2:$K$77,"進行中")</f>
        <v/>
      </c>
      <c r="E12" s="20">
        <f>COUNTIFS('01_WBS'!$A$2:$A$77,$A12,'01_WBS'!$K$2:$K$77,"要対応")</f>
        <v/>
      </c>
      <c r="F12" s="20">
        <f>COUNTIFS('01_WBS'!$A$2:$A$77,$A12,'01_WBS'!$K$2:$K$77,"データ待ち")</f>
        <v/>
      </c>
      <c r="G12" s="20">
        <f>COUNTIFS('01_WBS'!$A$2:$A$77,$A12,'01_WBS'!$K$2:$K$77,"未着手")</f>
        <v/>
      </c>
      <c r="H12" s="28">
        <f>IF(SUMPRODUCT(('01_WBS'!$A$2:$A$77=$A12)*'01_WBS'!$M$2:$M$77)=0,0,SUMPRODUCT(('01_WBS'!$A$2:$A$77=$A12)*'01_WBS'!$L$2:$L$77*'01_WBS'!$M$2:$M$77)/SUMPRODUCT(('01_WBS'!$A$2:$A$77=$A12)*'01_WBS'!$M$2:$M$77)/100)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IF(SUM('01_WBS'!$M$2:$M$77)=0,0,SUMPRODUCT('01_WBS'!$L$2:$L$77,'01_WBS'!$M$2:$M$77)/SUM('01_WBS'!$M$2:$M$77)/100)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**12月までに発注しないと2月の校了に間に合わない**</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所得段階別・様式3・様式4で取得。基金保有額が令和4年度末120百万円→令和5年度末12百万円と1桁減っており要確認**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財政余剰の取扱いと基金残高の不整合</t>
        </is>
      </c>
      <c r="C8" s="19"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9"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9" t="inlineStr">
        <is>
          <t>取崩実績か入力誤りかを町に確認したうえで、余剰の還元（据置・引下げ・繰越金の基金積立）をケースC5・C6として算定する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**逆算表を作成済み（令和9年2月下旬の校了が期限）。12月までに印刷業者を押さえる**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**第1号被保険者1人あたり給付月額の県内順位を23位・30位から28位・33位に訂正し、認定率の「県内2位」に年度（令和7年3月末）を付した。見える化の定員の年度も令和7年度から令和6年度に直した**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**調整交付金見込額の基数を、標準給付費のみから（標準給付費＋総合事業費）に訂正した。**調整交付金相当額（5％）と同じ基数である</t>
        </is>
      </c>
      <c r="D4" s="19" t="inlineStr">
        <is>
          <t>仕様書4(2)</t>
        </is>
      </c>
      <c r="E4" s="21" t="inlineStr">
        <is>
          <t>完了</t>
        </is>
      </c>
      <c r="F4" s="19"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t>
        </is>
      </c>
      <c r="E23" s="20" t="n">
        <v>3</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t>
        </is>
      </c>
      <c r="E24" s="20" t="n">
        <v>3</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COUNTIF('01_WBS'!$E$2:$E$77,$A2)</f>
        <v/>
      </c>
      <c r="D2" s="20">
        <f>COUNTIFS('01_WBS'!$E$2:$E$77,$A2,'01_WBS'!$K$2:$K$77,"完了")</f>
        <v/>
      </c>
      <c r="E2" s="20">
        <f>COUNTIFS('01_WBS'!$E$2:$E$77,$A2,'01_WBS'!$K$2:$K$77,"進行中")</f>
        <v/>
      </c>
      <c r="F2" s="20">
        <f>COUNTIFS('01_WBS'!$E$2:$E$77,$A2,'01_WBS'!$K$2:$K$77,"要対応")</f>
        <v/>
      </c>
      <c r="G2" s="20">
        <f>COUNTIFS('01_WBS'!$E$2:$E$77,$A2,'01_WBS'!$K$2:$K$77,"データ待ち")</f>
        <v/>
      </c>
      <c r="H2" s="20">
        <f>COUNTIFS('01_WBS'!$E$2:$E$77,$A2,'01_WBS'!$K$2:$K$77,"未着手")</f>
        <v/>
      </c>
      <c r="I2" s="28">
        <f>IF(SUMPRODUCT(('01_WBS'!$E$2:$E$77=$A2)*'01_WBS'!$M$2:$M$77)=0,"―",SUMPRODUCT(('01_WBS'!$E$2:$E$77=$A2)*'01_WBS'!$L$2:$L$77*'01_WBS'!$M$2:$M$77)/SUMPRODUCT(('01_WBS'!$E$2:$E$77=$A2)*'01_WBS'!$M$2:$M$77)/100)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COUNTIF('01_WBS'!$E$2:$E$77,$A3)</f>
        <v/>
      </c>
      <c r="D3" s="20">
        <f>COUNTIFS('01_WBS'!$E$2:$E$77,$A3,'01_WBS'!$K$2:$K$77,"完了")</f>
        <v/>
      </c>
      <c r="E3" s="20">
        <f>COUNTIFS('01_WBS'!$E$2:$E$77,$A3,'01_WBS'!$K$2:$K$77,"進行中")</f>
        <v/>
      </c>
      <c r="F3" s="20">
        <f>COUNTIFS('01_WBS'!$E$2:$E$77,$A3,'01_WBS'!$K$2:$K$77,"要対応")</f>
        <v/>
      </c>
      <c r="G3" s="20">
        <f>COUNTIFS('01_WBS'!$E$2:$E$77,$A3,'01_WBS'!$K$2:$K$77,"データ待ち")</f>
        <v/>
      </c>
      <c r="H3" s="20">
        <f>COUNTIFS('01_WBS'!$E$2:$E$77,$A3,'01_WBS'!$K$2:$K$77,"未着手")</f>
        <v/>
      </c>
      <c r="I3" s="28">
        <f>IF(SUMPRODUCT(('01_WBS'!$E$2:$E$77=$A3)*'01_WBS'!$M$2:$M$77)=0,"―",SUMPRODUCT(('01_WBS'!$E$2:$E$77=$A3)*'01_WBS'!$L$2:$L$77*'01_WBS'!$M$2:$M$77)/SUMPRODUCT(('01_WBS'!$E$2:$E$77=$A3)*'01_WBS'!$M$2:$M$77)/100)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COUNTIF('01_WBS'!$E$2:$E$77,$A4)</f>
        <v/>
      </c>
      <c r="D4" s="20">
        <f>COUNTIFS('01_WBS'!$E$2:$E$77,$A4,'01_WBS'!$K$2:$K$77,"完了")</f>
        <v/>
      </c>
      <c r="E4" s="20">
        <f>COUNTIFS('01_WBS'!$E$2:$E$77,$A4,'01_WBS'!$K$2:$K$77,"進行中")</f>
        <v/>
      </c>
      <c r="F4" s="20">
        <f>COUNTIFS('01_WBS'!$E$2:$E$77,$A4,'01_WBS'!$K$2:$K$77,"要対応")</f>
        <v/>
      </c>
      <c r="G4" s="20">
        <f>COUNTIFS('01_WBS'!$E$2:$E$77,$A4,'01_WBS'!$K$2:$K$77,"データ待ち")</f>
        <v/>
      </c>
      <c r="H4" s="20">
        <f>COUNTIFS('01_WBS'!$E$2:$E$77,$A4,'01_WBS'!$K$2:$K$77,"未着手")</f>
        <v/>
      </c>
      <c r="I4" s="28">
        <f>IF(SUMPRODUCT(('01_WBS'!$E$2:$E$77=$A4)*'01_WBS'!$M$2:$M$77)=0,"―",SUMPRODUCT(('01_WBS'!$E$2:$E$77=$A4)*'01_WBS'!$L$2:$L$77*'01_WBS'!$M$2:$M$77)/SUMPRODUCT(('01_WBS'!$E$2:$E$77=$A4)*'01_WBS'!$M$2:$M$77)/100)</f>
        <v/>
      </c>
      <c r="J4" s="19" t="inlineStr">
        <is>
          <t>成果品①は第5版。町の給付実績で数値を確定する段階</t>
        </is>
      </c>
    </row>
    <row r="5">
      <c r="A5" s="19" t="inlineStr">
        <is>
          <t>B4 令和7年度調査結果の反映</t>
        </is>
      </c>
      <c r="B5" s="19" t="inlineStr">
        <is>
          <t>4(1)③</t>
        </is>
      </c>
      <c r="C5" s="20">
        <f>COUNTIF('01_WBS'!$E$2:$E$77,$A5)</f>
        <v/>
      </c>
      <c r="D5" s="20">
        <f>COUNTIFS('01_WBS'!$E$2:$E$77,$A5,'01_WBS'!$K$2:$K$77,"完了")</f>
        <v/>
      </c>
      <c r="E5" s="20">
        <f>COUNTIFS('01_WBS'!$E$2:$E$77,$A5,'01_WBS'!$K$2:$K$77,"進行中")</f>
        <v/>
      </c>
      <c r="F5" s="20">
        <f>COUNTIFS('01_WBS'!$E$2:$E$77,$A5,'01_WBS'!$K$2:$K$77,"要対応")</f>
        <v/>
      </c>
      <c r="G5" s="20">
        <f>COUNTIFS('01_WBS'!$E$2:$E$77,$A5,'01_WBS'!$K$2:$K$77,"データ待ち")</f>
        <v/>
      </c>
      <c r="H5" s="20">
        <f>COUNTIFS('01_WBS'!$E$2:$E$77,$A5,'01_WBS'!$K$2:$K$77,"未着手")</f>
        <v/>
      </c>
      <c r="I5" s="28">
        <f>IF(SUMPRODUCT(('01_WBS'!$E$2:$E$77=$A5)*'01_WBS'!$M$2:$M$77)=0,"―",SUMPRODUCT(('01_WBS'!$E$2:$E$77=$A5)*'01_WBS'!$L$2:$L$77*'01_WBS'!$M$2:$M$77)/SUMPRODUCT(('01_WBS'!$E$2:$E$77=$A5)*'01_WBS'!$M$2:$M$77)/100)</f>
        <v/>
      </c>
      <c r="J5" s="19" t="inlineStr">
        <is>
          <t>**単純集計は完了。個票がないとクロス集計17件ができない**</t>
        </is>
      </c>
    </row>
    <row r="6">
      <c r="A6" s="19" t="inlineStr">
        <is>
          <t>B5 事業量推計・保険料算出・介護財政</t>
        </is>
      </c>
      <c r="B6" s="19" t="inlineStr">
        <is>
          <t>4(2)</t>
        </is>
      </c>
      <c r="C6" s="20">
        <f>COUNTIF('01_WBS'!$E$2:$E$77,$A6)</f>
        <v/>
      </c>
      <c r="D6" s="20">
        <f>COUNTIFS('01_WBS'!$E$2:$E$77,$A6,'01_WBS'!$K$2:$K$77,"完了")</f>
        <v/>
      </c>
      <c r="E6" s="20">
        <f>COUNTIFS('01_WBS'!$E$2:$E$77,$A6,'01_WBS'!$K$2:$K$77,"進行中")</f>
        <v/>
      </c>
      <c r="F6" s="20">
        <f>COUNTIFS('01_WBS'!$E$2:$E$77,$A6,'01_WBS'!$K$2:$K$77,"要対応")</f>
        <v/>
      </c>
      <c r="G6" s="20">
        <f>COUNTIFS('01_WBS'!$E$2:$E$77,$A6,'01_WBS'!$K$2:$K$77,"データ待ち")</f>
        <v/>
      </c>
      <c r="H6" s="20">
        <f>COUNTIFS('01_WBS'!$E$2:$E$77,$A6,'01_WBS'!$K$2:$K$77,"未着手")</f>
        <v/>
      </c>
      <c r="I6" s="28">
        <f>IF(SUMPRODUCT(('01_WBS'!$E$2:$E$77=$A6)*'01_WBS'!$M$2:$M$77)=0,"―",SUMPRODUCT(('01_WBS'!$E$2:$E$77=$A6)*'01_WBS'!$L$2:$L$77*'01_WBS'!$M$2:$M$77)/SUMPRODUCT(('01_WBS'!$E$2:$E$77=$A6)*'01_WBS'!$M$2:$M$77)/100)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COUNTIF('01_WBS'!$E$2:$E$77,$A7)</f>
        <v/>
      </c>
      <c r="D7" s="20">
        <f>COUNTIFS('01_WBS'!$E$2:$E$77,$A7,'01_WBS'!$K$2:$K$77,"完了")</f>
        <v/>
      </c>
      <c r="E7" s="20">
        <f>COUNTIFS('01_WBS'!$E$2:$E$77,$A7,'01_WBS'!$K$2:$K$77,"進行中")</f>
        <v/>
      </c>
      <c r="F7" s="20">
        <f>COUNTIFS('01_WBS'!$E$2:$E$77,$A7,'01_WBS'!$K$2:$K$77,"要対応")</f>
        <v/>
      </c>
      <c r="G7" s="20">
        <f>COUNTIFS('01_WBS'!$E$2:$E$77,$A7,'01_WBS'!$K$2:$K$77,"データ待ち")</f>
        <v/>
      </c>
      <c r="H7" s="20">
        <f>COUNTIFS('01_WBS'!$E$2:$E$77,$A7,'01_WBS'!$K$2:$K$77,"未着手")</f>
        <v/>
      </c>
      <c r="I7" s="28">
        <f>IF(SUMPRODUCT(('01_WBS'!$E$2:$E$77=$A7)*'01_WBS'!$M$2:$M$77)=0,"―",SUMPRODUCT(('01_WBS'!$E$2:$E$77=$A7)*'01_WBS'!$L$2:$L$77*'01_WBS'!$M$2:$M$77)/SUMPRODUCT(('01_WBS'!$E$2:$E$77=$A7)*'01_WBS'!$M$2:$M$77)/100)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COUNTIF('01_WBS'!$E$2:$E$77,$A8)</f>
        <v/>
      </c>
      <c r="D8" s="20">
        <f>COUNTIFS('01_WBS'!$E$2:$E$77,$A8,'01_WBS'!$K$2:$K$77,"完了")</f>
        <v/>
      </c>
      <c r="E8" s="20">
        <f>COUNTIFS('01_WBS'!$E$2:$E$77,$A8,'01_WBS'!$K$2:$K$77,"進行中")</f>
        <v/>
      </c>
      <c r="F8" s="20">
        <f>COUNTIFS('01_WBS'!$E$2:$E$77,$A8,'01_WBS'!$K$2:$K$77,"要対応")</f>
        <v/>
      </c>
      <c r="G8" s="20">
        <f>COUNTIFS('01_WBS'!$E$2:$E$77,$A8,'01_WBS'!$K$2:$K$77,"データ待ち")</f>
        <v/>
      </c>
      <c r="H8" s="20">
        <f>COUNTIFS('01_WBS'!$E$2:$E$77,$A8,'01_WBS'!$K$2:$K$77,"未着手")</f>
        <v/>
      </c>
      <c r="I8" s="28">
        <f>IF(SUMPRODUCT(('01_WBS'!$E$2:$E$77=$A8)*'01_WBS'!$M$2:$M$77)=0,"―",SUMPRODUCT(('01_WBS'!$E$2:$E$77=$A8)*'01_WBS'!$L$2:$L$77*'01_WBS'!$M$2:$M$77)/SUMPRODUCT(('01_WBS'!$E$2:$E$77=$A8)*'01_WBS'!$M$2:$M$77)/100)</f>
        <v/>
      </c>
      <c r="J8" s="19" t="inlineStr">
        <is>
          <t>パブリックコメント後に着手する。時期が来ていない</t>
        </is>
      </c>
    </row>
    <row r="9">
      <c r="A9" s="19" t="inlineStr">
        <is>
          <t>B8 協議会・パブリックコメントの支援</t>
        </is>
      </c>
      <c r="B9" s="19" t="inlineStr">
        <is>
          <t>4(5)</t>
        </is>
      </c>
      <c r="C9" s="20">
        <f>COUNTIF('01_WBS'!$E$2:$E$77,$A9)</f>
        <v/>
      </c>
      <c r="D9" s="20">
        <f>COUNTIFS('01_WBS'!$E$2:$E$77,$A9,'01_WBS'!$K$2:$K$77,"完了")</f>
        <v/>
      </c>
      <c r="E9" s="20">
        <f>COUNTIFS('01_WBS'!$E$2:$E$77,$A9,'01_WBS'!$K$2:$K$77,"進行中")</f>
        <v/>
      </c>
      <c r="F9" s="20">
        <f>COUNTIFS('01_WBS'!$E$2:$E$77,$A9,'01_WBS'!$K$2:$K$77,"要対応")</f>
        <v/>
      </c>
      <c r="G9" s="20">
        <f>COUNTIFS('01_WBS'!$E$2:$E$77,$A9,'01_WBS'!$K$2:$K$77,"データ待ち")</f>
        <v/>
      </c>
      <c r="H9" s="20">
        <f>COUNTIFS('01_WBS'!$E$2:$E$77,$A9,'01_WBS'!$K$2:$K$77,"未着手")</f>
        <v/>
      </c>
      <c r="I9" s="28">
        <f>IF(SUMPRODUCT(('01_WBS'!$E$2:$E$77=$A9)*'01_WBS'!$M$2:$M$77)=0,"―",SUMPRODUCT(('01_WBS'!$E$2:$E$77=$A9)*'01_WBS'!$L$2:$L$77*'01_WBS'!$M$2:$M$77)/SUMPRODUCT(('01_WBS'!$E$2:$E$77=$A9)*'01_WBS'!$M$2:$M$77)/100)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COUNTIF('01_WBS'!$E$2:$E$77,$A10)</f>
        <v/>
      </c>
      <c r="D10" s="20">
        <f>COUNTIFS('01_WBS'!$E$2:$E$77,$A10,'01_WBS'!$K$2:$K$77,"完了")</f>
        <v/>
      </c>
      <c r="E10" s="20">
        <f>COUNTIFS('01_WBS'!$E$2:$E$77,$A10,'01_WBS'!$K$2:$K$77,"進行中")</f>
        <v/>
      </c>
      <c r="F10" s="20">
        <f>COUNTIFS('01_WBS'!$E$2:$E$77,$A10,'01_WBS'!$K$2:$K$77,"要対応")</f>
        <v/>
      </c>
      <c r="G10" s="20">
        <f>COUNTIFS('01_WBS'!$E$2:$E$77,$A10,'01_WBS'!$K$2:$K$77,"データ待ち")</f>
        <v/>
      </c>
      <c r="H10" s="20">
        <f>COUNTIFS('01_WBS'!$E$2:$E$77,$A10,'01_WBS'!$K$2:$K$77,"未着手")</f>
        <v/>
      </c>
      <c r="I10" s="28">
        <f>IF(SUMPRODUCT(('01_WBS'!$E$2:$E$77=$A10)*'01_WBS'!$M$2:$M$77)=0,"―",SUMPRODUCT(('01_WBS'!$E$2:$E$77=$A10)*'01_WBS'!$L$2:$L$77*'01_WBS'!$M$2:$M$77)/SUMPRODUCT(('01_WBS'!$E$2:$E$77=$A10)*'01_WBS'!$M$2:$M$77)/100)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COUNTIF('01_WBS'!$E$2:$E$77,$A11)</f>
        <v/>
      </c>
      <c r="D11" s="20">
        <f>COUNTIFS('01_WBS'!$E$2:$E$77,$A11,'01_WBS'!$K$2:$K$77,"完了")</f>
        <v/>
      </c>
      <c r="E11" s="20">
        <f>COUNTIFS('01_WBS'!$E$2:$E$77,$A11,'01_WBS'!$K$2:$K$77,"進行中")</f>
        <v/>
      </c>
      <c r="F11" s="20">
        <f>COUNTIFS('01_WBS'!$E$2:$E$77,$A11,'01_WBS'!$K$2:$K$77,"要対応")</f>
        <v/>
      </c>
      <c r="G11" s="20">
        <f>COUNTIFS('01_WBS'!$E$2:$E$77,$A11,'01_WBS'!$K$2:$K$77,"データ待ち")</f>
        <v/>
      </c>
      <c r="H11" s="20">
        <f>COUNTIFS('01_WBS'!$E$2:$E$77,$A11,'01_WBS'!$K$2:$K$77,"未着手")</f>
        <v/>
      </c>
      <c r="I11" s="28">
        <f>IF(SUMPRODUCT(('01_WBS'!$E$2:$E$77=$A11)*'01_WBS'!$M$2:$M$77)=0,"―",SUMPRODUCT(('01_WBS'!$E$2:$E$77=$A11)*'01_WBS'!$L$2:$L$77*'01_WBS'!$M$2:$M$77)/SUMPRODUCT(('01_WBS'!$E$2:$E$77=$A11)*'01_WBS'!$M$2:$M$77)/100)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COUNTIF('01_WBS'!$E$2:$E$77,$A12)</f>
        <v/>
      </c>
      <c r="D12" s="20">
        <f>COUNTIFS('01_WBS'!$E$2:$E$77,$A12,'01_WBS'!$K$2:$K$77,"完了")</f>
        <v/>
      </c>
      <c r="E12" s="20">
        <f>COUNTIFS('01_WBS'!$E$2:$E$77,$A12,'01_WBS'!$K$2:$K$77,"進行中")</f>
        <v/>
      </c>
      <c r="F12" s="20">
        <f>COUNTIFS('01_WBS'!$E$2:$E$77,$A12,'01_WBS'!$K$2:$K$77,"要対応")</f>
        <v/>
      </c>
      <c r="G12" s="20">
        <f>COUNTIFS('01_WBS'!$E$2:$E$77,$A12,'01_WBS'!$K$2:$K$77,"データ待ち")</f>
        <v/>
      </c>
      <c r="H12" s="20">
        <f>COUNTIFS('01_WBS'!$E$2:$E$77,$A12,'01_WBS'!$K$2:$K$77,"未着手")</f>
        <v/>
      </c>
      <c r="I12" s="28">
        <f>IF(SUMPRODUCT(('01_WBS'!$E$2:$E$77=$A12)*'01_WBS'!$M$2:$M$77)=0,"―",SUMPRODUCT(('01_WBS'!$E$2:$E$77=$A12)*'01_WBS'!$L$2:$L$77*'01_WBS'!$M$2:$M$77)/SUMPRODUCT(('01_WBS'!$E$2:$E$77=$A12)*'01_WBS'!$M$2:$M$77)/100)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IF(SUM('01_WBS'!$M$2:$M$77)=0,0,SUMPRODUCT('01_WBS'!$L$2:$L$77,'01_WBS'!$M$2:$M$77)/SUM('01_WBS'!$M$2:$M$77)/100)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50</v>
      </c>
      <c r="J4" s="32" t="n">
        <v>-50</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2-10</t>
        </is>
      </c>
      <c r="C6" s="19" t="inlineStr">
        <is>
          <t>見える化 優先度C分野の出力</t>
        </is>
      </c>
      <c r="D6" s="20" t="inlineStr">
        <is>
          <t>受託者</t>
        </is>
      </c>
      <c r="E6" s="20" t="inlineStr">
        <is>
          <t>2026-09</t>
        </is>
      </c>
      <c r="F6" s="20" t="inlineStr">
        <is>
          <t>2026-10</t>
        </is>
      </c>
      <c r="G6" s="23" t="inlineStr">
        <is>
          <t>進行中</t>
        </is>
      </c>
      <c r="H6" s="32" t="n">
        <v>30</v>
      </c>
      <c r="I6" s="32" t="n">
        <v>50</v>
      </c>
      <c r="J6" s="32" t="n">
        <v>-20</v>
      </c>
      <c r="K6" s="20" t="n">
        <v>2</v>
      </c>
      <c r="L6" s="26" t="inlineStr">
        <is>
          <t>遅れ</t>
        </is>
      </c>
      <c r="M6" s="19" t="inlineStr">
        <is>
          <t>**残るのは医療提供体制・リハビリ提供体制の出力。見える化システムへのアクセスは確保できている（9月28日に推計が通った）**</t>
        </is>
      </c>
    </row>
    <row r="7">
      <c r="A7" s="19" t="inlineStr">
        <is>
          <t>P2 統計分析</t>
        </is>
      </c>
      <c r="B7" s="20" t="inlineStr">
        <is>
          <t>2-6</t>
        </is>
      </c>
      <c r="C7" s="19" t="inlineStr">
        <is>
          <t>介護予防事業対象者数の分析</t>
        </is>
      </c>
      <c r="D7" s="20" t="inlineStr">
        <is>
          <t>受託者</t>
        </is>
      </c>
      <c r="E7" s="20" t="inlineStr">
        <is>
          <t>2026-08</t>
        </is>
      </c>
      <c r="F7" s="20" t="inlineStr">
        <is>
          <t>2026-10</t>
        </is>
      </c>
      <c r="G7" s="26" t="inlineStr">
        <is>
          <t>データ待ち</t>
        </is>
      </c>
      <c r="H7" s="32" t="n">
        <v>50</v>
      </c>
      <c r="I7" s="32" t="n">
        <v>67</v>
      </c>
      <c r="J7" s="32" t="n">
        <v>-17</v>
      </c>
      <c r="K7" s="20" t="n">
        <v>3</v>
      </c>
      <c r="L7" s="26" t="inlineStr">
        <is>
          <t>遅れ</t>
        </is>
      </c>
      <c r="M7"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8">
      <c r="A8" s="19" t="inlineStr">
        <is>
          <t>P2 統計分析</t>
        </is>
      </c>
      <c r="B8" s="20" t="inlineStr">
        <is>
          <t>2-7</t>
        </is>
      </c>
      <c r="C8" s="19" t="inlineStr">
        <is>
          <t>認知症高齢者の分析</t>
        </is>
      </c>
      <c r="D8" s="20" t="inlineStr">
        <is>
          <t>受託者</t>
        </is>
      </c>
      <c r="E8" s="20" t="inlineStr">
        <is>
          <t>2026-08</t>
        </is>
      </c>
      <c r="F8" s="20" t="inlineStr">
        <is>
          <t>2026-08</t>
        </is>
      </c>
      <c r="G8" s="23" t="inlineStr">
        <is>
          <t>進行中</t>
        </is>
      </c>
      <c r="H8" s="32" t="n">
        <v>85</v>
      </c>
      <c r="I8" s="32" t="n">
        <v>100</v>
      </c>
      <c r="J8" s="32" t="n">
        <v>-15</v>
      </c>
      <c r="K8" s="20" t="n">
        <v>2</v>
      </c>
      <c r="L8" s="25" t="inlineStr">
        <is>
          <t>期限超過（2か月）</t>
        </is>
      </c>
      <c r="M8"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9">
      <c r="A9" s="19" t="inlineStr">
        <is>
          <t>P1 準備・現状把握</t>
        </is>
      </c>
      <c r="B9" s="20" t="inlineStr">
        <is>
          <t>1-8</t>
        </is>
      </c>
      <c r="C9" s="19" t="inlineStr">
        <is>
          <t>工程・協議会日程の合意と確認事項の照会</t>
        </is>
      </c>
      <c r="D9" s="20" t="inlineStr">
        <is>
          <t>受託者・町</t>
        </is>
      </c>
      <c r="E9" s="20" t="inlineStr">
        <is>
          <t>2026-08</t>
        </is>
      </c>
      <c r="F9" s="20" t="inlineStr">
        <is>
          <t>2026-10</t>
        </is>
      </c>
      <c r="G9" s="25" t="inlineStr">
        <is>
          <t>要対応</t>
        </is>
      </c>
      <c r="H9" s="32" t="n">
        <v>55</v>
      </c>
      <c r="I9" s="32" t="n">
        <v>67</v>
      </c>
      <c r="J9" s="32" t="n">
        <v>-12</v>
      </c>
      <c r="K9" s="20" t="n">
        <v>2</v>
      </c>
      <c r="L9" s="26" t="inlineStr">
        <is>
          <t>遅れ</t>
        </is>
      </c>
      <c r="M9" s="19" t="inlineStr">
        <is>
          <t>**町との協議。協議会の回数が決まらないとP6・P8・P9・P10の日程が引けない**</t>
        </is>
      </c>
    </row>
    <row r="10">
      <c r="A10" s="19" t="inlineStr">
        <is>
          <t>P7 推計・算定</t>
        </is>
      </c>
      <c r="B10" s="20" t="inlineStr">
        <is>
          <t>7-9</t>
        </is>
      </c>
      <c r="C10" s="19" t="inlineStr">
        <is>
          <t>総合事業費の上限額の確認</t>
        </is>
      </c>
      <c r="D10" s="20" t="inlineStr">
        <is>
          <t>受託者・町</t>
        </is>
      </c>
      <c r="E10" s="20" t="inlineStr">
        <is>
          <t>2026-09</t>
        </is>
      </c>
      <c r="F10" s="20" t="inlineStr">
        <is>
          <t>2026-11</t>
        </is>
      </c>
      <c r="G10" s="26" t="inlineStr">
        <is>
          <t>データ待ち</t>
        </is>
      </c>
      <c r="H10" s="32" t="n">
        <v>25</v>
      </c>
      <c r="I10" s="32" t="n">
        <v>33.3</v>
      </c>
      <c r="J10" s="32" t="n">
        <v>-8.300000000000001</v>
      </c>
      <c r="K10" s="20" t="n">
        <v>3</v>
      </c>
      <c r="L10" s="21" t="inlineStr">
        <is>
          <t>おおむね予定どおり</t>
        </is>
      </c>
      <c r="M10"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11">
      <c r="A11" s="19" t="inlineStr">
        <is>
          <t>P2 統計分析</t>
        </is>
      </c>
      <c r="B11" s="20" t="inlineStr">
        <is>
          <t>2-3</t>
        </is>
      </c>
      <c r="C11" s="19" t="inlineStr">
        <is>
          <t>認定者数・認定率の分析</t>
        </is>
      </c>
      <c r="D11" s="20" t="inlineStr">
        <is>
          <t>受託者</t>
        </is>
      </c>
      <c r="E11" s="20" t="inlineStr">
        <is>
          <t>2026-08</t>
        </is>
      </c>
      <c r="F11" s="20" t="inlineStr">
        <is>
          <t>2026-08</t>
        </is>
      </c>
      <c r="G11" s="21" t="inlineStr">
        <is>
          <t>完了</t>
        </is>
      </c>
      <c r="H11" s="32" t="n">
        <v>100</v>
      </c>
      <c r="I11" s="32" t="n">
        <v>100</v>
      </c>
      <c r="J11" s="32" t="n">
        <v>0</v>
      </c>
      <c r="K11" s="20" t="n">
        <v>4</v>
      </c>
      <c r="L11" s="21" t="inlineStr">
        <is>
          <t>おおむね予定どおり</t>
        </is>
      </c>
      <c r="M11" s="19" t="inlineStr">
        <is>
          <t>―</t>
        </is>
      </c>
    </row>
    <row r="12">
      <c r="A12" s="19" t="inlineStr">
        <is>
          <t>P4 調査結果の反映</t>
        </is>
      </c>
      <c r="B12" s="20" t="inlineStr">
        <is>
          <t>4-3</t>
        </is>
      </c>
      <c r="C12" s="19" t="inlineStr">
        <is>
          <t>集計結果・分析報告書の作成</t>
        </is>
      </c>
      <c r="D12" s="20" t="inlineStr">
        <is>
          <t>受託者</t>
        </is>
      </c>
      <c r="E12" s="20" t="inlineStr">
        <is>
          <t>2026-08</t>
        </is>
      </c>
      <c r="F12" s="20" t="inlineStr">
        <is>
          <t>2026-08</t>
        </is>
      </c>
      <c r="G12" s="21" t="inlineStr">
        <is>
          <t>完了</t>
        </is>
      </c>
      <c r="H12" s="32" t="n">
        <v>100</v>
      </c>
      <c r="I12" s="32" t="n">
        <v>100</v>
      </c>
      <c r="J12" s="32" t="n">
        <v>0</v>
      </c>
      <c r="K12" s="20" t="n">
        <v>4</v>
      </c>
      <c r="L12" s="21" t="inlineStr">
        <is>
          <t>おおむね予定どおり</t>
        </is>
      </c>
      <c r="M12" s="19" t="inlineStr">
        <is>
          <t>―</t>
        </is>
      </c>
    </row>
    <row r="13">
      <c r="A13" s="19" t="inlineStr">
        <is>
          <t>P5 第9期の評価</t>
        </is>
      </c>
      <c r="B13" s="20" t="inlineStr">
        <is>
          <t>5-1</t>
        </is>
      </c>
      <c r="C13" s="19" t="inlineStr">
        <is>
          <t>協議会資料（第9期評価・調査結果）の作成</t>
        </is>
      </c>
      <c r="D13" s="20" t="inlineStr">
        <is>
          <t>受託者</t>
        </is>
      </c>
      <c r="E13" s="20" t="inlineStr">
        <is>
          <t>2026-08</t>
        </is>
      </c>
      <c r="F13" s="20" t="inlineStr">
        <is>
          <t>2026-09</t>
        </is>
      </c>
      <c r="G13" s="21" t="inlineStr">
        <is>
          <t>完了</t>
        </is>
      </c>
      <c r="H13" s="32" t="n">
        <v>100</v>
      </c>
      <c r="I13" s="32" t="n">
        <v>100</v>
      </c>
      <c r="J13" s="32" t="n">
        <v>0</v>
      </c>
      <c r="K13" s="20" t="n">
        <v>4</v>
      </c>
      <c r="L13" s="21" t="inlineStr">
        <is>
          <t>おおむね予定どおり</t>
        </is>
      </c>
      <c r="M13" s="19" t="inlineStr">
        <is>
          <t>**開催日が未定。決まればすぐにお出しできる**</t>
        </is>
      </c>
    </row>
    <row r="14">
      <c r="A14" s="19" t="inlineStr">
        <is>
          <t>P7 推計・算定</t>
        </is>
      </c>
      <c r="B14" s="20" t="inlineStr">
        <is>
          <t>7-1</t>
        </is>
      </c>
      <c r="C14" s="19" t="inlineStr">
        <is>
          <t>算定シートの構築</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P1 準備・現状把握</t>
        </is>
      </c>
      <c r="B15" s="20" t="inlineStr">
        <is>
          <t>1-3</t>
        </is>
      </c>
      <c r="C15" s="19" t="inlineStr">
        <is>
          <t>委託仕様書の確認と適合性チェック</t>
        </is>
      </c>
      <c r="D15" s="20" t="inlineStr">
        <is>
          <t>受託者</t>
        </is>
      </c>
      <c r="E15" s="20" t="inlineStr">
        <is>
          <t>2026-08</t>
        </is>
      </c>
      <c r="F15" s="20" t="inlineStr">
        <is>
          <t>2026-08</t>
        </is>
      </c>
      <c r="G15" s="21" t="inlineStr">
        <is>
          <t>完了</t>
        </is>
      </c>
      <c r="H15" s="32" t="n">
        <v>100</v>
      </c>
      <c r="I15" s="32" t="n">
        <v>100</v>
      </c>
      <c r="J15" s="32" t="n">
        <v>0</v>
      </c>
      <c r="K15" s="20" t="n">
        <v>3</v>
      </c>
      <c r="L15" s="21" t="inlineStr">
        <is>
          <t>おおむね予定どおり</t>
        </is>
      </c>
      <c r="M15" s="19" t="inlineStr">
        <is>
          <t>―</t>
        </is>
      </c>
    </row>
    <row r="16">
      <c r="A16" s="19" t="inlineStr">
        <is>
          <t>P1 準備・現状把握</t>
        </is>
      </c>
      <c r="B16" s="20" t="inlineStr">
        <is>
          <t>1-4</t>
        </is>
      </c>
      <c r="C16" s="19" t="inlineStr">
        <is>
          <t>第9期計画本文の確認</t>
        </is>
      </c>
      <c r="D16" s="20" t="inlineStr">
        <is>
          <t>受託者</t>
        </is>
      </c>
      <c r="E16" s="20" t="inlineStr">
        <is>
          <t>2026-08</t>
        </is>
      </c>
      <c r="F16" s="20" t="inlineStr">
        <is>
          <t>2026-08</t>
        </is>
      </c>
      <c r="G16" s="21" t="inlineStr">
        <is>
          <t>完了</t>
        </is>
      </c>
      <c r="H16" s="32" t="n">
        <v>100</v>
      </c>
      <c r="I16" s="32" t="n">
        <v>100</v>
      </c>
      <c r="J16" s="32" t="n">
        <v>0</v>
      </c>
      <c r="K16" s="20" t="n">
        <v>3</v>
      </c>
      <c r="L16" s="21" t="inlineStr">
        <is>
          <t>おおむね予定どおり</t>
        </is>
      </c>
      <c r="M16" s="19" t="inlineStr">
        <is>
          <t>―</t>
        </is>
      </c>
    </row>
    <row r="17">
      <c r="A17" s="19" t="inlineStr">
        <is>
          <t>P2 統計分析</t>
        </is>
      </c>
      <c r="B17" s="20" t="inlineStr">
        <is>
          <t>2-1</t>
        </is>
      </c>
      <c r="C17" s="19" t="inlineStr">
        <is>
          <t>人口・世帯の分析</t>
        </is>
      </c>
      <c r="D17" s="20" t="inlineStr">
        <is>
          <t>受託者</t>
        </is>
      </c>
      <c r="E17" s="20" t="inlineStr">
        <is>
          <t>2026-07</t>
        </is>
      </c>
      <c r="F17" s="20" t="inlineStr">
        <is>
          <t>2026-07</t>
        </is>
      </c>
      <c r="G17" s="21" t="inlineStr">
        <is>
          <t>完了</t>
        </is>
      </c>
      <c r="H17" s="32" t="n">
        <v>100</v>
      </c>
      <c r="I17" s="32" t="n">
        <v>100</v>
      </c>
      <c r="J17" s="32" t="n">
        <v>0</v>
      </c>
      <c r="K17" s="20" t="n">
        <v>3</v>
      </c>
      <c r="L17" s="21" t="inlineStr">
        <is>
          <t>おおむね予定どおり</t>
        </is>
      </c>
      <c r="M17" s="19" t="inlineStr">
        <is>
          <t>―</t>
        </is>
      </c>
    </row>
    <row r="18">
      <c r="A18" s="19" t="inlineStr">
        <is>
          <t>P3 給付費等の分析</t>
        </is>
      </c>
      <c r="B18" s="20" t="inlineStr">
        <is>
          <t>3-2</t>
        </is>
      </c>
      <c r="C18" s="19" t="inlineStr">
        <is>
          <t>町の給付実績との突合</t>
        </is>
      </c>
      <c r="D18" s="20" t="inlineStr">
        <is>
          <t>受託者</t>
        </is>
      </c>
      <c r="E18" s="20" t="inlineStr">
        <is>
          <t>2026-09</t>
        </is>
      </c>
      <c r="F18" s="20" t="inlineStr">
        <is>
          <t>2026-10</t>
        </is>
      </c>
      <c r="G18" s="23" t="inlineStr">
        <is>
          <t>進行中</t>
        </is>
      </c>
      <c r="H18" s="32" t="n">
        <v>50</v>
      </c>
      <c r="I18" s="32" t="n">
        <v>50</v>
      </c>
      <c r="J18" s="32" t="n">
        <v>0</v>
      </c>
      <c r="K18" s="20" t="n">
        <v>3</v>
      </c>
      <c r="L18" s="21" t="inlineStr">
        <is>
          <t>おおむね予定どおり</t>
        </is>
      </c>
      <c r="M18" s="19" t="inlineStr">
        <is>
          <t>見える化システムの値との突合作業</t>
        </is>
      </c>
    </row>
    <row r="19">
      <c r="A19" s="19" t="inlineStr">
        <is>
          <t>P4 調査結果の反映</t>
        </is>
      </c>
      <c r="B19" s="20" t="inlineStr">
        <is>
          <t>4-1</t>
        </is>
      </c>
      <c r="C19" s="19" t="inlineStr">
        <is>
          <t>調査結果報告書の確認</t>
        </is>
      </c>
      <c r="D19" s="20" t="inlineStr">
        <is>
          <t>受託者</t>
        </is>
      </c>
      <c r="E19" s="20" t="inlineStr">
        <is>
          <t>2026-08</t>
        </is>
      </c>
      <c r="F19" s="20" t="inlineStr">
        <is>
          <t>2026-08</t>
        </is>
      </c>
      <c r="G19" s="21" t="inlineStr">
        <is>
          <t>完了</t>
        </is>
      </c>
      <c r="H19" s="32" t="n">
        <v>100</v>
      </c>
      <c r="I19" s="32" t="n">
        <v>100</v>
      </c>
      <c r="J19" s="32" t="n">
        <v>0</v>
      </c>
      <c r="K19" s="20" t="n">
        <v>3</v>
      </c>
      <c r="L19" s="21" t="inlineStr">
        <is>
          <t>おおむね予定どおり</t>
        </is>
      </c>
      <c r="M19" s="19" t="inlineStr">
        <is>
          <t>―　**9月29日に調査結果報告書の原本（104頁）を受領し、集計値を1件ずつ突き合わせた（286件・NG0）。**認知症の設問の項目名を1件訂正し、報告書そのものの食い違い3件を注記した</t>
        </is>
      </c>
    </row>
    <row r="20">
      <c r="A20" s="19" t="inlineStr">
        <is>
          <t>P7 推計・算定</t>
        </is>
      </c>
      <c r="B20" s="20" t="inlineStr">
        <is>
          <t>7-5</t>
        </is>
      </c>
      <c r="C20" s="19" t="inlineStr">
        <is>
          <t>見える化システムへの入力作業</t>
        </is>
      </c>
      <c r="D20" s="20" t="inlineStr">
        <is>
          <t>受託者</t>
        </is>
      </c>
      <c r="E20" s="20" t="inlineStr">
        <is>
          <t>2026-09</t>
        </is>
      </c>
      <c r="F20" s="20" t="inlineStr">
        <is>
          <t>2026-09</t>
        </is>
      </c>
      <c r="G20" s="21" t="inlineStr">
        <is>
          <t>完了</t>
        </is>
      </c>
      <c r="H20" s="32" t="n">
        <v>100</v>
      </c>
      <c r="I20" s="32" t="n">
        <v>100</v>
      </c>
      <c r="J20" s="32" t="n">
        <v>0</v>
      </c>
      <c r="K20" s="20" t="n">
        <v>3</v>
      </c>
      <c r="L20" s="21" t="inlineStr">
        <is>
          <t>おおむね予定どおり</t>
        </is>
      </c>
      <c r="M20"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1">
      <c r="A21" s="19" t="inlineStr">
        <is>
          <t>P8 素案</t>
        </is>
      </c>
      <c r="B21" s="20" t="inlineStr">
        <is>
          <t>8-2</t>
        </is>
      </c>
      <c r="C21" s="19" t="inlineStr">
        <is>
          <t>成果指標の目標値案の作成</t>
        </is>
      </c>
      <c r="D21" s="20" t="inlineStr">
        <is>
          <t>受託者</t>
        </is>
      </c>
      <c r="E21" s="20" t="inlineStr">
        <is>
          <t>2026-08</t>
        </is>
      </c>
      <c r="F21" s="20" t="inlineStr">
        <is>
          <t>2026-08</t>
        </is>
      </c>
      <c r="G21" s="21" t="inlineStr">
        <is>
          <t>完了</t>
        </is>
      </c>
      <c r="H21" s="32" t="n">
        <v>100</v>
      </c>
      <c r="I21" s="32" t="n">
        <v>100</v>
      </c>
      <c r="J21" s="32" t="n">
        <v>0</v>
      </c>
      <c r="K21" s="20" t="n">
        <v>3</v>
      </c>
      <c r="L21" s="21" t="inlineStr">
        <is>
          <t>おおむね予定どおり</t>
        </is>
      </c>
      <c r="M21" s="19" t="inlineStr">
        <is>
          <t>―</t>
        </is>
      </c>
    </row>
    <row r="22">
      <c r="A22" s="19" t="inlineStr">
        <is>
          <t>P10 完成・納品</t>
        </is>
      </c>
      <c r="B22" s="20" t="inlineStr">
        <is>
          <t>10-1</t>
        </is>
      </c>
      <c r="C22" s="19" t="inlineStr">
        <is>
          <t>計画書の原稿確定</t>
        </is>
      </c>
      <c r="D22" s="20" t="inlineStr">
        <is>
          <t>受託者</t>
        </is>
      </c>
      <c r="E22" s="20" t="inlineStr">
        <is>
          <t>2027-02</t>
        </is>
      </c>
      <c r="F22" s="20" t="inlineStr">
        <is>
          <t>2027-02</t>
        </is>
      </c>
      <c r="G22" s="27" t="inlineStr">
        <is>
          <t>未着手</t>
        </is>
      </c>
      <c r="H22" s="32" t="n">
        <v>0</v>
      </c>
      <c r="I22" s="32" t="n">
        <v>0</v>
      </c>
      <c r="J22" s="32" t="n">
        <v>0</v>
      </c>
      <c r="K22" s="20" t="n">
        <v>3</v>
      </c>
      <c r="L22" s="21" t="inlineStr">
        <is>
          <t>おおむね予定どおり</t>
        </is>
      </c>
      <c r="M22" s="19" t="inlineStr">
        <is>
          <t>意見への対応</t>
        </is>
      </c>
    </row>
    <row r="23">
      <c r="A23" s="19" t="inlineStr">
        <is>
          <t>P10 完成・納品</t>
        </is>
      </c>
      <c r="B23" s="20" t="inlineStr">
        <is>
          <t>10-2</t>
        </is>
      </c>
      <c r="C23" s="19" t="inlineStr">
        <is>
          <t>レイアウト・組版</t>
        </is>
      </c>
      <c r="D23" s="20" t="inlineStr">
        <is>
          <t>受託者</t>
        </is>
      </c>
      <c r="E23" s="20" t="inlineStr">
        <is>
          <t>2027-02</t>
        </is>
      </c>
      <c r="F23" s="20" t="inlineStr">
        <is>
          <t>2027-02</t>
        </is>
      </c>
      <c r="G23" s="27" t="inlineStr">
        <is>
          <t>未着手</t>
        </is>
      </c>
      <c r="H23" s="32" t="n">
        <v>0</v>
      </c>
      <c r="I23" s="32" t="n">
        <v>0</v>
      </c>
      <c r="J23" s="32" t="n">
        <v>0</v>
      </c>
      <c r="K23" s="20" t="n">
        <v>3</v>
      </c>
      <c r="L23" s="21" t="inlineStr">
        <is>
          <t>おおむね予定どおり</t>
        </is>
      </c>
      <c r="M23" s="19" t="inlineStr">
        <is>
          <t>原稿の確定</t>
        </is>
      </c>
    </row>
    <row r="24">
      <c r="A24" s="19" t="inlineStr">
        <is>
          <t>P1 準備・現状把握</t>
        </is>
      </c>
      <c r="B24" s="20" t="inlineStr">
        <is>
          <t>1-1</t>
        </is>
      </c>
      <c r="C24" s="19" t="inlineStr">
        <is>
          <t>契約・体制の確立、キックオフ</t>
        </is>
      </c>
      <c r="D24" s="20" t="inlineStr">
        <is>
          <t>受託者</t>
        </is>
      </c>
      <c r="E24" s="20" t="inlineStr">
        <is>
          <t>2026-06</t>
        </is>
      </c>
      <c r="F24" s="20" t="inlineStr">
        <is>
          <t>2026-07</t>
        </is>
      </c>
      <c r="G24" s="21" t="inlineStr">
        <is>
          <t>完了</t>
        </is>
      </c>
      <c r="H24" s="32" t="n">
        <v>100</v>
      </c>
      <c r="I24" s="32" t="n">
        <v>100</v>
      </c>
      <c r="J24" s="32" t="n">
        <v>0</v>
      </c>
      <c r="K24" s="20" t="n">
        <v>2</v>
      </c>
      <c r="L24" s="21" t="inlineStr">
        <is>
          <t>おおむね予定どおり</t>
        </is>
      </c>
      <c r="M24" s="19" t="inlineStr">
        <is>
          <t>―</t>
        </is>
      </c>
    </row>
    <row r="25">
      <c r="A25" s="19" t="inlineStr">
        <is>
          <t>P1 準備・現状把握</t>
        </is>
      </c>
      <c r="B25" s="20" t="inlineStr">
        <is>
          <t>1-2</t>
        </is>
      </c>
      <c r="C25" s="19" t="inlineStr">
        <is>
          <t>引継ぎ資料の整理</t>
        </is>
      </c>
      <c r="D25" s="20" t="inlineStr">
        <is>
          <t>受託者</t>
        </is>
      </c>
      <c r="E25" s="20" t="inlineStr">
        <is>
          <t>2026-07</t>
        </is>
      </c>
      <c r="F25" s="20" t="inlineStr">
        <is>
          <t>2026-07</t>
        </is>
      </c>
      <c r="G25" s="21" t="inlineStr">
        <is>
          <t>完了</t>
        </is>
      </c>
      <c r="H25" s="32" t="n">
        <v>100</v>
      </c>
      <c r="I25" s="32" t="n">
        <v>100</v>
      </c>
      <c r="J25" s="32" t="n">
        <v>0</v>
      </c>
      <c r="K25" s="20" t="n">
        <v>2</v>
      </c>
      <c r="L25" s="21" t="inlineStr">
        <is>
          <t>おおむね予定どおり</t>
        </is>
      </c>
      <c r="M25" s="19" t="inlineStr">
        <is>
          <t>―</t>
        </is>
      </c>
    </row>
    <row r="26">
      <c r="A26" s="19" t="inlineStr">
        <is>
          <t>P1 準備・現状把握</t>
        </is>
      </c>
      <c r="B26" s="20" t="inlineStr">
        <is>
          <t>1-5</t>
        </is>
      </c>
      <c r="C26" s="19" t="inlineStr">
        <is>
          <t>第3期地域福祉計画との役割分担の整理</t>
        </is>
      </c>
      <c r="D26" s="20" t="inlineStr">
        <is>
          <t>受託者</t>
        </is>
      </c>
      <c r="E26" s="20" t="inlineStr">
        <is>
          <t>2026-08</t>
        </is>
      </c>
      <c r="F26" s="20" t="inlineStr">
        <is>
          <t>2026-08</t>
        </is>
      </c>
      <c r="G26" s="21" t="inlineStr">
        <is>
          <t>完了</t>
        </is>
      </c>
      <c r="H26" s="32" t="n">
        <v>100</v>
      </c>
      <c r="I26" s="32" t="n">
        <v>100</v>
      </c>
      <c r="J26" s="32" t="n">
        <v>0</v>
      </c>
      <c r="K26" s="20" t="n">
        <v>2</v>
      </c>
      <c r="L26" s="21" t="inlineStr">
        <is>
          <t>おおむね予定どおり</t>
        </is>
      </c>
      <c r="M26" s="19" t="inlineStr">
        <is>
          <t>―</t>
        </is>
      </c>
    </row>
    <row r="27">
      <c r="A27" s="19" t="inlineStr">
        <is>
          <t>P1 準備・現状把握</t>
        </is>
      </c>
      <c r="B27" s="20" t="inlineStr">
        <is>
          <t>1-6</t>
        </is>
      </c>
      <c r="C27" s="19" t="inlineStr">
        <is>
          <t>町への資料依頼票の作成</t>
        </is>
      </c>
      <c r="D27" s="20" t="inlineStr">
        <is>
          <t>受託者</t>
        </is>
      </c>
      <c r="E27" s="20" t="inlineStr">
        <is>
          <t>2026-08</t>
        </is>
      </c>
      <c r="F27" s="20" t="inlineStr">
        <is>
          <t>2026-08</t>
        </is>
      </c>
      <c r="G27" s="21" t="inlineStr">
        <is>
          <t>完了</t>
        </is>
      </c>
      <c r="H27" s="32" t="n">
        <v>100</v>
      </c>
      <c r="I27" s="32" t="n">
        <v>100</v>
      </c>
      <c r="J27" s="32" t="n">
        <v>0</v>
      </c>
      <c r="K27" s="20" t="n">
        <v>2</v>
      </c>
      <c r="L27" s="21" t="inlineStr">
        <is>
          <t>おおむね予定どおり</t>
        </is>
      </c>
      <c r="M27" s="19" t="inlineStr">
        <is>
          <t>―</t>
        </is>
      </c>
    </row>
    <row r="28">
      <c r="A28" s="19" t="inlineStr">
        <is>
          <t>P2 統計分析</t>
        </is>
      </c>
      <c r="B28" s="20" t="inlineStr">
        <is>
          <t>2-5</t>
        </is>
      </c>
      <c r="C28" s="19" t="inlineStr">
        <is>
          <t>サービス受給者数の分析</t>
        </is>
      </c>
      <c r="D28" s="20" t="inlineStr">
        <is>
          <t>受託者</t>
        </is>
      </c>
      <c r="E28" s="20" t="inlineStr">
        <is>
          <t>2026-07</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P2 統計分析</t>
        </is>
      </c>
      <c r="B29" s="20" t="inlineStr">
        <is>
          <t>2-8</t>
        </is>
      </c>
      <c r="C29" s="19" t="inlineStr">
        <is>
          <t>サービス自給率の分析</t>
        </is>
      </c>
      <c r="D29" s="20" t="inlineStr">
        <is>
          <t>受託者</t>
        </is>
      </c>
      <c r="E29" s="20" t="inlineStr">
        <is>
          <t>2026-08</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P4 調査結果の反映</t>
        </is>
      </c>
      <c r="B30" s="20" t="inlineStr">
        <is>
          <t>4-2</t>
        </is>
      </c>
      <c r="C30" s="19" t="inlineStr">
        <is>
          <t>集計データの整理</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P4 調査結果の反映</t>
        </is>
      </c>
      <c r="B31" s="20" t="inlineStr">
        <is>
          <t>4-4</t>
        </is>
      </c>
      <c r="C31" s="19" t="inlineStr">
        <is>
          <t>クロス集計の設計</t>
        </is>
      </c>
      <c r="D31" s="20" t="inlineStr">
        <is>
          <t>受託者</t>
        </is>
      </c>
      <c r="E31" s="20" t="inlineStr">
        <is>
          <t>2026-08</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P6 骨子案</t>
        </is>
      </c>
      <c r="B32" s="20" t="inlineStr">
        <is>
          <t>6-2</t>
        </is>
      </c>
      <c r="C32" s="19" t="inlineStr">
        <is>
          <t>骨子案の協議（協議会）</t>
        </is>
      </c>
      <c r="D32" s="20" t="inlineStr">
        <is>
          <t>受託者・町</t>
        </is>
      </c>
      <c r="E32" s="20" t="inlineStr">
        <is>
          <t>2026-11</t>
        </is>
      </c>
      <c r="F32" s="20" t="inlineStr">
        <is>
          <t>2026-11</t>
        </is>
      </c>
      <c r="G32" s="27" t="inlineStr">
        <is>
          <t>未着手</t>
        </is>
      </c>
      <c r="H32" s="32" t="n">
        <v>0</v>
      </c>
      <c r="I32" s="32" t="n">
        <v>0</v>
      </c>
      <c r="J32" s="32" t="n">
        <v>0</v>
      </c>
      <c r="K32" s="20" t="n">
        <v>2</v>
      </c>
      <c r="L32" s="21" t="inlineStr">
        <is>
          <t>おおむね予定どおり</t>
        </is>
      </c>
      <c r="M32" s="19" t="inlineStr">
        <is>
          <t>**協議会の開催回数・時期が未定（依頼票C4）**</t>
        </is>
      </c>
    </row>
    <row r="33">
      <c r="A33" s="19" t="inlineStr">
        <is>
          <t>P7 推計・算定</t>
        </is>
      </c>
      <c r="B33" s="20" t="inlineStr">
        <is>
          <t>7-2</t>
        </is>
      </c>
      <c r="C33" s="19" t="inlineStr">
        <is>
          <t>保険料算定のケース設定の確定</t>
        </is>
      </c>
      <c r="D33" s="20" t="inlineStr">
        <is>
          <t>受託者</t>
        </is>
      </c>
      <c r="E33" s="20" t="inlineStr">
        <is>
          <t>2026-08</t>
        </is>
      </c>
      <c r="F33" s="20" t="inlineStr">
        <is>
          <t>2026-08</t>
        </is>
      </c>
      <c r="G33" s="21" t="inlineStr">
        <is>
          <t>完了</t>
        </is>
      </c>
      <c r="H33" s="32" t="n">
        <v>100</v>
      </c>
      <c r="I33" s="32" t="n">
        <v>100</v>
      </c>
      <c r="J33" s="32" t="n">
        <v>0</v>
      </c>
      <c r="K33" s="20" t="n">
        <v>2</v>
      </c>
      <c r="L33" s="21" t="inlineStr">
        <is>
          <t>おおむね予定どおり</t>
        </is>
      </c>
      <c r="M33" s="19" t="inlineStr">
        <is>
          <t>―</t>
        </is>
      </c>
    </row>
    <row r="34">
      <c r="A34" s="19" t="inlineStr">
        <is>
          <t>P8 素案</t>
        </is>
      </c>
      <c r="B34" s="20" t="inlineStr">
        <is>
          <t>8-3</t>
        </is>
      </c>
      <c r="C34" s="19" t="inlineStr">
        <is>
          <t>認知症施策推進基本計画の包含方針</t>
        </is>
      </c>
      <c r="D34" s="20" t="inlineStr">
        <is>
          <t>受託者</t>
        </is>
      </c>
      <c r="E34" s="20" t="inlineStr">
        <is>
          <t>2026-08</t>
        </is>
      </c>
      <c r="F34" s="20" t="inlineStr">
        <is>
          <t>2026-08</t>
        </is>
      </c>
      <c r="G34" s="21" t="inlineStr">
        <is>
          <t>完了</t>
        </is>
      </c>
      <c r="H34" s="32" t="n">
        <v>100</v>
      </c>
      <c r="I34" s="32" t="n">
        <v>100</v>
      </c>
      <c r="J34" s="32" t="n">
        <v>0</v>
      </c>
      <c r="K34" s="20" t="n">
        <v>2</v>
      </c>
      <c r="L34" s="21" t="inlineStr">
        <is>
          <t>おおむね予定どおり</t>
        </is>
      </c>
      <c r="M34"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5">
      <c r="A35" s="19" t="inlineStr">
        <is>
          <t>P8 素案</t>
        </is>
      </c>
      <c r="B35" s="20" t="inlineStr">
        <is>
          <t>8-5</t>
        </is>
      </c>
      <c r="C35" s="19" t="inlineStr">
        <is>
          <t>素案の協議（協議会）</t>
        </is>
      </c>
      <c r="D35" s="20" t="inlineStr">
        <is>
          <t>受託者・町</t>
        </is>
      </c>
      <c r="E35" s="20" t="inlineStr">
        <is>
          <t>2026-12</t>
        </is>
      </c>
      <c r="F35" s="20" t="inlineStr">
        <is>
          <t>2026-12</t>
        </is>
      </c>
      <c r="G35" s="27" t="inlineStr">
        <is>
          <t>未着手</t>
        </is>
      </c>
      <c r="H35" s="32" t="n">
        <v>0</v>
      </c>
      <c r="I35" s="32" t="n">
        <v>0</v>
      </c>
      <c r="J35" s="32" t="n">
        <v>0</v>
      </c>
      <c r="K35" s="20" t="n">
        <v>2</v>
      </c>
      <c r="L35" s="21" t="inlineStr">
        <is>
          <t>おおむね予定どおり</t>
        </is>
      </c>
      <c r="M35" s="19" t="inlineStr">
        <is>
          <t>協議会の開催時期</t>
        </is>
      </c>
    </row>
    <row r="36">
      <c r="A36" s="19" t="inlineStr">
        <is>
          <t>P9 意見聴取</t>
        </is>
      </c>
      <c r="B36" s="20" t="inlineStr">
        <is>
          <t>9-3</t>
        </is>
      </c>
      <c r="C36" s="19" t="inlineStr">
        <is>
          <t>協議会 第2回（骨子案・見込量・保険料・成果指標）</t>
        </is>
      </c>
      <c r="D36" s="20" t="inlineStr">
        <is>
          <t>受託者・町</t>
        </is>
      </c>
      <c r="E36" s="20" t="inlineStr">
        <is>
          <t>2026-11</t>
        </is>
      </c>
      <c r="F36" s="20" t="inlineStr">
        <is>
          <t>2026-11</t>
        </is>
      </c>
      <c r="G36" s="27" t="inlineStr">
        <is>
          <t>未着手</t>
        </is>
      </c>
      <c r="H36" s="32" t="n">
        <v>0</v>
      </c>
      <c r="I36" s="32" t="n">
        <v>0</v>
      </c>
      <c r="J36" s="32" t="n">
        <v>0</v>
      </c>
      <c r="K36" s="20" t="n">
        <v>2</v>
      </c>
      <c r="L36" s="21" t="inlineStr">
        <is>
          <t>おおむね予定どおり</t>
        </is>
      </c>
      <c r="M36" s="19" t="inlineStr">
        <is>
          <t>P7の完了、開催日の確定</t>
        </is>
      </c>
    </row>
    <row r="37">
      <c r="A37" s="19" t="inlineStr">
        <is>
          <t>P9 意見聴取</t>
        </is>
      </c>
      <c r="B37" s="20" t="inlineStr">
        <is>
          <t>9-4</t>
        </is>
      </c>
      <c r="C37" s="19" t="inlineStr">
        <is>
          <t>協議会 第3回（素案）</t>
        </is>
      </c>
      <c r="D37" s="20" t="inlineStr">
        <is>
          <t>受託者・町</t>
        </is>
      </c>
      <c r="E37" s="20" t="inlineStr">
        <is>
          <t>2026-12</t>
        </is>
      </c>
      <c r="F37" s="20" t="inlineStr">
        <is>
          <t>2026-12</t>
        </is>
      </c>
      <c r="G37" s="27" t="inlineStr">
        <is>
          <t>未着手</t>
        </is>
      </c>
      <c r="H37" s="32" t="n">
        <v>0</v>
      </c>
      <c r="I37" s="32" t="n">
        <v>0</v>
      </c>
      <c r="J37" s="32" t="n">
        <v>0</v>
      </c>
      <c r="K37" s="20" t="n">
        <v>2</v>
      </c>
      <c r="L37" s="21" t="inlineStr">
        <is>
          <t>おおむね予定どおり</t>
        </is>
      </c>
      <c r="M37" s="19" t="inlineStr">
        <is>
          <t>素案の確定</t>
        </is>
      </c>
    </row>
    <row r="38">
      <c r="A38" s="19" t="inlineStr">
        <is>
          <t>P9 意見聴取</t>
        </is>
      </c>
      <c r="B38" s="20" t="inlineStr">
        <is>
          <t>9-5</t>
        </is>
      </c>
      <c r="C38" s="19" t="inlineStr">
        <is>
          <t>パブリックコメントの様式作成</t>
        </is>
      </c>
      <c r="D38" s="20" t="inlineStr">
        <is>
          <t>受託者</t>
        </is>
      </c>
      <c r="E38" s="20" t="inlineStr">
        <is>
          <t>2026-08</t>
        </is>
      </c>
      <c r="F38" s="20" t="inlineStr">
        <is>
          <t>2026-08</t>
        </is>
      </c>
      <c r="G38" s="21" t="inlineStr">
        <is>
          <t>完了</t>
        </is>
      </c>
      <c r="H38" s="32" t="n">
        <v>100</v>
      </c>
      <c r="I38" s="32" t="n">
        <v>100</v>
      </c>
      <c r="J38" s="32" t="n">
        <v>0</v>
      </c>
      <c r="K38" s="20" t="n">
        <v>2</v>
      </c>
      <c r="L38" s="21" t="inlineStr">
        <is>
          <t>おおむね予定どおり</t>
        </is>
      </c>
      <c r="M38" s="19" t="inlineStr">
        <is>
          <t>―</t>
        </is>
      </c>
    </row>
    <row r="39">
      <c r="A39" s="19" t="inlineStr">
        <is>
          <t>P9 意見聴取</t>
        </is>
      </c>
      <c r="B39" s="20" t="inlineStr">
        <is>
          <t>9-6</t>
        </is>
      </c>
      <c r="C39" s="19" t="inlineStr">
        <is>
          <t>パブリックコメントの実施</t>
        </is>
      </c>
      <c r="D39" s="20" t="inlineStr">
        <is>
          <t>町</t>
        </is>
      </c>
      <c r="E39" s="20" t="inlineStr">
        <is>
          <t>2027-01</t>
        </is>
      </c>
      <c r="F39" s="20" t="inlineStr">
        <is>
          <t>2027-01</t>
        </is>
      </c>
      <c r="G39" s="27" t="inlineStr">
        <is>
          <t>未着手</t>
        </is>
      </c>
      <c r="H39" s="32" t="n">
        <v>0</v>
      </c>
      <c r="I39" s="32" t="n">
        <v>0</v>
      </c>
      <c r="J39" s="32" t="n">
        <v>0</v>
      </c>
      <c r="K39" s="20" t="n">
        <v>2</v>
      </c>
      <c r="L39" s="21" t="inlineStr">
        <is>
          <t>おおむね予定どおり</t>
        </is>
      </c>
      <c r="M39" s="19" t="inlineStr">
        <is>
          <t>素案の確定、実施時期の確定（依頼票C6）</t>
        </is>
      </c>
    </row>
    <row r="40">
      <c r="A40" s="19" t="inlineStr">
        <is>
          <t>P9 意見聴取</t>
        </is>
      </c>
      <c r="B40" s="20" t="inlineStr">
        <is>
          <t>9-7</t>
        </is>
      </c>
      <c r="C40" s="19" t="inlineStr">
        <is>
          <t>意見への対応</t>
        </is>
      </c>
      <c r="D40" s="20" t="inlineStr">
        <is>
          <t>受託者</t>
        </is>
      </c>
      <c r="E40" s="20" t="inlineStr">
        <is>
          <t>2027-02</t>
        </is>
      </c>
      <c r="F40" s="20" t="inlineStr">
        <is>
          <t>2027-02</t>
        </is>
      </c>
      <c r="G40" s="27" t="inlineStr">
        <is>
          <t>未着手</t>
        </is>
      </c>
      <c r="H40" s="32" t="n">
        <v>0</v>
      </c>
      <c r="I40" s="32" t="n">
        <v>0</v>
      </c>
      <c r="J40" s="32" t="n">
        <v>0</v>
      </c>
      <c r="K40" s="20" t="n">
        <v>2</v>
      </c>
      <c r="L40" s="21" t="inlineStr">
        <is>
          <t>おおむね予定どおり</t>
        </is>
      </c>
      <c r="M40" s="19" t="inlineStr">
        <is>
          <t>パブコメの実施</t>
        </is>
      </c>
    </row>
    <row r="41">
      <c r="A41" s="19" t="inlineStr">
        <is>
          <t>P10 完成・納品</t>
        </is>
      </c>
      <c r="B41" s="20" t="inlineStr">
        <is>
          <t>10-3</t>
        </is>
      </c>
      <c r="C41" s="19" t="inlineStr">
        <is>
          <t>校正（初校・再校・校了）</t>
        </is>
      </c>
      <c r="D41" s="20" t="inlineStr">
        <is>
          <t>受託者・町</t>
        </is>
      </c>
      <c r="E41" s="20" t="inlineStr">
        <is>
          <t>2027-02</t>
        </is>
      </c>
      <c r="F41" s="20" t="inlineStr">
        <is>
          <t>2027-02</t>
        </is>
      </c>
      <c r="G41" s="27" t="inlineStr">
        <is>
          <t>未着手</t>
        </is>
      </c>
      <c r="H41" s="32" t="n">
        <v>0</v>
      </c>
      <c r="I41" s="32" t="n">
        <v>0</v>
      </c>
      <c r="J41" s="32" t="n">
        <v>0</v>
      </c>
      <c r="K41" s="20" t="n">
        <v>2</v>
      </c>
      <c r="L41" s="21" t="inlineStr">
        <is>
          <t>おおむね予定どおり</t>
        </is>
      </c>
      <c r="M41" s="19" t="inlineStr">
        <is>
          <t>組版</t>
        </is>
      </c>
    </row>
    <row r="42">
      <c r="A42" s="19" t="inlineStr">
        <is>
          <t>P10 完成・納品</t>
        </is>
      </c>
      <c r="B42" s="20" t="inlineStr">
        <is>
          <t>10-5</t>
        </is>
      </c>
      <c r="C42" s="19" t="inlineStr">
        <is>
          <t>概要版の作成</t>
        </is>
      </c>
      <c r="D42" s="20" t="inlineStr">
        <is>
          <t>受託者</t>
        </is>
      </c>
      <c r="E42" s="20" t="inlineStr">
        <is>
          <t>2027-02</t>
        </is>
      </c>
      <c r="F42" s="20" t="inlineStr">
        <is>
          <t>2027-03</t>
        </is>
      </c>
      <c r="G42" s="27" t="inlineStr">
        <is>
          <t>未着手</t>
        </is>
      </c>
      <c r="H42" s="32" t="n">
        <v>0</v>
      </c>
      <c r="I42" s="32" t="n">
        <v>0</v>
      </c>
      <c r="J42" s="32" t="n">
        <v>0</v>
      </c>
      <c r="K42" s="20" t="n">
        <v>2</v>
      </c>
      <c r="L42" s="21" t="inlineStr">
        <is>
          <t>おおむね予定どおり</t>
        </is>
      </c>
      <c r="M42" s="19" t="inlineStr">
        <is>
          <t>計画書の確定</t>
        </is>
      </c>
    </row>
    <row r="43">
      <c r="A43" s="19" t="inlineStr">
        <is>
          <t>P10 完成・納品</t>
        </is>
      </c>
      <c r="B43" s="20" t="inlineStr">
        <is>
          <t>10-6</t>
        </is>
      </c>
      <c r="C43" s="19" t="inlineStr">
        <is>
          <t>印刷・製本</t>
        </is>
      </c>
      <c r="D43" s="20" t="inlineStr">
        <is>
          <t>受託者</t>
        </is>
      </c>
      <c r="E43" s="20" t="inlineStr">
        <is>
          <t>2027-03</t>
        </is>
      </c>
      <c r="F43" s="20" t="inlineStr">
        <is>
          <t>2027-03</t>
        </is>
      </c>
      <c r="G43" s="27" t="inlineStr">
        <is>
          <t>未着手</t>
        </is>
      </c>
      <c r="H43" s="32" t="n">
        <v>0</v>
      </c>
      <c r="I43" s="32" t="n">
        <v>0</v>
      </c>
      <c r="J43" s="32" t="n">
        <v>0</v>
      </c>
      <c r="K43" s="20" t="n">
        <v>2</v>
      </c>
      <c r="L43" s="21" t="inlineStr">
        <is>
          <t>おおむね予定どおり</t>
        </is>
      </c>
      <c r="M43" s="19" t="inlineStr">
        <is>
          <t>校了</t>
        </is>
      </c>
    </row>
    <row r="44">
      <c r="A44" s="19" t="inlineStr">
        <is>
          <t>P2 統計分析</t>
        </is>
      </c>
      <c r="B44" s="20" t="inlineStr">
        <is>
          <t>2-2</t>
        </is>
      </c>
      <c r="C44" s="19" t="inlineStr">
        <is>
          <t>第1号被保険者の分析</t>
        </is>
      </c>
      <c r="D44" s="20" t="inlineStr">
        <is>
          <t>受託者</t>
        </is>
      </c>
      <c r="E44" s="20" t="inlineStr">
        <is>
          <t>2026-07</t>
        </is>
      </c>
      <c r="F44" s="20" t="inlineStr">
        <is>
          <t>2026-07</t>
        </is>
      </c>
      <c r="G44" s="21" t="inlineStr">
        <is>
          <t>完了</t>
        </is>
      </c>
      <c r="H44" s="32" t="n">
        <v>100</v>
      </c>
      <c r="I44" s="32" t="n">
        <v>100</v>
      </c>
      <c r="J44" s="32" t="n">
        <v>0</v>
      </c>
      <c r="K44" s="20" t="n">
        <v>1</v>
      </c>
      <c r="L44" s="21" t="inlineStr">
        <is>
          <t>おおむね予定どおり</t>
        </is>
      </c>
      <c r="M44" s="19" t="inlineStr">
        <is>
          <t>―</t>
        </is>
      </c>
    </row>
    <row r="45">
      <c r="A45" s="19" t="inlineStr">
        <is>
          <t>P3 給付費等の分析</t>
        </is>
      </c>
      <c r="B45" s="20" t="inlineStr">
        <is>
          <t>3-3</t>
        </is>
      </c>
      <c r="C45" s="19" t="inlineStr">
        <is>
          <t>成果品①の製本・納品</t>
        </is>
      </c>
      <c r="D45" s="20" t="inlineStr">
        <is>
          <t>受託者</t>
        </is>
      </c>
      <c r="E45" s="20" t="inlineStr">
        <is>
          <t>2027-03</t>
        </is>
      </c>
      <c r="F45" s="20" t="inlineStr">
        <is>
          <t>2027-03</t>
        </is>
      </c>
      <c r="G45" s="27" t="inlineStr">
        <is>
          <t>未着手</t>
        </is>
      </c>
      <c r="H45" s="32" t="n">
        <v>0</v>
      </c>
      <c r="I45" s="32" t="n">
        <v>0</v>
      </c>
      <c r="J45" s="32" t="n">
        <v>0</v>
      </c>
      <c r="K45" s="20" t="n">
        <v>1</v>
      </c>
      <c r="L45" s="21" t="inlineStr">
        <is>
          <t>おおむね予定どおり</t>
        </is>
      </c>
      <c r="M45" s="19" t="inlineStr">
        <is>
          <t>報告書の確定</t>
        </is>
      </c>
    </row>
    <row r="46">
      <c r="A46" s="19" t="inlineStr">
        <is>
          <t>P4 調査結果の反映</t>
        </is>
      </c>
      <c r="B46" s="20" t="inlineStr">
        <is>
          <t>4-6</t>
        </is>
      </c>
      <c r="C46" s="19" t="inlineStr">
        <is>
          <t>レッドチームレビュー</t>
        </is>
      </c>
      <c r="D46" s="20" t="inlineStr">
        <is>
          <t>受託者</t>
        </is>
      </c>
      <c r="E46" s="20" t="inlineStr">
        <is>
          <t>2026-08</t>
        </is>
      </c>
      <c r="F46" s="20" t="inlineStr">
        <is>
          <t>2026-08</t>
        </is>
      </c>
      <c r="G46" s="21" t="inlineStr">
        <is>
          <t>完了</t>
        </is>
      </c>
      <c r="H46" s="32" t="n">
        <v>100</v>
      </c>
      <c r="I46" s="32" t="n">
        <v>100</v>
      </c>
      <c r="J46" s="32" t="n">
        <v>0</v>
      </c>
      <c r="K46" s="20" t="n">
        <v>1</v>
      </c>
      <c r="L46" s="21" t="inlineStr">
        <is>
          <t>おおむね予定どおり</t>
        </is>
      </c>
      <c r="M46" s="19" t="inlineStr">
        <is>
          <t>―</t>
        </is>
      </c>
    </row>
    <row r="47">
      <c r="A47" s="19" t="inlineStr">
        <is>
          <t>P6 骨子案</t>
        </is>
      </c>
      <c r="B47" s="20" t="inlineStr">
        <is>
          <t>6-3</t>
        </is>
      </c>
      <c r="C47" s="19" t="inlineStr">
        <is>
          <t>成果品③の製本・納品</t>
        </is>
      </c>
      <c r="D47" s="20" t="inlineStr">
        <is>
          <t>受託者</t>
        </is>
      </c>
      <c r="E47" s="20" t="inlineStr">
        <is>
          <t>2027-03</t>
        </is>
      </c>
      <c r="F47" s="20" t="inlineStr">
        <is>
          <t>2027-03</t>
        </is>
      </c>
      <c r="G47" s="27" t="inlineStr">
        <is>
          <t>未着手</t>
        </is>
      </c>
      <c r="H47" s="32" t="n">
        <v>0</v>
      </c>
      <c r="I47" s="32" t="n">
        <v>0</v>
      </c>
      <c r="J47" s="32" t="n">
        <v>0</v>
      </c>
      <c r="K47" s="20" t="n">
        <v>1</v>
      </c>
      <c r="L47" s="21" t="inlineStr">
        <is>
          <t>おおむね予定どおり</t>
        </is>
      </c>
      <c r="M47" s="19" t="inlineStr">
        <is>
          <t>骨子案の確定</t>
        </is>
      </c>
    </row>
    <row r="48">
      <c r="A48" s="19" t="inlineStr">
        <is>
          <t>P7 推計・算定</t>
        </is>
      </c>
      <c r="B48" s="20" t="inlineStr">
        <is>
          <t>7-8</t>
        </is>
      </c>
      <c r="C48" s="19" t="inlineStr">
        <is>
          <t>成果品②の製本・納品</t>
        </is>
      </c>
      <c r="D48" s="20" t="inlineStr">
        <is>
          <t>受託者</t>
        </is>
      </c>
      <c r="E48" s="20" t="inlineStr">
        <is>
          <t>2027-03</t>
        </is>
      </c>
      <c r="F48" s="20" t="inlineStr">
        <is>
          <t>2027-03</t>
        </is>
      </c>
      <c r="G48" s="27" t="inlineStr">
        <is>
          <t>未着手</t>
        </is>
      </c>
      <c r="H48" s="32" t="n">
        <v>0</v>
      </c>
      <c r="I48" s="32" t="n">
        <v>0</v>
      </c>
      <c r="J48" s="32" t="n">
        <v>0</v>
      </c>
      <c r="K48" s="20" t="n">
        <v>1</v>
      </c>
      <c r="L48" s="21" t="inlineStr">
        <is>
          <t>おおむね予定どおり</t>
        </is>
      </c>
      <c r="M48" s="19" t="inlineStr">
        <is>
          <t>報告書の確定</t>
        </is>
      </c>
    </row>
    <row r="49">
      <c r="A49" s="19" t="inlineStr">
        <is>
          <t>P8 素案</t>
        </is>
      </c>
      <c r="B49" s="20" t="inlineStr">
        <is>
          <t>8-6</t>
        </is>
      </c>
      <c r="C49" s="19" t="inlineStr">
        <is>
          <t>成果品④の製本・納品</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素案の確定</t>
        </is>
      </c>
    </row>
    <row r="50">
      <c r="A50" s="19" t="inlineStr">
        <is>
          <t>P9 意見聴取</t>
        </is>
      </c>
      <c r="B50" s="20" t="inlineStr">
        <is>
          <t>9-8</t>
        </is>
      </c>
      <c r="C50" s="19" t="inlineStr">
        <is>
          <t>協議会 第4回（最終案）</t>
        </is>
      </c>
      <c r="D50" s="20" t="inlineStr">
        <is>
          <t>受託者・町</t>
        </is>
      </c>
      <c r="E50" s="20" t="inlineStr">
        <is>
          <t>2027-02</t>
        </is>
      </c>
      <c r="F50" s="20" t="inlineStr">
        <is>
          <t>2027-02</t>
        </is>
      </c>
      <c r="G50" s="27" t="inlineStr">
        <is>
          <t>未着手</t>
        </is>
      </c>
      <c r="H50" s="32" t="n">
        <v>0</v>
      </c>
      <c r="I50" s="32" t="n">
        <v>0</v>
      </c>
      <c r="J50" s="32" t="n">
        <v>0</v>
      </c>
      <c r="K50" s="20" t="n">
        <v>1</v>
      </c>
      <c r="L50" s="21" t="inlineStr">
        <is>
          <t>おおむね予定どおり</t>
        </is>
      </c>
      <c r="M50" s="19" t="inlineStr">
        <is>
          <t>意見への対応</t>
        </is>
      </c>
    </row>
    <row r="51">
      <c r="A51" s="19" t="inlineStr">
        <is>
          <t>P10 完成・納品</t>
        </is>
      </c>
      <c r="B51" s="20" t="inlineStr">
        <is>
          <t>10-4</t>
        </is>
      </c>
      <c r="C51" s="19" t="inlineStr">
        <is>
          <t>概要版の構成案</t>
        </is>
      </c>
      <c r="D51" s="20" t="inlineStr">
        <is>
          <t>受託者</t>
        </is>
      </c>
      <c r="E51" s="20" t="inlineStr">
        <is>
          <t>2026-08</t>
        </is>
      </c>
      <c r="F51" s="20" t="inlineStr">
        <is>
          <t>2026-08</t>
        </is>
      </c>
      <c r="G51" s="21" t="inlineStr">
        <is>
          <t>完了</t>
        </is>
      </c>
      <c r="H51" s="32" t="n">
        <v>100</v>
      </c>
      <c r="I51" s="32" t="n">
        <v>100</v>
      </c>
      <c r="J51" s="32" t="n">
        <v>0</v>
      </c>
      <c r="K51" s="20" t="n">
        <v>1</v>
      </c>
      <c r="L51" s="21" t="inlineStr">
        <is>
          <t>おおむね予定どおり</t>
        </is>
      </c>
      <c r="M51" s="19" t="inlineStr">
        <is>
          <t>―</t>
        </is>
      </c>
    </row>
    <row r="52">
      <c r="A52" s="19" t="inlineStr">
        <is>
          <t>P10 完成・納品</t>
        </is>
      </c>
      <c r="B52" s="20" t="inlineStr">
        <is>
          <t>10-7</t>
        </is>
      </c>
      <c r="C52" s="19" t="inlineStr">
        <is>
          <t>データCD-Rの作成</t>
        </is>
      </c>
      <c r="D52" s="20" t="inlineStr">
        <is>
          <t>受託者</t>
        </is>
      </c>
      <c r="E52" s="20" t="inlineStr">
        <is>
          <t>2027-03</t>
        </is>
      </c>
      <c r="F52" s="20" t="inlineStr">
        <is>
          <t>2027-03</t>
        </is>
      </c>
      <c r="G52" s="27" t="inlineStr">
        <is>
          <t>未着手</t>
        </is>
      </c>
      <c r="H52" s="32" t="n">
        <v>0</v>
      </c>
      <c r="I52" s="32" t="n">
        <v>0</v>
      </c>
      <c r="J52" s="32" t="n">
        <v>0</v>
      </c>
      <c r="K52" s="20" t="n">
        <v>1</v>
      </c>
      <c r="L52" s="21" t="inlineStr">
        <is>
          <t>おおむね予定どおり</t>
        </is>
      </c>
      <c r="M52" s="19" t="inlineStr">
        <is>
          <t>各成果品の確定</t>
        </is>
      </c>
    </row>
    <row r="53">
      <c r="A53" s="19" t="inlineStr">
        <is>
          <t>P10 完成・納品</t>
        </is>
      </c>
      <c r="B53" s="20" t="inlineStr">
        <is>
          <t>10-8</t>
        </is>
      </c>
      <c r="C53" s="19" t="inlineStr">
        <is>
          <t>納品・検収</t>
        </is>
      </c>
      <c r="D53" s="20" t="inlineStr">
        <is>
          <t>受託者・町</t>
        </is>
      </c>
      <c r="E53" s="20" t="inlineStr">
        <is>
          <t>2027-03</t>
        </is>
      </c>
      <c r="F53" s="20" t="inlineStr">
        <is>
          <t>2027-03</t>
        </is>
      </c>
      <c r="G53" s="27" t="inlineStr">
        <is>
          <t>未着手</t>
        </is>
      </c>
      <c r="H53" s="32" t="n">
        <v>0</v>
      </c>
      <c r="I53" s="32" t="n">
        <v>0</v>
      </c>
      <c r="J53" s="32" t="n">
        <v>0</v>
      </c>
      <c r="K53" s="20" t="n">
        <v>1</v>
      </c>
      <c r="L53" s="21" t="inlineStr">
        <is>
          <t>おおむね予定どおり</t>
        </is>
      </c>
      <c r="M53" s="19" t="inlineStr">
        <is>
          <t>全成果品の完成</t>
        </is>
      </c>
    </row>
    <row r="54">
      <c r="A54" s="19" t="inlineStr">
        <is>
          <t>P3 給付費等の分析</t>
        </is>
      </c>
      <c r="B54" s="20" t="inlineStr">
        <is>
          <t>3-1</t>
        </is>
      </c>
      <c r="C54" s="19" t="inlineStr">
        <is>
          <t>給付費等分析結果報告書の作成</t>
        </is>
      </c>
      <c r="D54" s="20" t="inlineStr">
        <is>
          <t>受託者</t>
        </is>
      </c>
      <c r="E54" s="20" t="inlineStr">
        <is>
          <t>2026-07</t>
        </is>
      </c>
      <c r="F54" s="20" t="inlineStr">
        <is>
          <t>2026-11</t>
        </is>
      </c>
      <c r="G54" s="23" t="inlineStr">
        <is>
          <t>進行中</t>
        </is>
      </c>
      <c r="H54" s="32" t="n">
        <v>70</v>
      </c>
      <c r="I54" s="32" t="n">
        <v>60.5</v>
      </c>
      <c r="J54" s="32" t="n">
        <v>9.5</v>
      </c>
      <c r="K54" s="20" t="n">
        <v>5</v>
      </c>
      <c r="L54" s="21" t="inlineStr">
        <is>
          <t>おおむね予定どおり</t>
        </is>
      </c>
      <c r="M54" s="19" t="inlineStr">
        <is>
          <t>町の給付実績（依頼票S1・S2）で数値を確定する</t>
        </is>
      </c>
    </row>
    <row r="55">
      <c r="A55" s="19" t="inlineStr">
        <is>
          <t>P1 準備・現状把握</t>
        </is>
      </c>
      <c r="B55" s="20" t="inlineStr">
        <is>
          <t>1-7</t>
        </is>
      </c>
      <c r="C55" s="19" t="inlineStr">
        <is>
          <t>町データの受領</t>
        </is>
      </c>
      <c r="D55" s="20" t="inlineStr">
        <is>
          <t>町</t>
        </is>
      </c>
      <c r="E55" s="20" t="inlineStr">
        <is>
          <t>2026-08</t>
        </is>
      </c>
      <c r="F55" s="20" t="inlineStr">
        <is>
          <t>2026-10</t>
        </is>
      </c>
      <c r="G55" s="23" t="inlineStr">
        <is>
          <t>進行中</t>
        </is>
      </c>
      <c r="H55" s="32" t="n">
        <v>80</v>
      </c>
      <c r="I55" s="32" t="n">
        <v>67</v>
      </c>
      <c r="J55" s="32" t="n">
        <v>13</v>
      </c>
      <c r="K55" s="20" t="n">
        <v>4</v>
      </c>
      <c r="L55" s="33" t="inlineStr">
        <is>
          <t>前倒し</t>
        </is>
      </c>
      <c r="M55" s="19" t="inlineStr">
        <is>
          <t>**残るのは地域支援事業費の内訳（S6）、令和7年度決算（S7）、成果指標の現状値17項目（H1〜H17）、総合事業上限額算定の手引き、地域支援事業交付金事業実績報告書、令和6年度のケアプラン点検の実施件数**</t>
        </is>
      </c>
    </row>
    <row r="56">
      <c r="A56" s="19" t="inlineStr">
        <is>
          <t>P2 統計分析</t>
        </is>
      </c>
      <c r="B56" s="20" t="inlineStr">
        <is>
          <t>2-9</t>
        </is>
      </c>
      <c r="C56" s="19" t="inlineStr">
        <is>
          <t>介護保険財政の分析</t>
        </is>
      </c>
      <c r="D56" s="20" t="inlineStr">
        <is>
          <t>受託者</t>
        </is>
      </c>
      <c r="E56" s="20" t="inlineStr">
        <is>
          <t>2026-08</t>
        </is>
      </c>
      <c r="F56" s="20" t="inlineStr">
        <is>
          <t>2026-10</t>
        </is>
      </c>
      <c r="G56" s="23" t="inlineStr">
        <is>
          <t>進行中</t>
        </is>
      </c>
      <c r="H56" s="32" t="n">
        <v>80</v>
      </c>
      <c r="I56" s="32" t="n">
        <v>67</v>
      </c>
      <c r="J56" s="32" t="n">
        <v>13</v>
      </c>
      <c r="K56" s="20" t="n">
        <v>3</v>
      </c>
      <c r="L56" s="33" t="inlineStr">
        <is>
          <t>前倒し</t>
        </is>
      </c>
      <c r="M56" s="19" t="inlineStr">
        <is>
          <t>**令和7年度の様式4が全て0で未入力。また基金保有額が令和4年度末120百万円から令和5年度末12百万円へ1桁減っており、取崩実績か入力誤りかの確認が要る**</t>
        </is>
      </c>
    </row>
    <row r="57">
      <c r="A57" s="19" t="inlineStr">
        <is>
          <t>P6 骨子案</t>
        </is>
      </c>
      <c r="B57" s="20" t="inlineStr">
        <is>
          <t>6-1</t>
        </is>
      </c>
      <c r="C57" s="19" t="inlineStr">
        <is>
          <t>骨子案の作成</t>
        </is>
      </c>
      <c r="D57" s="20" t="inlineStr">
        <is>
          <t>受託者</t>
        </is>
      </c>
      <c r="E57" s="20" t="inlineStr">
        <is>
          <t>2026-07</t>
        </is>
      </c>
      <c r="F57" s="20" t="inlineStr">
        <is>
          <t>2026-11</t>
        </is>
      </c>
      <c r="G57" s="23" t="inlineStr">
        <is>
          <t>進行中</t>
        </is>
      </c>
      <c r="H57" s="32" t="n">
        <v>80</v>
      </c>
      <c r="I57" s="32" t="n">
        <v>60.5</v>
      </c>
      <c r="J57" s="32" t="n">
        <v>19.5</v>
      </c>
      <c r="K57" s="20" t="n">
        <v>4</v>
      </c>
      <c r="L57" s="33" t="inlineStr">
        <is>
          <t>前倒し</t>
        </is>
      </c>
      <c r="M57" s="19" t="inlineStr">
        <is>
          <t>実績データによる数値の確定</t>
        </is>
      </c>
    </row>
    <row r="58">
      <c r="A58" s="19" t="inlineStr">
        <is>
          <t>P8 素案</t>
        </is>
      </c>
      <c r="B58" s="20" t="inlineStr">
        <is>
          <t>8-8</t>
        </is>
      </c>
      <c r="C58" s="19" t="inlineStr">
        <is>
          <t>在宅医療・介護連携の目指すべき姿の設定</t>
        </is>
      </c>
      <c r="D58" s="20" t="inlineStr">
        <is>
          <t>受託者・町</t>
        </is>
      </c>
      <c r="E58" s="20" t="inlineStr">
        <is>
          <t>2026-09</t>
        </is>
      </c>
      <c r="F58" s="20" t="inlineStr">
        <is>
          <t>2026-12</t>
        </is>
      </c>
      <c r="G58" s="23" t="inlineStr">
        <is>
          <t>進行中</t>
        </is>
      </c>
      <c r="H58" s="32" t="n">
        <v>45</v>
      </c>
      <c r="I58" s="32" t="n">
        <v>24.8</v>
      </c>
      <c r="J58" s="32" t="n">
        <v>20.2</v>
      </c>
      <c r="K58" s="20" t="n">
        <v>3</v>
      </c>
      <c r="L58" s="33" t="inlineStr">
        <is>
          <t>前倒し</t>
        </is>
      </c>
      <c r="M58" s="19" t="inlineStr">
        <is>
          <t>**目指すべき姿の内容の確定（決定11）。公立小野町地方綜合病院・田村郡医師会等との調整が要る。**あわせて在宅医療・介護連携推進事業の実施状況（相談窓口の運営、多職種研修、情報共有ツール）</t>
        </is>
      </c>
    </row>
    <row r="59">
      <c r="A59" s="19" t="inlineStr">
        <is>
          <t>P2 統計分析</t>
        </is>
      </c>
      <c r="B59" s="20" t="inlineStr">
        <is>
          <t>2-4</t>
        </is>
      </c>
      <c r="C59" s="19" t="inlineStr">
        <is>
          <t>認定者数の異常値の検証</t>
        </is>
      </c>
      <c r="D59" s="20" t="inlineStr">
        <is>
          <t>受託者・町</t>
        </is>
      </c>
      <c r="E59" s="20" t="inlineStr">
        <is>
          <t>2026-08</t>
        </is>
      </c>
      <c r="F59" s="20" t="inlineStr">
        <is>
          <t>2026-10</t>
        </is>
      </c>
      <c r="G59" s="23" t="inlineStr">
        <is>
          <t>進行中</t>
        </is>
      </c>
      <c r="H59" s="32" t="n">
        <v>90</v>
      </c>
      <c r="I59" s="32" t="n">
        <v>67</v>
      </c>
      <c r="J59" s="32" t="n">
        <v>23</v>
      </c>
      <c r="K59" s="20" t="n">
        <v>5</v>
      </c>
      <c r="L59" s="33" t="inlineStr">
        <is>
          <t>前倒し</t>
        </is>
      </c>
      <c r="M59" s="19" t="inlineStr">
        <is>
          <t>**「令和7年8〜9月に計上方法の変更がなかったか」に論点が絞られた。町外施設入所者の帰属、住所地特例、国保連の集計定義のいずれか**</t>
        </is>
      </c>
    </row>
    <row r="60">
      <c r="A60" s="19" t="inlineStr">
        <is>
          <t>P8 素案</t>
        </is>
      </c>
      <c r="B60" s="20" t="inlineStr">
        <is>
          <t>8-9</t>
        </is>
      </c>
      <c r="C60" s="19" t="inlineStr">
        <is>
          <t>素案の構成・体裁の点検（他団体の第10期計画との対比）</t>
        </is>
      </c>
      <c r="D60" s="20" t="inlineStr">
        <is>
          <t>受託者</t>
        </is>
      </c>
      <c r="E60" s="20" t="inlineStr">
        <is>
          <t>2026-09</t>
        </is>
      </c>
      <c r="F60" s="20" t="inlineStr">
        <is>
          <t>2026-11</t>
        </is>
      </c>
      <c r="G60" s="23" t="inlineStr">
        <is>
          <t>進行中</t>
        </is>
      </c>
      <c r="H60" s="32" t="n">
        <v>65</v>
      </c>
      <c r="I60" s="32" t="n">
        <v>33.3</v>
      </c>
      <c r="J60" s="32" t="n">
        <v>31.7</v>
      </c>
      <c r="K60" s="20" t="n">
        <v>3</v>
      </c>
      <c r="L60" s="33" t="inlineStr">
        <is>
          <t>前倒し</t>
        </is>
      </c>
      <c r="M60" s="19" t="inlineStr">
        <is>
          <t>**残る未対応は、第5章の各施策の記載を5項目にそろえること、事業所調査（未実施。実施の可否を町と相談）、介護保険制度改正の内容（公布状況の確認）、中長期（令和22年度）の給付費見通し、図表番号一覧**</t>
        </is>
      </c>
    </row>
    <row r="61">
      <c r="A61" s="19" t="inlineStr">
        <is>
          <t>P2 統計分析</t>
        </is>
      </c>
      <c r="B61" s="20" t="inlineStr">
        <is>
          <t>2-12</t>
        </is>
      </c>
      <c r="C61" s="19" t="inlineStr">
        <is>
          <t>総合事業の実施状況の分析</t>
        </is>
      </c>
      <c r="D61" s="20" t="inlineStr">
        <is>
          <t>受託者</t>
        </is>
      </c>
      <c r="E61" s="20" t="inlineStr">
        <is>
          <t>2026-09</t>
        </is>
      </c>
      <c r="F61" s="20" t="inlineStr">
        <is>
          <t>2026-10</t>
        </is>
      </c>
      <c r="G61" s="23" t="inlineStr">
        <is>
          <t>進行中</t>
        </is>
      </c>
      <c r="H61" s="32" t="n">
        <v>85</v>
      </c>
      <c r="I61" s="32" t="n">
        <v>50</v>
      </c>
      <c r="J61" s="32" t="n">
        <v>35</v>
      </c>
      <c r="K61" s="20" t="n">
        <v>3</v>
      </c>
      <c r="L61" s="33" t="inlineStr">
        <is>
          <t>前倒し</t>
        </is>
      </c>
      <c r="M6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62">
      <c r="A62" s="19" t="inlineStr">
        <is>
          <t>P8 素案</t>
        </is>
      </c>
      <c r="B62" s="20" t="inlineStr">
        <is>
          <t>8-7</t>
        </is>
      </c>
      <c r="C62" s="19" t="inlineStr">
        <is>
          <t>介護給付適正化計画の位置づけと主要3事業の定量目標</t>
        </is>
      </c>
      <c r="D62" s="20" t="inlineStr">
        <is>
          <t>受託者・町</t>
        </is>
      </c>
      <c r="E62" s="20" t="inlineStr">
        <is>
          <t>2026-09</t>
        </is>
      </c>
      <c r="F62" s="20" t="inlineStr">
        <is>
          <t>2026-12</t>
        </is>
      </c>
      <c r="G62" s="23" t="inlineStr">
        <is>
          <t>進行中</t>
        </is>
      </c>
      <c r="H62" s="32" t="n">
        <v>60</v>
      </c>
      <c r="I62" s="32" t="n">
        <v>24.8</v>
      </c>
      <c r="J62" s="32" t="n">
        <v>35.2</v>
      </c>
      <c r="K62" s="20" t="n">
        <v>3</v>
      </c>
      <c r="L62" s="33" t="inlineStr">
        <is>
          <t>前倒し</t>
        </is>
      </c>
      <c r="M62"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3">
      <c r="A63" s="19" t="inlineStr">
        <is>
          <t>P11 品質・進捗管理</t>
        </is>
      </c>
      <c r="B63" s="20" t="inlineStr">
        <is>
          <t>11-3</t>
        </is>
      </c>
      <c r="C63" s="19" t="inlineStr">
        <is>
          <t>図表の追加作成</t>
        </is>
      </c>
      <c r="D63" s="20" t="inlineStr">
        <is>
          <t>受託者</t>
        </is>
      </c>
      <c r="E63" s="20" t="inlineStr">
        <is>
          <t>2026-09</t>
        </is>
      </c>
      <c r="F63" s="20" t="inlineStr">
        <is>
          <t>2026-12</t>
        </is>
      </c>
      <c r="G63" s="23" t="inlineStr">
        <is>
          <t>進行中</t>
        </is>
      </c>
      <c r="H63" s="32" t="n">
        <v>60</v>
      </c>
      <c r="I63" s="32" t="n">
        <v>24.8</v>
      </c>
      <c r="J63" s="32" t="n">
        <v>35.2</v>
      </c>
      <c r="K63" s="20" t="n">
        <v>2</v>
      </c>
      <c r="L63" s="33" t="inlineStr">
        <is>
          <t>前倒し</t>
        </is>
      </c>
      <c r="M63" s="19" t="inlineStr">
        <is>
          <t>**残る3点は11-2のとおり。うち要介護度の維持・改善率は手元の資料で作成できる**</t>
        </is>
      </c>
    </row>
    <row r="64">
      <c r="A64" s="19" t="inlineStr">
        <is>
          <t>P7 推計・算定</t>
        </is>
      </c>
      <c r="B64" s="20" t="inlineStr">
        <is>
          <t>7-3</t>
        </is>
      </c>
      <c r="C64" s="19" t="inlineStr">
        <is>
          <t>被保険者数・認定者数の推計</t>
        </is>
      </c>
      <c r="D64" s="20" t="inlineStr">
        <is>
          <t>受託者</t>
        </is>
      </c>
      <c r="E64" s="20" t="inlineStr">
        <is>
          <t>2026-09</t>
        </is>
      </c>
      <c r="F64" s="20" t="inlineStr">
        <is>
          <t>2026-10</t>
        </is>
      </c>
      <c r="G64" s="23" t="inlineStr">
        <is>
          <t>進行中</t>
        </is>
      </c>
      <c r="H64" s="32" t="n">
        <v>90</v>
      </c>
      <c r="I64" s="32" t="n">
        <v>50</v>
      </c>
      <c r="J64" s="32" t="n">
        <v>40</v>
      </c>
      <c r="K64" s="20" t="n">
        <v>4</v>
      </c>
      <c r="L64" s="33" t="inlineStr">
        <is>
          <t>前倒し</t>
        </is>
      </c>
      <c r="M64"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5">
      <c r="A65" s="19" t="inlineStr">
        <is>
          <t>P5 第9期の評価</t>
        </is>
      </c>
      <c r="B65" s="20" t="inlineStr">
        <is>
          <t>5-2</t>
        </is>
      </c>
      <c r="C65" s="19" t="inlineStr">
        <is>
          <t>成果目標の達成状況の確定</t>
        </is>
      </c>
      <c r="D65" s="20" t="inlineStr">
        <is>
          <t>受託者</t>
        </is>
      </c>
      <c r="E65" s="20" t="inlineStr">
        <is>
          <t>2026-09</t>
        </is>
      </c>
      <c r="F65" s="20" t="inlineStr">
        <is>
          <t>2026-10</t>
        </is>
      </c>
      <c r="G65" s="23" t="inlineStr">
        <is>
          <t>進行中</t>
        </is>
      </c>
      <c r="H65" s="32" t="n">
        <v>90</v>
      </c>
      <c r="I65" s="32" t="n">
        <v>50</v>
      </c>
      <c r="J65" s="32" t="n">
        <v>40</v>
      </c>
      <c r="K65" s="20" t="n">
        <v>3</v>
      </c>
      <c r="L65" s="33" t="inlineStr">
        <is>
          <t>前倒し</t>
        </is>
      </c>
      <c r="M65" s="19" t="inlineStr">
        <is>
          <t>**地域支援事業費の実績（年報 様式4の令和6・7年度が未入力。依頼票H3）と成果指標の現状値（H1〜H15）。令和8年度は年度途中のため令和9年夏の年報を待つ**</t>
        </is>
      </c>
    </row>
    <row r="66">
      <c r="A66" s="19" t="inlineStr">
        <is>
          <t>P2 統計分析</t>
        </is>
      </c>
      <c r="B66" s="20" t="inlineStr">
        <is>
          <t>2-13</t>
        </is>
      </c>
      <c r="C66" s="19" t="inlineStr">
        <is>
          <t>地域分析・検討シートの記入案の作成</t>
        </is>
      </c>
      <c r="D66" s="20" t="inlineStr">
        <is>
          <t>受託者</t>
        </is>
      </c>
      <c r="E66" s="20" t="inlineStr">
        <is>
          <t>2026-09</t>
        </is>
      </c>
      <c r="F66" s="20" t="inlineStr">
        <is>
          <t>2026-10</t>
        </is>
      </c>
      <c r="G66" s="23" t="inlineStr">
        <is>
          <t>進行中</t>
        </is>
      </c>
      <c r="H66" s="32" t="n">
        <v>90</v>
      </c>
      <c r="I66" s="32" t="n">
        <v>50</v>
      </c>
      <c r="J66" s="32" t="n">
        <v>40</v>
      </c>
      <c r="K66" s="20" t="n">
        <v>2</v>
      </c>
      <c r="L66" s="33" t="inlineStr">
        <is>
          <t>前倒し</t>
        </is>
      </c>
      <c r="M66" s="19" t="inlineStr">
        <is>
          <t>**町の確定稿への記入は町が行う。記入案のうち通いの場・総合事業に関する記述は2-6・2-12と同じデータ待ちで、町の事業実績が入ると書き換えが要る**</t>
        </is>
      </c>
    </row>
    <row r="67">
      <c r="A67" s="19" t="inlineStr">
        <is>
          <t>P11 品質・進捗管理</t>
        </is>
      </c>
      <c r="B67" s="20" t="inlineStr">
        <is>
          <t>11-5</t>
        </is>
      </c>
      <c r="C67" s="19" t="inlineStr">
        <is>
          <t>他団体の資料・データの取扱いの点検</t>
        </is>
      </c>
      <c r="D67" s="20" t="inlineStr">
        <is>
          <t>受託者</t>
        </is>
      </c>
      <c r="E67" s="20" t="inlineStr">
        <is>
          <t>2026-09</t>
        </is>
      </c>
      <c r="F67" s="20" t="inlineStr">
        <is>
          <t>2026-10</t>
        </is>
      </c>
      <c r="G67" s="21" t="inlineStr">
        <is>
          <t>完了</t>
        </is>
      </c>
      <c r="H67" s="32" t="n">
        <v>100</v>
      </c>
      <c r="I67" s="32" t="n">
        <v>50</v>
      </c>
      <c r="J67" s="32" t="n">
        <v>50</v>
      </c>
      <c r="K67" s="20" t="n">
        <v>2</v>
      </c>
      <c r="L67" s="33" t="inlineStr">
        <is>
          <t>前倒し</t>
        </is>
      </c>
      <c r="M67" s="19" t="inlineStr">
        <is>
          <t>―</t>
        </is>
      </c>
    </row>
    <row r="68">
      <c r="A68" s="19" t="inlineStr">
        <is>
          <t>P11 品質・進捗管理</t>
        </is>
      </c>
      <c r="B68" s="20" t="inlineStr">
        <is>
          <t>11-2</t>
        </is>
      </c>
      <c r="C68" s="19" t="inlineStr">
        <is>
          <t>図表データ管理台帳の整備と運用</t>
        </is>
      </c>
      <c r="D68" s="20" t="inlineStr">
        <is>
          <t>受託者</t>
        </is>
      </c>
      <c r="E68" s="20" t="inlineStr">
        <is>
          <t>2026-09</t>
        </is>
      </c>
      <c r="F68" s="20" t="inlineStr">
        <is>
          <t>2027-02</t>
        </is>
      </c>
      <c r="G68" s="23" t="inlineStr">
        <is>
          <t>進行中</t>
        </is>
      </c>
      <c r="H68" s="32" t="n">
        <v>70</v>
      </c>
      <c r="I68" s="32" t="n">
        <v>16.7</v>
      </c>
      <c r="J68" s="32" t="n">
        <v>53.3</v>
      </c>
      <c r="K68" s="20" t="n">
        <v>3</v>
      </c>
      <c r="L68" s="33" t="inlineStr">
        <is>
          <t>前倒し</t>
        </is>
      </c>
      <c r="M68" s="19" t="inlineStr">
        <is>
          <t>**足りない図6件のうち3件が未着手。要介護度の維持・改善率（見える化Ｂ系列・資料は手元にある）、地域ケア会議の開催回数・検討件数（町の事業実績待ち）、介護給付適正化の主要3事業の実施状況（町の実施報告待ち）**</t>
        </is>
      </c>
    </row>
    <row r="69">
      <c r="A69" s="19" t="inlineStr">
        <is>
          <t>P8 素案</t>
        </is>
      </c>
      <c r="B69" s="20" t="inlineStr">
        <is>
          <t>8-1</t>
        </is>
      </c>
      <c r="C69" s="19" t="inlineStr">
        <is>
          <t>素案の作成</t>
        </is>
      </c>
      <c r="D69" s="20" t="inlineStr">
        <is>
          <t>受託者</t>
        </is>
      </c>
      <c r="E69" s="20" t="inlineStr">
        <is>
          <t>2026-08</t>
        </is>
      </c>
      <c r="F69" s="20" t="inlineStr">
        <is>
          <t>2026-12</t>
        </is>
      </c>
      <c r="G69" s="23" t="inlineStr">
        <is>
          <t>進行中</t>
        </is>
      </c>
      <c r="H69" s="32" t="n">
        <v>95</v>
      </c>
      <c r="I69" s="32" t="n">
        <v>40.1</v>
      </c>
      <c r="J69" s="32" t="n">
        <v>54.9</v>
      </c>
      <c r="K69" s="20" t="n">
        <v>5</v>
      </c>
      <c r="L69" s="33" t="inlineStr">
        <is>
          <t>前倒し</t>
        </is>
      </c>
      <c r="M69"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0">
      <c r="A70" s="19" t="inlineStr">
        <is>
          <t>P11 品質・進捗管理</t>
        </is>
      </c>
      <c r="B70" s="20" t="inlineStr">
        <is>
          <t>11-4</t>
        </is>
      </c>
      <c r="C70" s="19" t="inlineStr">
        <is>
          <t>成果品の体裁の統一と機械点検</t>
        </is>
      </c>
      <c r="D70" s="20" t="inlineStr">
        <is>
          <t>受託者</t>
        </is>
      </c>
      <c r="E70" s="20" t="inlineStr">
        <is>
          <t>2026-09</t>
        </is>
      </c>
      <c r="F70" s="20" t="inlineStr">
        <is>
          <t>2026-12</t>
        </is>
      </c>
      <c r="G70" s="23" t="inlineStr">
        <is>
          <t>進行中</t>
        </is>
      </c>
      <c r="H70" s="32" t="n">
        <v>80</v>
      </c>
      <c r="I70" s="32" t="n">
        <v>24.8</v>
      </c>
      <c r="J70" s="32" t="n">
        <v>55.2</v>
      </c>
      <c r="K70" s="20" t="n">
        <v>2</v>
      </c>
      <c r="L70" s="33" t="inlineStr">
        <is>
          <t>前倒し</t>
        </is>
      </c>
      <c r="M70" s="19" t="inlineStr">
        <is>
          <t>**印刷用の最終体裁（4色刷り・80頁）は組版工程（10-2）で別に点検する**</t>
        </is>
      </c>
    </row>
    <row r="71">
      <c r="A71" s="19" t="inlineStr">
        <is>
          <t>P7 推計・算定</t>
        </is>
      </c>
      <c r="B71" s="20" t="inlineStr">
        <is>
          <t>7-4</t>
        </is>
      </c>
      <c r="C71" s="19" t="inlineStr">
        <is>
          <t>サービス見込量の推計</t>
        </is>
      </c>
      <c r="D71" s="20" t="inlineStr">
        <is>
          <t>受託者</t>
        </is>
      </c>
      <c r="E71" s="20" t="inlineStr">
        <is>
          <t>2026-09</t>
        </is>
      </c>
      <c r="F71" s="20" t="inlineStr">
        <is>
          <t>2026-11</t>
        </is>
      </c>
      <c r="G71" s="21" t="inlineStr">
        <is>
          <t>完了</t>
        </is>
      </c>
      <c r="H71" s="32" t="n">
        <v>100</v>
      </c>
      <c r="I71" s="32" t="n">
        <v>33.3</v>
      </c>
      <c r="J71" s="32" t="n">
        <v>66.7</v>
      </c>
      <c r="K71" s="20" t="n">
        <v>5</v>
      </c>
      <c r="L71" s="33" t="inlineStr">
        <is>
          <t>前倒し</t>
        </is>
      </c>
      <c r="M7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2">
      <c r="A72" s="19" t="inlineStr">
        <is>
          <t>P2 統計分析</t>
        </is>
      </c>
      <c r="B72" s="20" t="inlineStr">
        <is>
          <t>2-11</t>
        </is>
      </c>
      <c r="C72" s="19" t="inlineStr">
        <is>
          <t>保険者機能強化推進交付金等の評価結果の整理</t>
        </is>
      </c>
      <c r="D72" s="20" t="inlineStr">
        <is>
          <t>受託者</t>
        </is>
      </c>
      <c r="E72" s="20" t="inlineStr">
        <is>
          <t>2026-09</t>
        </is>
      </c>
      <c r="F72" s="20" t="inlineStr">
        <is>
          <t>2026-11</t>
        </is>
      </c>
      <c r="G72" s="21" t="inlineStr">
        <is>
          <t>完了</t>
        </is>
      </c>
      <c r="H72" s="32" t="n">
        <v>100</v>
      </c>
      <c r="I72" s="32" t="n">
        <v>33.3</v>
      </c>
      <c r="J72" s="32" t="n">
        <v>66.7</v>
      </c>
      <c r="K72" s="20" t="n">
        <v>2</v>
      </c>
      <c r="L72" s="33" t="inlineStr">
        <is>
          <t>前倒し</t>
        </is>
      </c>
      <c r="M72"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3">
      <c r="A73" s="19" t="inlineStr">
        <is>
          <t>P11 品質・進捗管理</t>
        </is>
      </c>
      <c r="B73" s="20" t="inlineStr">
        <is>
          <t>11-1</t>
        </is>
      </c>
      <c r="C73" s="19" t="inlineStr">
        <is>
          <t>一次資料との全件突合</t>
        </is>
      </c>
      <c r="D73" s="20" t="inlineStr">
        <is>
          <t>受託者</t>
        </is>
      </c>
      <c r="E73" s="20" t="inlineStr">
        <is>
          <t>2026-09</t>
        </is>
      </c>
      <c r="F73" s="20" t="inlineStr">
        <is>
          <t>2027-02</t>
        </is>
      </c>
      <c r="G73" s="23" t="inlineStr">
        <is>
          <t>進行中</t>
        </is>
      </c>
      <c r="H73" s="32" t="n">
        <v>85</v>
      </c>
      <c r="I73" s="32" t="n">
        <v>16.7</v>
      </c>
      <c r="J73" s="32" t="n">
        <v>68.3</v>
      </c>
      <c r="K73" s="20" t="n">
        <v>4</v>
      </c>
      <c r="L73" s="33" t="inlineStr">
        <is>
          <t>前倒し</t>
        </is>
      </c>
      <c r="M73" s="19" t="inlineStr">
        <is>
          <t>**町データが届くたびに突合対象が増える。とくに成果指標の現状値17項目と令和7年度決算が入ると、素案・算定シート・協議会資料の3系統を同時に照合する必要がある**</t>
        </is>
      </c>
    </row>
    <row r="74">
      <c r="A74" s="19" t="inlineStr">
        <is>
          <t>P11 品質・進捗管理</t>
        </is>
      </c>
      <c r="B74" s="20" t="inlineStr">
        <is>
          <t>11-6</t>
        </is>
      </c>
      <c r="C74" s="19" t="inlineStr">
        <is>
          <t>ペンディング項目の整理と作業順位の管理</t>
        </is>
      </c>
      <c r="D74" s="20" t="inlineStr">
        <is>
          <t>受託者</t>
        </is>
      </c>
      <c r="E74" s="20" t="inlineStr">
        <is>
          <t>2026-10</t>
        </is>
      </c>
      <c r="F74" s="20" t="inlineStr">
        <is>
          <t>2027-03</t>
        </is>
      </c>
      <c r="G74" s="23" t="inlineStr">
        <is>
          <t>進行中</t>
        </is>
      </c>
      <c r="H74" s="32" t="n">
        <v>70</v>
      </c>
      <c r="I74" s="32" t="n">
        <v>0</v>
      </c>
      <c r="J74" s="32" t="n">
        <v>70</v>
      </c>
      <c r="K74" s="20" t="n">
        <v>2</v>
      </c>
      <c r="L74" s="33" t="inlineStr">
        <is>
          <t>前倒し</t>
        </is>
      </c>
      <c r="M74" s="19" t="inlineStr">
        <is>
          <t>**町の回答が届くたびに順位を組み替える。優先1位（基金運用状況調書）の回答が来た時点で、その日の作業を止めて差し替えに回す**</t>
        </is>
      </c>
    </row>
    <row r="75">
      <c r="A75" s="19" t="inlineStr">
        <is>
          <t>P7 推計・算定</t>
        </is>
      </c>
      <c r="B75" s="20" t="inlineStr">
        <is>
          <t>7-7</t>
        </is>
      </c>
      <c r="C75" s="19" t="inlineStr">
        <is>
          <t>サービス見込量推計結果報告書の作成</t>
        </is>
      </c>
      <c r="D75" s="20" t="inlineStr">
        <is>
          <t>受託者</t>
        </is>
      </c>
      <c r="E75" s="20" t="inlineStr">
        <is>
          <t>2026-11</t>
        </is>
      </c>
      <c r="F75" s="20" t="inlineStr">
        <is>
          <t>2026-12</t>
        </is>
      </c>
      <c r="G75" s="23" t="inlineStr">
        <is>
          <t>進行中</t>
        </is>
      </c>
      <c r="H75" s="32" t="n">
        <v>75</v>
      </c>
      <c r="I75" s="32" t="n">
        <v>0</v>
      </c>
      <c r="J75" s="32" t="n">
        <v>75</v>
      </c>
      <c r="K75" s="20" t="n">
        <v>4</v>
      </c>
      <c r="L75" s="33" t="inlineStr">
        <is>
          <t>前倒し</t>
        </is>
      </c>
      <c r="M75" s="19" t="inlineStr">
        <is>
          <t>**報酬改定率と第1号被保険者負担割合が確定したら数値を差し替える。**あわせて、協議会での議論を踏まえた記述の追加</t>
        </is>
      </c>
    </row>
    <row r="76">
      <c r="A76" s="19" t="inlineStr">
        <is>
          <t>P8 素案</t>
        </is>
      </c>
      <c r="B76" s="20" t="inlineStr">
        <is>
          <t>8-4</t>
        </is>
      </c>
      <c r="C76" s="19" t="inlineStr">
        <is>
          <t>見込量・保険料・成果指標の反映</t>
        </is>
      </c>
      <c r="D76" s="20" t="inlineStr">
        <is>
          <t>受託者</t>
        </is>
      </c>
      <c r="E76" s="20" t="inlineStr">
        <is>
          <t>2026-11</t>
        </is>
      </c>
      <c r="F76" s="20" t="inlineStr">
        <is>
          <t>2026-12</t>
        </is>
      </c>
      <c r="G76" s="23" t="inlineStr">
        <is>
          <t>進行中</t>
        </is>
      </c>
      <c r="H76" s="32" t="n">
        <v>85</v>
      </c>
      <c r="I76" s="32" t="n">
        <v>0</v>
      </c>
      <c r="J76" s="32" t="n">
        <v>85</v>
      </c>
      <c r="K76" s="20" t="n">
        <v>4</v>
      </c>
      <c r="L76" s="33" t="inlineStr">
        <is>
          <t>前倒し</t>
        </is>
      </c>
      <c r="M76" s="19" t="inlineStr">
        <is>
          <t>**残るのは成果指標の目標値（協議会で設定54）と町データ待ち43。**とくに成果指標の現状値17項目が入らないと目標値を置けない　**10月1日に図を5点に（人口・区分・保険料・認知症・通いの場）**</t>
        </is>
      </c>
    </row>
    <row r="77">
      <c r="A77" s="19" t="inlineStr">
        <is>
          <t>P7 推計・算定</t>
        </is>
      </c>
      <c r="B77" s="20" t="inlineStr">
        <is>
          <t>7-6</t>
        </is>
      </c>
      <c r="C77" s="19" t="inlineStr">
        <is>
          <t>保険料のケース別算定</t>
        </is>
      </c>
      <c r="D77" s="20" t="inlineStr">
        <is>
          <t>受託者</t>
        </is>
      </c>
      <c r="E77" s="20" t="inlineStr">
        <is>
          <t>2026-10</t>
        </is>
      </c>
      <c r="F77" s="20" t="inlineStr">
        <is>
          <t>2026-11</t>
        </is>
      </c>
      <c r="G77" s="23" t="inlineStr">
        <is>
          <t>進行中</t>
        </is>
      </c>
      <c r="H77" s="32" t="n">
        <v>95</v>
      </c>
      <c r="I77" s="32" t="n">
        <v>0</v>
      </c>
      <c r="J77" s="32" t="n">
        <v>95</v>
      </c>
      <c r="K77" s="20" t="n">
        <v>4</v>
      </c>
      <c r="L77" s="33" t="inlineStr">
        <is>
          <t>前倒し</t>
        </is>
      </c>
      <c r="M77"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row>
    <row r="79">
      <c r="A79" s="34" t="inlineStr">
        <is>
          <t>加重の実績進捗率 69.1％　対　予定進捗率 53.3％　乖離 +15.8ポイント</t>
        </is>
      </c>
    </row>
    <row r="80">
      <c r="A80" s="35" t="inlineStr">
        <is>
          <t xml:space="preserve">　期限超過 4件</t>
        </is>
      </c>
    </row>
    <row r="81">
      <c r="A81" s="35" t="inlineStr">
        <is>
          <t xml:space="preserve">　遅れ 4件</t>
        </is>
      </c>
    </row>
    <row r="82">
      <c r="A82" s="35" t="inlineStr">
        <is>
          <t xml:space="preserve">　おおむね予定どおり 45件</t>
        </is>
      </c>
    </row>
    <row r="83">
      <c r="A83" s="35" t="inlineStr">
        <is>
          <t xml:space="preserve">　前倒し 23件</t>
        </is>
      </c>
    </row>
    <row r="84">
      <c r="A84" s="36" t="inlineStr">
        <is>
          <t>※ 予定進捗率＝予定開始の月初から予定完了の月末までを直線で見たとき、基準日に何％進んでいるはずかの値です。</t>
        </is>
      </c>
    </row>
    <row r="85">
      <c r="A85" s="36" t="inlineStr">
        <is>
          <t>※ 判定は実績と予定の差が±10ポイント以内なら「おおむね予定どおり」としています。月単位の予定を日割りした誤差の幅です。</t>
        </is>
      </c>
    </row>
    <row r="86">
      <c r="A86" s="36" t="inlineStr">
        <is>
          <t>※ 予定完了の月を過ぎてなお完了していないものを「期限超過」としています。</t>
        </is>
      </c>
    </row>
    <row r="87">
      <c r="A87" s="36" t="inlineStr">
        <is>
          <t>※ 加重は工数の目安（重み1〜5）です。製本1件の遅れと見込量推計1件の遅れを同じ重さにしないためです。</t>
        </is>
      </c>
    </row>
  </sheetData>
  <autoFilter ref="A1:M7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2026-10-01T23:05:53Z</dcterms:created>
  <dcterms:modified xmlns:dcterms="http://purl.org/dc/terms/" xmlns:xsi="http://www.w3.org/2001/XMLSchema-instance" xsi:type="dcterms:W3CDTF">2026-10-01T23:05:53Z</dcterms:modified>
</cp:coreProperties>
</file>