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'01_WBS'!$A$1:$O$45</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6" borderId="1" applyAlignment="1" pivotButton="0" quotePrefix="0" xfId="0">
      <alignment horizontal="center" vertical="center"/>
    </xf>
    <xf numFmtId="0" fontId="6"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基準日：令和8年9月28日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6">
      <c r="A16" s="10" t="inlineStr">
        <is>
          <t>■ 仕様書の業務ブロック別</t>
        </is>
      </c>
    </row>
    <row r="17">
      <c r="A17" s="5" t="inlineStr">
        <is>
          <t>仕様書ブロック</t>
        </is>
      </c>
      <c r="B17" s="5" t="inlineStr">
        <is>
          <t>作業数</t>
        </is>
      </c>
      <c r="C17" s="5" t="inlineStr">
        <is>
          <t>加重進捗率</t>
        </is>
      </c>
      <c r="D17" s="5" t="inlineStr">
        <is>
          <t>現況・律速</t>
        </is>
      </c>
    </row>
    <row r="18">
      <c r="A18" s="6">
        <f>'10_ブロック別進捗'!A2</f>
        <v/>
      </c>
      <c r="B18" s="7">
        <f>'10_ブロック別進捗'!C2</f>
        <v/>
      </c>
      <c r="C18" s="8">
        <f>'10_ブロック別進捗'!I2</f>
        <v/>
      </c>
      <c r="D18" s="9">
        <f>'10_ブロック別進捗'!J2</f>
        <v/>
      </c>
      <c r="E18" s="6" t="n"/>
      <c r="F18" s="6" t="n"/>
      <c r="G18" s="6" t="n"/>
      <c r="H18" s="6" t="n"/>
    </row>
    <row r="19">
      <c r="A19" s="6">
        <f>'10_ブロック別進捗'!A3</f>
        <v/>
      </c>
      <c r="B19" s="7">
        <f>'10_ブロック別進捗'!C3</f>
        <v/>
      </c>
      <c r="C19" s="8">
        <f>'10_ブロック別進捗'!I3</f>
        <v/>
      </c>
      <c r="D19" s="9">
        <f>'10_ブロック別進捗'!J3</f>
        <v/>
      </c>
      <c r="E19" s="6" t="n"/>
      <c r="F19" s="6" t="n"/>
      <c r="G19" s="6" t="n"/>
      <c r="H19" s="6" t="n"/>
    </row>
    <row r="20">
      <c r="A20" s="6">
        <f>'10_ブロック別進捗'!A4</f>
        <v/>
      </c>
      <c r="B20" s="7">
        <f>'10_ブロック別進捗'!C4</f>
        <v/>
      </c>
      <c r="C20" s="8">
        <f>'10_ブロック別進捗'!I4</f>
        <v/>
      </c>
      <c r="D20" s="9">
        <f>'10_ブロック別進捗'!J4</f>
        <v/>
      </c>
      <c r="E20" s="6" t="n"/>
      <c r="F20" s="6" t="n"/>
      <c r="G20" s="6" t="n"/>
      <c r="H20" s="6" t="n"/>
    </row>
    <row r="21">
      <c r="A21" s="6">
        <f>'10_ブロック別進捗'!A5</f>
        <v/>
      </c>
      <c r="B21" s="7">
        <f>'10_ブロック別進捗'!C5</f>
        <v/>
      </c>
      <c r="C21" s="8">
        <f>'10_ブロック別進捗'!I5</f>
        <v/>
      </c>
      <c r="D21" s="9">
        <f>'10_ブロック別進捗'!J5</f>
        <v/>
      </c>
      <c r="E21" s="6" t="n"/>
      <c r="F21" s="6" t="n"/>
      <c r="G21" s="6" t="n"/>
      <c r="H21" s="6" t="n"/>
    </row>
    <row r="22">
      <c r="A22" s="6">
        <f>'10_ブロック別進捗'!A6</f>
        <v/>
      </c>
      <c r="B22" s="7">
        <f>'10_ブロック別進捗'!C6</f>
        <v/>
      </c>
      <c r="C22" s="8">
        <f>'10_ブロック別進捗'!I6</f>
        <v/>
      </c>
      <c r="D22" s="9">
        <f>'10_ブロック別進捗'!J6</f>
        <v/>
      </c>
      <c r="E22" s="6" t="n"/>
      <c r="F22" s="6" t="n"/>
      <c r="G22" s="6" t="n"/>
      <c r="H22" s="6" t="n"/>
    </row>
    <row r="23">
      <c r="A23" s="6">
        <f>'10_ブロック別進捗'!A7</f>
        <v/>
      </c>
      <c r="B23" s="7">
        <f>'10_ブロック別進捗'!C7</f>
        <v/>
      </c>
      <c r="C23" s="8">
        <f>'10_ブロック別進捗'!I7</f>
        <v/>
      </c>
      <c r="D23" s="9">
        <f>'10_ブロック別進捗'!J7</f>
        <v/>
      </c>
      <c r="E23" s="6" t="n"/>
      <c r="F23" s="6" t="n"/>
      <c r="G23" s="6" t="n"/>
      <c r="H23" s="6" t="n"/>
    </row>
    <row r="24">
      <c r="A24" s="6">
        <f>'10_ブロック別進捗'!A8</f>
        <v/>
      </c>
      <c r="B24" s="7">
        <f>'10_ブロック別進捗'!C8</f>
        <v/>
      </c>
      <c r="C24" s="8">
        <f>'10_ブロック別進捗'!I8</f>
        <v/>
      </c>
      <c r="D24" s="9">
        <f>'10_ブロック別進捗'!J8</f>
        <v/>
      </c>
      <c r="E24" s="6" t="n"/>
      <c r="F24" s="6" t="n"/>
      <c r="G24" s="6" t="n"/>
      <c r="H24" s="6" t="n"/>
    </row>
    <row r="26">
      <c r="A26" s="10" t="inlineStr">
        <is>
          <t>■ 現況</t>
        </is>
      </c>
    </row>
    <row r="27">
      <c r="A27" s="11" t="inlineStr">
        <is>
          <t>**障がい計画は仕様書7の工程から3〜4か月遅れている。**仕様書は調査を7月までに実施し、9月に骨子案、10月に骨子案検討としているが、調査票が確定せず調査は未実施である。</t>
        </is>
      </c>
    </row>
    <row r="28">
      <c r="A28" s="11"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29">
      <c r="A29" s="11"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0">
      <c r="A30" s="11"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1">
      <c r="A31" s="11"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2">
      <c r="A32" s="11"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3">
      <c r="A33" s="11" t="inlineStr">
        <is>
          <t>**回収率は仕様書が66.7％を想定するのに対し、前回実績は54.3％である。**12.4ポイントの改善が必要で、督促だけでは埋まらない。回収率を9要素に分解し、9月中旬発送の逆算工程を置いた。</t>
        </is>
      </c>
    </row>
    <row r="34">
      <c r="A34" s="11"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5">
      <c r="A35" s="11" t="inlineStr">
        <is>
          <t>**素案は引継ぎ時点の拡充版のまま第2版への改訂が未着手である。**これは外部の条件に依存せず着手できる唯一の残作業であり、次に着手する。</t>
        </is>
      </c>
    </row>
    <row r="37">
      <c r="A37" s="10" t="inlineStr">
        <is>
          <t>■ 警戒事項</t>
        </is>
      </c>
    </row>
    <row r="38">
      <c r="A38" s="12" t="inlineStr">
        <is>
          <t>#</t>
        </is>
      </c>
      <c r="B38" s="12" t="inlineStr">
        <is>
          <t>内容</t>
        </is>
      </c>
      <c r="C38" s="12" t="inlineStr">
        <is>
          <t>影響</t>
        </is>
      </c>
      <c r="D38" s="12" t="inlineStr">
        <is>
          <t>対応</t>
        </is>
      </c>
    </row>
    <row r="39">
      <c r="A39" s="9" t="n">
        <v>1</v>
      </c>
      <c r="B39" s="9" t="inlineStr">
        <is>
          <t>成果目標に2分野（精神包括ケア・人材確保）が欠落</t>
        </is>
      </c>
      <c r="C39" s="9" t="inlineStr">
        <is>
          <t>計画の法定要件を欠く可能性。活動指標も連動して欠落する</t>
        </is>
      </c>
      <c r="D39" s="9" t="inlineStr">
        <is>
          <t>**精神は小野町で唯一増加している手帳（45人→62人・＋37.8％）の分野。**成果目標に追加し、保健所・圏域の精神科医療機関と調整する</t>
        </is>
      </c>
      <c r="E39" s="9" t="n"/>
      <c r="F39" s="9" t="n"/>
      <c r="G39" s="9" t="n"/>
      <c r="H39" s="9" t="n"/>
    </row>
    <row r="40">
      <c r="A40" s="9" t="n">
        <v>2</v>
      </c>
      <c r="B40" s="9" t="inlineStr">
        <is>
          <t>成果目標の基準年度が混在（施設入所=R7年度末／一般就労=R6年度）</t>
        </is>
      </c>
      <c r="C40" s="9" t="inlineStr">
        <is>
          <t>R11年度末の施設入所者目標が15人／17人／18人と最大3人ぶれる。R7基準では R8実績18人ですでに達成済みで、目標として機能しない</t>
        </is>
      </c>
      <c r="D40" s="9" t="inlineStr">
        <is>
          <t>告示本文と県方針で基準年度を確定し、統一する</t>
        </is>
      </c>
      <c r="E40" s="9" t="n"/>
      <c r="F40" s="9" t="n"/>
      <c r="G40" s="9" t="n"/>
      <c r="H40" s="9" t="n"/>
    </row>
    <row r="41">
      <c r="A41" s="9" t="n">
        <v>3</v>
      </c>
      <c r="B41" s="9" t="inlineStr">
        <is>
          <t>セルフプラン0件目標と相談支援の見込量が不整合</t>
        </is>
      </c>
      <c r="C41" s="9" t="inlineStr">
        <is>
          <t>障害児相談支援R8実績0人に対し児発6人・放デイ19人が利用中。R11見込5人では対象19人をカバーできない</t>
        </is>
      </c>
      <c r="D41" s="9" t="inlineStr">
        <is>
          <t>セルフプランの実件数を町に照会し、見込量を積み上げ直す（依頼票D5）</t>
        </is>
      </c>
      <c r="E41" s="9" t="n"/>
      <c r="F41" s="9" t="n"/>
      <c r="G41" s="9" t="n"/>
      <c r="H41" s="9" t="n"/>
    </row>
    <row r="42">
      <c r="A42" s="9" t="n">
        <v>4</v>
      </c>
      <c r="B42" s="9" t="inlineStr">
        <is>
          <t>地域生活支援事業が21項目中11項目で未設定</t>
        </is>
      </c>
      <c r="C42" s="9" t="inlineStr">
        <is>
          <t>**障害者総合支援法第88条の必須記載事項。この状態では計画が成立しない**</t>
        </is>
      </c>
      <c r="D42" s="9" t="inlineStr">
        <is>
          <t>町の決算・実績報告からR6〜R8実績を補完する</t>
        </is>
      </c>
      <c r="E42" s="9" t="n"/>
      <c r="F42" s="9" t="n"/>
      <c r="G42" s="9" t="n"/>
      <c r="H42" s="9" t="n"/>
    </row>
    <row r="43">
      <c r="A43" s="9" t="n">
        <v>5</v>
      </c>
      <c r="B43" s="9" t="inlineStr">
        <is>
          <t>児童用調査票に28箇所以上の本文欠落</t>
        </is>
      </c>
      <c r="C43" s="9" t="inlineStr">
        <is>
          <t>調査を発送できず、工程全体が遅延する</t>
        </is>
      </c>
      <c r="D43" s="9" t="inlineStr">
        <is>
          <t>**★0727版が手元にない（依頼票D1）。**一般用を先行発送し児童用を2週間遅らせる分岐案を用意した</t>
        </is>
      </c>
      <c r="E43" s="9" t="n"/>
      <c r="F43" s="9" t="n"/>
      <c r="G43" s="9" t="n"/>
      <c r="H43" s="9" t="n"/>
    </row>
    <row r="44">
      <c r="A44" s="9" t="n">
        <v>6</v>
      </c>
      <c r="B44" s="9" t="inlineStr">
        <is>
          <t>仕様書工程から3〜4か月の遅延</t>
        </is>
      </c>
      <c r="C44" s="9" t="inlineStr">
        <is>
          <t>契約上の工程変更にあたる</t>
        </is>
      </c>
      <c r="D44" s="9" t="inlineStr">
        <is>
          <t>**工程変更協議資料を作成済み。**仕様書11④により町と協議し、8①により打合せ記録として相互確認する</t>
        </is>
      </c>
      <c r="E44" s="9" t="n"/>
      <c r="F44" s="9" t="n"/>
      <c r="G44" s="9" t="n"/>
      <c r="H44" s="9" t="n"/>
    </row>
    <row r="45">
      <c r="A45" s="9" t="n">
        <v>7</v>
      </c>
      <c r="B45" s="9" t="inlineStr">
        <is>
          <t>回収率66.7％の達成</t>
        </is>
      </c>
      <c r="C45" s="9" t="inlineStr">
        <is>
          <t>前回実績54.3％から12.4ポイントの改善が必要。分析の代表性に関わる</t>
        </is>
      </c>
      <c r="D45" s="9" t="inlineStr">
        <is>
          <t>回収率を9要素に分解。督促と期間の確保が要。**前回が督促込みだった場合は電子回答の併用が必須**</t>
        </is>
      </c>
      <c r="E45" s="9" t="n"/>
      <c r="F45" s="9" t="n"/>
      <c r="G45" s="9" t="n"/>
      <c r="H45" s="9" t="n"/>
    </row>
    <row r="46">
      <c r="A46" s="9" t="n">
        <v>8</v>
      </c>
      <c r="B46" s="9" t="inlineStr">
        <is>
          <t>配布600件に対し手帳所持者は508人</t>
        </is>
      </c>
      <c r="C46" s="9" t="inlineStr">
        <is>
          <t>母集団が600人に満たない可能性がある</t>
        </is>
      </c>
      <c r="D46" s="9" t="inlineStr">
        <is>
          <t>**回収率で見るか回収数で見るかを抽出前に町と合意する。**事後の説明では達成不能な要件を負う</t>
        </is>
      </c>
      <c r="E46" s="9" t="n"/>
      <c r="F46" s="9" t="n"/>
      <c r="G46" s="9" t="n"/>
      <c r="H46" s="9" t="n"/>
    </row>
    <row r="47">
      <c r="A47" s="9" t="n">
        <v>9</v>
      </c>
      <c r="B47" s="9" t="inlineStr">
        <is>
          <t>レイアウトデザイン・イラスト起こしが工程にない</t>
        </is>
      </c>
      <c r="C47" s="9" t="inlineStr">
        <is>
          <t>仕様書6は成果品②に含むと定める。デザイン工程が確保されていない</t>
        </is>
      </c>
      <c r="D47" s="9" t="inlineStr">
        <is>
          <t>令和9年2〜3月にデザイン工程を確保する。**引継ぎ資料でも触れられていなかった**</t>
        </is>
      </c>
      <c r="E47" s="9" t="n"/>
      <c r="F47" s="9" t="n"/>
      <c r="G47" s="9" t="n"/>
      <c r="H47" s="9" t="n"/>
    </row>
    <row r="48">
      <c r="A48" s="9" t="n">
        <v>10</v>
      </c>
      <c r="B48" s="9" t="inlineStr">
        <is>
          <t>完了日が公告と仕様書で異なる</t>
        </is>
      </c>
      <c r="C48" s="9" t="inlineStr">
        <is>
          <t>公告は令和9年3月31日、仕様書は3月25日。納期の認識齟齬</t>
        </is>
      </c>
      <c r="D48" s="9" t="inlineStr">
        <is>
          <t>町に確認する（依頼票C1）</t>
        </is>
      </c>
      <c r="E48" s="9" t="n"/>
      <c r="F48" s="9" t="n"/>
      <c r="G48" s="9" t="n"/>
      <c r="H48" s="9" t="n"/>
    </row>
    <row r="50">
      <c r="A50" s="10" t="inlineStr">
        <is>
          <t>■ 直近のマイルストーン</t>
        </is>
      </c>
    </row>
    <row r="51">
      <c r="A51" s="12" t="inlineStr">
        <is>
          <t>時期</t>
        </is>
      </c>
      <c r="B51" s="12" t="inlineStr">
        <is>
          <t>内容</t>
        </is>
      </c>
      <c r="C51" s="12" t="inlineStr">
        <is>
          <t>状態</t>
        </is>
      </c>
      <c r="D51" s="12" t="inlineStr">
        <is>
          <t>前提</t>
        </is>
      </c>
    </row>
    <row r="52">
      <c r="A52" s="9" t="inlineStr">
        <is>
          <t>令和8年8月19日</t>
        </is>
      </c>
      <c r="B52" s="9" t="inlineStr">
        <is>
          <t>自立支援協議会 第1回（前回計画の総括・動向・方向性）</t>
        </is>
      </c>
      <c r="C52" s="13" t="inlineStr">
        <is>
          <t>要対応</t>
        </is>
      </c>
      <c r="D52" s="9" t="inlineStr">
        <is>
          <t>**資料第3版を作成済み。開催結果が未確認**</t>
        </is>
      </c>
      <c r="E52" s="9" t="n"/>
      <c r="F52" s="9" t="n"/>
      <c r="G52" s="9" t="n"/>
      <c r="H52" s="9" t="n"/>
    </row>
    <row r="53">
      <c r="A53" s="9" t="inlineStr">
        <is>
          <t>令和8年9月中（至急）</t>
        </is>
      </c>
      <c r="B53" s="9" t="inlineStr">
        <is>
          <t>調査票の確定（児童用の本文復元）</t>
        </is>
      </c>
      <c r="C53" s="13" t="inlineStr">
        <is>
          <t>要対応</t>
        </is>
      </c>
      <c r="D53" s="9" t="inlineStr">
        <is>
          <t>**★0727版の入手。9月中旬発送の逆算工程はすでに逼迫**</t>
        </is>
      </c>
      <c r="E53" s="9" t="n"/>
      <c r="F53" s="9" t="n"/>
      <c r="G53" s="9" t="n"/>
      <c r="H53" s="9" t="n"/>
    </row>
    <row r="54">
      <c r="A54" s="9" t="inlineStr">
        <is>
          <t>令和8年9月中（至急）</t>
        </is>
      </c>
      <c r="B54" s="9" t="inlineStr">
        <is>
          <t>対象者抽出の照会（区分①〜⑩）</t>
        </is>
      </c>
      <c r="C54" s="13" t="inlineStr">
        <is>
          <t>要対応</t>
        </is>
      </c>
      <c r="D54" s="9" t="inlineStr">
        <is>
          <t>抽出条件案は作成済み</t>
        </is>
      </c>
      <c r="E54" s="9" t="n"/>
      <c r="F54" s="9" t="n"/>
      <c r="G54" s="9" t="n"/>
      <c r="H54" s="9" t="n"/>
    </row>
    <row r="55">
      <c r="A55" s="9" t="inlineStr">
        <is>
          <t>令和8年9月中</t>
        </is>
      </c>
      <c r="B55" s="9" t="inlineStr">
        <is>
          <t>**成果目標の是正（基準年度の確定・2分野の追加・一般就労の基準値）**</t>
        </is>
      </c>
      <c r="C55" s="13" t="inlineStr">
        <is>
          <t>要対応</t>
        </is>
      </c>
      <c r="D55" s="9" t="inlineStr">
        <is>
          <t>レッドチームレビュー A-1〜A-3・C-3</t>
        </is>
      </c>
      <c r="E55" s="9" t="n"/>
      <c r="F55" s="9" t="n"/>
      <c r="G55" s="9" t="n"/>
      <c r="H55" s="9" t="n"/>
    </row>
    <row r="56">
      <c r="A56" s="9" t="inlineStr">
        <is>
          <t>令和8年9月中</t>
        </is>
      </c>
      <c r="B56" s="9" t="inlineStr">
        <is>
          <t>**セルフプラン件数の照会と相談支援見込量の再算定**</t>
        </is>
      </c>
      <c r="C56" s="13" t="inlineStr">
        <is>
          <t>要対応</t>
        </is>
      </c>
      <c r="D56" s="9" t="inlineStr">
        <is>
          <t>レッドチームレビュー A-4</t>
        </is>
      </c>
      <c r="E56" s="9" t="n"/>
      <c r="F56" s="9" t="n"/>
      <c r="G56" s="9" t="n"/>
      <c r="H56" s="9" t="n"/>
    </row>
    <row r="57">
      <c r="A57" s="9" t="inlineStr">
        <is>
          <t>令和8年9〜10月</t>
        </is>
      </c>
      <c r="B57" s="9" t="inlineStr">
        <is>
          <t>**地域生活支援事業のR6〜R8実績の補完（法定記載事項）**</t>
        </is>
      </c>
      <c r="C57" s="13" t="inlineStr">
        <is>
          <t>要対応</t>
        </is>
      </c>
      <c r="D57" s="9" t="inlineStr">
        <is>
          <t>レッドチームレビュー A-5</t>
        </is>
      </c>
      <c r="E57" s="9" t="n"/>
      <c r="F57" s="9" t="n"/>
      <c r="G57" s="9" t="n"/>
      <c r="H57" s="9" t="n"/>
    </row>
    <row r="58">
      <c r="A58" s="9" t="inlineStr">
        <is>
          <t>令和8年9月下旬</t>
        </is>
      </c>
      <c r="B58" s="9" t="inlineStr">
        <is>
          <t>町による調査票原案の確認</t>
        </is>
      </c>
      <c r="C58" s="14" t="inlineStr">
        <is>
          <t>未着手</t>
        </is>
      </c>
      <c r="D58" s="9" t="inlineStr">
        <is>
          <t>調査票の確定</t>
        </is>
      </c>
      <c r="E58" s="9" t="n"/>
      <c r="F58" s="9" t="n"/>
      <c r="G58" s="9" t="n"/>
      <c r="H58" s="9" t="n"/>
    </row>
    <row r="59">
      <c r="A59" s="9" t="inlineStr">
        <is>
          <t>令和8年9月中旬</t>
        </is>
      </c>
      <c r="B59" s="9" t="inlineStr">
        <is>
          <t>**調査票の発送（回収率確保の起点）**</t>
        </is>
      </c>
      <c r="C59" s="14" t="inlineStr">
        <is>
          <t>未着手</t>
        </is>
      </c>
      <c r="D59" s="9" t="inlineStr">
        <is>
          <t>調査票と対象者の確定</t>
        </is>
      </c>
      <c r="E59" s="9" t="n"/>
      <c r="F59" s="9" t="n"/>
      <c r="G59" s="9" t="n"/>
      <c r="H59" s="9" t="n"/>
    </row>
    <row r="60">
      <c r="A60" s="9" t="inlineStr">
        <is>
          <t>令和8年9〜10月</t>
        </is>
      </c>
      <c r="B60" s="9" t="inlineStr">
        <is>
          <t>関係者団体等ヒアリング（20〜27件）</t>
        </is>
      </c>
      <c r="C60" s="14" t="inlineStr">
        <is>
          <t>未着手</t>
        </is>
      </c>
      <c r="D60" s="9" t="inlineStr">
        <is>
          <t>対象先の選定</t>
        </is>
      </c>
      <c r="E60" s="9" t="n"/>
      <c r="F60" s="9" t="n"/>
      <c r="G60" s="9" t="n"/>
      <c r="H60" s="9" t="n"/>
    </row>
    <row r="61">
      <c r="A61" s="9" t="inlineStr">
        <is>
          <t>令和8年10月上旬</t>
        </is>
      </c>
      <c r="B61" s="9" t="inlineStr">
        <is>
          <t>督促はがきの発送、回答期限</t>
        </is>
      </c>
      <c r="C61" s="14" t="inlineStr">
        <is>
          <t>未着手</t>
        </is>
      </c>
      <c r="D61" s="9" t="inlineStr">
        <is>
          <t>発送</t>
        </is>
      </c>
      <c r="E61" s="9" t="n"/>
      <c r="F61" s="9" t="n"/>
      <c r="G61" s="9" t="n"/>
      <c r="H61" s="9" t="n"/>
    </row>
    <row r="62">
      <c r="A62" s="9" t="inlineStr">
        <is>
          <t>令和8年12月</t>
        </is>
      </c>
      <c r="B62" s="9" t="inlineStr">
        <is>
          <t>成果品①の完成、自立支援協議会 第2回（調査結果・骨子案・見込量）</t>
        </is>
      </c>
      <c r="C62" s="14" t="inlineStr">
        <is>
          <t>未着手</t>
        </is>
      </c>
      <c r="D62" s="9" t="inlineStr">
        <is>
          <t>集計とヒアリング記録</t>
        </is>
      </c>
      <c r="E62" s="9" t="n"/>
      <c r="F62" s="9" t="n"/>
      <c r="G62" s="9" t="n"/>
      <c r="H62" s="9" t="n"/>
    </row>
    <row r="63">
      <c r="A63" s="9" t="inlineStr">
        <is>
          <t>令和9年1月</t>
        </is>
      </c>
      <c r="B63" s="9" t="inlineStr">
        <is>
          <t>素案の確定、パブリックコメント</t>
        </is>
      </c>
      <c r="C63" s="14" t="inlineStr">
        <is>
          <t>未着手</t>
        </is>
      </c>
      <c r="D63" s="9" t="inlineStr">
        <is>
          <t>―</t>
        </is>
      </c>
      <c r="E63" s="9" t="n"/>
      <c r="F63" s="9" t="n"/>
      <c r="G63" s="9" t="n"/>
      <c r="H63" s="9" t="n"/>
    </row>
    <row r="64">
      <c r="A64" s="9" t="inlineStr">
        <is>
          <t>令和9年2月</t>
        </is>
      </c>
      <c r="B64" s="9" t="inlineStr">
        <is>
          <t>自立支援協議会 第3回（最終案）</t>
        </is>
      </c>
      <c r="C64" s="14" t="inlineStr">
        <is>
          <t>未着手</t>
        </is>
      </c>
      <c r="D64" s="9" t="inlineStr">
        <is>
          <t>―</t>
        </is>
      </c>
      <c r="E64" s="9" t="n"/>
      <c r="F64" s="9" t="n"/>
      <c r="G64" s="9" t="n"/>
      <c r="H64" s="9" t="n"/>
    </row>
    <row r="65">
      <c r="A65" s="9" t="inlineStr">
        <is>
          <t>令和9年3月</t>
        </is>
      </c>
      <c r="B65" s="9" t="inlineStr">
        <is>
          <t>レイアウトデザイン・リライト、納品</t>
        </is>
      </c>
      <c r="C65" s="14" t="inlineStr">
        <is>
          <t>未着手</t>
        </is>
      </c>
      <c r="D65" s="9" t="inlineStr">
        <is>
          <t>**完了日の確認が必要**</t>
        </is>
      </c>
      <c r="E65" s="9" t="n"/>
      <c r="F65" s="9" t="n"/>
      <c r="G65" s="9" t="n"/>
      <c r="H65"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5" t="inlineStr">
        <is>
          <t>P1 準備・現状把握</t>
        </is>
      </c>
      <c r="B2" s="16" t="inlineStr">
        <is>
          <t>1-1</t>
        </is>
      </c>
      <c r="C2" s="15" t="inlineStr">
        <is>
          <t>契約・体制の確立、キックオフ</t>
        </is>
      </c>
      <c r="D2" s="15" t="inlineStr">
        <is>
          <t>実施体制、役割分担</t>
        </is>
      </c>
      <c r="E2" s="15" t="inlineStr">
        <is>
          <t>B6 業務管理・打合せ</t>
        </is>
      </c>
      <c r="F2" s="16" t="inlineStr">
        <is>
          <t>公告10⑥</t>
        </is>
      </c>
      <c r="G2" s="15" t="inlineStr">
        <is>
          <t>【公告10⑥】自治体の当該計画策定や調査研究実績があり、本計画策定の実務を担う者（公告第1-36号 10⑥）</t>
        </is>
      </c>
      <c r="H2" s="16" t="inlineStr">
        <is>
          <t>受託者</t>
        </is>
      </c>
      <c r="I2" s="16" t="inlineStr">
        <is>
          <t>2026-06</t>
        </is>
      </c>
      <c r="J2" s="16" t="inlineStr">
        <is>
          <t>2026-07</t>
        </is>
      </c>
      <c r="K2" s="17" t="inlineStr">
        <is>
          <t>完了</t>
        </is>
      </c>
      <c r="L2" s="18" t="n">
        <v>100</v>
      </c>
      <c r="M2" s="19" t="n">
        <v>2</v>
      </c>
      <c r="N2" s="15" t="inlineStr">
        <is>
          <t>キックオフ資料・業務計画書</t>
        </is>
      </c>
      <c r="O2" s="15" t="inlineStr">
        <is>
          <t>―</t>
        </is>
      </c>
    </row>
    <row r="3">
      <c r="A3" s="15" t="inlineStr">
        <is>
          <t>P1 準備・現状把握</t>
        </is>
      </c>
      <c r="B3" s="16" t="inlineStr">
        <is>
          <t>1-2</t>
        </is>
      </c>
      <c r="C3" s="15" t="inlineStr">
        <is>
          <t>委託仕様書の確認と適合性チェック</t>
        </is>
      </c>
      <c r="D3" s="15" t="inlineStr">
        <is>
          <t>成果品要件・工程・作業分担の確定</t>
        </is>
      </c>
      <c r="E3" s="15" t="inlineStr">
        <is>
          <t>B6 業務管理・打合せ</t>
        </is>
      </c>
      <c r="F3" s="16" t="inlineStr">
        <is>
          <t>仕様書全般</t>
        </is>
      </c>
      <c r="G3" s="15" t="inlineStr">
        <is>
          <t>【全般】委託仕様書及び公告の全体（成果品要件・工程・作業分担の確認）</t>
        </is>
      </c>
      <c r="H3" s="16" t="inlineStr">
        <is>
          <t>受託者</t>
        </is>
      </c>
      <c r="I3" s="16" t="inlineStr">
        <is>
          <t>2026-08</t>
        </is>
      </c>
      <c r="J3" s="16" t="inlineStr">
        <is>
          <t>2026-08</t>
        </is>
      </c>
      <c r="K3" s="17" t="inlineStr">
        <is>
          <t>完了</t>
        </is>
      </c>
      <c r="L3" s="18" t="n">
        <v>100</v>
      </c>
      <c r="M3" s="19" t="n">
        <v>3</v>
      </c>
      <c r="N3" s="15" t="inlineStr">
        <is>
          <t>仕様書適合性チェック 第2版（00_引継ぎ）</t>
        </is>
      </c>
      <c r="O3" s="15" t="inlineStr">
        <is>
          <t>―</t>
        </is>
      </c>
    </row>
    <row r="4">
      <c r="A4" s="15" t="inlineStr">
        <is>
          <t>P1 準備・現状把握</t>
        </is>
      </c>
      <c r="B4" s="16" t="inlineStr">
        <is>
          <t>1-3</t>
        </is>
      </c>
      <c r="C4" s="15" t="inlineStr">
        <is>
          <t>現行計画（第7期・第3期）の確認</t>
        </is>
      </c>
      <c r="D4" s="15" t="inlineStr">
        <is>
          <t>3部構成、9分野の施策体系</t>
        </is>
      </c>
      <c r="E4" s="15" t="inlineStr">
        <is>
          <t>B2 現状分析と課題の整理</t>
        </is>
      </c>
      <c r="F4" s="16" t="inlineStr">
        <is>
          <t>仕様書5(3)</t>
        </is>
      </c>
      <c r="G4"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6" t="inlineStr">
        <is>
          <t>受託者</t>
        </is>
      </c>
      <c r="I4" s="16" t="inlineStr">
        <is>
          <t>2026-07</t>
        </is>
      </c>
      <c r="J4" s="16" t="inlineStr">
        <is>
          <t>2026-08</t>
        </is>
      </c>
      <c r="K4" s="17" t="inlineStr">
        <is>
          <t>完了</t>
        </is>
      </c>
      <c r="L4" s="18" t="n">
        <v>100</v>
      </c>
      <c r="M4" s="19" t="n">
        <v>2</v>
      </c>
      <c r="N4" s="15" t="inlineStr">
        <is>
          <t>計画接続マトリクス（02_キックオフ）</t>
        </is>
      </c>
      <c r="O4" s="15" t="inlineStr">
        <is>
          <t>―</t>
        </is>
      </c>
    </row>
    <row r="5">
      <c r="A5" s="15" t="inlineStr">
        <is>
          <t>P1 準備・現状把握</t>
        </is>
      </c>
      <c r="B5" s="16" t="inlineStr">
        <is>
          <t>1-4</t>
        </is>
      </c>
      <c r="C5" s="15" t="inlineStr">
        <is>
          <t>第3期地域福祉計画との役割分担の整理</t>
        </is>
      </c>
      <c r="D5" s="15" t="inlineStr">
        <is>
          <t>地域共生社会、重層的支援体制、成年後見制度利用促進の切り分け</t>
        </is>
      </c>
      <c r="E5" s="15" t="inlineStr">
        <is>
          <t>B2 現状分析と課題の整理</t>
        </is>
      </c>
      <c r="F5" s="16" t="inlineStr">
        <is>
          <t>仕様書5(3)</t>
        </is>
      </c>
      <c r="G5"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6" t="inlineStr">
        <is>
          <t>受託者</t>
        </is>
      </c>
      <c r="I5" s="16" t="inlineStr">
        <is>
          <t>2026-08</t>
        </is>
      </c>
      <c r="J5" s="16" t="inlineStr">
        <is>
          <t>2026-08</t>
        </is>
      </c>
      <c r="K5" s="17" t="inlineStr">
        <is>
          <t>完了</t>
        </is>
      </c>
      <c r="L5" s="18" t="n">
        <v>100</v>
      </c>
      <c r="M5" s="19" t="n">
        <v>2</v>
      </c>
      <c r="N5" s="15" t="inlineStr">
        <is>
          <t>地域福祉計画との整合確認メモ</t>
        </is>
      </c>
      <c r="O5" s="15" t="inlineStr">
        <is>
          <t>―</t>
        </is>
      </c>
    </row>
    <row r="6">
      <c r="A6" s="15" t="inlineStr">
        <is>
          <t>P1 準備・現状把握</t>
        </is>
      </c>
      <c r="B6" s="16" t="inlineStr">
        <is>
          <t>1-5</t>
        </is>
      </c>
      <c r="C6" s="15" t="inlineStr">
        <is>
          <t>町への資料依頼票の作成</t>
        </is>
      </c>
      <c r="D6" s="15" t="inlineStr">
        <is>
          <t>障がい分7項目＋確認事項</t>
        </is>
      </c>
      <c r="E6" s="15" t="inlineStr">
        <is>
          <t>B1 障がい者ニーズ調査</t>
        </is>
      </c>
      <c r="F6" s="16" t="inlineStr">
        <is>
          <t>仕様書5(1)</t>
        </is>
      </c>
      <c r="G6"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6" t="inlineStr">
        <is>
          <t>受託者</t>
        </is>
      </c>
      <c r="I6" s="16" t="inlineStr">
        <is>
          <t>2026-08</t>
        </is>
      </c>
      <c r="J6" s="16" t="inlineStr">
        <is>
          <t>2026-08</t>
        </is>
      </c>
      <c r="K6" s="17" t="inlineStr">
        <is>
          <t>完了</t>
        </is>
      </c>
      <c r="L6" s="18" t="n">
        <v>100</v>
      </c>
      <c r="M6" s="19" t="n">
        <v>2</v>
      </c>
      <c r="N6" s="15" t="inlineStr">
        <is>
          <t>小野町_データ依頼票 04_障がい計画（16_町データ依頼）</t>
        </is>
      </c>
      <c r="O6" s="15" t="inlineStr">
        <is>
          <t>―</t>
        </is>
      </c>
    </row>
    <row r="7">
      <c r="A7" s="15" t="inlineStr">
        <is>
          <t>P1 準備・現状把握</t>
        </is>
      </c>
      <c r="B7" s="16" t="inlineStr">
        <is>
          <t>1-6</t>
        </is>
      </c>
      <c r="C7" s="15" t="inlineStr">
        <is>
          <t>町データの受領</t>
        </is>
      </c>
      <c r="D7" s="15" t="inlineStr">
        <is>
          <t>サービス実績、セルフプラン、対象者数等</t>
        </is>
      </c>
      <c r="E7" s="15" t="inlineStr">
        <is>
          <t>B1 障がい者ニーズ調査</t>
        </is>
      </c>
      <c r="F7" s="16" t="inlineStr">
        <is>
          <t>仕様書5(1)</t>
        </is>
      </c>
      <c r="G7"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6" t="inlineStr">
        <is>
          <t>町</t>
        </is>
      </c>
      <c r="I7" s="16" t="inlineStr">
        <is>
          <t>2026-08</t>
        </is>
      </c>
      <c r="J7" s="16" t="inlineStr">
        <is>
          <t>2026-09</t>
        </is>
      </c>
      <c r="K7" s="20" t="inlineStr">
        <is>
          <t>未着手</t>
        </is>
      </c>
      <c r="L7" s="18" t="n">
        <v>0</v>
      </c>
      <c r="M7" s="19" t="n">
        <v>4</v>
      </c>
      <c r="N7" s="15" t="inlineStr">
        <is>
          <t>受領0件／依頼7件</t>
        </is>
      </c>
      <c r="O7" s="15" t="inlineStr">
        <is>
          <t>**町の回答。P2・P5・P6が依存する**</t>
        </is>
      </c>
    </row>
    <row r="8">
      <c r="A8" s="15" t="inlineStr">
        <is>
          <t>P1 準備・現状把握</t>
        </is>
      </c>
      <c r="B8" s="16" t="inlineStr">
        <is>
          <t>1-7</t>
        </is>
      </c>
      <c r="C8" s="15" t="inlineStr">
        <is>
          <t>工程変更の協議と打合せ記録の作成</t>
        </is>
      </c>
      <c r="D8" s="15" t="inlineStr">
        <is>
          <t>仕様書7の工程から3〜4か月遅れているため、変更を町と協議し記録化する。**記録の作成は仕様書8①により受託者の義務**</t>
        </is>
      </c>
      <c r="E8" s="15" t="inlineStr">
        <is>
          <t>B6 業務管理・打合せ</t>
        </is>
      </c>
      <c r="F8" s="16" t="inlineStr">
        <is>
          <t>仕様書11④・仕様書8①</t>
        </is>
      </c>
      <c r="G8" s="15"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6" t="inlineStr">
        <is>
          <t>受託者・町</t>
        </is>
      </c>
      <c r="I8" s="16" t="inlineStr">
        <is>
          <t>2026-08</t>
        </is>
      </c>
      <c r="J8" s="16" t="inlineStr">
        <is>
          <t>2026-08</t>
        </is>
      </c>
      <c r="K8" s="21" t="inlineStr">
        <is>
          <t>要対応</t>
        </is>
      </c>
      <c r="L8" s="18" t="n">
        <v>40</v>
      </c>
      <c r="M8" s="19" t="n">
        <v>2</v>
      </c>
      <c r="N8" s="15" t="inlineStr">
        <is>
          <t>**工程変更協議資料と打合せ記録様式を作成済み（02_キックオフ・業務計画）**</t>
        </is>
      </c>
      <c r="O8" s="15" t="inlineStr">
        <is>
          <t>**町との協議。8月19日の協議会またはその前後に行う**</t>
        </is>
      </c>
    </row>
    <row r="9">
      <c r="A9" s="15" t="inlineStr">
        <is>
          <t>P2 ニーズ調査</t>
        </is>
      </c>
      <c r="B9" s="16" t="inlineStr">
        <is>
          <t>2-1</t>
        </is>
      </c>
      <c r="C9" s="15" t="inlineStr">
        <is>
          <t>調査内容の企画</t>
        </is>
      </c>
      <c r="D9" s="15" t="inlineStr">
        <is>
          <t>設問設計、クロス集計軸、見込量への接続表</t>
        </is>
      </c>
      <c r="E9" s="15" t="inlineStr">
        <is>
          <t>B1 障がい者ニーズ調査</t>
        </is>
      </c>
      <c r="F9" s="16" t="inlineStr">
        <is>
          <t>仕様書5(1)①ア</t>
        </is>
      </c>
      <c r="G9" s="15" t="inlineStr">
        <is>
          <t>【5(1)①ア】委託事項（ア）調査内容の企画</t>
        </is>
      </c>
      <c r="H9" s="16" t="inlineStr">
        <is>
          <t>受託者</t>
        </is>
      </c>
      <c r="I9" s="16" t="inlineStr">
        <is>
          <t>2026-07</t>
        </is>
      </c>
      <c r="J9" s="16" t="inlineStr">
        <is>
          <t>2026-07</t>
        </is>
      </c>
      <c r="K9" s="17" t="inlineStr">
        <is>
          <t>完了</t>
        </is>
      </c>
      <c r="L9" s="18" t="n">
        <v>100</v>
      </c>
      <c r="M9" s="19" t="n">
        <v>3</v>
      </c>
      <c r="N9" s="15" t="inlineStr">
        <is>
          <t>アンケート接続表（04_算定・見込量）</t>
        </is>
      </c>
      <c r="O9" s="15" t="inlineStr">
        <is>
          <t>―</t>
        </is>
      </c>
    </row>
    <row r="10">
      <c r="A10" s="15" t="inlineStr">
        <is>
          <t>P2 ニーズ調査</t>
        </is>
      </c>
      <c r="B10" s="16" t="inlineStr">
        <is>
          <t>2-2</t>
        </is>
      </c>
      <c r="C10" s="15" t="inlineStr">
        <is>
          <t>調査実施設計</t>
        </is>
      </c>
      <c r="D10" s="15" t="inlineStr">
        <is>
          <t>抽出条件案、回収率67％の逆算工程、調査用品の仕様、集計方針</t>
        </is>
      </c>
      <c r="E10" s="15" t="inlineStr">
        <is>
          <t>B1 障がい者ニーズ調査</t>
        </is>
      </c>
      <c r="F10" s="16" t="inlineStr">
        <is>
          <t>仕様書5(1)</t>
        </is>
      </c>
      <c r="G10"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6" t="inlineStr">
        <is>
          <t>受託者</t>
        </is>
      </c>
      <c r="I10" s="16" t="inlineStr">
        <is>
          <t>2026-08</t>
        </is>
      </c>
      <c r="J10" s="16" t="inlineStr">
        <is>
          <t>2026-08</t>
        </is>
      </c>
      <c r="K10" s="17" t="inlineStr">
        <is>
          <t>完了</t>
        </is>
      </c>
      <c r="L10" s="18" t="n">
        <v>100</v>
      </c>
      <c r="M10" s="19" t="n">
        <v>3</v>
      </c>
      <c r="N10" s="15" t="inlineStr">
        <is>
          <t>**障がい者ニーズ調査実施設計書（15_ヒアリング・調査設計）。**回収率を9要素に分解し、9月中旬発送の逆算工程を作成</t>
        </is>
      </c>
      <c r="O10" s="15" t="inlineStr">
        <is>
          <t>―</t>
        </is>
      </c>
    </row>
    <row r="11">
      <c r="A11" s="15" t="inlineStr">
        <is>
          <t>P2 ニーズ調査</t>
        </is>
      </c>
      <c r="B11" s="16" t="inlineStr">
        <is>
          <t>2-3</t>
        </is>
      </c>
      <c r="C11" s="15" t="inlineStr">
        <is>
          <t>調査票の作成と補修正</t>
        </is>
      </c>
      <c r="D11" s="15" t="inlineStr">
        <is>
          <t>★0727版の児童用に28箇所以上の本文欠落。一般用も問番号・条件見出し・ルビ13件</t>
        </is>
      </c>
      <c r="E11" s="15" t="inlineStr">
        <is>
          <t>B1 障がい者ニーズ調査</t>
        </is>
      </c>
      <c r="F11" s="16" t="inlineStr">
        <is>
          <t>仕様書5(1)①イ</t>
        </is>
      </c>
      <c r="G11" s="15" t="inlineStr">
        <is>
          <t>【5(1)①イ】委託事項（イ）調査票の作成</t>
        </is>
      </c>
      <c r="H11" s="16" t="inlineStr">
        <is>
          <t>受託者</t>
        </is>
      </c>
      <c r="I11" s="16" t="inlineStr">
        <is>
          <t>2026-08</t>
        </is>
      </c>
      <c r="J11" s="16" t="inlineStr">
        <is>
          <t>2026-08</t>
        </is>
      </c>
      <c r="K11" s="21" t="inlineStr">
        <is>
          <t>要対応</t>
        </is>
      </c>
      <c r="L11" s="18" t="n">
        <v>20</v>
      </c>
      <c r="M11" s="19" t="n">
        <v>4</v>
      </c>
      <c r="N11" s="15" t="inlineStr">
        <is>
          <t>分岐案は実施設計書3-4に整理（一般用の先行発送を含む）</t>
        </is>
      </c>
      <c r="O11" s="15" t="inlineStr">
        <is>
          <t>**★0727版が手元にない（依頼票D1）。工程全体の律速**</t>
        </is>
      </c>
    </row>
    <row r="12">
      <c r="A12" s="15" t="inlineStr">
        <is>
          <t>P2 ニーズ調査</t>
        </is>
      </c>
      <c r="B12" s="16" t="inlineStr">
        <is>
          <t>2-4</t>
        </is>
      </c>
      <c r="C12" s="15" t="inlineStr">
        <is>
          <t>調査票原案の町の確認</t>
        </is>
      </c>
      <c r="D12" s="15" t="inlineStr">
        <is>
          <t>町による内容確認</t>
        </is>
      </c>
      <c r="E12" s="15" t="inlineStr">
        <is>
          <t>B1 障がい者ニーズ調査</t>
        </is>
      </c>
      <c r="F12" s="16" t="inlineStr">
        <is>
          <t>作業分担表（発注者）</t>
        </is>
      </c>
      <c r="G12"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6" t="inlineStr">
        <is>
          <t>町</t>
        </is>
      </c>
      <c r="I12" s="16" t="inlineStr">
        <is>
          <t>2026-08</t>
        </is>
      </c>
      <c r="J12" s="16" t="inlineStr">
        <is>
          <t>2026-08</t>
        </is>
      </c>
      <c r="K12" s="20" t="inlineStr">
        <is>
          <t>未着手</t>
        </is>
      </c>
      <c r="L12" s="18" t="n">
        <v>0</v>
      </c>
      <c r="M12" s="19" t="n">
        <v>1</v>
      </c>
      <c r="N12" s="15" t="inlineStr">
        <is>
          <t>―</t>
        </is>
      </c>
      <c r="O12" s="15" t="inlineStr">
        <is>
          <t>調査票の復元</t>
        </is>
      </c>
    </row>
    <row r="13">
      <c r="A13" s="15" t="inlineStr">
        <is>
          <t>P2 ニーズ調査</t>
        </is>
      </c>
      <c r="B13" s="16" t="inlineStr">
        <is>
          <t>2-5</t>
        </is>
      </c>
      <c r="C13" s="15" t="inlineStr">
        <is>
          <t>対象者の抽出</t>
        </is>
      </c>
      <c r="D13" s="15" t="inlineStr">
        <is>
          <t>送付600件。手帳所持者508人では届かず対象拡大が必要</t>
        </is>
      </c>
      <c r="E13" s="15" t="inlineStr">
        <is>
          <t>B1 障がい者ニーズ調査</t>
        </is>
      </c>
      <c r="F13" s="16" t="inlineStr">
        <is>
          <t>作業分担表（発注者）</t>
        </is>
      </c>
      <c r="G13"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6" t="inlineStr">
        <is>
          <t>町</t>
        </is>
      </c>
      <c r="I13" s="16" t="inlineStr">
        <is>
          <t>2026-08</t>
        </is>
      </c>
      <c r="J13" s="16" t="inlineStr">
        <is>
          <t>2026-09</t>
        </is>
      </c>
      <c r="K13" s="19" t="inlineStr">
        <is>
          <t>進行中</t>
        </is>
      </c>
      <c r="L13" s="18" t="n">
        <v>30</v>
      </c>
      <c r="M13" s="19" t="n">
        <v>3</v>
      </c>
      <c r="N13" s="15" t="inlineStr">
        <is>
          <t>**抽出条件案（区分①〜⑩）を作成済み**</t>
        </is>
      </c>
      <c r="O13" s="15" t="inlineStr">
        <is>
          <t>**町による区分ごとの実数の回答（依頼票D2）。所管課をまたぐ照会で2〜3週間**</t>
        </is>
      </c>
    </row>
    <row r="14">
      <c r="A14" s="15" t="inlineStr">
        <is>
          <t>P2 ニーズ調査</t>
        </is>
      </c>
      <c r="B14" s="16" t="inlineStr">
        <is>
          <t>2-6</t>
        </is>
      </c>
      <c r="C14" s="15" t="inlineStr">
        <is>
          <t>調査用品の準備・印刷</t>
        </is>
      </c>
      <c r="D14" s="15" t="inlineStr">
        <is>
          <t>墨印刷、角2封筒、長3封筒（テープ加工）</t>
        </is>
      </c>
      <c r="E14" s="15" t="inlineStr">
        <is>
          <t>B1 障がい者ニーズ調査</t>
        </is>
      </c>
      <c r="F14" s="16" t="inlineStr">
        <is>
          <t>仕様書5(1)①ウ</t>
        </is>
      </c>
      <c r="G14" s="15" t="inlineStr">
        <is>
          <t>【5(1)①ウ】委託事項（ウ）調査用品の準備・印刷。※印刷物は墨印刷とする。発送封筒は角2封筒、返送は長3封筒（テープ加工）を用いる。※対象者の抽出は当町にて行い、受託者が宛名ラベルの作成を行う。</t>
        </is>
      </c>
      <c r="H14" s="16" t="inlineStr">
        <is>
          <t>受託者</t>
        </is>
      </c>
      <c r="I14" s="16" t="inlineStr">
        <is>
          <t>2026-09</t>
        </is>
      </c>
      <c r="J14" s="16" t="inlineStr">
        <is>
          <t>2026-09</t>
        </is>
      </c>
      <c r="K14" s="20" t="inlineStr">
        <is>
          <t>未着手</t>
        </is>
      </c>
      <c r="L14" s="18" t="n">
        <v>0</v>
      </c>
      <c r="M14" s="19" t="n">
        <v>2</v>
      </c>
      <c r="N14" s="15" t="inlineStr">
        <is>
          <t>仕様は実施設計書4-1に整理</t>
        </is>
      </c>
      <c r="O14" s="15" t="inlineStr">
        <is>
          <t>調査票の確定。**墨印刷でのルビ可読性は実物校正が必要**</t>
        </is>
      </c>
    </row>
    <row r="15">
      <c r="A15" s="15" t="inlineStr">
        <is>
          <t>P2 ニーズ調査</t>
        </is>
      </c>
      <c r="B15" s="16" t="inlineStr">
        <is>
          <t>2-7</t>
        </is>
      </c>
      <c r="C15" s="15" t="inlineStr">
        <is>
          <t>宛名ラベルの作成</t>
        </is>
      </c>
      <c r="D15" s="15" t="inlineStr">
        <is>
          <t>対象者抽出後</t>
        </is>
      </c>
      <c r="E15" s="15" t="inlineStr">
        <is>
          <t>B1 障がい者ニーズ調査</t>
        </is>
      </c>
      <c r="F15" s="16" t="inlineStr">
        <is>
          <t>作業分担表（受託者）</t>
        </is>
      </c>
      <c r="G15"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6" t="inlineStr">
        <is>
          <t>受託者</t>
        </is>
      </c>
      <c r="I15" s="16" t="inlineStr">
        <is>
          <t>2026-09</t>
        </is>
      </c>
      <c r="J15" s="16" t="inlineStr">
        <is>
          <t>2026-09</t>
        </is>
      </c>
      <c r="K15" s="20" t="inlineStr">
        <is>
          <t>未着手</t>
        </is>
      </c>
      <c r="L15" s="18" t="n">
        <v>0</v>
      </c>
      <c r="M15" s="19" t="n">
        <v>1</v>
      </c>
      <c r="N15" s="15" t="inlineStr">
        <is>
          <t>―</t>
        </is>
      </c>
      <c r="O15" s="15" t="inlineStr">
        <is>
          <t>対象者の抽出</t>
        </is>
      </c>
    </row>
    <row r="16">
      <c r="A16" s="15" t="inlineStr">
        <is>
          <t>P2 ニーズ調査</t>
        </is>
      </c>
      <c r="B16" s="16" t="inlineStr">
        <is>
          <t>2-8</t>
        </is>
      </c>
      <c r="C16" s="15" t="inlineStr">
        <is>
          <t>調査の発送・回収</t>
        </is>
      </c>
      <c r="D16" s="15" t="inlineStr">
        <is>
          <t>送付600件程度・有効回収400件程度（回収率約67％）</t>
        </is>
      </c>
      <c r="E16" s="15" t="inlineStr">
        <is>
          <t>B1 障がい者ニーズ調査</t>
        </is>
      </c>
      <c r="F16" s="16" t="inlineStr">
        <is>
          <t>仕様書5(1)①エ</t>
        </is>
      </c>
      <c r="G16" s="15" t="inlineStr">
        <is>
          <t>【5(1)①エ】委託事項（エ）調査の実施（郵送での発送返送）</t>
        </is>
      </c>
      <c r="H16" s="16" t="inlineStr">
        <is>
          <t>受託者</t>
        </is>
      </c>
      <c r="I16" s="16" t="inlineStr">
        <is>
          <t>2026-09</t>
        </is>
      </c>
      <c r="J16" s="16" t="inlineStr">
        <is>
          <t>2026-10</t>
        </is>
      </c>
      <c r="K16" s="20" t="inlineStr">
        <is>
          <t>未着手</t>
        </is>
      </c>
      <c r="L16" s="18" t="n">
        <v>0</v>
      </c>
      <c r="M16" s="19" t="n">
        <v>3</v>
      </c>
      <c r="N16" s="15" t="inlineStr">
        <is>
          <t>逆算工程は作成済み（9月中旬発送）</t>
        </is>
      </c>
      <c r="O16" s="15" t="inlineStr">
        <is>
          <t>調査票の確定、対象者の抽出</t>
        </is>
      </c>
    </row>
    <row r="17">
      <c r="A17" s="15" t="inlineStr">
        <is>
          <t>P2 ニーズ調査</t>
        </is>
      </c>
      <c r="B17" s="16" t="inlineStr">
        <is>
          <t>2-9</t>
        </is>
      </c>
      <c r="C17" s="15" t="inlineStr">
        <is>
          <t>督促はがきの準備・発送</t>
        </is>
      </c>
      <c r="D17" s="15" t="inlineStr">
        <is>
          <t>締切の3〜5日前に投函</t>
        </is>
      </c>
      <c r="E17" s="15" t="inlineStr">
        <is>
          <t>B1 障がい者ニーズ調査</t>
        </is>
      </c>
      <c r="F17" s="16" t="inlineStr">
        <is>
          <t>仕様書5(1)①オ・カ</t>
        </is>
      </c>
      <c r="G17" s="15" t="inlineStr">
        <is>
          <t>【5(1)①オ】委託事項（オ）御礼を兼ねた督促はがきの発送準備
【5(1)①カ】委託事項（カ）御礼を兼ねた督促はがきの発送</t>
        </is>
      </c>
      <c r="H17" s="16" t="inlineStr">
        <is>
          <t>受託者</t>
        </is>
      </c>
      <c r="I17" s="16" t="inlineStr">
        <is>
          <t>2026-10</t>
        </is>
      </c>
      <c r="J17" s="16" t="inlineStr">
        <is>
          <t>2026-10</t>
        </is>
      </c>
      <c r="K17" s="20" t="inlineStr">
        <is>
          <t>未着手</t>
        </is>
      </c>
      <c r="L17" s="18" t="n">
        <v>0</v>
      </c>
      <c r="M17" s="19" t="n">
        <v>1</v>
      </c>
      <c r="N17" s="15" t="inlineStr">
        <is>
          <t>逆算工程に織り込み済み</t>
        </is>
      </c>
      <c r="O17" s="15" t="inlineStr">
        <is>
          <t>**前回調査で督促を行ったかが未確認（依頼票D3）。行っていた場合は12.4ptを督促以外で作る必要がある**</t>
        </is>
      </c>
    </row>
    <row r="18">
      <c r="A18" s="15" t="inlineStr">
        <is>
          <t>P2 ニーズ調査</t>
        </is>
      </c>
      <c r="B18" s="16" t="inlineStr">
        <is>
          <t>2-10</t>
        </is>
      </c>
      <c r="C18" s="15" t="inlineStr">
        <is>
          <t>回収票の点検・ナンバリング・データ入力</t>
        </is>
      </c>
      <c r="D18" s="15" t="inlineStr">
        <is>
          <t>自由回答を含む</t>
        </is>
      </c>
      <c r="E18" s="15" t="inlineStr">
        <is>
          <t>B1 障がい者ニーズ調査</t>
        </is>
      </c>
      <c r="F18" s="16" t="inlineStr">
        <is>
          <t>仕様書5(1)①キ</t>
        </is>
      </c>
      <c r="G18" s="15" t="inlineStr">
        <is>
          <t>【5(1)①キ】委託事項（キ）回収票点検〜データ入力（自由意見の入力整理）〜チェック〜集計</t>
        </is>
      </c>
      <c r="H18" s="16" t="inlineStr">
        <is>
          <t>受託者</t>
        </is>
      </c>
      <c r="I18" s="16" t="inlineStr">
        <is>
          <t>2026-10</t>
        </is>
      </c>
      <c r="J18" s="16" t="inlineStr">
        <is>
          <t>2026-11</t>
        </is>
      </c>
      <c r="K18" s="20" t="inlineStr">
        <is>
          <t>未着手</t>
        </is>
      </c>
      <c r="L18" s="18" t="n">
        <v>0</v>
      </c>
      <c r="M18" s="19" t="n">
        <v>3</v>
      </c>
      <c r="N18" s="15" t="inlineStr">
        <is>
          <t>―</t>
        </is>
      </c>
      <c r="O18" s="15" t="inlineStr">
        <is>
          <t>調査の回収</t>
        </is>
      </c>
    </row>
    <row r="19">
      <c r="A19" s="15" t="inlineStr">
        <is>
          <t>P2 ニーズ調査</t>
        </is>
      </c>
      <c r="B19" s="16" t="inlineStr">
        <is>
          <t>2-11</t>
        </is>
      </c>
      <c r="C19" s="15" t="inlineStr">
        <is>
          <t>集計・分析</t>
        </is>
      </c>
      <c r="D19" s="15" t="inlineStr">
        <is>
          <t>単純集計、性別・年齢別・障がい別・地域別のクロス集計、自由回答</t>
        </is>
      </c>
      <c r="E19" s="15" t="inlineStr">
        <is>
          <t>B1 障がい者ニーズ調査</t>
        </is>
      </c>
      <c r="F19" s="16" t="inlineStr">
        <is>
          <t>仕様書5(1)①ク</t>
        </is>
      </c>
      <c r="G19" s="15" t="inlineStr">
        <is>
          <t>【5(1)①ク】委託事項（ク）分析（単純集計・クロス集計からの分析）</t>
        </is>
      </c>
      <c r="H19" s="16" t="inlineStr">
        <is>
          <t>受託者</t>
        </is>
      </c>
      <c r="I19" s="16" t="inlineStr">
        <is>
          <t>2026-11</t>
        </is>
      </c>
      <c r="J19" s="16" t="inlineStr">
        <is>
          <t>2026-11</t>
        </is>
      </c>
      <c r="K19" s="19" t="inlineStr">
        <is>
          <t>進行中</t>
        </is>
      </c>
      <c r="L19" s="18" t="n">
        <v>20</v>
      </c>
      <c r="M19" s="19" t="n">
        <v>3</v>
      </c>
      <c r="N19" s="15" t="inlineStr">
        <is>
          <t>**集計方針を確定（集計軸9種に性別を追加、少数セルの扱い、前回調査との比較の管理）。**仕様の明示要件である性別が接続表に欠けていた点を解消</t>
        </is>
      </c>
      <c r="O19" s="15" t="inlineStr">
        <is>
          <t>データ入力の完了。地域別集計の粒度の確認（依頼票C12）</t>
        </is>
      </c>
    </row>
    <row r="20">
      <c r="A20" s="15" t="inlineStr">
        <is>
          <t>P3 ヒアリング</t>
        </is>
      </c>
      <c r="B20" s="16" t="inlineStr">
        <is>
          <t>3-1</t>
        </is>
      </c>
      <c r="C20" s="15" t="inlineStr">
        <is>
          <t>実施計画と質問票の作成</t>
        </is>
      </c>
      <c r="D20" s="15" t="inlineStr">
        <is>
          <t>対象6区分、質問票6種（大問35・小問102）</t>
        </is>
      </c>
      <c r="E20" s="15" t="inlineStr">
        <is>
          <t>B2 現状分析と課題の整理</t>
        </is>
      </c>
      <c r="F20" s="16" t="inlineStr">
        <is>
          <t>仕様書5(3)・成果品①</t>
        </is>
      </c>
      <c r="G20"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0" s="16" t="inlineStr">
        <is>
          <t>受託者</t>
        </is>
      </c>
      <c r="I20" s="16" t="inlineStr">
        <is>
          <t>2026-08</t>
        </is>
      </c>
      <c r="J20" s="16" t="inlineStr">
        <is>
          <t>2026-08</t>
        </is>
      </c>
      <c r="K20" s="17" t="inlineStr">
        <is>
          <t>完了</t>
        </is>
      </c>
      <c r="L20" s="18" t="n">
        <v>100</v>
      </c>
      <c r="M20" s="19" t="n">
        <v>3</v>
      </c>
      <c r="N20" s="15" t="inlineStr">
        <is>
          <t>**関係者団体等ヒアリング実施計画書（15_ヒアリング・調査設計）。**アンケートで数えられる事項は聞かず、供給側にしか答えられない事項に絞った</t>
        </is>
      </c>
      <c r="O20" s="15" t="inlineStr">
        <is>
          <t>―</t>
        </is>
      </c>
    </row>
    <row r="21">
      <c r="A21" s="15" t="inlineStr">
        <is>
          <t>P3 ヒアリング</t>
        </is>
      </c>
      <c r="B21" s="16" t="inlineStr">
        <is>
          <t>3-2</t>
        </is>
      </c>
      <c r="C21" s="15" t="inlineStr">
        <is>
          <t>対象先の選定</t>
        </is>
      </c>
      <c r="D21" s="15" t="inlineStr">
        <is>
          <t>小野町の方の利用実績が多い先から優先</t>
        </is>
      </c>
      <c r="E21" s="15" t="inlineStr">
        <is>
          <t>B2 現状分析と課題の整理</t>
        </is>
      </c>
      <c r="F21" s="16" t="inlineStr">
        <is>
          <t>仕様書5(3)</t>
        </is>
      </c>
      <c r="G21"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1" s="16" t="inlineStr">
        <is>
          <t>受託者・町</t>
        </is>
      </c>
      <c r="I21" s="16" t="inlineStr">
        <is>
          <t>2026-08</t>
        </is>
      </c>
      <c r="J21" s="16" t="inlineStr">
        <is>
          <t>2026-09</t>
        </is>
      </c>
      <c r="K21" s="20" t="inlineStr">
        <is>
          <t>未着手</t>
        </is>
      </c>
      <c r="L21" s="18" t="n">
        <v>0</v>
      </c>
      <c r="M21" s="19" t="n">
        <v>2</v>
      </c>
      <c r="N21" s="15" t="inlineStr">
        <is>
          <t>―</t>
        </is>
      </c>
      <c r="O21" s="15" t="inlineStr">
        <is>
          <t>**町のサービス実績（町内外事業所別・依頼票D4）**</t>
        </is>
      </c>
    </row>
    <row r="22">
      <c r="A22" s="15" t="inlineStr">
        <is>
          <t>P3 ヒアリング</t>
        </is>
      </c>
      <c r="B22" s="16" t="inlineStr">
        <is>
          <t>3-3</t>
        </is>
      </c>
      <c r="C22" s="15" t="inlineStr">
        <is>
          <t>依頼の送付・日程調整</t>
        </is>
      </c>
      <c r="D22" s="15" t="inlineStr">
        <is>
          <t>依頼文、質問票、個人情報の取扱いの事前送付</t>
        </is>
      </c>
      <c r="E22" s="15" t="inlineStr">
        <is>
          <t>B2 現状分析と課題の整理</t>
        </is>
      </c>
      <c r="F22" s="16" t="inlineStr">
        <is>
          <t>仕様書5(3)</t>
        </is>
      </c>
      <c r="G22"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2" s="16" t="inlineStr">
        <is>
          <t>受託者</t>
        </is>
      </c>
      <c r="I22" s="16" t="inlineStr">
        <is>
          <t>2026-09</t>
        </is>
      </c>
      <c r="J22" s="16" t="inlineStr">
        <is>
          <t>2026-09</t>
        </is>
      </c>
      <c r="K22" s="20" t="inlineStr">
        <is>
          <t>未着手</t>
        </is>
      </c>
      <c r="L22" s="18" t="n">
        <v>0</v>
      </c>
      <c r="M22" s="19" t="n">
        <v>1</v>
      </c>
      <c r="N22" s="15" t="inlineStr">
        <is>
          <t>依頼文の記載事項は実施計画書に整理</t>
        </is>
      </c>
      <c r="O22" s="15" t="inlineStr">
        <is>
          <t>対象先の選定</t>
        </is>
      </c>
    </row>
    <row r="23">
      <c r="A23" s="15" t="inlineStr">
        <is>
          <t>P3 ヒアリング</t>
        </is>
      </c>
      <c r="B23" s="16" t="inlineStr">
        <is>
          <t>3-4</t>
        </is>
      </c>
      <c r="C23" s="15" t="inlineStr">
        <is>
          <t>ヒアリングの実施</t>
        </is>
      </c>
      <c r="D23" s="15" t="inlineStr">
        <is>
          <t>20〜27件。アンケートの発送・回収と並行</t>
        </is>
      </c>
      <c r="E23" s="15" t="inlineStr">
        <is>
          <t>B2 現状分析と課題の整理</t>
        </is>
      </c>
      <c r="F23" s="16" t="inlineStr">
        <is>
          <t>仕様書5(3)</t>
        </is>
      </c>
      <c r="G23"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3" s="16" t="inlineStr">
        <is>
          <t>受託者</t>
        </is>
      </c>
      <c r="I23" s="16" t="inlineStr">
        <is>
          <t>2026-09</t>
        </is>
      </c>
      <c r="J23" s="16" t="inlineStr">
        <is>
          <t>2026-10</t>
        </is>
      </c>
      <c r="K23" s="20" t="inlineStr">
        <is>
          <t>未着手</t>
        </is>
      </c>
      <c r="L23" s="18" t="n">
        <v>0</v>
      </c>
      <c r="M23" s="19" t="n">
        <v>4</v>
      </c>
      <c r="N23" s="15" t="inlineStr">
        <is>
          <t>―</t>
        </is>
      </c>
      <c r="O23" s="15" t="inlineStr">
        <is>
          <t>日程調整</t>
        </is>
      </c>
    </row>
    <row r="24">
      <c r="A24" s="15" t="inlineStr">
        <is>
          <t>P3 ヒアリング</t>
        </is>
      </c>
      <c r="B24" s="16" t="inlineStr">
        <is>
          <t>3-5</t>
        </is>
      </c>
      <c r="C24" s="15" t="inlineStr">
        <is>
          <t>記録の作成と対象先への確認</t>
        </is>
      </c>
      <c r="D24" s="15" t="inlineStr">
        <is>
          <t>要点記録、引用の可否の確認</t>
        </is>
      </c>
      <c r="E24" s="15" t="inlineStr">
        <is>
          <t>B2 現状分析と課題の整理</t>
        </is>
      </c>
      <c r="F24" s="16" t="inlineStr">
        <is>
          <t>仕様書5(3)</t>
        </is>
      </c>
      <c r="G24"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4" s="16" t="inlineStr">
        <is>
          <t>受託者</t>
        </is>
      </c>
      <c r="I24" s="16" t="inlineStr">
        <is>
          <t>2026-11</t>
        </is>
      </c>
      <c r="J24" s="16" t="inlineStr">
        <is>
          <t>2026-11</t>
        </is>
      </c>
      <c r="K24" s="20" t="inlineStr">
        <is>
          <t>未着手</t>
        </is>
      </c>
      <c r="L24" s="18" t="n">
        <v>0</v>
      </c>
      <c r="M24" s="19" t="n">
        <v>2</v>
      </c>
      <c r="N24" s="15" t="inlineStr">
        <is>
          <t>記録の様式は実施計画書に整理</t>
        </is>
      </c>
      <c r="O24" s="15" t="inlineStr">
        <is>
          <t>ヒアリングの実施</t>
        </is>
      </c>
    </row>
    <row r="25">
      <c r="A25" s="15" t="inlineStr">
        <is>
          <t>P4 成果品①</t>
        </is>
      </c>
      <c r="B25" s="16" t="inlineStr">
        <is>
          <t>4-1</t>
        </is>
      </c>
      <c r="C25" s="15" t="inlineStr">
        <is>
          <t>アンケート調査結果及びヒアリング調査結果報告書の作成</t>
        </is>
      </c>
      <c r="D25" s="15" t="inlineStr">
        <is>
          <t>調査結果とヒアリング結果を1本の報告書にまとめる</t>
        </is>
      </c>
      <c r="E25" s="15" t="inlineStr">
        <is>
          <t>B5 成果品の納品</t>
        </is>
      </c>
      <c r="F25" s="16" t="inlineStr">
        <is>
          <t>仕様書6 成果品①</t>
        </is>
      </c>
      <c r="G25" s="15" t="inlineStr">
        <is>
          <t>【成果品①】①アンケート調査結果及びヒアリング調査結果報告書　電子データ</t>
        </is>
      </c>
      <c r="H25" s="16" t="inlineStr">
        <is>
          <t>受託者</t>
        </is>
      </c>
      <c r="I25" s="16" t="inlineStr">
        <is>
          <t>2026-11</t>
        </is>
      </c>
      <c r="J25" s="16" t="inlineStr">
        <is>
          <t>2026-12</t>
        </is>
      </c>
      <c r="K25" s="20" t="inlineStr">
        <is>
          <t>未着手</t>
        </is>
      </c>
      <c r="L25" s="18" t="n">
        <v>0</v>
      </c>
      <c r="M25" s="19" t="n">
        <v>4</v>
      </c>
      <c r="N25" s="15" t="inlineStr">
        <is>
          <t>―</t>
        </is>
      </c>
      <c r="O25" s="15" t="inlineStr">
        <is>
          <t>**集計の完了、ヒアリング記録の完成**</t>
        </is>
      </c>
    </row>
    <row r="26">
      <c r="A26" s="15" t="inlineStr">
        <is>
          <t>P4 成果品①</t>
        </is>
      </c>
      <c r="B26" s="16" t="inlineStr">
        <is>
          <t>4-2</t>
        </is>
      </c>
      <c r="C26" s="15" t="inlineStr">
        <is>
          <t>町による報告書の確認</t>
        </is>
      </c>
      <c r="D26" s="15" t="inlineStr">
        <is>
          <t>作業分担表で町の作業</t>
        </is>
      </c>
      <c r="E26" s="15" t="inlineStr">
        <is>
          <t>B1 障がい者ニーズ調査</t>
        </is>
      </c>
      <c r="F26" s="16" t="inlineStr">
        <is>
          <t>作業分担表（発注者）</t>
        </is>
      </c>
      <c r="G26"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26" s="16" t="inlineStr">
        <is>
          <t>町</t>
        </is>
      </c>
      <c r="I26" s="16" t="inlineStr">
        <is>
          <t>2026-12</t>
        </is>
      </c>
      <c r="J26" s="16" t="inlineStr">
        <is>
          <t>2026-12</t>
        </is>
      </c>
      <c r="K26" s="20" t="inlineStr">
        <is>
          <t>未着手</t>
        </is>
      </c>
      <c r="L26" s="18" t="n">
        <v>0</v>
      </c>
      <c r="M26" s="19" t="n">
        <v>1</v>
      </c>
      <c r="N26" s="15" t="inlineStr">
        <is>
          <t>―</t>
        </is>
      </c>
      <c r="O26" s="15" t="inlineStr">
        <is>
          <t>報告書の作成</t>
        </is>
      </c>
    </row>
    <row r="27">
      <c r="A27" s="15" t="inlineStr">
        <is>
          <t>P4 成果品①</t>
        </is>
      </c>
      <c r="B27" s="16" t="inlineStr">
        <is>
          <t>4-3</t>
        </is>
      </c>
      <c r="C27" s="15" t="inlineStr">
        <is>
          <t>報告書の完成・納品</t>
        </is>
      </c>
      <c r="D27" s="15" t="inlineStr">
        <is>
          <t>電子データ</t>
        </is>
      </c>
      <c r="E27" s="15" t="inlineStr">
        <is>
          <t>B5 成果品の納品</t>
        </is>
      </c>
      <c r="F27" s="16" t="inlineStr">
        <is>
          <t>仕様書6 成果品①</t>
        </is>
      </c>
      <c r="G27" s="15" t="inlineStr">
        <is>
          <t>【成果品①】①アンケート調査結果及びヒアリング調査結果報告書　電子データ</t>
        </is>
      </c>
      <c r="H27" s="16" t="inlineStr">
        <is>
          <t>受託者</t>
        </is>
      </c>
      <c r="I27" s="16" t="inlineStr">
        <is>
          <t>2026-12</t>
        </is>
      </c>
      <c r="J27" s="16" t="inlineStr">
        <is>
          <t>2026-12</t>
        </is>
      </c>
      <c r="K27" s="20" t="inlineStr">
        <is>
          <t>未着手</t>
        </is>
      </c>
      <c r="L27" s="18" t="n">
        <v>0</v>
      </c>
      <c r="M27" s="19" t="n">
        <v>1</v>
      </c>
      <c r="N27" s="15" t="inlineStr">
        <is>
          <t>―</t>
        </is>
      </c>
      <c r="O27" s="15" t="inlineStr">
        <is>
          <t>町の確認</t>
        </is>
      </c>
    </row>
    <row r="28">
      <c r="A28" s="15" t="inlineStr">
        <is>
          <t>P5 現状分析・課題</t>
        </is>
      </c>
      <c r="B28" s="16" t="inlineStr">
        <is>
          <t>5-1</t>
        </is>
      </c>
      <c r="C28" s="15" t="inlineStr">
        <is>
          <t>現行計画の取組み状況の検証</t>
        </is>
      </c>
      <c r="D28" s="15" t="inlineStr">
        <is>
          <t>第7期の成果目標・活動指標の実績</t>
        </is>
      </c>
      <c r="E28" s="15" t="inlineStr">
        <is>
          <t>B2 現状分析と課題の整理</t>
        </is>
      </c>
      <c r="F28" s="16" t="inlineStr">
        <is>
          <t>仕様書5(3)</t>
        </is>
      </c>
      <c r="G28"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6" t="inlineStr">
        <is>
          <t>受託者</t>
        </is>
      </c>
      <c r="I28" s="16" t="inlineStr">
        <is>
          <t>2026-08</t>
        </is>
      </c>
      <c r="J28" s="16" t="inlineStr">
        <is>
          <t>2026-10</t>
        </is>
      </c>
      <c r="K28" s="22" t="inlineStr">
        <is>
          <t>データ待ち</t>
        </is>
      </c>
      <c r="L28" s="18" t="n">
        <v>40</v>
      </c>
      <c r="M28" s="19" t="n">
        <v>3</v>
      </c>
      <c r="N28" s="15" t="inlineStr">
        <is>
          <t>前回アンケート（280件・22件）の検証と計画接続マトリクスを作成済み</t>
        </is>
      </c>
      <c r="O28" s="15" t="inlineStr">
        <is>
          <t>町のサービス実績（依頼票D4・D7）</t>
        </is>
      </c>
    </row>
    <row r="29">
      <c r="A29" s="15" t="inlineStr">
        <is>
          <t>P5 現状分析・課題</t>
        </is>
      </c>
      <c r="B29" s="16" t="inlineStr">
        <is>
          <t>5-2</t>
        </is>
      </c>
      <c r="C29" s="15" t="inlineStr">
        <is>
          <t>手帳所持者・サービス利用状況の分析</t>
        </is>
      </c>
      <c r="D29" s="15" t="inlineStr">
        <is>
          <t>手帳所持者508人（身体372・療育74・精神62）。支給決定量と実利用量</t>
        </is>
      </c>
      <c r="E29" s="15" t="inlineStr">
        <is>
          <t>B2 現状分析と課題の整理</t>
        </is>
      </c>
      <c r="F29" s="16" t="inlineStr">
        <is>
          <t>仕様書5(3)</t>
        </is>
      </c>
      <c r="G29"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6" t="inlineStr">
        <is>
          <t>受託者</t>
        </is>
      </c>
      <c r="I29" s="16" t="inlineStr">
        <is>
          <t>2026-09</t>
        </is>
      </c>
      <c r="J29" s="16" t="inlineStr">
        <is>
          <t>2026-10</t>
        </is>
      </c>
      <c r="K29" s="19" t="inlineStr">
        <is>
          <t>進行中</t>
        </is>
      </c>
      <c r="L29" s="18" t="n">
        <v>60</v>
      </c>
      <c r="M29" s="19" t="n">
        <v>3</v>
      </c>
      <c r="N29" s="15" t="inlineStr">
        <is>
          <t>**町提出のワークシートによりR5〜R8のサービス別実績を受領。**手帳所持者はR5 539人→R7 508人。うち精神のみ45人→62人（＋37.8％）と増加</t>
        </is>
      </c>
      <c r="O29" s="15" t="inlineStr">
        <is>
          <t>**支給決定量と実利用量の別、障害支援区分別の状況（依頼票D7）。精神障がい者の内数が総数を超える箇所があり原データの確認が必要**</t>
        </is>
      </c>
    </row>
    <row r="30">
      <c r="A30" s="15" t="inlineStr">
        <is>
          <t>P5 現状分析・課題</t>
        </is>
      </c>
      <c r="B30" s="16" t="inlineStr">
        <is>
          <t>5-3</t>
        </is>
      </c>
      <c r="C30" s="15" t="inlineStr">
        <is>
          <t>課題の抽出</t>
        </is>
      </c>
      <c r="D30" s="15" t="inlineStr">
        <is>
          <t>調査結果・ヒアリング結果を踏まえた課題整理</t>
        </is>
      </c>
      <c r="E30" s="15" t="inlineStr">
        <is>
          <t>B2 現状分析と課題の整理</t>
        </is>
      </c>
      <c r="F30" s="16" t="inlineStr">
        <is>
          <t>仕様書5(3)</t>
        </is>
      </c>
      <c r="G30"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0" s="16" t="inlineStr">
        <is>
          <t>受託者</t>
        </is>
      </c>
      <c r="I30" s="16" t="inlineStr">
        <is>
          <t>2026-11</t>
        </is>
      </c>
      <c r="J30" s="16" t="inlineStr">
        <is>
          <t>2026-11</t>
        </is>
      </c>
      <c r="K30" s="19" t="inlineStr">
        <is>
          <t>進行中</t>
        </is>
      </c>
      <c r="L30" s="18" t="n">
        <v>40</v>
      </c>
      <c r="M30" s="19" t="n">
        <v>3</v>
      </c>
      <c r="N30" s="15" t="inlineStr">
        <is>
          <t>現時点の課題15項目を骨子案に整理済み（相談支援体制、経済的負担、医療・通院、移動・外出、防災、家族介助者、18歳移行、就労、権利擁護 ほか）</t>
        </is>
      </c>
      <c r="O30" s="15" t="inlineStr">
        <is>
          <t>調査結果・ヒアリング結果</t>
        </is>
      </c>
    </row>
    <row r="31">
      <c r="A31" s="15" t="inlineStr">
        <is>
          <t>P5 現状分析・課題</t>
        </is>
      </c>
      <c r="B31" s="16" t="inlineStr">
        <is>
          <t>5-4</t>
        </is>
      </c>
      <c r="C31" s="15" t="inlineStr">
        <is>
          <t>人口推計の出典の統一</t>
        </is>
      </c>
      <c r="D31" s="15" t="inlineStr">
        <is>
          <t>高齢者計画は第10期将来推計用推計人口、障がい計画は町のワークシート。令和11年度で402人・5.1％の差</t>
        </is>
      </c>
      <c r="E31" s="15" t="inlineStr">
        <is>
          <t>B2 現状分析と課題の整理</t>
        </is>
      </c>
      <c r="F31" s="16" t="inlineStr">
        <is>
          <t>仕様書5(3)</t>
        </is>
      </c>
      <c r="G31"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1" s="16" t="inlineStr">
        <is>
          <t>受託者・町</t>
        </is>
      </c>
      <c r="I31" s="16" t="inlineStr">
        <is>
          <t>2026-08</t>
        </is>
      </c>
      <c r="J31" s="16" t="inlineStr">
        <is>
          <t>2026-10</t>
        </is>
      </c>
      <c r="K31" s="21" t="inlineStr">
        <is>
          <t>要対応</t>
        </is>
      </c>
      <c r="L31" s="18" t="n">
        <v>70</v>
      </c>
      <c r="M31" s="19" t="n">
        <v>1</v>
      </c>
      <c r="N31" s="15" t="inlineStr">
        <is>
          <t>**「人口推計の出典統一メモ」（04_算定・見込量・7章5表）を作成。**差は0〜14歳と15〜64歳に集中しており、**65歳以上は令和11年度で3,418人と3,422人、差は4人でよく一致する（介護保険の算定結果は出典を変えても動かない）。****0〜14歳は令和11年度で697人と517人、180人（35％）の差があり、人口比率型で組んでいる児童発達支援・放課後等デイの見込量が3割以上動く。**住基実績を基準年とし第10期推計の変化率で延ばす案3を推奨</t>
        </is>
      </c>
      <c r="O31" s="15" t="inlineStr">
        <is>
          <t>**町の判断（4件）。計画本文の出典、男女別5歳階級の住基人口の提供、障がい児の見込量を再計算するか、保険料算定に第10期推計を使うこと**</t>
        </is>
      </c>
    </row>
    <row r="32">
      <c r="A32" s="15" t="inlineStr">
        <is>
          <t>P6 計画策定支援</t>
        </is>
      </c>
      <c r="B32" s="16" t="inlineStr">
        <is>
          <t>6-1</t>
        </is>
      </c>
      <c r="C32" s="15" t="inlineStr">
        <is>
          <t>骨子案の作成</t>
        </is>
      </c>
      <c r="D32" s="15" t="inlineStr">
        <is>
          <t>3部構成。成果目標を国の8分野に対応</t>
        </is>
      </c>
      <c r="E32" s="15" t="inlineStr">
        <is>
          <t>B3 計画策定支援業務</t>
        </is>
      </c>
      <c r="F32" s="16" t="inlineStr">
        <is>
          <t>仕様書5(4)</t>
        </is>
      </c>
      <c r="G32"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2" s="16" t="inlineStr">
        <is>
          <t>受託者</t>
        </is>
      </c>
      <c r="I32" s="16" t="inlineStr">
        <is>
          <t>2026-07</t>
        </is>
      </c>
      <c r="J32" s="16" t="inlineStr">
        <is>
          <t>2026-11</t>
        </is>
      </c>
      <c r="K32" s="19" t="inlineStr">
        <is>
          <t>進行中</t>
        </is>
      </c>
      <c r="L32" s="18" t="n">
        <v>60</v>
      </c>
      <c r="M32" s="19" t="n">
        <v>3</v>
      </c>
      <c r="N32" s="15" t="inlineStr">
        <is>
          <t>初版を作成済み（09_骨子案・4部構成）。見込量の算定方式も設定</t>
        </is>
      </c>
      <c r="O32" s="15" t="inlineStr">
        <is>
          <t>調査結果の反映</t>
        </is>
      </c>
    </row>
    <row r="33">
      <c r="A33" s="15" t="inlineStr">
        <is>
          <t>P6 計画策定支援</t>
        </is>
      </c>
      <c r="B33" s="16" t="inlineStr">
        <is>
          <t>6-2</t>
        </is>
      </c>
      <c r="C33" s="15" t="inlineStr">
        <is>
          <t>骨子案の協議（自立支援協議会）</t>
        </is>
      </c>
      <c r="D33" s="15" t="inlineStr">
        <is>
          <t>第2回に諮る</t>
        </is>
      </c>
      <c r="E33" s="15" t="inlineStr">
        <is>
          <t>B3 計画策定支援業務</t>
        </is>
      </c>
      <c r="F33" s="16" t="inlineStr">
        <is>
          <t>仕様書5(4)・7</t>
        </is>
      </c>
      <c r="G33"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3" s="16" t="inlineStr">
        <is>
          <t>受託者・町</t>
        </is>
      </c>
      <c r="I33" s="16" t="inlineStr">
        <is>
          <t>2026-12</t>
        </is>
      </c>
      <c r="J33" s="16" t="inlineStr">
        <is>
          <t>2026-12</t>
        </is>
      </c>
      <c r="K33" s="20" t="inlineStr">
        <is>
          <t>未着手</t>
        </is>
      </c>
      <c r="L33" s="18" t="n">
        <v>0</v>
      </c>
      <c r="M33" s="19" t="n">
        <v>2</v>
      </c>
      <c r="N33" s="15" t="inlineStr">
        <is>
          <t>**仕様書7では10月の回。工程変更により12月に統合する案を協議中**</t>
        </is>
      </c>
      <c r="O33" s="15" t="inlineStr">
        <is>
          <t>工程変更の合意</t>
        </is>
      </c>
    </row>
    <row r="34">
      <c r="A34" s="15" t="inlineStr">
        <is>
          <t>P6 計画策定支援</t>
        </is>
      </c>
      <c r="B34" s="16" t="inlineStr">
        <is>
          <t>6-3</t>
        </is>
      </c>
      <c r="C34" s="15" t="inlineStr">
        <is>
          <t>成果目標の設定</t>
        </is>
      </c>
      <c r="D34" s="15" t="inlineStr">
        <is>
          <t>国の基本指針の8分野</t>
        </is>
      </c>
      <c r="E34" s="15" t="inlineStr">
        <is>
          <t>B3 計画策定支援業務</t>
        </is>
      </c>
      <c r="F34" s="16" t="inlineStr">
        <is>
          <t>仕様書5(4)</t>
        </is>
      </c>
      <c r="G34"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4" s="16" t="inlineStr">
        <is>
          <t>受託者・町</t>
        </is>
      </c>
      <c r="I34" s="16" t="inlineStr">
        <is>
          <t>2026-09</t>
        </is>
      </c>
      <c r="J34" s="16" t="inlineStr">
        <is>
          <t>2026-12</t>
        </is>
      </c>
      <c r="K34" s="19" t="inlineStr">
        <is>
          <t>進行中</t>
        </is>
      </c>
      <c r="L34" s="18" t="n">
        <v>30</v>
      </c>
      <c r="M34" s="19" t="n">
        <v>3</v>
      </c>
      <c r="N34" s="15" t="inlineStr">
        <is>
          <t>**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4" s="15" t="inlineStr">
        <is>
          <t>**基準年度の確定（告示本文・県方針）、R6年度の一般就労移行者数、セルフプラン件数（依頼票D5）、特別支援学校卒業予定者（依頼票D6）**</t>
        </is>
      </c>
    </row>
    <row r="35">
      <c r="A35" s="15" t="inlineStr">
        <is>
          <t>P6 計画策定支援</t>
        </is>
      </c>
      <c r="B35" s="16" t="inlineStr">
        <is>
          <t>6-4</t>
        </is>
      </c>
      <c r="C35" s="15" t="inlineStr">
        <is>
          <t>サービス見込量の算定</t>
        </is>
      </c>
      <c r="D35" s="15" t="inlineStr">
        <is>
          <t>サービス種類別の見込量</t>
        </is>
      </c>
      <c r="E35" s="15" t="inlineStr">
        <is>
          <t>B3 計画策定支援業務</t>
        </is>
      </c>
      <c r="F35" s="16" t="inlineStr">
        <is>
          <t>仕様書5(4)</t>
        </is>
      </c>
      <c r="G35"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5" s="16" t="inlineStr">
        <is>
          <t>受託者</t>
        </is>
      </c>
      <c r="I35" s="16" t="inlineStr">
        <is>
          <t>2026-09</t>
        </is>
      </c>
      <c r="J35" s="16" t="inlineStr">
        <is>
          <t>2027-01</t>
        </is>
      </c>
      <c r="K35" s="19" t="inlineStr">
        <is>
          <t>進行中</t>
        </is>
      </c>
      <c r="L35" s="18" t="n">
        <v>40</v>
      </c>
      <c r="M35" s="19" t="n">
        <v>4</v>
      </c>
      <c r="N35" s="15" t="inlineStr">
        <is>
          <t>**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35" s="15" t="inlineStr">
        <is>
          <t>**A-1〜A-5の解消。とくに地域生活支援事業のR6〜R8実績（法定記載事項）と、居宅介護R7の113時間が実績か入力誤りかの確認**</t>
        </is>
      </c>
    </row>
    <row r="36">
      <c r="A36" s="15" t="inlineStr">
        <is>
          <t>P6 計画策定支援</t>
        </is>
      </c>
      <c r="B36" s="16" t="inlineStr">
        <is>
          <t>6-5</t>
        </is>
      </c>
      <c r="C36" s="15" t="inlineStr">
        <is>
          <t>素案の作成</t>
        </is>
      </c>
      <c r="D36" s="15" t="inlineStr">
        <is>
          <t>3計画一体の素案</t>
        </is>
      </c>
      <c r="E36" s="15" t="inlineStr">
        <is>
          <t>B3 計画策定支援業務</t>
        </is>
      </c>
      <c r="F36" s="16" t="inlineStr">
        <is>
          <t>仕様書5(4)</t>
        </is>
      </c>
      <c r="G36"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6" s="16" t="inlineStr">
        <is>
          <t>受託者</t>
        </is>
      </c>
      <c r="I36" s="16" t="inlineStr">
        <is>
          <t>2026-12</t>
        </is>
      </c>
      <c r="J36" s="16" t="inlineStr">
        <is>
          <t>2027-01</t>
        </is>
      </c>
      <c r="K36" s="19" t="inlineStr">
        <is>
          <t>進行中</t>
        </is>
      </c>
      <c r="L36" s="18" t="n">
        <v>30</v>
      </c>
      <c r="M36" s="19" t="n">
        <v>5</v>
      </c>
      <c r="N36" s="15" t="inlineStr">
        <is>
          <t>**引継ぎ時点の拡充版のまま（03_計画素案）。第2版への改訂が未着手**</t>
        </is>
      </c>
      <c r="O36" s="15" t="inlineStr">
        <is>
          <t>**条件なしで着手できる。調査結果を待たずに構成・本文は書ける**</t>
        </is>
      </c>
    </row>
    <row r="37">
      <c r="A37" s="15" t="inlineStr">
        <is>
          <t>P6 計画策定支援</t>
        </is>
      </c>
      <c r="B37" s="16" t="inlineStr">
        <is>
          <t>6-6</t>
        </is>
      </c>
      <c r="C37" s="15" t="inlineStr">
        <is>
          <t>素案の協議（自立支援協議会）</t>
        </is>
      </c>
      <c r="D37" s="15" t="inlineStr">
        <is>
          <t>第3回に諮る</t>
        </is>
      </c>
      <c r="E37" s="15" t="inlineStr">
        <is>
          <t>B3 計画策定支援業務</t>
        </is>
      </c>
      <c r="F37" s="16" t="inlineStr">
        <is>
          <t>仕様書5(4)・7</t>
        </is>
      </c>
      <c r="G37"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7" s="16" t="inlineStr">
        <is>
          <t>受託者・町</t>
        </is>
      </c>
      <c r="I37" s="16" t="inlineStr">
        <is>
          <t>2027-02</t>
        </is>
      </c>
      <c r="J37" s="16" t="inlineStr">
        <is>
          <t>2027-02</t>
        </is>
      </c>
      <c r="K37" s="20" t="inlineStr">
        <is>
          <t>未着手</t>
        </is>
      </c>
      <c r="L37" s="18" t="n">
        <v>0</v>
      </c>
      <c r="M37" s="19" t="n">
        <v>2</v>
      </c>
      <c r="N37" s="15" t="inlineStr">
        <is>
          <t>―</t>
        </is>
      </c>
      <c r="O37" s="15" t="inlineStr">
        <is>
          <t>素案の確定</t>
        </is>
      </c>
    </row>
    <row r="38">
      <c r="A38" s="15" t="inlineStr">
        <is>
          <t>P7 意見聴取</t>
        </is>
      </c>
      <c r="B38" s="16" t="inlineStr">
        <is>
          <t>7-1</t>
        </is>
      </c>
      <c r="C38" s="15" t="inlineStr">
        <is>
          <t>パブリックコメントの様式作成</t>
        </is>
      </c>
      <c r="D38" s="15" t="inlineStr">
        <is>
          <t>実施要領、意見提出様式、対応表</t>
        </is>
      </c>
      <c r="E38" s="15" t="inlineStr">
        <is>
          <t>B4 パブリックコメントの実施支援</t>
        </is>
      </c>
      <c r="F38" s="16" t="inlineStr">
        <is>
          <t>仕様書5(5)</t>
        </is>
      </c>
      <c r="G38"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38" s="16" t="inlineStr">
        <is>
          <t>受託者</t>
        </is>
      </c>
      <c r="I38" s="16" t="inlineStr">
        <is>
          <t>2026-08</t>
        </is>
      </c>
      <c r="J38" s="16" t="inlineStr">
        <is>
          <t>2026-08</t>
        </is>
      </c>
      <c r="K38" s="17" t="inlineStr">
        <is>
          <t>完了</t>
        </is>
      </c>
      <c r="L38" s="18" t="n">
        <v>100</v>
      </c>
      <c r="M38" s="19" t="n">
        <v>1</v>
      </c>
      <c r="N38" s="15" t="inlineStr">
        <is>
          <t>計画策定業務設計書 第4章（高齢者計画と共通）</t>
        </is>
      </c>
      <c r="O38" s="15" t="inlineStr">
        <is>
          <t>―</t>
        </is>
      </c>
    </row>
    <row r="39">
      <c r="A39" s="15" t="inlineStr">
        <is>
          <t>P7 意見聴取</t>
        </is>
      </c>
      <c r="B39" s="16" t="inlineStr">
        <is>
          <t>7-2</t>
        </is>
      </c>
      <c r="C39" s="15" t="inlineStr">
        <is>
          <t>パブリックコメントの実施</t>
        </is>
      </c>
      <c r="D39" s="15" t="inlineStr">
        <is>
          <t>意見提出期間1か月</t>
        </is>
      </c>
      <c r="E39" s="15" t="inlineStr">
        <is>
          <t>B4 パブリックコメントの実施支援</t>
        </is>
      </c>
      <c r="F39" s="16" t="inlineStr">
        <is>
          <t>仕様書5(5)・7</t>
        </is>
      </c>
      <c r="G39"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9" s="16" t="inlineStr">
        <is>
          <t>町</t>
        </is>
      </c>
      <c r="I39" s="16" t="inlineStr">
        <is>
          <t>2027-01</t>
        </is>
      </c>
      <c r="J39" s="16" t="inlineStr">
        <is>
          <t>2027-01</t>
        </is>
      </c>
      <c r="K39" s="20" t="inlineStr">
        <is>
          <t>未着手</t>
        </is>
      </c>
      <c r="L39" s="18" t="n">
        <v>0</v>
      </c>
      <c r="M39" s="19" t="n">
        <v>2</v>
      </c>
      <c r="N39" s="15" t="inlineStr">
        <is>
          <t>―</t>
        </is>
      </c>
      <c r="O39" s="15" t="inlineStr">
        <is>
          <t>素案の確定、実施時期の確定（依頼票C6）</t>
        </is>
      </c>
    </row>
    <row r="40">
      <c r="A40" s="15" t="inlineStr">
        <is>
          <t>P7 意見聴取</t>
        </is>
      </c>
      <c r="B40" s="16" t="inlineStr">
        <is>
          <t>7-3</t>
        </is>
      </c>
      <c r="C40" s="15" t="inlineStr">
        <is>
          <t>意見への対応</t>
        </is>
      </c>
      <c r="D40" s="15" t="inlineStr">
        <is>
          <t>意見の整理、対応案の作成、計画への反映</t>
        </is>
      </c>
      <c r="E40" s="15" t="inlineStr">
        <is>
          <t>B4 パブリックコメントの実施支援</t>
        </is>
      </c>
      <c r="F40" s="16" t="inlineStr">
        <is>
          <t>仕様書5(5)</t>
        </is>
      </c>
      <c r="G40"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0" s="16" t="inlineStr">
        <is>
          <t>受託者</t>
        </is>
      </c>
      <c r="I40" s="16" t="inlineStr">
        <is>
          <t>2027-02</t>
        </is>
      </c>
      <c r="J40" s="16" t="inlineStr">
        <is>
          <t>2027-02</t>
        </is>
      </c>
      <c r="K40" s="20" t="inlineStr">
        <is>
          <t>未着手</t>
        </is>
      </c>
      <c r="L40" s="18" t="n">
        <v>0</v>
      </c>
      <c r="M40" s="19" t="n">
        <v>2</v>
      </c>
      <c r="N40" s="15" t="inlineStr">
        <is>
          <t>対応表の様式は作成済み</t>
        </is>
      </c>
      <c r="O40" s="15" t="inlineStr">
        <is>
          <t>パブコメの実施</t>
        </is>
      </c>
    </row>
    <row r="41">
      <c r="A41" s="15" t="inlineStr">
        <is>
          <t>P7 意見聴取</t>
        </is>
      </c>
      <c r="B41" s="16" t="inlineStr">
        <is>
          <t>7-4</t>
        </is>
      </c>
      <c r="C41" s="15" t="inlineStr">
        <is>
          <t>自立支援協議会への出席（3回）</t>
        </is>
      </c>
      <c r="D41" s="15" t="inlineStr">
        <is>
          <t>仕様書8②により3回と明記</t>
        </is>
      </c>
      <c r="E41" s="15" t="inlineStr">
        <is>
          <t>B6 業務管理・打合せ</t>
        </is>
      </c>
      <c r="F41" s="16" t="inlineStr">
        <is>
          <t>仕様書8②</t>
        </is>
      </c>
      <c r="G41" s="15" t="inlineStr">
        <is>
          <t>【8②】当町で開催する自立支援協議会（3回）に出席し、計画の説明をする。</t>
        </is>
      </c>
      <c r="H41" s="16" t="inlineStr">
        <is>
          <t>受託者</t>
        </is>
      </c>
      <c r="I41" s="16" t="inlineStr">
        <is>
          <t>2026-08</t>
        </is>
      </c>
      <c r="J41" s="16" t="inlineStr">
        <is>
          <t>2027-02</t>
        </is>
      </c>
      <c r="K41" s="19" t="inlineStr">
        <is>
          <t>進行中</t>
        </is>
      </c>
      <c r="L41" s="18" t="n">
        <v>30</v>
      </c>
      <c r="M41" s="19" t="n">
        <v>2</v>
      </c>
      <c r="N41" s="15" t="inlineStr">
        <is>
          <t>第1回は令和8年8月19日（資料第3版を作成済み）</t>
        </is>
      </c>
      <c r="O41" s="15" t="inlineStr">
        <is>
          <t>第2回・第3回の時期は工程変更の協議による</t>
        </is>
      </c>
    </row>
    <row r="42">
      <c r="A42" s="15" t="inlineStr">
        <is>
          <t>P8 完成・納品</t>
        </is>
      </c>
      <c r="B42" s="16" t="inlineStr">
        <is>
          <t>8-1</t>
        </is>
      </c>
      <c r="C42" s="15" t="inlineStr">
        <is>
          <t>計画案の作成</t>
        </is>
      </c>
      <c r="D42" s="15" t="inlineStr">
        <is>
          <t>パブリックコメント対応後の計画案</t>
        </is>
      </c>
      <c r="E42" s="15" t="inlineStr">
        <is>
          <t>B3 計画策定支援業務</t>
        </is>
      </c>
      <c r="F42" s="16" t="inlineStr">
        <is>
          <t>仕様書5(4)</t>
        </is>
      </c>
      <c r="G42"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2" s="16" t="inlineStr">
        <is>
          <t>受託者</t>
        </is>
      </c>
      <c r="I42" s="16" t="inlineStr">
        <is>
          <t>2027-02</t>
        </is>
      </c>
      <c r="J42" s="16" t="inlineStr">
        <is>
          <t>2027-02</t>
        </is>
      </c>
      <c r="K42" s="20" t="inlineStr">
        <is>
          <t>未着手</t>
        </is>
      </c>
      <c r="L42" s="18" t="n">
        <v>0</v>
      </c>
      <c r="M42" s="19" t="n">
        <v>3</v>
      </c>
      <c r="N42" s="15" t="inlineStr">
        <is>
          <t>―</t>
        </is>
      </c>
      <c r="O42" s="15" t="inlineStr">
        <is>
          <t>意見への対応</t>
        </is>
      </c>
    </row>
    <row r="43">
      <c r="A43" s="15" t="inlineStr">
        <is>
          <t>P8 完成・納品</t>
        </is>
      </c>
      <c r="B43" s="16" t="inlineStr">
        <is>
          <t>8-2</t>
        </is>
      </c>
      <c r="C43" s="15" t="inlineStr">
        <is>
          <t>レイアウトデザイン・イラスト起こし</t>
        </is>
      </c>
      <c r="D43" s="15" t="inlineStr">
        <is>
          <t>**仕様書は「原稿作成、レイアウトデザイン（イラスト起こし数点）、リライト作業を含む」と定める**</t>
        </is>
      </c>
      <c r="E43" s="15" t="inlineStr">
        <is>
          <t>B5 成果品の納品</t>
        </is>
      </c>
      <c r="F43" s="16" t="inlineStr">
        <is>
          <t>仕様書6 成果品②</t>
        </is>
      </c>
      <c r="G43"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3" s="16" t="inlineStr">
        <is>
          <t>受託者</t>
        </is>
      </c>
      <c r="I43" s="16" t="inlineStr">
        <is>
          <t>2027-02</t>
        </is>
      </c>
      <c r="J43" s="16" t="inlineStr">
        <is>
          <t>2027-03</t>
        </is>
      </c>
      <c r="K43" s="20" t="inlineStr">
        <is>
          <t>未着手</t>
        </is>
      </c>
      <c r="L43" s="18" t="n">
        <v>0</v>
      </c>
      <c r="M43" s="19" t="n">
        <v>3</v>
      </c>
      <c r="N43" s="15" t="inlineStr">
        <is>
          <t>―</t>
        </is>
      </c>
      <c r="O43" s="15" t="inlineStr">
        <is>
          <t>**イラスト起こしが仕様に含まれる点は引継ぎ資料でも触れられていない。デザイン工程の確保が必要**</t>
        </is>
      </c>
    </row>
    <row r="44">
      <c r="A44" s="15" t="inlineStr">
        <is>
          <t>P8 完成・納品</t>
        </is>
      </c>
      <c r="B44" s="16" t="inlineStr">
        <is>
          <t>8-3</t>
        </is>
      </c>
      <c r="C44" s="15" t="inlineStr">
        <is>
          <t>リライト作業</t>
        </is>
      </c>
      <c r="D44" s="15" t="inlineStr">
        <is>
          <t>読みやすさの調整</t>
        </is>
      </c>
      <c r="E44" s="15" t="inlineStr">
        <is>
          <t>B5 成果品の納品</t>
        </is>
      </c>
      <c r="F44" s="16" t="inlineStr">
        <is>
          <t>仕様書6 成果品②</t>
        </is>
      </c>
      <c r="G44"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4" s="16" t="inlineStr">
        <is>
          <t>受託者</t>
        </is>
      </c>
      <c r="I44" s="16" t="inlineStr">
        <is>
          <t>2027-03</t>
        </is>
      </c>
      <c r="J44" s="16" t="inlineStr">
        <is>
          <t>2027-03</t>
        </is>
      </c>
      <c r="K44" s="20" t="inlineStr">
        <is>
          <t>未着手</t>
        </is>
      </c>
      <c r="L44" s="18" t="n">
        <v>0</v>
      </c>
      <c r="M44" s="19" t="n">
        <v>2</v>
      </c>
      <c r="N44" s="15" t="inlineStr">
        <is>
          <t>―</t>
        </is>
      </c>
      <c r="O44" s="15" t="inlineStr">
        <is>
          <t>計画案の確定</t>
        </is>
      </c>
    </row>
    <row r="45">
      <c r="A45" s="15" t="inlineStr">
        <is>
          <t>P8 完成・納品</t>
        </is>
      </c>
      <c r="B45" s="16" t="inlineStr">
        <is>
          <t>8-4</t>
        </is>
      </c>
      <c r="C45" s="15" t="inlineStr">
        <is>
          <t>納品・検収</t>
        </is>
      </c>
      <c r="D45" s="15" t="inlineStr">
        <is>
          <t>電子データ（Microsoft Word 2019以上の形式）。**印刷の指定はなし**</t>
        </is>
      </c>
      <c r="E45" s="15" t="inlineStr">
        <is>
          <t>B5 成果品の納品</t>
        </is>
      </c>
      <c r="F45" s="16" t="inlineStr">
        <is>
          <t>仕様書6 成果品②</t>
        </is>
      </c>
      <c r="G45"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5" s="16" t="inlineStr">
        <is>
          <t>受託者・町</t>
        </is>
      </c>
      <c r="I45" s="16" t="inlineStr">
        <is>
          <t>2027-03</t>
        </is>
      </c>
      <c r="J45" s="16" t="inlineStr">
        <is>
          <t>2027-03</t>
        </is>
      </c>
      <c r="K45" s="20" t="inlineStr">
        <is>
          <t>未着手</t>
        </is>
      </c>
      <c r="L45" s="18" t="n">
        <v>0</v>
      </c>
      <c r="M45" s="19" t="n">
        <v>1</v>
      </c>
      <c r="N45" s="15" t="inlineStr">
        <is>
          <t>―</t>
        </is>
      </c>
      <c r="O45" s="15" t="inlineStr">
        <is>
          <t>**完了日が公告（3月31日）と仕様書（3月25日）で異なる（依頼票C1）**</t>
        </is>
      </c>
    </row>
  </sheetData>
  <autoFilter ref="A1:O45"/>
  <conditionalFormatting sqref="L2:L45">
    <cfRule type="cellIs" priority="1" operator="equal" dxfId="0">
      <formula>100</formula>
    </cfRule>
    <cfRule type="cellIs" priority="2" operator="equal" dxfId="1">
      <formula>0</formula>
    </cfRule>
  </conditionalFormatting>
  <dataValidations count="2">
    <dataValidation sqref="K2:K45" showDropDown="0" showInputMessage="0" showErrorMessage="0" allowBlank="1" type="list">
      <formula1>"完了,進行中,要対応,データ待ち,未着手"</formula1>
    </dataValidation>
    <dataValidation sqref="L2:L45"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5" t="inlineStr">
        <is>
          <t>P1 準備・現状把握</t>
        </is>
      </c>
      <c r="B2" s="16">
        <f>COUNTIF('01_WBS'!$A$2:$A$45,$A2)</f>
        <v/>
      </c>
      <c r="C2" s="16">
        <f>COUNTIFS('01_WBS'!$A$2:$A$45,$A2,'01_WBS'!$K$2:$K$45,"完了")</f>
        <v/>
      </c>
      <c r="D2" s="16">
        <f>COUNTIFS('01_WBS'!$A$2:$A$45,$A2,'01_WBS'!$K$2:$K$45,"進行中")</f>
        <v/>
      </c>
      <c r="E2" s="16">
        <f>COUNTIFS('01_WBS'!$A$2:$A$45,$A2,'01_WBS'!$K$2:$K$45,"要対応")</f>
        <v/>
      </c>
      <c r="F2" s="16">
        <f>COUNTIFS('01_WBS'!$A$2:$A$45,$A2,'01_WBS'!$K$2:$K$45,"データ待ち")</f>
        <v/>
      </c>
      <c r="G2" s="16">
        <f>COUNTIFS('01_WBS'!$A$2:$A$45,$A2,'01_WBS'!$K$2:$K$45,"未着手")</f>
        <v/>
      </c>
      <c r="H2" s="23">
        <f>IF(SUMPRODUCT(('01_WBS'!$A$2:$A$45=$A2)*'01_WBS'!$M$2:$M$45)=0,0,SUMPRODUCT(('01_WBS'!$A$2:$A$45=$A2)*'01_WBS'!$L$2:$L$45*'01_WBS'!$M$2:$M$45)/SUMPRODUCT(('01_WBS'!$A$2:$A$45=$A2)*'01_WBS'!$M$2:$M$45)/100)</f>
        <v/>
      </c>
      <c r="I2" s="16" t="inlineStr">
        <is>
          <t>2026-06</t>
        </is>
      </c>
      <c r="J2" s="16" t="inlineStr">
        <is>
          <t>2026-09</t>
        </is>
      </c>
      <c r="K2" s="15" t="inlineStr">
        <is>
          <t>町データの受領（依頼7件・受領0件）</t>
        </is>
      </c>
    </row>
    <row r="3">
      <c r="A3" s="15" t="inlineStr">
        <is>
          <t>P2 ニーズ調査</t>
        </is>
      </c>
      <c r="B3" s="16">
        <f>COUNTIF('01_WBS'!$A$2:$A$45,$A3)</f>
        <v/>
      </c>
      <c r="C3" s="16">
        <f>COUNTIFS('01_WBS'!$A$2:$A$45,$A3,'01_WBS'!$K$2:$K$45,"完了")</f>
        <v/>
      </c>
      <c r="D3" s="16">
        <f>COUNTIFS('01_WBS'!$A$2:$A$45,$A3,'01_WBS'!$K$2:$K$45,"進行中")</f>
        <v/>
      </c>
      <c r="E3" s="16">
        <f>COUNTIFS('01_WBS'!$A$2:$A$45,$A3,'01_WBS'!$K$2:$K$45,"要対応")</f>
        <v/>
      </c>
      <c r="F3" s="16">
        <f>COUNTIFS('01_WBS'!$A$2:$A$45,$A3,'01_WBS'!$K$2:$K$45,"データ待ち")</f>
        <v/>
      </c>
      <c r="G3" s="16">
        <f>COUNTIFS('01_WBS'!$A$2:$A$45,$A3,'01_WBS'!$K$2:$K$45,"未着手")</f>
        <v/>
      </c>
      <c r="H3" s="23">
        <f>IF(SUMPRODUCT(('01_WBS'!$A$2:$A$45=$A3)*'01_WBS'!$M$2:$M$45)=0,0,SUMPRODUCT(('01_WBS'!$A$2:$A$45=$A3)*'01_WBS'!$L$2:$L$45*'01_WBS'!$M$2:$M$45)/SUMPRODUCT(('01_WBS'!$A$2:$A$45=$A3)*'01_WBS'!$M$2:$M$45)/100)</f>
        <v/>
      </c>
      <c r="I3" s="16" t="inlineStr">
        <is>
          <t>2026-07</t>
        </is>
      </c>
      <c r="J3" s="16" t="inlineStr">
        <is>
          <t>2026-11</t>
        </is>
      </c>
      <c r="K3" s="15" t="inlineStr">
        <is>
          <t>**★0727版の入手（児童用の本文欠落）。工程全体の律速**</t>
        </is>
      </c>
    </row>
    <row r="4">
      <c r="A4" s="15" t="inlineStr">
        <is>
          <t>P3 ヒアリング</t>
        </is>
      </c>
      <c r="B4" s="16">
        <f>COUNTIF('01_WBS'!$A$2:$A$45,$A4)</f>
        <v/>
      </c>
      <c r="C4" s="16">
        <f>COUNTIFS('01_WBS'!$A$2:$A$45,$A4,'01_WBS'!$K$2:$K$45,"完了")</f>
        <v/>
      </c>
      <c r="D4" s="16">
        <f>COUNTIFS('01_WBS'!$A$2:$A$45,$A4,'01_WBS'!$K$2:$K$45,"進行中")</f>
        <v/>
      </c>
      <c r="E4" s="16">
        <f>COUNTIFS('01_WBS'!$A$2:$A$45,$A4,'01_WBS'!$K$2:$K$45,"要対応")</f>
        <v/>
      </c>
      <c r="F4" s="16">
        <f>COUNTIFS('01_WBS'!$A$2:$A$45,$A4,'01_WBS'!$K$2:$K$45,"データ待ち")</f>
        <v/>
      </c>
      <c r="G4" s="16">
        <f>COUNTIFS('01_WBS'!$A$2:$A$45,$A4,'01_WBS'!$K$2:$K$45,"未着手")</f>
        <v/>
      </c>
      <c r="H4" s="23">
        <f>IF(SUMPRODUCT(('01_WBS'!$A$2:$A$45=$A4)*'01_WBS'!$M$2:$M$45)=0,0,SUMPRODUCT(('01_WBS'!$A$2:$A$45=$A4)*'01_WBS'!$L$2:$L$45*'01_WBS'!$M$2:$M$45)/SUMPRODUCT(('01_WBS'!$A$2:$A$45=$A4)*'01_WBS'!$M$2:$M$45)/100)</f>
        <v/>
      </c>
      <c r="I4" s="16" t="inlineStr">
        <is>
          <t>2026-08</t>
        </is>
      </c>
      <c r="J4" s="16" t="inlineStr">
        <is>
          <t>2026-11</t>
        </is>
      </c>
      <c r="K4" s="15" t="inlineStr">
        <is>
          <t>対象先の選定に必要な町のサービス実績</t>
        </is>
      </c>
    </row>
    <row r="5">
      <c r="A5" s="15" t="inlineStr">
        <is>
          <t>P4 成果品①</t>
        </is>
      </c>
      <c r="B5" s="16">
        <f>COUNTIF('01_WBS'!$A$2:$A$45,$A5)</f>
        <v/>
      </c>
      <c r="C5" s="16">
        <f>COUNTIFS('01_WBS'!$A$2:$A$45,$A5,'01_WBS'!$K$2:$K$45,"完了")</f>
        <v/>
      </c>
      <c r="D5" s="16">
        <f>COUNTIFS('01_WBS'!$A$2:$A$45,$A5,'01_WBS'!$K$2:$K$45,"進行中")</f>
        <v/>
      </c>
      <c r="E5" s="16">
        <f>COUNTIFS('01_WBS'!$A$2:$A$45,$A5,'01_WBS'!$K$2:$K$45,"要対応")</f>
        <v/>
      </c>
      <c r="F5" s="16">
        <f>COUNTIFS('01_WBS'!$A$2:$A$45,$A5,'01_WBS'!$K$2:$K$45,"データ待ち")</f>
        <v/>
      </c>
      <c r="G5" s="16">
        <f>COUNTIFS('01_WBS'!$A$2:$A$45,$A5,'01_WBS'!$K$2:$K$45,"未着手")</f>
        <v/>
      </c>
      <c r="H5" s="23">
        <f>IF(SUMPRODUCT(('01_WBS'!$A$2:$A$45=$A5)*'01_WBS'!$M$2:$M$45)=0,0,SUMPRODUCT(('01_WBS'!$A$2:$A$45=$A5)*'01_WBS'!$L$2:$L$45*'01_WBS'!$M$2:$M$45)/SUMPRODUCT(('01_WBS'!$A$2:$A$45=$A5)*'01_WBS'!$M$2:$M$45)/100)</f>
        <v/>
      </c>
      <c r="I5" s="16" t="inlineStr">
        <is>
          <t>2026-11</t>
        </is>
      </c>
      <c r="J5" s="16" t="inlineStr">
        <is>
          <t>2026-12</t>
        </is>
      </c>
      <c r="K5" s="15" t="inlineStr">
        <is>
          <t>調査の集計とヒアリング記録</t>
        </is>
      </c>
    </row>
    <row r="6">
      <c r="A6" s="15" t="inlineStr">
        <is>
          <t>P5 現状分析・課題</t>
        </is>
      </c>
      <c r="B6" s="16">
        <f>COUNTIF('01_WBS'!$A$2:$A$45,$A6)</f>
        <v/>
      </c>
      <c r="C6" s="16">
        <f>COUNTIFS('01_WBS'!$A$2:$A$45,$A6,'01_WBS'!$K$2:$K$45,"完了")</f>
        <v/>
      </c>
      <c r="D6" s="16">
        <f>COUNTIFS('01_WBS'!$A$2:$A$45,$A6,'01_WBS'!$K$2:$K$45,"進行中")</f>
        <v/>
      </c>
      <c r="E6" s="16">
        <f>COUNTIFS('01_WBS'!$A$2:$A$45,$A6,'01_WBS'!$K$2:$K$45,"要対応")</f>
        <v/>
      </c>
      <c r="F6" s="16">
        <f>COUNTIFS('01_WBS'!$A$2:$A$45,$A6,'01_WBS'!$K$2:$K$45,"データ待ち")</f>
        <v/>
      </c>
      <c r="G6" s="16">
        <f>COUNTIFS('01_WBS'!$A$2:$A$45,$A6,'01_WBS'!$K$2:$K$45,"未着手")</f>
        <v/>
      </c>
      <c r="H6" s="23">
        <f>IF(SUMPRODUCT(('01_WBS'!$A$2:$A$45=$A6)*'01_WBS'!$M$2:$M$45)=0,0,SUMPRODUCT(('01_WBS'!$A$2:$A$45=$A6)*'01_WBS'!$L$2:$L$45*'01_WBS'!$M$2:$M$45)/SUMPRODUCT(('01_WBS'!$A$2:$A$45=$A6)*'01_WBS'!$M$2:$M$45)/100)</f>
        <v/>
      </c>
      <c r="I6" s="16" t="inlineStr">
        <is>
          <t>2026-08</t>
        </is>
      </c>
      <c r="J6" s="16" t="inlineStr">
        <is>
          <t>2026-11</t>
        </is>
      </c>
      <c r="K6" s="15" t="inlineStr">
        <is>
          <t>町のサービス実績・支給決定量</t>
        </is>
      </c>
    </row>
    <row r="7">
      <c r="A7" s="15" t="inlineStr">
        <is>
          <t>P6 計画策定支援</t>
        </is>
      </c>
      <c r="B7" s="16">
        <f>COUNTIF('01_WBS'!$A$2:$A$45,$A7)</f>
        <v/>
      </c>
      <c r="C7" s="16">
        <f>COUNTIFS('01_WBS'!$A$2:$A$45,$A7,'01_WBS'!$K$2:$K$45,"完了")</f>
        <v/>
      </c>
      <c r="D7" s="16">
        <f>COUNTIFS('01_WBS'!$A$2:$A$45,$A7,'01_WBS'!$K$2:$K$45,"進行中")</f>
        <v/>
      </c>
      <c r="E7" s="16">
        <f>COUNTIFS('01_WBS'!$A$2:$A$45,$A7,'01_WBS'!$K$2:$K$45,"要対応")</f>
        <v/>
      </c>
      <c r="F7" s="16">
        <f>COUNTIFS('01_WBS'!$A$2:$A$45,$A7,'01_WBS'!$K$2:$K$45,"データ待ち")</f>
        <v/>
      </c>
      <c r="G7" s="16">
        <f>COUNTIFS('01_WBS'!$A$2:$A$45,$A7,'01_WBS'!$K$2:$K$45,"未着手")</f>
        <v/>
      </c>
      <c r="H7" s="23">
        <f>IF(SUMPRODUCT(('01_WBS'!$A$2:$A$45=$A7)*'01_WBS'!$M$2:$M$45)=0,0,SUMPRODUCT(('01_WBS'!$A$2:$A$45=$A7)*'01_WBS'!$L$2:$L$45*'01_WBS'!$M$2:$M$45)/SUMPRODUCT(('01_WBS'!$A$2:$A$45=$A7)*'01_WBS'!$M$2:$M$45)/100)</f>
        <v/>
      </c>
      <c r="I7" s="16" t="inlineStr">
        <is>
          <t>2026-07</t>
        </is>
      </c>
      <c r="J7" s="16" t="inlineStr">
        <is>
          <t>2027-02</t>
        </is>
      </c>
      <c r="K7" s="15" t="inlineStr">
        <is>
          <t>**素案の第2版改訂は条件なしで着手できる**</t>
        </is>
      </c>
    </row>
    <row r="8">
      <c r="A8" s="15" t="inlineStr">
        <is>
          <t>P7 意見聴取</t>
        </is>
      </c>
      <c r="B8" s="16">
        <f>COUNTIF('01_WBS'!$A$2:$A$45,$A8)</f>
        <v/>
      </c>
      <c r="C8" s="16">
        <f>COUNTIFS('01_WBS'!$A$2:$A$45,$A8,'01_WBS'!$K$2:$K$45,"完了")</f>
        <v/>
      </c>
      <c r="D8" s="16">
        <f>COUNTIFS('01_WBS'!$A$2:$A$45,$A8,'01_WBS'!$K$2:$K$45,"進行中")</f>
        <v/>
      </c>
      <c r="E8" s="16">
        <f>COUNTIFS('01_WBS'!$A$2:$A$45,$A8,'01_WBS'!$K$2:$K$45,"要対応")</f>
        <v/>
      </c>
      <c r="F8" s="16">
        <f>COUNTIFS('01_WBS'!$A$2:$A$45,$A8,'01_WBS'!$K$2:$K$45,"データ待ち")</f>
        <v/>
      </c>
      <c r="G8" s="16">
        <f>COUNTIFS('01_WBS'!$A$2:$A$45,$A8,'01_WBS'!$K$2:$K$45,"未着手")</f>
        <v/>
      </c>
      <c r="H8" s="23">
        <f>IF(SUMPRODUCT(('01_WBS'!$A$2:$A$45=$A8)*'01_WBS'!$M$2:$M$45)=0,0,SUMPRODUCT(('01_WBS'!$A$2:$A$45=$A8)*'01_WBS'!$L$2:$L$45*'01_WBS'!$M$2:$M$45)/SUMPRODUCT(('01_WBS'!$A$2:$A$45=$A8)*'01_WBS'!$M$2:$M$45)/100)</f>
        <v/>
      </c>
      <c r="I8" s="16" t="inlineStr">
        <is>
          <t>2026-08</t>
        </is>
      </c>
      <c r="J8" s="16" t="inlineStr">
        <is>
          <t>2027-02</t>
        </is>
      </c>
      <c r="K8" s="15" t="inlineStr">
        <is>
          <t>素案の確定、実施時期の確定</t>
        </is>
      </c>
    </row>
    <row r="9">
      <c r="A9" s="15" t="inlineStr">
        <is>
          <t>P8 完成・納品</t>
        </is>
      </c>
      <c r="B9" s="16">
        <f>COUNTIF('01_WBS'!$A$2:$A$45,$A9)</f>
        <v/>
      </c>
      <c r="C9" s="16">
        <f>COUNTIFS('01_WBS'!$A$2:$A$45,$A9,'01_WBS'!$K$2:$K$45,"完了")</f>
        <v/>
      </c>
      <c r="D9" s="16">
        <f>COUNTIFS('01_WBS'!$A$2:$A$45,$A9,'01_WBS'!$K$2:$K$45,"進行中")</f>
        <v/>
      </c>
      <c r="E9" s="16">
        <f>COUNTIFS('01_WBS'!$A$2:$A$45,$A9,'01_WBS'!$K$2:$K$45,"要対応")</f>
        <v/>
      </c>
      <c r="F9" s="16">
        <f>COUNTIFS('01_WBS'!$A$2:$A$45,$A9,'01_WBS'!$K$2:$K$45,"データ待ち")</f>
        <v/>
      </c>
      <c r="G9" s="16">
        <f>COUNTIFS('01_WBS'!$A$2:$A$45,$A9,'01_WBS'!$K$2:$K$45,"未着手")</f>
        <v/>
      </c>
      <c r="H9" s="23">
        <f>IF(SUMPRODUCT(('01_WBS'!$A$2:$A$45=$A9)*'01_WBS'!$M$2:$M$45)=0,0,SUMPRODUCT(('01_WBS'!$A$2:$A$45=$A9)*'01_WBS'!$L$2:$L$45*'01_WBS'!$M$2:$M$45)/SUMPRODUCT(('01_WBS'!$A$2:$A$45=$A9)*'01_WBS'!$M$2:$M$45)/100)</f>
        <v/>
      </c>
      <c r="I9" s="16" t="inlineStr">
        <is>
          <t>2027-02</t>
        </is>
      </c>
      <c r="J9" s="16" t="inlineStr">
        <is>
          <t>2027-03</t>
        </is>
      </c>
      <c r="K9" s="15" t="inlineStr">
        <is>
          <t>**レイアウトデザイン・イラスト起こしの工程が未確保**</t>
        </is>
      </c>
    </row>
    <row r="10">
      <c r="A10" s="24" t="inlineStr">
        <is>
          <t>合計</t>
        </is>
      </c>
      <c r="B10" s="25">
        <f>SUM(B2:B9)</f>
        <v/>
      </c>
      <c r="C10" s="25">
        <f>SUM(C2:C9)</f>
        <v/>
      </c>
      <c r="D10" s="25">
        <f>SUM(D2:D9)</f>
        <v/>
      </c>
      <c r="E10" s="25">
        <f>SUM(E2:E9)</f>
        <v/>
      </c>
      <c r="F10" s="25">
        <f>SUM(F2:F9)</f>
        <v/>
      </c>
      <c r="G10" s="25">
        <f>SUM(G2:G9)</f>
        <v/>
      </c>
      <c r="H10" s="26">
        <f>IF(SUM('01_WBS'!$M$2:$M$45)=0,0,SUMPRODUCT('01_WBS'!$L$2:$L$45,'01_WBS'!$M$2:$M$45)/SUM('01_WBS'!$M$2:$M$45)/100)</f>
        <v/>
      </c>
      <c r="I10" s="16" t="inlineStr">
        <is>
          <t>2026-06</t>
        </is>
      </c>
      <c r="J10" s="16" t="inlineStr">
        <is>
          <t>2027-03</t>
        </is>
      </c>
      <c r="K10" s="15"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6" t="inlineStr">
        <is>
          <t>①</t>
        </is>
      </c>
      <c r="B2" s="15" t="inlineStr">
        <is>
          <t>アンケート調査結果及びヒアリング調査結果報告書</t>
        </is>
      </c>
      <c r="C2" s="15" t="inlineStr">
        <is>
          <t>電子データ</t>
        </is>
      </c>
      <c r="D2" s="16" t="inlineStr">
        <is>
          <t>―</t>
        </is>
      </c>
      <c r="E2" s="20" t="inlineStr">
        <is>
          <t>未着手</t>
        </is>
      </c>
      <c r="F2" s="16" t="n">
        <v>15</v>
      </c>
      <c r="G2" s="15" t="inlineStr">
        <is>
          <t>ヒアリングの実施計画書と質問票6種は作成済み。調査は未実施</t>
        </is>
      </c>
      <c r="H2" s="15" t="inlineStr">
        <is>
          <t>調査の実施と集計、ヒアリングの実施</t>
        </is>
      </c>
    </row>
    <row r="3">
      <c r="A3" s="16" t="inlineStr">
        <is>
          <t>②</t>
        </is>
      </c>
      <c r="B3" s="15" t="inlineStr">
        <is>
          <t>障がい者計画・第4期障がい児福祉計画・第8期障がい福祉計画</t>
        </is>
      </c>
      <c r="C3" s="15" t="inlineStr">
        <is>
          <t>電子データ（Word 2019以上）。原稿作成、レイアウトデザイン（イラスト起こし数点）、リライトを含む</t>
        </is>
      </c>
      <c r="D3" s="16" t="inlineStr">
        <is>
          <t>初版（拡充版）</t>
        </is>
      </c>
      <c r="E3" s="19" t="inlineStr">
        <is>
          <t>進行中</t>
        </is>
      </c>
      <c r="F3" s="16" t="n">
        <v>30</v>
      </c>
      <c r="G3" s="15" t="inlineStr">
        <is>
          <t>骨子案は作成済み。素案は引継ぎ時点のまま</t>
        </is>
      </c>
      <c r="H3" s="15"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6" t="inlineStr">
        <is>
          <t>2026-08</t>
        </is>
      </c>
      <c r="B2" s="15" t="inlineStr">
        <is>
          <t>調査票の確定、対象者抽出の照会、協議会 第1回（8月19日）</t>
        </is>
      </c>
      <c r="C2" s="16" t="inlineStr">
        <is>
          <t>受託者・町</t>
        </is>
      </c>
      <c r="D2" s="21" t="inlineStr">
        <is>
          <t>要対応</t>
        </is>
      </c>
      <c r="E2" s="15" t="inlineStr">
        <is>
          <t>**★0727版の入手が前提**</t>
        </is>
      </c>
    </row>
    <row r="3">
      <c r="A3" s="16" t="inlineStr">
        <is>
          <t>2026-09</t>
        </is>
      </c>
      <c r="B3" s="15" t="inlineStr">
        <is>
          <t>調査の発送、ヒアリングの依頼・日程調整</t>
        </is>
      </c>
      <c r="C3" s="16" t="inlineStr">
        <is>
          <t>受託者</t>
        </is>
      </c>
      <c r="D3" s="20" t="inlineStr">
        <is>
          <t>未着手</t>
        </is>
      </c>
      <c r="E3" s="15" t="inlineStr">
        <is>
          <t>9月中旬の発送が回収率確保の条件</t>
        </is>
      </c>
    </row>
    <row r="4">
      <c r="A4" s="16" t="inlineStr">
        <is>
          <t>2026-09〜10</t>
        </is>
      </c>
      <c r="B4" s="15" t="inlineStr">
        <is>
          <t>ヒアリングの実施（20〜27件）</t>
        </is>
      </c>
      <c r="C4" s="16" t="inlineStr">
        <is>
          <t>受託者</t>
        </is>
      </c>
      <c r="D4" s="20" t="inlineStr">
        <is>
          <t>未着手</t>
        </is>
      </c>
      <c r="E4" s="15" t="inlineStr">
        <is>
          <t>アンケートと並行</t>
        </is>
      </c>
    </row>
    <row r="5">
      <c r="A5" s="16" t="inlineStr">
        <is>
          <t>2026-10</t>
        </is>
      </c>
      <c r="B5" s="15" t="inlineStr">
        <is>
          <t>督促はがきの発送、回答期限、開封・入力</t>
        </is>
      </c>
      <c r="C5" s="16" t="inlineStr">
        <is>
          <t>受託者</t>
        </is>
      </c>
      <c r="D5" s="20" t="inlineStr">
        <is>
          <t>未着手</t>
        </is>
      </c>
      <c r="E5" s="15" t="inlineStr">
        <is>
          <t>―</t>
        </is>
      </c>
    </row>
    <row r="6">
      <c r="A6" s="16" t="inlineStr">
        <is>
          <t>2026-11</t>
        </is>
      </c>
      <c r="B6" s="15" t="inlineStr">
        <is>
          <t>集計・分析、ヒアリング記録の作成、骨子案の更新</t>
        </is>
      </c>
      <c r="C6" s="16" t="inlineStr">
        <is>
          <t>受託者</t>
        </is>
      </c>
      <c r="D6" s="20" t="inlineStr">
        <is>
          <t>未着手</t>
        </is>
      </c>
      <c r="E6" s="15" t="inlineStr">
        <is>
          <t>―</t>
        </is>
      </c>
    </row>
    <row r="7">
      <c r="A7" s="16" t="inlineStr">
        <is>
          <t>2026-12</t>
        </is>
      </c>
      <c r="B7" s="15" t="inlineStr">
        <is>
          <t>成果品①の完成、素案の作成、協議会 第2回（調査結果・骨子案・見込量）</t>
        </is>
      </c>
      <c r="C7" s="16" t="inlineStr">
        <is>
          <t>受託者・町</t>
        </is>
      </c>
      <c r="D7" s="20" t="inlineStr">
        <is>
          <t>未着手</t>
        </is>
      </c>
      <c r="E7" s="15" t="inlineStr">
        <is>
          <t>**骨子案を12月の回で諮り工程に復活させる**</t>
        </is>
      </c>
    </row>
    <row r="8">
      <c r="A8" s="16" t="inlineStr">
        <is>
          <t>2027-01</t>
        </is>
      </c>
      <c r="B8" s="15" t="inlineStr">
        <is>
          <t>素案の確定、パブリックコメント（1か月）</t>
        </is>
      </c>
      <c r="C8" s="16" t="inlineStr">
        <is>
          <t>受託者・町</t>
        </is>
      </c>
      <c r="D8" s="20" t="inlineStr">
        <is>
          <t>未着手</t>
        </is>
      </c>
      <c r="E8" s="15" t="inlineStr">
        <is>
          <t>―</t>
        </is>
      </c>
    </row>
    <row r="9">
      <c r="A9" s="16" t="inlineStr">
        <is>
          <t>2027-02</t>
        </is>
      </c>
      <c r="B9" s="15" t="inlineStr">
        <is>
          <t>意見への対応、計画案の作成、協議会 第3回（最終案）</t>
        </is>
      </c>
      <c r="C9" s="16" t="inlineStr">
        <is>
          <t>受託者・町</t>
        </is>
      </c>
      <c r="D9" s="20" t="inlineStr">
        <is>
          <t>未着手</t>
        </is>
      </c>
      <c r="E9" s="15" t="inlineStr">
        <is>
          <t>**仕様書8②の3回に収まる**</t>
        </is>
      </c>
    </row>
    <row r="10">
      <c r="A10" s="16" t="inlineStr">
        <is>
          <t>2027-03</t>
        </is>
      </c>
      <c r="B10" s="15" t="inlineStr">
        <is>
          <t>レイアウトデザイン・イラスト起こし、リライト、納品</t>
        </is>
      </c>
      <c r="C10" s="16" t="inlineStr">
        <is>
          <t>受託者</t>
        </is>
      </c>
      <c r="D10" s="20" t="inlineStr">
        <is>
          <t>未着手</t>
        </is>
      </c>
      <c r="E10" s="15"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6" t="inlineStr">
        <is>
          <t>町資料</t>
        </is>
      </c>
      <c r="B2" s="15" t="inlineStr">
        <is>
          <t>障がい福祉計画ワークシート（人口・手帳・R5〜R8サービス実績）</t>
        </is>
      </c>
      <c r="C2" s="16" t="inlineStr">
        <is>
          <t>町</t>
        </is>
      </c>
      <c r="D2" s="17" t="inlineStr">
        <is>
          <t>完了</t>
        </is>
      </c>
      <c r="E2" s="16" t="inlineStr">
        <is>
          <t>2026-09-07</t>
        </is>
      </c>
      <c r="F2" s="15" t="inlineStr">
        <is>
          <t>**見込量・目標値設定シートの基礎データとして受領。**ただし地域生活支援事業のR6〜R8実績は大半が未入力で、精神障がい者の内数が総数を超える箇所がある</t>
        </is>
      </c>
    </row>
    <row r="3">
      <c r="A3" s="16" t="inlineStr">
        <is>
          <t>受託者</t>
        </is>
      </c>
      <c r="B3" s="15" t="inlineStr">
        <is>
          <t>見込量・目標値設定シート（9シート）＋レッドチームレビュー</t>
        </is>
      </c>
      <c r="C3" s="16" t="inlineStr">
        <is>
          <t>受託者</t>
        </is>
      </c>
      <c r="D3" s="17" t="inlineStr">
        <is>
          <t>完了</t>
        </is>
      </c>
      <c r="E3" s="16" t="inlineStr">
        <is>
          <t>2026-09-07</t>
        </is>
      </c>
      <c r="F3" s="15" t="inlineStr">
        <is>
          <t>**算式は全行再現一致。重大5件を含む16件の不具合を検出**（04_算定・見込量）</t>
        </is>
      </c>
    </row>
    <row r="4">
      <c r="A4" s="16" t="inlineStr">
        <is>
          <t>町資料</t>
        </is>
      </c>
      <c r="B4" s="15" t="inlineStr">
        <is>
          <t>★0727版アンケート調査票（一般用・児童用）</t>
        </is>
      </c>
      <c r="C4" s="16" t="inlineStr">
        <is>
          <t>町・他メンバー</t>
        </is>
      </c>
      <c r="D4" s="21" t="inlineStr">
        <is>
          <t>要対応</t>
        </is>
      </c>
      <c r="E4" s="16" t="inlineStr">
        <is>
          <t>―</t>
        </is>
      </c>
      <c r="F4" s="15" t="inlineStr">
        <is>
          <t>**児童用に28箇所以上の本文欠落。復元の照合元。工程全体の律速**</t>
        </is>
      </c>
    </row>
    <row r="5">
      <c r="A5" s="16" t="inlineStr">
        <is>
          <t>町資料</t>
        </is>
      </c>
      <c r="B5" s="15" t="inlineStr">
        <is>
          <t>障がい者ニーズ調査の対象者数（区分①〜⑩）</t>
        </is>
      </c>
      <c r="C5" s="16" t="inlineStr">
        <is>
          <t>町</t>
        </is>
      </c>
      <c r="D5" s="21" t="inlineStr">
        <is>
          <t>要対応</t>
        </is>
      </c>
      <c r="E5" s="16" t="inlineStr">
        <is>
          <t>―</t>
        </is>
      </c>
      <c r="F5" s="15" t="inlineStr">
        <is>
          <t>**手帳所持者508人では600件に届かない。所管課をまたぐ照会で2〜3週間**</t>
        </is>
      </c>
    </row>
    <row r="6">
      <c r="A6" s="16" t="inlineStr">
        <is>
          <t>町資料</t>
        </is>
      </c>
      <c r="B6" s="15" t="inlineStr">
        <is>
          <t>前回調査（令和5年10月）の実施方法</t>
        </is>
      </c>
      <c r="C6" s="16" t="inlineStr">
        <is>
          <t>町</t>
        </is>
      </c>
      <c r="D6" s="20" t="inlineStr">
        <is>
          <t>未着手</t>
        </is>
      </c>
      <c r="E6" s="16" t="inlineStr">
        <is>
          <t>―</t>
        </is>
      </c>
      <c r="F6" s="15" t="inlineStr">
        <is>
          <t>**督促はがきを発送したか。54.3％が督促込みか否かで実施設計が変わる**</t>
        </is>
      </c>
    </row>
    <row r="7">
      <c r="A7" s="16" t="inlineStr">
        <is>
          <t>町資料</t>
        </is>
      </c>
      <c r="B7" s="15" t="inlineStr">
        <is>
          <t>令和6〜8年度 障害福祉サービスの実績（町内外事業所別）</t>
        </is>
      </c>
      <c r="C7" s="16" t="inlineStr">
        <is>
          <t>町</t>
        </is>
      </c>
      <c r="D7" s="21" t="inlineStr">
        <is>
          <t>要対応</t>
        </is>
      </c>
      <c r="E7" s="16" t="inlineStr">
        <is>
          <t>―</t>
        </is>
      </c>
      <c r="F7" s="15" t="inlineStr">
        <is>
          <t>**サービス別の総量はワークシートで受領済み。町内外事業所別の内訳が未受領で、ヒアリング対象先の選定ができない**</t>
        </is>
      </c>
    </row>
    <row r="8">
      <c r="A8" s="16" t="inlineStr">
        <is>
          <t>町資料</t>
        </is>
      </c>
      <c r="B8" s="15" t="inlineStr">
        <is>
          <t>セルフプラン件数、相談支援専門員数</t>
        </is>
      </c>
      <c r="C8" s="16" t="inlineStr">
        <is>
          <t>町</t>
        </is>
      </c>
      <c r="D8" s="20" t="inlineStr">
        <is>
          <t>未着手</t>
        </is>
      </c>
      <c r="E8" s="16" t="inlineStr">
        <is>
          <t>―</t>
        </is>
      </c>
      <c r="F8" s="15" t="inlineStr">
        <is>
          <t>国の新規成果目標「望まないセルフプランゼロ」の起点</t>
        </is>
      </c>
    </row>
    <row r="9">
      <c r="A9" s="16" t="inlineStr">
        <is>
          <t>町資料</t>
        </is>
      </c>
      <c r="B9" s="15" t="inlineStr">
        <is>
          <t>特別支援学校卒業予定者、医療的ケア児の状況</t>
        </is>
      </c>
      <c r="C9" s="16" t="inlineStr">
        <is>
          <t>町</t>
        </is>
      </c>
      <c r="D9" s="20" t="inlineStr">
        <is>
          <t>未着手</t>
        </is>
      </c>
      <c r="E9" s="16" t="inlineStr">
        <is>
          <t>―</t>
        </is>
      </c>
      <c r="F9" s="15" t="inlineStr">
        <is>
          <t>18歳移行の見込量</t>
        </is>
      </c>
    </row>
    <row r="10">
      <c r="A10" s="16" t="inlineStr">
        <is>
          <t>町資料</t>
        </is>
      </c>
      <c r="B10" s="15" t="inlineStr">
        <is>
          <t>障害支援区分の認定状況</t>
        </is>
      </c>
      <c r="C10" s="16" t="inlineStr">
        <is>
          <t>町</t>
        </is>
      </c>
      <c r="D10" s="20" t="inlineStr">
        <is>
          <t>未着手</t>
        </is>
      </c>
      <c r="E10" s="16" t="inlineStr">
        <is>
          <t>―</t>
        </is>
      </c>
      <c r="F10" s="15" t="inlineStr">
        <is>
          <t>見込量算定の基礎</t>
        </is>
      </c>
    </row>
    <row r="11">
      <c r="A11" s="16" t="inlineStr">
        <is>
          <t>既受領</t>
        </is>
      </c>
      <c r="B11" s="15" t="inlineStr">
        <is>
          <t>現行計画（第7期・第3期）本文</t>
        </is>
      </c>
      <c r="C11" s="16" t="inlineStr">
        <is>
          <t>町</t>
        </is>
      </c>
      <c r="D11" s="17" t="inlineStr">
        <is>
          <t>完了</t>
        </is>
      </c>
      <c r="E11" s="16" t="inlineStr">
        <is>
          <t>2026-07以前</t>
        </is>
      </c>
      <c r="F11" s="15" t="inlineStr">
        <is>
          <t>3部構成・9分野</t>
        </is>
      </c>
    </row>
    <row r="12">
      <c r="A12" s="16" t="inlineStr">
        <is>
          <t>既受領</t>
        </is>
      </c>
      <c r="B12" s="15" t="inlineStr">
        <is>
          <t>前回アンケート結果（障がい者280件・障がい児22件）</t>
        </is>
      </c>
      <c r="C12" s="16" t="inlineStr">
        <is>
          <t>町</t>
        </is>
      </c>
      <c r="D12" s="17" t="inlineStr">
        <is>
          <t>完了</t>
        </is>
      </c>
      <c r="E12" s="16" t="inlineStr">
        <is>
          <t>2026-07以前</t>
        </is>
      </c>
      <c r="F12" s="15" t="inlineStr">
        <is>
          <t>計画接続マトリクスを作成済み</t>
        </is>
      </c>
    </row>
    <row r="13">
      <c r="A13" s="16" t="inlineStr">
        <is>
          <t>既受領</t>
        </is>
      </c>
      <c r="B13" s="15" t="inlineStr">
        <is>
          <t>手帳所持者数（令和5年539人→令和7年508人）</t>
        </is>
      </c>
      <c r="C13" s="16" t="inlineStr">
        <is>
          <t>町</t>
        </is>
      </c>
      <c r="D13" s="17" t="inlineStr">
        <is>
          <t>完了</t>
        </is>
      </c>
      <c r="E13" s="16" t="inlineStr">
        <is>
          <t>2026-07以前</t>
        </is>
      </c>
      <c r="F13" s="15"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6" t="inlineStr">
        <is>
          <t>自立支援協議会</t>
        </is>
      </c>
      <c r="B2" s="16" t="inlineStr">
        <is>
          <t>第1回</t>
        </is>
      </c>
      <c r="C2" s="16" t="inlineStr">
        <is>
          <t>令和8年8月19日</t>
        </is>
      </c>
      <c r="D2" s="15" t="inlineStr">
        <is>
          <t>前回計画の総括、動向、次期計画の方向性</t>
        </is>
      </c>
      <c r="E2" s="17" t="inlineStr">
        <is>
          <t>完了</t>
        </is>
      </c>
      <c r="F2" s="15" t="inlineStr">
        <is>
          <t>**資料第3版を作成済み**</t>
        </is>
      </c>
    </row>
    <row r="3">
      <c r="A3" s="16" t="inlineStr">
        <is>
          <t>自立支援協議会</t>
        </is>
      </c>
      <c r="B3" s="16" t="inlineStr">
        <is>
          <t>第2回</t>
        </is>
      </c>
      <c r="C3" s="16" t="inlineStr">
        <is>
          <t>令和8年12月</t>
        </is>
      </c>
      <c r="D3" s="15" t="inlineStr">
        <is>
          <t>調査結果、ヒアリング結果、**骨子案**、サービス見込量の考え方</t>
        </is>
      </c>
      <c r="E3" s="19" t="inlineStr">
        <is>
          <t>進行中</t>
        </is>
      </c>
      <c r="F3" s="15" t="inlineStr">
        <is>
          <t>**仕様書7では10月に骨子案検討の回。工程変更により12月に統合する案**</t>
        </is>
      </c>
    </row>
    <row r="4">
      <c r="A4" s="16" t="inlineStr">
        <is>
          <t>自立支援協議会</t>
        </is>
      </c>
      <c r="B4" s="16" t="inlineStr">
        <is>
          <t>第3回</t>
        </is>
      </c>
      <c r="C4" s="16" t="inlineStr">
        <is>
          <t>令和9年2月</t>
        </is>
      </c>
      <c r="D4" s="15" t="inlineStr">
        <is>
          <t>計画最終案の確認</t>
        </is>
      </c>
      <c r="E4" s="20" t="inlineStr">
        <is>
          <t>未着手</t>
        </is>
      </c>
      <c r="F4" s="15" t="inlineStr">
        <is>
          <t>**仕様書8②の3回に収まる**</t>
        </is>
      </c>
    </row>
    <row r="5">
      <c r="A5" s="16" t="inlineStr">
        <is>
          <t>パブリックコメント</t>
        </is>
      </c>
      <c r="B5" s="16" t="inlineStr">
        <is>
          <t>―</t>
        </is>
      </c>
      <c r="C5" s="16" t="inlineStr">
        <is>
          <t>令和9年1月</t>
        </is>
      </c>
      <c r="D5" s="15" t="inlineStr">
        <is>
          <t>計画素案に対する意見の募集</t>
        </is>
      </c>
      <c r="E5" s="17" t="inlineStr">
        <is>
          <t>完了</t>
        </is>
      </c>
      <c r="F5" s="15" t="inlineStr">
        <is>
          <t>様式は作成済み（高齢者計画と共通）</t>
        </is>
      </c>
    </row>
    <row r="6">
      <c r="A6" s="16" t="inlineStr">
        <is>
          <t>関係者団体等ヒアリング</t>
        </is>
      </c>
      <c r="B6" s="16" t="inlineStr">
        <is>
          <t>6区分</t>
        </is>
      </c>
      <c r="C6" s="16" t="inlineStr">
        <is>
          <t>令和8年9〜10月</t>
        </is>
      </c>
      <c r="D6" s="15" t="inlineStr">
        <is>
          <t>相談支援・サービス事業所・教育・医療・防災・当事者団体</t>
        </is>
      </c>
      <c r="E6" s="17" t="inlineStr">
        <is>
          <t>完了</t>
        </is>
      </c>
      <c r="F6" s="15" t="inlineStr">
        <is>
          <t>**実施計画書と質問票6種（大問35・小問102）を作成済み**</t>
        </is>
      </c>
    </row>
    <row r="7">
      <c r="A7" s="16" t="inlineStr">
        <is>
          <t>町との打合せ</t>
        </is>
      </c>
      <c r="B7" s="16" t="inlineStr">
        <is>
          <t>随時</t>
        </is>
      </c>
      <c r="C7" s="16" t="inlineStr">
        <is>
          <t>通年</t>
        </is>
      </c>
      <c r="D7" s="15" t="inlineStr">
        <is>
          <t>工程、調査票、対象者抽出、協議事項</t>
        </is>
      </c>
      <c r="E7" s="17" t="inlineStr">
        <is>
          <t>完了</t>
        </is>
      </c>
      <c r="F7" s="15"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6" t="n">
        <v>1</v>
      </c>
      <c r="B2" s="15" t="inlineStr">
        <is>
          <t>児童用調査票の本文欠落</t>
        </is>
      </c>
      <c r="C2" s="15" t="inlineStr">
        <is>
          <t>★0727版に28箇所以上の欠落があり配布不可。当該ファイルが手元にない</t>
        </is>
      </c>
      <c r="D2" s="15" t="inlineStr">
        <is>
          <t>調査の発送ができず、工程全体が遅延する</t>
        </is>
      </c>
      <c r="E2" s="15" t="inlineStr">
        <is>
          <t>**一般用を先行発送し児童用を2週間遅らせる分岐案を用意。**★0727版の入手を町に依頼</t>
        </is>
      </c>
      <c r="F2" s="21" t="inlineStr">
        <is>
          <t>要対応</t>
        </is>
      </c>
    </row>
    <row r="3">
      <c r="A3" s="16" t="n">
        <v>2</v>
      </c>
      <c r="B3" s="15" t="inlineStr">
        <is>
          <t>仕様書工程からの遅延</t>
        </is>
      </c>
      <c r="C3" s="15" t="inlineStr">
        <is>
          <t>調査は7月まで、骨子案9月、骨子案検討10月とされているが、いずれも未実施</t>
        </is>
      </c>
      <c r="D3" s="15" t="inlineStr">
        <is>
          <t>契約上の工程変更にあたる</t>
        </is>
      </c>
      <c r="E3" s="15" t="inlineStr">
        <is>
          <t>**工程変更協議資料を作成済み。**仕様書11④により町と協議し、8①により記録化する</t>
        </is>
      </c>
      <c r="F3" s="21" t="inlineStr">
        <is>
          <t>要対応</t>
        </is>
      </c>
    </row>
    <row r="4">
      <c r="A4" s="16" t="n">
        <v>3</v>
      </c>
      <c r="B4" s="15" t="inlineStr">
        <is>
          <t>回収率目標の未達</t>
        </is>
      </c>
      <c r="C4" s="15" t="inlineStr">
        <is>
          <t>仕様は送付600件・回収400件程度（66.7％）。前回実績は54.3％</t>
        </is>
      </c>
      <c r="D4" s="15" t="inlineStr">
        <is>
          <t>分析の代表性が下がる</t>
        </is>
      </c>
      <c r="E4" s="15" t="inlineStr">
        <is>
          <t>**回収率を9要素に分解し逆算工程を作成済み。**前回が督促込みだった場合は電子回答の併用が必須</t>
        </is>
      </c>
      <c r="F4" s="19" t="inlineStr">
        <is>
          <t>進行中</t>
        </is>
      </c>
    </row>
    <row r="5">
      <c r="A5" s="16" t="n">
        <v>4</v>
      </c>
      <c r="B5" s="15" t="inlineStr">
        <is>
          <t>母集団が600件に満たない可能性</t>
        </is>
      </c>
      <c r="C5" s="15" t="inlineStr">
        <is>
          <t>手帳所持者508人。重複所持を除くと実人数はさらに少ない</t>
        </is>
      </c>
      <c r="D5" s="15" t="inlineStr">
        <is>
          <t>回収数400件が達成不能になる</t>
        </is>
      </c>
      <c r="E5" s="15" t="inlineStr">
        <is>
          <t>**抽出条件案（区分①〜⑩）で対象を拡大。回収率で見るか回収数で見るかを抽出前に町と合意する**</t>
        </is>
      </c>
      <c r="F5" s="21" t="inlineStr">
        <is>
          <t>要対応</t>
        </is>
      </c>
    </row>
    <row r="6">
      <c r="A6" s="16" t="n">
        <v>5</v>
      </c>
      <c r="B6" s="15" t="inlineStr">
        <is>
          <t>関係者団体等ヒアリングの未実施</t>
        </is>
      </c>
      <c r="C6" s="15" t="inlineStr">
        <is>
          <t>仕様書5(3)及び成果品①が求める業務項目</t>
        </is>
      </c>
      <c r="D6" s="15" t="inlineStr">
        <is>
          <t>成果品①が完成しない</t>
        </is>
      </c>
      <c r="E6" s="15" t="inlineStr">
        <is>
          <t>**実施計画書と質問票6種を作成済み。**対象先の選定に町のサービス実績が必要</t>
        </is>
      </c>
      <c r="F6" s="19" t="inlineStr">
        <is>
          <t>進行中</t>
        </is>
      </c>
    </row>
    <row r="7">
      <c r="A7" s="16" t="n">
        <v>6</v>
      </c>
      <c r="B7" s="15" t="inlineStr">
        <is>
          <t>人口推計の出典の不一致</t>
        </is>
      </c>
      <c r="C7" s="15" t="inlineStr">
        <is>
          <t>高齢者計画は見える化（社人研）、障がい計画は地域福祉計画（コーホート変化率法）。最大310人・3.4％の差</t>
        </is>
      </c>
      <c r="D7" s="15" t="inlineStr">
        <is>
          <t>同年度に公表する2計画で数値が食い違う</t>
        </is>
      </c>
      <c r="E7" s="15" t="inlineStr">
        <is>
          <t>8月19日の自立支援協議会で協議し統一する</t>
        </is>
      </c>
      <c r="F7" s="21" t="inlineStr">
        <is>
          <t>要対応</t>
        </is>
      </c>
    </row>
    <row r="8">
      <c r="A8" s="16" t="n">
        <v>7</v>
      </c>
      <c r="B8" s="15" t="inlineStr">
        <is>
          <t>レイアウトデザイン・イラスト起こしの工程未確保</t>
        </is>
      </c>
      <c r="C8" s="15" t="inlineStr">
        <is>
          <t>仕様書6は成果品②に「原稿作成、レイアウトデザイン（イラスト起こし数点）、リライト作業を含む」と定める</t>
        </is>
      </c>
      <c r="D8" s="15" t="inlineStr">
        <is>
          <t>納期に間に合わない</t>
        </is>
      </c>
      <c r="E8" s="15" t="inlineStr">
        <is>
          <t>令和9年2〜3月にデザイン工程を確保する</t>
        </is>
      </c>
      <c r="F8" s="20" t="inlineStr">
        <is>
          <t>未着手</t>
        </is>
      </c>
    </row>
    <row r="9">
      <c r="A9" s="16" t="n">
        <v>8</v>
      </c>
      <c r="B9" s="15" t="inlineStr">
        <is>
          <t>完了日の不一致</t>
        </is>
      </c>
      <c r="C9" s="15" t="inlineStr">
        <is>
          <t>公告第1-36号は令和9年3月31日、仕様書4は3月25日。**高齢者計画は3月31日であり、両計画で納期が異なる**</t>
        </is>
      </c>
      <c r="D9" s="15" t="inlineStr">
        <is>
          <t>納期の認識齟齬</t>
        </is>
      </c>
      <c r="E9" s="15" t="inlineStr">
        <is>
          <t>町に確認する（依頼票C1）</t>
        </is>
      </c>
      <c r="F9" s="19" t="inlineStr">
        <is>
          <t>進行中</t>
        </is>
      </c>
    </row>
    <row r="10">
      <c r="A10" s="16" t="n">
        <v>9</v>
      </c>
      <c r="B10" s="15" t="inlineStr">
        <is>
          <t>クロス集計軸に性別が欠けていた</t>
        </is>
      </c>
      <c r="C10" s="15" t="inlineStr">
        <is>
          <t>仕様書5(1)は性別・年齢別・障がい別・地域別を明示要件とするが、接続表に性別が未記載</t>
        </is>
      </c>
      <c r="D10" s="15" t="inlineStr">
        <is>
          <t>仕様を満たさない集計になる</t>
        </is>
      </c>
      <c r="E10" s="15" t="inlineStr">
        <is>
          <t>**集計軸9種に性別を追加済み。**調査票の確定と併せて接続表を改訂する</t>
        </is>
      </c>
      <c r="F10" s="19" t="inlineStr">
        <is>
          <t>進行中</t>
        </is>
      </c>
    </row>
    <row r="11">
      <c r="A11" s="16" t="n">
        <v>10</v>
      </c>
      <c r="B11" s="15" t="inlineStr">
        <is>
          <t>地域別集計の粒度</t>
        </is>
      </c>
      <c r="C11" s="15" t="inlineStr">
        <is>
          <t>行政区単位では1セルあたりの回答数が1桁になり、個人が特定されうる</t>
        </is>
      </c>
      <c r="D11" s="15" t="inlineStr">
        <is>
          <t>地域別集計が公表できない</t>
        </is>
      </c>
      <c r="E11" s="15" t="inlineStr">
        <is>
          <t>小学校区又はこれに準じる粒度とすることを町に提案する（依頼票C12）</t>
        </is>
      </c>
      <c r="F11" s="19" t="inlineStr">
        <is>
          <t>進行中</t>
        </is>
      </c>
    </row>
    <row r="12">
      <c r="A12" s="16" t="n">
        <v>11</v>
      </c>
      <c r="B12" s="15" t="inlineStr">
        <is>
          <t>素案の第2版改訂が未着手</t>
        </is>
      </c>
      <c r="C12" s="15" t="inlineStr">
        <is>
          <t>引継ぎ時点の拡充版のまま。地域福祉計画との役割分担、国の基本指針の8分野、望まないセルフプランゼロ等が未反映</t>
        </is>
      </c>
      <c r="D12" s="15" t="inlineStr">
        <is>
          <t>12月の協議会に諮る素案が間に合わない</t>
        </is>
      </c>
      <c r="E12" s="15" t="inlineStr">
        <is>
          <t>**外部の条件に依存せず着手できる。次に着手する**</t>
        </is>
      </c>
      <c r="F12" s="19" t="inlineStr">
        <is>
          <t>進行中</t>
        </is>
      </c>
    </row>
    <row r="13">
      <c r="A13" s="16" t="n">
        <v>12</v>
      </c>
      <c r="B13" s="15" t="inlineStr">
        <is>
          <t>成果目標に2分野が欠落している</t>
        </is>
      </c>
      <c r="C13" s="15"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5" t="inlineStr">
        <is>
          <t>計画の法定要件を欠く可能性。活動指標も連動して欠落する</t>
        </is>
      </c>
      <c r="E13" s="15" t="inlineStr">
        <is>
          <t>成果目標に2分野を追加する。精神は保健所・圏域の精神科医療機関との調整が前提（ヒアリング区分D）</t>
        </is>
      </c>
      <c r="F13" s="21" t="inlineStr">
        <is>
          <t>要対応</t>
        </is>
      </c>
    </row>
    <row r="14">
      <c r="A14" s="16" t="n">
        <v>13</v>
      </c>
      <c r="B14" s="15" t="inlineStr">
        <is>
          <t>成果目標の基準年度が混在している</t>
        </is>
      </c>
      <c r="C14" s="15" t="inlineStr">
        <is>
          <t>施設入所系はR7年度末（19人）、一般就労系はR6年度を基準としている。**施設入所支援の実績はR5・R6が16人、R7が19人で、R7は4年間で唯一跳ねた年。**R7基準の目標18人以下は、R8実績18人ですでに達成済み</t>
        </is>
      </c>
      <c r="D14" s="15" t="inlineStr">
        <is>
          <t>R11年度末の施設入所者目標が15人／17人／18人と最大3人ぶれる。年約700万円の見込量差に相当し、目標としても機能しない</t>
        </is>
      </c>
      <c r="E14" s="15" t="inlineStr">
        <is>
          <t>告示本文と県方針で基準年度を確定し、施設入所系と一般就労系で統一する</t>
        </is>
      </c>
      <c r="F14" s="21" t="inlineStr">
        <is>
          <t>要対応</t>
        </is>
      </c>
    </row>
    <row r="15">
      <c r="A15" s="16" t="n">
        <v>14</v>
      </c>
      <c r="B15" s="15" t="inlineStr">
        <is>
          <t>セルフプラン0件目標と相談支援の見込量が整合しない</t>
        </is>
      </c>
      <c r="C15" s="15" t="inlineStr">
        <is>
          <t>**障害児相談支援のR8実績が0人/月である一方、児童発達支援6人・放課後等デイ19人が利用中。**R11見込5人に対し対象は19人。成人側も計画相談15人/月に対し延べ125人規模の利用がある</t>
        </is>
      </c>
      <c r="D15" s="15" t="inlineStr">
        <is>
          <t>国の成果目標「R11年度末0件」に対し見込量が構造的に不足。計画の内部矛盾として最も指摘を受けやすい</t>
        </is>
      </c>
      <c r="E15" s="15" t="inlineStr">
        <is>
          <t>セルフプランの実件数を町に照会し（依頼票D5）、見込量を「利用者数－セルフプラン許容数」から積み上げ直す</t>
        </is>
      </c>
      <c r="F15" s="21" t="inlineStr">
        <is>
          <t>要対応</t>
        </is>
      </c>
    </row>
    <row r="16">
      <c r="A16" s="16" t="n">
        <v>15</v>
      </c>
      <c r="B16" s="15" t="inlineStr">
        <is>
          <t>地域生活支援事業の見込量が21項目中11項目で未設定</t>
        </is>
      </c>
      <c r="C16" s="15" t="inlineStr">
        <is>
          <t>移動支援、日常生活用具、日中一時支援、成年後見制度利用支援、意思疎通支援、地域活動支援センター等がR6〜R8実績未入力のため見込を設定できていない</t>
        </is>
      </c>
      <c r="D16" s="15" t="inlineStr">
        <is>
          <t>**地域生活支援事業は障害者総合支援法第88条に基づく必須記載事項。この状態では計画が成立しない**</t>
        </is>
      </c>
      <c r="E16" s="15" t="inlineStr">
        <is>
          <t>町の決算・実績報告からR6〜R8を補完する</t>
        </is>
      </c>
      <c r="F16" s="21" t="inlineStr">
        <is>
          <t>要対応</t>
        </is>
      </c>
    </row>
    <row r="17">
      <c r="A17" s="16" t="n">
        <v>16</v>
      </c>
      <c r="B17" s="15" t="inlineStr">
        <is>
          <t>仕様書5の（２）欠番</t>
        </is>
      </c>
      <c r="C17" s="15" t="inlineStr">
        <is>
          <t>「５ 委託業務の内容」は（１）→（３）と続き、（２）が存在しない</t>
        </is>
      </c>
      <c r="D17" s="15" t="inlineStr">
        <is>
          <t>削除された業務項目がある可能性</t>
        </is>
      </c>
      <c r="E17" s="15" t="inlineStr">
        <is>
          <t>町に確認する（依頼票C3）</t>
        </is>
      </c>
      <c r="F17" s="19"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6" t="n">
        <v>1</v>
      </c>
      <c r="B2" s="16" t="inlineStr">
        <is>
          <t>工程</t>
        </is>
      </c>
      <c r="C2" s="15" t="inlineStr">
        <is>
          <t>仕様書7の工程から3〜4か月の遅延。9月の骨子案作成と10月の骨子案検討が失われている</t>
        </is>
      </c>
      <c r="D2" s="15" t="inlineStr">
        <is>
          <t>仕様書7・11④</t>
        </is>
      </c>
      <c r="E2" s="21" t="inlineStr">
        <is>
          <t>要対応</t>
        </is>
      </c>
      <c r="F2" s="15" t="inlineStr">
        <is>
          <t>**変更後の工程案を作成済み（12月の第2回に骨子案を統合）。町との合意が未**</t>
        </is>
      </c>
    </row>
    <row r="3">
      <c r="A3" s="16" t="n">
        <v>2</v>
      </c>
      <c r="B3" s="16" t="inlineStr">
        <is>
          <t>骨子案</t>
        </is>
      </c>
      <c r="C3" s="15" t="inlineStr">
        <is>
          <t>工程から骨子案が消えている。仕様書5(4)の明示的な工程</t>
        </is>
      </c>
      <c r="D3" s="15" t="inlineStr">
        <is>
          <t>仕様書5(4)・7</t>
        </is>
      </c>
      <c r="E3" s="21" t="inlineStr">
        <is>
          <t>要対応</t>
        </is>
      </c>
      <c r="F3" s="15" t="inlineStr">
        <is>
          <t>**12月の協議会に復活させる案。合意が未**</t>
        </is>
      </c>
    </row>
    <row r="4">
      <c r="A4" s="16" t="n">
        <v>3</v>
      </c>
      <c r="B4" s="16" t="inlineStr">
        <is>
          <t>ヒアリング</t>
        </is>
      </c>
      <c r="C4" s="15" t="inlineStr">
        <is>
          <t>実施も計画もされていなかった。成果品①を構成する業務項目</t>
        </is>
      </c>
      <c r="D4" s="15" t="inlineStr">
        <is>
          <t>仕様書5(3)・成果品①</t>
        </is>
      </c>
      <c r="E4" s="19" t="inlineStr">
        <is>
          <t>進行中</t>
        </is>
      </c>
      <c r="F4" s="15" t="inlineStr">
        <is>
          <t>**実施計画書と質問票を作成済み。町への説明が必要**</t>
        </is>
      </c>
    </row>
    <row r="5">
      <c r="A5" s="16" t="n">
        <v>4</v>
      </c>
      <c r="B5" s="16" t="inlineStr">
        <is>
          <t>集計軸</t>
        </is>
      </c>
      <c r="C5" s="15" t="inlineStr">
        <is>
          <t>仕様が明示する性別が接続表に欠けていた</t>
        </is>
      </c>
      <c r="D5" s="15" t="inlineStr">
        <is>
          <t>仕様書5(1)</t>
        </is>
      </c>
      <c r="E5" s="19" t="inlineStr">
        <is>
          <t>進行中</t>
        </is>
      </c>
      <c r="F5" s="15" t="inlineStr">
        <is>
          <t>受託者の内部修正。調査票の確定と併せて反映する</t>
        </is>
      </c>
    </row>
    <row r="6">
      <c r="A6" s="16" t="n">
        <v>5</v>
      </c>
      <c r="B6" s="16" t="inlineStr">
        <is>
          <t>調査の発送時期</t>
        </is>
      </c>
      <c r="C6" s="15" t="inlineStr">
        <is>
          <t>仕様書は7月まで。実施設計では9月中旬</t>
        </is>
      </c>
      <c r="D6" s="15" t="inlineStr">
        <is>
          <t>仕様書5(1)・7</t>
        </is>
      </c>
      <c r="E6" s="21" t="inlineStr">
        <is>
          <t>要対応</t>
        </is>
      </c>
      <c r="F6" s="15" t="inlineStr">
        <is>
          <t>工程変更協議資料に含めて協議する</t>
        </is>
      </c>
    </row>
    <row r="7">
      <c r="A7" s="16" t="n">
        <v>6</v>
      </c>
      <c r="B7" s="16" t="inlineStr">
        <is>
          <t>電子回答の併用</t>
        </is>
      </c>
      <c r="C7" s="15" t="inlineStr">
        <is>
          <t>仕様書に定めがない。回収率確保の手段として提案</t>
        </is>
      </c>
      <c r="D7" s="15" t="inlineStr">
        <is>
          <t>仕様書5(1)</t>
        </is>
      </c>
      <c r="E7" s="20" t="inlineStr">
        <is>
          <t>未着手</t>
        </is>
      </c>
      <c r="F7" s="15" t="inlineStr">
        <is>
          <t>町の可否判断が必要（依頼票C11）</t>
        </is>
      </c>
    </row>
    <row r="8">
      <c r="A8" s="16" t="n">
        <v>7</v>
      </c>
      <c r="B8" s="16" t="inlineStr">
        <is>
          <t>打合せ記録</t>
        </is>
      </c>
      <c r="C8" s="15" t="inlineStr">
        <is>
          <t>契約後の打合せ記録が引継ぎ資料に含まれていない</t>
        </is>
      </c>
      <c r="D8" s="15" t="inlineStr">
        <is>
          <t>仕様書8①</t>
        </is>
      </c>
      <c r="E8" s="21" t="inlineStr">
        <is>
          <t>要対応</t>
        </is>
      </c>
      <c r="F8" s="15"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6" t="inlineStr">
        <is>
          <t>目的・期間</t>
        </is>
      </c>
      <c r="B2" s="16" t="inlineStr">
        <is>
          <t>2</t>
        </is>
      </c>
      <c r="C2" s="15"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5" t="inlineStr">
        <is>
          <t>―</t>
        </is>
      </c>
      <c r="E2" s="16" t="n">
        <v>0</v>
      </c>
      <c r="F2" s="20" t="inlineStr">
        <is>
          <t>前提条項</t>
        </is>
      </c>
    </row>
    <row r="3">
      <c r="A3" s="16" t="inlineStr">
        <is>
          <t>目的・期間</t>
        </is>
      </c>
      <c r="B3" s="16" t="inlineStr">
        <is>
          <t>4</t>
        </is>
      </c>
      <c r="C3" s="15" t="inlineStr">
        <is>
          <t>契約締結日から令和9年3月25日まで（※公告第1-36号は令和9年3月31日）</t>
        </is>
      </c>
      <c r="D3" s="15" t="inlineStr">
        <is>
          <t>―</t>
        </is>
      </c>
      <c r="E3" s="16" t="n">
        <v>0</v>
      </c>
      <c r="F3" s="20" t="inlineStr">
        <is>
          <t>前提条項</t>
        </is>
      </c>
    </row>
    <row r="4">
      <c r="A4" s="16" t="inlineStr">
        <is>
          <t>目的・期間</t>
        </is>
      </c>
      <c r="B4" s="16" t="inlineStr">
        <is>
          <t>7</t>
        </is>
      </c>
      <c r="C4" s="15"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5" t="inlineStr">
        <is>
          <t>6-2 骨子案の協議（自立支援協議会）
6-6 素案の協議（自立支援協議会）
7-2 パブリックコメントの実施</t>
        </is>
      </c>
      <c r="E4" s="16" t="n">
        <v>3</v>
      </c>
      <c r="F4" s="17" t="inlineStr">
        <is>
          <t>○</t>
        </is>
      </c>
    </row>
    <row r="5">
      <c r="A5" s="16" t="inlineStr">
        <is>
          <t>委託業務の内容</t>
        </is>
      </c>
      <c r="B5" s="16" t="inlineStr">
        <is>
          <t>5(1)</t>
        </is>
      </c>
      <c r="C5" s="15"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5" t="inlineStr">
        <is>
          <t>1-5 町への資料依頼票の作成
1-6 町データの受領
2-2 調査実施設計</t>
        </is>
      </c>
      <c r="E5" s="16" t="n">
        <v>3</v>
      </c>
      <c r="F5" s="17" t="inlineStr">
        <is>
          <t>○</t>
        </is>
      </c>
    </row>
    <row r="6">
      <c r="A6" s="16" t="inlineStr">
        <is>
          <t>委託業務の内容</t>
        </is>
      </c>
      <c r="B6" s="16" t="inlineStr">
        <is>
          <t>5(1)①ア</t>
        </is>
      </c>
      <c r="C6" s="15" t="inlineStr">
        <is>
          <t>委託事項（ア）調査内容の企画</t>
        </is>
      </c>
      <c r="D6" s="15" t="inlineStr">
        <is>
          <t>2-1 調査内容の企画</t>
        </is>
      </c>
      <c r="E6" s="16" t="n">
        <v>1</v>
      </c>
      <c r="F6" s="17" t="inlineStr">
        <is>
          <t>○</t>
        </is>
      </c>
    </row>
    <row r="7">
      <c r="A7" s="16" t="inlineStr">
        <is>
          <t>委託業務の内容</t>
        </is>
      </c>
      <c r="B7" s="16" t="inlineStr">
        <is>
          <t>5(1)①イ</t>
        </is>
      </c>
      <c r="C7" s="15" t="inlineStr">
        <is>
          <t>委託事項（イ）調査票の作成</t>
        </is>
      </c>
      <c r="D7" s="15" t="inlineStr">
        <is>
          <t>2-3 調査票の作成と補修正</t>
        </is>
      </c>
      <c r="E7" s="16" t="n">
        <v>1</v>
      </c>
      <c r="F7" s="17" t="inlineStr">
        <is>
          <t>○</t>
        </is>
      </c>
    </row>
    <row r="8">
      <c r="A8" s="16" t="inlineStr">
        <is>
          <t>委託業務の内容</t>
        </is>
      </c>
      <c r="B8" s="16" t="inlineStr">
        <is>
          <t>5(1)①ウ</t>
        </is>
      </c>
      <c r="C8" s="15" t="inlineStr">
        <is>
          <t>委託事項（ウ）調査用品の準備・印刷。※印刷物は墨印刷とする。発送封筒は角2封筒、返送は長3封筒（テープ加工）を用いる。※対象者の抽出は当町にて行い、受託者が宛名ラベルの作成を行う。</t>
        </is>
      </c>
      <c r="D8" s="15" t="inlineStr">
        <is>
          <t>2-6 調査用品の準備・印刷</t>
        </is>
      </c>
      <c r="E8" s="16" t="n">
        <v>1</v>
      </c>
      <c r="F8" s="17" t="inlineStr">
        <is>
          <t>○</t>
        </is>
      </c>
    </row>
    <row r="9">
      <c r="A9" s="16" t="inlineStr">
        <is>
          <t>委託業務の内容</t>
        </is>
      </c>
      <c r="B9" s="16" t="inlineStr">
        <is>
          <t>5(1)①エ</t>
        </is>
      </c>
      <c r="C9" s="15" t="inlineStr">
        <is>
          <t>委託事項（エ）調査の実施（郵送での発送返送）</t>
        </is>
      </c>
      <c r="D9" s="15" t="inlineStr">
        <is>
          <t>2-8 調査の発送・回収</t>
        </is>
      </c>
      <c r="E9" s="16" t="n">
        <v>1</v>
      </c>
      <c r="F9" s="17" t="inlineStr">
        <is>
          <t>○</t>
        </is>
      </c>
    </row>
    <row r="10">
      <c r="A10" s="16" t="inlineStr">
        <is>
          <t>委託業務の内容</t>
        </is>
      </c>
      <c r="B10" s="16" t="inlineStr">
        <is>
          <t>5(1)①オ</t>
        </is>
      </c>
      <c r="C10" s="15" t="inlineStr">
        <is>
          <t>委託事項（オ）御礼を兼ねた督促はがきの発送準備</t>
        </is>
      </c>
      <c r="D10" s="15" t="inlineStr">
        <is>
          <t>2-9 督促はがきの準備・発送</t>
        </is>
      </c>
      <c r="E10" s="16" t="n">
        <v>1</v>
      </c>
      <c r="F10" s="17" t="inlineStr">
        <is>
          <t>○</t>
        </is>
      </c>
    </row>
    <row r="11">
      <c r="A11" s="16" t="inlineStr">
        <is>
          <t>委託業務の内容</t>
        </is>
      </c>
      <c r="B11" s="16" t="inlineStr">
        <is>
          <t>5(1)①カ</t>
        </is>
      </c>
      <c r="C11" s="15" t="inlineStr">
        <is>
          <t>委託事項（カ）御礼を兼ねた督促はがきの発送</t>
        </is>
      </c>
      <c r="D11" s="15" t="inlineStr">
        <is>
          <t>2-9 督促はがきの準備・発送</t>
        </is>
      </c>
      <c r="E11" s="16" t="n">
        <v>1</v>
      </c>
      <c r="F11" s="17" t="inlineStr">
        <is>
          <t>○</t>
        </is>
      </c>
    </row>
    <row r="12">
      <c r="A12" s="16" t="inlineStr">
        <is>
          <t>委託業務の内容</t>
        </is>
      </c>
      <c r="B12" s="16" t="inlineStr">
        <is>
          <t>5(1)①キ</t>
        </is>
      </c>
      <c r="C12" s="15" t="inlineStr">
        <is>
          <t>委託事項（キ）回収票点検〜データ入力（自由意見の入力整理）〜チェック〜集計</t>
        </is>
      </c>
      <c r="D12" s="15" t="inlineStr">
        <is>
          <t>2-10 回収票の点検・ナンバリング・データ入力</t>
        </is>
      </c>
      <c r="E12" s="16" t="n">
        <v>1</v>
      </c>
      <c r="F12" s="17" t="inlineStr">
        <is>
          <t>○</t>
        </is>
      </c>
    </row>
    <row r="13">
      <c r="A13" s="16" t="inlineStr">
        <is>
          <t>委託業務の内容</t>
        </is>
      </c>
      <c r="B13" s="16" t="inlineStr">
        <is>
          <t>5(1)①ク</t>
        </is>
      </c>
      <c r="C13" s="15" t="inlineStr">
        <is>
          <t>委託事項（ク）分析（単純集計・クロス集計からの分析）</t>
        </is>
      </c>
      <c r="D13" s="15" t="inlineStr">
        <is>
          <t>2-11 集計・分析</t>
        </is>
      </c>
      <c r="E13" s="16" t="n">
        <v>1</v>
      </c>
      <c r="F13" s="17" t="inlineStr">
        <is>
          <t>○</t>
        </is>
      </c>
    </row>
    <row r="14">
      <c r="A14" s="16" t="inlineStr">
        <is>
          <t>委託業務の内容</t>
        </is>
      </c>
      <c r="B14" s="16" t="inlineStr">
        <is>
          <t>作業分担表</t>
        </is>
      </c>
      <c r="C14" s="15"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5" t="inlineStr">
        <is>
          <t>2-4 調査票原案の町の確認
2-5 対象者の抽出
2-7 宛名ラベルの作成
4-2 町による報告書の確認</t>
        </is>
      </c>
      <c r="E14" s="16" t="n">
        <v>4</v>
      </c>
      <c r="F14" s="17" t="inlineStr">
        <is>
          <t>○</t>
        </is>
      </c>
    </row>
    <row r="15">
      <c r="A15" s="16" t="inlineStr">
        <is>
          <t>委託業務の内容</t>
        </is>
      </c>
      <c r="B15" s="16" t="inlineStr">
        <is>
          <t>5(3)</t>
        </is>
      </c>
      <c r="C15" s="15"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5"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6" t="n">
        <v>11</v>
      </c>
      <c r="F15" s="17" t="inlineStr">
        <is>
          <t>○</t>
        </is>
      </c>
    </row>
    <row r="16">
      <c r="A16" s="16" t="inlineStr">
        <is>
          <t>委託業務の内容</t>
        </is>
      </c>
      <c r="B16" s="16" t="inlineStr">
        <is>
          <t>5(4)</t>
        </is>
      </c>
      <c r="C16" s="15"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5" t="inlineStr">
        <is>
          <t>6-1 骨子案の作成
6-2 骨子案の協議（自立支援協議会）
6-3 成果目標の設定
6-4 サービス見込量の算定
6-5 素案の作成
6-6 素案の協議（自立支援協議会）
8-1 計画案の作成</t>
        </is>
      </c>
      <c r="E16" s="16" t="n">
        <v>7</v>
      </c>
      <c r="F16" s="17" t="inlineStr">
        <is>
          <t>○</t>
        </is>
      </c>
    </row>
    <row r="17">
      <c r="A17" s="16" t="inlineStr">
        <is>
          <t>委託業務の内容</t>
        </is>
      </c>
      <c r="B17" s="16" t="inlineStr">
        <is>
          <t>5(5)</t>
        </is>
      </c>
      <c r="C17" s="15"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5" t="inlineStr">
        <is>
          <t>7-1 パブリックコメントの様式作成
7-2 パブリックコメントの実施
7-3 意見への対応</t>
        </is>
      </c>
      <c r="E17" s="16" t="n">
        <v>3</v>
      </c>
      <c r="F17" s="17" t="inlineStr">
        <is>
          <t>○</t>
        </is>
      </c>
    </row>
    <row r="18">
      <c r="A18" s="16" t="inlineStr">
        <is>
          <t>成果品</t>
        </is>
      </c>
      <c r="B18" s="16" t="inlineStr">
        <is>
          <t>成果品①</t>
        </is>
      </c>
      <c r="C18" s="15" t="inlineStr">
        <is>
          <t>①アンケート調査結果及びヒアリング調査結果報告書　電子データ</t>
        </is>
      </c>
      <c r="D18" s="15" t="inlineStr">
        <is>
          <t>3-1 実施計画と質問票の作成
4-1 アンケート調査結果及びヒアリング調査結果報告書の作成
4-3 報告書の完成・納品</t>
        </is>
      </c>
      <c r="E18" s="16" t="n">
        <v>3</v>
      </c>
      <c r="F18" s="17" t="inlineStr">
        <is>
          <t>○</t>
        </is>
      </c>
    </row>
    <row r="19">
      <c r="A19" s="16" t="inlineStr">
        <is>
          <t>成果品</t>
        </is>
      </c>
      <c r="B19" s="16" t="inlineStr">
        <is>
          <t>成果品②</t>
        </is>
      </c>
      <c r="C19" s="15"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5" t="inlineStr">
        <is>
          <t>8-2 レイアウトデザイン・イラスト起こし
8-3 リライト作業
8-4 納品・検収</t>
        </is>
      </c>
      <c r="E19" s="16" t="n">
        <v>3</v>
      </c>
      <c r="F19" s="17" t="inlineStr">
        <is>
          <t>○</t>
        </is>
      </c>
    </row>
    <row r="20">
      <c r="A20" s="16" t="inlineStr">
        <is>
          <t>打合せ・その他</t>
        </is>
      </c>
      <c r="B20" s="16" t="inlineStr">
        <is>
          <t>8①</t>
        </is>
      </c>
      <c r="C20" s="15" t="inlineStr">
        <is>
          <t>打合せは必要に応じて随時行い、受託者が打ち合わせ内容の記録を作成し当町と相互に確認する。</t>
        </is>
      </c>
      <c r="D20" s="15" t="inlineStr">
        <is>
          <t>1-7 工程変更の協議と打合せ記録の作成</t>
        </is>
      </c>
      <c r="E20" s="16" t="n">
        <v>1</v>
      </c>
      <c r="F20" s="17" t="inlineStr">
        <is>
          <t>○</t>
        </is>
      </c>
    </row>
    <row r="21">
      <c r="A21" s="16" t="inlineStr">
        <is>
          <t>打合せ・その他</t>
        </is>
      </c>
      <c r="B21" s="16" t="inlineStr">
        <is>
          <t>8②</t>
        </is>
      </c>
      <c r="C21" s="15" t="inlineStr">
        <is>
          <t>当町で開催する自立支援協議会（3回）に出席し、計画の説明をする。</t>
        </is>
      </c>
      <c r="D21" s="15" t="inlineStr">
        <is>
          <t>7-4 自立支援協議会への出席（3回）</t>
        </is>
      </c>
      <c r="E21" s="16" t="n">
        <v>1</v>
      </c>
      <c r="F21" s="17" t="inlineStr">
        <is>
          <t>○</t>
        </is>
      </c>
    </row>
    <row r="22">
      <c r="A22" s="16" t="inlineStr">
        <is>
          <t>打合せ・その他</t>
        </is>
      </c>
      <c r="B22" s="16" t="inlineStr">
        <is>
          <t>11④</t>
        </is>
      </c>
      <c r="C22" s="15" t="inlineStr">
        <is>
          <t>本仕様書について定めのない事項等が生じた場合、または本業務履行上、基本事項の変更の必要が認められた場合には、当町と受託者間で双方協議の上、定めるものとする。</t>
        </is>
      </c>
      <c r="D22" s="15" t="inlineStr">
        <is>
          <t>1-7 工程変更の協議と打合せ記録の作成</t>
        </is>
      </c>
      <c r="E22" s="16" t="n">
        <v>1</v>
      </c>
      <c r="F22" s="17" t="inlineStr">
        <is>
          <t>○</t>
        </is>
      </c>
    </row>
    <row r="23">
      <c r="A23" s="16" t="inlineStr">
        <is>
          <t>打合せ・その他</t>
        </is>
      </c>
      <c r="B23" s="16" t="inlineStr">
        <is>
          <t>公告10⑥</t>
        </is>
      </c>
      <c r="C23" s="15" t="inlineStr">
        <is>
          <t>自治体の当該計画策定や調査研究実績があり、本計画策定の実務を担う者（公告第1-36号 10⑥）</t>
        </is>
      </c>
      <c r="D23" s="15" t="inlineStr">
        <is>
          <t>1-1 契約・体制の確立、キックオフ</t>
        </is>
      </c>
      <c r="E23" s="16" t="n">
        <v>1</v>
      </c>
      <c r="F23" s="17"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5" t="inlineStr">
        <is>
          <t>B1 障がい者ニーズ調査</t>
        </is>
      </c>
      <c r="B2" s="15" t="inlineStr">
        <is>
          <t>5(1)、5(1)①ア、5(1)①イ、5(1)①ウ、5(1)①エ、5(1)①オ ほか</t>
        </is>
      </c>
      <c r="C2" s="16">
        <f>COUNTIF('01_WBS'!$E$2:$E$45,$A2)</f>
        <v/>
      </c>
      <c r="D2" s="16">
        <f>COUNTIFS('01_WBS'!$E$2:$E$45,$A2,'01_WBS'!$K$2:$K$45,"完了")</f>
        <v/>
      </c>
      <c r="E2" s="16">
        <f>COUNTIFS('01_WBS'!$E$2:$E$45,$A2,'01_WBS'!$K$2:$K$45,"進行中")</f>
        <v/>
      </c>
      <c r="F2" s="16">
        <f>COUNTIFS('01_WBS'!$E$2:$E$45,$A2,'01_WBS'!$K$2:$K$45,"要対応")</f>
        <v/>
      </c>
      <c r="G2" s="16">
        <f>COUNTIFS('01_WBS'!$E$2:$E$45,$A2,'01_WBS'!$K$2:$K$45,"データ待ち")</f>
        <v/>
      </c>
      <c r="H2" s="16">
        <f>COUNTIFS('01_WBS'!$E$2:$E$45,$A2,'01_WBS'!$K$2:$K$45,"未着手")</f>
        <v/>
      </c>
      <c r="I2" s="23">
        <f>IF(SUMPRODUCT(('01_WBS'!$E$2:$E$45=$A2)*'01_WBS'!$M$2:$M$45)=0,"―",SUMPRODUCT(('01_WBS'!$E$2:$E$45=$A2)*'01_WBS'!$L$2:$L$45*'01_WBS'!$M$2:$M$45)/SUMPRODUCT(('01_WBS'!$E$2:$E$45=$A2)*'01_WBS'!$M$2:$M$45)/100)</f>
        <v/>
      </c>
      <c r="J2" s="15" t="inlineStr">
        <is>
          <t>**実施設計は完了。★0727版が入手できず調査票が確定しないため発送できない**</t>
        </is>
      </c>
    </row>
    <row r="3">
      <c r="A3" s="15" t="inlineStr">
        <is>
          <t>B2 現状分析と課題の整理</t>
        </is>
      </c>
      <c r="B3" s="15" t="inlineStr">
        <is>
          <t>5(3)</t>
        </is>
      </c>
      <c r="C3" s="16">
        <f>COUNTIF('01_WBS'!$E$2:$E$45,$A3)</f>
        <v/>
      </c>
      <c r="D3" s="16">
        <f>COUNTIFS('01_WBS'!$E$2:$E$45,$A3,'01_WBS'!$K$2:$K$45,"完了")</f>
        <v/>
      </c>
      <c r="E3" s="16">
        <f>COUNTIFS('01_WBS'!$E$2:$E$45,$A3,'01_WBS'!$K$2:$K$45,"進行中")</f>
        <v/>
      </c>
      <c r="F3" s="16">
        <f>COUNTIFS('01_WBS'!$E$2:$E$45,$A3,'01_WBS'!$K$2:$K$45,"要対応")</f>
        <v/>
      </c>
      <c r="G3" s="16">
        <f>COUNTIFS('01_WBS'!$E$2:$E$45,$A3,'01_WBS'!$K$2:$K$45,"データ待ち")</f>
        <v/>
      </c>
      <c r="H3" s="16">
        <f>COUNTIFS('01_WBS'!$E$2:$E$45,$A3,'01_WBS'!$K$2:$K$45,"未着手")</f>
        <v/>
      </c>
      <c r="I3" s="23">
        <f>IF(SUMPRODUCT(('01_WBS'!$E$2:$E$45=$A3)*'01_WBS'!$M$2:$M$45)=0,"―",SUMPRODUCT(('01_WBS'!$E$2:$E$45=$A3)*'01_WBS'!$L$2:$L$45*'01_WBS'!$M$2:$M$45)/SUMPRODUCT(('01_WBS'!$E$2:$E$45=$A3)*'01_WBS'!$M$2:$M$45)/100)</f>
        <v/>
      </c>
      <c r="J3" s="15" t="inlineStr">
        <is>
          <t>前回調査による検証は済み。今期調査・ヒアリングの結果待ち</t>
        </is>
      </c>
    </row>
    <row r="4">
      <c r="A4" s="15" t="inlineStr">
        <is>
          <t>B3 計画策定支援業務</t>
        </is>
      </c>
      <c r="B4" s="15" t="inlineStr">
        <is>
          <t>5(4)</t>
        </is>
      </c>
      <c r="C4" s="16">
        <f>COUNTIF('01_WBS'!$E$2:$E$45,$A4)</f>
        <v/>
      </c>
      <c r="D4" s="16">
        <f>COUNTIFS('01_WBS'!$E$2:$E$45,$A4,'01_WBS'!$K$2:$K$45,"完了")</f>
        <v/>
      </c>
      <c r="E4" s="16">
        <f>COUNTIFS('01_WBS'!$E$2:$E$45,$A4,'01_WBS'!$K$2:$K$45,"進行中")</f>
        <v/>
      </c>
      <c r="F4" s="16">
        <f>COUNTIFS('01_WBS'!$E$2:$E$45,$A4,'01_WBS'!$K$2:$K$45,"要対応")</f>
        <v/>
      </c>
      <c r="G4" s="16">
        <f>COUNTIFS('01_WBS'!$E$2:$E$45,$A4,'01_WBS'!$K$2:$K$45,"データ待ち")</f>
        <v/>
      </c>
      <c r="H4" s="16">
        <f>COUNTIFS('01_WBS'!$E$2:$E$45,$A4,'01_WBS'!$K$2:$K$45,"未着手")</f>
        <v/>
      </c>
      <c r="I4" s="23">
        <f>IF(SUMPRODUCT(('01_WBS'!$E$2:$E$45=$A4)*'01_WBS'!$M$2:$M$45)=0,"―",SUMPRODUCT(('01_WBS'!$E$2:$E$45=$A4)*'01_WBS'!$L$2:$L$45*'01_WBS'!$M$2:$M$45)/SUMPRODUCT(('01_WBS'!$E$2:$E$45=$A4)*'01_WBS'!$M$2:$M$45)/100)</f>
        <v/>
      </c>
      <c r="J4" s="15" t="inlineStr">
        <is>
          <t>**骨子案は作成済み。素案の第2版改訂は外部条件に依存せず着手できるが未着手**</t>
        </is>
      </c>
    </row>
    <row r="5">
      <c r="A5" s="15" t="inlineStr">
        <is>
          <t>B4 パブリックコメントの実施支援</t>
        </is>
      </c>
      <c r="B5" s="15" t="inlineStr">
        <is>
          <t>5(5)</t>
        </is>
      </c>
      <c r="C5" s="16">
        <f>COUNTIF('01_WBS'!$E$2:$E$45,$A5)</f>
        <v/>
      </c>
      <c r="D5" s="16">
        <f>COUNTIFS('01_WBS'!$E$2:$E$45,$A5,'01_WBS'!$K$2:$K$45,"完了")</f>
        <v/>
      </c>
      <c r="E5" s="16">
        <f>COUNTIFS('01_WBS'!$E$2:$E$45,$A5,'01_WBS'!$K$2:$K$45,"進行中")</f>
        <v/>
      </c>
      <c r="F5" s="16">
        <f>COUNTIFS('01_WBS'!$E$2:$E$45,$A5,'01_WBS'!$K$2:$K$45,"要対応")</f>
        <v/>
      </c>
      <c r="G5" s="16">
        <f>COUNTIFS('01_WBS'!$E$2:$E$45,$A5,'01_WBS'!$K$2:$K$45,"データ待ち")</f>
        <v/>
      </c>
      <c r="H5" s="16">
        <f>COUNTIFS('01_WBS'!$E$2:$E$45,$A5,'01_WBS'!$K$2:$K$45,"未着手")</f>
        <v/>
      </c>
      <c r="I5" s="23">
        <f>IF(SUMPRODUCT(('01_WBS'!$E$2:$E$45=$A5)*'01_WBS'!$M$2:$M$45)=0,"―",SUMPRODUCT(('01_WBS'!$E$2:$E$45=$A5)*'01_WBS'!$L$2:$L$45*'01_WBS'!$M$2:$M$45)/SUMPRODUCT(('01_WBS'!$E$2:$E$45=$A5)*'01_WBS'!$M$2:$M$45)/100)</f>
        <v/>
      </c>
      <c r="J5" s="15" t="inlineStr">
        <is>
          <t>様式は作成済み。実施時期の確定待ち</t>
        </is>
      </c>
    </row>
    <row r="6">
      <c r="A6" s="15" t="inlineStr">
        <is>
          <t>B5 成果品の納品</t>
        </is>
      </c>
      <c r="B6" s="15" t="inlineStr">
        <is>
          <t>成果品①、成果品②</t>
        </is>
      </c>
      <c r="C6" s="16">
        <f>COUNTIF('01_WBS'!$E$2:$E$45,$A6)</f>
        <v/>
      </c>
      <c r="D6" s="16">
        <f>COUNTIFS('01_WBS'!$E$2:$E$45,$A6,'01_WBS'!$K$2:$K$45,"完了")</f>
        <v/>
      </c>
      <c r="E6" s="16">
        <f>COUNTIFS('01_WBS'!$E$2:$E$45,$A6,'01_WBS'!$K$2:$K$45,"進行中")</f>
        <v/>
      </c>
      <c r="F6" s="16">
        <f>COUNTIFS('01_WBS'!$E$2:$E$45,$A6,'01_WBS'!$K$2:$K$45,"要対応")</f>
        <v/>
      </c>
      <c r="G6" s="16">
        <f>COUNTIFS('01_WBS'!$E$2:$E$45,$A6,'01_WBS'!$K$2:$K$45,"データ待ち")</f>
        <v/>
      </c>
      <c r="H6" s="16">
        <f>COUNTIFS('01_WBS'!$E$2:$E$45,$A6,'01_WBS'!$K$2:$K$45,"未着手")</f>
        <v/>
      </c>
      <c r="I6" s="23">
        <f>IF(SUMPRODUCT(('01_WBS'!$E$2:$E$45=$A6)*'01_WBS'!$M$2:$M$45)=0,"―",SUMPRODUCT(('01_WBS'!$E$2:$E$45=$A6)*'01_WBS'!$L$2:$L$45*'01_WBS'!$M$2:$M$45)/SUMPRODUCT(('01_WBS'!$E$2:$E$45=$A6)*'01_WBS'!$M$2:$M$45)/100)</f>
        <v/>
      </c>
      <c r="J6" s="15" t="inlineStr">
        <is>
          <t>**成果品①はヒアリングの実施が前提。②はレイアウトデザイン工程が未確保**</t>
        </is>
      </c>
    </row>
    <row r="7">
      <c r="A7" s="15" t="inlineStr">
        <is>
          <t>B6 業務管理・打合せ</t>
        </is>
      </c>
      <c r="B7" s="15" t="inlineStr">
        <is>
          <t>2、4、7、8①、8②、11④ ほか</t>
        </is>
      </c>
      <c r="C7" s="16">
        <f>COUNTIF('01_WBS'!$E$2:$E$45,$A7)</f>
        <v/>
      </c>
      <c r="D7" s="16">
        <f>COUNTIFS('01_WBS'!$E$2:$E$45,$A7,'01_WBS'!$K$2:$K$45,"完了")</f>
        <v/>
      </c>
      <c r="E7" s="16">
        <f>COUNTIFS('01_WBS'!$E$2:$E$45,$A7,'01_WBS'!$K$2:$K$45,"進行中")</f>
        <v/>
      </c>
      <c r="F7" s="16">
        <f>COUNTIFS('01_WBS'!$E$2:$E$45,$A7,'01_WBS'!$K$2:$K$45,"要対応")</f>
        <v/>
      </c>
      <c r="G7" s="16">
        <f>COUNTIFS('01_WBS'!$E$2:$E$45,$A7,'01_WBS'!$K$2:$K$45,"データ待ち")</f>
        <v/>
      </c>
      <c r="H7" s="16">
        <f>COUNTIFS('01_WBS'!$E$2:$E$45,$A7,'01_WBS'!$K$2:$K$45,"未着手")</f>
        <v/>
      </c>
      <c r="I7" s="23">
        <f>IF(SUMPRODUCT(('01_WBS'!$E$2:$E$45=$A7)*'01_WBS'!$M$2:$M$45)=0,"―",SUMPRODUCT(('01_WBS'!$E$2:$E$45=$A7)*'01_WBS'!$L$2:$L$45*'01_WBS'!$M$2:$M$45)/SUMPRODUCT(('01_WBS'!$E$2:$E$45=$A7)*'01_WBS'!$M$2:$M$45)/100)</f>
        <v/>
      </c>
      <c r="J7" s="15" t="inlineStr">
        <is>
          <t>**仕様書工程から3〜4か月遅延。工程変更の協議と記録化が要対応**</t>
        </is>
      </c>
    </row>
    <row r="8">
      <c r="A8" s="15" t="inlineStr">
        <is>
          <t>B7 仕様書に定めのない作業</t>
        </is>
      </c>
      <c r="B8" s="15" t="inlineStr">
        <is>
          <t>（該当条項なし）</t>
        </is>
      </c>
      <c r="C8" s="16">
        <f>COUNTIF('01_WBS'!$E$2:$E$45,$A8)</f>
        <v/>
      </c>
      <c r="D8" s="16">
        <f>COUNTIFS('01_WBS'!$E$2:$E$45,$A8,'01_WBS'!$K$2:$K$45,"完了")</f>
        <v/>
      </c>
      <c r="E8" s="16">
        <f>COUNTIFS('01_WBS'!$E$2:$E$45,$A8,'01_WBS'!$K$2:$K$45,"進行中")</f>
        <v/>
      </c>
      <c r="F8" s="16">
        <f>COUNTIFS('01_WBS'!$E$2:$E$45,$A8,'01_WBS'!$K$2:$K$45,"要対応")</f>
        <v/>
      </c>
      <c r="G8" s="16">
        <f>COUNTIFS('01_WBS'!$E$2:$E$45,$A8,'01_WBS'!$K$2:$K$45,"データ待ち")</f>
        <v/>
      </c>
      <c r="H8" s="16">
        <f>COUNTIFS('01_WBS'!$E$2:$E$45,$A8,'01_WBS'!$K$2:$K$45,"未着手")</f>
        <v/>
      </c>
      <c r="I8" s="23">
        <f>IF(SUMPRODUCT(('01_WBS'!$E$2:$E$45=$A8)*'01_WBS'!$M$2:$M$45)=0,"―",SUMPRODUCT(('01_WBS'!$E$2:$E$45=$A8)*'01_WBS'!$L$2:$L$45*'01_WBS'!$M$2:$M$45)/SUMPRODUCT(('01_WBS'!$E$2:$E$45=$A8)*'01_WBS'!$M$2:$M$45)/100)</f>
        <v/>
      </c>
      <c r="J8" s="15" t="inlineStr">
        <is>
          <t>該当なし。仕様書のいずれかの条項に紐づかない作業が発生した場合はここに現れる</t>
        </is>
      </c>
    </row>
    <row r="9">
      <c r="A9" s="24" t="inlineStr">
        <is>
          <t>合計</t>
        </is>
      </c>
      <c r="B9" s="24" t="inlineStr"/>
      <c r="C9" s="25">
        <f>SUM(C2:C8)</f>
        <v/>
      </c>
      <c r="D9" s="25">
        <f>SUM(D2:D8)</f>
        <v/>
      </c>
      <c r="E9" s="25">
        <f>SUM(E2:E8)</f>
        <v/>
      </c>
      <c r="F9" s="25">
        <f>SUM(F2:F8)</f>
        <v/>
      </c>
      <c r="G9" s="25">
        <f>SUM(G2:G8)</f>
        <v/>
      </c>
      <c r="H9" s="25">
        <f>SUM(H2:H8)</f>
        <v/>
      </c>
      <c r="I9" s="26">
        <f>IF(SUM('01_WBS'!$M$2:$M$45)=0,0,SUMPRODUCT('01_WBS'!$L$2:$L$45,'01_WBS'!$M$2:$M$45)/SUM('01_WBS'!$M$2:$M$45)/100)</f>
        <v/>
      </c>
      <c r="J9" s="15"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row r="13">
      <c r="A13"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2026-09-28T23:33:41Z</dcterms:created>
  <dcterms:modified xmlns:dcterms="http://purl.org/dc/terms/" xmlns:xsi="http://www.w3.org/2001/XMLSchema-instance" xsi:type="dcterms:W3CDTF">2026-09-28T23:33:41Z</dcterms:modified>
</cp:coreProperties>
</file>