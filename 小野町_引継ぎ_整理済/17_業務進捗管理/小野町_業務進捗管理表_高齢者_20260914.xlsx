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基準日：令和8年9月14日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認定者ベースで組むと総給付費が3年計で312,871千円（10.2％）低く出る。**</t>
        </is>
      </c>
    </row>
    <row r="42">
      <c r="A42" s="11" t="inlineStr">
        <is>
          <t>**第10期（令和9〜11年度）の総給付費は3年計3,089,383千円、標準給付費は3,330,495千円で、第9期の見込み3,566,486千円の93.4％である。**この見込量で算式を通すと保険料基準額は月額6,682円（基金取崩なし）となる。第9期は6,600円であった。**ただし地域支援事業費・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1"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2"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J16〜J18を取得。自立度Ⅱa 68→148人、M 7→29人</t>
        </is>
      </c>
      <c r="O16" s="16" t="inlineStr">
        <is>
          <t>研修系（J1〜J15）は本町の値が未公表。町の実績で代替する（依頼票H9）</t>
        </is>
      </c>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3" t="inlineStr">
        <is>
          <t>未着手</t>
        </is>
      </c>
      <c r="L19" s="19" t="n">
        <v>0</v>
      </c>
      <c r="M19" s="20" t="n">
        <v>2</v>
      </c>
      <c r="N19" s="16" t="inlineStr">
        <is>
          <t>―</t>
        </is>
      </c>
      <c r="O19" s="16" t="inlineStr">
        <is>
          <t>見える化システムへのアクセス</t>
        </is>
      </c>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3" t="inlineStr">
        <is>
          <t>未着手</t>
        </is>
      </c>
      <c r="L22" s="19" t="n">
        <v>0</v>
      </c>
      <c r="M22" s="20" t="n">
        <v>1</v>
      </c>
      <c r="N22" s="16" t="inlineStr">
        <is>
          <t>―</t>
        </is>
      </c>
      <c r="O22" s="16" t="inlineStr">
        <is>
          <t>報告書の確定</t>
        </is>
      </c>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2" t="inlineStr">
        <is>
          <t>データ待ち</t>
        </is>
      </c>
      <c r="L27" s="19" t="n">
        <v>0</v>
      </c>
      <c r="M27" s="20" t="n">
        <v>3</v>
      </c>
      <c r="N27" s="16" t="inlineStr">
        <is>
          <t>―</t>
        </is>
      </c>
      <c r="O27" s="16" t="inlineStr">
        <is>
          <t>**令和7年度調査の個票データ（依頼票H16）。地区情報の有無も要確認**</t>
        </is>
      </c>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3" t="inlineStr">
        <is>
          <t>未着手</t>
        </is>
      </c>
      <c r="L31" s="19" t="n">
        <v>0</v>
      </c>
      <c r="M31" s="20" t="n">
        <v>1</v>
      </c>
      <c r="N31" s="16" t="inlineStr">
        <is>
          <t>―</t>
        </is>
      </c>
      <c r="O31" s="16" t="inlineStr">
        <is>
          <t>整備の経緯の確認（依頼票H15）</t>
        </is>
      </c>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3" t="inlineStr">
        <is>
          <t>未着手</t>
        </is>
      </c>
      <c r="L33" s="19" t="n">
        <v>0</v>
      </c>
      <c r="M33" s="20" t="n">
        <v>2</v>
      </c>
      <c r="N33" s="16" t="inlineStr">
        <is>
          <t>―</t>
        </is>
      </c>
      <c r="O33" s="16" t="inlineStr">
        <is>
          <t>**協議会の開催回数・時期が未定（依頼票C4）**</t>
        </is>
      </c>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3" t="inlineStr">
        <is>
          <t>未着手</t>
        </is>
      </c>
      <c r="L34" s="19" t="n">
        <v>0</v>
      </c>
      <c r="M34" s="20" t="n">
        <v>1</v>
      </c>
      <c r="N34" s="16" t="inlineStr">
        <is>
          <t>―</t>
        </is>
      </c>
      <c r="O34" s="16" t="inlineStr">
        <is>
          <t>骨子案の確定</t>
        </is>
      </c>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t>
        </is>
      </c>
      <c r="O37" s="16" t="inlineStr">
        <is>
          <t>**認定率をどの水準で置くか（令和7年度実績か、計上変更前の令和6年度水準か）。2-4の確認結果しだいで前提が変わる**</t>
        </is>
      </c>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20" t="inlineStr">
        <is>
          <t>進行中</t>
        </is>
      </c>
      <c r="L38" s="19" t="n">
        <v>90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3,089,383千円、標準給付費は3,330,495千円（第9期見込の93.4％）。**分母の変動係数は第1号被保険者数1.63％に対し認定者数5.18％で、認定者ベースだと3年計で312,871千円（10.2％）低く出ることを定量化した。****さらに9月14日に受領した国保連月報のExcel版により、回数・日数ベースの見込量を組んだ（回数日数ベース見込量・7シート）。**サービス種類別×要介護度別の日数を令和6・7年度の24か月分集計し、1件当たり日数を求めて見込件数に乗じた。計画書の見込量表に載せる形まで作成済み</t>
        </is>
      </c>
      <c r="O38" s="16" t="inlineStr">
        <is>
          <t>**報酬改定率（令和9年度）の確定。**あわせて、訪問系を回数で載せるか日数で載せるかの判断（月報の日数は実日数で、1日当たり単位数からみて回数は日数を1割程度上回る）と、趨勢のある2サービス（訪問介護・介護予防訪問看護）の基準期間の選択</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1"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**アカウント・権限・作業範囲・時期の確認（依頼票C5）。これが決まらないと総括表が出せず、対計画比・供給実現性の検証に進めない**</t>
        </is>
      </c>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50</v>
      </c>
      <c r="M40" s="20" t="n">
        <v>4</v>
      </c>
      <c r="N40" s="16" t="inlineStr">
        <is>
          <t>**所得段階別被保険者数（13段階）、小野町が定める保険料率（第1〜3段階は0.285／0.486／0.685で国の標準より低い）、収納率99.35％、基金保有額12,000千円を投入済み。**7-4の見込量で算式を通したところ、保険料基準額は月額6,682円（基金取崩なし）、6,580円（保有額12,000千円を全額取崩）、6,383円（第9期と同じ35,000千円を取崩）となった。第9期は6,600円。**調整交付金の見込交付割合は第9期計画の公表値から逆算して5.963％。標準の5％ではない（小野町は後期高齢者加入割合が高く低所得層が厚い）**</t>
        </is>
      </c>
      <c r="O40" s="16" t="inlineStr">
        <is>
          <t>**地域支援事業費の実績（年報 様式4が未入力）、調整交付金見込額、第10期の第1号被保険者負担割合。あわせて、第9期が見込んだ基金取崩35,000千円に対し基金保有額が12,000千円しかない点の確認が要る**</t>
        </is>
      </c>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3" t="inlineStr">
        <is>
          <t>未着手</t>
        </is>
      </c>
      <c r="L41" s="19" t="n">
        <v>0</v>
      </c>
      <c r="M41" s="20" t="n">
        <v>4</v>
      </c>
      <c r="N41" s="16" t="inlineStr">
        <is>
          <t>算定シートが素材。章立ては未作成</t>
        </is>
      </c>
      <c r="O41" s="16" t="inlineStr">
        <is>
          <t>見込量・保険料の算定</t>
        </is>
      </c>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3" t="inlineStr">
        <is>
          <t>未着手</t>
        </is>
      </c>
      <c r="L42" s="19" t="n">
        <v>0</v>
      </c>
      <c r="M42" s="20" t="n">
        <v>1</v>
      </c>
      <c r="N42" s="16" t="inlineStr">
        <is>
          <t>―</t>
        </is>
      </c>
      <c r="O42" s="16" t="inlineStr">
        <is>
          <t>報告書の確定</t>
        </is>
      </c>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80</v>
      </c>
      <c r="M43" s="20" t="n">
        <v>5</v>
      </c>
      <c r="N43" s="16" t="inlineStr">
        <is>
          <t>**第3版（5章＋資料編・73表・約37,300字）。**12施策すべてに現状と課題・施策の方向・主な事業・成果指標を記載。**第2版の未確定158箇所のうち57箇所が解消し101箇所となった**（従来122箇所と数えていたうち22箇所は本文の見出しラベルであり、未確定箇所ではなかった。集計から除いた）。第2章6（被保険者数・認定者数の見込み）を第10期将来推計用推計人口で確定し、第4章③にサービス見込量（回数・日数ベース）・給付費・標準給付費・保険料基準額（月額6,682円）を入れた</t>
        </is>
      </c>
      <c r="O43" s="16" t="inlineStr">
        <is>
          <t>**残る101箇所の内訳は、協議会で設定する目標値39、町データ待ち34、算定12、町・国の決定9、見える化出力6、保険料の算定1。町データ待ちの筆頭は地域支援事業費の事業別内訳と成果指標の現状値**</t>
        </is>
      </c>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t>
        </is>
      </c>
      <c r="O45" s="16" t="inlineStr">
        <is>
          <t>町の意思決定（方式A／B）</t>
        </is>
      </c>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3" t="inlineStr">
        <is>
          <t>未着手</t>
        </is>
      </c>
      <c r="L46" s="19" t="n">
        <v>0</v>
      </c>
      <c r="M46" s="20" t="n">
        <v>4</v>
      </c>
      <c r="N46" s="16" t="inlineStr">
        <is>
          <t>―</t>
        </is>
      </c>
      <c r="O46" s="16" t="inlineStr">
        <is>
          <t>**P7の完了、町データの受領**</t>
        </is>
      </c>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3" t="inlineStr">
        <is>
          <t>未着手</t>
        </is>
      </c>
      <c r="L47" s="19" t="n">
        <v>0</v>
      </c>
      <c r="M47" s="20" t="n">
        <v>2</v>
      </c>
      <c r="N47" s="16" t="inlineStr">
        <is>
          <t>―</t>
        </is>
      </c>
      <c r="O47" s="16" t="inlineStr">
        <is>
          <t>協議会の開催時期</t>
        </is>
      </c>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3" t="inlineStr">
        <is>
          <t>未着手</t>
        </is>
      </c>
      <c r="L48" s="19" t="n">
        <v>0</v>
      </c>
      <c r="M48" s="20" t="n">
        <v>1</v>
      </c>
      <c r="N48" s="16" t="inlineStr">
        <is>
          <t>―</t>
        </is>
      </c>
      <c r="O48" s="16" t="inlineStr">
        <is>
          <t>素案の確定</t>
        </is>
      </c>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1" t="inlineStr">
        <is>
          <t>要対応</t>
        </is>
      </c>
      <c r="L49" s="19" t="n">
        <v>0</v>
      </c>
      <c r="M49" s="20" t="n">
        <v>1</v>
      </c>
      <c r="N49" s="16" t="inlineStr">
        <is>
          <t>**仕様書に回数の指定がない。**受託者案は4回</t>
        </is>
      </c>
      <c r="O49" s="16" t="inlineStr">
        <is>
          <t>**町との協議（依頼票C4）。これが決まらないと工程が引けない**</t>
        </is>
      </c>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1" t="inlineStr">
        <is>
          <t>要対応</t>
        </is>
      </c>
      <c r="L50" s="19" t="n">
        <v>50</v>
      </c>
      <c r="M50" s="20" t="n">
        <v>2</v>
      </c>
      <c r="N50" s="16" t="inlineStr">
        <is>
          <t>**資料は作成済み（08_協議会資料・42表）**</t>
        </is>
      </c>
      <c r="O50" s="16" t="inlineStr">
        <is>
          <t>**開催日が未定**</t>
        </is>
      </c>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3" t="inlineStr">
        <is>
          <t>未着手</t>
        </is>
      </c>
      <c r="L51" s="19" t="n">
        <v>0</v>
      </c>
      <c r="M51" s="20" t="n">
        <v>2</v>
      </c>
      <c r="N51" s="16" t="inlineStr">
        <is>
          <t>骨子案第3版・成果指標目標値案は作成済み</t>
        </is>
      </c>
      <c r="O51" s="16" t="inlineStr">
        <is>
          <t>P7の完了、開催日の確定</t>
        </is>
      </c>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3" t="inlineStr">
        <is>
          <t>未着手</t>
        </is>
      </c>
      <c r="L52" s="19" t="n">
        <v>0</v>
      </c>
      <c r="M52" s="20" t="n">
        <v>2</v>
      </c>
      <c r="N52" s="16" t="inlineStr">
        <is>
          <t>―</t>
        </is>
      </c>
      <c r="O52" s="16" t="inlineStr">
        <is>
          <t>素案の確定</t>
        </is>
      </c>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3" t="inlineStr">
        <is>
          <t>未着手</t>
        </is>
      </c>
      <c r="L54" s="19" t="n">
        <v>0</v>
      </c>
      <c r="M54" s="20" t="n">
        <v>2</v>
      </c>
      <c r="N54" s="16" t="inlineStr">
        <is>
          <t>―</t>
        </is>
      </c>
      <c r="O54" s="16" t="inlineStr">
        <is>
          <t>素案の確定、実施時期の確定（依頼票C6）</t>
        </is>
      </c>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3" t="inlineStr">
        <is>
          <t>未着手</t>
        </is>
      </c>
      <c r="L55" s="19" t="n">
        <v>0</v>
      </c>
      <c r="M55" s="20" t="n">
        <v>2</v>
      </c>
      <c r="N55" s="16" t="inlineStr">
        <is>
          <t>対応表の様式は作成済み</t>
        </is>
      </c>
      <c r="O55" s="16" t="inlineStr">
        <is>
          <t>パブコメの実施</t>
        </is>
      </c>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3" t="inlineStr">
        <is>
          <t>未着手</t>
        </is>
      </c>
      <c r="L56" s="19" t="n">
        <v>0</v>
      </c>
      <c r="M56" s="20" t="n">
        <v>1</v>
      </c>
      <c r="N56" s="16" t="inlineStr">
        <is>
          <t>―</t>
        </is>
      </c>
      <c r="O56" s="16" t="inlineStr">
        <is>
          <t>意見への対応</t>
        </is>
      </c>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3" t="inlineStr">
        <is>
          <t>未着手</t>
        </is>
      </c>
      <c r="L57" s="19" t="n">
        <v>0</v>
      </c>
      <c r="M57" s="20" t="n">
        <v>3</v>
      </c>
      <c r="N57" s="16" t="inlineStr">
        <is>
          <t>―</t>
        </is>
      </c>
      <c r="O57" s="16" t="inlineStr">
        <is>
          <t>意見への対応</t>
        </is>
      </c>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3" t="inlineStr">
        <is>
          <t>未着手</t>
        </is>
      </c>
      <c r="L58" s="19" t="n">
        <v>0</v>
      </c>
      <c r="M58" s="20" t="n">
        <v>3</v>
      </c>
      <c r="N58" s="16" t="inlineStr">
        <is>
          <t>―</t>
        </is>
      </c>
      <c r="O58" s="16" t="inlineStr">
        <is>
          <t>原稿の確定</t>
        </is>
      </c>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3" t="inlineStr">
        <is>
          <t>未着手</t>
        </is>
      </c>
      <c r="L59" s="19" t="n">
        <v>0</v>
      </c>
      <c r="M59" s="20" t="n">
        <v>2</v>
      </c>
      <c r="N59" s="16" t="inlineStr">
        <is>
          <t>**逆算表を作成済み（令和9年2月下旬の校了が動かせない期限）**</t>
        </is>
      </c>
      <c r="O59" s="16" t="inlineStr">
        <is>
          <t>組版</t>
        </is>
      </c>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3" t="inlineStr">
        <is>
          <t>未着手</t>
        </is>
      </c>
      <c r="L61" s="19" t="n">
        <v>0</v>
      </c>
      <c r="M61" s="20" t="n">
        <v>2</v>
      </c>
      <c r="N61" s="16" t="inlineStr">
        <is>
          <t>構成案は作成済み</t>
        </is>
      </c>
      <c r="O61" s="16" t="inlineStr">
        <is>
          <t>計画書の確定</t>
        </is>
      </c>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3" t="inlineStr">
        <is>
          <t>未着手</t>
        </is>
      </c>
      <c r="L62" s="19" t="n">
        <v>0</v>
      </c>
      <c r="M62" s="20" t="n">
        <v>2</v>
      </c>
      <c r="N62" s="16" t="inlineStr">
        <is>
          <t>**逆算表を作成済み。12月までに印刷業者を押さえる必要がある**</t>
        </is>
      </c>
      <c r="O62" s="16" t="inlineStr">
        <is>
          <t>校了</t>
        </is>
      </c>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3" t="inlineStr">
        <is>
          <t>未着手</t>
        </is>
      </c>
      <c r="L63" s="19" t="n">
        <v>0</v>
      </c>
      <c r="M63" s="20" t="n">
        <v>1</v>
      </c>
      <c r="N63" s="16" t="inlineStr">
        <is>
          <t>―</t>
        </is>
      </c>
      <c r="O63" s="16" t="inlineStr">
        <is>
          <t>各成果品の確定</t>
        </is>
      </c>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3" t="inlineStr">
        <is>
          <t>未着手</t>
        </is>
      </c>
      <c r="L64" s="19" t="n">
        <v>0</v>
      </c>
      <c r="M64" s="20" t="n">
        <v>1</v>
      </c>
      <c r="N64" s="16" t="inlineStr">
        <is>
          <t>―</t>
        </is>
      </c>
      <c r="O64" s="16" t="inlineStr">
        <is>
          <t>全成果品の完成</t>
        </is>
      </c>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4">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4">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4">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4">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4">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4">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4">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4">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4">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4">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5" t="inlineStr">
        <is>
          <t>合計</t>
        </is>
      </c>
      <c r="B12" s="26">
        <f>SUM(B2:B11)</f>
        <v/>
      </c>
      <c r="C12" s="26">
        <f>SUM(C2:C11)</f>
        <v/>
      </c>
      <c r="D12" s="26">
        <f>SUM(D2:D11)</f>
        <v/>
      </c>
      <c r="E12" s="26">
        <f>SUM(E2:E11)</f>
        <v/>
      </c>
      <c r="F12" s="26">
        <f>SUM(F2:F11)</f>
        <v/>
      </c>
      <c r="G12" s="26">
        <f>SUM(G2:G11)</f>
        <v/>
      </c>
      <c r="H12" s="27">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3"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3"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1"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1" t="inlineStr">
        <is>
          <t>要対応</t>
        </is>
      </c>
      <c r="E3" s="16" t="inlineStr">
        <is>
          <t>資料は作成済み。**開催日が未定**</t>
        </is>
      </c>
    </row>
    <row r="4">
      <c r="A4" s="17" t="inlineStr">
        <is>
          <t>2026-09</t>
        </is>
      </c>
      <c r="B4" s="16" t="inlineStr">
        <is>
          <t>見える化 優先度C分野の出力</t>
        </is>
      </c>
      <c r="C4" s="17" t="inlineStr">
        <is>
          <t>受託者</t>
        </is>
      </c>
      <c r="D4" s="23" t="inlineStr">
        <is>
          <t>未着手</t>
        </is>
      </c>
      <c r="E4" s="16" t="inlineStr">
        <is>
          <t>―</t>
        </is>
      </c>
    </row>
    <row r="5">
      <c r="A5" s="17" t="inlineStr">
        <is>
          <t>2026-10</t>
        </is>
      </c>
      <c r="B5" s="16" t="inlineStr">
        <is>
          <t>認定者数の確定、見込量の推計、見える化への入力</t>
        </is>
      </c>
      <c r="C5" s="17" t="inlineStr">
        <is>
          <t>受託者</t>
        </is>
      </c>
      <c r="D5" s="23"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3" t="inlineStr">
        <is>
          <t>未着手</t>
        </is>
      </c>
      <c r="E6" s="16" t="inlineStr">
        <is>
          <t>―</t>
        </is>
      </c>
    </row>
    <row r="7">
      <c r="A7" s="17" t="inlineStr">
        <is>
          <t>2026-12</t>
        </is>
      </c>
      <c r="B7" s="16" t="inlineStr">
        <is>
          <t>素案の確定、協議会 第3回（素案）</t>
        </is>
      </c>
      <c r="C7" s="17" t="inlineStr">
        <is>
          <t>受託者・町</t>
        </is>
      </c>
      <c r="D7" s="23" t="inlineStr">
        <is>
          <t>未着手</t>
        </is>
      </c>
      <c r="E7" s="16" t="inlineStr">
        <is>
          <t>―</t>
        </is>
      </c>
    </row>
    <row r="8">
      <c r="A8" s="17" t="inlineStr">
        <is>
          <t>2027-01</t>
        </is>
      </c>
      <c r="B8" s="16" t="inlineStr">
        <is>
          <t>パブリックコメント（1か月）</t>
        </is>
      </c>
      <c r="C8" s="17" t="inlineStr">
        <is>
          <t>町</t>
        </is>
      </c>
      <c r="D8" s="23" t="inlineStr">
        <is>
          <t>未着手</t>
        </is>
      </c>
      <c r="E8" s="16" t="inlineStr">
        <is>
          <t>―</t>
        </is>
      </c>
    </row>
    <row r="9">
      <c r="A9" s="17" t="inlineStr">
        <is>
          <t>2027-02</t>
        </is>
      </c>
      <c r="B9" s="16" t="inlineStr">
        <is>
          <t>意見への対応、協議会 第4回（最終案）、**計画書の校了・下版**</t>
        </is>
      </c>
      <c r="C9" s="17" t="inlineStr">
        <is>
          <t>受託者・町</t>
        </is>
      </c>
      <c r="D9" s="23" t="inlineStr">
        <is>
          <t>未着手</t>
        </is>
      </c>
      <c r="E9" s="16" t="inlineStr">
        <is>
          <t>**2月下旬の校了が動かせない期限**</t>
        </is>
      </c>
    </row>
    <row r="10">
      <c r="A10" s="17" t="inlineStr">
        <is>
          <t>2027-03</t>
        </is>
      </c>
      <c r="B10" s="16" t="inlineStr">
        <is>
          <t>印刷・製本、概要版の作成、納品</t>
        </is>
      </c>
      <c r="C10" s="17" t="inlineStr">
        <is>
          <t>受託者</t>
        </is>
      </c>
      <c r="D10" s="23"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3"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1"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1"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3"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3"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1"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1"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2"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見込量の試算で算式を通すと、保険料基準額は取崩なしで月額6,682円、保有額12百万円を全額取り崩して6,580円、第9期と同じ35百万円で6,383円となる（第9期は6,600円）。**基金の扱いだけで月額300円動く**</t>
        </is>
      </c>
      <c r="E8" s="16" t="inlineStr">
        <is>
          <t>取崩実績か入力誤りかを町に確認したうえで、余剰の還元（据置・引下げ・繰越金の基金積立）をケースC5・C6として算定する</t>
        </is>
      </c>
      <c r="F8" s="21"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3"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11</v>
      </c>
      <c r="B12" s="16" t="inlineStr">
        <is>
          <t>認知症施策推進基本計画の包含の形式が未決</t>
        </is>
      </c>
      <c r="C12" s="16" t="inlineStr">
        <is>
          <t>仕様書2(3)は包含を計画の構成要件と定める</t>
        </is>
      </c>
      <c r="D12" s="16" t="inlineStr">
        <is>
          <t>章立てが変わるため、素案の確定前に決める必要がある</t>
        </is>
      </c>
      <c r="E12" s="16" t="inlineStr">
        <is>
          <t>**基本的施策12項目との対応表を作成済み。分散＋対応表方式を提案**</t>
        </is>
      </c>
      <c r="F12" s="20" t="inlineStr">
        <is>
          <t>進行中</t>
        </is>
      </c>
    </row>
    <row r="13">
      <c r="A13" s="17" t="n">
        <v>12</v>
      </c>
      <c r="B13" s="16" t="inlineStr">
        <is>
          <t>成果品欄の「（７）」への参照</t>
        </is>
      </c>
      <c r="C13" s="16" t="inlineStr">
        <is>
          <t>成果品は（１）〜（６）だが、納品仕様欄に「※（７）のデータ（ＣＤ－Ｒ）１部、概要版印刷50部」との記載がある</t>
        </is>
      </c>
      <c r="D13" s="16" t="inlineStr">
        <is>
          <t>概要版の納品部数の解釈に関わる</t>
        </is>
      </c>
      <c r="E13" s="16" t="inlineStr">
        <is>
          <t>町に確認する（依頼票C2）</t>
        </is>
      </c>
      <c r="F13"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1"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1"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1"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3"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3"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3"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4">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4">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4">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4">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4">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4">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4">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4">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4">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4">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4">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5" t="inlineStr">
        <is>
          <t>合計</t>
        </is>
      </c>
      <c r="B13" s="25" t="inlineStr"/>
      <c r="C13" s="26">
        <f>SUM(C2:C12)</f>
        <v/>
      </c>
      <c r="D13" s="26">
        <f>SUM(D2:D12)</f>
        <v/>
      </c>
      <c r="E13" s="26">
        <f>SUM(E2:E12)</f>
        <v/>
      </c>
      <c r="F13" s="26">
        <f>SUM(F2:F12)</f>
        <v/>
      </c>
      <c r="G13" s="26">
        <f>SUM(G2:G12)</f>
        <v/>
      </c>
      <c r="H13" s="26">
        <f>SUM(H2:H12)</f>
        <v/>
      </c>
      <c r="I13" s="27">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2026-09-14T14:41:33Z</dcterms:created>
  <dcterms:modified xmlns:dcterms="http://purl.org/dc/terms/" xmlns:xsi="http://www.w3.org/2001/XMLSchema-instance" xsi:type="dcterms:W3CDTF">2026-09-14T14:41:34Z</dcterms:modified>
</cp:coreProperties>
</file>