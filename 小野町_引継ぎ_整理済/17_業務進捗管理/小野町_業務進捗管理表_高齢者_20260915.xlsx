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J16〜J18を取得。自立度Ⅱa 68→148人、M 7→29人</t>
        </is>
      </c>
      <c r="O16" s="16" t="inlineStr">
        <is>
          <t>研修系（J1〜J15）は本町の値が未公表。町の実績で代替する（依頼票H9）</t>
        </is>
      </c>
      <c r="P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c r="P20" s="21" t="n"/>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c r="P21" s="21" t="n"/>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4" t="inlineStr">
        <is>
          <t>未着手</t>
        </is>
      </c>
      <c r="L22" s="19" t="n">
        <v>0</v>
      </c>
      <c r="M22" s="20" t="n">
        <v>1</v>
      </c>
      <c r="N22" s="16" t="inlineStr">
        <is>
          <t>―</t>
        </is>
      </c>
      <c r="O22" s="16" t="inlineStr">
        <is>
          <t>報告書の確定</t>
        </is>
      </c>
      <c r="P22" s="21" t="n"/>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c r="P23" s="21" t="n"/>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c r="P24" s="21" t="n"/>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c r="P25" s="21" t="n"/>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c r="P26" s="21" t="n"/>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3" t="inlineStr">
        <is>
          <t>データ待ち</t>
        </is>
      </c>
      <c r="L27" s="19" t="n">
        <v>0</v>
      </c>
      <c r="M27" s="20" t="n">
        <v>3</v>
      </c>
      <c r="N27" s="16" t="inlineStr">
        <is>
          <t>―</t>
        </is>
      </c>
      <c r="O27" s="16" t="inlineStr">
        <is>
          <t>**令和7年度調査の個票データ（依頼票H16）。地区情報の有無も要確認**</t>
        </is>
      </c>
      <c r="P27" s="21" t="n"/>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c r="P28" s="21" t="n"/>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c r="P29" s="21" t="n"/>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c r="P30" s="21" t="n"/>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4" t="inlineStr">
        <is>
          <t>未着手</t>
        </is>
      </c>
      <c r="L31" s="19" t="n">
        <v>0</v>
      </c>
      <c r="M31" s="20" t="n">
        <v>1</v>
      </c>
      <c r="N31" s="16" t="inlineStr">
        <is>
          <t>―</t>
        </is>
      </c>
      <c r="O31" s="16" t="inlineStr">
        <is>
          <t>整備の経緯の確認（依頼票H15）</t>
        </is>
      </c>
      <c r="P31" s="21" t="n"/>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c r="P32" s="21" t="n"/>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4" t="inlineStr">
        <is>
          <t>未着手</t>
        </is>
      </c>
      <c r="L33" s="19" t="n">
        <v>0</v>
      </c>
      <c r="M33" s="20" t="n">
        <v>2</v>
      </c>
      <c r="N33" s="16" t="inlineStr">
        <is>
          <t>―</t>
        </is>
      </c>
      <c r="O33" s="16" t="inlineStr">
        <is>
          <t>**協議会の開催回数・時期が未定（依頼票C4）**</t>
        </is>
      </c>
      <c r="P33" s="21" t="n"/>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4" t="inlineStr">
        <is>
          <t>未着手</t>
        </is>
      </c>
      <c r="L34" s="19" t="n">
        <v>0</v>
      </c>
      <c r="M34" s="20" t="n">
        <v>1</v>
      </c>
      <c r="N34" s="16" t="inlineStr">
        <is>
          <t>―</t>
        </is>
      </c>
      <c r="O34" s="16" t="inlineStr">
        <is>
          <t>骨子案の確定</t>
        </is>
      </c>
      <c r="P34" s="21" t="n"/>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c r="P35" s="21" t="n"/>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c r="P36" s="21" t="n"/>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t>
        </is>
      </c>
      <c r="O37" s="16" t="inlineStr">
        <is>
          <t>**認定率をどの水準で置くか（令和7年度実績か、計上変更前の令和6年度水準か）。2-4の確認結果しだいで前提が変わる**</t>
        </is>
      </c>
      <c r="P37" s="21" t="n"/>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18" t="inlineStr">
        <is>
          <t>完了</t>
        </is>
      </c>
      <c r="L38" s="19" t="n">
        <v>100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8"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8" s="17" t="inlineStr">
        <is>
          <t>**報酬改定率（令和9年度）の確定。**あわせて、訪問介護の基準期間（3年平均だと令和9年度の見込件数が令和7年度実績の1.27倍。令和7年度単年なら月額▲47円）を協議会にお諮りする</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2"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c r="P39" s="21" t="n"/>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80</v>
      </c>
      <c r="M40" s="20" t="n">
        <v>4</v>
      </c>
      <c r="N40"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7-4の見込量で算式を通したところ、保険料基準額は月額6,569円（基金取崩なし）、6,467円（保有額12,000千円を全額取崩）、6,270円（第9期と同じ35,000千円を取崩）となった。第9期は6,600円。負担割合が24％になると6,867円。**調整交付金の見込交付割合は第9期計画の公表値から逆算して5.963％。標準の5％ではない（小野町は後期高齢者加入割合が高く低所得層が厚い）**</t>
        </is>
      </c>
      <c r="O40"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0" s="21" t="n"/>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0" t="inlineStr">
        <is>
          <t>進行中</t>
        </is>
      </c>
      <c r="L41" s="19" t="n">
        <v>60</v>
      </c>
      <c r="M41" s="20" t="n">
        <v>4</v>
      </c>
      <c r="N41"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1" s="16" t="inlineStr">
        <is>
          <t>**報酬改定率と第1号被保険者負担割合が確定したら数値を差し替える。**あわせて、協議会での議論を踏まえた記述の追加</t>
        </is>
      </c>
      <c r="P41" s="21" t="n"/>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4" t="inlineStr">
        <is>
          <t>未着手</t>
        </is>
      </c>
      <c r="L42" s="19" t="n">
        <v>0</v>
      </c>
      <c r="M42" s="20" t="n">
        <v>1</v>
      </c>
      <c r="N42" s="16" t="inlineStr">
        <is>
          <t>―</t>
        </is>
      </c>
      <c r="O42" s="16" t="inlineStr">
        <is>
          <t>報告書の確定</t>
        </is>
      </c>
      <c r="P42" s="21" t="n"/>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85</v>
      </c>
      <c r="M43" s="20" t="n">
        <v>5</v>
      </c>
      <c r="N43" s="16" t="inlineStr">
        <is>
          <t>**第4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月額6,569円）を入れた</t>
        </is>
      </c>
      <c r="O43" s="16" t="inlineStr">
        <is>
          <t>**残る97箇所の内訳は、協議会で設定する目標値39、町データ待ち35、町・国の決定9、算定7、見える化出力6、保険料の算定1。町データ待ちの筆頭は成果指標の現状値と、一般介護予防事業費・包括的支援事業・任意事業費の事業別内訳**</t>
        </is>
      </c>
      <c r="P43" s="21" t="n"/>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c r="P44" s="21" t="n"/>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t>
        </is>
      </c>
      <c r="O45" s="16" t="inlineStr">
        <is>
          <t>町の意思決定（方式A／B）</t>
        </is>
      </c>
      <c r="P45" s="21" t="n"/>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4" t="inlineStr">
        <is>
          <t>未着手</t>
        </is>
      </c>
      <c r="L46" s="19" t="n">
        <v>0</v>
      </c>
      <c r="M46" s="20" t="n">
        <v>4</v>
      </c>
      <c r="N46" s="16" t="inlineStr">
        <is>
          <t>―</t>
        </is>
      </c>
      <c r="O46" s="16" t="inlineStr">
        <is>
          <t>**P7の完了、町データの受領**</t>
        </is>
      </c>
      <c r="P46" s="21" t="n"/>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4" t="inlineStr">
        <is>
          <t>未着手</t>
        </is>
      </c>
      <c r="L47" s="19" t="n">
        <v>0</v>
      </c>
      <c r="M47" s="20" t="n">
        <v>2</v>
      </c>
      <c r="N47" s="16" t="inlineStr">
        <is>
          <t>―</t>
        </is>
      </c>
      <c r="O47" s="16" t="inlineStr">
        <is>
          <t>協議会の開催時期</t>
        </is>
      </c>
      <c r="P47" s="21" t="n"/>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4" t="inlineStr">
        <is>
          <t>未着手</t>
        </is>
      </c>
      <c r="L48" s="19" t="n">
        <v>0</v>
      </c>
      <c r="M48" s="20" t="n">
        <v>1</v>
      </c>
      <c r="N48" s="16" t="inlineStr">
        <is>
          <t>―</t>
        </is>
      </c>
      <c r="O48" s="16" t="inlineStr">
        <is>
          <t>素案の確定</t>
        </is>
      </c>
      <c r="P48" s="21" t="n"/>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2" t="inlineStr">
        <is>
          <t>要対応</t>
        </is>
      </c>
      <c r="L49" s="19" t="n">
        <v>0</v>
      </c>
      <c r="M49" s="20" t="n">
        <v>1</v>
      </c>
      <c r="N49" s="16" t="inlineStr">
        <is>
          <t>**仕様書に回数の指定がない。**受託者案は4回</t>
        </is>
      </c>
      <c r="O49" s="16" t="inlineStr">
        <is>
          <t>**町との協議（依頼票C4）。これが決まらないと工程が引けない**</t>
        </is>
      </c>
      <c r="P49" s="21" t="n"/>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2" t="inlineStr">
        <is>
          <t>要対応</t>
        </is>
      </c>
      <c r="L50" s="19" t="n">
        <v>50</v>
      </c>
      <c r="M50" s="20" t="n">
        <v>2</v>
      </c>
      <c r="N50" s="16" t="inlineStr">
        <is>
          <t>**資料は作成済み（08_協議会資料・42表）**</t>
        </is>
      </c>
      <c r="O50" s="16" t="inlineStr">
        <is>
          <t>**開催日が未定**</t>
        </is>
      </c>
      <c r="P50" s="21" t="n"/>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4" t="inlineStr">
        <is>
          <t>未着手</t>
        </is>
      </c>
      <c r="L51" s="19" t="n">
        <v>0</v>
      </c>
      <c r="M51" s="20" t="n">
        <v>2</v>
      </c>
      <c r="N51" s="16" t="inlineStr">
        <is>
          <t>骨子案第3版・成果指標目標値案は作成済み</t>
        </is>
      </c>
      <c r="O51" s="16" t="inlineStr">
        <is>
          <t>P7の完了、開催日の確定</t>
        </is>
      </c>
      <c r="P51" s="21" t="n"/>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4" t="inlineStr">
        <is>
          <t>未着手</t>
        </is>
      </c>
      <c r="L52" s="19" t="n">
        <v>0</v>
      </c>
      <c r="M52" s="20" t="n">
        <v>2</v>
      </c>
      <c r="N52" s="16" t="inlineStr">
        <is>
          <t>―</t>
        </is>
      </c>
      <c r="O52" s="16" t="inlineStr">
        <is>
          <t>素案の確定</t>
        </is>
      </c>
      <c r="P52" s="21" t="n"/>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c r="P53" s="21" t="n"/>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4" t="inlineStr">
        <is>
          <t>未着手</t>
        </is>
      </c>
      <c r="L54" s="19" t="n">
        <v>0</v>
      </c>
      <c r="M54" s="20" t="n">
        <v>2</v>
      </c>
      <c r="N54" s="16" t="inlineStr">
        <is>
          <t>―</t>
        </is>
      </c>
      <c r="O54" s="16" t="inlineStr">
        <is>
          <t>素案の確定、実施時期の確定（依頼票C6）</t>
        </is>
      </c>
      <c r="P54" s="21" t="n"/>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4" t="inlineStr">
        <is>
          <t>未着手</t>
        </is>
      </c>
      <c r="L55" s="19" t="n">
        <v>0</v>
      </c>
      <c r="M55" s="20" t="n">
        <v>2</v>
      </c>
      <c r="N55" s="16" t="inlineStr">
        <is>
          <t>対応表の様式は作成済み</t>
        </is>
      </c>
      <c r="O55" s="16" t="inlineStr">
        <is>
          <t>パブコメの実施</t>
        </is>
      </c>
      <c r="P55" s="21" t="n"/>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4" t="inlineStr">
        <is>
          <t>未着手</t>
        </is>
      </c>
      <c r="L56" s="19" t="n">
        <v>0</v>
      </c>
      <c r="M56" s="20" t="n">
        <v>1</v>
      </c>
      <c r="N56" s="16" t="inlineStr">
        <is>
          <t>―</t>
        </is>
      </c>
      <c r="O56" s="16" t="inlineStr">
        <is>
          <t>意見への対応</t>
        </is>
      </c>
      <c r="P56" s="21" t="n"/>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4" t="inlineStr">
        <is>
          <t>未着手</t>
        </is>
      </c>
      <c r="L57" s="19" t="n">
        <v>0</v>
      </c>
      <c r="M57" s="20" t="n">
        <v>3</v>
      </c>
      <c r="N57" s="16" t="inlineStr">
        <is>
          <t>―</t>
        </is>
      </c>
      <c r="O57" s="16" t="inlineStr">
        <is>
          <t>意見への対応</t>
        </is>
      </c>
      <c r="P57" s="21" t="n"/>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4" t="inlineStr">
        <is>
          <t>未着手</t>
        </is>
      </c>
      <c r="L58" s="19" t="n">
        <v>0</v>
      </c>
      <c r="M58" s="20" t="n">
        <v>3</v>
      </c>
      <c r="N58" s="16" t="inlineStr">
        <is>
          <t>―</t>
        </is>
      </c>
      <c r="O58" s="16" t="inlineStr">
        <is>
          <t>原稿の確定</t>
        </is>
      </c>
      <c r="P58" s="21" t="n"/>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4" t="inlineStr">
        <is>
          <t>未着手</t>
        </is>
      </c>
      <c r="L59" s="19" t="n">
        <v>0</v>
      </c>
      <c r="M59" s="20" t="n">
        <v>2</v>
      </c>
      <c r="N59" s="16" t="inlineStr">
        <is>
          <t>**逆算表を作成済み（令和9年2月下旬の校了が動かせない期限）**</t>
        </is>
      </c>
      <c r="O59" s="16" t="inlineStr">
        <is>
          <t>組版</t>
        </is>
      </c>
      <c r="P59" s="21" t="n"/>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c r="P60" s="21" t="n"/>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4" t="inlineStr">
        <is>
          <t>未着手</t>
        </is>
      </c>
      <c r="L61" s="19" t="n">
        <v>0</v>
      </c>
      <c r="M61" s="20" t="n">
        <v>2</v>
      </c>
      <c r="N61" s="16" t="inlineStr">
        <is>
          <t>構成案は作成済み</t>
        </is>
      </c>
      <c r="O61" s="16" t="inlineStr">
        <is>
          <t>計画書の確定</t>
        </is>
      </c>
      <c r="P61" s="21" t="n"/>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4" t="inlineStr">
        <is>
          <t>未着手</t>
        </is>
      </c>
      <c r="L62" s="19" t="n">
        <v>0</v>
      </c>
      <c r="M62" s="20" t="n">
        <v>2</v>
      </c>
      <c r="N62" s="16" t="inlineStr">
        <is>
          <t>**逆算表を作成済み。12月までに印刷業者を押さえる必要がある**</t>
        </is>
      </c>
      <c r="O62" s="16" t="inlineStr">
        <is>
          <t>校了</t>
        </is>
      </c>
      <c r="P62" s="21" t="n"/>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4" t="inlineStr">
        <is>
          <t>未着手</t>
        </is>
      </c>
      <c r="L63" s="19" t="n">
        <v>0</v>
      </c>
      <c r="M63" s="20" t="n">
        <v>1</v>
      </c>
      <c r="N63" s="16" t="inlineStr">
        <is>
          <t>―</t>
        </is>
      </c>
      <c r="O63" s="16" t="inlineStr">
        <is>
          <t>各成果品の確定</t>
        </is>
      </c>
      <c r="P63" s="21" t="n"/>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4" t="inlineStr">
        <is>
          <t>未着手</t>
        </is>
      </c>
      <c r="L64" s="19" t="n">
        <v>0</v>
      </c>
      <c r="M64" s="20" t="n">
        <v>1</v>
      </c>
      <c r="N64" s="16" t="inlineStr">
        <is>
          <t>―</t>
        </is>
      </c>
      <c r="O64" s="16" t="inlineStr">
        <is>
          <t>全成果品の完成</t>
        </is>
      </c>
      <c r="P64" s="21" t="n"/>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5">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5">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5">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5">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5">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5">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5">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5">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5">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5">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11</v>
      </c>
      <c r="B12" s="16" t="inlineStr">
        <is>
          <t>認知症施策推進基本計画の包含の形式が未決</t>
        </is>
      </c>
      <c r="C12" s="16" t="inlineStr">
        <is>
          <t>仕様書2(3)は包含を計画の構成要件と定める</t>
        </is>
      </c>
      <c r="D12" s="16" t="inlineStr">
        <is>
          <t>章立てが変わるため、素案の確定前に決める必要がある</t>
        </is>
      </c>
      <c r="E12" s="16" t="inlineStr">
        <is>
          <t>**基本的施策12項目との対応表を作成済み。分散＋対応表方式を提案**</t>
        </is>
      </c>
      <c r="F12" s="20" t="inlineStr">
        <is>
          <t>進行中</t>
        </is>
      </c>
    </row>
    <row r="13">
      <c r="A13" s="17" t="n">
        <v>12</v>
      </c>
      <c r="B13" s="16" t="inlineStr">
        <is>
          <t>成果品欄の「（７）」への参照</t>
        </is>
      </c>
      <c r="C13" s="16" t="inlineStr">
        <is>
          <t>成果品は（１）〜（６）だが、納品仕様欄に「※（７）のデータ（ＣＤ－Ｒ）１部、概要版印刷50部」との記載がある</t>
        </is>
      </c>
      <c r="D13" s="16" t="inlineStr">
        <is>
          <t>概要版の納品部数の解釈に関わる</t>
        </is>
      </c>
      <c r="E13" s="16" t="inlineStr">
        <is>
          <t>町に確認する（依頼票C2）</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5">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5">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5">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5">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5">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5">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5">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5">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5">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5">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5">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2026-09-15T10:28:05Z</dcterms:created>
  <dcterms:modified xmlns:dcterms="http://purl.org/dc/terms/" xmlns:xsi="http://www.w3.org/2001/XMLSchema-instance" xsi:type="dcterms:W3CDTF">2026-09-15T10:28:05Z</dcterms:modified>
</cp:coreProperties>
</file>