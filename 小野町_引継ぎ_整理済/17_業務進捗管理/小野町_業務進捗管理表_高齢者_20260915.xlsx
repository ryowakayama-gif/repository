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90</v>
      </c>
      <c r="M20" s="20" t="n">
        <v>2</v>
      </c>
      <c r="N20" s="16" t="inlineStr">
        <is>
          <t>**9月28日に市町村分の集計表と評価指標を受領し、小野町の得点を項目ごとに整理した（21_給付適正化・交付金／取りまとめ9章・22表・図4点）。****令和8年度交付金は537点／800点で全国平均454.8点を82点上回り、全国258位／1,536・県内13位／59である。****介護給付適正化（推進Ⅱ）は84点で全国平均を上回る強みであり、体制・取組68点は配点満点。主要3事業はいずれも実施されており、医療情報との突合は全保険者の上位1割。0点はケアプラン点検の実施割合（配点16点）だけである。****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**令和6年度のケアプラン点検の実施件数（0点の理由の特定）と、令和8年度の該当状況調査票の控え（体制・取組で得点した項目の根拠資料）**</t>
        </is>
      </c>
      <c r="P20" s="21" t="n"/>
      <c r="Q20" s="21" t="n"/>
      <c r="R20" s="21" t="n"/>
      <c r="S20" s="21" t="n"/>
      <c r="T20" s="21" t="n"/>
      <c r="U20" s="21" t="n"/>
      <c r="V20" s="21" t="n"/>
      <c r="W20" s="21" t="n"/>
    </row>
    <row r="21">
      <c r="A21" s="16" t="inlineStr">
        <is>
          <t>P3 給付費等の分析</t>
        </is>
      </c>
      <c r="B21" s="17" t="inlineStr">
        <is>
          <t>3-1</t>
        </is>
      </c>
      <c r="C21" s="16" t="inlineStr">
        <is>
          <t>給付費等分析結果報告書の作成</t>
        </is>
      </c>
      <c r="D21" s="16" t="inlineStr">
        <is>
          <t>サービス費目ごとの給付費・地域支援事業の分析、制度改正の影響</t>
        </is>
      </c>
      <c r="E21" s="16" t="inlineStr">
        <is>
          <t>B3 介護保険給付費等の分析</t>
        </is>
      </c>
      <c r="F21" s="17" t="inlineStr">
        <is>
          <t>仕様書4(1)②・成果品①</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1" s="17" t="inlineStr">
        <is>
          <t>受託者</t>
        </is>
      </c>
      <c r="I21" s="17" t="inlineStr">
        <is>
          <t>2026-07</t>
        </is>
      </c>
      <c r="J21" s="17" t="inlineStr">
        <is>
          <t>2026-11</t>
        </is>
      </c>
      <c r="K21" s="20" t="inlineStr">
        <is>
          <t>進行中</t>
        </is>
      </c>
      <c r="L21" s="19" t="n">
        <v>70</v>
      </c>
      <c r="M21" s="20" t="n">
        <v>5</v>
      </c>
      <c r="N21" s="16" t="inlineStr">
        <is>
          <t>**第5版（8章・44表・約29,500字）。**第9期計画との対比、施策体系との対応、認定者数20期系列と年齢階層別分解、令和7年度調査による検証まで整理</t>
        </is>
      </c>
      <c r="O21" s="16" t="inlineStr">
        <is>
          <t>町の給付実績（依頼票S1・S2）で数値を確定する</t>
        </is>
      </c>
      <c r="P21" s="21" t="n"/>
      <c r="Q21" s="21" t="n"/>
      <c r="R21" s="21" t="n"/>
      <c r="S21" s="21" t="n"/>
      <c r="T21" s="21" t="n"/>
      <c r="U21" s="21" t="n"/>
      <c r="V21" s="21" t="n"/>
      <c r="W21" s="21" t="n"/>
    </row>
    <row r="22">
      <c r="A22" s="16" t="inlineStr">
        <is>
          <t>P3 給付費等の分析</t>
        </is>
      </c>
      <c r="B22" s="17" t="inlineStr">
        <is>
          <t>3-2</t>
        </is>
      </c>
      <c r="C22" s="16" t="inlineStr">
        <is>
          <t>町の給付実績との突合</t>
        </is>
      </c>
      <c r="D22" s="16" t="inlineStr">
        <is>
          <t>見える化システムの値と町の給付実績の突合</t>
        </is>
      </c>
      <c r="E22" s="16" t="inlineStr">
        <is>
          <t>B3 介護保険給付費等の分析</t>
        </is>
      </c>
      <c r="F22" s="17" t="inlineStr">
        <is>
          <t>仕様書4(1)②</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2" s="17" t="inlineStr">
        <is>
          <t>受託者</t>
        </is>
      </c>
      <c r="I22" s="17" t="inlineStr">
        <is>
          <t>2026-09</t>
        </is>
      </c>
      <c r="J22" s="17" t="inlineStr">
        <is>
          <t>2026-10</t>
        </is>
      </c>
      <c r="K22" s="20" t="inlineStr">
        <is>
          <t>進行中</t>
        </is>
      </c>
      <c r="L22" s="19" t="n">
        <v>50</v>
      </c>
      <c r="M22" s="20" t="n">
        <v>3</v>
      </c>
      <c r="N22" s="16" t="inlineStr">
        <is>
          <t>**年報 様式2によりサービス別給付費（件数・単位数・費用額・給付費）の令和3〜7年度5年分を取得。様式1の6により受給者数も取得。**令和7年度の給付費総計は1,005,144,062円</t>
        </is>
      </c>
      <c r="O22" s="16" t="inlineStr">
        <is>
          <t>見える化システムの値との突合作業</t>
        </is>
      </c>
      <c r="P22" s="21" t="n"/>
      <c r="Q22" s="21" t="n"/>
      <c r="R22" s="21" t="n"/>
      <c r="S22" s="21" t="n"/>
      <c r="T22" s="21" t="n"/>
      <c r="U22" s="21" t="n"/>
      <c r="V22" s="21" t="n"/>
      <c r="W22" s="21" t="n"/>
    </row>
    <row r="23">
      <c r="A23" s="16" t="inlineStr">
        <is>
          <t>P3 給付費等の分析</t>
        </is>
      </c>
      <c r="B23" s="17" t="inlineStr">
        <is>
          <t>3-3</t>
        </is>
      </c>
      <c r="C23" s="16" t="inlineStr">
        <is>
          <t>成果品①の製本・納品</t>
        </is>
      </c>
      <c r="D23" s="16" t="inlineStr">
        <is>
          <t>データCD-R1部＋冊子（簡易製本）3部</t>
        </is>
      </c>
      <c r="E23" s="16" t="inlineStr">
        <is>
          <t>B9 成果品の納品</t>
        </is>
      </c>
      <c r="F23" s="17" t="inlineStr">
        <is>
          <t>仕様書4 成果品①</t>
        </is>
      </c>
      <c r="G23" s="16" t="inlineStr">
        <is>
          <t>【成果品①】（1）介護保険給付費等分析結果報告書　※データ（CD-R）1部、冊子（簡易製本）3部</t>
        </is>
      </c>
      <c r="H23" s="17" t="inlineStr">
        <is>
          <t>受託者</t>
        </is>
      </c>
      <c r="I23" s="17" t="inlineStr">
        <is>
          <t>2027-03</t>
        </is>
      </c>
      <c r="J23" s="17" t="inlineStr">
        <is>
          <t>2027-03</t>
        </is>
      </c>
      <c r="K23" s="24" t="inlineStr">
        <is>
          <t>未着手</t>
        </is>
      </c>
      <c r="L23" s="19" t="n">
        <v>0</v>
      </c>
      <c r="M23" s="20" t="n">
        <v>1</v>
      </c>
      <c r="N23" s="16" t="inlineStr">
        <is>
          <t>―</t>
        </is>
      </c>
      <c r="O23" s="16" t="inlineStr">
        <is>
          <t>報告書の確定</t>
        </is>
      </c>
      <c r="P23" s="21" t="n"/>
      <c r="Q23" s="21" t="n"/>
      <c r="R23" s="21" t="n"/>
      <c r="S23" s="21" t="n"/>
      <c r="T23" s="21" t="n"/>
      <c r="U23" s="21" t="n"/>
      <c r="V23" s="21" t="n"/>
      <c r="W23" s="21" t="n"/>
    </row>
    <row r="24">
      <c r="A24" s="16" t="inlineStr">
        <is>
          <t>P4 調査結果の反映</t>
        </is>
      </c>
      <c r="B24" s="17" t="inlineStr">
        <is>
          <t>4-1</t>
        </is>
      </c>
      <c r="C24" s="16" t="inlineStr">
        <is>
          <t>調査結果報告書の確認</t>
        </is>
      </c>
      <c r="D24" s="16" t="inlineStr">
        <is>
          <t>令和8年3月・104頁の報告書の内容確認と妥当性の検証</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3</v>
      </c>
      <c r="N24" s="16" t="inlineStr">
        <is>
          <t>単純集計とリスク分析（年齢階層別・男女別・認定状況別）を取得。報告書内の不整合3件を指摘</t>
        </is>
      </c>
      <c r="O24" s="16" t="inlineStr">
        <is>
          <t>―</t>
        </is>
      </c>
      <c r="P24" s="21" t="n"/>
      <c r="Q24" s="21" t="n"/>
      <c r="R24" s="21" t="n"/>
      <c r="S24" s="21" t="n"/>
      <c r="T24" s="21" t="n"/>
      <c r="U24" s="21" t="n"/>
      <c r="V24" s="21" t="n"/>
      <c r="W24" s="21" t="n"/>
    </row>
    <row r="25">
      <c r="A25" s="16" t="inlineStr">
        <is>
          <t>P4 調査結果の反映</t>
        </is>
      </c>
      <c r="B25" s="17" t="inlineStr">
        <is>
          <t>4-2</t>
        </is>
      </c>
      <c r="C25" s="16" t="inlineStr">
        <is>
          <t>集計データの整理</t>
        </is>
      </c>
      <c r="D25" s="16" t="inlineStr">
        <is>
          <t>リスク10項目×9区分の保持</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2</v>
      </c>
      <c r="N25" s="16" t="inlineStr">
        <is>
          <t>集計データ整理ブック（14_アンケート集計・9シート）</t>
        </is>
      </c>
      <c r="O25" s="16" t="inlineStr">
        <is>
          <t>―</t>
        </is>
      </c>
      <c r="P25" s="21" t="n"/>
      <c r="Q25" s="21" t="n"/>
      <c r="R25" s="21" t="n"/>
      <c r="S25" s="21" t="n"/>
      <c r="T25" s="21" t="n"/>
      <c r="U25" s="21" t="n"/>
      <c r="V25" s="21" t="n"/>
      <c r="W25" s="21" t="n"/>
    </row>
    <row r="26">
      <c r="A26" s="16" t="inlineStr">
        <is>
          <t>P4 調査結果の反映</t>
        </is>
      </c>
      <c r="B26" s="17" t="inlineStr">
        <is>
          <t>4-3</t>
        </is>
      </c>
      <c r="C26" s="16" t="inlineStr">
        <is>
          <t>集計結果・分析報告書の作成</t>
        </is>
      </c>
      <c r="D26" s="16" t="inlineStr">
        <is>
          <t>単純集計、リスク分析、前回対比、8つの分析、第9期課題への到達状況、第10期への示唆</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4</v>
      </c>
      <c r="N26" s="16" t="inlineStr">
        <is>
          <t>**7章・72表・約27,800字（14_アンケート集計）**</t>
        </is>
      </c>
      <c r="O26" s="16" t="inlineStr">
        <is>
          <t>―</t>
        </is>
      </c>
      <c r="P26" s="21" t="n"/>
      <c r="Q26" s="21" t="n"/>
      <c r="R26" s="21" t="n"/>
      <c r="S26" s="21" t="n"/>
      <c r="T26" s="21" t="n"/>
      <c r="U26" s="21" t="n"/>
      <c r="V26" s="21" t="n"/>
      <c r="W26" s="21" t="n"/>
    </row>
    <row r="27">
      <c r="A27" s="16" t="inlineStr">
        <is>
          <t>P4 調査結果の反映</t>
        </is>
      </c>
      <c r="B27" s="17" t="inlineStr">
        <is>
          <t>4-4</t>
        </is>
      </c>
      <c r="C27" s="16" t="inlineStr">
        <is>
          <t>クロス集計の設計</t>
        </is>
      </c>
      <c r="D27" s="16" t="inlineStr">
        <is>
          <t>前回計画の課題に基づくクロス集計25件の設計</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2</v>
      </c>
      <c r="N27" s="16" t="inlineStr">
        <is>
          <t>クロス集計設計書（8シート・25件）。4件掲載済、17件が個票を要し、4件は設問なし</t>
        </is>
      </c>
      <c r="O27" s="16" t="inlineStr">
        <is>
          <t>―</t>
        </is>
      </c>
      <c r="P27" s="21" t="n"/>
      <c r="Q27" s="21" t="n"/>
      <c r="R27" s="21" t="n"/>
      <c r="S27" s="21" t="n"/>
      <c r="T27" s="21" t="n"/>
      <c r="U27" s="21" t="n"/>
      <c r="V27" s="21" t="n"/>
      <c r="W27" s="21" t="n"/>
    </row>
    <row r="28">
      <c r="A28" s="16" t="inlineStr">
        <is>
          <t>P4 調査結果の反映</t>
        </is>
      </c>
      <c r="B28" s="17" t="inlineStr">
        <is>
          <t>4-5</t>
        </is>
      </c>
      <c r="C28" s="16" t="inlineStr">
        <is>
          <t>個票によるクロス集計</t>
        </is>
      </c>
      <c r="D28" s="16" t="inlineStr">
        <is>
          <t>要介護度別・世帯構成別のクロス集計17件</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2026-09</t>
        </is>
      </c>
      <c r="J28" s="17" t="inlineStr">
        <is>
          <t>2026-10</t>
        </is>
      </c>
      <c r="K28" s="23" t="inlineStr">
        <is>
          <t>データ待ち</t>
        </is>
      </c>
      <c r="L28" s="19" t="n">
        <v>0</v>
      </c>
      <c r="M28" s="20" t="n">
        <v>3</v>
      </c>
      <c r="N28" s="16" t="inlineStr">
        <is>
          <t>―</t>
        </is>
      </c>
      <c r="O28" s="16" t="inlineStr">
        <is>
          <t>**令和7年度調査の個票データ（依頼票H16）。地区情報の有無も要確認**</t>
        </is>
      </c>
      <c r="P28" s="21" t="n"/>
      <c r="Q28" s="21" t="n"/>
      <c r="R28" s="21" t="n"/>
      <c r="S28" s="21" t="n"/>
      <c r="T28" s="21" t="n"/>
      <c r="U28" s="21" t="n"/>
      <c r="V28" s="21" t="n"/>
      <c r="W28" s="21" t="n"/>
    </row>
    <row r="29">
      <c r="A29" s="16" t="inlineStr">
        <is>
          <t>P4 調査結果の反映</t>
        </is>
      </c>
      <c r="B29" s="17" t="inlineStr">
        <is>
          <t>4-6</t>
        </is>
      </c>
      <c r="C29" s="16" t="inlineStr">
        <is>
          <t>レッドチームレビュー</t>
        </is>
      </c>
      <c r="D29" s="16" t="inlineStr">
        <is>
          <t>集計・分析の反証検証</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2026-08</t>
        </is>
      </c>
      <c r="J29" s="17" t="inlineStr">
        <is>
          <t>2026-08</t>
        </is>
      </c>
      <c r="K29" s="18" t="inlineStr">
        <is>
          <t>完了</t>
        </is>
      </c>
      <c r="L29" s="19" t="n">
        <v>100</v>
      </c>
      <c r="M29" s="20" t="n">
        <v>1</v>
      </c>
      <c r="N29" s="16" t="inlineStr">
        <is>
          <t>REDTEAM 2本（14_アンケート集計）。数値の取り違え1件を自己検出し修正</t>
        </is>
      </c>
      <c r="O29" s="16" t="inlineStr">
        <is>
          <t>―</t>
        </is>
      </c>
      <c r="P29" s="21" t="n"/>
      <c r="Q29" s="21" t="n"/>
      <c r="R29" s="21" t="n"/>
      <c r="S29" s="21" t="n"/>
      <c r="T29" s="21" t="n"/>
      <c r="U29" s="21" t="n"/>
      <c r="V29" s="21" t="n"/>
      <c r="W29" s="21" t="n"/>
    </row>
    <row r="30">
      <c r="A30" s="16" t="inlineStr">
        <is>
          <t>P5 第9期の評価</t>
        </is>
      </c>
      <c r="B30" s="17" t="inlineStr">
        <is>
          <t>5-1</t>
        </is>
      </c>
      <c r="C30" s="16" t="inlineStr">
        <is>
          <t>協議会資料（第9期評価・調査結果）の作成</t>
        </is>
      </c>
      <c r="D30" s="16" t="inlineStr">
        <is>
          <t>第9期が第5章2(2)で自ら定める4点検項目に沿って評価</t>
        </is>
      </c>
      <c r="E30" s="16" t="inlineStr">
        <is>
          <t>B3 介護保険給付費等の分析</t>
        </is>
      </c>
      <c r="F30" s="17" t="inlineStr">
        <is>
          <t>仕様書4(1)②・4(5)</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0" s="17" t="inlineStr">
        <is>
          <t>受託者</t>
        </is>
      </c>
      <c r="I30" s="17" t="inlineStr">
        <is>
          <t>2026-08</t>
        </is>
      </c>
      <c r="J30" s="17" t="inlineStr">
        <is>
          <t>2026-08</t>
        </is>
      </c>
      <c r="K30" s="18" t="inlineStr">
        <is>
          <t>完了</t>
        </is>
      </c>
      <c r="L30" s="19" t="n">
        <v>100</v>
      </c>
      <c r="M30" s="20" t="n">
        <v>4</v>
      </c>
      <c r="N30" s="16" t="inlineStr">
        <is>
          <t>**協議会資料（08_協議会資料・42表・約23,500字）**</t>
        </is>
      </c>
      <c r="O30" s="16" t="inlineStr">
        <is>
          <t>―</t>
        </is>
      </c>
      <c r="P30" s="21" t="n"/>
      <c r="Q30" s="21" t="n"/>
      <c r="R30" s="21" t="n"/>
      <c r="S30" s="21" t="n"/>
      <c r="T30" s="21" t="n"/>
      <c r="U30" s="21" t="n"/>
      <c r="V30" s="21" t="n"/>
      <c r="W30" s="21" t="n"/>
    </row>
    <row r="31">
      <c r="A31" s="16" t="inlineStr">
        <is>
          <t>P5 第9期の評価</t>
        </is>
      </c>
      <c r="B31" s="17" t="inlineStr">
        <is>
          <t>5-2</t>
        </is>
      </c>
      <c r="C31" s="16" t="inlineStr">
        <is>
          <t>成果目標の達成状況の確定</t>
        </is>
      </c>
      <c r="D31" s="16" t="inlineStr">
        <is>
          <t>第9期の見込みと実績の対比</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t>
        </is>
      </c>
      <c r="I31" s="17" t="inlineStr">
        <is>
          <t>2026-09</t>
        </is>
      </c>
      <c r="J31" s="17" t="inlineStr">
        <is>
          <t>2026-10</t>
        </is>
      </c>
      <c r="K31" s="20" t="inlineStr">
        <is>
          <t>進行中</t>
        </is>
      </c>
      <c r="L31" s="19" t="n">
        <v>90</v>
      </c>
      <c r="M31" s="20" t="n">
        <v>3</v>
      </c>
      <c r="N31"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1" s="16" t="inlineStr">
        <is>
          <t>**地域支援事業費の実績（年報 様式4の令和6・7年度が未入力。依頼票H3）と成果指標の現状値（H1〜H15）。令和8年度は年度途中のため令和9年夏の年報を待つ**</t>
        </is>
      </c>
      <c r="P31" s="21" t="n"/>
      <c r="Q31" s="21" t="n"/>
      <c r="R31" s="21" t="n"/>
      <c r="S31" s="21" t="n"/>
      <c r="T31" s="21" t="n"/>
      <c r="U31" s="21" t="n"/>
      <c r="V31" s="21" t="n"/>
      <c r="W31" s="21" t="n"/>
    </row>
    <row r="32">
      <c r="A32" s="16" t="inlineStr">
        <is>
          <t>P5 第9期の評価</t>
        </is>
      </c>
      <c r="B32" s="17" t="inlineStr">
        <is>
          <t>5-3</t>
        </is>
      </c>
      <c r="C32" s="16" t="inlineStr">
        <is>
          <t>施設整備方針との不整合の確認</t>
        </is>
      </c>
      <c r="D32" s="16" t="inlineStr">
        <is>
          <t>第9期は新規整備を行わない方針だが、認知症対応型共同生活介護の定員が27人（38.0％）増</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受託者・町</t>
        </is>
      </c>
      <c r="I32" s="17" t="inlineStr">
        <is>
          <t>2026-09</t>
        </is>
      </c>
      <c r="J32" s="17" t="inlineStr">
        <is>
          <t>2026-09</t>
        </is>
      </c>
      <c r="K32" s="24" t="inlineStr">
        <is>
          <t>未着手</t>
        </is>
      </c>
      <c r="L32" s="19" t="n">
        <v>0</v>
      </c>
      <c r="M32" s="20" t="n">
        <v>1</v>
      </c>
      <c r="N32" s="16" t="inlineStr">
        <is>
          <t>―</t>
        </is>
      </c>
      <c r="O32" s="16" t="inlineStr">
        <is>
          <t>整備の経緯の確認（依頼票H15）</t>
        </is>
      </c>
      <c r="P32" s="21" t="n"/>
      <c r="Q32" s="21" t="n"/>
      <c r="R32" s="21" t="n"/>
      <c r="S32" s="21" t="n"/>
      <c r="T32" s="21" t="n"/>
      <c r="U32" s="21" t="n"/>
      <c r="V32" s="21" t="n"/>
      <c r="W32" s="21" t="n"/>
    </row>
    <row r="33">
      <c r="A33" s="16" t="inlineStr">
        <is>
          <t>P6 骨子案</t>
        </is>
      </c>
      <c r="B33" s="17" t="inlineStr">
        <is>
          <t>6-1</t>
        </is>
      </c>
      <c r="C33" s="16" t="inlineStr">
        <is>
          <t>骨子案の作成</t>
        </is>
      </c>
      <c r="D33" s="16" t="inlineStr">
        <is>
          <t>基本課題・施策方向・重点課題・施策体系</t>
        </is>
      </c>
      <c r="E33" s="16" t="inlineStr">
        <is>
          <t>B6 骨子案・素案の作成</t>
        </is>
      </c>
      <c r="F33" s="17" t="inlineStr">
        <is>
          <t>仕様書4(3)・成果品③</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3" s="17" t="inlineStr">
        <is>
          <t>受託者</t>
        </is>
      </c>
      <c r="I33" s="17" t="inlineStr">
        <is>
          <t>2026-07</t>
        </is>
      </c>
      <c r="J33" s="17" t="inlineStr">
        <is>
          <t>2026-11</t>
        </is>
      </c>
      <c r="K33" s="20" t="inlineStr">
        <is>
          <t>進行中</t>
        </is>
      </c>
      <c r="L33" s="19" t="n">
        <v>80</v>
      </c>
      <c r="M33" s="20" t="n">
        <v>4</v>
      </c>
      <c r="N33" s="16" t="inlineStr">
        <is>
          <t>**第3版（13表・9,241字）。**第9期の5章構成・3基本目標・14施策を反映し、地域福祉計画との重複を精査。第9期の見込みと実績の対比も収載</t>
        </is>
      </c>
      <c r="O33" s="16" t="inlineStr">
        <is>
          <t>実績データによる数値の確定</t>
        </is>
      </c>
      <c r="P33" s="21" t="n"/>
      <c r="Q33" s="21" t="n"/>
      <c r="R33" s="21" t="n"/>
      <c r="S33" s="21" t="n"/>
      <c r="T33" s="21" t="n"/>
      <c r="U33" s="21" t="n"/>
      <c r="V33" s="21" t="n"/>
      <c r="W33" s="21" t="n"/>
    </row>
    <row r="34">
      <c r="A34" s="16" t="inlineStr">
        <is>
          <t>P6 骨子案</t>
        </is>
      </c>
      <c r="B34" s="17" t="inlineStr">
        <is>
          <t>6-2</t>
        </is>
      </c>
      <c r="C34" s="16" t="inlineStr">
        <is>
          <t>骨子案の協議（協議会）</t>
        </is>
      </c>
      <c r="D34" s="16" t="inlineStr">
        <is>
          <t>基本理念・基本目標・施策体系の合意</t>
        </is>
      </c>
      <c r="E34" s="16" t="inlineStr">
        <is>
          <t>B6 骨子案・素案の作成</t>
        </is>
      </c>
      <c r="F34" s="17" t="inlineStr">
        <is>
          <t>仕様書4(3)・4(5)</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4" s="17" t="inlineStr">
        <is>
          <t>受託者・町</t>
        </is>
      </c>
      <c r="I34" s="17" t="inlineStr">
        <is>
          <t>2026-11</t>
        </is>
      </c>
      <c r="J34" s="17" t="inlineStr">
        <is>
          <t>2026-11</t>
        </is>
      </c>
      <c r="K34" s="24" t="inlineStr">
        <is>
          <t>未着手</t>
        </is>
      </c>
      <c r="L34" s="19" t="n">
        <v>0</v>
      </c>
      <c r="M34" s="20" t="n">
        <v>2</v>
      </c>
      <c r="N34" s="16" t="inlineStr">
        <is>
          <t>―</t>
        </is>
      </c>
      <c r="O34" s="16" t="inlineStr">
        <is>
          <t>**協議会の開催回数・時期が未定（依頼票C4）**</t>
        </is>
      </c>
      <c r="P34" s="21" t="n"/>
      <c r="Q34" s="21" t="n"/>
      <c r="R34" s="21" t="n"/>
      <c r="S34" s="21" t="n"/>
      <c r="T34" s="21" t="n"/>
      <c r="U34" s="21" t="n"/>
      <c r="V34" s="21" t="n"/>
      <c r="W34" s="21" t="n"/>
    </row>
    <row r="35">
      <c r="A35" s="16" t="inlineStr">
        <is>
          <t>P6 骨子案</t>
        </is>
      </c>
      <c r="B35" s="17" t="inlineStr">
        <is>
          <t>6-3</t>
        </is>
      </c>
      <c r="C35" s="16" t="inlineStr">
        <is>
          <t>成果品③の製本・納品</t>
        </is>
      </c>
      <c r="D35" s="16" t="inlineStr">
        <is>
          <t>データCD-R1部＋冊子（簡易製本）3部</t>
        </is>
      </c>
      <c r="E35" s="16" t="inlineStr">
        <is>
          <t>B9 成果品の納品</t>
        </is>
      </c>
      <c r="F35" s="17" t="inlineStr">
        <is>
          <t>仕様書4 成果品③</t>
        </is>
      </c>
      <c r="G35" s="16" t="inlineStr">
        <is>
          <t>【成果品③】（3）小野町高齢者保健福祉計画・第10期介護保険事業計画骨子案　※データ（CD-R）1部、冊子（簡易製本）3部</t>
        </is>
      </c>
      <c r="H35" s="17" t="inlineStr">
        <is>
          <t>受託者</t>
        </is>
      </c>
      <c r="I35" s="17" t="inlineStr">
        <is>
          <t>2027-03</t>
        </is>
      </c>
      <c r="J35" s="17" t="inlineStr">
        <is>
          <t>2027-03</t>
        </is>
      </c>
      <c r="K35" s="24" t="inlineStr">
        <is>
          <t>未着手</t>
        </is>
      </c>
      <c r="L35" s="19" t="n">
        <v>0</v>
      </c>
      <c r="M35" s="20" t="n">
        <v>1</v>
      </c>
      <c r="N35" s="16" t="inlineStr">
        <is>
          <t>―</t>
        </is>
      </c>
      <c r="O35" s="16" t="inlineStr">
        <is>
          <t>骨子案の確定</t>
        </is>
      </c>
      <c r="P35" s="21" t="n"/>
      <c r="Q35" s="21" t="n"/>
      <c r="R35" s="21" t="n"/>
      <c r="S35" s="21" t="n"/>
      <c r="T35" s="21" t="n"/>
      <c r="U35" s="21" t="n"/>
      <c r="V35" s="21" t="n"/>
      <c r="W35" s="21" t="n"/>
    </row>
    <row r="36">
      <c r="A36" s="16" t="inlineStr">
        <is>
          <t>P7 推計・算定</t>
        </is>
      </c>
      <c r="B36" s="17" t="inlineStr">
        <is>
          <t>7-1</t>
        </is>
      </c>
      <c r="C36" s="16" t="inlineStr">
        <is>
          <t>算定シートの構築</t>
        </is>
      </c>
      <c r="D36" s="16" t="inlineStr">
        <is>
          <t>サービス54区分の単価×量から給付費、標準給付費、保険料までを算式でつなぐ</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4</v>
      </c>
      <c r="N36" s="16" t="inlineStr">
        <is>
          <t>**見込量保険料算定シート（04_算定・見込量・11シート）。**第9期の実数で検算済み（月額6,865円 対 計画の算定値6,886円。差0.3％）</t>
        </is>
      </c>
      <c r="O36" s="16" t="inlineStr">
        <is>
          <t>―</t>
        </is>
      </c>
      <c r="P36" s="21" t="n"/>
      <c r="Q36" s="21" t="n"/>
      <c r="R36" s="21" t="n"/>
      <c r="S36" s="21" t="n"/>
      <c r="T36" s="21" t="n"/>
      <c r="U36" s="21" t="n"/>
      <c r="V36" s="21" t="n"/>
      <c r="W36" s="21" t="n"/>
    </row>
    <row r="37">
      <c r="A37" s="16" t="inlineStr">
        <is>
          <t>P7 推計・算定</t>
        </is>
      </c>
      <c r="B37" s="17" t="inlineStr">
        <is>
          <t>7-2</t>
        </is>
      </c>
      <c r="C37" s="16" t="inlineStr">
        <is>
          <t>保険料算定のケース設定の確定</t>
        </is>
      </c>
      <c r="D37" s="16" t="inlineStr">
        <is>
          <t>標準（低位・高位）、施設整備あり、制度改正の影響、基金活用、保険料据置の逆算</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2</v>
      </c>
      <c r="N37" s="16" t="inlineStr">
        <is>
          <t>**C1〜C6。引継ぎ時点の3ケースは基金の扱いのみで、仕様書が例示する施設整備・制度改正に対応していなかった**</t>
        </is>
      </c>
      <c r="O37" s="16" t="inlineStr">
        <is>
          <t>―</t>
        </is>
      </c>
      <c r="P37" s="21" t="n"/>
      <c r="Q37" s="21" t="n"/>
      <c r="R37" s="21" t="n"/>
      <c r="S37" s="21" t="n"/>
      <c r="T37" s="21" t="n"/>
      <c r="U37" s="21" t="n"/>
      <c r="V37" s="21" t="n"/>
      <c r="W37" s="21" t="n"/>
    </row>
    <row r="38">
      <c r="A38" s="16" t="inlineStr">
        <is>
          <t>P7 推計・算定</t>
        </is>
      </c>
      <c r="B38" s="17" t="inlineStr">
        <is>
          <t>7-3</t>
        </is>
      </c>
      <c r="C38" s="16" t="inlineStr">
        <is>
          <t>被保険者数・認定者数の推計</t>
        </is>
      </c>
      <c r="D38" s="16" t="inlineStr">
        <is>
          <t>人口推計に年齢階層別の認定率を乗じる自然体推計</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2026-10</t>
        </is>
      </c>
      <c r="K38" s="20" t="inlineStr">
        <is>
          <t>進行中</t>
        </is>
      </c>
      <c r="L38" s="19" t="n">
        <v>40</v>
      </c>
      <c r="M38" s="20" t="n">
        <v>4</v>
      </c>
      <c r="N38"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8"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8" s="21" t="n"/>
      <c r="Q38" s="21" t="n"/>
      <c r="R38" s="21" t="n"/>
      <c r="S38" s="21" t="n"/>
      <c r="T38" s="21" t="n"/>
      <c r="U38" s="21" t="n"/>
      <c r="V38" s="21" t="n"/>
      <c r="W38" s="21" t="n"/>
    </row>
    <row r="39">
      <c r="A39" s="16" t="inlineStr">
        <is>
          <t>P7 推計・算定</t>
        </is>
      </c>
      <c r="B39" s="17" t="inlineStr">
        <is>
          <t>7-4</t>
        </is>
      </c>
      <c r="C39" s="16" t="inlineStr">
        <is>
          <t>サービス見込量の推計</t>
        </is>
      </c>
      <c r="D39" s="16" t="inlineStr">
        <is>
          <t>サービス種類別の利用者数・量・給付費</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2026-11</t>
        </is>
      </c>
      <c r="K39" s="18" t="inlineStr">
        <is>
          <t>完了</t>
        </is>
      </c>
      <c r="L39" s="19" t="n">
        <v>100</v>
      </c>
      <c r="M39" s="20" t="n">
        <v>5</v>
      </c>
      <c r="N39"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9"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9"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9"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9"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9"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9"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9"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39"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9"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0">
      <c r="A40" s="16" t="inlineStr">
        <is>
          <t>P7 推計・算定</t>
        </is>
      </c>
      <c r="B40" s="17" t="inlineStr">
        <is>
          <t>7-5</t>
        </is>
      </c>
      <c r="C40" s="16" t="inlineStr">
        <is>
          <t>見える化システムへの入力作業</t>
        </is>
      </c>
      <c r="D40" s="16" t="inlineStr">
        <is>
          <t>将来推計機能への入力と総括表の出力。出力の分析だけでなく入力が業務に含まれる</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2026-10</t>
        </is>
      </c>
      <c r="K40" s="22" t="inlineStr">
        <is>
          <t>要対応</t>
        </is>
      </c>
      <c r="L40" s="19" t="n">
        <v>15</v>
      </c>
      <c r="M40" s="20" t="n">
        <v>3</v>
      </c>
      <c r="N40"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0"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0"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40" s="21" t="n"/>
      <c r="R40" s="21" t="n"/>
      <c r="S40" s="21" t="n"/>
      <c r="T40" s="21" t="n"/>
      <c r="U40" s="21" t="n"/>
      <c r="V40" s="21" t="n"/>
      <c r="W40" s="21" t="n"/>
    </row>
    <row r="41">
      <c r="A41" s="16" t="inlineStr">
        <is>
          <t>P7 推計・算定</t>
        </is>
      </c>
      <c r="B41" s="17" t="inlineStr">
        <is>
          <t>7-6</t>
        </is>
      </c>
      <c r="C41" s="16" t="inlineStr">
        <is>
          <t>保険料のケース別算定</t>
        </is>
      </c>
      <c r="D41" s="16" t="inlineStr">
        <is>
          <t>ケースC1〜C6ごとの保険料基準額の算定</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2026-10</t>
        </is>
      </c>
      <c r="J41" s="17" t="inlineStr">
        <is>
          <t>2026-11</t>
        </is>
      </c>
      <c r="K41" s="20" t="inlineStr">
        <is>
          <t>進行中</t>
        </is>
      </c>
      <c r="L41" s="19" t="n">
        <v>80</v>
      </c>
      <c r="M41" s="20" t="n">
        <v>4</v>
      </c>
      <c r="N41" s="16" t="inlineStr">
        <is>
          <t>**所得段階別被保険者数（13段階）、小野町が定める保険料率（第1〜3段階は0.285／0.485／0.685で国の標準より低い）、収納率99.35％、基金保有額12,000千円を投入済み。地域支援事業費は年報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1"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1" s="21" t="n"/>
      <c r="Q41" s="21" t="n"/>
      <c r="R41" s="21" t="n"/>
      <c r="S41" s="21" t="n"/>
      <c r="T41" s="21" t="n"/>
      <c r="U41" s="21" t="n"/>
      <c r="V41" s="21" t="n"/>
      <c r="W41" s="21" t="n"/>
    </row>
    <row r="42">
      <c r="A42" s="16" t="inlineStr">
        <is>
          <t>P7 推計・算定</t>
        </is>
      </c>
      <c r="B42" s="17" t="inlineStr">
        <is>
          <t>7-7</t>
        </is>
      </c>
      <c r="C42" s="16" t="inlineStr">
        <is>
          <t>サービス見込量推計結果報告書の作成</t>
        </is>
      </c>
      <c r="D42" s="16" t="inlineStr">
        <is>
          <t>成果品②の本体</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2026-11</t>
        </is>
      </c>
      <c r="J42" s="17" t="inlineStr">
        <is>
          <t>2026-12</t>
        </is>
      </c>
      <c r="K42" s="20" t="inlineStr">
        <is>
          <t>進行中</t>
        </is>
      </c>
      <c r="L42" s="19" t="n">
        <v>60</v>
      </c>
      <c r="M42" s="20" t="n">
        <v>4</v>
      </c>
      <c r="N42"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2" s="16" t="inlineStr">
        <is>
          <t>**報酬改定率と第1号被保険者負担割合が確定したら数値を差し替える。**あわせて、協議会での議論を踏まえた記述の追加</t>
        </is>
      </c>
      <c r="P42" s="21" t="n"/>
      <c r="Q42" s="21" t="n"/>
      <c r="R42" s="21" t="n"/>
      <c r="S42" s="21" t="n"/>
      <c r="T42" s="21" t="n"/>
      <c r="U42" s="21" t="n"/>
      <c r="V42" s="21" t="n"/>
      <c r="W42" s="21" t="n"/>
    </row>
    <row r="43">
      <c r="A43" s="16" t="inlineStr">
        <is>
          <t>P7 推計・算定</t>
        </is>
      </c>
      <c r="B43" s="17" t="inlineStr">
        <is>
          <t>7-8</t>
        </is>
      </c>
      <c r="C43" s="16" t="inlineStr">
        <is>
          <t>成果品②の製本・納品</t>
        </is>
      </c>
      <c r="D43" s="16" t="inlineStr">
        <is>
          <t>データCD-R1部＋冊子（簡易製本）3部</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2027-03</t>
        </is>
      </c>
      <c r="J43" s="17" t="inlineStr">
        <is>
          <t>2027-03</t>
        </is>
      </c>
      <c r="K43" s="24" t="inlineStr">
        <is>
          <t>未着手</t>
        </is>
      </c>
      <c r="L43" s="19" t="n">
        <v>0</v>
      </c>
      <c r="M43" s="20" t="n">
        <v>1</v>
      </c>
      <c r="N43" s="16" t="inlineStr">
        <is>
          <t>―</t>
        </is>
      </c>
      <c r="O43" s="16" t="inlineStr">
        <is>
          <t>報告書の確定</t>
        </is>
      </c>
      <c r="P43" s="21" t="n"/>
      <c r="Q43" s="21" t="n"/>
      <c r="R43" s="21" t="n"/>
      <c r="S43" s="21" t="n"/>
      <c r="T43" s="21" t="n"/>
      <c r="U43" s="21" t="n"/>
      <c r="V43" s="21" t="n"/>
      <c r="W43" s="21" t="n"/>
    </row>
    <row r="44">
      <c r="A44" s="16" t="inlineStr">
        <is>
          <t>P8 素案</t>
        </is>
      </c>
      <c r="B44" s="17" t="inlineStr">
        <is>
          <t>8-1</t>
        </is>
      </c>
      <c r="C44" s="16" t="inlineStr">
        <is>
          <t>素案の作成</t>
        </is>
      </c>
      <c r="D44" s="16" t="inlineStr">
        <is>
          <t>骨子案を踏まえた計画素案。12施策の本文</t>
        </is>
      </c>
      <c r="E44" s="16" t="inlineStr">
        <is>
          <t>B6 骨子案・素案の作成</t>
        </is>
      </c>
      <c r="F44" s="17" t="inlineStr">
        <is>
          <t>仕様書4(3)・成果品④</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4" s="17" t="inlineStr">
        <is>
          <t>受託者</t>
        </is>
      </c>
      <c r="I44" s="17" t="inlineStr">
        <is>
          <t>2026-08</t>
        </is>
      </c>
      <c r="J44" s="17" t="inlineStr">
        <is>
          <t>2026-12</t>
        </is>
      </c>
      <c r="K44" s="20" t="inlineStr">
        <is>
          <t>進行中</t>
        </is>
      </c>
      <c r="L44" s="19" t="n">
        <v>85</v>
      </c>
      <c r="M44" s="20" t="n">
        <v>5</v>
      </c>
      <c r="N44" s="16" t="inlineStr">
        <is>
          <t>**第5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4"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4"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4" s="21" t="n"/>
      <c r="R44" s="21" t="n"/>
      <c r="S44" s="21" t="n"/>
      <c r="T44" s="21" t="n"/>
      <c r="U44" s="21" t="n"/>
      <c r="V44" s="21" t="n"/>
      <c r="W44" s="21" t="n"/>
    </row>
    <row r="45">
      <c r="A45" s="16" t="inlineStr">
        <is>
          <t>P8 素案</t>
        </is>
      </c>
      <c r="B45" s="17" t="inlineStr">
        <is>
          <t>8-2</t>
        </is>
      </c>
      <c r="C45" s="16" t="inlineStr">
        <is>
          <t>成果指標の目標値案の作成</t>
        </is>
      </c>
      <c r="D45" s="16" t="inlineStr">
        <is>
          <t>40指標の目標値案と根拠の型</t>
        </is>
      </c>
      <c r="E45" s="16" t="inlineStr">
        <is>
          <t>B6 骨子案・素案の作成</t>
        </is>
      </c>
      <c r="F45" s="17" t="inlineStr">
        <is>
          <t>仕様書4(3)</t>
        </is>
      </c>
      <c r="G4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5" s="17" t="inlineStr">
        <is>
          <t>受託者</t>
        </is>
      </c>
      <c r="I45" s="17" t="inlineStr">
        <is>
          <t>2026-08</t>
        </is>
      </c>
      <c r="J45" s="17" t="inlineStr">
        <is>
          <t>2026-08</t>
        </is>
      </c>
      <c r="K45" s="18" t="inlineStr">
        <is>
          <t>完了</t>
        </is>
      </c>
      <c r="L45" s="19" t="n">
        <v>100</v>
      </c>
      <c r="M45" s="20" t="n">
        <v>3</v>
      </c>
      <c r="N45" s="16" t="inlineStr">
        <is>
          <t>**成果指標目標値案（03_計画素案・40指標）。**現状値が未受領の20指標は算定規則として案を置いた</t>
        </is>
      </c>
      <c r="O45" s="16" t="inlineStr">
        <is>
          <t>―</t>
        </is>
      </c>
      <c r="P45" s="21" t="n"/>
      <c r="Q45" s="21" t="n"/>
      <c r="R45" s="21" t="n"/>
      <c r="S45" s="21" t="n"/>
      <c r="T45" s="21" t="n"/>
      <c r="U45" s="21" t="n"/>
      <c r="V45" s="21" t="n"/>
      <c r="W45" s="21" t="n"/>
    </row>
    <row r="46">
      <c r="A46" s="16" t="inlineStr">
        <is>
          <t>P8 素案</t>
        </is>
      </c>
      <c r="B46" s="17" t="inlineStr">
        <is>
          <t>8-3</t>
        </is>
      </c>
      <c r="C46" s="16" t="inlineStr">
        <is>
          <t>認知症施策推進基本計画の包含方針</t>
        </is>
      </c>
      <c r="D46" s="16" t="inlineStr">
        <is>
          <t>基本的施策12項目との対応表、包含の形式</t>
        </is>
      </c>
      <c r="E46" s="16" t="inlineStr">
        <is>
          <t>B10 業務管理・計画の基本的な考え方</t>
        </is>
      </c>
      <c r="F46" s="17" t="inlineStr">
        <is>
          <t>仕様書2(3)</t>
        </is>
      </c>
      <c r="G46" s="16" t="inlineStr">
        <is>
          <t>【2(3)】国の「認知症施策推進基本計画」に基づく市町村計画も包含する計画とする。</t>
        </is>
      </c>
      <c r="H46" s="17" t="inlineStr">
        <is>
          <t>受託者</t>
        </is>
      </c>
      <c r="I46" s="17" t="inlineStr">
        <is>
          <t>2026-08</t>
        </is>
      </c>
      <c r="J46" s="17" t="inlineStr">
        <is>
          <t>2026-08</t>
        </is>
      </c>
      <c r="K46" s="18" t="inlineStr">
        <is>
          <t>完了</t>
        </is>
      </c>
      <c r="L46" s="19" t="n">
        <v>100</v>
      </c>
      <c r="M46" s="20" t="n">
        <v>2</v>
      </c>
      <c r="N46"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6"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6" s="21" t="n"/>
      <c r="Q46" s="21" t="n"/>
      <c r="R46" s="21" t="n"/>
      <c r="S46" s="21" t="n"/>
      <c r="T46" s="21" t="n"/>
      <c r="U46" s="21" t="n"/>
      <c r="V46" s="21" t="n"/>
      <c r="W46" s="21" t="n"/>
    </row>
    <row r="47">
      <c r="A47" s="16" t="inlineStr">
        <is>
          <t>P8 素案</t>
        </is>
      </c>
      <c r="B47" s="17" t="inlineStr">
        <is>
          <t>8-4</t>
        </is>
      </c>
      <c r="C47" s="16" t="inlineStr">
        <is>
          <t>見込量・保険料・成果指標の反映</t>
        </is>
      </c>
      <c r="D47" s="16" t="inlineStr">
        <is>
          <t>素案の未確定156箇所の解消</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2026-11</t>
        </is>
      </c>
      <c r="J47" s="17" t="inlineStr">
        <is>
          <t>2026-12</t>
        </is>
      </c>
      <c r="K47" s="24" t="inlineStr">
        <is>
          <t>未着手</t>
        </is>
      </c>
      <c r="L47" s="19" t="n">
        <v>0</v>
      </c>
      <c r="M47" s="20" t="n">
        <v>4</v>
      </c>
      <c r="N47" s="16" t="inlineStr">
        <is>
          <t>―</t>
        </is>
      </c>
      <c r="O47" s="16" t="inlineStr">
        <is>
          <t>**P7の完了、町データの受領**</t>
        </is>
      </c>
      <c r="P47" s="21" t="n"/>
      <c r="Q47" s="21" t="n"/>
      <c r="R47" s="21" t="n"/>
      <c r="S47" s="21" t="n"/>
      <c r="T47" s="21" t="n"/>
      <c r="U47" s="21" t="n"/>
      <c r="V47" s="21" t="n"/>
      <c r="W47" s="21" t="n"/>
    </row>
    <row r="48">
      <c r="A48" s="16" t="inlineStr">
        <is>
          <t>P8 素案</t>
        </is>
      </c>
      <c r="B48" s="17" t="inlineStr">
        <is>
          <t>8-5</t>
        </is>
      </c>
      <c r="C48" s="16" t="inlineStr">
        <is>
          <t>素案の協議（協議会）</t>
        </is>
      </c>
      <c r="D48" s="16" t="inlineStr">
        <is>
          <t>素案の内容の合意</t>
        </is>
      </c>
      <c r="E48" s="16" t="inlineStr">
        <is>
          <t>B6 骨子案・素案の作成</t>
        </is>
      </c>
      <c r="F48" s="17" t="inlineStr">
        <is>
          <t>仕様書4(3)・4(5)</t>
        </is>
      </c>
      <c r="G48"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8" s="17" t="inlineStr">
        <is>
          <t>受託者・町</t>
        </is>
      </c>
      <c r="I48" s="17" t="inlineStr">
        <is>
          <t>2026-12</t>
        </is>
      </c>
      <c r="J48" s="17" t="inlineStr">
        <is>
          <t>2026-12</t>
        </is>
      </c>
      <c r="K48" s="24" t="inlineStr">
        <is>
          <t>未着手</t>
        </is>
      </c>
      <c r="L48" s="19" t="n">
        <v>0</v>
      </c>
      <c r="M48" s="20" t="n">
        <v>2</v>
      </c>
      <c r="N48" s="16" t="inlineStr">
        <is>
          <t>―</t>
        </is>
      </c>
      <c r="O48" s="16" t="inlineStr">
        <is>
          <t>協議会の開催時期</t>
        </is>
      </c>
      <c r="P48" s="21" t="n"/>
      <c r="Q48" s="21" t="n"/>
      <c r="R48" s="21" t="n"/>
      <c r="S48" s="21" t="n"/>
      <c r="T48" s="21" t="n"/>
      <c r="U48" s="21" t="n"/>
      <c r="V48" s="21" t="n"/>
      <c r="W48" s="21" t="n"/>
    </row>
    <row r="49">
      <c r="A49" s="16" t="inlineStr">
        <is>
          <t>P8 素案</t>
        </is>
      </c>
      <c r="B49" s="17" t="inlineStr">
        <is>
          <t>8-6</t>
        </is>
      </c>
      <c r="C49" s="16" t="inlineStr">
        <is>
          <t>成果品④の製本・納品</t>
        </is>
      </c>
      <c r="D49" s="16" t="inlineStr">
        <is>
          <t>データCD-R1部＋冊子（簡易製本）3部</t>
        </is>
      </c>
      <c r="E49" s="16" t="inlineStr">
        <is>
          <t>B9 成果品の納品</t>
        </is>
      </c>
      <c r="F49" s="17" t="inlineStr">
        <is>
          <t>仕様書4 成果品④</t>
        </is>
      </c>
      <c r="G49" s="16" t="inlineStr">
        <is>
          <t>【成果品④】（4）小野町高齢者保健福祉計画・第10期介護保険事業計画素案　※データ（CD-R）1部、冊子（簡易製本）3部</t>
        </is>
      </c>
      <c r="H49" s="17" t="inlineStr">
        <is>
          <t>受託者</t>
        </is>
      </c>
      <c r="I49" s="17" t="inlineStr">
        <is>
          <t>2027-03</t>
        </is>
      </c>
      <c r="J49" s="17" t="inlineStr">
        <is>
          <t>2027-03</t>
        </is>
      </c>
      <c r="K49" s="24" t="inlineStr">
        <is>
          <t>未着手</t>
        </is>
      </c>
      <c r="L49" s="19" t="n">
        <v>0</v>
      </c>
      <c r="M49" s="20" t="n">
        <v>1</v>
      </c>
      <c r="N49" s="16" t="inlineStr">
        <is>
          <t>―</t>
        </is>
      </c>
      <c r="O49" s="16" t="inlineStr">
        <is>
          <t>素案の確定</t>
        </is>
      </c>
      <c r="P49" s="21" t="n"/>
      <c r="Q49" s="21" t="n"/>
      <c r="R49" s="21" t="n"/>
      <c r="S49" s="21" t="n"/>
      <c r="T49" s="21" t="n"/>
      <c r="U49" s="21" t="n"/>
      <c r="V49" s="21" t="n"/>
      <c r="W49" s="21" t="n"/>
    </row>
    <row r="50">
      <c r="A50" s="16" t="inlineStr">
        <is>
          <t>P9 意見聴取</t>
        </is>
      </c>
      <c r="B50" s="17" t="inlineStr">
        <is>
          <t>9-1</t>
        </is>
      </c>
      <c r="C50" s="16" t="inlineStr">
        <is>
          <t>協議会の開催回数・時期の確定</t>
        </is>
      </c>
      <c r="D50" s="16" t="inlineStr">
        <is>
          <t>小野町高齢者福祉サービス推進協議会</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町</t>
        </is>
      </c>
      <c r="I50" s="17" t="inlineStr">
        <is>
          <t>2026-08</t>
        </is>
      </c>
      <c r="J50" s="17" t="inlineStr">
        <is>
          <t>2026-08</t>
        </is>
      </c>
      <c r="K50" s="22" t="inlineStr">
        <is>
          <t>要対応</t>
        </is>
      </c>
      <c r="L50" s="19" t="n">
        <v>0</v>
      </c>
      <c r="M50" s="20" t="n">
        <v>1</v>
      </c>
      <c r="N50" s="16" t="inlineStr">
        <is>
          <t>**仕様書に回数の指定がない。**受託者案は4回</t>
        </is>
      </c>
      <c r="O50" s="16" t="inlineStr">
        <is>
          <t>**町との協議（依頼票C4）。これが決まらないと工程が引けない**</t>
        </is>
      </c>
      <c r="P50" s="21" t="n"/>
      <c r="Q50" s="21" t="n"/>
      <c r="R50" s="21" t="n"/>
      <c r="S50" s="21" t="n"/>
      <c r="T50" s="21" t="n"/>
      <c r="U50" s="21" t="n"/>
      <c r="V50" s="21" t="n"/>
      <c r="W50" s="21" t="n"/>
    </row>
    <row r="51">
      <c r="A51" s="16" t="inlineStr">
        <is>
          <t>P9 意見聴取</t>
        </is>
      </c>
      <c r="B51" s="17" t="inlineStr">
        <is>
          <t>9-2</t>
        </is>
      </c>
      <c r="C51" s="16" t="inlineStr">
        <is>
          <t>協議会 第1回（第9期の評価・調査結果）</t>
        </is>
      </c>
      <c r="D51" s="16" t="inlineStr">
        <is>
          <t>評価と調査結果の報告</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2026-08</t>
        </is>
      </c>
      <c r="J51" s="17" t="inlineStr">
        <is>
          <t>2026-09</t>
        </is>
      </c>
      <c r="K51" s="22" t="inlineStr">
        <is>
          <t>要対応</t>
        </is>
      </c>
      <c r="L51" s="19" t="n">
        <v>50</v>
      </c>
      <c r="M51" s="20" t="n">
        <v>2</v>
      </c>
      <c r="N51" s="16" t="inlineStr">
        <is>
          <t>**資料は作成済み（08_協議会資料・42表）**</t>
        </is>
      </c>
      <c r="O51" s="16" t="inlineStr">
        <is>
          <t>**開催日が未定**</t>
        </is>
      </c>
      <c r="P51" s="21" t="n"/>
      <c r="Q51" s="21" t="n"/>
      <c r="R51" s="21" t="n"/>
      <c r="S51" s="21" t="n"/>
      <c r="T51" s="21" t="n"/>
      <c r="U51" s="21" t="n"/>
      <c r="V51" s="21" t="n"/>
      <c r="W51" s="21" t="n"/>
    </row>
    <row r="52">
      <c r="A52" s="16" t="inlineStr">
        <is>
          <t>P9 意見聴取</t>
        </is>
      </c>
      <c r="B52" s="17" t="inlineStr">
        <is>
          <t>9-3</t>
        </is>
      </c>
      <c r="C52" s="16" t="inlineStr">
        <is>
          <t>協議会 第2回（骨子案・見込量・保険料・成果指標）</t>
        </is>
      </c>
      <c r="D52" s="16" t="inlineStr">
        <is>
          <t>計画の骨格の合意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2026-11</t>
        </is>
      </c>
      <c r="J52" s="17" t="inlineStr">
        <is>
          <t>2026-11</t>
        </is>
      </c>
      <c r="K52" s="24" t="inlineStr">
        <is>
          <t>未着手</t>
        </is>
      </c>
      <c r="L52" s="19" t="n">
        <v>0</v>
      </c>
      <c r="M52" s="20" t="n">
        <v>2</v>
      </c>
      <c r="N52" s="16" t="inlineStr">
        <is>
          <t>骨子案第3版・成果指標目標値案は作成済み</t>
        </is>
      </c>
      <c r="O52" s="16" t="inlineStr">
        <is>
          <t>P7の完了、開催日の確定</t>
        </is>
      </c>
      <c r="P52" s="21" t="n"/>
      <c r="Q52" s="21" t="n"/>
      <c r="R52" s="21" t="n"/>
      <c r="S52" s="21" t="n"/>
      <c r="T52" s="21" t="n"/>
      <c r="U52" s="21" t="n"/>
      <c r="V52" s="21" t="n"/>
      <c r="W52" s="21" t="n"/>
    </row>
    <row r="53">
      <c r="A53" s="16" t="inlineStr">
        <is>
          <t>P9 意見聴取</t>
        </is>
      </c>
      <c r="B53" s="17" t="inlineStr">
        <is>
          <t>9-4</t>
        </is>
      </c>
      <c r="C53" s="16" t="inlineStr">
        <is>
          <t>協議会 第3回（素案）</t>
        </is>
      </c>
      <c r="D53" s="16" t="inlineStr">
        <is>
          <t>素案の合意</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受託者・町</t>
        </is>
      </c>
      <c r="I53" s="17" t="inlineStr">
        <is>
          <t>2026-12</t>
        </is>
      </c>
      <c r="J53" s="17" t="inlineStr">
        <is>
          <t>2026-12</t>
        </is>
      </c>
      <c r="K53" s="24" t="inlineStr">
        <is>
          <t>未着手</t>
        </is>
      </c>
      <c r="L53" s="19" t="n">
        <v>0</v>
      </c>
      <c r="M53" s="20" t="n">
        <v>2</v>
      </c>
      <c r="N53" s="16" t="inlineStr">
        <is>
          <t>―</t>
        </is>
      </c>
      <c r="O53" s="16" t="inlineStr">
        <is>
          <t>素案の確定</t>
        </is>
      </c>
      <c r="P53" s="21" t="n"/>
      <c r="Q53" s="21" t="n"/>
      <c r="R53" s="21" t="n"/>
      <c r="S53" s="21" t="n"/>
      <c r="T53" s="21" t="n"/>
      <c r="U53" s="21" t="n"/>
      <c r="V53" s="21" t="n"/>
      <c r="W53" s="21" t="n"/>
    </row>
    <row r="54">
      <c r="A54" s="16" t="inlineStr">
        <is>
          <t>P9 意見聴取</t>
        </is>
      </c>
      <c r="B54" s="17" t="inlineStr">
        <is>
          <t>9-5</t>
        </is>
      </c>
      <c r="C54" s="16" t="inlineStr">
        <is>
          <t>パブリックコメントの様式作成</t>
        </is>
      </c>
      <c r="D54" s="16" t="inlineStr">
        <is>
          <t>実施要領、意見提出様式、意見と町の考え方の対応表</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受託者</t>
        </is>
      </c>
      <c r="I54" s="17" t="inlineStr">
        <is>
          <t>2026-08</t>
        </is>
      </c>
      <c r="J54" s="17" t="inlineStr">
        <is>
          <t>2026-08</t>
        </is>
      </c>
      <c r="K54" s="18" t="inlineStr">
        <is>
          <t>完了</t>
        </is>
      </c>
      <c r="L54" s="19" t="n">
        <v>100</v>
      </c>
      <c r="M54" s="20" t="n">
        <v>2</v>
      </c>
      <c r="N54" s="16" t="inlineStr">
        <is>
          <t>計画策定業務設計書 第4章（02_キックオフ・業務計画）</t>
        </is>
      </c>
      <c r="O54" s="16" t="inlineStr">
        <is>
          <t>―</t>
        </is>
      </c>
      <c r="P54" s="21" t="n"/>
      <c r="Q54" s="21" t="n"/>
      <c r="R54" s="21" t="n"/>
      <c r="S54" s="21" t="n"/>
      <c r="T54" s="21" t="n"/>
      <c r="U54" s="21" t="n"/>
      <c r="V54" s="21" t="n"/>
      <c r="W54" s="21" t="n"/>
    </row>
    <row r="55">
      <c r="A55" s="16" t="inlineStr">
        <is>
          <t>P9 意見聴取</t>
        </is>
      </c>
      <c r="B55" s="17" t="inlineStr">
        <is>
          <t>9-6</t>
        </is>
      </c>
      <c r="C55" s="16" t="inlineStr">
        <is>
          <t>パブリックコメントの実施</t>
        </is>
      </c>
      <c r="D55" s="16" t="inlineStr">
        <is>
          <t>意見提出期間1か月</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町</t>
        </is>
      </c>
      <c r="I55" s="17" t="inlineStr">
        <is>
          <t>2027-01</t>
        </is>
      </c>
      <c r="J55" s="17" t="inlineStr">
        <is>
          <t>2027-01</t>
        </is>
      </c>
      <c r="K55" s="24" t="inlineStr">
        <is>
          <t>未着手</t>
        </is>
      </c>
      <c r="L55" s="19" t="n">
        <v>0</v>
      </c>
      <c r="M55" s="20" t="n">
        <v>2</v>
      </c>
      <c r="N55" s="16" t="inlineStr">
        <is>
          <t>―</t>
        </is>
      </c>
      <c r="O55" s="16" t="inlineStr">
        <is>
          <t>素案の確定、実施時期の確定（依頼票C6）</t>
        </is>
      </c>
      <c r="P55" s="21" t="n"/>
      <c r="Q55" s="21" t="n"/>
      <c r="R55" s="21" t="n"/>
      <c r="S55" s="21" t="n"/>
      <c r="T55" s="21" t="n"/>
      <c r="U55" s="21" t="n"/>
      <c r="V55" s="21" t="n"/>
      <c r="W55" s="21" t="n"/>
    </row>
    <row r="56">
      <c r="A56" s="16" t="inlineStr">
        <is>
          <t>P9 意見聴取</t>
        </is>
      </c>
      <c r="B56" s="17" t="inlineStr">
        <is>
          <t>9-7</t>
        </is>
      </c>
      <c r="C56" s="16" t="inlineStr">
        <is>
          <t>意見への対応</t>
        </is>
      </c>
      <c r="D56" s="16" t="inlineStr">
        <is>
          <t>意見の整理、対応案の作成、計画への反映</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t>
        </is>
      </c>
      <c r="I56" s="17" t="inlineStr">
        <is>
          <t>2027-02</t>
        </is>
      </c>
      <c r="J56" s="17" t="inlineStr">
        <is>
          <t>2027-02</t>
        </is>
      </c>
      <c r="K56" s="24" t="inlineStr">
        <is>
          <t>未着手</t>
        </is>
      </c>
      <c r="L56" s="19" t="n">
        <v>0</v>
      </c>
      <c r="M56" s="20" t="n">
        <v>2</v>
      </c>
      <c r="N56" s="16" t="inlineStr">
        <is>
          <t>対応表の様式は作成済み</t>
        </is>
      </c>
      <c r="O56" s="16" t="inlineStr">
        <is>
          <t>パブコメの実施</t>
        </is>
      </c>
      <c r="P56" s="21" t="n"/>
      <c r="Q56" s="21" t="n"/>
      <c r="R56" s="21" t="n"/>
      <c r="S56" s="21" t="n"/>
      <c r="T56" s="21" t="n"/>
      <c r="U56" s="21" t="n"/>
      <c r="V56" s="21" t="n"/>
      <c r="W56" s="21" t="n"/>
    </row>
    <row r="57">
      <c r="A57" s="16" t="inlineStr">
        <is>
          <t>P9 意見聴取</t>
        </is>
      </c>
      <c r="B57" s="17" t="inlineStr">
        <is>
          <t>9-8</t>
        </is>
      </c>
      <c r="C57" s="16" t="inlineStr">
        <is>
          <t>協議会 第4回（最終案）</t>
        </is>
      </c>
      <c r="D57" s="16" t="inlineStr">
        <is>
          <t>最終案の確認</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2027-02</t>
        </is>
      </c>
      <c r="J57" s="17" t="inlineStr">
        <is>
          <t>2027-02</t>
        </is>
      </c>
      <c r="K57" s="24" t="inlineStr">
        <is>
          <t>未着手</t>
        </is>
      </c>
      <c r="L57" s="19" t="n">
        <v>0</v>
      </c>
      <c r="M57" s="20" t="n">
        <v>1</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10-1</t>
        </is>
      </c>
      <c r="C58" s="16" t="inlineStr">
        <is>
          <t>計画書の原稿確定</t>
        </is>
      </c>
      <c r="D58" s="16" t="inlineStr">
        <is>
          <t>パブリックコメント対応後の原稿</t>
        </is>
      </c>
      <c r="E58" s="16" t="inlineStr">
        <is>
          <t>B7 最終調整及び計画書の作成</t>
        </is>
      </c>
      <c r="F58" s="17" t="inlineStr">
        <is>
          <t>仕様書4(4)</t>
        </is>
      </c>
      <c r="G58" s="16" t="inlineStr">
        <is>
          <t>【4(4)】最終調整及び計画書の作成・取りまとめ。（1）から（3）の結果を踏まえ、小野町高齢者保健福祉計画・第10期介護保険事業計画書を作成するものとする。</t>
        </is>
      </c>
      <c r="H58" s="17" t="inlineStr">
        <is>
          <t>受託者</t>
        </is>
      </c>
      <c r="I58" s="17" t="inlineStr">
        <is>
          <t>2027-02</t>
        </is>
      </c>
      <c r="J58" s="17" t="inlineStr">
        <is>
          <t>2027-02</t>
        </is>
      </c>
      <c r="K58" s="24" t="inlineStr">
        <is>
          <t>未着手</t>
        </is>
      </c>
      <c r="L58" s="19" t="n">
        <v>0</v>
      </c>
      <c r="M58" s="20" t="n">
        <v>3</v>
      </c>
      <c r="N58" s="16" t="inlineStr">
        <is>
          <t>―</t>
        </is>
      </c>
      <c r="O58" s="16" t="inlineStr">
        <is>
          <t>意見への対応</t>
        </is>
      </c>
      <c r="P58" s="21" t="n"/>
      <c r="Q58" s="21" t="n"/>
      <c r="R58" s="21" t="n"/>
      <c r="S58" s="21" t="n"/>
      <c r="T58" s="21" t="n"/>
      <c r="U58" s="21" t="n"/>
      <c r="V58" s="21" t="n"/>
      <c r="W58" s="21" t="n"/>
    </row>
    <row r="59">
      <c r="A59" s="16" t="inlineStr">
        <is>
          <t>P10 完成・納品</t>
        </is>
      </c>
      <c r="B59" s="17" t="inlineStr">
        <is>
          <t>10-2</t>
        </is>
      </c>
      <c r="C59" s="16" t="inlineStr">
        <is>
          <t>レイアウト・組版</t>
        </is>
      </c>
      <c r="D59" s="16" t="inlineStr">
        <is>
          <t>A4・4色刷り・80頁程度</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t>
        </is>
      </c>
      <c r="I59" s="17" t="inlineStr">
        <is>
          <t>2027-02</t>
        </is>
      </c>
      <c r="J59" s="17" t="inlineStr">
        <is>
          <t>2027-02</t>
        </is>
      </c>
      <c r="K59" s="24" t="inlineStr">
        <is>
          <t>未着手</t>
        </is>
      </c>
      <c r="L59" s="19" t="n">
        <v>0</v>
      </c>
      <c r="M59" s="20" t="n">
        <v>3</v>
      </c>
      <c r="N59" s="16" t="inlineStr">
        <is>
          <t>―</t>
        </is>
      </c>
      <c r="O59" s="16" t="inlineStr">
        <is>
          <t>原稿の確定</t>
        </is>
      </c>
      <c r="P59" s="21" t="n"/>
      <c r="Q59" s="21" t="n"/>
      <c r="R59" s="21" t="n"/>
      <c r="S59" s="21" t="n"/>
      <c r="T59" s="21" t="n"/>
      <c r="U59" s="21" t="n"/>
      <c r="V59" s="21" t="n"/>
      <c r="W59" s="21" t="n"/>
    </row>
    <row r="60">
      <c r="A60" s="16" t="inlineStr">
        <is>
          <t>P10 完成・納品</t>
        </is>
      </c>
      <c r="B60" s="17" t="inlineStr">
        <is>
          <t>10-3</t>
        </is>
      </c>
      <c r="C60" s="16" t="inlineStr">
        <is>
          <t>校正（初校・再校・校了）</t>
        </is>
      </c>
      <c r="D60" s="16" t="inlineStr">
        <is>
          <t>町の確認を経て校了</t>
        </is>
      </c>
      <c r="E60" s="16" t="inlineStr">
        <is>
          <t>B9 成果品の納品</t>
        </is>
      </c>
      <c r="F60" s="17" t="inlineStr">
        <is>
          <t>仕様書4 成果品⑤</t>
        </is>
      </c>
      <c r="G60" s="16" t="inlineStr">
        <is>
          <t>【成果品⑤】（5）小野町高齢者保健福祉計画・第10期介護保険事業計画　※データ（CD-R）1部、計画書印刷50部＜仕様＞A4版、4色刷り、80頁程度</t>
        </is>
      </c>
      <c r="H60" s="17" t="inlineStr">
        <is>
          <t>受託者・町</t>
        </is>
      </c>
      <c r="I60" s="17" t="inlineStr">
        <is>
          <t>2027-02</t>
        </is>
      </c>
      <c r="J60" s="17" t="inlineStr">
        <is>
          <t>2027-02</t>
        </is>
      </c>
      <c r="K60" s="24" t="inlineStr">
        <is>
          <t>未着手</t>
        </is>
      </c>
      <c r="L60" s="19" t="n">
        <v>0</v>
      </c>
      <c r="M60" s="20" t="n">
        <v>2</v>
      </c>
      <c r="N60" s="16" t="inlineStr">
        <is>
          <t>**逆算表を作成済み（令和9年2月下旬の校了が動かせない期限）**</t>
        </is>
      </c>
      <c r="O60" s="16" t="inlineStr">
        <is>
          <t>組版</t>
        </is>
      </c>
      <c r="P60" s="21" t="n"/>
      <c r="Q60" s="21" t="n"/>
      <c r="R60" s="21" t="n"/>
      <c r="S60" s="21" t="n"/>
      <c r="T60" s="21" t="n"/>
      <c r="U60" s="21" t="n"/>
      <c r="V60" s="21" t="n"/>
      <c r="W60" s="21" t="n"/>
    </row>
    <row r="61">
      <c r="A61" s="16" t="inlineStr">
        <is>
          <t>P10 完成・納品</t>
        </is>
      </c>
      <c r="B61" s="17" t="inlineStr">
        <is>
          <t>10-4</t>
        </is>
      </c>
      <c r="C61" s="16" t="inlineStr">
        <is>
          <t>概要版の構成案</t>
        </is>
      </c>
      <c r="D61" s="16" t="inlineStr">
        <is>
          <t>A4・4色刷り・8頁のページ割り</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2026-08</t>
        </is>
      </c>
      <c r="J61" s="17" t="inlineStr">
        <is>
          <t>2026-08</t>
        </is>
      </c>
      <c r="K61" s="18" t="inlineStr">
        <is>
          <t>完了</t>
        </is>
      </c>
      <c r="L61" s="19" t="n">
        <v>100</v>
      </c>
      <c r="M61" s="20" t="n">
        <v>1</v>
      </c>
      <c r="N61" s="16" t="inlineStr">
        <is>
          <t>計画策定業務設計書 第2章（02_キックオフ・業務計画）</t>
        </is>
      </c>
      <c r="O61" s="16" t="inlineStr">
        <is>
          <t>―</t>
        </is>
      </c>
      <c r="P61" s="21" t="n"/>
      <c r="Q61" s="21" t="n"/>
      <c r="R61" s="21" t="n"/>
      <c r="S61" s="21" t="n"/>
      <c r="T61" s="21" t="n"/>
      <c r="U61" s="21" t="n"/>
      <c r="V61" s="21" t="n"/>
      <c r="W61" s="21" t="n"/>
    </row>
    <row r="62">
      <c r="A62" s="16" t="inlineStr">
        <is>
          <t>P10 完成・納品</t>
        </is>
      </c>
      <c r="B62" s="17" t="inlineStr">
        <is>
          <t>10-5</t>
        </is>
      </c>
      <c r="C62" s="16" t="inlineStr">
        <is>
          <t>概要版の作成</t>
        </is>
      </c>
      <c r="D62" s="16" t="inlineStr">
        <is>
          <t>計画書からの抽出とリライト、図表8点程度</t>
        </is>
      </c>
      <c r="E62" s="16" t="inlineStr">
        <is>
          <t>B9 成果品の納品</t>
        </is>
      </c>
      <c r="F62" s="17" t="inlineStr">
        <is>
          <t>仕様書4 成果品⑥</t>
        </is>
      </c>
      <c r="G62" s="16" t="inlineStr">
        <is>
          <t>【成果品⑥】（6）小野町高齢者保健福祉計画・第10期介護保険事業計画概要版　※データ（CD-R）1部、概要版印刷50部＜仕様＞A4版、4色刷り、8頁</t>
        </is>
      </c>
      <c r="H62" s="17" t="inlineStr">
        <is>
          <t>受託者</t>
        </is>
      </c>
      <c r="I62" s="17" t="inlineStr">
        <is>
          <t>2027-02</t>
        </is>
      </c>
      <c r="J62" s="17" t="inlineStr">
        <is>
          <t>2027-03</t>
        </is>
      </c>
      <c r="K62" s="24" t="inlineStr">
        <is>
          <t>未着手</t>
        </is>
      </c>
      <c r="L62" s="19" t="n">
        <v>0</v>
      </c>
      <c r="M62" s="20" t="n">
        <v>2</v>
      </c>
      <c r="N62" s="16" t="inlineStr">
        <is>
          <t>構成案は作成済み</t>
        </is>
      </c>
      <c r="O62" s="16" t="inlineStr">
        <is>
          <t>計画書の確定</t>
        </is>
      </c>
      <c r="P62" s="21" t="n"/>
      <c r="Q62" s="21" t="n"/>
      <c r="R62" s="21" t="n"/>
      <c r="S62" s="21" t="n"/>
      <c r="T62" s="21" t="n"/>
      <c r="U62" s="21" t="n"/>
      <c r="V62" s="21" t="n"/>
      <c r="W62" s="21" t="n"/>
    </row>
    <row r="63">
      <c r="A63" s="16" t="inlineStr">
        <is>
          <t>P10 完成・納品</t>
        </is>
      </c>
      <c r="B63" s="17" t="inlineStr">
        <is>
          <t>10-6</t>
        </is>
      </c>
      <c r="C63" s="16" t="inlineStr">
        <is>
          <t>印刷・製本</t>
        </is>
      </c>
      <c r="D63" s="16" t="inlineStr">
        <is>
          <t>計画書50部、概要版50部。色校正を含む</t>
        </is>
      </c>
      <c r="E63" s="16" t="inlineStr">
        <is>
          <t>B9 成果品の納品</t>
        </is>
      </c>
      <c r="F63" s="17" t="inlineStr">
        <is>
          <t>仕様書4 成果品⑤・仕様書4 成果品⑥</t>
        </is>
      </c>
      <c r="G63"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3" s="17" t="inlineStr">
        <is>
          <t>受託者</t>
        </is>
      </c>
      <c r="I63" s="17" t="inlineStr">
        <is>
          <t>2027-03</t>
        </is>
      </c>
      <c r="J63" s="17" t="inlineStr">
        <is>
          <t>2027-03</t>
        </is>
      </c>
      <c r="K63" s="24" t="inlineStr">
        <is>
          <t>未着手</t>
        </is>
      </c>
      <c r="L63" s="19" t="n">
        <v>0</v>
      </c>
      <c r="M63" s="20" t="n">
        <v>2</v>
      </c>
      <c r="N63" s="16" t="inlineStr">
        <is>
          <t>**逆算表を作成済み。12月までに印刷業者を押さえる必要がある**</t>
        </is>
      </c>
      <c r="O63" s="16" t="inlineStr">
        <is>
          <t>校了</t>
        </is>
      </c>
      <c r="P63" s="21" t="n"/>
      <c r="Q63" s="21" t="n"/>
      <c r="R63" s="21" t="n"/>
      <c r="S63" s="21" t="n"/>
      <c r="T63" s="21" t="n"/>
      <c r="U63" s="21" t="n"/>
      <c r="V63" s="21" t="n"/>
      <c r="W63" s="21" t="n"/>
    </row>
    <row r="64">
      <c r="A64" s="16" t="inlineStr">
        <is>
          <t>P10 完成・納品</t>
        </is>
      </c>
      <c r="B64" s="17" t="inlineStr">
        <is>
          <t>10-7</t>
        </is>
      </c>
      <c r="C64" s="16" t="inlineStr">
        <is>
          <t>データCD-Rの作成</t>
        </is>
      </c>
      <c r="D64" s="16" t="inlineStr">
        <is>
          <t>成果品①〜⑥のデータ</t>
        </is>
      </c>
      <c r="E64" s="16" t="inlineStr">
        <is>
          <t>B9 成果品の納品</t>
        </is>
      </c>
      <c r="F64" s="17" t="inlineStr">
        <is>
          <t>仕様書4 成果品</t>
        </is>
      </c>
      <c r="G64" s="16" t="inlineStr">
        <is>
          <t>【成果品】（1）〜（4）のデータ（CD-R）1部、冊子（簡易製本）各3部／（5）（6）のデータ（CD-R）1部、計画書印刷50部／概要版印刷50部</t>
        </is>
      </c>
      <c r="H64" s="17" t="inlineStr">
        <is>
          <t>受託者</t>
        </is>
      </c>
      <c r="I64" s="17" t="inlineStr">
        <is>
          <t>2027-03</t>
        </is>
      </c>
      <c r="J64" s="17" t="inlineStr">
        <is>
          <t>2027-03</t>
        </is>
      </c>
      <c r="K64" s="24" t="inlineStr">
        <is>
          <t>未着手</t>
        </is>
      </c>
      <c r="L64" s="19" t="n">
        <v>0</v>
      </c>
      <c r="M64" s="20" t="n">
        <v>1</v>
      </c>
      <c r="N64" s="16" t="inlineStr">
        <is>
          <t>―</t>
        </is>
      </c>
      <c r="O64" s="16" t="inlineStr">
        <is>
          <t>各成果品の確定</t>
        </is>
      </c>
      <c r="P64" s="21" t="n"/>
      <c r="Q64" s="21" t="n"/>
      <c r="R64" s="21" t="n"/>
      <c r="S64" s="21" t="n"/>
      <c r="T64" s="21" t="n"/>
      <c r="U64" s="21" t="n"/>
      <c r="V64" s="21" t="n"/>
      <c r="W64" s="21" t="n"/>
    </row>
    <row r="65">
      <c r="A65" s="16" t="inlineStr">
        <is>
          <t>P10 完成・納品</t>
        </is>
      </c>
      <c r="B65" s="17" t="inlineStr">
        <is>
          <t>10-8</t>
        </is>
      </c>
      <c r="C65" s="16" t="inlineStr">
        <is>
          <t>納品・検収</t>
        </is>
      </c>
      <c r="D65" s="16" t="inlineStr">
        <is>
          <t>令和9年3月31日まで</t>
        </is>
      </c>
      <c r="E65" s="16" t="inlineStr">
        <is>
          <t>B10 業務管理・計画の基本的な考え方</t>
        </is>
      </c>
      <c r="F65" s="17" t="inlineStr">
        <is>
          <t>仕様書3（業務期間）</t>
        </is>
      </c>
      <c r="G65" s="16" t="inlineStr">
        <is>
          <t>【3】契約締結の日から令和9年3月31日まで</t>
        </is>
      </c>
      <c r="H65" s="17" t="inlineStr">
        <is>
          <t>受託者・町</t>
        </is>
      </c>
      <c r="I65" s="17" t="inlineStr">
        <is>
          <t>2027-03</t>
        </is>
      </c>
      <c r="J65" s="17" t="inlineStr">
        <is>
          <t>2027-03</t>
        </is>
      </c>
      <c r="K65" s="24" t="inlineStr">
        <is>
          <t>未着手</t>
        </is>
      </c>
      <c r="L65" s="19" t="n">
        <v>0</v>
      </c>
      <c r="M65" s="20" t="n">
        <v>1</v>
      </c>
      <c r="N65" s="16" t="inlineStr">
        <is>
          <t>―</t>
        </is>
      </c>
      <c r="O65" s="16" t="inlineStr">
        <is>
          <t>全成果品の完成</t>
        </is>
      </c>
      <c r="P65" s="21" t="n"/>
      <c r="Q65" s="21" t="n"/>
      <c r="R65" s="21" t="n"/>
      <c r="S65" s="21" t="n"/>
      <c r="T65" s="21" t="n"/>
      <c r="U65" s="21" t="n"/>
      <c r="V65" s="21" t="n"/>
      <c r="W65" s="21" t="n"/>
    </row>
  </sheetData>
  <autoFilter ref="A1:O65"/>
  <conditionalFormatting sqref="L2:L65">
    <cfRule type="cellIs" priority="1" operator="equal" dxfId="0">
      <formula>100</formula>
    </cfRule>
    <cfRule type="cellIs" priority="2" operator="equal" dxfId="1">
      <formula>0</formula>
    </cfRule>
  </conditionalFormatting>
  <dataValidations count="2">
    <dataValidation sqref="K2:K65" showDropDown="0" showInputMessage="0" showErrorMessage="0" allowBlank="1" type="list">
      <formula1>"完了,進行中,要対応,データ待ち,未着手"</formula1>
    </dataValidation>
    <dataValidation sqref="L2:L6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COUNTIF('01_WBS'!$A$2:$A$65,$A2)</f>
        <v/>
      </c>
      <c r="C2" s="17">
        <f>COUNTIFS('01_WBS'!$A$2:$A$65,$A2,'01_WBS'!$K$2:$K$65,"完了")</f>
        <v/>
      </c>
      <c r="D2" s="17">
        <f>COUNTIFS('01_WBS'!$A$2:$A$65,$A2,'01_WBS'!$K$2:$K$65,"進行中")</f>
        <v/>
      </c>
      <c r="E2" s="17">
        <f>COUNTIFS('01_WBS'!$A$2:$A$65,$A2,'01_WBS'!$K$2:$K$65,"要対応")</f>
        <v/>
      </c>
      <c r="F2" s="17">
        <f>COUNTIFS('01_WBS'!$A$2:$A$65,$A2,'01_WBS'!$K$2:$K$65,"データ待ち")</f>
        <v/>
      </c>
      <c r="G2" s="17">
        <f>COUNTIFS('01_WBS'!$A$2:$A$65,$A2,'01_WBS'!$K$2:$K$65,"未着手")</f>
        <v/>
      </c>
      <c r="H2" s="25">
        <f>IF(SUMPRODUCT(('01_WBS'!$A$2:$A$65=$A2)*'01_WBS'!$M$2:$M$65)=0,0,SUMPRODUCT(('01_WBS'!$A$2:$A$65=$A2)*'01_WBS'!$L$2:$L$65*'01_WBS'!$M$2:$M$65)/SUMPRODUCT(('01_WBS'!$A$2:$A$65=$A2)*'01_WBS'!$M$2:$M$65)/100)</f>
        <v/>
      </c>
      <c r="I2" s="17" t="inlineStr">
        <is>
          <t>2026-06</t>
        </is>
      </c>
      <c r="J2" s="17" t="inlineStr">
        <is>
          <t>2026-09</t>
        </is>
      </c>
      <c r="K2" s="16" t="inlineStr">
        <is>
          <t>町データの受領（依頼35件・受領0件）</t>
        </is>
      </c>
    </row>
    <row r="3">
      <c r="A3" s="16" t="inlineStr">
        <is>
          <t>P2 統計分析</t>
        </is>
      </c>
      <c r="B3" s="17">
        <f>COUNTIF('01_WBS'!$A$2:$A$65,$A3)</f>
        <v/>
      </c>
      <c r="C3" s="17">
        <f>COUNTIFS('01_WBS'!$A$2:$A$65,$A3,'01_WBS'!$K$2:$K$65,"完了")</f>
        <v/>
      </c>
      <c r="D3" s="17">
        <f>COUNTIFS('01_WBS'!$A$2:$A$65,$A3,'01_WBS'!$K$2:$K$65,"進行中")</f>
        <v/>
      </c>
      <c r="E3" s="17">
        <f>COUNTIFS('01_WBS'!$A$2:$A$65,$A3,'01_WBS'!$K$2:$K$65,"要対応")</f>
        <v/>
      </c>
      <c r="F3" s="17">
        <f>COUNTIFS('01_WBS'!$A$2:$A$65,$A3,'01_WBS'!$K$2:$K$65,"データ待ち")</f>
        <v/>
      </c>
      <c r="G3" s="17">
        <f>COUNTIFS('01_WBS'!$A$2:$A$65,$A3,'01_WBS'!$K$2:$K$65,"未着手")</f>
        <v/>
      </c>
      <c r="H3" s="25">
        <f>IF(SUMPRODUCT(('01_WBS'!$A$2:$A$65=$A3)*'01_WBS'!$M$2:$M$65)=0,0,SUMPRODUCT(('01_WBS'!$A$2:$A$65=$A3)*'01_WBS'!$L$2:$L$65*'01_WBS'!$M$2:$M$65)/SUMPRODUCT(('01_WBS'!$A$2:$A$65=$A3)*'01_WBS'!$M$2:$M$65)/100)</f>
        <v/>
      </c>
      <c r="I3" s="17" t="inlineStr">
        <is>
          <t>2026-07</t>
        </is>
      </c>
      <c r="J3" s="17" t="inlineStr">
        <is>
          <t>2026-11</t>
        </is>
      </c>
      <c r="K3" s="16" t="inlineStr">
        <is>
          <t>**令和8年3月末の認定者数の確認。本業務の最大の律速**</t>
        </is>
      </c>
    </row>
    <row r="4">
      <c r="A4" s="16" t="inlineStr">
        <is>
          <t>P3 給付費等の分析</t>
        </is>
      </c>
      <c r="B4" s="17">
        <f>COUNTIF('01_WBS'!$A$2:$A$65,$A4)</f>
        <v/>
      </c>
      <c r="C4" s="17">
        <f>COUNTIFS('01_WBS'!$A$2:$A$65,$A4,'01_WBS'!$K$2:$K$65,"完了")</f>
        <v/>
      </c>
      <c r="D4" s="17">
        <f>COUNTIFS('01_WBS'!$A$2:$A$65,$A4,'01_WBS'!$K$2:$K$65,"進行中")</f>
        <v/>
      </c>
      <c r="E4" s="17">
        <f>COUNTIFS('01_WBS'!$A$2:$A$65,$A4,'01_WBS'!$K$2:$K$65,"要対応")</f>
        <v/>
      </c>
      <c r="F4" s="17">
        <f>COUNTIFS('01_WBS'!$A$2:$A$65,$A4,'01_WBS'!$K$2:$K$65,"データ待ち")</f>
        <v/>
      </c>
      <c r="G4" s="17">
        <f>COUNTIFS('01_WBS'!$A$2:$A$65,$A4,'01_WBS'!$K$2:$K$65,"未着手")</f>
        <v/>
      </c>
      <c r="H4" s="25">
        <f>IF(SUMPRODUCT(('01_WBS'!$A$2:$A$65=$A4)*'01_WBS'!$M$2:$M$65)=0,0,SUMPRODUCT(('01_WBS'!$A$2:$A$65=$A4)*'01_WBS'!$L$2:$L$65*'01_WBS'!$M$2:$M$65)/SUMPRODUCT(('01_WBS'!$A$2:$A$65=$A4)*'01_WBS'!$M$2:$M$65)/100)</f>
        <v/>
      </c>
      <c r="I4" s="17" t="inlineStr">
        <is>
          <t>2026-07</t>
        </is>
      </c>
      <c r="J4" s="17" t="inlineStr">
        <is>
          <t>2027-03</t>
        </is>
      </c>
      <c r="K4" s="16" t="inlineStr">
        <is>
          <t>町の給付実績（令和3〜7年度）</t>
        </is>
      </c>
    </row>
    <row r="5">
      <c r="A5" s="16" t="inlineStr">
        <is>
          <t>P4 調査結果の反映</t>
        </is>
      </c>
      <c r="B5" s="17">
        <f>COUNTIF('01_WBS'!$A$2:$A$65,$A5)</f>
        <v/>
      </c>
      <c r="C5" s="17">
        <f>COUNTIFS('01_WBS'!$A$2:$A$65,$A5,'01_WBS'!$K$2:$K$65,"完了")</f>
        <v/>
      </c>
      <c r="D5" s="17">
        <f>COUNTIFS('01_WBS'!$A$2:$A$65,$A5,'01_WBS'!$K$2:$K$65,"進行中")</f>
        <v/>
      </c>
      <c r="E5" s="17">
        <f>COUNTIFS('01_WBS'!$A$2:$A$65,$A5,'01_WBS'!$K$2:$K$65,"要対応")</f>
        <v/>
      </c>
      <c r="F5" s="17">
        <f>COUNTIFS('01_WBS'!$A$2:$A$65,$A5,'01_WBS'!$K$2:$K$65,"データ待ち")</f>
        <v/>
      </c>
      <c r="G5" s="17">
        <f>COUNTIFS('01_WBS'!$A$2:$A$65,$A5,'01_WBS'!$K$2:$K$65,"未着手")</f>
        <v/>
      </c>
      <c r="H5" s="25">
        <f>IF(SUMPRODUCT(('01_WBS'!$A$2:$A$65=$A5)*'01_WBS'!$M$2:$M$65)=0,0,SUMPRODUCT(('01_WBS'!$A$2:$A$65=$A5)*'01_WBS'!$L$2:$L$65*'01_WBS'!$M$2:$M$65)/SUMPRODUCT(('01_WBS'!$A$2:$A$65=$A5)*'01_WBS'!$M$2:$M$65)/100)</f>
        <v/>
      </c>
      <c r="I5" s="17" t="inlineStr">
        <is>
          <t>2026-08</t>
        </is>
      </c>
      <c r="J5" s="17" t="inlineStr">
        <is>
          <t>2026-10</t>
        </is>
      </c>
      <c r="K5" s="16" t="inlineStr">
        <is>
          <t>令和7年度調査の個票データ（クロス集計17件）</t>
        </is>
      </c>
    </row>
    <row r="6">
      <c r="A6" s="16" t="inlineStr">
        <is>
          <t>P5 第9期の評価</t>
        </is>
      </c>
      <c r="B6" s="17">
        <f>COUNTIF('01_WBS'!$A$2:$A$65,$A6)</f>
        <v/>
      </c>
      <c r="C6" s="17">
        <f>COUNTIFS('01_WBS'!$A$2:$A$65,$A6,'01_WBS'!$K$2:$K$65,"完了")</f>
        <v/>
      </c>
      <c r="D6" s="17">
        <f>COUNTIFS('01_WBS'!$A$2:$A$65,$A6,'01_WBS'!$K$2:$K$65,"進行中")</f>
        <v/>
      </c>
      <c r="E6" s="17">
        <f>COUNTIFS('01_WBS'!$A$2:$A$65,$A6,'01_WBS'!$K$2:$K$65,"要対応")</f>
        <v/>
      </c>
      <c r="F6" s="17">
        <f>COUNTIFS('01_WBS'!$A$2:$A$65,$A6,'01_WBS'!$K$2:$K$65,"データ待ち")</f>
        <v/>
      </c>
      <c r="G6" s="17">
        <f>COUNTIFS('01_WBS'!$A$2:$A$65,$A6,'01_WBS'!$K$2:$K$65,"未着手")</f>
        <v/>
      </c>
      <c r="H6" s="25">
        <f>IF(SUMPRODUCT(('01_WBS'!$A$2:$A$65=$A6)*'01_WBS'!$M$2:$M$65)=0,0,SUMPRODUCT(('01_WBS'!$A$2:$A$65=$A6)*'01_WBS'!$L$2:$L$65*'01_WBS'!$M$2:$M$65)/SUMPRODUCT(('01_WBS'!$A$2:$A$65=$A6)*'01_WBS'!$M$2:$M$65)/100)</f>
        <v/>
      </c>
      <c r="I6" s="17" t="inlineStr">
        <is>
          <t>2026-08</t>
        </is>
      </c>
      <c r="J6" s="17" t="inlineStr">
        <is>
          <t>2026-10</t>
        </is>
      </c>
      <c r="K6" s="16" t="inlineStr">
        <is>
          <t>町の事業実績。とくに総合事業・通いの場</t>
        </is>
      </c>
    </row>
    <row r="7">
      <c r="A7" s="16" t="inlineStr">
        <is>
          <t>P6 骨子案</t>
        </is>
      </c>
      <c r="B7" s="17">
        <f>COUNTIF('01_WBS'!$A$2:$A$65,$A7)</f>
        <v/>
      </c>
      <c r="C7" s="17">
        <f>COUNTIFS('01_WBS'!$A$2:$A$65,$A7,'01_WBS'!$K$2:$K$65,"完了")</f>
        <v/>
      </c>
      <c r="D7" s="17">
        <f>COUNTIFS('01_WBS'!$A$2:$A$65,$A7,'01_WBS'!$K$2:$K$65,"進行中")</f>
        <v/>
      </c>
      <c r="E7" s="17">
        <f>COUNTIFS('01_WBS'!$A$2:$A$65,$A7,'01_WBS'!$K$2:$K$65,"要対応")</f>
        <v/>
      </c>
      <c r="F7" s="17">
        <f>COUNTIFS('01_WBS'!$A$2:$A$65,$A7,'01_WBS'!$K$2:$K$65,"データ待ち")</f>
        <v/>
      </c>
      <c r="G7" s="17">
        <f>COUNTIFS('01_WBS'!$A$2:$A$65,$A7,'01_WBS'!$K$2:$K$65,"未着手")</f>
        <v/>
      </c>
      <c r="H7" s="25">
        <f>IF(SUMPRODUCT(('01_WBS'!$A$2:$A$65=$A7)*'01_WBS'!$M$2:$M$65)=0,0,SUMPRODUCT(('01_WBS'!$A$2:$A$65=$A7)*'01_WBS'!$L$2:$L$65*'01_WBS'!$M$2:$M$65)/SUMPRODUCT(('01_WBS'!$A$2:$A$65=$A7)*'01_WBS'!$M$2:$M$65)/100)</f>
        <v/>
      </c>
      <c r="I7" s="17" t="inlineStr">
        <is>
          <t>2026-07</t>
        </is>
      </c>
      <c r="J7" s="17" t="inlineStr">
        <is>
          <t>2027-03</t>
        </is>
      </c>
      <c r="K7" s="16" t="inlineStr">
        <is>
          <t>協議会の開催回数・時期が未定</t>
        </is>
      </c>
    </row>
    <row r="8">
      <c r="A8" s="16" t="inlineStr">
        <is>
          <t>P7 推計・算定</t>
        </is>
      </c>
      <c r="B8" s="17">
        <f>COUNTIF('01_WBS'!$A$2:$A$65,$A8)</f>
        <v/>
      </c>
      <c r="C8" s="17">
        <f>COUNTIFS('01_WBS'!$A$2:$A$65,$A8,'01_WBS'!$K$2:$K$65,"完了")</f>
        <v/>
      </c>
      <c r="D8" s="17">
        <f>COUNTIFS('01_WBS'!$A$2:$A$65,$A8,'01_WBS'!$K$2:$K$65,"進行中")</f>
        <v/>
      </c>
      <c r="E8" s="17">
        <f>COUNTIFS('01_WBS'!$A$2:$A$65,$A8,'01_WBS'!$K$2:$K$65,"要対応")</f>
        <v/>
      </c>
      <c r="F8" s="17">
        <f>COUNTIFS('01_WBS'!$A$2:$A$65,$A8,'01_WBS'!$K$2:$K$65,"データ待ち")</f>
        <v/>
      </c>
      <c r="G8" s="17">
        <f>COUNTIFS('01_WBS'!$A$2:$A$65,$A8,'01_WBS'!$K$2:$K$65,"未着手")</f>
        <v/>
      </c>
      <c r="H8" s="25">
        <f>IF(SUMPRODUCT(('01_WBS'!$A$2:$A$65=$A8)*'01_WBS'!$M$2:$M$65)=0,0,SUMPRODUCT(('01_WBS'!$A$2:$A$65=$A8)*'01_WBS'!$L$2:$L$65*'01_WBS'!$M$2:$M$65)/SUMPRODUCT(('01_WBS'!$A$2:$A$65=$A8)*'01_WBS'!$M$2:$M$65)/100)</f>
        <v/>
      </c>
      <c r="I8" s="17" t="inlineStr">
        <is>
          <t>2026-08</t>
        </is>
      </c>
      <c r="J8" s="17" t="inlineStr">
        <is>
          <t>2027-03</t>
        </is>
      </c>
      <c r="K8" s="16" t="inlineStr">
        <is>
          <t>**認定者数の確定。算式は実装済みで、値が入れば通る**</t>
        </is>
      </c>
    </row>
    <row r="9">
      <c r="A9" s="16" t="inlineStr">
        <is>
          <t>P8 素案</t>
        </is>
      </c>
      <c r="B9" s="17">
        <f>COUNTIF('01_WBS'!$A$2:$A$65,$A9)</f>
        <v/>
      </c>
      <c r="C9" s="17">
        <f>COUNTIFS('01_WBS'!$A$2:$A$65,$A9,'01_WBS'!$K$2:$K$65,"完了")</f>
        <v/>
      </c>
      <c r="D9" s="17">
        <f>COUNTIFS('01_WBS'!$A$2:$A$65,$A9,'01_WBS'!$K$2:$K$65,"進行中")</f>
        <v/>
      </c>
      <c r="E9" s="17">
        <f>COUNTIFS('01_WBS'!$A$2:$A$65,$A9,'01_WBS'!$K$2:$K$65,"要対応")</f>
        <v/>
      </c>
      <c r="F9" s="17">
        <f>COUNTIFS('01_WBS'!$A$2:$A$65,$A9,'01_WBS'!$K$2:$K$65,"データ待ち")</f>
        <v/>
      </c>
      <c r="G9" s="17">
        <f>COUNTIFS('01_WBS'!$A$2:$A$65,$A9,'01_WBS'!$K$2:$K$65,"未着手")</f>
        <v/>
      </c>
      <c r="H9" s="25">
        <f>IF(SUMPRODUCT(('01_WBS'!$A$2:$A$65=$A9)*'01_WBS'!$M$2:$M$65)=0,0,SUMPRODUCT(('01_WBS'!$A$2:$A$65=$A9)*'01_WBS'!$L$2:$L$65*'01_WBS'!$M$2:$M$65)/SUMPRODUCT(('01_WBS'!$A$2:$A$65=$A9)*'01_WBS'!$M$2:$M$65)/100)</f>
        <v/>
      </c>
      <c r="I9" s="17" t="inlineStr">
        <is>
          <t>2026-08</t>
        </is>
      </c>
      <c r="J9" s="17" t="inlineStr">
        <is>
          <t>2027-03</t>
        </is>
      </c>
      <c r="K9" s="16" t="inlineStr">
        <is>
          <t>P7の完了と成果指標の現状値</t>
        </is>
      </c>
    </row>
    <row r="10">
      <c r="A10" s="16" t="inlineStr">
        <is>
          <t>P9 意見聴取</t>
        </is>
      </c>
      <c r="B10" s="17">
        <f>COUNTIF('01_WBS'!$A$2:$A$65,$A10)</f>
        <v/>
      </c>
      <c r="C10" s="17">
        <f>COUNTIFS('01_WBS'!$A$2:$A$65,$A10,'01_WBS'!$K$2:$K$65,"完了")</f>
        <v/>
      </c>
      <c r="D10" s="17">
        <f>COUNTIFS('01_WBS'!$A$2:$A$65,$A10,'01_WBS'!$K$2:$K$65,"進行中")</f>
        <v/>
      </c>
      <c r="E10" s="17">
        <f>COUNTIFS('01_WBS'!$A$2:$A$65,$A10,'01_WBS'!$K$2:$K$65,"要対応")</f>
        <v/>
      </c>
      <c r="F10" s="17">
        <f>COUNTIFS('01_WBS'!$A$2:$A$65,$A10,'01_WBS'!$K$2:$K$65,"データ待ち")</f>
        <v/>
      </c>
      <c r="G10" s="17">
        <f>COUNTIFS('01_WBS'!$A$2:$A$65,$A10,'01_WBS'!$K$2:$K$65,"未着手")</f>
        <v/>
      </c>
      <c r="H10" s="25">
        <f>IF(SUMPRODUCT(('01_WBS'!$A$2:$A$65=$A10)*'01_WBS'!$M$2:$M$65)=0,0,SUMPRODUCT(('01_WBS'!$A$2:$A$65=$A10)*'01_WBS'!$L$2:$L$65*'01_WBS'!$M$2:$M$65)/SUMPRODUCT(('01_WBS'!$A$2:$A$65=$A10)*'01_WBS'!$M$2:$M$65)/100)</f>
        <v/>
      </c>
      <c r="I10" s="17" t="inlineStr">
        <is>
          <t>2026-08</t>
        </is>
      </c>
      <c r="J10" s="17" t="inlineStr">
        <is>
          <t>2027-02</t>
        </is>
      </c>
      <c r="K10" s="16" t="inlineStr">
        <is>
          <t>**協議会の開催回数・時期が未定。工程が引けない**</t>
        </is>
      </c>
    </row>
    <row r="11">
      <c r="A11" s="16" t="inlineStr">
        <is>
          <t>P10 完成・納品</t>
        </is>
      </c>
      <c r="B11" s="17">
        <f>COUNTIF('01_WBS'!$A$2:$A$65,$A11)</f>
        <v/>
      </c>
      <c r="C11" s="17">
        <f>COUNTIFS('01_WBS'!$A$2:$A$65,$A11,'01_WBS'!$K$2:$K$65,"完了")</f>
        <v/>
      </c>
      <c r="D11" s="17">
        <f>COUNTIFS('01_WBS'!$A$2:$A$65,$A11,'01_WBS'!$K$2:$K$65,"進行中")</f>
        <v/>
      </c>
      <c r="E11" s="17">
        <f>COUNTIFS('01_WBS'!$A$2:$A$65,$A11,'01_WBS'!$K$2:$K$65,"要対応")</f>
        <v/>
      </c>
      <c r="F11" s="17">
        <f>COUNTIFS('01_WBS'!$A$2:$A$65,$A11,'01_WBS'!$K$2:$K$65,"データ待ち")</f>
        <v/>
      </c>
      <c r="G11" s="17">
        <f>COUNTIFS('01_WBS'!$A$2:$A$65,$A11,'01_WBS'!$K$2:$K$65,"未着手")</f>
        <v/>
      </c>
      <c r="H11" s="25">
        <f>IF(SUMPRODUCT(('01_WBS'!$A$2:$A$65=$A11)*'01_WBS'!$M$2:$M$65)=0,0,SUMPRODUCT(('01_WBS'!$A$2:$A$65=$A11)*'01_WBS'!$L$2:$L$65*'01_WBS'!$M$2:$M$65)/SUMPRODUCT(('01_WBS'!$A$2:$A$65=$A11)*'01_WBS'!$M$2:$M$65)/100)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IF(SUM('01_WBS'!$M$2:$M$65)=0,0,SUMPRODUCT('01_WBS'!$L$2:$L$65,'01_WBS'!$M$2:$M$65)/SUM('01_WBS'!$M$2:$M$65)/100)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COUNTIF('01_WBS'!$E$2:$E$65,$A2)</f>
        <v/>
      </c>
      <c r="D2" s="17">
        <f>COUNTIFS('01_WBS'!$E$2:$E$65,$A2,'01_WBS'!$K$2:$K$65,"完了")</f>
        <v/>
      </c>
      <c r="E2" s="17">
        <f>COUNTIFS('01_WBS'!$E$2:$E$65,$A2,'01_WBS'!$K$2:$K$65,"進行中")</f>
        <v/>
      </c>
      <c r="F2" s="17">
        <f>COUNTIFS('01_WBS'!$E$2:$E$65,$A2,'01_WBS'!$K$2:$K$65,"要対応")</f>
        <v/>
      </c>
      <c r="G2" s="17">
        <f>COUNTIFS('01_WBS'!$E$2:$E$65,$A2,'01_WBS'!$K$2:$K$65,"データ待ち")</f>
        <v/>
      </c>
      <c r="H2" s="17">
        <f>COUNTIFS('01_WBS'!$E$2:$E$65,$A2,'01_WBS'!$K$2:$K$65,"未着手")</f>
        <v/>
      </c>
      <c r="I2" s="25">
        <f>IF(SUMPRODUCT(('01_WBS'!$E$2:$E$65=$A2)*'01_WBS'!$M$2:$M$65)=0,"―",SUMPRODUCT(('01_WBS'!$E$2:$E$65=$A2)*'01_WBS'!$L$2:$L$65*'01_WBS'!$M$2:$M$65)/SUMPRODUCT(('01_WBS'!$E$2:$E$65=$A2)*'01_WBS'!$M$2:$M$65)/100)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COUNTIF('01_WBS'!$E$2:$E$65,$A3)</f>
        <v/>
      </c>
      <c r="D3" s="17">
        <f>COUNTIFS('01_WBS'!$E$2:$E$65,$A3,'01_WBS'!$K$2:$K$65,"完了")</f>
        <v/>
      </c>
      <c r="E3" s="17">
        <f>COUNTIFS('01_WBS'!$E$2:$E$65,$A3,'01_WBS'!$K$2:$K$65,"進行中")</f>
        <v/>
      </c>
      <c r="F3" s="17">
        <f>COUNTIFS('01_WBS'!$E$2:$E$65,$A3,'01_WBS'!$K$2:$K$65,"要対応")</f>
        <v/>
      </c>
      <c r="G3" s="17">
        <f>COUNTIFS('01_WBS'!$E$2:$E$65,$A3,'01_WBS'!$K$2:$K$65,"データ待ち")</f>
        <v/>
      </c>
      <c r="H3" s="17">
        <f>COUNTIFS('01_WBS'!$E$2:$E$65,$A3,'01_WBS'!$K$2:$K$65,"未着手")</f>
        <v/>
      </c>
      <c r="I3" s="25">
        <f>IF(SUMPRODUCT(('01_WBS'!$E$2:$E$65=$A3)*'01_WBS'!$M$2:$M$65)=0,"―",SUMPRODUCT(('01_WBS'!$E$2:$E$65=$A3)*'01_WBS'!$L$2:$L$65*'01_WBS'!$M$2:$M$65)/SUMPRODUCT(('01_WBS'!$E$2:$E$65=$A3)*'01_WBS'!$M$2:$M$65)/100)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COUNTIF('01_WBS'!$E$2:$E$65,$A4)</f>
        <v/>
      </c>
      <c r="D4" s="17">
        <f>COUNTIFS('01_WBS'!$E$2:$E$65,$A4,'01_WBS'!$K$2:$K$65,"完了")</f>
        <v/>
      </c>
      <c r="E4" s="17">
        <f>COUNTIFS('01_WBS'!$E$2:$E$65,$A4,'01_WBS'!$K$2:$K$65,"進行中")</f>
        <v/>
      </c>
      <c r="F4" s="17">
        <f>COUNTIFS('01_WBS'!$E$2:$E$65,$A4,'01_WBS'!$K$2:$K$65,"要対応")</f>
        <v/>
      </c>
      <c r="G4" s="17">
        <f>COUNTIFS('01_WBS'!$E$2:$E$65,$A4,'01_WBS'!$K$2:$K$65,"データ待ち")</f>
        <v/>
      </c>
      <c r="H4" s="17">
        <f>COUNTIFS('01_WBS'!$E$2:$E$65,$A4,'01_WBS'!$K$2:$K$65,"未着手")</f>
        <v/>
      </c>
      <c r="I4" s="25">
        <f>IF(SUMPRODUCT(('01_WBS'!$E$2:$E$65=$A4)*'01_WBS'!$M$2:$M$65)=0,"―",SUMPRODUCT(('01_WBS'!$E$2:$E$65=$A4)*'01_WBS'!$L$2:$L$65*'01_WBS'!$M$2:$M$65)/SUMPRODUCT(('01_WBS'!$E$2:$E$65=$A4)*'01_WBS'!$M$2:$M$65)/100)</f>
        <v/>
      </c>
      <c r="J4" s="16" t="inlineStr">
        <is>
          <t>成果品①は第5版。町の給付実績で数値を確定する段階</t>
        </is>
      </c>
    </row>
    <row r="5">
      <c r="A5" s="16" t="inlineStr">
        <is>
          <t>B4 令和7年度調査結果の反映</t>
        </is>
      </c>
      <c r="B5" s="16" t="inlineStr">
        <is>
          <t>4(1)③</t>
        </is>
      </c>
      <c r="C5" s="17">
        <f>COUNTIF('01_WBS'!$E$2:$E$65,$A5)</f>
        <v/>
      </c>
      <c r="D5" s="17">
        <f>COUNTIFS('01_WBS'!$E$2:$E$65,$A5,'01_WBS'!$K$2:$K$65,"完了")</f>
        <v/>
      </c>
      <c r="E5" s="17">
        <f>COUNTIFS('01_WBS'!$E$2:$E$65,$A5,'01_WBS'!$K$2:$K$65,"進行中")</f>
        <v/>
      </c>
      <c r="F5" s="17">
        <f>COUNTIFS('01_WBS'!$E$2:$E$65,$A5,'01_WBS'!$K$2:$K$65,"要対応")</f>
        <v/>
      </c>
      <c r="G5" s="17">
        <f>COUNTIFS('01_WBS'!$E$2:$E$65,$A5,'01_WBS'!$K$2:$K$65,"データ待ち")</f>
        <v/>
      </c>
      <c r="H5" s="17">
        <f>COUNTIFS('01_WBS'!$E$2:$E$65,$A5,'01_WBS'!$K$2:$K$65,"未着手")</f>
        <v/>
      </c>
      <c r="I5" s="25">
        <f>IF(SUMPRODUCT(('01_WBS'!$E$2:$E$65=$A5)*'01_WBS'!$M$2:$M$65)=0,"―",SUMPRODUCT(('01_WBS'!$E$2:$E$65=$A5)*'01_WBS'!$L$2:$L$65*'01_WBS'!$M$2:$M$65)/SUMPRODUCT(('01_WBS'!$E$2:$E$65=$A5)*'01_WBS'!$M$2:$M$65)/100)</f>
        <v/>
      </c>
      <c r="J5" s="16" t="inlineStr">
        <is>
          <t>**単純集計は完了。個票がないとクロス集計17件ができない**</t>
        </is>
      </c>
    </row>
    <row r="6">
      <c r="A6" s="16" t="inlineStr">
        <is>
          <t>B5 事業量推計・保険料算出・介護財政</t>
        </is>
      </c>
      <c r="B6" s="16" t="inlineStr">
        <is>
          <t>4(2)</t>
        </is>
      </c>
      <c r="C6" s="17">
        <f>COUNTIF('01_WBS'!$E$2:$E$65,$A6)</f>
        <v/>
      </c>
      <c r="D6" s="17">
        <f>COUNTIFS('01_WBS'!$E$2:$E$65,$A6,'01_WBS'!$K$2:$K$65,"完了")</f>
        <v/>
      </c>
      <c r="E6" s="17">
        <f>COUNTIFS('01_WBS'!$E$2:$E$65,$A6,'01_WBS'!$K$2:$K$65,"進行中")</f>
        <v/>
      </c>
      <c r="F6" s="17">
        <f>COUNTIFS('01_WBS'!$E$2:$E$65,$A6,'01_WBS'!$K$2:$K$65,"要対応")</f>
        <v/>
      </c>
      <c r="G6" s="17">
        <f>COUNTIFS('01_WBS'!$E$2:$E$65,$A6,'01_WBS'!$K$2:$K$65,"データ待ち")</f>
        <v/>
      </c>
      <c r="H6" s="17">
        <f>COUNTIFS('01_WBS'!$E$2:$E$65,$A6,'01_WBS'!$K$2:$K$65,"未着手")</f>
        <v/>
      </c>
      <c r="I6" s="25">
        <f>IF(SUMPRODUCT(('01_WBS'!$E$2:$E$65=$A6)*'01_WBS'!$M$2:$M$65)=0,"―",SUMPRODUCT(('01_WBS'!$E$2:$E$65=$A6)*'01_WBS'!$L$2:$L$65*'01_WBS'!$M$2:$M$65)/SUMPRODUCT(('01_WBS'!$E$2:$E$65=$A6)*'01_WBS'!$M$2:$M$65)/100)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COUNTIF('01_WBS'!$E$2:$E$65,$A7)</f>
        <v/>
      </c>
      <c r="D7" s="17">
        <f>COUNTIFS('01_WBS'!$E$2:$E$65,$A7,'01_WBS'!$K$2:$K$65,"完了")</f>
        <v/>
      </c>
      <c r="E7" s="17">
        <f>COUNTIFS('01_WBS'!$E$2:$E$65,$A7,'01_WBS'!$K$2:$K$65,"進行中")</f>
        <v/>
      </c>
      <c r="F7" s="17">
        <f>COUNTIFS('01_WBS'!$E$2:$E$65,$A7,'01_WBS'!$K$2:$K$65,"要対応")</f>
        <v/>
      </c>
      <c r="G7" s="17">
        <f>COUNTIFS('01_WBS'!$E$2:$E$65,$A7,'01_WBS'!$K$2:$K$65,"データ待ち")</f>
        <v/>
      </c>
      <c r="H7" s="17">
        <f>COUNTIFS('01_WBS'!$E$2:$E$65,$A7,'01_WBS'!$K$2:$K$65,"未着手")</f>
        <v/>
      </c>
      <c r="I7" s="25">
        <f>IF(SUMPRODUCT(('01_WBS'!$E$2:$E$65=$A7)*'01_WBS'!$M$2:$M$65)=0,"―",SUMPRODUCT(('01_WBS'!$E$2:$E$65=$A7)*'01_WBS'!$L$2:$L$65*'01_WBS'!$M$2:$M$65)/SUMPRODUCT(('01_WBS'!$E$2:$E$65=$A7)*'01_WBS'!$M$2:$M$65)/100)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COUNTIF('01_WBS'!$E$2:$E$65,$A8)</f>
        <v/>
      </c>
      <c r="D8" s="17">
        <f>COUNTIFS('01_WBS'!$E$2:$E$65,$A8,'01_WBS'!$K$2:$K$65,"完了")</f>
        <v/>
      </c>
      <c r="E8" s="17">
        <f>COUNTIFS('01_WBS'!$E$2:$E$65,$A8,'01_WBS'!$K$2:$K$65,"進行中")</f>
        <v/>
      </c>
      <c r="F8" s="17">
        <f>COUNTIFS('01_WBS'!$E$2:$E$65,$A8,'01_WBS'!$K$2:$K$65,"要対応")</f>
        <v/>
      </c>
      <c r="G8" s="17">
        <f>COUNTIFS('01_WBS'!$E$2:$E$65,$A8,'01_WBS'!$K$2:$K$65,"データ待ち")</f>
        <v/>
      </c>
      <c r="H8" s="17">
        <f>COUNTIFS('01_WBS'!$E$2:$E$65,$A8,'01_WBS'!$K$2:$K$65,"未着手")</f>
        <v/>
      </c>
      <c r="I8" s="25">
        <f>IF(SUMPRODUCT(('01_WBS'!$E$2:$E$65=$A8)*'01_WBS'!$M$2:$M$65)=0,"―",SUMPRODUCT(('01_WBS'!$E$2:$E$65=$A8)*'01_WBS'!$L$2:$L$65*'01_WBS'!$M$2:$M$65)/SUMPRODUCT(('01_WBS'!$E$2:$E$65=$A8)*'01_WBS'!$M$2:$M$65)/100)</f>
        <v/>
      </c>
      <c r="J8" s="16" t="inlineStr">
        <is>
          <t>パブリックコメント後に着手する。時期が来ていない</t>
        </is>
      </c>
    </row>
    <row r="9">
      <c r="A9" s="16" t="inlineStr">
        <is>
          <t>B8 協議会・パブリックコメントの支援</t>
        </is>
      </c>
      <c r="B9" s="16" t="inlineStr">
        <is>
          <t>4(5)</t>
        </is>
      </c>
      <c r="C9" s="17">
        <f>COUNTIF('01_WBS'!$E$2:$E$65,$A9)</f>
        <v/>
      </c>
      <c r="D9" s="17">
        <f>COUNTIFS('01_WBS'!$E$2:$E$65,$A9,'01_WBS'!$K$2:$K$65,"完了")</f>
        <v/>
      </c>
      <c r="E9" s="17">
        <f>COUNTIFS('01_WBS'!$E$2:$E$65,$A9,'01_WBS'!$K$2:$K$65,"進行中")</f>
        <v/>
      </c>
      <c r="F9" s="17">
        <f>COUNTIFS('01_WBS'!$E$2:$E$65,$A9,'01_WBS'!$K$2:$K$65,"要対応")</f>
        <v/>
      </c>
      <c r="G9" s="17">
        <f>COUNTIFS('01_WBS'!$E$2:$E$65,$A9,'01_WBS'!$K$2:$K$65,"データ待ち")</f>
        <v/>
      </c>
      <c r="H9" s="17">
        <f>COUNTIFS('01_WBS'!$E$2:$E$65,$A9,'01_WBS'!$K$2:$K$65,"未着手")</f>
        <v/>
      </c>
      <c r="I9" s="25">
        <f>IF(SUMPRODUCT(('01_WBS'!$E$2:$E$65=$A9)*'01_WBS'!$M$2:$M$65)=0,"―",SUMPRODUCT(('01_WBS'!$E$2:$E$65=$A9)*'01_WBS'!$L$2:$L$65*'01_WBS'!$M$2:$M$65)/SUMPRODUCT(('01_WBS'!$E$2:$E$65=$A9)*'01_WBS'!$M$2:$M$65)/100)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COUNTIF('01_WBS'!$E$2:$E$65,$A10)</f>
        <v/>
      </c>
      <c r="D10" s="17">
        <f>COUNTIFS('01_WBS'!$E$2:$E$65,$A10,'01_WBS'!$K$2:$K$65,"完了")</f>
        <v/>
      </c>
      <c r="E10" s="17">
        <f>COUNTIFS('01_WBS'!$E$2:$E$65,$A10,'01_WBS'!$K$2:$K$65,"進行中")</f>
        <v/>
      </c>
      <c r="F10" s="17">
        <f>COUNTIFS('01_WBS'!$E$2:$E$65,$A10,'01_WBS'!$K$2:$K$65,"要対応")</f>
        <v/>
      </c>
      <c r="G10" s="17">
        <f>COUNTIFS('01_WBS'!$E$2:$E$65,$A10,'01_WBS'!$K$2:$K$65,"データ待ち")</f>
        <v/>
      </c>
      <c r="H10" s="17">
        <f>COUNTIFS('01_WBS'!$E$2:$E$65,$A10,'01_WBS'!$K$2:$K$65,"未着手")</f>
        <v/>
      </c>
      <c r="I10" s="25">
        <f>IF(SUMPRODUCT(('01_WBS'!$E$2:$E$65=$A10)*'01_WBS'!$M$2:$M$65)=0,"―",SUMPRODUCT(('01_WBS'!$E$2:$E$65=$A10)*'01_WBS'!$L$2:$L$65*'01_WBS'!$M$2:$M$65)/SUMPRODUCT(('01_WBS'!$E$2:$E$65=$A10)*'01_WBS'!$M$2:$M$65)/100)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COUNTIF('01_WBS'!$E$2:$E$65,$A11)</f>
        <v/>
      </c>
      <c r="D11" s="17">
        <f>COUNTIFS('01_WBS'!$E$2:$E$65,$A11,'01_WBS'!$K$2:$K$65,"完了")</f>
        <v/>
      </c>
      <c r="E11" s="17">
        <f>COUNTIFS('01_WBS'!$E$2:$E$65,$A11,'01_WBS'!$K$2:$K$65,"進行中")</f>
        <v/>
      </c>
      <c r="F11" s="17">
        <f>COUNTIFS('01_WBS'!$E$2:$E$65,$A11,'01_WBS'!$K$2:$K$65,"要対応")</f>
        <v/>
      </c>
      <c r="G11" s="17">
        <f>COUNTIFS('01_WBS'!$E$2:$E$65,$A11,'01_WBS'!$K$2:$K$65,"データ待ち")</f>
        <v/>
      </c>
      <c r="H11" s="17">
        <f>COUNTIFS('01_WBS'!$E$2:$E$65,$A11,'01_WBS'!$K$2:$K$65,"未着手")</f>
        <v/>
      </c>
      <c r="I11" s="25">
        <f>IF(SUMPRODUCT(('01_WBS'!$E$2:$E$65=$A11)*'01_WBS'!$M$2:$M$65)=0,"―",SUMPRODUCT(('01_WBS'!$E$2:$E$65=$A11)*'01_WBS'!$L$2:$L$65*'01_WBS'!$M$2:$M$65)/SUMPRODUCT(('01_WBS'!$E$2:$E$65=$A11)*'01_WBS'!$M$2:$M$65)/100)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COUNTIF('01_WBS'!$E$2:$E$65,$A12)</f>
        <v/>
      </c>
      <c r="D12" s="17">
        <f>COUNTIFS('01_WBS'!$E$2:$E$65,$A12,'01_WBS'!$K$2:$K$65,"完了")</f>
        <v/>
      </c>
      <c r="E12" s="17">
        <f>COUNTIFS('01_WBS'!$E$2:$E$65,$A12,'01_WBS'!$K$2:$K$65,"進行中")</f>
        <v/>
      </c>
      <c r="F12" s="17">
        <f>COUNTIFS('01_WBS'!$E$2:$E$65,$A12,'01_WBS'!$K$2:$K$65,"要対応")</f>
        <v/>
      </c>
      <c r="G12" s="17">
        <f>COUNTIFS('01_WBS'!$E$2:$E$65,$A12,'01_WBS'!$K$2:$K$65,"データ待ち")</f>
        <v/>
      </c>
      <c r="H12" s="17">
        <f>COUNTIFS('01_WBS'!$E$2:$E$65,$A12,'01_WBS'!$K$2:$K$65,"未着手")</f>
        <v/>
      </c>
      <c r="I12" s="25">
        <f>IF(SUMPRODUCT(('01_WBS'!$E$2:$E$65=$A12)*'01_WBS'!$M$2:$M$65)=0,"―",SUMPRODUCT(('01_WBS'!$E$2:$E$65=$A12)*'01_WBS'!$L$2:$L$65*'01_WBS'!$M$2:$M$65)/SUMPRODUCT(('01_WBS'!$E$2:$E$65=$A12)*'01_WBS'!$M$2:$M$65)/100)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IF(SUM('01_WBS'!$M$2:$M$65)=0,0,SUMPRODUCT('01_WBS'!$L$2:$L$65,'01_WBS'!$M$2:$M$65)/SUM('01_WBS'!$M$2:$M$65)/100)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2026-09-28T14:14:23Z</dcterms:created>
  <dcterms:modified xmlns:dcterms="http://purl.org/dc/terms/" xmlns:xsi="http://www.w3.org/2001/XMLSchema-instance" xsi:type="dcterms:W3CDTF">2026-09-28T14:14:23Z</dcterms:modified>
</cp:coreProperties>
</file>