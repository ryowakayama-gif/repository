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'01_WBS'!$A$1:$O$65</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3" borderId="1" applyAlignment="1" pivotButton="0" quotePrefix="0" xfId="0">
      <alignment horizontal="center" vertical="center"/>
    </xf>
    <xf numFmtId="0" fontId="6" fillId="5" borderId="1" applyAlignment="1" pivotButton="0" quotePrefix="0" xfId="0">
      <alignment horizontal="center" vertical="center"/>
    </xf>
    <xf numFmtId="0" fontId="6"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0" borderId="0"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基準日：令和8年9月15日</t>
        </is>
      </c>
    </row>
    <row r="4">
      <c r="A4" s="2" t="inlineStr">
        <is>
          <t>全体進捗</t>
        </is>
      </c>
      <c r="B4" s="3">
        <f>'02_段階サマリ'!H12</f>
        <v/>
      </c>
      <c r="C4" t="inlineStr"/>
      <c r="D4" s="2" t="inlineStr">
        <is>
          <t>作業数</t>
        </is>
      </c>
      <c r="E4" s="4">
        <f>'02_段階サマリ'!B12</f>
        <v/>
      </c>
      <c r="F4" t="inlineStr"/>
      <c r="G4" s="2" t="inlineStr">
        <is>
          <t>完了</t>
        </is>
      </c>
      <c r="H4" s="4">
        <f>'02_段階サマリ'!C12</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5">
      <c r="A15" s="6">
        <f>'02_段階サマリ'!A10</f>
        <v/>
      </c>
      <c r="B15" s="7">
        <f>'02_段階サマリ'!B10</f>
        <v/>
      </c>
      <c r="C15" s="8">
        <f>'02_段階サマリ'!H10</f>
        <v/>
      </c>
      <c r="D15" s="9">
        <f>'02_段階サマリ'!K10</f>
        <v/>
      </c>
      <c r="E15" s="6" t="n"/>
      <c r="F15" s="6" t="n"/>
      <c r="G15" s="6" t="n"/>
      <c r="H15" s="6" t="n"/>
    </row>
    <row r="16">
      <c r="A16" s="6">
        <f>'02_段階サマリ'!A11</f>
        <v/>
      </c>
      <c r="B16" s="7">
        <f>'02_段階サマリ'!B11</f>
        <v/>
      </c>
      <c r="C16" s="8">
        <f>'02_段階サマリ'!H11</f>
        <v/>
      </c>
      <c r="D16" s="9">
        <f>'02_段階サマリ'!K11</f>
        <v/>
      </c>
      <c r="E16" s="6" t="n"/>
      <c r="F16" s="6" t="n"/>
      <c r="G16" s="6" t="n"/>
      <c r="H16" s="6" t="n"/>
    </row>
    <row r="18">
      <c r="A18" s="10" t="inlineStr">
        <is>
          <t>■ 仕様書の業務ブロック別</t>
        </is>
      </c>
    </row>
    <row r="19">
      <c r="A19" s="5" t="inlineStr">
        <is>
          <t>仕様書ブロック</t>
        </is>
      </c>
      <c r="B19" s="5" t="inlineStr">
        <is>
          <t>作業数</t>
        </is>
      </c>
      <c r="C19" s="5" t="inlineStr">
        <is>
          <t>加重進捗率</t>
        </is>
      </c>
      <c r="D19" s="5" t="inlineStr">
        <is>
          <t>現況・律速</t>
        </is>
      </c>
    </row>
    <row r="20">
      <c r="A20" s="6">
        <f>'10_ブロック別進捗'!A2</f>
        <v/>
      </c>
      <c r="B20" s="7">
        <f>'10_ブロック別進捗'!C2</f>
        <v/>
      </c>
      <c r="C20" s="8">
        <f>'10_ブロック別進捗'!I2</f>
        <v/>
      </c>
      <c r="D20" s="9">
        <f>'10_ブロック別進捗'!J2</f>
        <v/>
      </c>
      <c r="E20" s="6" t="n"/>
      <c r="F20" s="6" t="n"/>
      <c r="G20" s="6" t="n"/>
      <c r="H20" s="6" t="n"/>
    </row>
    <row r="21">
      <c r="A21" s="6">
        <f>'10_ブロック別進捗'!A3</f>
        <v/>
      </c>
      <c r="B21" s="7">
        <f>'10_ブロック別進捗'!C3</f>
        <v/>
      </c>
      <c r="C21" s="8">
        <f>'10_ブロック別進捗'!I3</f>
        <v/>
      </c>
      <c r="D21" s="9">
        <f>'10_ブロック別進捗'!J3</f>
        <v/>
      </c>
      <c r="E21" s="6" t="n"/>
      <c r="F21" s="6" t="n"/>
      <c r="G21" s="6" t="n"/>
      <c r="H21" s="6" t="n"/>
    </row>
    <row r="22">
      <c r="A22" s="6">
        <f>'10_ブロック別進捗'!A4</f>
        <v/>
      </c>
      <c r="B22" s="7">
        <f>'10_ブロック別進捗'!C4</f>
        <v/>
      </c>
      <c r="C22" s="8">
        <f>'10_ブロック別進捗'!I4</f>
        <v/>
      </c>
      <c r="D22" s="9">
        <f>'10_ブロック別進捗'!J4</f>
        <v/>
      </c>
      <c r="E22" s="6" t="n"/>
      <c r="F22" s="6" t="n"/>
      <c r="G22" s="6" t="n"/>
      <c r="H22" s="6" t="n"/>
    </row>
    <row r="23">
      <c r="A23" s="6">
        <f>'10_ブロック別進捗'!A5</f>
        <v/>
      </c>
      <c r="B23" s="7">
        <f>'10_ブロック別進捗'!C5</f>
        <v/>
      </c>
      <c r="C23" s="8">
        <f>'10_ブロック別進捗'!I5</f>
        <v/>
      </c>
      <c r="D23" s="9">
        <f>'10_ブロック別進捗'!J5</f>
        <v/>
      </c>
      <c r="E23" s="6" t="n"/>
      <c r="F23" s="6" t="n"/>
      <c r="G23" s="6" t="n"/>
      <c r="H23" s="6" t="n"/>
    </row>
    <row r="24">
      <c r="A24" s="6">
        <f>'10_ブロック別進捗'!A6</f>
        <v/>
      </c>
      <c r="B24" s="7">
        <f>'10_ブロック別進捗'!C6</f>
        <v/>
      </c>
      <c r="C24" s="8">
        <f>'10_ブロック別進捗'!I6</f>
        <v/>
      </c>
      <c r="D24" s="9">
        <f>'10_ブロック別進捗'!J6</f>
        <v/>
      </c>
      <c r="E24" s="6" t="n"/>
      <c r="F24" s="6" t="n"/>
      <c r="G24" s="6" t="n"/>
      <c r="H24" s="6" t="n"/>
    </row>
    <row r="25">
      <c r="A25" s="6">
        <f>'10_ブロック別進捗'!A7</f>
        <v/>
      </c>
      <c r="B25" s="7">
        <f>'10_ブロック別進捗'!C7</f>
        <v/>
      </c>
      <c r="C25" s="8">
        <f>'10_ブロック別進捗'!I7</f>
        <v/>
      </c>
      <c r="D25" s="9">
        <f>'10_ブロック別進捗'!J7</f>
        <v/>
      </c>
      <c r="E25" s="6" t="n"/>
      <c r="F25" s="6" t="n"/>
      <c r="G25" s="6" t="n"/>
      <c r="H25" s="6" t="n"/>
    </row>
    <row r="26">
      <c r="A26" s="6">
        <f>'10_ブロック別進捗'!A8</f>
        <v/>
      </c>
      <c r="B26" s="7">
        <f>'10_ブロック別進捗'!C8</f>
        <v/>
      </c>
      <c r="C26" s="8">
        <f>'10_ブロック別進捗'!I8</f>
        <v/>
      </c>
      <c r="D26" s="9">
        <f>'10_ブロック別進捗'!J8</f>
        <v/>
      </c>
      <c r="E26" s="6" t="n"/>
      <c r="F26" s="6" t="n"/>
      <c r="G26" s="6" t="n"/>
      <c r="H26" s="6" t="n"/>
    </row>
    <row r="27">
      <c r="A27" s="6">
        <f>'10_ブロック別進捗'!A9</f>
        <v/>
      </c>
      <c r="B27" s="7">
        <f>'10_ブロック別進捗'!C9</f>
        <v/>
      </c>
      <c r="C27" s="8">
        <f>'10_ブロック別進捗'!I9</f>
        <v/>
      </c>
      <c r="D27" s="9">
        <f>'10_ブロック別進捗'!J9</f>
        <v/>
      </c>
      <c r="E27" s="6" t="n"/>
      <c r="F27" s="6" t="n"/>
      <c r="G27" s="6" t="n"/>
      <c r="H27" s="6" t="n"/>
    </row>
    <row r="28">
      <c r="A28" s="6">
        <f>'10_ブロック別進捗'!A10</f>
        <v/>
      </c>
      <c r="B28" s="7">
        <f>'10_ブロック別進捗'!C10</f>
        <v/>
      </c>
      <c r="C28" s="8">
        <f>'10_ブロック別進捗'!I10</f>
        <v/>
      </c>
      <c r="D28" s="9">
        <f>'10_ブロック別進捗'!J10</f>
        <v/>
      </c>
      <c r="E28" s="6" t="n"/>
      <c r="F28" s="6" t="n"/>
      <c r="G28" s="6" t="n"/>
      <c r="H28" s="6" t="n"/>
    </row>
    <row r="29">
      <c r="A29" s="6">
        <f>'10_ブロック別進捗'!A11</f>
        <v/>
      </c>
      <c r="B29" s="7">
        <f>'10_ブロック別進捗'!C11</f>
        <v/>
      </c>
      <c r="C29" s="8">
        <f>'10_ブロック別進捗'!I11</f>
        <v/>
      </c>
      <c r="D29" s="9">
        <f>'10_ブロック別進捗'!J11</f>
        <v/>
      </c>
      <c r="E29" s="6" t="n"/>
      <c r="F29" s="6" t="n"/>
      <c r="G29" s="6" t="n"/>
      <c r="H29" s="6" t="n"/>
    </row>
    <row r="30">
      <c r="A30" s="6">
        <f>'10_ブロック別進捗'!A12</f>
        <v/>
      </c>
      <c r="B30" s="7">
        <f>'10_ブロック別進捗'!C12</f>
        <v/>
      </c>
      <c r="C30" s="8">
        <f>'10_ブロック別進捗'!I12</f>
        <v/>
      </c>
      <c r="D30" s="9">
        <f>'10_ブロック別進捗'!J12</f>
        <v/>
      </c>
      <c r="E30" s="6" t="n"/>
      <c r="F30" s="6" t="n"/>
      <c r="G30" s="6" t="n"/>
      <c r="H30" s="6" t="n"/>
    </row>
    <row r="32">
      <c r="A32" s="10" t="inlineStr">
        <is>
          <t>■ 現況</t>
        </is>
      </c>
    </row>
    <row r="33">
      <c r="A33" s="11" t="inlineStr">
        <is>
          <t>見える化システムによる分析は12分野135ファイルを取り込み、実質的に完了した。認定者数は平成19年3月末〜令和8年3月末の20期分を、要介護度別・年齢階層別・被保険者区分別で確定させた。</t>
        </is>
      </c>
    </row>
    <row r="34">
      <c r="A34" s="11" t="inlineStr">
        <is>
          <t>成果品6件のうち3件（①第5版・③第3版・④第2版）が初稿段階に達し、②は算定シートの構築まで進んだ。</t>
        </is>
      </c>
    </row>
    <row r="35">
      <c r="A35" s="11"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36">
      <c r="A36" s="11"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37">
      <c r="A37" s="11"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38">
      <c r="A38" s="11" t="inlineStr">
        <is>
          <t>**あわせて、介護給付費準備基金の保有額が12.0百万円しかないことが判明した。**第9期は基金取崩35.0百万円を見込んでいた。歳入歳出差引残額は144.2百万円あるため、繰越金として滞留している。令和4年度末の基金は120.0百万円で、令和5年度末に1桁減っており、確認を要する。</t>
        </is>
      </c>
    </row>
    <row r="39">
      <c r="A39" s="11" t="inlineStr">
        <is>
          <t>令和7年度調査の結果は集計結果・分析報告書として取りまとめ、素案第2版に反映した。**在宅の要介護認定者の42.1％がサービスを利用しておらず、その理由の92.9％が需要側の要因で、供給制約は0.6％であった。**これにより第10期の施策方向を、供給確保から認定運用の確認・利用意向への働きかけ・レスパイトへ組み替えた。</t>
        </is>
      </c>
    </row>
    <row r="40">
      <c r="A40" s="11" t="inlineStr">
        <is>
          <t>算定シートには受領した実績を投入した。人口推計（令和9〜11年）、令和7年度の年齢階層別認定率（65〜74歳3.92％／75〜84歳18.72％／85歳以上71.63％）、所得段階別被保険者数13段階と小野町が定める保険料率、収納率99.35％を入力済みである。</t>
        </is>
      </c>
    </row>
    <row r="41">
      <c r="A41" s="11" t="inlineStr">
        <is>
          <t>**年報 様式2から29のサービス区分について令和3〜7年度の件数・単位数・費用額・給付費を取り出し、サービス別の単価と見込量を試算した。**正規化後の合計は様式2の総計と全年度・介護／予防別に一致しており、取りこぼしも二重計上もない。推計の分母は第1号被保険者数とした。給付件数総計を各分母で割ったときの変動係数が**第1号被保険者数1.63％に対し認定者数5.18％**であり、認定者数は令和7年9月の計上変更で断層があるためである。**令和7年9月審査分の断層は認定者数にだけ現れ、受給者数は連続している（認定者▲11.4％に対し受給者計▲3.9％、利用率＋8.4％）。**見える化の3段連鎖（第1号×認定率×利用率）に組み替えると、断層後にそろえた場合の差は3年計で▲1.0％（月額59円）にとどまる。</t>
        </is>
      </c>
    </row>
    <row r="42">
      <c r="A42" s="11" t="inlineStr">
        <is>
          <t>**第10期（令和9〜11年度）の総給付費は3年計3,043,066千円、標準給付費は3,280,604千円で、第9期の見込み3,566,486千円の92.0％である。**この見込量に地域支援事業費（年報 様式4 の令和6年度決算・3年計191,749千円）を加えて算式を通すと、保険料基準額は月額6,558円（基金取崩なし）となる。第9期は6,600円であった。**ただし調整交付金・基金取崩額・第1号被保険者負担割合のいずれもが未確定であり、確定値ではない。**</t>
        </is>
      </c>
    </row>
    <row r="43">
      <c r="A43" s="11" t="inlineStr">
        <is>
          <t>**第9期計画の見込みと実績の対比を確定させた。**標準給付費に対する実績は令和6年度98.6％、令和7年度91.1％（▲106,199千円）。特定入所者介護サービス費は101.8％・95.8％でほぼ計画どおりであり、下振れが施設利用の減少によるものではないことを確認した。</t>
        </is>
      </c>
    </row>
    <row r="44">
      <c r="A44" s="11" t="inlineStr">
        <is>
          <t>**2計画の人口推計の出典の差を定量化した。**65歳以上は令和11年度で3,418人と3,422人、差は4人であり、介護保険の算定結果は出典を変えても動かない。**一方0〜14歳は697人と517人、180人（35％）の差があり、人口比率型で組んでいる障がい児サービスの見込量が3割以上動く。**住基実績を基準年とし第10期推計の変化率で延ばす案を町に諮る。</t>
        </is>
      </c>
    </row>
    <row r="46">
      <c r="A46" s="10" t="inlineStr">
        <is>
          <t>■ 警戒事項</t>
        </is>
      </c>
    </row>
    <row r="47">
      <c r="A47" s="12" t="inlineStr">
        <is>
          <t>#</t>
        </is>
      </c>
      <c r="B47" s="12" t="inlineStr">
        <is>
          <t>内容</t>
        </is>
      </c>
      <c r="C47" s="12" t="inlineStr">
        <is>
          <t>影響</t>
        </is>
      </c>
      <c r="D47" s="12" t="inlineStr">
        <is>
          <t>対応</t>
        </is>
      </c>
    </row>
    <row r="48">
      <c r="A48" s="9" t="n">
        <v>1</v>
      </c>
      <c r="B48" s="9" t="inlineStr">
        <is>
          <t>第10期の第1号被保険者負担割合と調整交付金が未確定</t>
        </is>
      </c>
      <c r="C48" s="9" t="inlineStr">
        <is>
          <t>**保険料の水準を左右するのは給付費の精度ではなく制度側の2つ。負担割合1ptで月額303円、調整交付金の見込交付割合1ptで295円動く（給付費に直すと5％分に相当）**</t>
        </is>
      </c>
      <c r="D48" s="9" t="inlineStr">
        <is>
          <t>**負担割合は3年の計画期間ごとに政令で定まる。第1期17％から3年ごとに1ptずつ上がっており、第10期は24％となる可能性がある。第10期の政令の公布状況を確認する。調整交付金は見える化の係数シート（全国値）で確認する**</t>
        </is>
      </c>
      <c r="E48" s="9" t="n"/>
      <c r="F48" s="9" t="n"/>
      <c r="G48" s="9" t="n"/>
      <c r="H48" s="9" t="n"/>
    </row>
    <row r="49">
      <c r="A49" s="9" t="n">
        <v>2</v>
      </c>
      <c r="B49" s="9" t="inlineStr">
        <is>
          <t>見える化システムへの入力作業が未着手</t>
        </is>
      </c>
      <c r="C49" s="9" t="inlineStr">
        <is>
          <t>仕様書4(2)が求める成果（将来推計総括表）が出せない。**総括表がないため、サービス別の対計画比が計画期をまたいで求められず、伸びの偏りの補正（手引き手順7）に進めない**</t>
        </is>
      </c>
      <c r="D49" s="9" t="inlineStr">
        <is>
          <t>**アカウントと作業範囲を町と確定する（依頼票C5）。入力時は令和8年度のチェックを外し、伸びは令和6年度→令和7年度を選び、施策反映の画面は編集しない（川崎町の事例）**</t>
        </is>
      </c>
      <c r="E49" s="9" t="n"/>
      <c r="F49" s="9" t="n"/>
      <c r="G49" s="9" t="n"/>
      <c r="H49" s="9" t="n"/>
    </row>
    <row r="50">
      <c r="A50" s="9" t="n">
        <v>3</v>
      </c>
      <c r="B50" s="9" t="inlineStr">
        <is>
          <t>認定者数の減少は計上の変更の可能性が高い</t>
        </is>
      </c>
      <c r="C50" s="9" t="inlineStr">
        <is>
          <t>認定者数ベースで給付費を推計すると過小になる（令和7年度は認定者▲16.1％に対し給付費▲7.4％）</t>
        </is>
      </c>
      <c r="D50" s="9" t="inlineStr">
        <is>
          <t>**令和7年9月審査分の1か月に▲99人が集中し、同月の給付件数は減っていない。令和7年8〜9月の計上方法の変更を町に確認する。見込量は受給者数・給付費の実績を基礎に組む**</t>
        </is>
      </c>
      <c r="E50" s="9" t="n"/>
      <c r="F50" s="9" t="n"/>
      <c r="G50" s="9" t="n"/>
      <c r="H50" s="9" t="n"/>
    </row>
    <row r="51">
      <c r="A51" s="9" t="n">
        <v>4</v>
      </c>
      <c r="B51" s="9" t="inlineStr">
        <is>
          <t>介護給付費準備基金の保有額が12.0百万円しかない</t>
        </is>
      </c>
      <c r="C51" s="9" t="inlineStr">
        <is>
          <t>第9期が見込んだ基金取崩35.0百万円は実行できない。保険料水準の判断に直結する</t>
        </is>
      </c>
      <c r="D51" s="9" t="inlineStr">
        <is>
          <t>**令和4年度末120.0百万円から令和5年度末12.0百万円へ1桁減っている。取崩実績か入力誤りかを町に確認する。繰越金144.2百万円の基金積立も選択肢**</t>
        </is>
      </c>
      <c r="E51" s="9" t="n"/>
      <c r="F51" s="9" t="n"/>
      <c r="G51" s="9" t="n"/>
      <c r="H51" s="9" t="n"/>
    </row>
    <row r="52">
      <c r="A52" s="9" t="n">
        <v>5</v>
      </c>
      <c r="B52" s="9" t="inlineStr">
        <is>
          <t>高齢者福祉サービス推進協議会の開催回数・時期が未定</t>
        </is>
      </c>
      <c r="C52" s="9" t="inlineStr">
        <is>
          <t>工程が引けず、パブリックコメント・印刷の日程も確定できない</t>
        </is>
      </c>
      <c r="D52" s="9" t="inlineStr">
        <is>
          <t>**仕様書に回数の指定がない。**受託者案（4回）を提示して町と確定する（依頼票C4）</t>
        </is>
      </c>
      <c r="E52" s="9" t="n"/>
      <c r="F52" s="9" t="n"/>
      <c r="G52" s="9" t="n"/>
      <c r="H52" s="9" t="n"/>
    </row>
    <row r="53">
      <c r="A53" s="9" t="n">
        <v>6</v>
      </c>
      <c r="B53" s="9" t="inlineStr">
        <is>
          <t>通いの場の実態が把握できていない</t>
        </is>
      </c>
      <c r="C53" s="9" t="inlineStr">
        <is>
          <t>第9期の介護予防施策を評価できず、第10期の最重点施策も設計できない</t>
        </is>
      </c>
      <c r="D53" s="9" t="inlineStr">
        <is>
          <t>見える化は0か所、調査は週1回以上5.5％（約190人規模）。町の事業実績で確認する（依頼票H3）</t>
        </is>
      </c>
      <c r="E53" s="9" t="n"/>
      <c r="F53" s="9" t="n"/>
      <c r="G53" s="9" t="n"/>
      <c r="H53" s="9" t="n"/>
    </row>
    <row r="54">
      <c r="A54" s="9" t="n">
        <v>7</v>
      </c>
      <c r="B54" s="9" t="inlineStr">
        <is>
          <t>印刷工程が確保されていない</t>
        </is>
      </c>
      <c r="C54" s="9" t="inlineStr">
        <is>
          <t>計画書50部・概要版50部が納期に間に合わない</t>
        </is>
      </c>
      <c r="D54" s="9" t="inlineStr">
        <is>
          <t>令和9年2月下旬の校了から逆算し、12月までに印刷業者を押さえる</t>
        </is>
      </c>
      <c r="E54" s="9" t="n"/>
      <c r="F54" s="9" t="n"/>
      <c r="G54" s="9" t="n"/>
      <c r="H54" s="9" t="n"/>
    </row>
    <row r="55">
      <c r="A55" s="9" t="n">
        <v>8</v>
      </c>
      <c r="B55" s="9" t="inlineStr">
        <is>
          <t>見える化システムへの入力作業が未着手</t>
        </is>
      </c>
      <c r="C55" s="9" t="inlineStr">
        <is>
          <t>出力の分析だけでは仕様書4(2)を満たさない</t>
        </is>
      </c>
      <c r="D55" s="9" t="inlineStr">
        <is>
          <t>アカウント・権限・作業範囲・時期を町と確認する（依頼票C5）</t>
        </is>
      </c>
      <c r="E55" s="9" t="n"/>
      <c r="F55" s="9" t="n"/>
      <c r="G55" s="9" t="n"/>
      <c r="H55" s="9" t="n"/>
    </row>
    <row r="57">
      <c r="A57" s="10" t="inlineStr">
        <is>
          <t>■ 直近のマイルストーン</t>
        </is>
      </c>
    </row>
    <row r="58">
      <c r="A58" s="12" t="inlineStr">
        <is>
          <t>時期</t>
        </is>
      </c>
      <c r="B58" s="12" t="inlineStr">
        <is>
          <t>内容</t>
        </is>
      </c>
      <c r="C58" s="12" t="inlineStr">
        <is>
          <t>状態</t>
        </is>
      </c>
      <c r="D58" s="12" t="inlineStr">
        <is>
          <t>前提</t>
        </is>
      </c>
    </row>
    <row r="59">
      <c r="A59" s="9" t="inlineStr">
        <is>
          <t>令和8年9月8日</t>
        </is>
      </c>
      <c r="B59" s="9" t="inlineStr">
        <is>
          <t>**年報5年分・国保連月報28か月・将来推計人口を受領**</t>
        </is>
      </c>
      <c r="C59" s="13" t="inlineStr">
        <is>
          <t>完了</t>
        </is>
      </c>
      <c r="D59" s="9" t="inlineStr">
        <is>
          <t>認定者数792人を確認。算定シートに実績を投入済み</t>
        </is>
      </c>
      <c r="E59" s="9" t="n"/>
      <c r="F59" s="9" t="n"/>
      <c r="G59" s="9" t="n"/>
      <c r="H59" s="9" t="n"/>
    </row>
    <row r="60">
      <c r="A60" s="9" t="inlineStr">
        <is>
          <t>令和8年9月中</t>
        </is>
      </c>
      <c r="B60" s="9" t="inlineStr">
        <is>
          <t>**令和7年8〜9月の計上変更の照会／基金残高の確認**</t>
        </is>
      </c>
      <c r="C60" s="14" t="inlineStr">
        <is>
          <t>要対応</t>
        </is>
      </c>
      <c r="D60" s="9" t="inlineStr">
        <is>
          <t>町への照会</t>
        </is>
      </c>
      <c r="E60" s="9" t="n"/>
      <c r="F60" s="9" t="n"/>
      <c r="G60" s="9" t="n"/>
      <c r="H60" s="9" t="n"/>
    </row>
    <row r="61">
      <c r="A61" s="9" t="inlineStr">
        <is>
          <t>令和8年9月中</t>
        </is>
      </c>
      <c r="B61" s="9" t="inlineStr">
        <is>
          <t>**サービス別単価の算出と見込量の試算（受給者数ベース）**</t>
        </is>
      </c>
      <c r="C61" s="14" t="inlineStr">
        <is>
          <t>要対応</t>
        </is>
      </c>
      <c r="D61" s="9" t="inlineStr">
        <is>
          <t>年報 様式2の5年分から算出できる</t>
        </is>
      </c>
      <c r="E61" s="9" t="n"/>
      <c r="F61" s="9" t="n"/>
      <c r="G61" s="9" t="n"/>
      <c r="H61" s="9" t="n"/>
    </row>
    <row r="62">
      <c r="A62" s="9" t="inlineStr">
        <is>
          <t>令和8年9〜10月</t>
        </is>
      </c>
      <c r="B62" s="9" t="inlineStr">
        <is>
          <t>協議会 第1回（第9期の評価・調査結果）</t>
        </is>
      </c>
      <c r="C62" s="14" t="inlineStr">
        <is>
          <t>要対応</t>
        </is>
      </c>
      <c r="D62" s="9" t="inlineStr">
        <is>
          <t>**資料は作成済み。開催日が未定**</t>
        </is>
      </c>
      <c r="E62" s="9" t="n"/>
      <c r="F62" s="9" t="n"/>
      <c r="G62" s="9" t="n"/>
      <c r="H62" s="9" t="n"/>
    </row>
    <row r="63">
      <c r="A63" s="9" t="inlineStr">
        <is>
          <t>令和8年10月</t>
        </is>
      </c>
      <c r="B63" s="9" t="inlineStr">
        <is>
          <t>**認定者数の確定 → 見込量の推計 → 見える化への入力**</t>
        </is>
      </c>
      <c r="C63" s="15" t="inlineStr">
        <is>
          <t>未着手</t>
        </is>
      </c>
      <c r="D63" s="9" t="inlineStr">
        <is>
          <t>認定者数の確認</t>
        </is>
      </c>
      <c r="E63" s="9" t="n"/>
      <c r="F63" s="9" t="n"/>
      <c r="G63" s="9" t="n"/>
      <c r="H63" s="9" t="n"/>
    </row>
    <row r="64">
      <c r="A64" s="9" t="inlineStr">
        <is>
          <t>令和8年11月</t>
        </is>
      </c>
      <c r="B64" s="9" t="inlineStr">
        <is>
          <t>保険料のケース別算定、協議会 第2回</t>
        </is>
      </c>
      <c r="C64" s="15" t="inlineStr">
        <is>
          <t>未着手</t>
        </is>
      </c>
      <c r="D64" s="9" t="inlineStr">
        <is>
          <t>見込量の確定</t>
        </is>
      </c>
      <c r="E64" s="9" t="n"/>
      <c r="F64" s="9" t="n"/>
      <c r="G64" s="9" t="n"/>
      <c r="H64" s="9" t="n"/>
    </row>
    <row r="65">
      <c r="A65" s="9" t="inlineStr">
        <is>
          <t>令和8年12月</t>
        </is>
      </c>
      <c r="B65" s="9" t="inlineStr">
        <is>
          <t>素案の確定、協議会 第3回</t>
        </is>
      </c>
      <c r="C65" s="15" t="inlineStr">
        <is>
          <t>未着手</t>
        </is>
      </c>
      <c r="D65" s="9" t="inlineStr">
        <is>
          <t>保険料の算定</t>
        </is>
      </c>
      <c r="E65" s="9" t="n"/>
      <c r="F65" s="9" t="n"/>
      <c r="G65" s="9" t="n"/>
      <c r="H65" s="9" t="n"/>
    </row>
    <row r="66">
      <c r="A66" s="9" t="inlineStr">
        <is>
          <t>令和9年1月</t>
        </is>
      </c>
      <c r="B66" s="9" t="inlineStr">
        <is>
          <t>パブリックコメント（1か月）</t>
        </is>
      </c>
      <c r="C66" s="15" t="inlineStr">
        <is>
          <t>未着手</t>
        </is>
      </c>
      <c r="D66" s="9" t="inlineStr">
        <is>
          <t>素案の確定</t>
        </is>
      </c>
      <c r="E66" s="9" t="n"/>
      <c r="F66" s="9" t="n"/>
      <c r="G66" s="9" t="n"/>
      <c r="H66" s="9" t="n"/>
    </row>
    <row r="67">
      <c r="A67" s="9" t="inlineStr">
        <is>
          <t>令和9年2月下旬</t>
        </is>
      </c>
      <c r="B67" s="9" t="inlineStr">
        <is>
          <t>**計画書の校了・下版（動かせない期限）**</t>
        </is>
      </c>
      <c r="C67" s="15" t="inlineStr">
        <is>
          <t>未着手</t>
        </is>
      </c>
      <c r="D67" s="9" t="inlineStr">
        <is>
          <t>パブコメ対応</t>
        </is>
      </c>
      <c r="E67" s="9" t="n"/>
      <c r="F67" s="9" t="n"/>
      <c r="G67" s="9" t="n"/>
      <c r="H67" s="9" t="n"/>
    </row>
    <row r="68">
      <c r="A68" s="9" t="inlineStr">
        <is>
          <t>令和9年3月31日</t>
        </is>
      </c>
      <c r="B68" s="9" t="inlineStr">
        <is>
          <t>納品（業務期間の末日）</t>
        </is>
      </c>
      <c r="C68" s="15" t="inlineStr">
        <is>
          <t>未着手</t>
        </is>
      </c>
      <c r="D68" s="9" t="inlineStr">
        <is>
          <t>全成果品の完成</t>
        </is>
      </c>
      <c r="E68" s="9" t="n"/>
      <c r="F68" s="9" t="n"/>
      <c r="G68" s="9" t="n"/>
      <c r="H68"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6" t="inlineStr">
        <is>
          <t>P1 準備・現状把握</t>
        </is>
      </c>
      <c r="B2" s="17" t="inlineStr">
        <is>
          <t>1-1</t>
        </is>
      </c>
      <c r="C2" s="16" t="inlineStr">
        <is>
          <t>契約・体制の確立、キックオフ</t>
        </is>
      </c>
      <c r="D2" s="16" t="inlineStr">
        <is>
          <t>実施体制、役割分担、連絡系統</t>
        </is>
      </c>
      <c r="E2" s="16" t="inlineStr">
        <is>
          <t>B10 業務管理・計画の基本的な考え方</t>
        </is>
      </c>
      <c r="F2" s="17" t="inlineStr">
        <is>
          <t>公告10⑥（技術者の配置）</t>
        </is>
      </c>
      <c r="G2" s="16" t="inlineStr">
        <is>
          <t>【公告10⑥】研究員は「見える化」システムやニーズ調査など各種データから介護給付費の統計分析により将来のサービス量を推計し計画化できる者（公告第1-19号 10⑥）</t>
        </is>
      </c>
      <c r="H2" s="17" t="inlineStr">
        <is>
          <t>受託者</t>
        </is>
      </c>
      <c r="I2" s="17" t="inlineStr">
        <is>
          <t>2026-06</t>
        </is>
      </c>
      <c r="J2" s="17" t="inlineStr">
        <is>
          <t>2026-07</t>
        </is>
      </c>
      <c r="K2" s="18" t="inlineStr">
        <is>
          <t>完了</t>
        </is>
      </c>
      <c r="L2" s="19" t="n">
        <v>100</v>
      </c>
      <c r="M2" s="20" t="n">
        <v>2</v>
      </c>
      <c r="N2" s="16" t="inlineStr">
        <is>
          <t>キックオフ資料・業務計画書（02_キックオフ・業務計画）</t>
        </is>
      </c>
      <c r="O2" s="16" t="inlineStr">
        <is>
          <t>―</t>
        </is>
      </c>
      <c r="P2" s="21" t="n"/>
      <c r="Q2" s="21" t="n"/>
      <c r="R2" s="21" t="n"/>
      <c r="S2" s="21" t="n"/>
      <c r="T2" s="21" t="n"/>
      <c r="U2" s="21" t="n"/>
      <c r="V2" s="21" t="n"/>
      <c r="W2" s="21" t="n"/>
    </row>
    <row r="3">
      <c r="A3" s="16" t="inlineStr">
        <is>
          <t>P1 準備・現状把握</t>
        </is>
      </c>
      <c r="B3" s="17" t="inlineStr">
        <is>
          <t>1-2</t>
        </is>
      </c>
      <c r="C3" s="16" t="inlineStr">
        <is>
          <t>引継ぎ資料の整理</t>
        </is>
      </c>
      <c r="D3" s="16" t="inlineStr">
        <is>
          <t>前受託者からの引継ぎ資料の棚卸しと索引化</t>
        </is>
      </c>
      <c r="E3" s="16" t="inlineStr">
        <is>
          <t>B10 業務管理・計画の基本的な考え方</t>
        </is>
      </c>
      <c r="F3" s="17" t="inlineStr">
        <is>
          <t>仕様書全般</t>
        </is>
      </c>
      <c r="G3" s="16" t="inlineStr">
        <is>
          <t>【全般】委託仕様書及び公告の全体（成果品要件・工程・作業分担の確認）</t>
        </is>
      </c>
      <c r="H3" s="17" t="inlineStr">
        <is>
          <t>受託者</t>
        </is>
      </c>
      <c r="I3" s="17" t="inlineStr">
        <is>
          <t>2026-07</t>
        </is>
      </c>
      <c r="J3" s="17" t="inlineStr">
        <is>
          <t>2026-07</t>
        </is>
      </c>
      <c r="K3" s="18" t="inlineStr">
        <is>
          <t>完了</t>
        </is>
      </c>
      <c r="L3" s="19" t="n">
        <v>100</v>
      </c>
      <c r="M3" s="20" t="n">
        <v>2</v>
      </c>
      <c r="N3" s="16" t="inlineStr">
        <is>
          <t>manifest_全ファイル（207ファイル）</t>
        </is>
      </c>
      <c r="O3" s="16" t="inlineStr">
        <is>
          <t>―</t>
        </is>
      </c>
      <c r="P3" s="21" t="n"/>
      <c r="Q3" s="21" t="n"/>
      <c r="R3" s="21" t="n"/>
      <c r="S3" s="21" t="n"/>
      <c r="T3" s="21" t="n"/>
      <c r="U3" s="21" t="n"/>
      <c r="V3" s="21" t="n"/>
      <c r="W3" s="21" t="n"/>
    </row>
    <row r="4">
      <c r="A4" s="16" t="inlineStr">
        <is>
          <t>P1 準備・現状把握</t>
        </is>
      </c>
      <c r="B4" s="17" t="inlineStr">
        <is>
          <t>1-3</t>
        </is>
      </c>
      <c r="C4" s="16" t="inlineStr">
        <is>
          <t>委託仕様書の確認と適合性チェック</t>
        </is>
      </c>
      <c r="D4" s="16" t="inlineStr">
        <is>
          <t>原典4件（公告・仕様書×2計画）を読み、成果品要件・工程・作業分担を確定</t>
        </is>
      </c>
      <c r="E4" s="16" t="inlineStr">
        <is>
          <t>B10 業務管理・計画の基本的な考え方</t>
        </is>
      </c>
      <c r="F4" s="17" t="inlineStr">
        <is>
          <t>仕様書全般</t>
        </is>
      </c>
      <c r="G4" s="16" t="inlineStr">
        <is>
          <t>【全般】委託仕様書及び公告の全体（成果品要件・工程・作業分担の確認）</t>
        </is>
      </c>
      <c r="H4" s="17" t="inlineStr">
        <is>
          <t>受託者</t>
        </is>
      </c>
      <c r="I4" s="17" t="inlineStr">
        <is>
          <t>2026-08</t>
        </is>
      </c>
      <c r="J4" s="17" t="inlineStr">
        <is>
          <t>2026-08</t>
        </is>
      </c>
      <c r="K4" s="18" t="inlineStr">
        <is>
          <t>完了</t>
        </is>
      </c>
      <c r="L4" s="19" t="n">
        <v>100</v>
      </c>
      <c r="M4" s="20" t="n">
        <v>3</v>
      </c>
      <c r="N4" s="16" t="inlineStr">
        <is>
          <t>仕様書適合性チェック 第2版（00_引継ぎ）。初版8/3、第2版8/13</t>
        </is>
      </c>
      <c r="O4" s="16" t="inlineStr">
        <is>
          <t>―</t>
        </is>
      </c>
      <c r="P4" s="21" t="n"/>
      <c r="Q4" s="21" t="n"/>
      <c r="R4" s="21" t="n"/>
      <c r="S4" s="21" t="n"/>
      <c r="T4" s="21" t="n"/>
      <c r="U4" s="21" t="n"/>
      <c r="V4" s="21" t="n"/>
      <c r="W4" s="21" t="n"/>
    </row>
    <row r="5">
      <c r="A5" s="16" t="inlineStr">
        <is>
          <t>P1 準備・現状把握</t>
        </is>
      </c>
      <c r="B5" s="17" t="inlineStr">
        <is>
          <t>1-4</t>
        </is>
      </c>
      <c r="C5" s="16" t="inlineStr">
        <is>
          <t>第9期計画本文の確認</t>
        </is>
      </c>
      <c r="D5" s="16" t="inlineStr">
        <is>
          <t>5章構成・基本理念・3基本目標・14施策、標準給付費3,566,486千円、保険料6,600円の算定根拠</t>
        </is>
      </c>
      <c r="E5" s="16" t="inlineStr">
        <is>
          <t>B1 現状分析（基礎データ・資料の整理分析）</t>
        </is>
      </c>
      <c r="F5" s="17" t="inlineStr">
        <is>
          <t>仕様書4(1)</t>
        </is>
      </c>
      <c r="G5" s="16"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17" t="inlineStr">
        <is>
          <t>受託者</t>
        </is>
      </c>
      <c r="I5" s="17" t="inlineStr">
        <is>
          <t>2026-08</t>
        </is>
      </c>
      <c r="J5" s="17" t="inlineStr">
        <is>
          <t>2026-08</t>
        </is>
      </c>
      <c r="K5" s="18" t="inlineStr">
        <is>
          <t>完了</t>
        </is>
      </c>
      <c r="L5" s="19" t="n">
        <v>100</v>
      </c>
      <c r="M5" s="20" t="n">
        <v>3</v>
      </c>
      <c r="N5" s="16" t="inlineStr">
        <is>
          <t>第9期計画本文（13_関連計画）。骨子案第3版・成果品①第5版に反映</t>
        </is>
      </c>
      <c r="O5" s="16" t="inlineStr">
        <is>
          <t>―</t>
        </is>
      </c>
      <c r="P5" s="21" t="n"/>
      <c r="Q5" s="21" t="n"/>
      <c r="R5" s="21" t="n"/>
      <c r="S5" s="21" t="n"/>
      <c r="T5" s="21" t="n"/>
      <c r="U5" s="21" t="n"/>
      <c r="V5" s="21" t="n"/>
      <c r="W5" s="21" t="n"/>
    </row>
    <row r="6">
      <c r="A6" s="16" t="inlineStr">
        <is>
          <t>P1 準備・現状把握</t>
        </is>
      </c>
      <c r="B6" s="17" t="inlineStr">
        <is>
          <t>1-5</t>
        </is>
      </c>
      <c r="C6" s="16" t="inlineStr">
        <is>
          <t>第3期地域福祉計画との役割分担の整理</t>
        </is>
      </c>
      <c r="D6" s="16" t="inlineStr">
        <is>
          <t>重複5施策を特定。成年後見は移管、虐待防止・災害対応・支え合いは連携</t>
        </is>
      </c>
      <c r="E6" s="16" t="inlineStr">
        <is>
          <t>B10 業務管理・計画の基本的な考え方</t>
        </is>
      </c>
      <c r="F6" s="17" t="inlineStr">
        <is>
          <t>仕様書2(2)</t>
        </is>
      </c>
      <c r="G6" s="16" t="inlineStr">
        <is>
          <t>【2(2)】国が示す第10期計画に関する基本的な考え方を踏まえた上で、本町の特性を活かした計画とする。</t>
        </is>
      </c>
      <c r="H6" s="17" t="inlineStr">
        <is>
          <t>受託者</t>
        </is>
      </c>
      <c r="I6" s="17" t="inlineStr">
        <is>
          <t>2026-08</t>
        </is>
      </c>
      <c r="J6" s="17" t="inlineStr">
        <is>
          <t>2026-08</t>
        </is>
      </c>
      <c r="K6" s="18" t="inlineStr">
        <is>
          <t>完了</t>
        </is>
      </c>
      <c r="L6" s="19" t="n">
        <v>100</v>
      </c>
      <c r="M6" s="20" t="n">
        <v>2</v>
      </c>
      <c r="N6" s="16" t="inlineStr">
        <is>
          <t>地域福祉計画との整合確認メモ（03_計画素案）</t>
        </is>
      </c>
      <c r="O6" s="16" t="inlineStr">
        <is>
          <t>―</t>
        </is>
      </c>
      <c r="P6" s="21" t="n"/>
      <c r="Q6" s="21" t="n"/>
      <c r="R6" s="21" t="n"/>
      <c r="S6" s="21" t="n"/>
      <c r="T6" s="21" t="n"/>
      <c r="U6" s="21" t="n"/>
      <c r="V6" s="21" t="n"/>
      <c r="W6" s="21" t="n"/>
    </row>
    <row r="7">
      <c r="A7" s="16" t="inlineStr">
        <is>
          <t>P1 準備・現状把握</t>
        </is>
      </c>
      <c r="B7" s="17" t="inlineStr">
        <is>
          <t>1-6</t>
        </is>
      </c>
      <c r="C7" s="16" t="inlineStr">
        <is>
          <t>町への資料依頼票の作成</t>
        </is>
      </c>
      <c r="D7" s="16" t="inlineStr">
        <is>
          <t>依頼35項目＋確認事項12件。基準日・年度範囲・単位・様式まで指定</t>
        </is>
      </c>
      <c r="E7" s="16" t="inlineStr">
        <is>
          <t>B10 業務管理・計画の基本的な考え方</t>
        </is>
      </c>
      <c r="F7" s="17" t="inlineStr">
        <is>
          <t>仕様書5(1)（資料は町が貸与）</t>
        </is>
      </c>
      <c r="G7" s="16" t="inlineStr">
        <is>
          <t>【5(1)】本業務の実施に必要な資料等は、小野町が受託者に貸与するものとする。</t>
        </is>
      </c>
      <c r="H7" s="17" t="inlineStr">
        <is>
          <t>受託者</t>
        </is>
      </c>
      <c r="I7" s="17" t="inlineStr">
        <is>
          <t>2026-08</t>
        </is>
      </c>
      <c r="J7" s="17" t="inlineStr">
        <is>
          <t>2026-08</t>
        </is>
      </c>
      <c r="K7" s="18" t="inlineStr">
        <is>
          <t>完了</t>
        </is>
      </c>
      <c r="L7" s="19" t="n">
        <v>100</v>
      </c>
      <c r="M7" s="20" t="n">
        <v>2</v>
      </c>
      <c r="N7" s="16" t="inlineStr">
        <is>
          <t>小野町_データ依頼票（16_町データ依頼）</t>
        </is>
      </c>
      <c r="O7" s="16" t="inlineStr">
        <is>
          <t>―</t>
        </is>
      </c>
      <c r="P7" s="21" t="n"/>
      <c r="Q7" s="21" t="n"/>
      <c r="R7" s="21" t="n"/>
      <c r="S7" s="21" t="n"/>
      <c r="T7" s="21" t="n"/>
      <c r="U7" s="21" t="n"/>
      <c r="V7" s="21" t="n"/>
      <c r="W7" s="21" t="n"/>
    </row>
    <row r="8">
      <c r="A8" s="16" t="inlineStr">
        <is>
          <t>P1 準備・現状把握</t>
        </is>
      </c>
      <c r="B8" s="17" t="inlineStr">
        <is>
          <t>1-7</t>
        </is>
      </c>
      <c r="C8" s="16" t="inlineStr">
        <is>
          <t>町データの受領</t>
        </is>
      </c>
      <c r="D8" s="16" t="inlineStr">
        <is>
          <t>依頼票に基づく資料・データの受領</t>
        </is>
      </c>
      <c r="E8" s="16" t="inlineStr">
        <is>
          <t>B10 業務管理・計画の基本的な考え方</t>
        </is>
      </c>
      <c r="F8" s="17" t="inlineStr">
        <is>
          <t>仕様書5(1)</t>
        </is>
      </c>
      <c r="G8" s="16" t="inlineStr">
        <is>
          <t>【5(1)】本業務の実施に必要な資料等は、小野町が受託者に貸与するものとする。</t>
        </is>
      </c>
      <c r="H8" s="17" t="inlineStr">
        <is>
          <t>町</t>
        </is>
      </c>
      <c r="I8" s="17" t="inlineStr">
        <is>
          <t>2026-08</t>
        </is>
      </c>
      <c r="J8" s="17" t="inlineStr">
        <is>
          <t>2026-09</t>
        </is>
      </c>
      <c r="K8" s="20" t="inlineStr">
        <is>
          <t>進行中</t>
        </is>
      </c>
      <c r="L8" s="19" t="n">
        <v>70</v>
      </c>
      <c r="M8" s="20" t="n">
        <v>4</v>
      </c>
      <c r="N8" s="16" t="inlineStr">
        <is>
          <t>**9月8日に介護保険事業状況報告（年報）令和3〜7年度（各47様式）、国保連合会業務統計表（月報）28か月分、第10期将来推計用推計人口を受領。**依頼票のN1・S1〜S5が解決し、S7は令和6年度分のみ解決</t>
        </is>
      </c>
      <c r="O8" s="16" t="inlineStr">
        <is>
          <t>残るのは地域支援事業費の内訳（S6）、令和7年度決算（S7）、成果指標の現状値17項目（H1〜H17）</t>
        </is>
      </c>
      <c r="P8" s="21" t="n"/>
      <c r="Q8" s="21" t="n"/>
      <c r="R8" s="21" t="n"/>
      <c r="S8" s="21" t="n"/>
      <c r="T8" s="21" t="n"/>
      <c r="U8" s="21" t="n"/>
      <c r="V8" s="21" t="n"/>
      <c r="W8" s="21" t="n"/>
    </row>
    <row r="9">
      <c r="A9" s="16" t="inlineStr">
        <is>
          <t>P1 準備・現状把握</t>
        </is>
      </c>
      <c r="B9" s="17" t="inlineStr">
        <is>
          <t>1-8</t>
        </is>
      </c>
      <c r="C9" s="16" t="inlineStr">
        <is>
          <t>工程・協議会日程の合意と確認事項の照会</t>
        </is>
      </c>
      <c r="D9" s="16" t="inlineStr">
        <is>
          <t>高齢者計画の仕様書には工程表がないため、業務期間から逆算した工程と協議会の回数・時期を町と合意する。あわせて仕様書の疑義4件を照会する</t>
        </is>
      </c>
      <c r="E9" s="16" t="inlineStr">
        <is>
          <t>B10 業務管理・計画の基本的な考え方</t>
        </is>
      </c>
      <c r="F9" s="17" t="inlineStr">
        <is>
          <t>仕様書5(3)</t>
        </is>
      </c>
      <c r="G9" s="16" t="inlineStr">
        <is>
          <t>【5(3)】本仕様書に定めのない事項及び疑義が生じた場合は、小野町と受託者で協議するものとする。</t>
        </is>
      </c>
      <c r="H9" s="17" t="inlineStr">
        <is>
          <t>受託者・町</t>
        </is>
      </c>
      <c r="I9" s="17" t="inlineStr">
        <is>
          <t>2026-08</t>
        </is>
      </c>
      <c r="J9" s="17" t="inlineStr">
        <is>
          <t>2026-09</t>
        </is>
      </c>
      <c r="K9" s="22" t="inlineStr">
        <is>
          <t>要対応</t>
        </is>
      </c>
      <c r="L9" s="19" t="n">
        <v>30</v>
      </c>
      <c r="M9" s="20" t="n">
        <v>2</v>
      </c>
      <c r="N9" s="16" t="inlineStr">
        <is>
          <t>**工程変更協議資料と確認事項12件を作成済み（うち高齢者に係るもの8件）**</t>
        </is>
      </c>
      <c r="O9" s="16" t="inlineStr">
        <is>
          <t>**町との協議。協議会の回数が決まらないとP6・P8・P9・P10の日程が引けない**</t>
        </is>
      </c>
      <c r="P9" s="21" t="n"/>
      <c r="Q9" s="21" t="n"/>
      <c r="R9" s="21" t="n"/>
      <c r="S9" s="21" t="n"/>
      <c r="T9" s="21" t="n"/>
      <c r="U9" s="21" t="n"/>
      <c r="V9" s="21" t="n"/>
      <c r="W9" s="21" t="n"/>
    </row>
    <row r="10">
      <c r="A10" s="16" t="inlineStr">
        <is>
          <t>P2 統計分析</t>
        </is>
      </c>
      <c r="B10" s="17" t="inlineStr">
        <is>
          <t>2-1</t>
        </is>
      </c>
      <c r="C10" s="16" t="inlineStr">
        <is>
          <t>人口・世帯の分析</t>
        </is>
      </c>
      <c r="D10" s="16" t="inlineStr">
        <is>
          <t>総人口、高齢化率、前期・後期高齢者、世帯。令和32年まで推計</t>
        </is>
      </c>
      <c r="E10" s="16" t="inlineStr">
        <is>
          <t>B2 統計分析</t>
        </is>
      </c>
      <c r="F10" s="17" t="inlineStr">
        <is>
          <t>仕様書4(1)①ア</t>
        </is>
      </c>
      <c r="G10" s="16" t="inlineStr">
        <is>
          <t>【4(1)①ア】統計分析（ア）人口</t>
        </is>
      </c>
      <c r="H10" s="17" t="inlineStr">
        <is>
          <t>受託者</t>
        </is>
      </c>
      <c r="I10" s="17" t="inlineStr">
        <is>
          <t>2026-07</t>
        </is>
      </c>
      <c r="J10" s="17" t="inlineStr">
        <is>
          <t>2026-07</t>
        </is>
      </c>
      <c r="K10" s="18" t="inlineStr">
        <is>
          <t>完了</t>
        </is>
      </c>
      <c r="L10" s="19" t="n">
        <v>100</v>
      </c>
      <c r="M10" s="20" t="n">
        <v>3</v>
      </c>
      <c r="N10" s="16" t="inlineStr">
        <is>
          <t>基礎数値整理ブック（A系13ファイル）</t>
        </is>
      </c>
      <c r="O10" s="16" t="inlineStr">
        <is>
          <t>―</t>
        </is>
      </c>
      <c r="P10" s="21" t="n"/>
      <c r="Q10" s="21" t="n"/>
      <c r="R10" s="21" t="n"/>
      <c r="S10" s="21" t="n"/>
      <c r="T10" s="21" t="n"/>
      <c r="U10" s="21" t="n"/>
      <c r="V10" s="21" t="n"/>
      <c r="W10" s="21" t="n"/>
    </row>
    <row r="11">
      <c r="A11" s="16" t="inlineStr">
        <is>
          <t>P2 統計分析</t>
        </is>
      </c>
      <c r="B11" s="17" t="inlineStr">
        <is>
          <t>2-2</t>
        </is>
      </c>
      <c r="C11" s="16" t="inlineStr">
        <is>
          <t>第1号被保険者の分析</t>
        </is>
      </c>
      <c r="D11" s="16" t="inlineStr">
        <is>
          <t>被保険者数の推移と推計</t>
        </is>
      </c>
      <c r="E11" s="16" t="inlineStr">
        <is>
          <t>B2 統計分析</t>
        </is>
      </c>
      <c r="F11" s="17" t="inlineStr">
        <is>
          <t>仕様書4(1)①ア</t>
        </is>
      </c>
      <c r="G11" s="16" t="inlineStr">
        <is>
          <t>【4(1)①ア】統計分析（ア）人口</t>
        </is>
      </c>
      <c r="H11" s="17" t="inlineStr">
        <is>
          <t>受託者</t>
        </is>
      </c>
      <c r="I11" s="17" t="inlineStr">
        <is>
          <t>2026-07</t>
        </is>
      </c>
      <c r="J11" s="17" t="inlineStr">
        <is>
          <t>2026-07</t>
        </is>
      </c>
      <c r="K11" s="18" t="inlineStr">
        <is>
          <t>完了</t>
        </is>
      </c>
      <c r="L11" s="19" t="n">
        <v>100</v>
      </c>
      <c r="M11" s="20" t="n">
        <v>1</v>
      </c>
      <c r="N11" s="16" t="inlineStr">
        <is>
          <t>B系4ファイル</t>
        </is>
      </c>
      <c r="O11" s="16" t="inlineStr">
        <is>
          <t>―</t>
        </is>
      </c>
      <c r="P11" s="21" t="n"/>
      <c r="Q11" s="21" t="n"/>
      <c r="R11" s="21" t="n"/>
      <c r="S11" s="21" t="n"/>
      <c r="T11" s="21" t="n"/>
      <c r="U11" s="21" t="n"/>
      <c r="V11" s="21" t="n"/>
      <c r="W11" s="21" t="n"/>
    </row>
    <row r="12">
      <c r="A12" s="16" t="inlineStr">
        <is>
          <t>P2 統計分析</t>
        </is>
      </c>
      <c r="B12" s="17" t="inlineStr">
        <is>
          <t>2-3</t>
        </is>
      </c>
      <c r="C12" s="16" t="inlineStr">
        <is>
          <t>認定者数・認定率の分析</t>
        </is>
      </c>
      <c r="D12" s="16" t="inlineStr">
        <is>
          <t>平成19年3月末〜令和8年3月末の20期。要介護度別7区分・年齢階層別・被保険者区分別</t>
        </is>
      </c>
      <c r="E12" s="16" t="inlineStr">
        <is>
          <t>B2 統計分析</t>
        </is>
      </c>
      <c r="F12" s="17" t="inlineStr">
        <is>
          <t>仕様書4(1)①イ</t>
        </is>
      </c>
      <c r="G12" s="16" t="inlineStr">
        <is>
          <t>【4(1)①イ】統計分析（イ）要支援者数、要介護認定者数、認知症高齢者数</t>
        </is>
      </c>
      <c r="H12" s="17" t="inlineStr">
        <is>
          <t>受託者</t>
        </is>
      </c>
      <c r="I12" s="17" t="inlineStr">
        <is>
          <t>2026-08</t>
        </is>
      </c>
      <c r="J12" s="17" t="inlineStr">
        <is>
          <t>2026-08</t>
        </is>
      </c>
      <c r="K12" s="18" t="inlineStr">
        <is>
          <t>完了</t>
        </is>
      </c>
      <c r="L12" s="19" t="n">
        <v>100</v>
      </c>
      <c r="M12" s="20" t="n">
        <v>4</v>
      </c>
      <c r="N12" s="16" t="inlineStr">
        <is>
          <t>要支援要介護認定者数の整理（07_見える化整理・10シート）。第1号＋第2号＝全体を20期で検算済み</t>
        </is>
      </c>
      <c r="O12" s="16" t="inlineStr">
        <is>
          <t>―</t>
        </is>
      </c>
      <c r="P12" s="21" t="n"/>
      <c r="Q12" s="21" t="n"/>
      <c r="R12" s="21" t="n"/>
      <c r="S12" s="21" t="n"/>
      <c r="T12" s="21" t="n"/>
      <c r="U12" s="21" t="n"/>
      <c r="V12" s="21" t="n"/>
      <c r="W12" s="21" t="n"/>
    </row>
    <row r="13">
      <c r="A13" s="16" t="inlineStr">
        <is>
          <t>P2 統計分析</t>
        </is>
      </c>
      <c r="B13" s="17" t="inlineStr">
        <is>
          <t>2-4</t>
        </is>
      </c>
      <c r="C13" s="16" t="inlineStr">
        <is>
          <t>認定者数の異常値の検証</t>
        </is>
      </c>
      <c r="D13" s="16" t="inlineStr">
        <is>
          <t>令和8年3月末の▲152人（▲16.1％）の要因分析。県内59市町村との比較</t>
        </is>
      </c>
      <c r="E13" s="16" t="inlineStr">
        <is>
          <t>B2 統計分析</t>
        </is>
      </c>
      <c r="F13" s="17" t="inlineStr">
        <is>
          <t>仕様書4(1)①イ</t>
        </is>
      </c>
      <c r="G13" s="16" t="inlineStr">
        <is>
          <t>【4(1)①イ】統計分析（イ）要支援者数、要介護認定者数、認知症高齢者数</t>
        </is>
      </c>
      <c r="H13" s="17" t="inlineStr">
        <is>
          <t>受託者・町</t>
        </is>
      </c>
      <c r="I13" s="17" t="inlineStr">
        <is>
          <t>2026-08</t>
        </is>
      </c>
      <c r="J13" s="17" t="inlineStr">
        <is>
          <t>2026-10</t>
        </is>
      </c>
      <c r="K13" s="20" t="inlineStr">
        <is>
          <t>進行中</t>
        </is>
      </c>
      <c r="L13" s="19" t="n">
        <v>85</v>
      </c>
      <c r="M13" s="20" t="n">
        <v>5</v>
      </c>
      <c r="N13" s="16"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6" t="inlineStr">
        <is>
          <t>**「令和7年8〜9月に計上方法の変更がなかったか」に論点が絞られた。町外施設入所者の帰属、住所地特例、国保連の集計定義のいずれか**</t>
        </is>
      </c>
      <c r="P13" s="21" t="n"/>
      <c r="Q13" s="21" t="n"/>
      <c r="R13" s="21" t="n"/>
      <c r="S13" s="21" t="n"/>
      <c r="T13" s="21" t="n"/>
      <c r="U13" s="21" t="n"/>
      <c r="V13" s="21" t="n"/>
      <c r="W13" s="21" t="n"/>
    </row>
    <row r="14">
      <c r="A14" s="16" t="inlineStr">
        <is>
          <t>P2 統計分析</t>
        </is>
      </c>
      <c r="B14" s="17" t="inlineStr">
        <is>
          <t>2-5</t>
        </is>
      </c>
      <c r="C14" s="16" t="inlineStr">
        <is>
          <t>サービス受給者数の分析</t>
        </is>
      </c>
      <c r="D14" s="16" t="inlineStr">
        <is>
          <t>居宅・施設・地域密着型の受給者数</t>
        </is>
      </c>
      <c r="E14" s="16" t="inlineStr">
        <is>
          <t>B2 統計分析</t>
        </is>
      </c>
      <c r="F14" s="17" t="inlineStr">
        <is>
          <t>仕様書4(1)①ウ</t>
        </is>
      </c>
      <c r="G14" s="16" t="inlineStr">
        <is>
          <t>【4(1)①ウ】統計分析（ウ）居宅サービス・施設サービス・地域密着型サービスの受給者数</t>
        </is>
      </c>
      <c r="H14" s="17" t="inlineStr">
        <is>
          <t>受託者</t>
        </is>
      </c>
      <c r="I14" s="17" t="inlineStr">
        <is>
          <t>2026-07</t>
        </is>
      </c>
      <c r="J14" s="17" t="inlineStr">
        <is>
          <t>2026-08</t>
        </is>
      </c>
      <c r="K14" s="18" t="inlineStr">
        <is>
          <t>完了</t>
        </is>
      </c>
      <c r="L14" s="19" t="n">
        <v>100</v>
      </c>
      <c r="M14" s="20" t="n">
        <v>2</v>
      </c>
      <c r="N14" s="16" t="inlineStr">
        <is>
          <t>地域分析ブック（D1〜D4、D32系）</t>
        </is>
      </c>
      <c r="O14" s="16" t="inlineStr">
        <is>
          <t>―</t>
        </is>
      </c>
      <c r="P14" s="21" t="n"/>
      <c r="Q14" s="21" t="n"/>
      <c r="R14" s="21" t="n"/>
      <c r="S14" s="21" t="n"/>
      <c r="T14" s="21" t="n"/>
      <c r="U14" s="21" t="n"/>
      <c r="V14" s="21" t="n"/>
      <c r="W14" s="21" t="n"/>
    </row>
    <row r="15">
      <c r="A15" s="16" t="inlineStr">
        <is>
          <t>P2 統計分析</t>
        </is>
      </c>
      <c r="B15" s="17" t="inlineStr">
        <is>
          <t>2-6</t>
        </is>
      </c>
      <c r="C15" s="16" t="inlineStr">
        <is>
          <t>介護予防事業対象者数の分析</t>
        </is>
      </c>
      <c r="D15" s="16" t="inlineStr">
        <is>
          <t>総合事業対象者、通いの場参加者</t>
        </is>
      </c>
      <c r="E15" s="16" t="inlineStr">
        <is>
          <t>B2 統計分析</t>
        </is>
      </c>
      <c r="F15" s="17" t="inlineStr">
        <is>
          <t>仕様書4(1)①エ</t>
        </is>
      </c>
      <c r="G15" s="16" t="inlineStr">
        <is>
          <t>【4(1)①エ】統計分析（エ）介護予防事業対象者数</t>
        </is>
      </c>
      <c r="H15" s="17" t="inlineStr">
        <is>
          <t>受託者</t>
        </is>
      </c>
      <c r="I15" s="17" t="inlineStr">
        <is>
          <t>2026-08</t>
        </is>
      </c>
      <c r="J15" s="17" t="inlineStr">
        <is>
          <t>2026-09</t>
        </is>
      </c>
      <c r="K15" s="23" t="inlineStr">
        <is>
          <t>データ待ち</t>
        </is>
      </c>
      <c r="L15" s="19" t="n">
        <v>30</v>
      </c>
      <c r="M15" s="20" t="n">
        <v>3</v>
      </c>
      <c r="N15" s="16" t="inlineStr">
        <is>
          <t>**見える化は通いの場がR2まで、総合事業はR1・R2のみで値もほぼ空。**F7〜F14は本町の値が未登録</t>
        </is>
      </c>
      <c r="O15" s="16" t="inlineStr">
        <is>
          <t>**町の事業実績（依頼票H3）。見える化の0か所と調査の5.5％が整合しない**</t>
        </is>
      </c>
      <c r="P15" s="21" t="n"/>
      <c r="Q15" s="21" t="n"/>
      <c r="R15" s="21" t="n"/>
      <c r="S15" s="21" t="n"/>
      <c r="T15" s="21" t="n"/>
      <c r="U15" s="21" t="n"/>
      <c r="V15" s="21" t="n"/>
      <c r="W15" s="21" t="n"/>
    </row>
    <row r="16">
      <c r="A16" s="16" t="inlineStr">
        <is>
          <t>P2 統計分析</t>
        </is>
      </c>
      <c r="B16" s="17" t="inlineStr">
        <is>
          <t>2-7</t>
        </is>
      </c>
      <c r="C16" s="16" t="inlineStr">
        <is>
          <t>認知症高齢者の分析</t>
        </is>
      </c>
      <c r="D16" s="16" t="inlineStr">
        <is>
          <t>認知症高齢者の日常生活自立度、認知症施策の実施状況</t>
        </is>
      </c>
      <c r="E16" s="16" t="inlineStr">
        <is>
          <t>B2 統計分析</t>
        </is>
      </c>
      <c r="F16" s="17" t="inlineStr">
        <is>
          <t>仕様書4(1)①イ・2(3)</t>
        </is>
      </c>
      <c r="G16" s="16" t="inlineStr">
        <is>
          <t>【4(1)①イ】統計分析（イ）要支援者数、要介護認定者数、認知症高齢者数
【2(3)】国の「認知症施策推進基本計画」に基づく市町村計画も包含する計画とする。</t>
        </is>
      </c>
      <c r="H16" s="17" t="inlineStr">
        <is>
          <t>受託者</t>
        </is>
      </c>
      <c r="I16" s="17" t="inlineStr">
        <is>
          <t>2026-08</t>
        </is>
      </c>
      <c r="J16" s="17" t="inlineStr">
        <is>
          <t>2026-08</t>
        </is>
      </c>
      <c r="K16" s="20" t="inlineStr">
        <is>
          <t>進行中</t>
        </is>
      </c>
      <c r="L16" s="19" t="n">
        <v>60</v>
      </c>
      <c r="M16" s="20" t="n">
        <v>2</v>
      </c>
      <c r="N16" s="16" t="inlineStr">
        <is>
          <t>**J16〜J18を取得し、9月16日に基準日と県内59市町村での位置を確定した（認知症基本法への対応の点検・03_計画素案）。**自立度Ⅱaは平成24年4月末68人→令和6年10月末148人だが、**同じ期間に認定者数が635人→936人と1.47倍になっており、対認定者ではⅡaが10.7％→15.8％、Ⅱbは23.1％→18.9％と下がる。**推進員は令和3年3月1人→令和6年3月4人（降順19位・中央値3人）、初期集中支援チームの訪問は令和5年度0件（59市町村のうち30団体が0件・中央値0件）、カフェは令和6年4月1か所（中央値1か所）。**体制は県内の標準を満たしており、課題は体制ではなく活動実績である**</t>
        </is>
      </c>
      <c r="O16" s="16"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t>
        </is>
      </c>
      <c r="P16" s="21" t="n"/>
      <c r="Q16" s="21" t="n"/>
      <c r="R16" s="21" t="n"/>
      <c r="S16" s="21" t="n"/>
      <c r="T16" s="21" t="n"/>
      <c r="U16" s="21" t="n"/>
      <c r="V16" s="21" t="n"/>
      <c r="W16" s="21" t="n"/>
    </row>
    <row r="17">
      <c r="A17" s="16" t="inlineStr">
        <is>
          <t>P2 統計分析</t>
        </is>
      </c>
      <c r="B17" s="17" t="inlineStr">
        <is>
          <t>2-8</t>
        </is>
      </c>
      <c r="C17" s="16" t="inlineStr">
        <is>
          <t>サービス自給率の分析</t>
        </is>
      </c>
      <c r="D17" s="16" t="inlineStr">
        <is>
          <t>県内59市町村との比較。自給率67.57％</t>
        </is>
      </c>
      <c r="E17" s="16" t="inlineStr">
        <is>
          <t>B2 統計分析</t>
        </is>
      </c>
      <c r="F17" s="17" t="inlineStr">
        <is>
          <t>仕様書4(1)①オ</t>
        </is>
      </c>
      <c r="G17" s="16" t="inlineStr">
        <is>
          <t>【4(1)①オ】統計分析（オ）その他計画策定に必要な推計</t>
        </is>
      </c>
      <c r="H17" s="17" t="inlineStr">
        <is>
          <t>受託者</t>
        </is>
      </c>
      <c r="I17" s="17" t="inlineStr">
        <is>
          <t>2026-08</t>
        </is>
      </c>
      <c r="J17" s="17" t="inlineStr">
        <is>
          <t>2026-08</t>
        </is>
      </c>
      <c r="K17" s="18" t="inlineStr">
        <is>
          <t>完了</t>
        </is>
      </c>
      <c r="L17" s="19" t="n">
        <v>100</v>
      </c>
      <c r="M17" s="20" t="n">
        <v>2</v>
      </c>
      <c r="N17" s="16" t="inlineStr">
        <is>
          <t>δ2・δ3系12指標</t>
        </is>
      </c>
      <c r="O17" s="16" t="inlineStr">
        <is>
          <t>―</t>
        </is>
      </c>
      <c r="P17" s="21" t="n"/>
      <c r="Q17" s="21" t="n"/>
      <c r="R17" s="21" t="n"/>
      <c r="S17" s="21" t="n"/>
      <c r="T17" s="21" t="n"/>
      <c r="U17" s="21" t="n"/>
      <c r="V17" s="21" t="n"/>
      <c r="W17" s="21" t="n"/>
    </row>
    <row r="18">
      <c r="A18" s="16" t="inlineStr">
        <is>
          <t>P2 統計分析</t>
        </is>
      </c>
      <c r="B18" s="17" t="inlineStr">
        <is>
          <t>2-9</t>
        </is>
      </c>
      <c r="C18" s="16" t="inlineStr">
        <is>
          <t>介護保険財政の分析</t>
        </is>
      </c>
      <c r="D18" s="16" t="inlineStr">
        <is>
          <t>歳入歳出、基金、繰越金</t>
        </is>
      </c>
      <c r="E18" s="16" t="inlineStr">
        <is>
          <t>B5 事業量推計・保険料算出・介護財政</t>
        </is>
      </c>
      <c r="F18" s="17" t="inlineStr">
        <is>
          <t>仕様書4(2)</t>
        </is>
      </c>
      <c r="G18"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17" t="inlineStr">
        <is>
          <t>受託者</t>
        </is>
      </c>
      <c r="I18" s="17" t="inlineStr">
        <is>
          <t>2026-08</t>
        </is>
      </c>
      <c r="J18" s="17" t="inlineStr">
        <is>
          <t>2026-10</t>
        </is>
      </c>
      <c r="K18" s="20" t="inlineStr">
        <is>
          <t>進行中</t>
        </is>
      </c>
      <c r="L18" s="19" t="n">
        <v>80</v>
      </c>
      <c r="M18" s="20" t="n">
        <v>3</v>
      </c>
      <c r="N18" s="16" t="inlineStr">
        <is>
          <t>**年報 様式4により令和6年度まで確定。歳入歳出差引残額144.2百万円、介護給付費準備基金の保有額12.0百万円。**保険料収納率は令和7年度99.35％（様式3）</t>
        </is>
      </c>
      <c r="O18" s="16" t="inlineStr">
        <is>
          <t>**令和7年度の様式4が全て0で未入力。また基金保有額が令和4年度末120百万円から令和5年度末12百万円へ1桁減っており、取崩実績か入力誤りかの確認が要る**</t>
        </is>
      </c>
      <c r="P18" s="21" t="n"/>
      <c r="Q18" s="21" t="n"/>
      <c r="R18" s="21" t="n"/>
      <c r="S18" s="21" t="n"/>
      <c r="T18" s="21" t="n"/>
      <c r="U18" s="21" t="n"/>
      <c r="V18" s="21" t="n"/>
      <c r="W18" s="21" t="n"/>
    </row>
    <row r="19">
      <c r="A19" s="16" t="inlineStr">
        <is>
          <t>P2 統計分析</t>
        </is>
      </c>
      <c r="B19" s="17" t="inlineStr">
        <is>
          <t>2-10</t>
        </is>
      </c>
      <c r="C19" s="16" t="inlineStr">
        <is>
          <t>見える化 優先度C分野の出力</t>
        </is>
      </c>
      <c r="D19" s="16" t="inlineStr">
        <is>
          <t>在宅医療・介護連携、医療提供体制、リハビリ提供体制、保険者機能強化推進交付金の評価指標</t>
        </is>
      </c>
      <c r="E19" s="16" t="inlineStr">
        <is>
          <t>B2 統計分析</t>
        </is>
      </c>
      <c r="F19" s="17" t="inlineStr">
        <is>
          <t>仕様書4(1)①オ</t>
        </is>
      </c>
      <c r="G19" s="16" t="inlineStr">
        <is>
          <t>【4(1)①オ】統計分析（オ）その他計画策定に必要な推計</t>
        </is>
      </c>
      <c r="H19" s="17" t="inlineStr">
        <is>
          <t>受託者</t>
        </is>
      </c>
      <c r="I19" s="17" t="inlineStr">
        <is>
          <t>2026-09</t>
        </is>
      </c>
      <c r="J19" s="17" t="inlineStr">
        <is>
          <t>2026-09</t>
        </is>
      </c>
      <c r="K19" s="24" t="inlineStr">
        <is>
          <t>未着手</t>
        </is>
      </c>
      <c r="L19" s="19" t="n">
        <v>0</v>
      </c>
      <c r="M19" s="20" t="n">
        <v>2</v>
      </c>
      <c r="N19" s="16" t="inlineStr">
        <is>
          <t>―</t>
        </is>
      </c>
      <c r="O19" s="16" t="inlineStr">
        <is>
          <t>見える化システムへのアクセス</t>
        </is>
      </c>
      <c r="P19" s="21" t="n"/>
      <c r="Q19" s="21" t="n"/>
      <c r="R19" s="21" t="n"/>
      <c r="S19" s="21" t="n"/>
      <c r="T19" s="21" t="n"/>
      <c r="U19" s="21" t="n"/>
      <c r="V19" s="21" t="n"/>
      <c r="W19" s="21" t="n"/>
    </row>
    <row r="20">
      <c r="A20" s="16" t="inlineStr">
        <is>
          <t>P2 統計分析</t>
        </is>
      </c>
      <c r="B20" s="17" t="inlineStr">
        <is>
          <t>2-11</t>
        </is>
      </c>
      <c r="C20" s="16" t="inlineStr">
        <is>
          <t>保険者機能強化推進交付金等の評価結果の整理</t>
        </is>
      </c>
      <c r="D20" s="16" t="inlineStr">
        <is>
          <t>評価指標に対する該当状況、全国・県内での位置、計画への反映</t>
        </is>
      </c>
      <c r="E20" s="16" t="inlineStr">
        <is>
          <t>B2 統計分析</t>
        </is>
      </c>
      <c r="F20" s="17" t="inlineStr">
        <is>
          <t>仕様書4(1)①オ</t>
        </is>
      </c>
      <c r="G20" s="16" t="inlineStr">
        <is>
          <t>【4(1)①オ】統計分析（オ）その他計画策定に必要な推計</t>
        </is>
      </c>
      <c r="H20" s="17" t="inlineStr">
        <is>
          <t>受託者</t>
        </is>
      </c>
      <c r="I20" s="17" t="inlineStr">
        <is>
          <t>2026-09</t>
        </is>
      </c>
      <c r="J20" s="17" t="inlineStr">
        <is>
          <t>2026-11</t>
        </is>
      </c>
      <c r="K20" s="20" t="inlineStr">
        <is>
          <t>進行中</t>
        </is>
      </c>
      <c r="L20" s="19" t="n">
        <v>40</v>
      </c>
      <c r="M20" s="20" t="n">
        <v>2</v>
      </c>
      <c r="N20" s="16" t="inlineStr">
        <is>
          <t>**9月25日に令和8年度の評価指標と全国集計（都道府県分）を受領し、協議会資料として整理した（08_協議会資料）。**福島県は令和7年度468点・42位から令和8年度530点・26位へ上がり、伸び幅＋62点は47都道府県で3位。ただし全国平均535.6点に届かず、東北6県では5番目。**全国の6割以上が得点していて福島県が0点の項目が21件あり、うち認知症施策に関する市町村支援（全国の93.6％が得点）、チームオレンジ設置状況（70.2％）、介護予防等と保健事業の一体的実施に向けた環境整備ウ・エ・オ（80〜83％）は小野町の施策に直に効く。****県の支援が薄い領域として、素案は町が自前で組み立てる前提で書く。****令和8年度に成果指向型配分枠（100点・800点とは別枠）が新設され、対象層の特定とアウトプット／アウトカム指標の分離、目標値の記載を求めている。第4章の成果指標42件のうち38件が目標値未設定であり、整理の仕方が交付金の配分に直に効く。**評価結果は計画本文には載せず毎年度の協議会資料として扱う（評価結果を外部の議論の場で検証すること自体が指標の要件であるため）</t>
        </is>
      </c>
      <c r="O20" s="16" t="inlineStr">
        <is>
          <t>**市町村分の評価指標と小野町の得点票（令和6〜8年度）。受領したのは都道府県分のみで、町自身の得点分析はできていない**</t>
        </is>
      </c>
      <c r="P20" s="21" t="n"/>
      <c r="Q20" s="21" t="n"/>
      <c r="R20" s="21" t="n"/>
      <c r="S20" s="21" t="n"/>
      <c r="T20" s="21" t="n"/>
      <c r="U20" s="21" t="n"/>
      <c r="V20" s="21" t="n"/>
      <c r="W20" s="21" t="n"/>
    </row>
    <row r="21">
      <c r="A21" s="16" t="inlineStr">
        <is>
          <t>P3 給付費等の分析</t>
        </is>
      </c>
      <c r="B21" s="17" t="inlineStr">
        <is>
          <t>3-1</t>
        </is>
      </c>
      <c r="C21" s="16" t="inlineStr">
        <is>
          <t>給付費等分析結果報告書の作成</t>
        </is>
      </c>
      <c r="D21" s="16" t="inlineStr">
        <is>
          <t>サービス費目ごとの給付費・地域支援事業の分析、制度改正の影響</t>
        </is>
      </c>
      <c r="E21" s="16" t="inlineStr">
        <is>
          <t>B3 介護保険給付費等の分析</t>
        </is>
      </c>
      <c r="F21" s="17" t="inlineStr">
        <is>
          <t>仕様書4(1)②・成果品①</t>
        </is>
      </c>
      <c r="G21"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1" s="17" t="inlineStr">
        <is>
          <t>受託者</t>
        </is>
      </c>
      <c r="I21" s="17" t="inlineStr">
        <is>
          <t>2026-07</t>
        </is>
      </c>
      <c r="J21" s="17" t="inlineStr">
        <is>
          <t>2026-11</t>
        </is>
      </c>
      <c r="K21" s="20" t="inlineStr">
        <is>
          <t>進行中</t>
        </is>
      </c>
      <c r="L21" s="19" t="n">
        <v>70</v>
      </c>
      <c r="M21" s="20" t="n">
        <v>5</v>
      </c>
      <c r="N21" s="16" t="inlineStr">
        <is>
          <t>**第5版（8章・44表・約29,500字）。**第9期計画との対比、施策体系との対応、認定者数20期系列と年齢階層別分解、令和7年度調査による検証まで整理</t>
        </is>
      </c>
      <c r="O21" s="16" t="inlineStr">
        <is>
          <t>町の給付実績（依頼票S1・S2）で数値を確定する</t>
        </is>
      </c>
      <c r="P21" s="21" t="n"/>
      <c r="Q21" s="21" t="n"/>
      <c r="R21" s="21" t="n"/>
      <c r="S21" s="21" t="n"/>
      <c r="T21" s="21" t="n"/>
      <c r="U21" s="21" t="n"/>
      <c r="V21" s="21" t="n"/>
      <c r="W21" s="21" t="n"/>
    </row>
    <row r="22">
      <c r="A22" s="16" t="inlineStr">
        <is>
          <t>P3 給付費等の分析</t>
        </is>
      </c>
      <c r="B22" s="17" t="inlineStr">
        <is>
          <t>3-2</t>
        </is>
      </c>
      <c r="C22" s="16" t="inlineStr">
        <is>
          <t>町の給付実績との突合</t>
        </is>
      </c>
      <c r="D22" s="16" t="inlineStr">
        <is>
          <t>見える化システムの値と町の給付実績の突合</t>
        </is>
      </c>
      <c r="E22" s="16" t="inlineStr">
        <is>
          <t>B3 介護保険給付費等の分析</t>
        </is>
      </c>
      <c r="F22" s="17" t="inlineStr">
        <is>
          <t>仕様書4(1)②</t>
        </is>
      </c>
      <c r="G22"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2" s="17" t="inlineStr">
        <is>
          <t>受託者</t>
        </is>
      </c>
      <c r="I22" s="17" t="inlineStr">
        <is>
          <t>2026-09</t>
        </is>
      </c>
      <c r="J22" s="17" t="inlineStr">
        <is>
          <t>2026-10</t>
        </is>
      </c>
      <c r="K22" s="20" t="inlineStr">
        <is>
          <t>進行中</t>
        </is>
      </c>
      <c r="L22" s="19" t="n">
        <v>50</v>
      </c>
      <c r="M22" s="20" t="n">
        <v>3</v>
      </c>
      <c r="N22" s="16" t="inlineStr">
        <is>
          <t>**年報 様式2によりサービス別給付費（件数・単位数・費用額・給付費）の令和3〜7年度5年分を取得。様式1の6により受給者数も取得。**令和7年度の給付費総計は1,005,144,062円</t>
        </is>
      </c>
      <c r="O22" s="16" t="inlineStr">
        <is>
          <t>見える化システムの値との突合作業</t>
        </is>
      </c>
      <c r="P22" s="21" t="n"/>
      <c r="Q22" s="21" t="n"/>
      <c r="R22" s="21" t="n"/>
      <c r="S22" s="21" t="n"/>
      <c r="T22" s="21" t="n"/>
      <c r="U22" s="21" t="n"/>
      <c r="V22" s="21" t="n"/>
      <c r="W22" s="21" t="n"/>
    </row>
    <row r="23">
      <c r="A23" s="16" t="inlineStr">
        <is>
          <t>P3 給付費等の分析</t>
        </is>
      </c>
      <c r="B23" s="17" t="inlineStr">
        <is>
          <t>3-3</t>
        </is>
      </c>
      <c r="C23" s="16" t="inlineStr">
        <is>
          <t>成果品①の製本・納品</t>
        </is>
      </c>
      <c r="D23" s="16" t="inlineStr">
        <is>
          <t>データCD-R1部＋冊子（簡易製本）3部</t>
        </is>
      </c>
      <c r="E23" s="16" t="inlineStr">
        <is>
          <t>B9 成果品の納品</t>
        </is>
      </c>
      <c r="F23" s="17" t="inlineStr">
        <is>
          <t>仕様書4 成果品①</t>
        </is>
      </c>
      <c r="G23" s="16" t="inlineStr">
        <is>
          <t>【成果品①】（1）介護保険給付費等分析結果報告書　※データ（CD-R）1部、冊子（簡易製本）3部</t>
        </is>
      </c>
      <c r="H23" s="17" t="inlineStr">
        <is>
          <t>受託者</t>
        </is>
      </c>
      <c r="I23" s="17" t="inlineStr">
        <is>
          <t>2027-03</t>
        </is>
      </c>
      <c r="J23" s="17" t="inlineStr">
        <is>
          <t>2027-03</t>
        </is>
      </c>
      <c r="K23" s="24" t="inlineStr">
        <is>
          <t>未着手</t>
        </is>
      </c>
      <c r="L23" s="19" t="n">
        <v>0</v>
      </c>
      <c r="M23" s="20" t="n">
        <v>1</v>
      </c>
      <c r="N23" s="16" t="inlineStr">
        <is>
          <t>―</t>
        </is>
      </c>
      <c r="O23" s="16" t="inlineStr">
        <is>
          <t>報告書の確定</t>
        </is>
      </c>
      <c r="P23" s="21" t="n"/>
      <c r="Q23" s="21" t="n"/>
      <c r="R23" s="21" t="n"/>
      <c r="S23" s="21" t="n"/>
      <c r="T23" s="21" t="n"/>
      <c r="U23" s="21" t="n"/>
      <c r="V23" s="21" t="n"/>
      <c r="W23" s="21" t="n"/>
    </row>
    <row r="24">
      <c r="A24" s="16" t="inlineStr">
        <is>
          <t>P4 調査結果の反映</t>
        </is>
      </c>
      <c r="B24" s="17" t="inlineStr">
        <is>
          <t>4-1</t>
        </is>
      </c>
      <c r="C24" s="16" t="inlineStr">
        <is>
          <t>調査結果報告書の確認</t>
        </is>
      </c>
      <c r="D24" s="16" t="inlineStr">
        <is>
          <t>令和8年3月・104頁の報告書の内容確認と妥当性の検証</t>
        </is>
      </c>
      <c r="E24" s="16" t="inlineStr">
        <is>
          <t>B4 令和7年度調査結果の反映</t>
        </is>
      </c>
      <c r="F24" s="17" t="inlineStr">
        <is>
          <t>仕様書4(1)③</t>
        </is>
      </c>
      <c r="G24" s="16" t="inlineStr">
        <is>
          <t>【4(1)③】介護予防・日常生活圏域ニーズ調査、在宅介護実態調査結果の反映。令和7年度に実施した調査結果を反映させる。</t>
        </is>
      </c>
      <c r="H24" s="17" t="inlineStr">
        <is>
          <t>受託者</t>
        </is>
      </c>
      <c r="I24" s="17" t="inlineStr">
        <is>
          <t>2026-08</t>
        </is>
      </c>
      <c r="J24" s="17" t="inlineStr">
        <is>
          <t>2026-08</t>
        </is>
      </c>
      <c r="K24" s="18" t="inlineStr">
        <is>
          <t>完了</t>
        </is>
      </c>
      <c r="L24" s="19" t="n">
        <v>100</v>
      </c>
      <c r="M24" s="20" t="n">
        <v>3</v>
      </c>
      <c r="N24" s="16" t="inlineStr">
        <is>
          <t>単純集計とリスク分析（年齢階層別・男女別・認定状況別）を取得。報告書内の不整合3件を指摘</t>
        </is>
      </c>
      <c r="O24" s="16" t="inlineStr">
        <is>
          <t>―</t>
        </is>
      </c>
      <c r="P24" s="21" t="n"/>
      <c r="Q24" s="21" t="n"/>
      <c r="R24" s="21" t="n"/>
      <c r="S24" s="21" t="n"/>
      <c r="T24" s="21" t="n"/>
      <c r="U24" s="21" t="n"/>
      <c r="V24" s="21" t="n"/>
      <c r="W24" s="21" t="n"/>
    </row>
    <row r="25">
      <c r="A25" s="16" t="inlineStr">
        <is>
          <t>P4 調査結果の反映</t>
        </is>
      </c>
      <c r="B25" s="17" t="inlineStr">
        <is>
          <t>4-2</t>
        </is>
      </c>
      <c r="C25" s="16" t="inlineStr">
        <is>
          <t>集計データの整理</t>
        </is>
      </c>
      <c r="D25" s="16" t="inlineStr">
        <is>
          <t>リスク10項目×9区分の保持</t>
        </is>
      </c>
      <c r="E25" s="16" t="inlineStr">
        <is>
          <t>B4 令和7年度調査結果の反映</t>
        </is>
      </c>
      <c r="F25" s="17" t="inlineStr">
        <is>
          <t>仕様書4(1)③</t>
        </is>
      </c>
      <c r="G25" s="16" t="inlineStr">
        <is>
          <t>【4(1)③】介護予防・日常生活圏域ニーズ調査、在宅介護実態調査結果の反映。令和7年度に実施した調査結果を反映させる。</t>
        </is>
      </c>
      <c r="H25" s="17" t="inlineStr">
        <is>
          <t>受託者</t>
        </is>
      </c>
      <c r="I25" s="17" t="inlineStr">
        <is>
          <t>2026-08</t>
        </is>
      </c>
      <c r="J25" s="17" t="inlineStr">
        <is>
          <t>2026-08</t>
        </is>
      </c>
      <c r="K25" s="18" t="inlineStr">
        <is>
          <t>完了</t>
        </is>
      </c>
      <c r="L25" s="19" t="n">
        <v>100</v>
      </c>
      <c r="M25" s="20" t="n">
        <v>2</v>
      </c>
      <c r="N25" s="16" t="inlineStr">
        <is>
          <t>集計データ整理ブック（14_アンケート集計・9シート）</t>
        </is>
      </c>
      <c r="O25" s="16" t="inlineStr">
        <is>
          <t>―</t>
        </is>
      </c>
      <c r="P25" s="21" t="n"/>
      <c r="Q25" s="21" t="n"/>
      <c r="R25" s="21" t="n"/>
      <c r="S25" s="21" t="n"/>
      <c r="T25" s="21" t="n"/>
      <c r="U25" s="21" t="n"/>
      <c r="V25" s="21" t="n"/>
      <c r="W25" s="21" t="n"/>
    </row>
    <row r="26">
      <c r="A26" s="16" t="inlineStr">
        <is>
          <t>P4 調査結果の反映</t>
        </is>
      </c>
      <c r="B26" s="17" t="inlineStr">
        <is>
          <t>4-3</t>
        </is>
      </c>
      <c r="C26" s="16" t="inlineStr">
        <is>
          <t>集計結果・分析報告書の作成</t>
        </is>
      </c>
      <c r="D26" s="16" t="inlineStr">
        <is>
          <t>単純集計、リスク分析、前回対比、8つの分析、第9期課題への到達状況、第10期への示唆</t>
        </is>
      </c>
      <c r="E26" s="16" t="inlineStr">
        <is>
          <t>B4 令和7年度調査結果の反映</t>
        </is>
      </c>
      <c r="F26" s="17" t="inlineStr">
        <is>
          <t>仕様書4(1)③</t>
        </is>
      </c>
      <c r="G26" s="16" t="inlineStr">
        <is>
          <t>【4(1)③】介護予防・日常生活圏域ニーズ調査、在宅介護実態調査結果の反映。令和7年度に実施した調査結果を反映させる。</t>
        </is>
      </c>
      <c r="H26" s="17" t="inlineStr">
        <is>
          <t>受託者</t>
        </is>
      </c>
      <c r="I26" s="17" t="inlineStr">
        <is>
          <t>2026-08</t>
        </is>
      </c>
      <c r="J26" s="17" t="inlineStr">
        <is>
          <t>2026-08</t>
        </is>
      </c>
      <c r="K26" s="18" t="inlineStr">
        <is>
          <t>完了</t>
        </is>
      </c>
      <c r="L26" s="19" t="n">
        <v>100</v>
      </c>
      <c r="M26" s="20" t="n">
        <v>4</v>
      </c>
      <c r="N26" s="16" t="inlineStr">
        <is>
          <t>**7章・72表・約27,800字（14_アンケート集計）**</t>
        </is>
      </c>
      <c r="O26" s="16" t="inlineStr">
        <is>
          <t>―</t>
        </is>
      </c>
      <c r="P26" s="21" t="n"/>
      <c r="Q26" s="21" t="n"/>
      <c r="R26" s="21" t="n"/>
      <c r="S26" s="21" t="n"/>
      <c r="T26" s="21" t="n"/>
      <c r="U26" s="21" t="n"/>
      <c r="V26" s="21" t="n"/>
      <c r="W26" s="21" t="n"/>
    </row>
    <row r="27">
      <c r="A27" s="16" t="inlineStr">
        <is>
          <t>P4 調査結果の反映</t>
        </is>
      </c>
      <c r="B27" s="17" t="inlineStr">
        <is>
          <t>4-4</t>
        </is>
      </c>
      <c r="C27" s="16" t="inlineStr">
        <is>
          <t>クロス集計の設計</t>
        </is>
      </c>
      <c r="D27" s="16" t="inlineStr">
        <is>
          <t>前回計画の課題に基づくクロス集計25件の設計</t>
        </is>
      </c>
      <c r="E27" s="16" t="inlineStr">
        <is>
          <t>B4 令和7年度調査結果の反映</t>
        </is>
      </c>
      <c r="F27" s="17" t="inlineStr">
        <is>
          <t>仕様書4(1)③</t>
        </is>
      </c>
      <c r="G27" s="16" t="inlineStr">
        <is>
          <t>【4(1)③】介護予防・日常生活圏域ニーズ調査、在宅介護実態調査結果の反映。令和7年度に実施した調査結果を反映させる。</t>
        </is>
      </c>
      <c r="H27" s="17" t="inlineStr">
        <is>
          <t>受託者</t>
        </is>
      </c>
      <c r="I27" s="17" t="inlineStr">
        <is>
          <t>2026-08</t>
        </is>
      </c>
      <c r="J27" s="17" t="inlineStr">
        <is>
          <t>2026-08</t>
        </is>
      </c>
      <c r="K27" s="18" t="inlineStr">
        <is>
          <t>完了</t>
        </is>
      </c>
      <c r="L27" s="19" t="n">
        <v>100</v>
      </c>
      <c r="M27" s="20" t="n">
        <v>2</v>
      </c>
      <c r="N27" s="16" t="inlineStr">
        <is>
          <t>クロス集計設計書（8シート・25件）。4件掲載済、17件が個票を要し、4件は設問なし</t>
        </is>
      </c>
      <c r="O27" s="16" t="inlineStr">
        <is>
          <t>―</t>
        </is>
      </c>
      <c r="P27" s="21" t="n"/>
      <c r="Q27" s="21" t="n"/>
      <c r="R27" s="21" t="n"/>
      <c r="S27" s="21" t="n"/>
      <c r="T27" s="21" t="n"/>
      <c r="U27" s="21" t="n"/>
      <c r="V27" s="21" t="n"/>
      <c r="W27" s="21" t="n"/>
    </row>
    <row r="28">
      <c r="A28" s="16" t="inlineStr">
        <is>
          <t>P4 調査結果の反映</t>
        </is>
      </c>
      <c r="B28" s="17" t="inlineStr">
        <is>
          <t>4-5</t>
        </is>
      </c>
      <c r="C28" s="16" t="inlineStr">
        <is>
          <t>個票によるクロス集計</t>
        </is>
      </c>
      <c r="D28" s="16" t="inlineStr">
        <is>
          <t>要介護度別・世帯構成別のクロス集計17件</t>
        </is>
      </c>
      <c r="E28" s="16" t="inlineStr">
        <is>
          <t>B4 令和7年度調査結果の反映</t>
        </is>
      </c>
      <c r="F28" s="17" t="inlineStr">
        <is>
          <t>仕様書4(1)③</t>
        </is>
      </c>
      <c r="G28" s="16" t="inlineStr">
        <is>
          <t>【4(1)③】介護予防・日常生活圏域ニーズ調査、在宅介護実態調査結果の反映。令和7年度に実施した調査結果を反映させる。</t>
        </is>
      </c>
      <c r="H28" s="17" t="inlineStr">
        <is>
          <t>受託者</t>
        </is>
      </c>
      <c r="I28" s="17" t="inlineStr">
        <is>
          <t>2026-09</t>
        </is>
      </c>
      <c r="J28" s="17" t="inlineStr">
        <is>
          <t>2026-10</t>
        </is>
      </c>
      <c r="K28" s="23" t="inlineStr">
        <is>
          <t>データ待ち</t>
        </is>
      </c>
      <c r="L28" s="19" t="n">
        <v>0</v>
      </c>
      <c r="M28" s="20" t="n">
        <v>3</v>
      </c>
      <c r="N28" s="16" t="inlineStr">
        <is>
          <t>―</t>
        </is>
      </c>
      <c r="O28" s="16" t="inlineStr">
        <is>
          <t>**令和7年度調査の個票データ（依頼票H16）。地区情報の有無も要確認**</t>
        </is>
      </c>
      <c r="P28" s="21" t="n"/>
      <c r="Q28" s="21" t="n"/>
      <c r="R28" s="21" t="n"/>
      <c r="S28" s="21" t="n"/>
      <c r="T28" s="21" t="n"/>
      <c r="U28" s="21" t="n"/>
      <c r="V28" s="21" t="n"/>
      <c r="W28" s="21" t="n"/>
    </row>
    <row r="29">
      <c r="A29" s="16" t="inlineStr">
        <is>
          <t>P4 調査結果の反映</t>
        </is>
      </c>
      <c r="B29" s="17" t="inlineStr">
        <is>
          <t>4-6</t>
        </is>
      </c>
      <c r="C29" s="16" t="inlineStr">
        <is>
          <t>レッドチームレビュー</t>
        </is>
      </c>
      <c r="D29" s="16" t="inlineStr">
        <is>
          <t>集計・分析の反証検証</t>
        </is>
      </c>
      <c r="E29" s="16" t="inlineStr">
        <is>
          <t>B4 令和7年度調査結果の反映</t>
        </is>
      </c>
      <c r="F29" s="17" t="inlineStr">
        <is>
          <t>仕様書4(1)③</t>
        </is>
      </c>
      <c r="G29" s="16" t="inlineStr">
        <is>
          <t>【4(1)③】介護予防・日常生活圏域ニーズ調査、在宅介護実態調査結果の反映。令和7年度に実施した調査結果を反映させる。</t>
        </is>
      </c>
      <c r="H29" s="17" t="inlineStr">
        <is>
          <t>受託者</t>
        </is>
      </c>
      <c r="I29" s="17" t="inlineStr">
        <is>
          <t>2026-08</t>
        </is>
      </c>
      <c r="J29" s="17" t="inlineStr">
        <is>
          <t>2026-08</t>
        </is>
      </c>
      <c r="K29" s="18" t="inlineStr">
        <is>
          <t>完了</t>
        </is>
      </c>
      <c r="L29" s="19" t="n">
        <v>100</v>
      </c>
      <c r="M29" s="20" t="n">
        <v>1</v>
      </c>
      <c r="N29" s="16" t="inlineStr">
        <is>
          <t>REDTEAM 2本（14_アンケート集計）。数値の取り違え1件を自己検出し修正</t>
        </is>
      </c>
      <c r="O29" s="16" t="inlineStr">
        <is>
          <t>―</t>
        </is>
      </c>
      <c r="P29" s="21" t="n"/>
      <c r="Q29" s="21" t="n"/>
      <c r="R29" s="21" t="n"/>
      <c r="S29" s="21" t="n"/>
      <c r="T29" s="21" t="n"/>
      <c r="U29" s="21" t="n"/>
      <c r="V29" s="21" t="n"/>
      <c r="W29" s="21" t="n"/>
    </row>
    <row r="30">
      <c r="A30" s="16" t="inlineStr">
        <is>
          <t>P5 第9期の評価</t>
        </is>
      </c>
      <c r="B30" s="17" t="inlineStr">
        <is>
          <t>5-1</t>
        </is>
      </c>
      <c r="C30" s="16" t="inlineStr">
        <is>
          <t>協議会資料（第9期評価・調査結果）の作成</t>
        </is>
      </c>
      <c r="D30" s="16" t="inlineStr">
        <is>
          <t>第9期が第5章2(2)で自ら定める4点検項目に沿って評価</t>
        </is>
      </c>
      <c r="E30" s="16" t="inlineStr">
        <is>
          <t>B3 介護保険給付費等の分析</t>
        </is>
      </c>
      <c r="F30" s="17" t="inlineStr">
        <is>
          <t>仕様書4(1)②・4(5)</t>
        </is>
      </c>
      <c r="G30"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30" s="17" t="inlineStr">
        <is>
          <t>受託者</t>
        </is>
      </c>
      <c r="I30" s="17" t="inlineStr">
        <is>
          <t>2026-08</t>
        </is>
      </c>
      <c r="J30" s="17" t="inlineStr">
        <is>
          <t>2026-08</t>
        </is>
      </c>
      <c r="K30" s="18" t="inlineStr">
        <is>
          <t>完了</t>
        </is>
      </c>
      <c r="L30" s="19" t="n">
        <v>100</v>
      </c>
      <c r="M30" s="20" t="n">
        <v>4</v>
      </c>
      <c r="N30" s="16" t="inlineStr">
        <is>
          <t>**協議会資料（08_協議会資料・42表・約23,500字）**</t>
        </is>
      </c>
      <c r="O30" s="16" t="inlineStr">
        <is>
          <t>―</t>
        </is>
      </c>
      <c r="P30" s="21" t="n"/>
      <c r="Q30" s="21" t="n"/>
      <c r="R30" s="21" t="n"/>
      <c r="S30" s="21" t="n"/>
      <c r="T30" s="21" t="n"/>
      <c r="U30" s="21" t="n"/>
      <c r="V30" s="21" t="n"/>
      <c r="W30" s="21" t="n"/>
    </row>
    <row r="31">
      <c r="A31" s="16" t="inlineStr">
        <is>
          <t>P5 第9期の評価</t>
        </is>
      </c>
      <c r="B31" s="17" t="inlineStr">
        <is>
          <t>5-2</t>
        </is>
      </c>
      <c r="C31" s="16" t="inlineStr">
        <is>
          <t>成果目標の達成状況の確定</t>
        </is>
      </c>
      <c r="D31" s="16" t="inlineStr">
        <is>
          <t>第9期の見込みと実績の対比</t>
        </is>
      </c>
      <c r="E31" s="16" t="inlineStr">
        <is>
          <t>B3 介護保険給付費等の分析</t>
        </is>
      </c>
      <c r="F31" s="17" t="inlineStr">
        <is>
          <t>仕様書4(1)②</t>
        </is>
      </c>
      <c r="G31"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1" s="17" t="inlineStr">
        <is>
          <t>受託者</t>
        </is>
      </c>
      <c r="I31" s="17" t="inlineStr">
        <is>
          <t>2026-09</t>
        </is>
      </c>
      <c r="J31" s="17" t="inlineStr">
        <is>
          <t>2026-10</t>
        </is>
      </c>
      <c r="K31" s="20" t="inlineStr">
        <is>
          <t>進行中</t>
        </is>
      </c>
      <c r="L31" s="19" t="n">
        <v>90</v>
      </c>
      <c r="M31" s="20" t="n">
        <v>3</v>
      </c>
      <c r="N31" s="16" t="inlineStr">
        <is>
          <t>**「第9期計画の見込みと実績の対比」（10_給付費等分析・8章6表）を作成。**第9期が見込んだ標準給付費に対する実績は令和6年度98.6％、**令和7年度91.1％（▲106,199千円）。**特定入所者介護サービス費は101.8％・95.8％でほぼ計画どおりであり、下振れが施設利用の減少によるものではないことを確認した。成果品①第7章7、骨子案 参考1 に反映する</t>
        </is>
      </c>
      <c r="O31" s="16" t="inlineStr">
        <is>
          <t>**地域支援事業費の実績（年報 様式4の令和6・7年度が未入力。依頼票H3）と成果指標の現状値（H1〜H15）。令和8年度は年度途中のため令和9年夏の年報を待つ**</t>
        </is>
      </c>
      <c r="P31" s="21" t="n"/>
      <c r="Q31" s="21" t="n"/>
      <c r="R31" s="21" t="n"/>
      <c r="S31" s="21" t="n"/>
      <c r="T31" s="21" t="n"/>
      <c r="U31" s="21" t="n"/>
      <c r="V31" s="21" t="n"/>
      <c r="W31" s="21" t="n"/>
    </row>
    <row r="32">
      <c r="A32" s="16" t="inlineStr">
        <is>
          <t>P5 第9期の評価</t>
        </is>
      </c>
      <c r="B32" s="17" t="inlineStr">
        <is>
          <t>5-3</t>
        </is>
      </c>
      <c r="C32" s="16" t="inlineStr">
        <is>
          <t>施設整備方針との不整合の確認</t>
        </is>
      </c>
      <c r="D32" s="16" t="inlineStr">
        <is>
          <t>第9期は新規整備を行わない方針だが、認知症対応型共同生活介護の定員が27人（38.0％）増</t>
        </is>
      </c>
      <c r="E32" s="16" t="inlineStr">
        <is>
          <t>B3 介護保険給付費等の分析</t>
        </is>
      </c>
      <c r="F32" s="17" t="inlineStr">
        <is>
          <t>仕様書4(1)②</t>
        </is>
      </c>
      <c r="G32"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2" s="17" t="inlineStr">
        <is>
          <t>受託者・町</t>
        </is>
      </c>
      <c r="I32" s="17" t="inlineStr">
        <is>
          <t>2026-09</t>
        </is>
      </c>
      <c r="J32" s="17" t="inlineStr">
        <is>
          <t>2026-09</t>
        </is>
      </c>
      <c r="K32" s="24" t="inlineStr">
        <is>
          <t>未着手</t>
        </is>
      </c>
      <c r="L32" s="19" t="n">
        <v>0</v>
      </c>
      <c r="M32" s="20" t="n">
        <v>1</v>
      </c>
      <c r="N32" s="16" t="inlineStr">
        <is>
          <t>―</t>
        </is>
      </c>
      <c r="O32" s="16" t="inlineStr">
        <is>
          <t>整備の経緯の確認（依頼票H15）</t>
        </is>
      </c>
      <c r="P32" s="21" t="n"/>
      <c r="Q32" s="21" t="n"/>
      <c r="R32" s="21" t="n"/>
      <c r="S32" s="21" t="n"/>
      <c r="T32" s="21" t="n"/>
      <c r="U32" s="21" t="n"/>
      <c r="V32" s="21" t="n"/>
      <c r="W32" s="21" t="n"/>
    </row>
    <row r="33">
      <c r="A33" s="16" t="inlineStr">
        <is>
          <t>P6 骨子案</t>
        </is>
      </c>
      <c r="B33" s="17" t="inlineStr">
        <is>
          <t>6-1</t>
        </is>
      </c>
      <c r="C33" s="16" t="inlineStr">
        <is>
          <t>骨子案の作成</t>
        </is>
      </c>
      <c r="D33" s="16" t="inlineStr">
        <is>
          <t>基本課題・施策方向・重点課題・施策体系</t>
        </is>
      </c>
      <c r="E33" s="16" t="inlineStr">
        <is>
          <t>B6 骨子案・素案の作成</t>
        </is>
      </c>
      <c r="F33" s="17" t="inlineStr">
        <is>
          <t>仕様書4(3)・成果品③</t>
        </is>
      </c>
      <c r="G33"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3" s="17" t="inlineStr">
        <is>
          <t>受託者</t>
        </is>
      </c>
      <c r="I33" s="17" t="inlineStr">
        <is>
          <t>2026-07</t>
        </is>
      </c>
      <c r="J33" s="17" t="inlineStr">
        <is>
          <t>2026-11</t>
        </is>
      </c>
      <c r="K33" s="20" t="inlineStr">
        <is>
          <t>進行中</t>
        </is>
      </c>
      <c r="L33" s="19" t="n">
        <v>80</v>
      </c>
      <c r="M33" s="20" t="n">
        <v>4</v>
      </c>
      <c r="N33" s="16" t="inlineStr">
        <is>
          <t>**第3版（13表・9,241字）。**第9期の5章構成・3基本目標・14施策を反映し、地域福祉計画との重複を精査。第9期の見込みと実績の対比も収載</t>
        </is>
      </c>
      <c r="O33" s="16" t="inlineStr">
        <is>
          <t>実績データによる数値の確定</t>
        </is>
      </c>
      <c r="P33" s="21" t="n"/>
      <c r="Q33" s="21" t="n"/>
      <c r="R33" s="21" t="n"/>
      <c r="S33" s="21" t="n"/>
      <c r="T33" s="21" t="n"/>
      <c r="U33" s="21" t="n"/>
      <c r="V33" s="21" t="n"/>
      <c r="W33" s="21" t="n"/>
    </row>
    <row r="34">
      <c r="A34" s="16" t="inlineStr">
        <is>
          <t>P6 骨子案</t>
        </is>
      </c>
      <c r="B34" s="17" t="inlineStr">
        <is>
          <t>6-2</t>
        </is>
      </c>
      <c r="C34" s="16" t="inlineStr">
        <is>
          <t>骨子案の協議（協議会）</t>
        </is>
      </c>
      <c r="D34" s="16" t="inlineStr">
        <is>
          <t>基本理念・基本目標・施策体系の合意</t>
        </is>
      </c>
      <c r="E34" s="16" t="inlineStr">
        <is>
          <t>B6 骨子案・素案の作成</t>
        </is>
      </c>
      <c r="F34" s="17" t="inlineStr">
        <is>
          <t>仕様書4(3)・4(5)</t>
        </is>
      </c>
      <c r="G34"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4" s="17" t="inlineStr">
        <is>
          <t>受託者・町</t>
        </is>
      </c>
      <c r="I34" s="17" t="inlineStr">
        <is>
          <t>2026-11</t>
        </is>
      </c>
      <c r="J34" s="17" t="inlineStr">
        <is>
          <t>2026-11</t>
        </is>
      </c>
      <c r="K34" s="24" t="inlineStr">
        <is>
          <t>未着手</t>
        </is>
      </c>
      <c r="L34" s="19" t="n">
        <v>0</v>
      </c>
      <c r="M34" s="20" t="n">
        <v>2</v>
      </c>
      <c r="N34" s="16" t="inlineStr">
        <is>
          <t>―</t>
        </is>
      </c>
      <c r="O34" s="16" t="inlineStr">
        <is>
          <t>**協議会の開催回数・時期が未定（依頼票C4）**</t>
        </is>
      </c>
      <c r="P34" s="21" t="n"/>
      <c r="Q34" s="21" t="n"/>
      <c r="R34" s="21" t="n"/>
      <c r="S34" s="21" t="n"/>
      <c r="T34" s="21" t="n"/>
      <c r="U34" s="21" t="n"/>
      <c r="V34" s="21" t="n"/>
      <c r="W34" s="21" t="n"/>
    </row>
    <row r="35">
      <c r="A35" s="16" t="inlineStr">
        <is>
          <t>P6 骨子案</t>
        </is>
      </c>
      <c r="B35" s="17" t="inlineStr">
        <is>
          <t>6-3</t>
        </is>
      </c>
      <c r="C35" s="16" t="inlineStr">
        <is>
          <t>成果品③の製本・納品</t>
        </is>
      </c>
      <c r="D35" s="16" t="inlineStr">
        <is>
          <t>データCD-R1部＋冊子（簡易製本）3部</t>
        </is>
      </c>
      <c r="E35" s="16" t="inlineStr">
        <is>
          <t>B9 成果品の納品</t>
        </is>
      </c>
      <c r="F35" s="17" t="inlineStr">
        <is>
          <t>仕様書4 成果品③</t>
        </is>
      </c>
      <c r="G35" s="16" t="inlineStr">
        <is>
          <t>【成果品③】（3）小野町高齢者保健福祉計画・第10期介護保険事業計画骨子案　※データ（CD-R）1部、冊子（簡易製本）3部</t>
        </is>
      </c>
      <c r="H35" s="17" t="inlineStr">
        <is>
          <t>受託者</t>
        </is>
      </c>
      <c r="I35" s="17" t="inlineStr">
        <is>
          <t>2027-03</t>
        </is>
      </c>
      <c r="J35" s="17" t="inlineStr">
        <is>
          <t>2027-03</t>
        </is>
      </c>
      <c r="K35" s="24" t="inlineStr">
        <is>
          <t>未着手</t>
        </is>
      </c>
      <c r="L35" s="19" t="n">
        <v>0</v>
      </c>
      <c r="M35" s="20" t="n">
        <v>1</v>
      </c>
      <c r="N35" s="16" t="inlineStr">
        <is>
          <t>―</t>
        </is>
      </c>
      <c r="O35" s="16" t="inlineStr">
        <is>
          <t>骨子案の確定</t>
        </is>
      </c>
      <c r="P35" s="21" t="n"/>
      <c r="Q35" s="21" t="n"/>
      <c r="R35" s="21" t="n"/>
      <c r="S35" s="21" t="n"/>
      <c r="T35" s="21" t="n"/>
      <c r="U35" s="21" t="n"/>
      <c r="V35" s="21" t="n"/>
      <c r="W35" s="21" t="n"/>
    </row>
    <row r="36">
      <c r="A36" s="16" t="inlineStr">
        <is>
          <t>P7 推計・算定</t>
        </is>
      </c>
      <c r="B36" s="17" t="inlineStr">
        <is>
          <t>7-1</t>
        </is>
      </c>
      <c r="C36" s="16" t="inlineStr">
        <is>
          <t>算定シートの構築</t>
        </is>
      </c>
      <c r="D36" s="16" t="inlineStr">
        <is>
          <t>サービス54区分の単価×量から給付費、標準給付費、保険料までを算式でつなぐ</t>
        </is>
      </c>
      <c r="E36" s="16" t="inlineStr">
        <is>
          <t>B5 事業量推計・保険料算出・介護財政</t>
        </is>
      </c>
      <c r="F36" s="17" t="inlineStr">
        <is>
          <t>仕様書4(2)</t>
        </is>
      </c>
      <c r="G36"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6" s="17" t="inlineStr">
        <is>
          <t>受託者</t>
        </is>
      </c>
      <c r="I36" s="17" t="inlineStr">
        <is>
          <t>2026-08</t>
        </is>
      </c>
      <c r="J36" s="17" t="inlineStr">
        <is>
          <t>2026-08</t>
        </is>
      </c>
      <c r="K36" s="18" t="inlineStr">
        <is>
          <t>完了</t>
        </is>
      </c>
      <c r="L36" s="19" t="n">
        <v>100</v>
      </c>
      <c r="M36" s="20" t="n">
        <v>4</v>
      </c>
      <c r="N36" s="16" t="inlineStr">
        <is>
          <t>**見込量保険料算定シート（04_算定・見込量・11シート）。**第9期の実数で検算済み（月額6,442円 対 実際6,600円。差2.4％は仮置き値による）</t>
        </is>
      </c>
      <c r="O36" s="16" t="inlineStr">
        <is>
          <t>―</t>
        </is>
      </c>
      <c r="P36" s="21" t="n"/>
      <c r="Q36" s="21" t="n"/>
      <c r="R36" s="21" t="n"/>
      <c r="S36" s="21" t="n"/>
      <c r="T36" s="21" t="n"/>
      <c r="U36" s="21" t="n"/>
      <c r="V36" s="21" t="n"/>
      <c r="W36" s="21" t="n"/>
    </row>
    <row r="37">
      <c r="A37" s="16" t="inlineStr">
        <is>
          <t>P7 推計・算定</t>
        </is>
      </c>
      <c r="B37" s="17" t="inlineStr">
        <is>
          <t>7-2</t>
        </is>
      </c>
      <c r="C37" s="16" t="inlineStr">
        <is>
          <t>保険料算定のケース設定の確定</t>
        </is>
      </c>
      <c r="D37" s="16" t="inlineStr">
        <is>
          <t>標準（低位・高位）、施設整備あり、制度改正の影響、基金活用、保険料据置の逆算</t>
        </is>
      </c>
      <c r="E37" s="16" t="inlineStr">
        <is>
          <t>B5 事業量推計・保険料算出・介護財政</t>
        </is>
      </c>
      <c r="F37" s="17" t="inlineStr">
        <is>
          <t>仕様書4(2)</t>
        </is>
      </c>
      <c r="G37"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7" s="17" t="inlineStr">
        <is>
          <t>受託者</t>
        </is>
      </c>
      <c r="I37" s="17" t="inlineStr">
        <is>
          <t>2026-08</t>
        </is>
      </c>
      <c r="J37" s="17" t="inlineStr">
        <is>
          <t>2026-08</t>
        </is>
      </c>
      <c r="K37" s="18" t="inlineStr">
        <is>
          <t>完了</t>
        </is>
      </c>
      <c r="L37" s="19" t="n">
        <v>100</v>
      </c>
      <c r="M37" s="20" t="n">
        <v>2</v>
      </c>
      <c r="N37" s="16" t="inlineStr">
        <is>
          <t>**C1〜C6。引継ぎ時点の3ケースは基金の扱いのみで、仕様書が例示する施設整備・制度改正に対応していなかった**</t>
        </is>
      </c>
      <c r="O37" s="16" t="inlineStr">
        <is>
          <t>―</t>
        </is>
      </c>
      <c r="P37" s="21" t="n"/>
      <c r="Q37" s="21" t="n"/>
      <c r="R37" s="21" t="n"/>
      <c r="S37" s="21" t="n"/>
      <c r="T37" s="21" t="n"/>
      <c r="U37" s="21" t="n"/>
      <c r="V37" s="21" t="n"/>
      <c r="W37" s="21" t="n"/>
    </row>
    <row r="38">
      <c r="A38" s="16" t="inlineStr">
        <is>
          <t>P7 推計・算定</t>
        </is>
      </c>
      <c r="B38" s="17" t="inlineStr">
        <is>
          <t>7-3</t>
        </is>
      </c>
      <c r="C38" s="16" t="inlineStr">
        <is>
          <t>被保険者数・認定者数の推計</t>
        </is>
      </c>
      <c r="D38" s="16" t="inlineStr">
        <is>
          <t>人口推計に年齢階層別の認定率を乗じる自然体推計</t>
        </is>
      </c>
      <c r="E38" s="16" t="inlineStr">
        <is>
          <t>B5 事業量推計・保険料算出・介護財政</t>
        </is>
      </c>
      <c r="F38" s="17" t="inlineStr">
        <is>
          <t>仕様書4(2)</t>
        </is>
      </c>
      <c r="G38"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17" t="inlineStr">
        <is>
          <t>受託者</t>
        </is>
      </c>
      <c r="I38" s="17" t="inlineStr">
        <is>
          <t>2026-09</t>
        </is>
      </c>
      <c r="J38" s="17" t="inlineStr">
        <is>
          <t>2026-10</t>
        </is>
      </c>
      <c r="K38" s="20" t="inlineStr">
        <is>
          <t>進行中</t>
        </is>
      </c>
      <c r="L38" s="19" t="n">
        <v>40</v>
      </c>
      <c r="M38" s="20" t="n">
        <v>4</v>
      </c>
      <c r="N38" s="16" t="inlineStr">
        <is>
          <t>**算定シートに実績を投入済み。**第10期将来推計用推計人口（令和9〜11年）と、令和7年度の年齢階層別認定率（65〜74歳3.92％／75〜84歳18.72％／85歳以上71.63％）を入力した。85歳以上の認定率は令和6年度82.8％から11.2ポイント下がっている。**認定者数の見込みは令和9年度782人・令和10年度781人・令和11年度780人。見える化ワークシートの849人・850人・841人より8.4％低い。**見える化の基点は令和7年9月の865人（断層の直後）で、その後866人→794人へ減っていく動きを織り込んでいない。計画書には令和8年3月末の実績783人と接続する当方の系列を載せる。**なお見込量そのものへの影響は小さい。**見える化の見込量は第1号被保険者数×認定率×利用率の3段の掛け算で、利用率の分母は認定者数（在宅は認定者数から施設・居住系の利用者数を引いたもの）であり、認定率が高く出れば利用率が同じだけ低く出るため積は変わらない</t>
        </is>
      </c>
      <c r="O38" s="16"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c r="P38" s="21" t="n"/>
      <c r="Q38" s="21" t="n"/>
      <c r="R38" s="21" t="n"/>
      <c r="S38" s="21" t="n"/>
      <c r="T38" s="21" t="n"/>
      <c r="U38" s="21" t="n"/>
      <c r="V38" s="21" t="n"/>
      <c r="W38" s="21" t="n"/>
    </row>
    <row r="39">
      <c r="A39" s="16" t="inlineStr">
        <is>
          <t>P7 推計・算定</t>
        </is>
      </c>
      <c r="B39" s="17" t="inlineStr">
        <is>
          <t>7-4</t>
        </is>
      </c>
      <c r="C39" s="16" t="inlineStr">
        <is>
          <t>サービス見込量の推計</t>
        </is>
      </c>
      <c r="D39" s="16" t="inlineStr">
        <is>
          <t>サービス種類別の利用者数・量・給付費</t>
        </is>
      </c>
      <c r="E39" s="16" t="inlineStr">
        <is>
          <t>B5 事業量推計・保険料算出・介護財政</t>
        </is>
      </c>
      <c r="F39" s="17" t="inlineStr">
        <is>
          <t>仕様書4(2)</t>
        </is>
      </c>
      <c r="G39"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17" t="inlineStr">
        <is>
          <t>受託者</t>
        </is>
      </c>
      <c r="I39" s="17" t="inlineStr">
        <is>
          <t>2026-09</t>
        </is>
      </c>
      <c r="J39" s="17" t="inlineStr">
        <is>
          <t>2026-11</t>
        </is>
      </c>
      <c r="K39" s="18" t="inlineStr">
        <is>
          <t>完了</t>
        </is>
      </c>
      <c r="L39" s="19" t="n">
        <v>100</v>
      </c>
      <c r="M39" s="20" t="n">
        <v>5</v>
      </c>
      <c r="N39" s="16" t="inlineStr">
        <is>
          <t>**サービス別単価・見込量試算（04_算定・見込量・10シート）を作成し、算定シートの05・06に投入済み。**年報 様式2から29区分の令和3〜7年度の件数・単位数・費用額・給付費を取り出し（正規化後の合計は様式2の総計と全年度一致）、第1号被保険者1人当たりの利用率で令和9〜11年度を試算した。総給付費は3年計3,048,418千円、標準給付費は3,286,398千円（第9期見込の92.1％）。**分母の変動係数は第1号被保険者数1.63％に対し認定者数5.18％で、認定者ベースだと基準期間が断層をまたぐため10.5％低く出る。****9月15日に、量と利用者数の水準を見える化ワークシートの令和7年度実績（給付実績情報の回数・受給者数）に切り替えた。**国保連月報の実日数を回数に読み替えていたため、訪問介護で26％、訪問看護で32％、回数を少なく見ていた。給付費は年報 様式2 のまま（施設サービスは月報・見える化の額に特定入所者介護サービス費が乗っているため採らない）。**サービス見込量（11シート）と算定結果（成果品②の素材）にまとめた**</t>
        </is>
      </c>
      <c r="O39" s="16"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c r="P39" s="17" t="inlineStr">
        <is>
          <t>**9月15日に、推計方法そのものをバックテストで検証した（推計方法のバックテスト・04_算定・見込量）。**令和5年度・令和6年度を起点に1〜2年先を予測し、実績との絶対誤差を給付費で加重して比べた。総給付費の誤差は、当方の方式（利用率・分母＝第1号被保険者数・窓3年）が3.31％で最も小さい。窓2年3.54％、分母を75歳以上とすると4.24％、直近年度の据え置き5.26％、全サービス一律の伸び5.28％、**大雪地区広域連合の手引きの偏り補正（φ0.5・上限±3％）は5.39％で一律に劣る。**同手引きの判定基準「一律より良いことを示せなければ補正しない」により採らない。分母を認定者数とすると6.39％で、起点年度によって2.20％〜9.60％と振れ幅が大きい</t>
        </is>
      </c>
      <c r="Q39" s="17" t="inlineStr">
        <is>
          <t>**9月24日に、他町村の手引きの14段階で自己点検した（見込量算定の手引き適合点検・04_算定・見込量）。**済んでいなかった6段階（内的整合・季節性・施策反映・趨勢外の要因・記載事項・自己点検）を埋めた。**新たに分かったことが3つある。**①**単価は報酬改定のない年でも年率＋1.09％伸びており、改定のあった令和6年度の＋1.25％と差がない。**当方は単価を令和7年度で固定しているため、実績の趨勢（年率＋1.13％）で置くと標準給付費が3.43％・保険料が月額211円上がる。固定は過小側の置き方である。②**季節性は、居宅・地域密着型が年度で向きが逆になり再現しない。**施設（冬季が高い）と受給者計（冬季が低い）は再現するが差は2％前後で向きが逆であり相殺される。基準年度が完結年度のため補正は不要。③**施策反映は、当方の式で変数になっているのが第1号被保険者数だけであり、成果指標40件のうち目標値が確定しているものが0件であるため、現時点で反映できるものがない。**歯止めを先に定めた。**自己点検12項目を算定に組み込み、変異試験3件すべてで止まることを確かめた。**</t>
        </is>
      </c>
      <c r="R39" s="17" t="inlineStr">
        <is>
          <t>**川崎町の方式（基準年度の要介護度別給付費に要介護度別の認定者数の伸びを乗じる）を小野町のデータで測った。**断層をまたがない令和5年度→令和6年度では誤差▲1.06％と全方式のなかで最も当たる一方、令和7年度を予測先に置く2通りでは▲14.66％・▲13.47％となり、3通りの平均では50設定中49位に落ちる。**令和6年度→令和7年度の認定者数は要介護4が0.755倍・要介護5が0.626倍で、給付費の実績が7.4％しか下がっていないのと合わない。**断層の原因が確認できるまでは採らない。解消すれば要介護度の構成の変化を織り込める点で当方より優れる可能性がある</t>
        </is>
      </c>
      <c r="S39" s="17" t="inlineStr">
        <is>
          <t>**9月24日に、地域支援事業の「量」の見込みを追加した（介護保険法117条2項2号。11_地域支援事業の量）。**費用の見込みとは別の必須記載事項であり、第9期計画にもなかった。国保連月報から量を出せるのは介護予防・生活支援サービス事業の3事業だけで、**一般介護予防事業・包括的支援事業・任意事業の13事業は町の事業実績を要する**</t>
        </is>
      </c>
      <c r="T39" s="17" t="inlineStr">
        <is>
          <t>**9月16日に、認知症基本法の点検にあわせて必要利用定員総数を追加した（介護保険法117条2項1号。10_必要利用定員総数）。**認知症対応型共同生活介護・地域密着型特定施設入居者生活介護・地域密着型介護老人福祉施設入所者生活介護の3サービスについて各年度の必要利用定員総数を定めることは**努力義務ではなく必須記載事項**であり、第9期計画にも当初の見込量算定にもなかった。**いずれも見込量に対し定員に余力があるため現行定員を維持する案（認知症対応型共同生活介護98人・地域密着型特養58人・地域密着型特定施設0人）**</t>
        </is>
      </c>
      <c r="U39" s="17" t="inlineStr">
        <is>
          <t>**9月25日に、令和8年度の置き方を4通りで比べ、国保連月報で裏づけた（12_令和8年度の置き方）。**令和7年度の実績に対する比は、据え置き1.0000／令和6→令和7の動きを1年延長0.9255／当方の現行方式1.0171／**月報3か月の実績0.9598**。**当方の現行方式は実績より6.0％高い。**令和5〜7年度の3年平均が、下がり続けている系列を上に引いているため。**9月25日に、この自然体推計ケースを標準ケースに切り替えた（素案 第5版、見込量の算定結果 令和8年9月25日版）。**令和8年度を月報の実績で置き、そこから人口で延ばす。総給付費の3年計は2,869,936千円（従前の方式から▲5.9％）、標準給付費3,093,948千円、保険料は月額6,048円（100円未満切上げで6,100円。第9期の6,600円から▲500円・▲7.6％）。**見える化システムの自然体推計と総額の置き方が同じであり、システムの出力と素案の数値が突き合う。**従前の方式（3年平均の伸び）によるケースは月額6,402円で、比較のケースとして残した。令和8年度は3か月分しかなく完結年度ではないため、残りの月の実績を見たうえで協議会にお諮りして確定する</t>
        </is>
      </c>
      <c r="V39" s="17" t="inlineStr">
        <is>
          <t>**認定者数の見込みを算式に置き換えた。**従前は785／782／781／780とハードコードしていたが、記載の方法（年齢階層別認定率×将来推計人口）で計算すると**787／782／777／772**となり、令和10・11年度で4人・8人ずれていた。**令和6年度→令和7年度の認定率の変化を一定として延ばす置き方は採れない。**65〜74歳▲1.38ポイント・75〜84歳▲1.66ポイント・85歳以上▲11.20ポイントで、毎年加えると令和10年度に65〜74歳の認定率が負になり、令和11年度の認定者数は329人まで落ちる。断層がこの変化に入っているため</t>
        </is>
      </c>
      <c r="W39" s="17" t="inlineStr">
        <is>
          <t>**報酬改定率（令和9年度）の確定。**あわせて、訪問介護の基準期間（3年平均だと令和9年度の見込件数が令和7年度実績の1.27倍。令和7年度単年なら月額▲47円）を協議会にお諮りする。**必要利用定員総数は、認知症対応型共同生活介護の定員が令和4年度71人から令和6年度98人へ増えた経緯と町外の方の利用割合を町に確認したうえで確定する。****あわせて、単価を令和7年度で固定していることを協議会にお諮りする（実績の趨勢で置くと月額＋211円）**</t>
        </is>
      </c>
    </row>
    <row r="40">
      <c r="A40" s="16" t="inlineStr">
        <is>
          <t>P7 推計・算定</t>
        </is>
      </c>
      <c r="B40" s="17" t="inlineStr">
        <is>
          <t>7-5</t>
        </is>
      </c>
      <c r="C40" s="16" t="inlineStr">
        <is>
          <t>見える化システムへの入力作業</t>
        </is>
      </c>
      <c r="D40" s="16" t="inlineStr">
        <is>
          <t>将来推計機能への入力と総括表の出力。出力の分析だけでなく入力が業務に含まれる</t>
        </is>
      </c>
      <c r="E40" s="16" t="inlineStr">
        <is>
          <t>B5 事業量推計・保険料算出・介護財政</t>
        </is>
      </c>
      <c r="F40" s="17" t="inlineStr">
        <is>
          <t>仕様書4(2)</t>
        </is>
      </c>
      <c r="G40"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17" t="inlineStr">
        <is>
          <t>受託者</t>
        </is>
      </c>
      <c r="I40" s="17" t="inlineStr">
        <is>
          <t>2026-09</t>
        </is>
      </c>
      <c r="J40" s="17" t="inlineStr">
        <is>
          <t>2026-10</t>
        </is>
      </c>
      <c r="K40" s="22" t="inlineStr">
        <is>
          <t>要対応</t>
        </is>
      </c>
      <c r="L40" s="19" t="n">
        <v>15</v>
      </c>
      <c r="M40" s="20" t="n">
        <v>3</v>
      </c>
      <c r="N40" s="16" t="inlineStr">
        <is>
          <t>**川崎町・金ケ崎町の両ブランチを確認し、入力時の設定と落とし穴を整理した（見込量算定の方針と不足資料・04_算定・見込量）。**①介護保険事業状況報告の設定で令和8年度のチェックを外す（外さないと令和8年5月の1か月が年度として扱われる）②伸びは令和6年度→令和7年度（完結年度どうし）③1人1月あたり給付費は令和7年度④**施策反映の3画面は編集せず通過する。**編集するとセルがピンクになり「自然体推計に全て戻す」が押せる状態になる。**この状態のまま総括表を出すと、伸びの窓を変えても見込量が動かない**</t>
        </is>
      </c>
      <c r="O40" s="16"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c r="P40" s="17" t="inlineStr">
        <is>
          <t>**アカウント・権限・作業範囲・時期の確認（依頼票C5）。これが決まらないと総括表が出せず、対計画比・供給実現性の検証に進めない。****あわせて、令和7年8〜9月の認定者数の計上方法の確認が最優先。これが決まらないと認定率の伸びを置けない**</t>
        </is>
      </c>
      <c r="Q40" s="21" t="n"/>
      <c r="R40" s="21" t="n"/>
      <c r="S40" s="21" t="n"/>
      <c r="T40" s="21" t="n"/>
      <c r="U40" s="21" t="n"/>
      <c r="V40" s="21" t="n"/>
      <c r="W40" s="21" t="n"/>
    </row>
    <row r="41">
      <c r="A41" s="16" t="inlineStr">
        <is>
          <t>P7 推計・算定</t>
        </is>
      </c>
      <c r="B41" s="17" t="inlineStr">
        <is>
          <t>7-6</t>
        </is>
      </c>
      <c r="C41" s="16" t="inlineStr">
        <is>
          <t>保険料のケース別算定</t>
        </is>
      </c>
      <c r="D41" s="16" t="inlineStr">
        <is>
          <t>ケースC1〜C6ごとの保険料基準額の算定</t>
        </is>
      </c>
      <c r="E41" s="16" t="inlineStr">
        <is>
          <t>B5 事業量推計・保険料算出・介護財政</t>
        </is>
      </c>
      <c r="F41" s="17" t="inlineStr">
        <is>
          <t>仕様書4(2)</t>
        </is>
      </c>
      <c r="G41"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1" s="17" t="inlineStr">
        <is>
          <t>受託者</t>
        </is>
      </c>
      <c r="I41" s="17" t="inlineStr">
        <is>
          <t>2026-10</t>
        </is>
      </c>
      <c r="J41" s="17" t="inlineStr">
        <is>
          <t>2026-11</t>
        </is>
      </c>
      <c r="K41" s="20" t="inlineStr">
        <is>
          <t>進行中</t>
        </is>
      </c>
      <c r="L41" s="19" t="n">
        <v>80</v>
      </c>
      <c r="M41" s="20" t="n">
        <v>4</v>
      </c>
      <c r="N41" s="16" t="inlineStr">
        <is>
          <t>**所得段階別被保険者数（13段階）、小野町が定める保険料率（第1〜3段階は0.285／0.485／0.685で国の標準より低い）、収納率99.35％、基金保有額12,000千円を投入済み。地域支援事業費は年報 様式4 の令和6年度決算63,916千円（3年計191,749千円）を事業別に割り付けて投入した。総合事業の内訳は国保連月報の総合事業コード（A2・A6・AF）による。****9月25日に標準ケースを自然体推計に切り替え、あわせて所得段階別の割合を軽減前の標準割合に訂正した結果、保険料基準額は月額6,048円（基金取崩なし）、5,997円（保有額12,000千円を全額取崩）、5,808円（第9期と同じ35,000千円を取崩）となった。**第9期は6,600円。負担割合が24％になると6,364円。従前の方式（令和5〜7年度の3年平均の伸び）では6,402円であり、比較のケースとして残している。**9月25日に、保険料基準額の算定に用いる所得段階別の割合を軽減後の賦課割合（0.285／0.485／0.685）から軽減前の標準割合（0.455／0.685／0.690）に訂正した。**軽減相当額は別枠の公費（国1/2・県1/4・町1/4）で補填され、保険料収納必要額から控除されないためである。第9期計画の補正後被保険者数10,136人÷第1号被保険者数10,409人＝0.974も軽減前でしか再現できない（軽減後だと0.93台）。見える化システムの「①標準段階区分・割合」の画面でも0.4550／0.6850／0.6900が固定表示されることを同日の画面で確認した。**あわせて調整交付金の見込交付割合を、第9期からの逆算6.148％から算式（（第1号負担割合＋5％）－第1号負担割合×後期高齢者加入割合補正係数×所得段階別加入割合補正係数）による5.533％に改めた。**2つの訂正は互いに打ち消し合い、保険料基準額は月額115円下がった※ 逆算される調整交付金見込額219,272千円は基数の取り方によらない。見える化システムは標準給付費見込額のみを基数とするため6.148％、総合事業費を含めると5.963％となる（本件は前者にそろえた）</t>
        </is>
      </c>
      <c r="O41" s="16"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c r="P41" s="21" t="n"/>
      <c r="Q41" s="21" t="n"/>
      <c r="R41" s="21" t="n"/>
      <c r="S41" s="21" t="n"/>
      <c r="T41" s="21" t="n"/>
      <c r="U41" s="21" t="n"/>
      <c r="V41" s="21" t="n"/>
      <c r="W41" s="21" t="n"/>
    </row>
    <row r="42">
      <c r="A42" s="16" t="inlineStr">
        <is>
          <t>P7 推計・算定</t>
        </is>
      </c>
      <c r="B42" s="17" t="inlineStr">
        <is>
          <t>7-7</t>
        </is>
      </c>
      <c r="C42" s="16" t="inlineStr">
        <is>
          <t>サービス見込量推計結果報告書の作成</t>
        </is>
      </c>
      <c r="D42" s="16" t="inlineStr">
        <is>
          <t>成果品②の本体</t>
        </is>
      </c>
      <c r="E42" s="16" t="inlineStr">
        <is>
          <t>B9 成果品の納品</t>
        </is>
      </c>
      <c r="F42" s="17" t="inlineStr">
        <is>
          <t>仕様書4 成果品②</t>
        </is>
      </c>
      <c r="G42" s="16" t="inlineStr">
        <is>
          <t>【成果品②】（2）サービス見込量推計結果報告書　※データ（CD-R）1部、冊子（簡易製本）3部</t>
        </is>
      </c>
      <c r="H42" s="17" t="inlineStr">
        <is>
          <t>受託者</t>
        </is>
      </c>
      <c r="I42" s="17" t="inlineStr">
        <is>
          <t>2026-11</t>
        </is>
      </c>
      <c r="J42" s="17" t="inlineStr">
        <is>
          <t>2026-12</t>
        </is>
      </c>
      <c r="K42" s="20" t="inlineStr">
        <is>
          <t>進行中</t>
        </is>
      </c>
      <c r="L42" s="19" t="n">
        <v>60</v>
      </c>
      <c r="M42" s="20" t="n">
        <v>4</v>
      </c>
      <c r="N42" s="16" t="inlineStr">
        <is>
          <t>**サービス見込量の算定結果（04_算定・見込量・10章・11表）を作成した。**算定の方法、基準期間の置き方、サービス見込量、給付費と標準給付費、地域支援事業費、供給実現性（定員との突合）、保険料の試算、据え置いた前提と動く幅、町への確認事項までを収めている</t>
        </is>
      </c>
      <c r="O42" s="16" t="inlineStr">
        <is>
          <t>**報酬改定率と第1号被保険者負担割合が確定したら数値を差し替える。**あわせて、協議会での議論を踏まえた記述の追加</t>
        </is>
      </c>
      <c r="P42" s="21" t="n"/>
      <c r="Q42" s="21" t="n"/>
      <c r="R42" s="21" t="n"/>
      <c r="S42" s="21" t="n"/>
      <c r="T42" s="21" t="n"/>
      <c r="U42" s="21" t="n"/>
      <c r="V42" s="21" t="n"/>
      <c r="W42" s="21" t="n"/>
    </row>
    <row r="43">
      <c r="A43" s="16" t="inlineStr">
        <is>
          <t>P7 推計・算定</t>
        </is>
      </c>
      <c r="B43" s="17" t="inlineStr">
        <is>
          <t>7-8</t>
        </is>
      </c>
      <c r="C43" s="16" t="inlineStr">
        <is>
          <t>成果品②の製本・納品</t>
        </is>
      </c>
      <c r="D43" s="16" t="inlineStr">
        <is>
          <t>データCD-R1部＋冊子（簡易製本）3部</t>
        </is>
      </c>
      <c r="E43" s="16" t="inlineStr">
        <is>
          <t>B9 成果品の納品</t>
        </is>
      </c>
      <c r="F43" s="17" t="inlineStr">
        <is>
          <t>仕様書4 成果品②</t>
        </is>
      </c>
      <c r="G43" s="16" t="inlineStr">
        <is>
          <t>【成果品②】（2）サービス見込量推計結果報告書　※データ（CD-R）1部、冊子（簡易製本）3部</t>
        </is>
      </c>
      <c r="H43" s="17" t="inlineStr">
        <is>
          <t>受託者</t>
        </is>
      </c>
      <c r="I43" s="17" t="inlineStr">
        <is>
          <t>2027-03</t>
        </is>
      </c>
      <c r="J43" s="17" t="inlineStr">
        <is>
          <t>2027-03</t>
        </is>
      </c>
      <c r="K43" s="24" t="inlineStr">
        <is>
          <t>未着手</t>
        </is>
      </c>
      <c r="L43" s="19" t="n">
        <v>0</v>
      </c>
      <c r="M43" s="20" t="n">
        <v>1</v>
      </c>
      <c r="N43" s="16" t="inlineStr">
        <is>
          <t>―</t>
        </is>
      </c>
      <c r="O43" s="16" t="inlineStr">
        <is>
          <t>報告書の確定</t>
        </is>
      </c>
      <c r="P43" s="21" t="n"/>
      <c r="Q43" s="21" t="n"/>
      <c r="R43" s="21" t="n"/>
      <c r="S43" s="21" t="n"/>
      <c r="T43" s="21" t="n"/>
      <c r="U43" s="21" t="n"/>
      <c r="V43" s="21" t="n"/>
      <c r="W43" s="21" t="n"/>
    </row>
    <row r="44">
      <c r="A44" s="16" t="inlineStr">
        <is>
          <t>P8 素案</t>
        </is>
      </c>
      <c r="B44" s="17" t="inlineStr">
        <is>
          <t>8-1</t>
        </is>
      </c>
      <c r="C44" s="16" t="inlineStr">
        <is>
          <t>素案の作成</t>
        </is>
      </c>
      <c r="D44" s="16" t="inlineStr">
        <is>
          <t>骨子案を踏まえた計画素案。12施策の本文</t>
        </is>
      </c>
      <c r="E44" s="16" t="inlineStr">
        <is>
          <t>B6 骨子案・素案の作成</t>
        </is>
      </c>
      <c r="F44" s="17" t="inlineStr">
        <is>
          <t>仕様書4(3)・成果品④</t>
        </is>
      </c>
      <c r="G44"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4" s="17" t="inlineStr">
        <is>
          <t>受託者</t>
        </is>
      </c>
      <c r="I44" s="17" t="inlineStr">
        <is>
          <t>2026-08</t>
        </is>
      </c>
      <c r="J44" s="17" t="inlineStr">
        <is>
          <t>2026-12</t>
        </is>
      </c>
      <c r="K44" s="20" t="inlineStr">
        <is>
          <t>進行中</t>
        </is>
      </c>
      <c r="L44" s="19" t="n">
        <v>85</v>
      </c>
      <c r="M44" s="20" t="n">
        <v>5</v>
      </c>
      <c r="N44" s="16" t="inlineStr">
        <is>
          <t>**第5版（5章＋資料編・74表）。**12施策すべてに現状と課題・施策の方向・主な事業・成果指標を記載。**第2版の未確定158箇所のうち61箇所が解消し97箇所となった。**第2章6（被保険者数・認定者数の見込み）を第10期将来推計用推計人口で確定し、第4章③にサービス見込量・給付費・標準給付費・地域支援事業費の事業別内訳・保険料基準額を入れた。**第5版（9月25日）で令和8年度の置き方を自然体推計に改め、保険料基準額は月額6,402円から6,048円（切上げ6,100円）となった。****9月25日の再検証で、延ばし方を見える化システムの仕様にそろえた**（施設は利用者数一定、居住系・在宅は認定者数で延ばす。月額▲13円）。従前の方式による算定は比較のケースとして残している。**第5章2の進行管理に、保険者機能強化推進交付金等の評価結果を点検項目として加えた**（評価結果を外部の議論の場で検証すること自体が評価指標の要件であるため）</t>
        </is>
      </c>
      <c r="O44" s="16"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c r="P44" s="17" t="inlineStr">
        <is>
          <t>**残る94箇所の内訳は、協議会で設定する目標値39、町データ待ち39、町・国の決定12、見える化出力4。****受託者の算定によるものは残っていない。**町データ待ちの筆頭は成果指標の現状値、一般介護予防事業費・包括的支援事業・任意事業費の事業別内訳、地域支援事業の量（13事業）、認知症対応型共同生活介護の増床の経緯**</t>
        </is>
      </c>
      <c r="Q44" s="21" t="n"/>
      <c r="R44" s="21" t="n"/>
      <c r="S44" s="21" t="n"/>
      <c r="T44" s="21" t="n"/>
      <c r="U44" s="21" t="n"/>
      <c r="V44" s="21" t="n"/>
      <c r="W44" s="21" t="n"/>
    </row>
    <row r="45">
      <c r="A45" s="16" t="inlineStr">
        <is>
          <t>P8 素案</t>
        </is>
      </c>
      <c r="B45" s="17" t="inlineStr">
        <is>
          <t>8-2</t>
        </is>
      </c>
      <c r="C45" s="16" t="inlineStr">
        <is>
          <t>成果指標の目標値案の作成</t>
        </is>
      </c>
      <c r="D45" s="16" t="inlineStr">
        <is>
          <t>40指標の目標値案と根拠の型</t>
        </is>
      </c>
      <c r="E45" s="16" t="inlineStr">
        <is>
          <t>B6 骨子案・素案の作成</t>
        </is>
      </c>
      <c r="F45" s="17" t="inlineStr">
        <is>
          <t>仕様書4(3)</t>
        </is>
      </c>
      <c r="G45"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5" s="17" t="inlineStr">
        <is>
          <t>受託者</t>
        </is>
      </c>
      <c r="I45" s="17" t="inlineStr">
        <is>
          <t>2026-08</t>
        </is>
      </c>
      <c r="J45" s="17" t="inlineStr">
        <is>
          <t>2026-08</t>
        </is>
      </c>
      <c r="K45" s="18" t="inlineStr">
        <is>
          <t>完了</t>
        </is>
      </c>
      <c r="L45" s="19" t="n">
        <v>100</v>
      </c>
      <c r="M45" s="20" t="n">
        <v>3</v>
      </c>
      <c r="N45" s="16" t="inlineStr">
        <is>
          <t>**成果指標目標値案（03_計画素案・40指標）。**現状値が未受領の20指標は算定規則として案を置いた</t>
        </is>
      </c>
      <c r="O45" s="16" t="inlineStr">
        <is>
          <t>―</t>
        </is>
      </c>
      <c r="P45" s="21" t="n"/>
      <c r="Q45" s="21" t="n"/>
      <c r="R45" s="21" t="n"/>
      <c r="S45" s="21" t="n"/>
      <c r="T45" s="21" t="n"/>
      <c r="U45" s="21" t="n"/>
      <c r="V45" s="21" t="n"/>
      <c r="W45" s="21" t="n"/>
    </row>
    <row r="46">
      <c r="A46" s="16" t="inlineStr">
        <is>
          <t>P8 素案</t>
        </is>
      </c>
      <c r="B46" s="17" t="inlineStr">
        <is>
          <t>8-3</t>
        </is>
      </c>
      <c r="C46" s="16" t="inlineStr">
        <is>
          <t>認知症施策推進基本計画の包含方針</t>
        </is>
      </c>
      <c r="D46" s="16" t="inlineStr">
        <is>
          <t>基本的施策12項目との対応表、包含の形式</t>
        </is>
      </c>
      <c r="E46" s="16" t="inlineStr">
        <is>
          <t>B10 業務管理・計画の基本的な考え方</t>
        </is>
      </c>
      <c r="F46" s="17" t="inlineStr">
        <is>
          <t>仕様書2(3)</t>
        </is>
      </c>
      <c r="G46" s="16" t="inlineStr">
        <is>
          <t>【2(3)】国の「認知症施策推進基本計画」に基づく市町村計画も包含する計画とする。</t>
        </is>
      </c>
      <c r="H46" s="17" t="inlineStr">
        <is>
          <t>受託者</t>
        </is>
      </c>
      <c r="I46" s="17" t="inlineStr">
        <is>
          <t>2026-08</t>
        </is>
      </c>
      <c r="J46" s="17" t="inlineStr">
        <is>
          <t>2026-08</t>
        </is>
      </c>
      <c r="K46" s="18" t="inlineStr">
        <is>
          <t>完了</t>
        </is>
      </c>
      <c r="L46" s="19" t="n">
        <v>100</v>
      </c>
      <c r="M46" s="20" t="n">
        <v>2</v>
      </c>
      <c r="N46" s="16" t="inlineStr">
        <is>
          <t>計画策定業務設計書 第1章（02_キックオフ・業務計画）。分散＋対応表方式を提案。**9月16日に認知症基本法の条文により市町村計画の根拠を第13条第1項（努力義務）、調和規定を第2項、策定手続（意見聴取・公表・評価・5年ごとの検討）を第3項が準用する第12条第3〜7項と確定し、素案に反映した（認知症基本法への対応の点検・03_計画素案）。****施策の柱を認知症施策推進大綱の5本柱から法の基本的施策（第14〜21条）に組み替え、大綱では落ちていた若年性認知症・移動のための交通手段の確保・消費生活被害の防止・孤立の防止を追加した。**北塩原村の法定記載事項チェックと川崎町の骨子案を参照している</t>
        </is>
      </c>
      <c r="O46" s="16"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c r="P46" s="21" t="n"/>
      <c r="Q46" s="21" t="n"/>
      <c r="R46" s="21" t="n"/>
      <c r="S46" s="21" t="n"/>
      <c r="T46" s="21" t="n"/>
      <c r="U46" s="21" t="n"/>
      <c r="V46" s="21" t="n"/>
      <c r="W46" s="21" t="n"/>
    </row>
    <row r="47">
      <c r="A47" s="16" t="inlineStr">
        <is>
          <t>P8 素案</t>
        </is>
      </c>
      <c r="B47" s="17" t="inlineStr">
        <is>
          <t>8-4</t>
        </is>
      </c>
      <c r="C47" s="16" t="inlineStr">
        <is>
          <t>見込量・保険料・成果指標の反映</t>
        </is>
      </c>
      <c r="D47" s="16" t="inlineStr">
        <is>
          <t>素案の未確定156箇所の解消</t>
        </is>
      </c>
      <c r="E47" s="16" t="inlineStr">
        <is>
          <t>B6 骨子案・素案の作成</t>
        </is>
      </c>
      <c r="F47" s="17" t="inlineStr">
        <is>
          <t>仕様書4(3)</t>
        </is>
      </c>
      <c r="G47"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7" s="17" t="inlineStr">
        <is>
          <t>受託者</t>
        </is>
      </c>
      <c r="I47" s="17" t="inlineStr">
        <is>
          <t>2026-11</t>
        </is>
      </c>
      <c r="J47" s="17" t="inlineStr">
        <is>
          <t>2026-12</t>
        </is>
      </c>
      <c r="K47" s="24" t="inlineStr">
        <is>
          <t>未着手</t>
        </is>
      </c>
      <c r="L47" s="19" t="n">
        <v>0</v>
      </c>
      <c r="M47" s="20" t="n">
        <v>4</v>
      </c>
      <c r="N47" s="16" t="inlineStr">
        <is>
          <t>―</t>
        </is>
      </c>
      <c r="O47" s="16" t="inlineStr">
        <is>
          <t>**P7の完了、町データの受領**</t>
        </is>
      </c>
      <c r="P47" s="21" t="n"/>
      <c r="Q47" s="21" t="n"/>
      <c r="R47" s="21" t="n"/>
      <c r="S47" s="21" t="n"/>
      <c r="T47" s="21" t="n"/>
      <c r="U47" s="21" t="n"/>
      <c r="V47" s="21" t="n"/>
      <c r="W47" s="21" t="n"/>
    </row>
    <row r="48">
      <c r="A48" s="16" t="inlineStr">
        <is>
          <t>P8 素案</t>
        </is>
      </c>
      <c r="B48" s="17" t="inlineStr">
        <is>
          <t>8-5</t>
        </is>
      </c>
      <c r="C48" s="16" t="inlineStr">
        <is>
          <t>素案の協議（協議会）</t>
        </is>
      </c>
      <c r="D48" s="16" t="inlineStr">
        <is>
          <t>素案の内容の合意</t>
        </is>
      </c>
      <c r="E48" s="16" t="inlineStr">
        <is>
          <t>B6 骨子案・素案の作成</t>
        </is>
      </c>
      <c r="F48" s="17" t="inlineStr">
        <is>
          <t>仕様書4(3)・4(5)</t>
        </is>
      </c>
      <c r="G48"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48" s="17" t="inlineStr">
        <is>
          <t>受託者・町</t>
        </is>
      </c>
      <c r="I48" s="17" t="inlineStr">
        <is>
          <t>2026-12</t>
        </is>
      </c>
      <c r="J48" s="17" t="inlineStr">
        <is>
          <t>2026-12</t>
        </is>
      </c>
      <c r="K48" s="24" t="inlineStr">
        <is>
          <t>未着手</t>
        </is>
      </c>
      <c r="L48" s="19" t="n">
        <v>0</v>
      </c>
      <c r="M48" s="20" t="n">
        <v>2</v>
      </c>
      <c r="N48" s="16" t="inlineStr">
        <is>
          <t>―</t>
        </is>
      </c>
      <c r="O48" s="16" t="inlineStr">
        <is>
          <t>協議会の開催時期</t>
        </is>
      </c>
      <c r="P48" s="21" t="n"/>
      <c r="Q48" s="21" t="n"/>
      <c r="R48" s="21" t="n"/>
      <c r="S48" s="21" t="n"/>
      <c r="T48" s="21" t="n"/>
      <c r="U48" s="21" t="n"/>
      <c r="V48" s="21" t="n"/>
      <c r="W48" s="21" t="n"/>
    </row>
    <row r="49">
      <c r="A49" s="16" t="inlineStr">
        <is>
          <t>P8 素案</t>
        </is>
      </c>
      <c r="B49" s="17" t="inlineStr">
        <is>
          <t>8-6</t>
        </is>
      </c>
      <c r="C49" s="16" t="inlineStr">
        <is>
          <t>成果品④の製本・納品</t>
        </is>
      </c>
      <c r="D49" s="16" t="inlineStr">
        <is>
          <t>データCD-R1部＋冊子（簡易製本）3部</t>
        </is>
      </c>
      <c r="E49" s="16" t="inlineStr">
        <is>
          <t>B9 成果品の納品</t>
        </is>
      </c>
      <c r="F49" s="17" t="inlineStr">
        <is>
          <t>仕様書4 成果品④</t>
        </is>
      </c>
      <c r="G49" s="16" t="inlineStr">
        <is>
          <t>【成果品④】（4）小野町高齢者保健福祉計画・第10期介護保険事業計画素案　※データ（CD-R）1部、冊子（簡易製本）3部</t>
        </is>
      </c>
      <c r="H49" s="17" t="inlineStr">
        <is>
          <t>受託者</t>
        </is>
      </c>
      <c r="I49" s="17" t="inlineStr">
        <is>
          <t>2027-03</t>
        </is>
      </c>
      <c r="J49" s="17" t="inlineStr">
        <is>
          <t>2027-03</t>
        </is>
      </c>
      <c r="K49" s="24" t="inlineStr">
        <is>
          <t>未着手</t>
        </is>
      </c>
      <c r="L49" s="19" t="n">
        <v>0</v>
      </c>
      <c r="M49" s="20" t="n">
        <v>1</v>
      </c>
      <c r="N49" s="16" t="inlineStr">
        <is>
          <t>―</t>
        </is>
      </c>
      <c r="O49" s="16" t="inlineStr">
        <is>
          <t>素案の確定</t>
        </is>
      </c>
      <c r="P49" s="21" t="n"/>
      <c r="Q49" s="21" t="n"/>
      <c r="R49" s="21" t="n"/>
      <c r="S49" s="21" t="n"/>
      <c r="T49" s="21" t="n"/>
      <c r="U49" s="21" t="n"/>
      <c r="V49" s="21" t="n"/>
      <c r="W49" s="21" t="n"/>
    </row>
    <row r="50">
      <c r="A50" s="16" t="inlineStr">
        <is>
          <t>P9 意見聴取</t>
        </is>
      </c>
      <c r="B50" s="17" t="inlineStr">
        <is>
          <t>9-1</t>
        </is>
      </c>
      <c r="C50" s="16" t="inlineStr">
        <is>
          <t>協議会の開催回数・時期の確定</t>
        </is>
      </c>
      <c r="D50" s="16" t="inlineStr">
        <is>
          <t>小野町高齢者福祉サービス推進協議会</t>
        </is>
      </c>
      <c r="E50" s="16" t="inlineStr">
        <is>
          <t>B8 協議会・パブリックコメントの支援</t>
        </is>
      </c>
      <c r="F50" s="17" t="inlineStr">
        <is>
          <t>仕様書4(5)</t>
        </is>
      </c>
      <c r="G50"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0" s="17" t="inlineStr">
        <is>
          <t>町</t>
        </is>
      </c>
      <c r="I50" s="17" t="inlineStr">
        <is>
          <t>2026-08</t>
        </is>
      </c>
      <c r="J50" s="17" t="inlineStr">
        <is>
          <t>2026-08</t>
        </is>
      </c>
      <c r="K50" s="22" t="inlineStr">
        <is>
          <t>要対応</t>
        </is>
      </c>
      <c r="L50" s="19" t="n">
        <v>0</v>
      </c>
      <c r="M50" s="20" t="n">
        <v>1</v>
      </c>
      <c r="N50" s="16" t="inlineStr">
        <is>
          <t>**仕様書に回数の指定がない。**受託者案は4回</t>
        </is>
      </c>
      <c r="O50" s="16" t="inlineStr">
        <is>
          <t>**町との協議（依頼票C4）。これが決まらないと工程が引けない**</t>
        </is>
      </c>
      <c r="P50" s="21" t="n"/>
      <c r="Q50" s="21" t="n"/>
      <c r="R50" s="21" t="n"/>
      <c r="S50" s="21" t="n"/>
      <c r="T50" s="21" t="n"/>
      <c r="U50" s="21" t="n"/>
      <c r="V50" s="21" t="n"/>
      <c r="W50" s="21" t="n"/>
    </row>
    <row r="51">
      <c r="A51" s="16" t="inlineStr">
        <is>
          <t>P9 意見聴取</t>
        </is>
      </c>
      <c r="B51" s="17" t="inlineStr">
        <is>
          <t>9-2</t>
        </is>
      </c>
      <c r="C51" s="16" t="inlineStr">
        <is>
          <t>協議会 第1回（第9期の評価・調査結果）</t>
        </is>
      </c>
      <c r="D51" s="16" t="inlineStr">
        <is>
          <t>評価と調査結果の報告</t>
        </is>
      </c>
      <c r="E51" s="16" t="inlineStr">
        <is>
          <t>B8 協議会・パブリックコメントの支援</t>
        </is>
      </c>
      <c r="F51" s="17" t="inlineStr">
        <is>
          <t>仕様書4(5)</t>
        </is>
      </c>
      <c r="G51"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1" s="17" t="inlineStr">
        <is>
          <t>受託者・町</t>
        </is>
      </c>
      <c r="I51" s="17" t="inlineStr">
        <is>
          <t>2026-08</t>
        </is>
      </c>
      <c r="J51" s="17" t="inlineStr">
        <is>
          <t>2026-09</t>
        </is>
      </c>
      <c r="K51" s="22" t="inlineStr">
        <is>
          <t>要対応</t>
        </is>
      </c>
      <c r="L51" s="19" t="n">
        <v>50</v>
      </c>
      <c r="M51" s="20" t="n">
        <v>2</v>
      </c>
      <c r="N51" s="16" t="inlineStr">
        <is>
          <t>**資料は作成済み（08_協議会資料・42表）**</t>
        </is>
      </c>
      <c r="O51" s="16" t="inlineStr">
        <is>
          <t>**開催日が未定**</t>
        </is>
      </c>
      <c r="P51" s="21" t="n"/>
      <c r="Q51" s="21" t="n"/>
      <c r="R51" s="21" t="n"/>
      <c r="S51" s="21" t="n"/>
      <c r="T51" s="21" t="n"/>
      <c r="U51" s="21" t="n"/>
      <c r="V51" s="21" t="n"/>
      <c r="W51" s="21" t="n"/>
    </row>
    <row r="52">
      <c r="A52" s="16" t="inlineStr">
        <is>
          <t>P9 意見聴取</t>
        </is>
      </c>
      <c r="B52" s="17" t="inlineStr">
        <is>
          <t>9-3</t>
        </is>
      </c>
      <c r="C52" s="16" t="inlineStr">
        <is>
          <t>協議会 第2回（骨子案・見込量・保険料・成果指標）</t>
        </is>
      </c>
      <c r="D52" s="16" t="inlineStr">
        <is>
          <t>計画の骨格の合意</t>
        </is>
      </c>
      <c r="E52" s="16" t="inlineStr">
        <is>
          <t>B8 協議会・パブリックコメントの支援</t>
        </is>
      </c>
      <c r="F52" s="17" t="inlineStr">
        <is>
          <t>仕様書4(5)</t>
        </is>
      </c>
      <c r="G52"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2" s="17" t="inlineStr">
        <is>
          <t>受託者・町</t>
        </is>
      </c>
      <c r="I52" s="17" t="inlineStr">
        <is>
          <t>2026-11</t>
        </is>
      </c>
      <c r="J52" s="17" t="inlineStr">
        <is>
          <t>2026-11</t>
        </is>
      </c>
      <c r="K52" s="24" t="inlineStr">
        <is>
          <t>未着手</t>
        </is>
      </c>
      <c r="L52" s="19" t="n">
        <v>0</v>
      </c>
      <c r="M52" s="20" t="n">
        <v>2</v>
      </c>
      <c r="N52" s="16" t="inlineStr">
        <is>
          <t>骨子案第3版・成果指標目標値案は作成済み</t>
        </is>
      </c>
      <c r="O52" s="16" t="inlineStr">
        <is>
          <t>P7の完了、開催日の確定</t>
        </is>
      </c>
      <c r="P52" s="21" t="n"/>
      <c r="Q52" s="21" t="n"/>
      <c r="R52" s="21" t="n"/>
      <c r="S52" s="21" t="n"/>
      <c r="T52" s="21" t="n"/>
      <c r="U52" s="21" t="n"/>
      <c r="V52" s="21" t="n"/>
      <c r="W52" s="21" t="n"/>
    </row>
    <row r="53">
      <c r="A53" s="16" t="inlineStr">
        <is>
          <t>P9 意見聴取</t>
        </is>
      </c>
      <c r="B53" s="17" t="inlineStr">
        <is>
          <t>9-4</t>
        </is>
      </c>
      <c r="C53" s="16" t="inlineStr">
        <is>
          <t>協議会 第3回（素案）</t>
        </is>
      </c>
      <c r="D53" s="16" t="inlineStr">
        <is>
          <t>素案の合意</t>
        </is>
      </c>
      <c r="E53" s="16" t="inlineStr">
        <is>
          <t>B8 協議会・パブリックコメントの支援</t>
        </is>
      </c>
      <c r="F53" s="17" t="inlineStr">
        <is>
          <t>仕様書4(5)</t>
        </is>
      </c>
      <c r="G53"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3" s="17" t="inlineStr">
        <is>
          <t>受託者・町</t>
        </is>
      </c>
      <c r="I53" s="17" t="inlineStr">
        <is>
          <t>2026-12</t>
        </is>
      </c>
      <c r="J53" s="17" t="inlineStr">
        <is>
          <t>2026-12</t>
        </is>
      </c>
      <c r="K53" s="24" t="inlineStr">
        <is>
          <t>未着手</t>
        </is>
      </c>
      <c r="L53" s="19" t="n">
        <v>0</v>
      </c>
      <c r="M53" s="20" t="n">
        <v>2</v>
      </c>
      <c r="N53" s="16" t="inlineStr">
        <is>
          <t>―</t>
        </is>
      </c>
      <c r="O53" s="16" t="inlineStr">
        <is>
          <t>素案の確定</t>
        </is>
      </c>
      <c r="P53" s="21" t="n"/>
      <c r="Q53" s="21" t="n"/>
      <c r="R53" s="21" t="n"/>
      <c r="S53" s="21" t="n"/>
      <c r="T53" s="21" t="n"/>
      <c r="U53" s="21" t="n"/>
      <c r="V53" s="21" t="n"/>
      <c r="W53" s="21" t="n"/>
    </row>
    <row r="54">
      <c r="A54" s="16" t="inlineStr">
        <is>
          <t>P9 意見聴取</t>
        </is>
      </c>
      <c r="B54" s="17" t="inlineStr">
        <is>
          <t>9-5</t>
        </is>
      </c>
      <c r="C54" s="16" t="inlineStr">
        <is>
          <t>パブリックコメントの様式作成</t>
        </is>
      </c>
      <c r="D54" s="16" t="inlineStr">
        <is>
          <t>実施要領、意見提出様式、意見と町の考え方の対応表</t>
        </is>
      </c>
      <c r="E54" s="16" t="inlineStr">
        <is>
          <t>B8 協議会・パブリックコメントの支援</t>
        </is>
      </c>
      <c r="F54" s="17" t="inlineStr">
        <is>
          <t>仕様書4(5)</t>
        </is>
      </c>
      <c r="G54"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4" s="17" t="inlineStr">
        <is>
          <t>受託者</t>
        </is>
      </c>
      <c r="I54" s="17" t="inlineStr">
        <is>
          <t>2026-08</t>
        </is>
      </c>
      <c r="J54" s="17" t="inlineStr">
        <is>
          <t>2026-08</t>
        </is>
      </c>
      <c r="K54" s="18" t="inlineStr">
        <is>
          <t>完了</t>
        </is>
      </c>
      <c r="L54" s="19" t="n">
        <v>100</v>
      </c>
      <c r="M54" s="20" t="n">
        <v>2</v>
      </c>
      <c r="N54" s="16" t="inlineStr">
        <is>
          <t>計画策定業務設計書 第4章（02_キックオフ・業務計画）</t>
        </is>
      </c>
      <c r="O54" s="16" t="inlineStr">
        <is>
          <t>―</t>
        </is>
      </c>
      <c r="P54" s="21" t="n"/>
      <c r="Q54" s="21" t="n"/>
      <c r="R54" s="21" t="n"/>
      <c r="S54" s="21" t="n"/>
      <c r="T54" s="21" t="n"/>
      <c r="U54" s="21" t="n"/>
      <c r="V54" s="21" t="n"/>
      <c r="W54" s="21" t="n"/>
    </row>
    <row r="55">
      <c r="A55" s="16" t="inlineStr">
        <is>
          <t>P9 意見聴取</t>
        </is>
      </c>
      <c r="B55" s="17" t="inlineStr">
        <is>
          <t>9-6</t>
        </is>
      </c>
      <c r="C55" s="16" t="inlineStr">
        <is>
          <t>パブリックコメントの実施</t>
        </is>
      </c>
      <c r="D55" s="16" t="inlineStr">
        <is>
          <t>意見提出期間1か月</t>
        </is>
      </c>
      <c r="E55" s="16" t="inlineStr">
        <is>
          <t>B8 協議会・パブリックコメントの支援</t>
        </is>
      </c>
      <c r="F55" s="17" t="inlineStr">
        <is>
          <t>仕様書4(5)</t>
        </is>
      </c>
      <c r="G55"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5" s="17" t="inlineStr">
        <is>
          <t>町</t>
        </is>
      </c>
      <c r="I55" s="17" t="inlineStr">
        <is>
          <t>2027-01</t>
        </is>
      </c>
      <c r="J55" s="17" t="inlineStr">
        <is>
          <t>2027-01</t>
        </is>
      </c>
      <c r="K55" s="24" t="inlineStr">
        <is>
          <t>未着手</t>
        </is>
      </c>
      <c r="L55" s="19" t="n">
        <v>0</v>
      </c>
      <c r="M55" s="20" t="n">
        <v>2</v>
      </c>
      <c r="N55" s="16" t="inlineStr">
        <is>
          <t>―</t>
        </is>
      </c>
      <c r="O55" s="16" t="inlineStr">
        <is>
          <t>素案の確定、実施時期の確定（依頼票C6）</t>
        </is>
      </c>
      <c r="P55" s="21" t="n"/>
      <c r="Q55" s="21" t="n"/>
      <c r="R55" s="21" t="n"/>
      <c r="S55" s="21" t="n"/>
      <c r="T55" s="21" t="n"/>
      <c r="U55" s="21" t="n"/>
      <c r="V55" s="21" t="n"/>
      <c r="W55" s="21" t="n"/>
    </row>
    <row r="56">
      <c r="A56" s="16" t="inlineStr">
        <is>
          <t>P9 意見聴取</t>
        </is>
      </c>
      <c r="B56" s="17" t="inlineStr">
        <is>
          <t>9-7</t>
        </is>
      </c>
      <c r="C56" s="16" t="inlineStr">
        <is>
          <t>意見への対応</t>
        </is>
      </c>
      <c r="D56" s="16" t="inlineStr">
        <is>
          <t>意見の整理、対応案の作成、計画への反映</t>
        </is>
      </c>
      <c r="E56" s="16" t="inlineStr">
        <is>
          <t>B8 協議会・パブリックコメントの支援</t>
        </is>
      </c>
      <c r="F56" s="17" t="inlineStr">
        <is>
          <t>仕様書4(5)</t>
        </is>
      </c>
      <c r="G56"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17" t="inlineStr">
        <is>
          <t>受託者</t>
        </is>
      </c>
      <c r="I56" s="17" t="inlineStr">
        <is>
          <t>2027-02</t>
        </is>
      </c>
      <c r="J56" s="17" t="inlineStr">
        <is>
          <t>2027-02</t>
        </is>
      </c>
      <c r="K56" s="24" t="inlineStr">
        <is>
          <t>未着手</t>
        </is>
      </c>
      <c r="L56" s="19" t="n">
        <v>0</v>
      </c>
      <c r="M56" s="20" t="n">
        <v>2</v>
      </c>
      <c r="N56" s="16" t="inlineStr">
        <is>
          <t>対応表の様式は作成済み</t>
        </is>
      </c>
      <c r="O56" s="16" t="inlineStr">
        <is>
          <t>パブコメの実施</t>
        </is>
      </c>
      <c r="P56" s="21" t="n"/>
      <c r="Q56" s="21" t="n"/>
      <c r="R56" s="21" t="n"/>
      <c r="S56" s="21" t="n"/>
      <c r="T56" s="21" t="n"/>
      <c r="U56" s="21" t="n"/>
      <c r="V56" s="21" t="n"/>
      <c r="W56" s="21" t="n"/>
    </row>
    <row r="57">
      <c r="A57" s="16" t="inlineStr">
        <is>
          <t>P9 意見聴取</t>
        </is>
      </c>
      <c r="B57" s="17" t="inlineStr">
        <is>
          <t>9-8</t>
        </is>
      </c>
      <c r="C57" s="16" t="inlineStr">
        <is>
          <t>協議会 第4回（最終案）</t>
        </is>
      </c>
      <c r="D57" s="16" t="inlineStr">
        <is>
          <t>最終案の確認</t>
        </is>
      </c>
      <c r="E57" s="16" t="inlineStr">
        <is>
          <t>B8 協議会・パブリックコメントの支援</t>
        </is>
      </c>
      <c r="F57" s="17" t="inlineStr">
        <is>
          <t>仕様書4(5)</t>
        </is>
      </c>
      <c r="G57"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7" s="17" t="inlineStr">
        <is>
          <t>受託者・町</t>
        </is>
      </c>
      <c r="I57" s="17" t="inlineStr">
        <is>
          <t>2027-02</t>
        </is>
      </c>
      <c r="J57" s="17" t="inlineStr">
        <is>
          <t>2027-02</t>
        </is>
      </c>
      <c r="K57" s="24" t="inlineStr">
        <is>
          <t>未着手</t>
        </is>
      </c>
      <c r="L57" s="19" t="n">
        <v>0</v>
      </c>
      <c r="M57" s="20" t="n">
        <v>1</v>
      </c>
      <c r="N57" s="16" t="inlineStr">
        <is>
          <t>―</t>
        </is>
      </c>
      <c r="O57" s="16" t="inlineStr">
        <is>
          <t>意見への対応</t>
        </is>
      </c>
      <c r="P57" s="21" t="n"/>
      <c r="Q57" s="21" t="n"/>
      <c r="R57" s="21" t="n"/>
      <c r="S57" s="21" t="n"/>
      <c r="T57" s="21" t="n"/>
      <c r="U57" s="21" t="n"/>
      <c r="V57" s="21" t="n"/>
      <c r="W57" s="21" t="n"/>
    </row>
    <row r="58">
      <c r="A58" s="16" t="inlineStr">
        <is>
          <t>P10 完成・納品</t>
        </is>
      </c>
      <c r="B58" s="17" t="inlineStr">
        <is>
          <t>10-1</t>
        </is>
      </c>
      <c r="C58" s="16" t="inlineStr">
        <is>
          <t>計画書の原稿確定</t>
        </is>
      </c>
      <c r="D58" s="16" t="inlineStr">
        <is>
          <t>パブリックコメント対応後の原稿</t>
        </is>
      </c>
      <c r="E58" s="16" t="inlineStr">
        <is>
          <t>B7 最終調整及び計画書の作成</t>
        </is>
      </c>
      <c r="F58" s="17" t="inlineStr">
        <is>
          <t>仕様書4(4)</t>
        </is>
      </c>
      <c r="G58" s="16" t="inlineStr">
        <is>
          <t>【4(4)】最終調整及び計画書の作成・取りまとめ。（1）から（3）の結果を踏まえ、小野町高齢者保健福祉計画・第10期介護保険事業計画書を作成するものとする。</t>
        </is>
      </c>
      <c r="H58" s="17" t="inlineStr">
        <is>
          <t>受託者</t>
        </is>
      </c>
      <c r="I58" s="17" t="inlineStr">
        <is>
          <t>2027-02</t>
        </is>
      </c>
      <c r="J58" s="17" t="inlineStr">
        <is>
          <t>2027-02</t>
        </is>
      </c>
      <c r="K58" s="24" t="inlineStr">
        <is>
          <t>未着手</t>
        </is>
      </c>
      <c r="L58" s="19" t="n">
        <v>0</v>
      </c>
      <c r="M58" s="20" t="n">
        <v>3</v>
      </c>
      <c r="N58" s="16" t="inlineStr">
        <is>
          <t>―</t>
        </is>
      </c>
      <c r="O58" s="16" t="inlineStr">
        <is>
          <t>意見への対応</t>
        </is>
      </c>
      <c r="P58" s="21" t="n"/>
      <c r="Q58" s="21" t="n"/>
      <c r="R58" s="21" t="n"/>
      <c r="S58" s="21" t="n"/>
      <c r="T58" s="21" t="n"/>
      <c r="U58" s="21" t="n"/>
      <c r="V58" s="21" t="n"/>
      <c r="W58" s="21" t="n"/>
    </row>
    <row r="59">
      <c r="A59" s="16" t="inlineStr">
        <is>
          <t>P10 完成・納品</t>
        </is>
      </c>
      <c r="B59" s="17" t="inlineStr">
        <is>
          <t>10-2</t>
        </is>
      </c>
      <c r="C59" s="16" t="inlineStr">
        <is>
          <t>レイアウト・組版</t>
        </is>
      </c>
      <c r="D59" s="16" t="inlineStr">
        <is>
          <t>A4・4色刷り・80頁程度</t>
        </is>
      </c>
      <c r="E59" s="16" t="inlineStr">
        <is>
          <t>B9 成果品の納品</t>
        </is>
      </c>
      <c r="F59" s="17" t="inlineStr">
        <is>
          <t>仕様書4 成果品⑤</t>
        </is>
      </c>
      <c r="G59" s="16" t="inlineStr">
        <is>
          <t>【成果品⑤】（5）小野町高齢者保健福祉計画・第10期介護保険事業計画　※データ（CD-R）1部、計画書印刷50部＜仕様＞A4版、4色刷り、80頁程度</t>
        </is>
      </c>
      <c r="H59" s="17" t="inlineStr">
        <is>
          <t>受託者</t>
        </is>
      </c>
      <c r="I59" s="17" t="inlineStr">
        <is>
          <t>2027-02</t>
        </is>
      </c>
      <c r="J59" s="17" t="inlineStr">
        <is>
          <t>2027-02</t>
        </is>
      </c>
      <c r="K59" s="24" t="inlineStr">
        <is>
          <t>未着手</t>
        </is>
      </c>
      <c r="L59" s="19" t="n">
        <v>0</v>
      </c>
      <c r="M59" s="20" t="n">
        <v>3</v>
      </c>
      <c r="N59" s="16" t="inlineStr">
        <is>
          <t>―</t>
        </is>
      </c>
      <c r="O59" s="16" t="inlineStr">
        <is>
          <t>原稿の確定</t>
        </is>
      </c>
      <c r="P59" s="21" t="n"/>
      <c r="Q59" s="21" t="n"/>
      <c r="R59" s="21" t="n"/>
      <c r="S59" s="21" t="n"/>
      <c r="T59" s="21" t="n"/>
      <c r="U59" s="21" t="n"/>
      <c r="V59" s="21" t="n"/>
      <c r="W59" s="21" t="n"/>
    </row>
    <row r="60">
      <c r="A60" s="16" t="inlineStr">
        <is>
          <t>P10 完成・納品</t>
        </is>
      </c>
      <c r="B60" s="17" t="inlineStr">
        <is>
          <t>10-3</t>
        </is>
      </c>
      <c r="C60" s="16" t="inlineStr">
        <is>
          <t>校正（初校・再校・校了）</t>
        </is>
      </c>
      <c r="D60" s="16" t="inlineStr">
        <is>
          <t>町の確認を経て校了</t>
        </is>
      </c>
      <c r="E60" s="16" t="inlineStr">
        <is>
          <t>B9 成果品の納品</t>
        </is>
      </c>
      <c r="F60" s="17" t="inlineStr">
        <is>
          <t>仕様書4 成果品⑤</t>
        </is>
      </c>
      <c r="G60" s="16" t="inlineStr">
        <is>
          <t>【成果品⑤】（5）小野町高齢者保健福祉計画・第10期介護保険事業計画　※データ（CD-R）1部、計画書印刷50部＜仕様＞A4版、4色刷り、80頁程度</t>
        </is>
      </c>
      <c r="H60" s="17" t="inlineStr">
        <is>
          <t>受託者・町</t>
        </is>
      </c>
      <c r="I60" s="17" t="inlineStr">
        <is>
          <t>2027-02</t>
        </is>
      </c>
      <c r="J60" s="17" t="inlineStr">
        <is>
          <t>2027-02</t>
        </is>
      </c>
      <c r="K60" s="24" t="inlineStr">
        <is>
          <t>未着手</t>
        </is>
      </c>
      <c r="L60" s="19" t="n">
        <v>0</v>
      </c>
      <c r="M60" s="20" t="n">
        <v>2</v>
      </c>
      <c r="N60" s="16" t="inlineStr">
        <is>
          <t>**逆算表を作成済み（令和9年2月下旬の校了が動かせない期限）**</t>
        </is>
      </c>
      <c r="O60" s="16" t="inlineStr">
        <is>
          <t>組版</t>
        </is>
      </c>
      <c r="P60" s="21" t="n"/>
      <c r="Q60" s="21" t="n"/>
      <c r="R60" s="21" t="n"/>
      <c r="S60" s="21" t="n"/>
      <c r="T60" s="21" t="n"/>
      <c r="U60" s="21" t="n"/>
      <c r="V60" s="21" t="n"/>
      <c r="W60" s="21" t="n"/>
    </row>
    <row r="61">
      <c r="A61" s="16" t="inlineStr">
        <is>
          <t>P10 完成・納品</t>
        </is>
      </c>
      <c r="B61" s="17" t="inlineStr">
        <is>
          <t>10-4</t>
        </is>
      </c>
      <c r="C61" s="16" t="inlineStr">
        <is>
          <t>概要版の構成案</t>
        </is>
      </c>
      <c r="D61" s="16" t="inlineStr">
        <is>
          <t>A4・4色刷り・8頁のページ割り</t>
        </is>
      </c>
      <c r="E61" s="16" t="inlineStr">
        <is>
          <t>B9 成果品の納品</t>
        </is>
      </c>
      <c r="F61" s="17" t="inlineStr">
        <is>
          <t>仕様書4 成果品⑥</t>
        </is>
      </c>
      <c r="G61" s="16" t="inlineStr">
        <is>
          <t>【成果品⑥】（6）小野町高齢者保健福祉計画・第10期介護保険事業計画概要版　※データ（CD-R）1部、概要版印刷50部＜仕様＞A4版、4色刷り、8頁</t>
        </is>
      </c>
      <c r="H61" s="17" t="inlineStr">
        <is>
          <t>受託者</t>
        </is>
      </c>
      <c r="I61" s="17" t="inlineStr">
        <is>
          <t>2026-08</t>
        </is>
      </c>
      <c r="J61" s="17" t="inlineStr">
        <is>
          <t>2026-08</t>
        </is>
      </c>
      <c r="K61" s="18" t="inlineStr">
        <is>
          <t>完了</t>
        </is>
      </c>
      <c r="L61" s="19" t="n">
        <v>100</v>
      </c>
      <c r="M61" s="20" t="n">
        <v>1</v>
      </c>
      <c r="N61" s="16" t="inlineStr">
        <is>
          <t>計画策定業務設計書 第2章（02_キックオフ・業務計画）</t>
        </is>
      </c>
      <c r="O61" s="16" t="inlineStr">
        <is>
          <t>―</t>
        </is>
      </c>
      <c r="P61" s="21" t="n"/>
      <c r="Q61" s="21" t="n"/>
      <c r="R61" s="21" t="n"/>
      <c r="S61" s="21" t="n"/>
      <c r="T61" s="21" t="n"/>
      <c r="U61" s="21" t="n"/>
      <c r="V61" s="21" t="n"/>
      <c r="W61" s="21" t="n"/>
    </row>
    <row r="62">
      <c r="A62" s="16" t="inlineStr">
        <is>
          <t>P10 完成・納品</t>
        </is>
      </c>
      <c r="B62" s="17" t="inlineStr">
        <is>
          <t>10-5</t>
        </is>
      </c>
      <c r="C62" s="16" t="inlineStr">
        <is>
          <t>概要版の作成</t>
        </is>
      </c>
      <c r="D62" s="16" t="inlineStr">
        <is>
          <t>計画書からの抽出とリライト、図表8点程度</t>
        </is>
      </c>
      <c r="E62" s="16" t="inlineStr">
        <is>
          <t>B9 成果品の納品</t>
        </is>
      </c>
      <c r="F62" s="17" t="inlineStr">
        <is>
          <t>仕様書4 成果品⑥</t>
        </is>
      </c>
      <c r="G62" s="16" t="inlineStr">
        <is>
          <t>【成果品⑥】（6）小野町高齢者保健福祉計画・第10期介護保険事業計画概要版　※データ（CD-R）1部、概要版印刷50部＜仕様＞A4版、4色刷り、8頁</t>
        </is>
      </c>
      <c r="H62" s="17" t="inlineStr">
        <is>
          <t>受託者</t>
        </is>
      </c>
      <c r="I62" s="17" t="inlineStr">
        <is>
          <t>2027-02</t>
        </is>
      </c>
      <c r="J62" s="17" t="inlineStr">
        <is>
          <t>2027-03</t>
        </is>
      </c>
      <c r="K62" s="24" t="inlineStr">
        <is>
          <t>未着手</t>
        </is>
      </c>
      <c r="L62" s="19" t="n">
        <v>0</v>
      </c>
      <c r="M62" s="20" t="n">
        <v>2</v>
      </c>
      <c r="N62" s="16" t="inlineStr">
        <is>
          <t>構成案は作成済み</t>
        </is>
      </c>
      <c r="O62" s="16" t="inlineStr">
        <is>
          <t>計画書の確定</t>
        </is>
      </c>
      <c r="P62" s="21" t="n"/>
      <c r="Q62" s="21" t="n"/>
      <c r="R62" s="21" t="n"/>
      <c r="S62" s="21" t="n"/>
      <c r="T62" s="21" t="n"/>
      <c r="U62" s="21" t="n"/>
      <c r="V62" s="21" t="n"/>
      <c r="W62" s="21" t="n"/>
    </row>
    <row r="63">
      <c r="A63" s="16" t="inlineStr">
        <is>
          <t>P10 完成・納品</t>
        </is>
      </c>
      <c r="B63" s="17" t="inlineStr">
        <is>
          <t>10-6</t>
        </is>
      </c>
      <c r="C63" s="16" t="inlineStr">
        <is>
          <t>印刷・製本</t>
        </is>
      </c>
      <c r="D63" s="16" t="inlineStr">
        <is>
          <t>計画書50部、概要版50部。色校正を含む</t>
        </is>
      </c>
      <c r="E63" s="16" t="inlineStr">
        <is>
          <t>B9 成果品の納品</t>
        </is>
      </c>
      <c r="F63" s="17" t="inlineStr">
        <is>
          <t>仕様書4 成果品⑤・仕様書4 成果品⑥</t>
        </is>
      </c>
      <c r="G63" s="16"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3" s="17" t="inlineStr">
        <is>
          <t>受託者</t>
        </is>
      </c>
      <c r="I63" s="17" t="inlineStr">
        <is>
          <t>2027-03</t>
        </is>
      </c>
      <c r="J63" s="17" t="inlineStr">
        <is>
          <t>2027-03</t>
        </is>
      </c>
      <c r="K63" s="24" t="inlineStr">
        <is>
          <t>未着手</t>
        </is>
      </c>
      <c r="L63" s="19" t="n">
        <v>0</v>
      </c>
      <c r="M63" s="20" t="n">
        <v>2</v>
      </c>
      <c r="N63" s="16" t="inlineStr">
        <is>
          <t>**逆算表を作成済み。12月までに印刷業者を押さえる必要がある**</t>
        </is>
      </c>
      <c r="O63" s="16" t="inlineStr">
        <is>
          <t>校了</t>
        </is>
      </c>
      <c r="P63" s="21" t="n"/>
      <c r="Q63" s="21" t="n"/>
      <c r="R63" s="21" t="n"/>
      <c r="S63" s="21" t="n"/>
      <c r="T63" s="21" t="n"/>
      <c r="U63" s="21" t="n"/>
      <c r="V63" s="21" t="n"/>
      <c r="W63" s="21" t="n"/>
    </row>
    <row r="64">
      <c r="A64" s="16" t="inlineStr">
        <is>
          <t>P10 完成・納品</t>
        </is>
      </c>
      <c r="B64" s="17" t="inlineStr">
        <is>
          <t>10-7</t>
        </is>
      </c>
      <c r="C64" s="16" t="inlineStr">
        <is>
          <t>データCD-Rの作成</t>
        </is>
      </c>
      <c r="D64" s="16" t="inlineStr">
        <is>
          <t>成果品①〜⑥のデータ</t>
        </is>
      </c>
      <c r="E64" s="16" t="inlineStr">
        <is>
          <t>B9 成果品の納品</t>
        </is>
      </c>
      <c r="F64" s="17" t="inlineStr">
        <is>
          <t>仕様書4 成果品</t>
        </is>
      </c>
      <c r="G64" s="16" t="inlineStr">
        <is>
          <t>【成果品】（1）〜（4）のデータ（CD-R）1部、冊子（簡易製本）各3部／（5）（6）のデータ（CD-R）1部、計画書印刷50部／概要版印刷50部</t>
        </is>
      </c>
      <c r="H64" s="17" t="inlineStr">
        <is>
          <t>受託者</t>
        </is>
      </c>
      <c r="I64" s="17" t="inlineStr">
        <is>
          <t>2027-03</t>
        </is>
      </c>
      <c r="J64" s="17" t="inlineStr">
        <is>
          <t>2027-03</t>
        </is>
      </c>
      <c r="K64" s="24" t="inlineStr">
        <is>
          <t>未着手</t>
        </is>
      </c>
      <c r="L64" s="19" t="n">
        <v>0</v>
      </c>
      <c r="M64" s="20" t="n">
        <v>1</v>
      </c>
      <c r="N64" s="16" t="inlineStr">
        <is>
          <t>―</t>
        </is>
      </c>
      <c r="O64" s="16" t="inlineStr">
        <is>
          <t>各成果品の確定</t>
        </is>
      </c>
      <c r="P64" s="21" t="n"/>
      <c r="Q64" s="21" t="n"/>
      <c r="R64" s="21" t="n"/>
      <c r="S64" s="21" t="n"/>
      <c r="T64" s="21" t="n"/>
      <c r="U64" s="21" t="n"/>
      <c r="V64" s="21" t="n"/>
      <c r="W64" s="21" t="n"/>
    </row>
    <row r="65">
      <c r="A65" s="16" t="inlineStr">
        <is>
          <t>P10 完成・納品</t>
        </is>
      </c>
      <c r="B65" s="17" t="inlineStr">
        <is>
          <t>10-8</t>
        </is>
      </c>
      <c r="C65" s="16" t="inlineStr">
        <is>
          <t>納品・検収</t>
        </is>
      </c>
      <c r="D65" s="16" t="inlineStr">
        <is>
          <t>令和9年3月31日まで</t>
        </is>
      </c>
      <c r="E65" s="16" t="inlineStr">
        <is>
          <t>B10 業務管理・計画の基本的な考え方</t>
        </is>
      </c>
      <c r="F65" s="17" t="inlineStr">
        <is>
          <t>仕様書3（業務期間）</t>
        </is>
      </c>
      <c r="G65" s="16" t="inlineStr">
        <is>
          <t>【3】契約締結の日から令和9年3月31日まで</t>
        </is>
      </c>
      <c r="H65" s="17" t="inlineStr">
        <is>
          <t>受託者・町</t>
        </is>
      </c>
      <c r="I65" s="17" t="inlineStr">
        <is>
          <t>2027-03</t>
        </is>
      </c>
      <c r="J65" s="17" t="inlineStr">
        <is>
          <t>2027-03</t>
        </is>
      </c>
      <c r="K65" s="24" t="inlineStr">
        <is>
          <t>未着手</t>
        </is>
      </c>
      <c r="L65" s="19" t="n">
        <v>0</v>
      </c>
      <c r="M65" s="20" t="n">
        <v>1</v>
      </c>
      <c r="N65" s="16" t="inlineStr">
        <is>
          <t>―</t>
        </is>
      </c>
      <c r="O65" s="16" t="inlineStr">
        <is>
          <t>全成果品の完成</t>
        </is>
      </c>
      <c r="P65" s="21" t="n"/>
      <c r="Q65" s="21" t="n"/>
      <c r="R65" s="21" t="n"/>
      <c r="S65" s="21" t="n"/>
      <c r="T65" s="21" t="n"/>
      <c r="U65" s="21" t="n"/>
      <c r="V65" s="21" t="n"/>
      <c r="W65" s="21" t="n"/>
    </row>
  </sheetData>
  <autoFilter ref="A1:O65"/>
  <conditionalFormatting sqref="L2:L65">
    <cfRule type="cellIs" priority="1" operator="equal" dxfId="0">
      <formula>100</formula>
    </cfRule>
    <cfRule type="cellIs" priority="2" operator="equal" dxfId="1">
      <formula>0</formula>
    </cfRule>
  </conditionalFormatting>
  <dataValidations count="2">
    <dataValidation sqref="K2:K65" showDropDown="0" showInputMessage="0" showErrorMessage="0" allowBlank="1" type="list">
      <formula1>"完了,進行中,要対応,データ待ち,未着手"</formula1>
    </dataValidation>
    <dataValidation sqref="L2:L65"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6" t="inlineStr">
        <is>
          <t>P1 準備・現状把握</t>
        </is>
      </c>
      <c r="B2" s="17">
        <f>COUNTIF('01_WBS'!$A$2:$A$65,$A2)</f>
        <v/>
      </c>
      <c r="C2" s="17">
        <f>COUNTIFS('01_WBS'!$A$2:$A$65,$A2,'01_WBS'!$K$2:$K$65,"完了")</f>
        <v/>
      </c>
      <c r="D2" s="17">
        <f>COUNTIFS('01_WBS'!$A$2:$A$65,$A2,'01_WBS'!$K$2:$K$65,"進行中")</f>
        <v/>
      </c>
      <c r="E2" s="17">
        <f>COUNTIFS('01_WBS'!$A$2:$A$65,$A2,'01_WBS'!$K$2:$K$65,"要対応")</f>
        <v/>
      </c>
      <c r="F2" s="17">
        <f>COUNTIFS('01_WBS'!$A$2:$A$65,$A2,'01_WBS'!$K$2:$K$65,"データ待ち")</f>
        <v/>
      </c>
      <c r="G2" s="17">
        <f>COUNTIFS('01_WBS'!$A$2:$A$65,$A2,'01_WBS'!$K$2:$K$65,"未着手")</f>
        <v/>
      </c>
      <c r="H2" s="25">
        <f>IF(SUMPRODUCT(('01_WBS'!$A$2:$A$65=$A2)*'01_WBS'!$M$2:$M$65)=0,0,SUMPRODUCT(('01_WBS'!$A$2:$A$65=$A2)*'01_WBS'!$L$2:$L$65*'01_WBS'!$M$2:$M$65)/SUMPRODUCT(('01_WBS'!$A$2:$A$65=$A2)*'01_WBS'!$M$2:$M$65)/100)</f>
        <v/>
      </c>
      <c r="I2" s="17" t="inlineStr">
        <is>
          <t>2026-06</t>
        </is>
      </c>
      <c r="J2" s="17" t="inlineStr">
        <is>
          <t>2026-09</t>
        </is>
      </c>
      <c r="K2" s="16" t="inlineStr">
        <is>
          <t>町データの受領（依頼35件・受領0件）</t>
        </is>
      </c>
    </row>
    <row r="3">
      <c r="A3" s="16" t="inlineStr">
        <is>
          <t>P2 統計分析</t>
        </is>
      </c>
      <c r="B3" s="17">
        <f>COUNTIF('01_WBS'!$A$2:$A$65,$A3)</f>
        <v/>
      </c>
      <c r="C3" s="17">
        <f>COUNTIFS('01_WBS'!$A$2:$A$65,$A3,'01_WBS'!$K$2:$K$65,"完了")</f>
        <v/>
      </c>
      <c r="D3" s="17">
        <f>COUNTIFS('01_WBS'!$A$2:$A$65,$A3,'01_WBS'!$K$2:$K$65,"進行中")</f>
        <v/>
      </c>
      <c r="E3" s="17">
        <f>COUNTIFS('01_WBS'!$A$2:$A$65,$A3,'01_WBS'!$K$2:$K$65,"要対応")</f>
        <v/>
      </c>
      <c r="F3" s="17">
        <f>COUNTIFS('01_WBS'!$A$2:$A$65,$A3,'01_WBS'!$K$2:$K$65,"データ待ち")</f>
        <v/>
      </c>
      <c r="G3" s="17">
        <f>COUNTIFS('01_WBS'!$A$2:$A$65,$A3,'01_WBS'!$K$2:$K$65,"未着手")</f>
        <v/>
      </c>
      <c r="H3" s="25">
        <f>IF(SUMPRODUCT(('01_WBS'!$A$2:$A$65=$A3)*'01_WBS'!$M$2:$M$65)=0,0,SUMPRODUCT(('01_WBS'!$A$2:$A$65=$A3)*'01_WBS'!$L$2:$L$65*'01_WBS'!$M$2:$M$65)/SUMPRODUCT(('01_WBS'!$A$2:$A$65=$A3)*'01_WBS'!$M$2:$M$65)/100)</f>
        <v/>
      </c>
      <c r="I3" s="17" t="inlineStr">
        <is>
          <t>2026-07</t>
        </is>
      </c>
      <c r="J3" s="17" t="inlineStr">
        <is>
          <t>2026-11</t>
        </is>
      </c>
      <c r="K3" s="16" t="inlineStr">
        <is>
          <t>**令和8年3月末の認定者数の確認。本業務の最大の律速**</t>
        </is>
      </c>
    </row>
    <row r="4">
      <c r="A4" s="16" t="inlineStr">
        <is>
          <t>P3 給付費等の分析</t>
        </is>
      </c>
      <c r="B4" s="17">
        <f>COUNTIF('01_WBS'!$A$2:$A$65,$A4)</f>
        <v/>
      </c>
      <c r="C4" s="17">
        <f>COUNTIFS('01_WBS'!$A$2:$A$65,$A4,'01_WBS'!$K$2:$K$65,"完了")</f>
        <v/>
      </c>
      <c r="D4" s="17">
        <f>COUNTIFS('01_WBS'!$A$2:$A$65,$A4,'01_WBS'!$K$2:$K$65,"進行中")</f>
        <v/>
      </c>
      <c r="E4" s="17">
        <f>COUNTIFS('01_WBS'!$A$2:$A$65,$A4,'01_WBS'!$K$2:$K$65,"要対応")</f>
        <v/>
      </c>
      <c r="F4" s="17">
        <f>COUNTIFS('01_WBS'!$A$2:$A$65,$A4,'01_WBS'!$K$2:$K$65,"データ待ち")</f>
        <v/>
      </c>
      <c r="G4" s="17">
        <f>COUNTIFS('01_WBS'!$A$2:$A$65,$A4,'01_WBS'!$K$2:$K$65,"未着手")</f>
        <v/>
      </c>
      <c r="H4" s="25">
        <f>IF(SUMPRODUCT(('01_WBS'!$A$2:$A$65=$A4)*'01_WBS'!$M$2:$M$65)=0,0,SUMPRODUCT(('01_WBS'!$A$2:$A$65=$A4)*'01_WBS'!$L$2:$L$65*'01_WBS'!$M$2:$M$65)/SUMPRODUCT(('01_WBS'!$A$2:$A$65=$A4)*'01_WBS'!$M$2:$M$65)/100)</f>
        <v/>
      </c>
      <c r="I4" s="17" t="inlineStr">
        <is>
          <t>2026-07</t>
        </is>
      </c>
      <c r="J4" s="17" t="inlineStr">
        <is>
          <t>2027-03</t>
        </is>
      </c>
      <c r="K4" s="16" t="inlineStr">
        <is>
          <t>町の給付実績（令和3〜7年度）</t>
        </is>
      </c>
    </row>
    <row r="5">
      <c r="A5" s="16" t="inlineStr">
        <is>
          <t>P4 調査結果の反映</t>
        </is>
      </c>
      <c r="B5" s="17">
        <f>COUNTIF('01_WBS'!$A$2:$A$65,$A5)</f>
        <v/>
      </c>
      <c r="C5" s="17">
        <f>COUNTIFS('01_WBS'!$A$2:$A$65,$A5,'01_WBS'!$K$2:$K$65,"完了")</f>
        <v/>
      </c>
      <c r="D5" s="17">
        <f>COUNTIFS('01_WBS'!$A$2:$A$65,$A5,'01_WBS'!$K$2:$K$65,"進行中")</f>
        <v/>
      </c>
      <c r="E5" s="17">
        <f>COUNTIFS('01_WBS'!$A$2:$A$65,$A5,'01_WBS'!$K$2:$K$65,"要対応")</f>
        <v/>
      </c>
      <c r="F5" s="17">
        <f>COUNTIFS('01_WBS'!$A$2:$A$65,$A5,'01_WBS'!$K$2:$K$65,"データ待ち")</f>
        <v/>
      </c>
      <c r="G5" s="17">
        <f>COUNTIFS('01_WBS'!$A$2:$A$65,$A5,'01_WBS'!$K$2:$K$65,"未着手")</f>
        <v/>
      </c>
      <c r="H5" s="25">
        <f>IF(SUMPRODUCT(('01_WBS'!$A$2:$A$65=$A5)*'01_WBS'!$M$2:$M$65)=0,0,SUMPRODUCT(('01_WBS'!$A$2:$A$65=$A5)*'01_WBS'!$L$2:$L$65*'01_WBS'!$M$2:$M$65)/SUMPRODUCT(('01_WBS'!$A$2:$A$65=$A5)*'01_WBS'!$M$2:$M$65)/100)</f>
        <v/>
      </c>
      <c r="I5" s="17" t="inlineStr">
        <is>
          <t>2026-08</t>
        </is>
      </c>
      <c r="J5" s="17" t="inlineStr">
        <is>
          <t>2026-10</t>
        </is>
      </c>
      <c r="K5" s="16" t="inlineStr">
        <is>
          <t>令和7年度調査の個票データ（クロス集計17件）</t>
        </is>
      </c>
    </row>
    <row r="6">
      <c r="A6" s="16" t="inlineStr">
        <is>
          <t>P5 第9期の評価</t>
        </is>
      </c>
      <c r="B6" s="17">
        <f>COUNTIF('01_WBS'!$A$2:$A$65,$A6)</f>
        <v/>
      </c>
      <c r="C6" s="17">
        <f>COUNTIFS('01_WBS'!$A$2:$A$65,$A6,'01_WBS'!$K$2:$K$65,"完了")</f>
        <v/>
      </c>
      <c r="D6" s="17">
        <f>COUNTIFS('01_WBS'!$A$2:$A$65,$A6,'01_WBS'!$K$2:$K$65,"進行中")</f>
        <v/>
      </c>
      <c r="E6" s="17">
        <f>COUNTIFS('01_WBS'!$A$2:$A$65,$A6,'01_WBS'!$K$2:$K$65,"要対応")</f>
        <v/>
      </c>
      <c r="F6" s="17">
        <f>COUNTIFS('01_WBS'!$A$2:$A$65,$A6,'01_WBS'!$K$2:$K$65,"データ待ち")</f>
        <v/>
      </c>
      <c r="G6" s="17">
        <f>COUNTIFS('01_WBS'!$A$2:$A$65,$A6,'01_WBS'!$K$2:$K$65,"未着手")</f>
        <v/>
      </c>
      <c r="H6" s="25">
        <f>IF(SUMPRODUCT(('01_WBS'!$A$2:$A$65=$A6)*'01_WBS'!$M$2:$M$65)=0,0,SUMPRODUCT(('01_WBS'!$A$2:$A$65=$A6)*'01_WBS'!$L$2:$L$65*'01_WBS'!$M$2:$M$65)/SUMPRODUCT(('01_WBS'!$A$2:$A$65=$A6)*'01_WBS'!$M$2:$M$65)/100)</f>
        <v/>
      </c>
      <c r="I6" s="17" t="inlineStr">
        <is>
          <t>2026-08</t>
        </is>
      </c>
      <c r="J6" s="17" t="inlineStr">
        <is>
          <t>2026-10</t>
        </is>
      </c>
      <c r="K6" s="16" t="inlineStr">
        <is>
          <t>町の事業実績。とくに総合事業・通いの場</t>
        </is>
      </c>
    </row>
    <row r="7">
      <c r="A7" s="16" t="inlineStr">
        <is>
          <t>P6 骨子案</t>
        </is>
      </c>
      <c r="B7" s="17">
        <f>COUNTIF('01_WBS'!$A$2:$A$65,$A7)</f>
        <v/>
      </c>
      <c r="C7" s="17">
        <f>COUNTIFS('01_WBS'!$A$2:$A$65,$A7,'01_WBS'!$K$2:$K$65,"完了")</f>
        <v/>
      </c>
      <c r="D7" s="17">
        <f>COUNTIFS('01_WBS'!$A$2:$A$65,$A7,'01_WBS'!$K$2:$K$65,"進行中")</f>
        <v/>
      </c>
      <c r="E7" s="17">
        <f>COUNTIFS('01_WBS'!$A$2:$A$65,$A7,'01_WBS'!$K$2:$K$65,"要対応")</f>
        <v/>
      </c>
      <c r="F7" s="17">
        <f>COUNTIFS('01_WBS'!$A$2:$A$65,$A7,'01_WBS'!$K$2:$K$65,"データ待ち")</f>
        <v/>
      </c>
      <c r="G7" s="17">
        <f>COUNTIFS('01_WBS'!$A$2:$A$65,$A7,'01_WBS'!$K$2:$K$65,"未着手")</f>
        <v/>
      </c>
      <c r="H7" s="25">
        <f>IF(SUMPRODUCT(('01_WBS'!$A$2:$A$65=$A7)*'01_WBS'!$M$2:$M$65)=0,0,SUMPRODUCT(('01_WBS'!$A$2:$A$65=$A7)*'01_WBS'!$L$2:$L$65*'01_WBS'!$M$2:$M$65)/SUMPRODUCT(('01_WBS'!$A$2:$A$65=$A7)*'01_WBS'!$M$2:$M$65)/100)</f>
        <v/>
      </c>
      <c r="I7" s="17" t="inlineStr">
        <is>
          <t>2026-07</t>
        </is>
      </c>
      <c r="J7" s="17" t="inlineStr">
        <is>
          <t>2027-03</t>
        </is>
      </c>
      <c r="K7" s="16" t="inlineStr">
        <is>
          <t>協議会の開催回数・時期が未定</t>
        </is>
      </c>
    </row>
    <row r="8">
      <c r="A8" s="16" t="inlineStr">
        <is>
          <t>P7 推計・算定</t>
        </is>
      </c>
      <c r="B8" s="17">
        <f>COUNTIF('01_WBS'!$A$2:$A$65,$A8)</f>
        <v/>
      </c>
      <c r="C8" s="17">
        <f>COUNTIFS('01_WBS'!$A$2:$A$65,$A8,'01_WBS'!$K$2:$K$65,"完了")</f>
        <v/>
      </c>
      <c r="D8" s="17">
        <f>COUNTIFS('01_WBS'!$A$2:$A$65,$A8,'01_WBS'!$K$2:$K$65,"進行中")</f>
        <v/>
      </c>
      <c r="E8" s="17">
        <f>COUNTIFS('01_WBS'!$A$2:$A$65,$A8,'01_WBS'!$K$2:$K$65,"要対応")</f>
        <v/>
      </c>
      <c r="F8" s="17">
        <f>COUNTIFS('01_WBS'!$A$2:$A$65,$A8,'01_WBS'!$K$2:$K$65,"データ待ち")</f>
        <v/>
      </c>
      <c r="G8" s="17">
        <f>COUNTIFS('01_WBS'!$A$2:$A$65,$A8,'01_WBS'!$K$2:$K$65,"未着手")</f>
        <v/>
      </c>
      <c r="H8" s="25">
        <f>IF(SUMPRODUCT(('01_WBS'!$A$2:$A$65=$A8)*'01_WBS'!$M$2:$M$65)=0,0,SUMPRODUCT(('01_WBS'!$A$2:$A$65=$A8)*'01_WBS'!$L$2:$L$65*'01_WBS'!$M$2:$M$65)/SUMPRODUCT(('01_WBS'!$A$2:$A$65=$A8)*'01_WBS'!$M$2:$M$65)/100)</f>
        <v/>
      </c>
      <c r="I8" s="17" t="inlineStr">
        <is>
          <t>2026-08</t>
        </is>
      </c>
      <c r="J8" s="17" t="inlineStr">
        <is>
          <t>2027-03</t>
        </is>
      </c>
      <c r="K8" s="16" t="inlineStr">
        <is>
          <t>**認定者数の確定。算式は実装済みで、値が入れば通る**</t>
        </is>
      </c>
    </row>
    <row r="9">
      <c r="A9" s="16" t="inlineStr">
        <is>
          <t>P8 素案</t>
        </is>
      </c>
      <c r="B9" s="17">
        <f>COUNTIF('01_WBS'!$A$2:$A$65,$A9)</f>
        <v/>
      </c>
      <c r="C9" s="17">
        <f>COUNTIFS('01_WBS'!$A$2:$A$65,$A9,'01_WBS'!$K$2:$K$65,"完了")</f>
        <v/>
      </c>
      <c r="D9" s="17">
        <f>COUNTIFS('01_WBS'!$A$2:$A$65,$A9,'01_WBS'!$K$2:$K$65,"進行中")</f>
        <v/>
      </c>
      <c r="E9" s="17">
        <f>COUNTIFS('01_WBS'!$A$2:$A$65,$A9,'01_WBS'!$K$2:$K$65,"要対応")</f>
        <v/>
      </c>
      <c r="F9" s="17">
        <f>COUNTIFS('01_WBS'!$A$2:$A$65,$A9,'01_WBS'!$K$2:$K$65,"データ待ち")</f>
        <v/>
      </c>
      <c r="G9" s="17">
        <f>COUNTIFS('01_WBS'!$A$2:$A$65,$A9,'01_WBS'!$K$2:$K$65,"未着手")</f>
        <v/>
      </c>
      <c r="H9" s="25">
        <f>IF(SUMPRODUCT(('01_WBS'!$A$2:$A$65=$A9)*'01_WBS'!$M$2:$M$65)=0,0,SUMPRODUCT(('01_WBS'!$A$2:$A$65=$A9)*'01_WBS'!$L$2:$L$65*'01_WBS'!$M$2:$M$65)/SUMPRODUCT(('01_WBS'!$A$2:$A$65=$A9)*'01_WBS'!$M$2:$M$65)/100)</f>
        <v/>
      </c>
      <c r="I9" s="17" t="inlineStr">
        <is>
          <t>2026-08</t>
        </is>
      </c>
      <c r="J9" s="17" t="inlineStr">
        <is>
          <t>2027-03</t>
        </is>
      </c>
      <c r="K9" s="16" t="inlineStr">
        <is>
          <t>P7の完了と成果指標の現状値</t>
        </is>
      </c>
    </row>
    <row r="10">
      <c r="A10" s="16" t="inlineStr">
        <is>
          <t>P9 意見聴取</t>
        </is>
      </c>
      <c r="B10" s="17">
        <f>COUNTIF('01_WBS'!$A$2:$A$65,$A10)</f>
        <v/>
      </c>
      <c r="C10" s="17">
        <f>COUNTIFS('01_WBS'!$A$2:$A$65,$A10,'01_WBS'!$K$2:$K$65,"完了")</f>
        <v/>
      </c>
      <c r="D10" s="17">
        <f>COUNTIFS('01_WBS'!$A$2:$A$65,$A10,'01_WBS'!$K$2:$K$65,"進行中")</f>
        <v/>
      </c>
      <c r="E10" s="17">
        <f>COUNTIFS('01_WBS'!$A$2:$A$65,$A10,'01_WBS'!$K$2:$K$65,"要対応")</f>
        <v/>
      </c>
      <c r="F10" s="17">
        <f>COUNTIFS('01_WBS'!$A$2:$A$65,$A10,'01_WBS'!$K$2:$K$65,"データ待ち")</f>
        <v/>
      </c>
      <c r="G10" s="17">
        <f>COUNTIFS('01_WBS'!$A$2:$A$65,$A10,'01_WBS'!$K$2:$K$65,"未着手")</f>
        <v/>
      </c>
      <c r="H10" s="25">
        <f>IF(SUMPRODUCT(('01_WBS'!$A$2:$A$65=$A10)*'01_WBS'!$M$2:$M$65)=0,0,SUMPRODUCT(('01_WBS'!$A$2:$A$65=$A10)*'01_WBS'!$L$2:$L$65*'01_WBS'!$M$2:$M$65)/SUMPRODUCT(('01_WBS'!$A$2:$A$65=$A10)*'01_WBS'!$M$2:$M$65)/100)</f>
        <v/>
      </c>
      <c r="I10" s="17" t="inlineStr">
        <is>
          <t>2026-08</t>
        </is>
      </c>
      <c r="J10" s="17" t="inlineStr">
        <is>
          <t>2027-02</t>
        </is>
      </c>
      <c r="K10" s="16" t="inlineStr">
        <is>
          <t>**協議会の開催回数・時期が未定。工程が引けない**</t>
        </is>
      </c>
    </row>
    <row r="11">
      <c r="A11" s="16" t="inlineStr">
        <is>
          <t>P10 完成・納品</t>
        </is>
      </c>
      <c r="B11" s="17">
        <f>COUNTIF('01_WBS'!$A$2:$A$65,$A11)</f>
        <v/>
      </c>
      <c r="C11" s="17">
        <f>COUNTIFS('01_WBS'!$A$2:$A$65,$A11,'01_WBS'!$K$2:$K$65,"完了")</f>
        <v/>
      </c>
      <c r="D11" s="17">
        <f>COUNTIFS('01_WBS'!$A$2:$A$65,$A11,'01_WBS'!$K$2:$K$65,"進行中")</f>
        <v/>
      </c>
      <c r="E11" s="17">
        <f>COUNTIFS('01_WBS'!$A$2:$A$65,$A11,'01_WBS'!$K$2:$K$65,"要対応")</f>
        <v/>
      </c>
      <c r="F11" s="17">
        <f>COUNTIFS('01_WBS'!$A$2:$A$65,$A11,'01_WBS'!$K$2:$K$65,"データ待ち")</f>
        <v/>
      </c>
      <c r="G11" s="17">
        <f>COUNTIFS('01_WBS'!$A$2:$A$65,$A11,'01_WBS'!$K$2:$K$65,"未着手")</f>
        <v/>
      </c>
      <c r="H11" s="25">
        <f>IF(SUMPRODUCT(('01_WBS'!$A$2:$A$65=$A11)*'01_WBS'!$M$2:$M$65)=0,0,SUMPRODUCT(('01_WBS'!$A$2:$A$65=$A11)*'01_WBS'!$L$2:$L$65*'01_WBS'!$M$2:$M$65)/SUMPRODUCT(('01_WBS'!$A$2:$A$65=$A11)*'01_WBS'!$M$2:$M$65)/100)</f>
        <v/>
      </c>
      <c r="I11" s="17" t="inlineStr">
        <is>
          <t>2026-08</t>
        </is>
      </c>
      <c r="J11" s="17" t="inlineStr">
        <is>
          <t>2027-03</t>
        </is>
      </c>
      <c r="K11" s="16" t="inlineStr">
        <is>
          <t>令和9年2月下旬の校了が動かせない期限</t>
        </is>
      </c>
    </row>
    <row r="12">
      <c r="A12" s="26" t="inlineStr">
        <is>
          <t>合計</t>
        </is>
      </c>
      <c r="B12" s="27">
        <f>SUM(B2:B11)</f>
        <v/>
      </c>
      <c r="C12" s="27">
        <f>SUM(C2:C11)</f>
        <v/>
      </c>
      <c r="D12" s="27">
        <f>SUM(D2:D11)</f>
        <v/>
      </c>
      <c r="E12" s="27">
        <f>SUM(E2:E11)</f>
        <v/>
      </c>
      <c r="F12" s="27">
        <f>SUM(F2:F11)</f>
        <v/>
      </c>
      <c r="G12" s="27">
        <f>SUM(G2:G11)</f>
        <v/>
      </c>
      <c r="H12" s="28">
        <f>IF(SUM('01_WBS'!$M$2:$M$65)=0,0,SUMPRODUCT('01_WBS'!$L$2:$L$65,'01_WBS'!$M$2:$M$65)/SUM('01_WBS'!$M$2:$M$65)/100)</f>
        <v/>
      </c>
      <c r="I12" s="17" t="inlineStr">
        <is>
          <t>2026-06</t>
        </is>
      </c>
      <c r="J12" s="17" t="inlineStr">
        <is>
          <t>2027-03</t>
        </is>
      </c>
      <c r="K12" s="16" t="inlineStr"/>
    </row>
    <row r="14">
      <c r="A14" t="inlineStr">
        <is>
          <t>※ 加重進捗率＝Σ（進捗率×重み）÷Σ重み。重みは工数の目安（1〜5）。</t>
        </is>
      </c>
    </row>
    <row r="15">
      <c r="A15" t="inlineStr">
        <is>
          <t>※ 各作業が仕様書のどの条項にあたるかは 01_WBS のE列・F列、条項の網羅状況は 09_仕様書対応表 を参照。</t>
        </is>
      </c>
    </row>
    <row r="16">
      <c r="A16"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7" t="inlineStr">
        <is>
          <t>①</t>
        </is>
      </c>
      <c r="B2" s="16" t="inlineStr">
        <is>
          <t>介護保険給付費等分析結果報告書</t>
        </is>
      </c>
      <c r="C2" s="16" t="inlineStr">
        <is>
          <t>データCD-R1部＋冊子（簡易製本）3部</t>
        </is>
      </c>
      <c r="D2" s="17" t="inlineStr">
        <is>
          <t>第5版</t>
        </is>
      </c>
      <c r="E2" s="20" t="inlineStr">
        <is>
          <t>進行中</t>
        </is>
      </c>
      <c r="F2" s="17" t="n">
        <v>70</v>
      </c>
      <c r="G2" s="16" t="inlineStr">
        <is>
          <t>8章・44表・約29,500字</t>
        </is>
      </c>
      <c r="H2" s="16" t="inlineStr">
        <is>
          <t>町の給付実績、認定者数の確定</t>
        </is>
      </c>
    </row>
    <row r="3">
      <c r="A3" s="17" t="inlineStr">
        <is>
          <t>②</t>
        </is>
      </c>
      <c r="B3" s="16" t="inlineStr">
        <is>
          <t>サービス見込量推計結果報告書</t>
        </is>
      </c>
      <c r="C3" s="16" t="inlineStr">
        <is>
          <t>データCD-R1部＋冊子（簡易製本）3部</t>
        </is>
      </c>
      <c r="D3" s="17" t="inlineStr">
        <is>
          <t>―</t>
        </is>
      </c>
      <c r="E3" s="20" t="inlineStr">
        <is>
          <t>進行中</t>
        </is>
      </c>
      <c r="F3" s="17" t="n">
        <v>20</v>
      </c>
      <c r="G3" s="16" t="inlineStr">
        <is>
          <t>算定シート（11シート・算式実装済み）を構築。報告書本体は未着手</t>
        </is>
      </c>
      <c r="H3" s="16" t="inlineStr">
        <is>
          <t>認定者数の確定、見える化への入力</t>
        </is>
      </c>
    </row>
    <row r="4">
      <c r="A4" s="17" t="inlineStr">
        <is>
          <t>③</t>
        </is>
      </c>
      <c r="B4" s="16" t="inlineStr">
        <is>
          <t>第10期計画 骨子案</t>
        </is>
      </c>
      <c r="C4" s="16" t="inlineStr">
        <is>
          <t>データCD-R1部＋冊子（簡易製本）3部</t>
        </is>
      </c>
      <c r="D4" s="17" t="inlineStr">
        <is>
          <t>第3版</t>
        </is>
      </c>
      <c r="E4" s="20" t="inlineStr">
        <is>
          <t>進行中</t>
        </is>
      </c>
      <c r="F4" s="17" t="n">
        <v>80</v>
      </c>
      <c r="G4" s="16" t="inlineStr">
        <is>
          <t>13表・9,241字。第9期の5章構成・3基本目標・14施策を反映</t>
        </is>
      </c>
      <c r="H4" s="16" t="inlineStr">
        <is>
          <t>協議会での合意</t>
        </is>
      </c>
    </row>
    <row r="5">
      <c r="A5" s="17" t="inlineStr">
        <is>
          <t>④</t>
        </is>
      </c>
      <c r="B5" s="16" t="inlineStr">
        <is>
          <t>第10期計画 素案</t>
        </is>
      </c>
      <c r="C5" s="16" t="inlineStr">
        <is>
          <t>データCD-R1部＋冊子（簡易製本）3部</t>
        </is>
      </c>
      <c r="D5" s="17" t="inlineStr">
        <is>
          <t>第2版</t>
        </is>
      </c>
      <c r="E5" s="20" t="inlineStr">
        <is>
          <t>進行中</t>
        </is>
      </c>
      <c r="F5" s="17" t="n">
        <v>65</v>
      </c>
      <c r="G5" s="16" t="inlineStr">
        <is>
          <t>5章＋資料編・67表・約32,000字。未確定156箇所を5区分で明示</t>
        </is>
      </c>
      <c r="H5" s="16" t="inlineStr">
        <is>
          <t>見込量・保険料、成果指標の現状値、協議会での合意</t>
        </is>
      </c>
    </row>
    <row r="6">
      <c r="A6" s="17" t="inlineStr">
        <is>
          <t>⑤</t>
        </is>
      </c>
      <c r="B6" s="16" t="inlineStr">
        <is>
          <t>第10期計画</t>
        </is>
      </c>
      <c r="C6" s="16" t="inlineStr">
        <is>
          <t>データCD-R1部、印刷50部（A4・4色刷り・80頁程度）</t>
        </is>
      </c>
      <c r="D6" s="17" t="inlineStr">
        <is>
          <t>―</t>
        </is>
      </c>
      <c r="E6" s="24" t="inlineStr">
        <is>
          <t>未着手</t>
        </is>
      </c>
      <c r="F6" s="17" t="n">
        <v>0</v>
      </c>
      <c r="G6" s="16" t="inlineStr">
        <is>
          <t>―</t>
        </is>
      </c>
      <c r="H6" s="16" t="inlineStr">
        <is>
          <t>素案の確定、パブコメ、印刷工程</t>
        </is>
      </c>
    </row>
    <row r="7">
      <c r="A7" s="17" t="inlineStr">
        <is>
          <t>⑥</t>
        </is>
      </c>
      <c r="B7" s="16" t="inlineStr">
        <is>
          <t>第10期計画 概要版</t>
        </is>
      </c>
      <c r="C7" s="16" t="inlineStr">
        <is>
          <t>データCD-R1部、印刷50部（A4・4色刷り・8頁）</t>
        </is>
      </c>
      <c r="D7" s="17" t="inlineStr">
        <is>
          <t>―</t>
        </is>
      </c>
      <c r="E7" s="24" t="inlineStr">
        <is>
          <t>未着手</t>
        </is>
      </c>
      <c r="F7" s="17" t="n">
        <v>5</v>
      </c>
      <c r="G7" s="16" t="inlineStr">
        <is>
          <t>構成案（8頁のページ割り）は作成済み</t>
        </is>
      </c>
      <c r="H7" s="16"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7" t="inlineStr">
        <is>
          <t>2026-08</t>
        </is>
      </c>
      <c r="B2" s="16" t="inlineStr">
        <is>
          <t>町データの照会（依頼票の送付）</t>
        </is>
      </c>
      <c r="C2" s="17" t="inlineStr">
        <is>
          <t>受託者</t>
        </is>
      </c>
      <c r="D2" s="22" t="inlineStr">
        <is>
          <t>要対応</t>
        </is>
      </c>
      <c r="E2" s="16" t="inlineStr">
        <is>
          <t>**認定者数の確認を含む。最優先**</t>
        </is>
      </c>
    </row>
    <row r="3">
      <c r="A3" s="17" t="inlineStr">
        <is>
          <t>2026-08〜09</t>
        </is>
      </c>
      <c r="B3" s="16" t="inlineStr">
        <is>
          <t>協議会 第1回（第9期の評価・調査結果）</t>
        </is>
      </c>
      <c r="C3" s="17" t="inlineStr">
        <is>
          <t>受託者・町</t>
        </is>
      </c>
      <c r="D3" s="22" t="inlineStr">
        <is>
          <t>要対応</t>
        </is>
      </c>
      <c r="E3" s="16" t="inlineStr">
        <is>
          <t>資料は作成済み。**開催日が未定**</t>
        </is>
      </c>
    </row>
    <row r="4">
      <c r="A4" s="17" t="inlineStr">
        <is>
          <t>2026-09</t>
        </is>
      </c>
      <c r="B4" s="16" t="inlineStr">
        <is>
          <t>見える化 優先度C分野の出力</t>
        </is>
      </c>
      <c r="C4" s="17" t="inlineStr">
        <is>
          <t>受託者</t>
        </is>
      </c>
      <c r="D4" s="24" t="inlineStr">
        <is>
          <t>未着手</t>
        </is>
      </c>
      <c r="E4" s="16" t="inlineStr">
        <is>
          <t>―</t>
        </is>
      </c>
    </row>
    <row r="5">
      <c r="A5" s="17" t="inlineStr">
        <is>
          <t>2026-10</t>
        </is>
      </c>
      <c r="B5" s="16" t="inlineStr">
        <is>
          <t>認定者数の確定、見込量の推計、見える化への入力</t>
        </is>
      </c>
      <c r="C5" s="17" t="inlineStr">
        <is>
          <t>受託者</t>
        </is>
      </c>
      <c r="D5" s="24" t="inlineStr">
        <is>
          <t>未着手</t>
        </is>
      </c>
      <c r="E5" s="16" t="inlineStr">
        <is>
          <t>**本業務の最大の節目**</t>
        </is>
      </c>
    </row>
    <row r="6">
      <c r="A6" s="17" t="inlineStr">
        <is>
          <t>2026-11</t>
        </is>
      </c>
      <c r="B6" s="16" t="inlineStr">
        <is>
          <t>保険料のケース別算定、協議会 第2回（骨子案・見込量・保険料・成果指標）</t>
        </is>
      </c>
      <c r="C6" s="17" t="inlineStr">
        <is>
          <t>受託者・町</t>
        </is>
      </c>
      <c r="D6" s="24" t="inlineStr">
        <is>
          <t>未着手</t>
        </is>
      </c>
      <c r="E6" s="16" t="inlineStr">
        <is>
          <t>―</t>
        </is>
      </c>
    </row>
    <row r="7">
      <c r="A7" s="17" t="inlineStr">
        <is>
          <t>2026-12</t>
        </is>
      </c>
      <c r="B7" s="16" t="inlineStr">
        <is>
          <t>素案の確定、協議会 第3回（素案）</t>
        </is>
      </c>
      <c r="C7" s="17" t="inlineStr">
        <is>
          <t>受託者・町</t>
        </is>
      </c>
      <c r="D7" s="24" t="inlineStr">
        <is>
          <t>未着手</t>
        </is>
      </c>
      <c r="E7" s="16" t="inlineStr">
        <is>
          <t>―</t>
        </is>
      </c>
    </row>
    <row r="8">
      <c r="A8" s="17" t="inlineStr">
        <is>
          <t>2027-01</t>
        </is>
      </c>
      <c r="B8" s="16" t="inlineStr">
        <is>
          <t>パブリックコメント（1か月）</t>
        </is>
      </c>
      <c r="C8" s="17" t="inlineStr">
        <is>
          <t>町</t>
        </is>
      </c>
      <c r="D8" s="24" t="inlineStr">
        <is>
          <t>未着手</t>
        </is>
      </c>
      <c r="E8" s="16" t="inlineStr">
        <is>
          <t>―</t>
        </is>
      </c>
    </row>
    <row r="9">
      <c r="A9" s="17" t="inlineStr">
        <is>
          <t>2027-02</t>
        </is>
      </c>
      <c r="B9" s="16" t="inlineStr">
        <is>
          <t>意見への対応、協議会 第4回（最終案）、**計画書の校了・下版**</t>
        </is>
      </c>
      <c r="C9" s="17" t="inlineStr">
        <is>
          <t>受託者・町</t>
        </is>
      </c>
      <c r="D9" s="24" t="inlineStr">
        <is>
          <t>未着手</t>
        </is>
      </c>
      <c r="E9" s="16" t="inlineStr">
        <is>
          <t>**2月下旬の校了が動かせない期限**</t>
        </is>
      </c>
    </row>
    <row r="10">
      <c r="A10" s="17" t="inlineStr">
        <is>
          <t>2027-03</t>
        </is>
      </c>
      <c r="B10" s="16" t="inlineStr">
        <is>
          <t>印刷・製本、概要版の作成、納品</t>
        </is>
      </c>
      <c r="C10" s="17" t="inlineStr">
        <is>
          <t>受託者</t>
        </is>
      </c>
      <c r="D10" s="24" t="inlineStr">
        <is>
          <t>未着手</t>
        </is>
      </c>
      <c r="E10" s="16"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7" t="inlineStr">
        <is>
          <t>町資料</t>
        </is>
      </c>
      <c r="B2" s="16" t="inlineStr">
        <is>
          <t>**介護保険事業状況報告（年報）令和3〜7年度（各47様式）**</t>
        </is>
      </c>
      <c r="C2" s="17" t="inlineStr">
        <is>
          <t>町</t>
        </is>
      </c>
      <c r="D2" s="18" t="inlineStr">
        <is>
          <t>完了</t>
        </is>
      </c>
      <c r="E2" s="17" t="inlineStr">
        <is>
          <t>2026-09-08</t>
        </is>
      </c>
      <c r="F2" s="16" t="inlineStr">
        <is>
          <t>**認定者数（様式1の5）・被保険者数（様式1）・受給者数（様式1の6）・サービス別給付費（様式2）・保険料収納状況（様式3）・所得段階別被保険者数・経理状況（様式4）。依頼票N1・S1〜S5を一括で解決した**</t>
        </is>
      </c>
    </row>
    <row r="3">
      <c r="A3" s="17" t="inlineStr">
        <is>
          <t>町資料</t>
        </is>
      </c>
      <c r="B3" s="16" t="inlineStr">
        <is>
          <t>**保険者別 国保連合会業務統計表（月報）令和6年5月〜令和8年8月送付分**</t>
        </is>
      </c>
      <c r="C3" s="17" t="inlineStr">
        <is>
          <t>町</t>
        </is>
      </c>
      <c r="D3" s="18" t="inlineStr">
        <is>
          <t>完了</t>
        </is>
      </c>
      <c r="E3" s="17" t="inlineStr">
        <is>
          <t>2026-09-08</t>
        </is>
      </c>
      <c r="F3" s="16" t="inlineStr">
        <is>
          <t>**28か月分の月次認定者数と給付件数。令和7年9月審査分の▲99人の断層を特定した**</t>
        </is>
      </c>
    </row>
    <row r="4">
      <c r="A4" s="17" t="inlineStr">
        <is>
          <t>町資料</t>
        </is>
      </c>
      <c r="B4" s="16" t="inlineStr">
        <is>
          <t>**第10期将来推計用推計人口（男女別・5歳階級別・令和2〜32年）**</t>
        </is>
      </c>
      <c r="C4" s="17" t="inlineStr">
        <is>
          <t>町</t>
        </is>
      </c>
      <c r="D4" s="18" t="inlineStr">
        <is>
          <t>完了</t>
        </is>
      </c>
      <c r="E4" s="17" t="inlineStr">
        <is>
          <t>2026-09-08</t>
        </is>
      </c>
      <c r="F4" s="16" t="inlineStr">
        <is>
          <t>コーホート変化率法。令和9年8,591人→令和11年8,232人。**障がい福祉計画が用いている人口（令和9年8,287人）と300人以上異なり、統一が必要**</t>
        </is>
      </c>
    </row>
    <row r="5">
      <c r="A5" s="17" t="inlineStr">
        <is>
          <t>見える化</t>
        </is>
      </c>
      <c r="B5" s="16" t="inlineStr">
        <is>
          <t>人口・世帯（A系13）／第1号被保険者（B系4）／地域分析（B・D・δ系53）</t>
        </is>
      </c>
      <c r="C5" s="17" t="inlineStr">
        <is>
          <t>見える化システム</t>
        </is>
      </c>
      <c r="D5" s="18" t="inlineStr">
        <is>
          <t>完了</t>
        </is>
      </c>
      <c r="E5" s="17" t="inlineStr">
        <is>
          <t>2026-07</t>
        </is>
      </c>
      <c r="F5" s="16" t="inlineStr">
        <is>
          <t>基礎数値・地域分析ブックに取込</t>
        </is>
      </c>
    </row>
    <row r="6">
      <c r="A6" s="17" t="inlineStr">
        <is>
          <t>見える化</t>
        </is>
      </c>
      <c r="B6" s="16" t="inlineStr">
        <is>
          <t>認定者数 年度末基準（B3a〜B3e／5系列）</t>
        </is>
      </c>
      <c r="C6" s="17" t="inlineStr">
        <is>
          <t>見える化システム</t>
        </is>
      </c>
      <c r="D6" s="18" t="inlineStr">
        <is>
          <t>完了</t>
        </is>
      </c>
      <c r="E6" s="17" t="inlineStr">
        <is>
          <t>2026-08-05</t>
        </is>
      </c>
      <c r="F6" s="16" t="inlineStr">
        <is>
          <t>**平成19年3月末〜令和8年3月末の20期。第1号＋第2号＝全体を検算済み**</t>
        </is>
      </c>
    </row>
    <row r="7">
      <c r="A7" s="17" t="inlineStr">
        <is>
          <t>見える化</t>
        </is>
      </c>
      <c r="B7" s="16" t="inlineStr">
        <is>
          <t>介護保険特別会計経理状況（D47・D48系25）</t>
        </is>
      </c>
      <c r="C7" s="17" t="inlineStr">
        <is>
          <t>見える化システム</t>
        </is>
      </c>
      <c r="D7" s="18" t="inlineStr">
        <is>
          <t>完了</t>
        </is>
      </c>
      <c r="E7" s="17" t="inlineStr">
        <is>
          <t>2026-08-04</t>
        </is>
      </c>
      <c r="F7" s="16" t="inlineStr">
        <is>
          <t>財政整理ブックに取込。H26〜R5</t>
        </is>
      </c>
    </row>
    <row r="8">
      <c r="A8" s="17" t="inlineStr">
        <is>
          <t>見える化</t>
        </is>
      </c>
      <c r="B8" s="16" t="inlineStr">
        <is>
          <t>入所定員（D25〜D30）／介護予防・総合事業（F系27）／認知症施策（J16〜18）</t>
        </is>
      </c>
      <c r="C8" s="17" t="inlineStr">
        <is>
          <t>見える化システム</t>
        </is>
      </c>
      <c r="D8" s="18" t="inlineStr">
        <is>
          <t>完了</t>
        </is>
      </c>
      <c r="E8" s="17" t="inlineStr">
        <is>
          <t>2026-08-04</t>
        </is>
      </c>
      <c r="F8" s="16" t="inlineStr">
        <is>
          <t>通いの場はR2まで、総合事業はR1・R2のみ</t>
        </is>
      </c>
    </row>
    <row r="9">
      <c r="A9" s="17" t="inlineStr">
        <is>
          <t>見える化</t>
        </is>
      </c>
      <c r="B9" s="16" t="inlineStr">
        <is>
          <t>サービス自給率（δ2・δ3系12）／給付分析（D17・D1〜D6・B1・B4-a／29）</t>
        </is>
      </c>
      <c r="C9" s="17" t="inlineStr">
        <is>
          <t>見える化システム</t>
        </is>
      </c>
      <c r="D9" s="18" t="inlineStr">
        <is>
          <t>完了</t>
        </is>
      </c>
      <c r="E9" s="17" t="inlineStr">
        <is>
          <t>2026-08-04</t>
        </is>
      </c>
      <c r="F9" s="16" t="inlineStr">
        <is>
          <t>県内59市町村の比較値つき</t>
        </is>
      </c>
    </row>
    <row r="10">
      <c r="A10" s="17" t="inlineStr">
        <is>
          <t>見える化</t>
        </is>
      </c>
      <c r="B10" s="16" t="inlineStr">
        <is>
          <t>在宅医療・介護連携、医療提供体制、リハビリ提供体制、交付金評価指標</t>
        </is>
      </c>
      <c r="C10" s="17" t="inlineStr">
        <is>
          <t>見える化システム</t>
        </is>
      </c>
      <c r="D10" s="24" t="inlineStr">
        <is>
          <t>未着手</t>
        </is>
      </c>
      <c r="E10" s="17" t="inlineStr">
        <is>
          <t>―</t>
        </is>
      </c>
      <c r="F10" s="16" t="inlineStr">
        <is>
          <t>優先度C。システムへのアクセスが必要</t>
        </is>
      </c>
    </row>
    <row r="11">
      <c r="A11" s="17" t="inlineStr">
        <is>
          <t>町資料</t>
        </is>
      </c>
      <c r="B11" s="16" t="inlineStr">
        <is>
          <t>第9期高齢者保健福祉計画・介護保険事業計画 本文</t>
        </is>
      </c>
      <c r="C11" s="17" t="inlineStr">
        <is>
          <t>町</t>
        </is>
      </c>
      <c r="D11" s="18" t="inlineStr">
        <is>
          <t>完了</t>
        </is>
      </c>
      <c r="E11" s="17" t="inlineStr">
        <is>
          <t>2026-08-04</t>
        </is>
      </c>
      <c r="F11" s="16" t="inlineStr">
        <is>
          <t>5章構成・3基本目標・14施策、標準給付費3,566,486千円、保険料6,600円の算定根拠</t>
        </is>
      </c>
    </row>
    <row r="12">
      <c r="A12" s="17" t="inlineStr">
        <is>
          <t>町資料</t>
        </is>
      </c>
      <c r="B12" s="16" t="inlineStr">
        <is>
          <t>第3期地域福祉計画 本文・概要版</t>
        </is>
      </c>
      <c r="C12" s="17" t="inlineStr">
        <is>
          <t>町</t>
        </is>
      </c>
      <c r="D12" s="18" t="inlineStr">
        <is>
          <t>完了</t>
        </is>
      </c>
      <c r="E12" s="17" t="inlineStr">
        <is>
          <t>2026-08-04</t>
        </is>
      </c>
      <c r="F12" s="16" t="inlineStr">
        <is>
          <t>重複5施策を特定し役割分担を整理</t>
        </is>
      </c>
    </row>
    <row r="13">
      <c r="A13" s="17" t="inlineStr">
        <is>
          <t>町資料</t>
        </is>
      </c>
      <c r="B13" s="16" t="inlineStr">
        <is>
          <t>令和7年度 調査結果報告書（104頁）</t>
        </is>
      </c>
      <c r="C13" s="17" t="inlineStr">
        <is>
          <t>町</t>
        </is>
      </c>
      <c r="D13" s="18" t="inlineStr">
        <is>
          <t>完了</t>
        </is>
      </c>
      <c r="E13" s="17" t="inlineStr">
        <is>
          <t>2026-08-05</t>
        </is>
      </c>
      <c r="F13" s="16" t="inlineStr">
        <is>
          <t>単純集計とリスク分析を取得。集計結果・分析報告書として取りまとめ済み</t>
        </is>
      </c>
    </row>
    <row r="14">
      <c r="A14" s="17" t="inlineStr">
        <is>
          <t>町資料</t>
        </is>
      </c>
      <c r="B14" s="16" t="inlineStr">
        <is>
          <t>令和8年3月末の認定者数の確認（依頼票N1）</t>
        </is>
      </c>
      <c r="C14" s="17" t="inlineStr">
        <is>
          <t>町</t>
        </is>
      </c>
      <c r="D14" s="18" t="inlineStr">
        <is>
          <t>完了</t>
        </is>
      </c>
      <c r="E14" s="17" t="inlineStr">
        <is>
          <t>2026-09-08</t>
        </is>
      </c>
      <c r="F14" s="16" t="inlineStr">
        <is>
          <t>**792人（第1号783＋第2号9）を年報 様式1の5で確認。見える化の値と一致**</t>
        </is>
      </c>
    </row>
    <row r="15">
      <c r="A15" s="17" t="inlineStr">
        <is>
          <t>町資料</t>
        </is>
      </c>
      <c r="B15" s="16" t="inlineStr">
        <is>
          <t>**令和7年8〜9月の認定者数の計上方法の変更の有無（N2〜N4の後継）**</t>
        </is>
      </c>
      <c r="C15" s="17" t="inlineStr">
        <is>
          <t>町</t>
        </is>
      </c>
      <c r="D15" s="22" t="inlineStr">
        <is>
          <t>要対応</t>
        </is>
      </c>
      <c r="E15" s="17" t="inlineStr">
        <is>
          <t>―</t>
        </is>
      </c>
      <c r="F15" s="16" t="inlineStr">
        <is>
          <t>**国保連月報で令和7年9月審査分に▲99人の断層を特定。同月の給付件数は減っていない。町外施設入所者の帰属・住所地特例・集計定義のいずれが変わったかを確認する**</t>
        </is>
      </c>
    </row>
    <row r="16">
      <c r="A16" s="17" t="inlineStr">
        <is>
          <t>町資料</t>
        </is>
      </c>
      <c r="B16" s="16" t="inlineStr">
        <is>
          <t>令和3〜7年度 サービス別給付費・受給者数（S1・S2）</t>
        </is>
      </c>
      <c r="C16" s="17" t="inlineStr">
        <is>
          <t>町</t>
        </is>
      </c>
      <c r="D16" s="18" t="inlineStr">
        <is>
          <t>完了</t>
        </is>
      </c>
      <c r="E16" s="17" t="inlineStr">
        <is>
          <t>2026-09-08</t>
        </is>
      </c>
      <c r="F16" s="16" t="inlineStr">
        <is>
          <t>**年報 様式2・様式1の6で取得**</t>
        </is>
      </c>
    </row>
    <row r="17">
      <c r="A17" s="17" t="inlineStr">
        <is>
          <t>町資料</t>
        </is>
      </c>
      <c r="B17" s="16" t="inlineStr">
        <is>
          <t>所得段階別人数・収納率・基金残高（S3〜S5）</t>
        </is>
      </c>
      <c r="C17" s="17" t="inlineStr">
        <is>
          <t>町</t>
        </is>
      </c>
      <c r="D17" s="18" t="inlineStr">
        <is>
          <t>完了</t>
        </is>
      </c>
      <c r="E17" s="17" t="inlineStr">
        <is>
          <t>2026-09-08</t>
        </is>
      </c>
      <c r="F17" s="16" t="inlineStr">
        <is>
          <t>**年報 様式1 所得段階別・様式3・様式4で取得。基金保有額が令和4年度末120百万円→令和5年度末12百万円と1桁減っており要確認**</t>
        </is>
      </c>
    </row>
    <row r="18">
      <c r="A18" s="17" t="inlineStr">
        <is>
          <t>町資料</t>
        </is>
      </c>
      <c r="B18" s="16" t="inlineStr">
        <is>
          <t>地域支援事業費の実績と事業別内訳（S6）／令和7年度決算（S7）</t>
        </is>
      </c>
      <c r="C18" s="17" t="inlineStr">
        <is>
          <t>町</t>
        </is>
      </c>
      <c r="D18" s="22" t="inlineStr">
        <is>
          <t>要対応</t>
        </is>
      </c>
      <c r="E18" s="17" t="inlineStr">
        <is>
          <t>―</t>
        </is>
      </c>
      <c r="F18" s="16" t="inlineStr">
        <is>
          <t>**年報 様式4の令和7年度が全て0で未入力。決算確定後の再受領が必要**</t>
        </is>
      </c>
    </row>
    <row r="19">
      <c r="A19" s="17" t="inlineStr">
        <is>
          <t>町資料</t>
        </is>
      </c>
      <c r="B19" s="16" t="inlineStr">
        <is>
          <t>成果指標の現状値 17項目（H1〜H17）</t>
        </is>
      </c>
      <c r="C19" s="17" t="inlineStr">
        <is>
          <t>町</t>
        </is>
      </c>
      <c r="D19" s="24" t="inlineStr">
        <is>
          <t>未着手</t>
        </is>
      </c>
      <c r="E19" s="17" t="inlineStr">
        <is>
          <t>―</t>
        </is>
      </c>
      <c r="F19" s="16" t="inlineStr">
        <is>
          <t>**うちH3（総合事業・通いの場）とH16（調査の個票）が最優先**</t>
        </is>
      </c>
    </row>
    <row r="20">
      <c r="A20"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7" t="inlineStr">
        <is>
          <t>高齢者福祉サービス推進協議会</t>
        </is>
      </c>
      <c r="B2" s="17" t="inlineStr">
        <is>
          <t>第1回</t>
        </is>
      </c>
      <c r="C2" s="17" t="inlineStr">
        <is>
          <t>令和8年8〜9月</t>
        </is>
      </c>
      <c r="D2" s="16" t="inlineStr">
        <is>
          <t>第9期計画の評価、令和7年度調査結果の整理</t>
        </is>
      </c>
      <c r="E2" s="18" t="inlineStr">
        <is>
          <t>完了</t>
        </is>
      </c>
      <c r="F2" s="16" t="inlineStr">
        <is>
          <t>**資料は作成済み（42表・約23,500字）。開催日が未定**</t>
        </is>
      </c>
    </row>
    <row r="3">
      <c r="A3" s="17" t="inlineStr">
        <is>
          <t>高齢者福祉サービス推進協議会</t>
        </is>
      </c>
      <c r="B3" s="17" t="inlineStr">
        <is>
          <t>第2回</t>
        </is>
      </c>
      <c r="C3" s="17" t="inlineStr">
        <is>
          <t>令和8年11月</t>
        </is>
      </c>
      <c r="D3" s="16" t="inlineStr">
        <is>
          <t>骨子案、サービス見込量、保険料の考え方、成果指標の目標値</t>
        </is>
      </c>
      <c r="E3" s="20" t="inlineStr">
        <is>
          <t>進行中</t>
        </is>
      </c>
      <c r="F3" s="16" t="inlineStr">
        <is>
          <t>骨子案第3版・成果指標目標値案（40指標）は作成済み</t>
        </is>
      </c>
    </row>
    <row r="4">
      <c r="A4" s="17" t="inlineStr">
        <is>
          <t>高齢者福祉サービス推進協議会</t>
        </is>
      </c>
      <c r="B4" s="17" t="inlineStr">
        <is>
          <t>第3回</t>
        </is>
      </c>
      <c r="C4" s="17" t="inlineStr">
        <is>
          <t>令和8年12月</t>
        </is>
      </c>
      <c r="D4" s="16" t="inlineStr">
        <is>
          <t>計画素案</t>
        </is>
      </c>
      <c r="E4" s="20" t="inlineStr">
        <is>
          <t>進行中</t>
        </is>
      </c>
      <c r="F4" s="16" t="inlineStr">
        <is>
          <t>素案第2版は作成済み。見込量・保険料の反映が必要</t>
        </is>
      </c>
    </row>
    <row r="5">
      <c r="A5" s="17" t="inlineStr">
        <is>
          <t>高齢者福祉サービス推進協議会</t>
        </is>
      </c>
      <c r="B5" s="17" t="inlineStr">
        <is>
          <t>第4回</t>
        </is>
      </c>
      <c r="C5" s="17" t="inlineStr">
        <is>
          <t>令和9年2月</t>
        </is>
      </c>
      <c r="D5" s="16" t="inlineStr">
        <is>
          <t>パブリックコメントの結果、計画最終案</t>
        </is>
      </c>
      <c r="E5" s="24" t="inlineStr">
        <is>
          <t>未着手</t>
        </is>
      </c>
      <c r="F5" s="16" t="inlineStr">
        <is>
          <t>―</t>
        </is>
      </c>
    </row>
    <row r="6">
      <c r="A6" s="17" t="inlineStr">
        <is>
          <t>パブリックコメント</t>
        </is>
      </c>
      <c r="B6" s="17" t="inlineStr">
        <is>
          <t>―</t>
        </is>
      </c>
      <c r="C6" s="17" t="inlineStr">
        <is>
          <t>令和9年1月</t>
        </is>
      </c>
      <c r="D6" s="16" t="inlineStr">
        <is>
          <t>計画素案に対する意見の募集</t>
        </is>
      </c>
      <c r="E6" s="18" t="inlineStr">
        <is>
          <t>完了</t>
        </is>
      </c>
      <c r="F6" s="16" t="inlineStr">
        <is>
          <t>実施要領・意見提出様式・対応表の様式は作成済み</t>
        </is>
      </c>
    </row>
    <row r="7">
      <c r="A7" s="17" t="inlineStr">
        <is>
          <t>町との打合せ</t>
        </is>
      </c>
      <c r="B7" s="17" t="inlineStr">
        <is>
          <t>随時</t>
        </is>
      </c>
      <c r="C7" s="17" t="inlineStr">
        <is>
          <t>通年</t>
        </is>
      </c>
      <c r="D7" s="16" t="inlineStr">
        <is>
          <t>工程、データ、協議事項</t>
        </is>
      </c>
      <c r="E7" s="18" t="inlineStr">
        <is>
          <t>完了</t>
        </is>
      </c>
      <c r="F7" s="16"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7" t="n">
        <v>1</v>
      </c>
      <c r="B2" s="16" t="inlineStr">
        <is>
          <t>認定者数の計上方法の変更（旧「認定者数の異常」）</t>
        </is>
      </c>
      <c r="C2" s="16"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6" t="inlineStr">
        <is>
          <t>**実態の変化ではなく計上の変更である可能性が高い。**認定者数ベースで給付費を推計すると過小になる（令和7年度は認定者▲16.1％に対し給付費▲7.4％）</t>
        </is>
      </c>
      <c r="E2" s="16" t="inlineStr">
        <is>
          <t>**令和7年8〜9月の計上方法の変更を町に確認する。見込量は認定者数ベースではなく受給者数・給付費の実績を基礎に組む**</t>
        </is>
      </c>
      <c r="F2" s="22" t="inlineStr">
        <is>
          <t>要対応</t>
        </is>
      </c>
    </row>
    <row r="3">
      <c r="A3" s="17" t="n">
        <v>2</v>
      </c>
      <c r="B3" s="16" t="inlineStr">
        <is>
          <t>町の実績データの受領状況</t>
        </is>
      </c>
      <c r="C3" s="16" t="inlineStr">
        <is>
          <t>**9月8日に年報5年分・国保連月報28か月・将来推計人口を受領し、依頼35項目のうち主要項目が解決した。**残るのは地域支援事業費の内訳、令和7年度決算、成果指標の現状値17項目。**9月14日に国保連月報のExcel版を受領し、回数・日数が取れるようになった**</t>
        </is>
      </c>
      <c r="D3" s="16" t="inlineStr">
        <is>
          <t>見込量・給付費・保険料の試算は完了した。**計画書の見込量表を回数・日数で書く見通しもついた**</t>
        </is>
      </c>
      <c r="E3" s="16" t="inlineStr">
        <is>
          <t>残項目を再依頼する。とくに地域支援事業費は総合事業・通いの場の評価に必須</t>
        </is>
      </c>
      <c r="F3" s="20" t="inlineStr">
        <is>
          <t>進行中</t>
        </is>
      </c>
    </row>
    <row r="4">
      <c r="A4" s="17" t="n">
        <v>3</v>
      </c>
      <c r="B4" s="16" t="inlineStr">
        <is>
          <t>協議会の開催回数・時期が未定</t>
        </is>
      </c>
      <c r="C4" s="16" t="inlineStr">
        <is>
          <t>仕様書4(5)は開催支援を定めるが回数の指定がない</t>
        </is>
      </c>
      <c r="D4" s="16" t="inlineStr">
        <is>
          <t>工程が引けず、パブコメ・印刷の日程も確定できない</t>
        </is>
      </c>
      <c r="E4" s="16" t="inlineStr">
        <is>
          <t>受託者案（4回）を提示して町と確定する（依頼票C4）</t>
        </is>
      </c>
      <c r="F4" s="22" t="inlineStr">
        <is>
          <t>要対応</t>
        </is>
      </c>
    </row>
    <row r="5">
      <c r="A5" s="17" t="n">
        <v>4</v>
      </c>
      <c r="B5" s="16" t="inlineStr">
        <is>
          <t>介護予防のデータ欠落</t>
        </is>
      </c>
      <c r="C5" s="16" t="inlineStr">
        <is>
          <t>見える化の通いの場はR2まで、総合事業はR1・R2のみで値もほぼ空。F7〜F14は本町の値が未登録</t>
        </is>
      </c>
      <c r="D5" s="16" t="inlineStr">
        <is>
          <t>第9期の介護予防施策を評価できない</t>
        </is>
      </c>
      <c r="E5" s="16" t="inlineStr">
        <is>
          <t>町の事業実績（令和3〜7年度）で代替する（依頼票H3）</t>
        </is>
      </c>
      <c r="F5" s="23" t="inlineStr">
        <is>
          <t>データ待ち</t>
        </is>
      </c>
    </row>
    <row r="6">
      <c r="A6" s="17" t="n">
        <v>5</v>
      </c>
      <c r="B6" s="16" t="inlineStr">
        <is>
          <t>通いの場が実質ゼロ</t>
        </is>
      </c>
      <c r="C6" s="16" t="inlineStr">
        <is>
          <t>見える化では週1回以上が平成28年度以降0か所。一方、調査では週1回以上の参加が5.5％（高齢者人口換算で約190人）</t>
        </is>
      </c>
      <c r="D6" s="16" t="inlineStr">
        <is>
          <t>第10期の最重点施策が設計できない。調整済み軽度認定率は10.6％→15.2％に上昇</t>
        </is>
      </c>
      <c r="E6" s="16" t="inlineStr">
        <is>
          <t>町の実態を確認したうえで、実態把握と登録を令和9年度の目標に置く</t>
        </is>
      </c>
      <c r="F6" s="20" t="inlineStr">
        <is>
          <t>進行中</t>
        </is>
      </c>
    </row>
    <row r="7">
      <c r="A7" s="17" t="n">
        <v>6</v>
      </c>
      <c r="B7" s="16" t="inlineStr">
        <is>
          <t>認定と利用のギャップ</t>
        </is>
      </c>
      <c r="C7" s="16" t="inlineStr">
        <is>
          <t>認定率の地域差指数1.24に対し受給率1.07（比0.86）。在宅の認定者の42.1％が未利用</t>
        </is>
      </c>
      <c r="D7" s="16" t="inlineStr">
        <is>
          <t>利用に移行した場合に給付費が急増するリスク</t>
        </is>
      </c>
      <c r="E7" s="16" t="inlineStr">
        <is>
          <t>未利用理由の92.9％が需要側（供給制約は0.6％）。供給確保ではなく認定運用の確認・利用意向への働きかけ・レスパイトで対応する</t>
        </is>
      </c>
      <c r="F7" s="20" t="inlineStr">
        <is>
          <t>進行中</t>
        </is>
      </c>
    </row>
    <row r="8">
      <c r="A8" s="17" t="n">
        <v>7</v>
      </c>
      <c r="B8" s="16" t="inlineStr">
        <is>
          <t>財政余剰の取扱いと基金残高の不整合</t>
        </is>
      </c>
      <c r="C8" s="16" t="inlineStr">
        <is>
          <t>**年報 様式4で、歳入歳出差引残額は令和6年度末144.2百万円ある一方、介護給付費準備基金の保有額は12.0百万円しかない。**しかも令和4年度末は120.0百万円で、令和5年度末に1桁減っている。第9期は基金取崩35.0百万円を見込んでいた</t>
        </is>
      </c>
      <c r="D8" s="16" t="inlineStr">
        <is>
          <t>**基金が12百万円しかなければ35百万円の取崩は実行できない。しかも繰入金（取崩し）は令和3〜6年度とも0円で、残高だけが1桁減っており、年報の系列自体に矛盾がある。**見込量の試算で算式を通すと、保険料基準額は取崩なしで月額6,558円、保有額12百万円を全額取り崩して6,456円、第9期と同じ35百万円で6,259円となる（第9期は6,600円）。**基金の扱いだけで月額300円動く**</t>
        </is>
      </c>
      <c r="E8" s="16" t="inlineStr">
        <is>
          <t>取崩実績か入力誤りかを町に確認したうえで、余剰の還元（据置・引下げ・繰越金の基金積立）をケースC5・C6として算定する</t>
        </is>
      </c>
      <c r="F8" s="22" t="inlineStr">
        <is>
          <t>要対応</t>
        </is>
      </c>
    </row>
    <row r="9">
      <c r="A9" s="17" t="n">
        <v>8</v>
      </c>
      <c r="B9" s="16" t="inlineStr">
        <is>
          <t>施設整備方針との不整合</t>
        </is>
      </c>
      <c r="C9" s="16" t="inlineStr">
        <is>
          <t>第9期は新規施設整備を原則行わない方針だが、認知症対応型共同生活介護の定員が令和4年度71人から令和6年度98人へ27人（38.0％）増加</t>
        </is>
      </c>
      <c r="D9" s="16" t="inlineStr">
        <is>
          <t>第9期評価の記述に影響</t>
        </is>
      </c>
      <c r="E9" s="16" t="inlineStr">
        <is>
          <t>整備の経緯を町に確認する（依頼票H15）</t>
        </is>
      </c>
      <c r="F9" s="24" t="inlineStr">
        <is>
          <t>未着手</t>
        </is>
      </c>
    </row>
    <row r="10">
      <c r="A10" s="17" t="n">
        <v>9</v>
      </c>
      <c r="B10" s="16" t="inlineStr">
        <is>
          <t>印刷工程の未確保</t>
        </is>
      </c>
      <c r="C10" s="16" t="inlineStr">
        <is>
          <t>計画書50部（A4・4色刷り・80頁程度）、概要版50部（8頁）、簡易製本各3部が納品仕様</t>
        </is>
      </c>
      <c r="D10" s="16" t="inlineStr">
        <is>
          <t>納期に間に合わない</t>
        </is>
      </c>
      <c r="E10" s="16" t="inlineStr">
        <is>
          <t>**逆算表を作成済み（令和9年2月下旬の校了が期限）。12月までに印刷業者を押さえる**</t>
        </is>
      </c>
      <c r="F10" s="20" t="inlineStr">
        <is>
          <t>進行中</t>
        </is>
      </c>
    </row>
    <row r="11">
      <c r="A11" s="17" t="n">
        <v>10</v>
      </c>
      <c r="B11" s="16" t="inlineStr">
        <is>
          <t>見える化システムへの入力作業</t>
        </is>
      </c>
      <c r="C11" s="16" t="inlineStr">
        <is>
          <t>仕様書4(2)は入力作業を業務に含むと定める</t>
        </is>
      </c>
      <c r="D11" s="16" t="inlineStr">
        <is>
          <t>出力の分析だけでは仕様を満たさない</t>
        </is>
      </c>
      <c r="E11" s="16" t="inlineStr">
        <is>
          <t>アカウント・権限・作業範囲・時期を町と確認する（依頼票C5）</t>
        </is>
      </c>
      <c r="F11" s="20" t="inlineStr">
        <is>
          <t>進行中</t>
        </is>
      </c>
    </row>
    <row r="12">
      <c r="A12" s="17" t="n">
        <v>13</v>
      </c>
      <c r="B12" s="16" t="inlineStr">
        <is>
          <t>**認知症の人及びその家族等の意見聴取の方法が未決**</t>
        </is>
      </c>
      <c r="C12" s="16" t="inlineStr">
        <is>
          <t>**認知症基本法13条3項が準用する12条3項は、市町村計画の案の作成にあたり認知症の人及び家族等の意見を聴くよう努めることを求めている**</t>
        </is>
      </c>
      <c r="D12" s="16" t="inlineStr">
        <is>
          <t>**記述の追加では埋まらず、策定過程そのものに関わる。協議会の日程から逆算すると、素案の確定前に方針を決める必要がある**</t>
        </is>
      </c>
      <c r="E12" s="16" t="inlineStr">
        <is>
          <t>協議会の委員構成に認知症の人又は家族が含まれるかを確認し、含まれない場合は家族会・認知症カフェでの意見聴取の機会を設けるかを町と協議する</t>
        </is>
      </c>
      <c r="F12" s="22" t="inlineStr">
        <is>
          <t>要対応</t>
        </is>
      </c>
    </row>
    <row r="13">
      <c r="A13" s="17" t="n">
        <v>14</v>
      </c>
      <c r="B13" s="16" t="inlineStr">
        <is>
          <t>**地域密着型3サービスの必要利用定員総数が第9期計画にない**</t>
        </is>
      </c>
      <c r="C13" s="16" t="inlineStr">
        <is>
          <t>介護保険法117条2項1号は3サービスの各年度の必要利用定員総数を計画に定めることを求めている（必須記載事項）</t>
        </is>
      </c>
      <c r="D13" s="16" t="inlineStr">
        <is>
          <t>**第10期では9月16日に追加済み。**ただし認知症対応型共同生活介護の定員が第9期の方針に反して令和4年度71人から令和6年度98人へ27人増えた経緯が確認できていない</t>
        </is>
      </c>
      <c r="E13" s="16" t="inlineStr">
        <is>
          <t>増床の事実関係と町外の方の利用割合を町に確認する</t>
        </is>
      </c>
      <c r="F13" s="20" t="inlineStr">
        <is>
          <t>進行中</t>
        </is>
      </c>
    </row>
    <row r="14">
      <c r="A14" s="17" t="n">
        <v>11</v>
      </c>
      <c r="B14" s="16" t="inlineStr">
        <is>
          <t>認知症施策推進基本計画の包含の形式が未決</t>
        </is>
      </c>
      <c r="C14" s="16" t="inlineStr">
        <is>
          <t>仕様書2(3)は包含を計画の構成要件と定める</t>
        </is>
      </c>
      <c r="D14" s="16" t="inlineStr">
        <is>
          <t>章立てが変わるため、素案の確定前に決める必要がある</t>
        </is>
      </c>
      <c r="E14" s="16" t="inlineStr">
        <is>
          <t>**基本的施策12項目との対応表を作成済み。分散＋対応表方式を提案**</t>
        </is>
      </c>
      <c r="F14" s="20" t="inlineStr">
        <is>
          <t>進行中</t>
        </is>
      </c>
    </row>
    <row r="15">
      <c r="A15" s="17" t="n">
        <v>12</v>
      </c>
      <c r="B15" s="16" t="inlineStr">
        <is>
          <t>成果品欄の「（７）」への参照</t>
        </is>
      </c>
      <c r="C15" s="16" t="inlineStr">
        <is>
          <t>成果品は（１）〜（６）だが、納品仕様欄に「※（７）のデータ（ＣＤ－Ｒ）１部、概要版印刷50部」との記載がある</t>
        </is>
      </c>
      <c r="D15" s="16" t="inlineStr">
        <is>
          <t>概要版の納品部数の解釈に関わる</t>
        </is>
      </c>
      <c r="E15" s="16" t="inlineStr">
        <is>
          <t>町に確認する（依頼票C2）</t>
        </is>
      </c>
      <c r="F15" s="20"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7" t="n">
        <v>1</v>
      </c>
      <c r="B2" s="17" t="inlineStr">
        <is>
          <t>工程</t>
        </is>
      </c>
      <c r="C2" s="16" t="inlineStr">
        <is>
          <t>高齢者計画の仕様書には工程表がない（工程が定められているのは障がい計画のみ）。業務期間は令和9年3月31日まで</t>
        </is>
      </c>
      <c r="D2" s="16" t="inlineStr">
        <is>
          <t>仕様書3</t>
        </is>
      </c>
      <c r="E2" s="22" t="inlineStr">
        <is>
          <t>要対応</t>
        </is>
      </c>
      <c r="F2" s="16" t="inlineStr">
        <is>
          <t>**業務期間から逆算した工程案を作成済み。町との合意が未**</t>
        </is>
      </c>
    </row>
    <row r="3">
      <c r="A3" s="17" t="n">
        <v>2</v>
      </c>
      <c r="B3" s="17" t="inlineStr">
        <is>
          <t>協議会</t>
        </is>
      </c>
      <c r="C3" s="16" t="inlineStr">
        <is>
          <t>開催回数の指定がない。受託者案は4回</t>
        </is>
      </c>
      <c r="D3" s="16" t="inlineStr">
        <is>
          <t>仕様書4(5)</t>
        </is>
      </c>
      <c r="E3" s="22" t="inlineStr">
        <is>
          <t>要対応</t>
        </is>
      </c>
      <c r="F3" s="16" t="inlineStr">
        <is>
          <t>未</t>
        </is>
      </c>
    </row>
    <row r="4">
      <c r="A4" s="17" t="n">
        <v>3</v>
      </c>
      <c r="B4" s="17" t="inlineStr">
        <is>
          <t>保険料算定</t>
        </is>
      </c>
      <c r="C4" s="16" t="inlineStr">
        <is>
          <t>ケース設定を引継ぎ時点の3ケース（基金の扱いのみ）からC1〜C6に組み直した。仕様書が例示する施設整備・制度改正に対応させた</t>
        </is>
      </c>
      <c r="D4" s="16" t="inlineStr">
        <is>
          <t>仕様書4(2)</t>
        </is>
      </c>
      <c r="E4" s="18" t="inlineStr">
        <is>
          <t>完了</t>
        </is>
      </c>
      <c r="F4" s="16" t="inlineStr">
        <is>
          <t>受託者の内部判断。町への説明が必要</t>
        </is>
      </c>
    </row>
    <row r="5">
      <c r="A5" s="17" t="n">
        <v>4</v>
      </c>
      <c r="B5" s="17" t="inlineStr">
        <is>
          <t>認知症計画</t>
        </is>
      </c>
      <c r="C5" s="16" t="inlineStr">
        <is>
          <t>包含の形式（独立章方式／分散＋対応表方式）</t>
        </is>
      </c>
      <c r="D5" s="16" t="inlineStr">
        <is>
          <t>仕様書2(3)</t>
        </is>
      </c>
      <c r="E5" s="20" t="inlineStr">
        <is>
          <t>進行中</t>
        </is>
      </c>
      <c r="F5" s="16" t="inlineStr">
        <is>
          <t>**分散＋対応表方式を提案。町の意思決定が未**</t>
        </is>
      </c>
    </row>
    <row r="6">
      <c r="A6" s="17" t="n">
        <v>5</v>
      </c>
      <c r="B6" s="17" t="inlineStr">
        <is>
          <t>打合せ記録</t>
        </is>
      </c>
      <c r="C6" s="16" t="inlineStr">
        <is>
          <t>契約後の打合せ記録が引継ぎ資料に含まれていない</t>
        </is>
      </c>
      <c r="D6" s="16" t="inlineStr">
        <is>
          <t>仕様書8①（受託者が作成し相互確認）</t>
        </is>
      </c>
      <c r="E6" s="22" t="inlineStr">
        <is>
          <t>要対応</t>
        </is>
      </c>
      <c r="F6" s="16" t="inlineStr">
        <is>
          <t>**様式を作成済み。8月の協議から適用する**</t>
        </is>
      </c>
    </row>
    <row r="7">
      <c r="A7" t="inlineStr">
        <is>
          <t>※ 仕様書8①により、打合せ記録は受託者が作成し町と相互に確認する。</t>
        </is>
      </c>
    </row>
    <row r="8">
      <c r="A8"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7" t="inlineStr">
        <is>
          <t>計画の考え方</t>
        </is>
      </c>
      <c r="B2" s="17" t="inlineStr">
        <is>
          <t>1</t>
        </is>
      </c>
      <c r="C2" s="16"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6" t="inlineStr">
        <is>
          <t>―</t>
        </is>
      </c>
      <c r="E2" s="17" t="n">
        <v>0</v>
      </c>
      <c r="F2" s="24" t="inlineStr">
        <is>
          <t>前提条項</t>
        </is>
      </c>
    </row>
    <row r="3">
      <c r="A3" s="17" t="inlineStr">
        <is>
          <t>計画の考え方</t>
        </is>
      </c>
      <c r="B3" s="17" t="inlineStr">
        <is>
          <t>2(1)</t>
        </is>
      </c>
      <c r="C3" s="16" t="inlineStr">
        <is>
          <t>令和9年度から令和11年度までの3年間に実施する取り組みを定める計画とする。</t>
        </is>
      </c>
      <c r="D3" s="16" t="inlineStr">
        <is>
          <t>―</t>
        </is>
      </c>
      <c r="E3" s="17" t="n">
        <v>0</v>
      </c>
      <c r="F3" s="24" t="inlineStr">
        <is>
          <t>前提条項</t>
        </is>
      </c>
    </row>
    <row r="4">
      <c r="A4" s="17" t="inlineStr">
        <is>
          <t>計画の考え方</t>
        </is>
      </c>
      <c r="B4" s="17" t="inlineStr">
        <is>
          <t>2(2)</t>
        </is>
      </c>
      <c r="C4" s="16" t="inlineStr">
        <is>
          <t>国が示す第10期計画に関する基本的な考え方を踏まえた上で、本町の特性を活かした計画とする。</t>
        </is>
      </c>
      <c r="D4" s="16" t="inlineStr">
        <is>
          <t>1-5 第3期地域福祉計画との役割分担の整理</t>
        </is>
      </c>
      <c r="E4" s="17" t="n">
        <v>1</v>
      </c>
      <c r="F4" s="18" t="inlineStr">
        <is>
          <t>○</t>
        </is>
      </c>
    </row>
    <row r="5">
      <c r="A5" s="17" t="inlineStr">
        <is>
          <t>計画の考え方</t>
        </is>
      </c>
      <c r="B5" s="17" t="inlineStr">
        <is>
          <t>2(3)</t>
        </is>
      </c>
      <c r="C5" s="16" t="inlineStr">
        <is>
          <t>国の「認知症施策推進基本計画」に基づく市町村計画も包含する計画とする。</t>
        </is>
      </c>
      <c r="D5" s="16" t="inlineStr">
        <is>
          <t>2-7 認知症高齢者の分析
8-3 認知症施策推進基本計画の包含方針</t>
        </is>
      </c>
      <c r="E5" s="17" t="n">
        <v>2</v>
      </c>
      <c r="F5" s="18" t="inlineStr">
        <is>
          <t>○</t>
        </is>
      </c>
    </row>
    <row r="6">
      <c r="A6" s="17" t="inlineStr">
        <is>
          <t>計画の考え方</t>
        </is>
      </c>
      <c r="B6" s="17" t="inlineStr">
        <is>
          <t>3</t>
        </is>
      </c>
      <c r="C6" s="16" t="inlineStr">
        <is>
          <t>契約締結の日から令和9年3月31日まで</t>
        </is>
      </c>
      <c r="D6" s="16" t="inlineStr">
        <is>
          <t>10-8 納品・検収</t>
        </is>
      </c>
      <c r="E6" s="17" t="n">
        <v>1</v>
      </c>
      <c r="F6" s="18" t="inlineStr">
        <is>
          <t>○</t>
        </is>
      </c>
    </row>
    <row r="7">
      <c r="A7" s="17" t="inlineStr">
        <is>
          <t>業務の内容</t>
        </is>
      </c>
      <c r="B7" s="17" t="inlineStr">
        <is>
          <t>4(1)</t>
        </is>
      </c>
      <c r="C7" s="16"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6" t="inlineStr">
        <is>
          <t>1-4 第9期計画本文の確認</t>
        </is>
      </c>
      <c r="E7" s="17" t="n">
        <v>1</v>
      </c>
      <c r="F7" s="18" t="inlineStr">
        <is>
          <t>○</t>
        </is>
      </c>
    </row>
    <row r="8">
      <c r="A8" s="17" t="inlineStr">
        <is>
          <t>業務の内容</t>
        </is>
      </c>
      <c r="B8" s="17" t="inlineStr">
        <is>
          <t>4(1)①ア</t>
        </is>
      </c>
      <c r="C8" s="16" t="inlineStr">
        <is>
          <t>統計分析（ア）人口</t>
        </is>
      </c>
      <c r="D8" s="16" t="inlineStr">
        <is>
          <t>2-1 人口・世帯の分析
2-2 第1号被保険者の分析</t>
        </is>
      </c>
      <c r="E8" s="17" t="n">
        <v>2</v>
      </c>
      <c r="F8" s="18" t="inlineStr">
        <is>
          <t>○</t>
        </is>
      </c>
    </row>
    <row r="9">
      <c r="A9" s="17" t="inlineStr">
        <is>
          <t>業務の内容</t>
        </is>
      </c>
      <c r="B9" s="17" t="inlineStr">
        <is>
          <t>4(1)①イ</t>
        </is>
      </c>
      <c r="C9" s="16" t="inlineStr">
        <is>
          <t>統計分析（イ）要支援者数、要介護認定者数、認知症高齢者数</t>
        </is>
      </c>
      <c r="D9" s="16" t="inlineStr">
        <is>
          <t>2-3 認定者数・認定率の分析
2-4 認定者数の異常値の検証
2-7 認知症高齢者の分析</t>
        </is>
      </c>
      <c r="E9" s="17" t="n">
        <v>3</v>
      </c>
      <c r="F9" s="18" t="inlineStr">
        <is>
          <t>○</t>
        </is>
      </c>
    </row>
    <row r="10">
      <c r="A10" s="17" t="inlineStr">
        <is>
          <t>業務の内容</t>
        </is>
      </c>
      <c r="B10" s="17" t="inlineStr">
        <is>
          <t>4(1)①ウ</t>
        </is>
      </c>
      <c r="C10" s="16" t="inlineStr">
        <is>
          <t>統計分析（ウ）居宅サービス・施設サービス・地域密着型サービスの受給者数</t>
        </is>
      </c>
      <c r="D10" s="16" t="inlineStr">
        <is>
          <t>2-5 サービス受給者数の分析</t>
        </is>
      </c>
      <c r="E10" s="17" t="n">
        <v>1</v>
      </c>
      <c r="F10" s="18" t="inlineStr">
        <is>
          <t>○</t>
        </is>
      </c>
    </row>
    <row r="11">
      <c r="A11" s="17" t="inlineStr">
        <is>
          <t>業務の内容</t>
        </is>
      </c>
      <c r="B11" s="17" t="inlineStr">
        <is>
          <t>4(1)①エ</t>
        </is>
      </c>
      <c r="C11" s="16" t="inlineStr">
        <is>
          <t>統計分析（エ）介護予防事業対象者数</t>
        </is>
      </c>
      <c r="D11" s="16" t="inlineStr">
        <is>
          <t>2-6 介護予防事業対象者数の分析</t>
        </is>
      </c>
      <c r="E11" s="17" t="n">
        <v>1</v>
      </c>
      <c r="F11" s="18" t="inlineStr">
        <is>
          <t>○</t>
        </is>
      </c>
    </row>
    <row r="12">
      <c r="A12" s="17" t="inlineStr">
        <is>
          <t>業務の内容</t>
        </is>
      </c>
      <c r="B12" s="17" t="inlineStr">
        <is>
          <t>4(1)①オ</t>
        </is>
      </c>
      <c r="C12" s="16" t="inlineStr">
        <is>
          <t>統計分析（オ）その他計画策定に必要な推計</t>
        </is>
      </c>
      <c r="D12" s="16" t="inlineStr">
        <is>
          <t>2-8 サービス自給率の分析
2-10 見える化 優先度C分野の出力
2-11 保険者機能強化推進交付金等の評価結果の整理</t>
        </is>
      </c>
      <c r="E12" s="17" t="n">
        <v>3</v>
      </c>
      <c r="F12" s="18" t="inlineStr">
        <is>
          <t>○</t>
        </is>
      </c>
    </row>
    <row r="13">
      <c r="A13" s="17" t="inlineStr">
        <is>
          <t>業務の内容</t>
        </is>
      </c>
      <c r="B13" s="17" t="inlineStr">
        <is>
          <t>4(1)②</t>
        </is>
      </c>
      <c r="C13" s="16"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6" t="inlineStr">
        <is>
          <t>3-1 給付費等分析結果報告書の作成
3-2 町の給付実績との突合
5-1 協議会資料（第9期評価・調査結果）の作成
5-2 成果目標の達成状況の確定
5-3 施設整備方針との不整合の確認</t>
        </is>
      </c>
      <c r="E13" s="17" t="n">
        <v>5</v>
      </c>
      <c r="F13" s="18" t="inlineStr">
        <is>
          <t>○</t>
        </is>
      </c>
    </row>
    <row r="14">
      <c r="A14" s="17" t="inlineStr">
        <is>
          <t>業務の内容</t>
        </is>
      </c>
      <c r="B14" s="17" t="inlineStr">
        <is>
          <t>4(1)③</t>
        </is>
      </c>
      <c r="C14" s="16" t="inlineStr">
        <is>
          <t>介護予防・日常生活圏域ニーズ調査、在宅介護実態調査結果の反映。令和7年度に実施した調査結果を反映させる。</t>
        </is>
      </c>
      <c r="D14" s="16" t="inlineStr">
        <is>
          <t>4-1 調査結果報告書の確認
4-2 集計データの整理
4-3 集計結果・分析報告書の作成
4-4 クロス集計の設計
4-5 個票によるクロス集計
4-6 レッドチームレビュー</t>
        </is>
      </c>
      <c r="E14" s="17" t="n">
        <v>6</v>
      </c>
      <c r="F14" s="18" t="inlineStr">
        <is>
          <t>○</t>
        </is>
      </c>
    </row>
    <row r="15">
      <c r="A15" s="17" t="inlineStr">
        <is>
          <t>業務の内容</t>
        </is>
      </c>
      <c r="B15" s="17" t="inlineStr">
        <is>
          <t>4(2)</t>
        </is>
      </c>
      <c r="C15" s="16"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6" t="inlineStr">
        <is>
          <t>2-9 介護保険財政の分析
7-1 算定シートの構築
7-2 保険料算定のケース設定の確定
7-3 被保険者数・認定者数の推計
7-4 サービス見込量の推計
7-5 見える化システムへの入力作業
7-6 保険料のケース別算定</t>
        </is>
      </c>
      <c r="E15" s="17" t="n">
        <v>7</v>
      </c>
      <c r="F15" s="18" t="inlineStr">
        <is>
          <t>○</t>
        </is>
      </c>
    </row>
    <row r="16">
      <c r="A16" s="17" t="inlineStr">
        <is>
          <t>業務の内容</t>
        </is>
      </c>
      <c r="B16" s="17" t="inlineStr">
        <is>
          <t>4(3)</t>
        </is>
      </c>
      <c r="C16" s="16"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6" t="inlineStr">
        <is>
          <t>6-1 骨子案の作成
6-2 骨子案の協議（協議会）
8-1 素案の作成
8-2 成果指標の目標値案の作成
8-4 見込量・保険料・成果指標の反映
8-5 素案の協議（協議会）</t>
        </is>
      </c>
      <c r="E16" s="17" t="n">
        <v>6</v>
      </c>
      <c r="F16" s="18" t="inlineStr">
        <is>
          <t>○</t>
        </is>
      </c>
    </row>
    <row r="17">
      <c r="A17" s="17" t="inlineStr">
        <is>
          <t>業務の内容</t>
        </is>
      </c>
      <c r="B17" s="17" t="inlineStr">
        <is>
          <t>4(4)</t>
        </is>
      </c>
      <c r="C17" s="16" t="inlineStr">
        <is>
          <t>最終調整及び計画書の作成・取りまとめ。（1）から（3）の結果を踏まえ、小野町高齢者保健福祉計画・第10期介護保険事業計画書を作成するものとする。</t>
        </is>
      </c>
      <c r="D17" s="16" t="inlineStr">
        <is>
          <t>10-1 計画書の原稿確定</t>
        </is>
      </c>
      <c r="E17" s="17" t="n">
        <v>1</v>
      </c>
      <c r="F17" s="18" t="inlineStr">
        <is>
          <t>○</t>
        </is>
      </c>
    </row>
    <row r="18">
      <c r="A18" s="17" t="inlineStr">
        <is>
          <t>業務の内容</t>
        </is>
      </c>
      <c r="B18" s="17" t="inlineStr">
        <is>
          <t>4(5)</t>
        </is>
      </c>
      <c r="C18" s="16"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6"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17" t="n">
        <v>11</v>
      </c>
      <c r="F18" s="18" t="inlineStr">
        <is>
          <t>○</t>
        </is>
      </c>
    </row>
    <row r="19">
      <c r="A19" s="17" t="inlineStr">
        <is>
          <t>成果品</t>
        </is>
      </c>
      <c r="B19" s="17" t="inlineStr">
        <is>
          <t>成果品①</t>
        </is>
      </c>
      <c r="C19" s="16" t="inlineStr">
        <is>
          <t>（1）介護保険給付費等分析結果報告書　※データ（CD-R）1部、冊子（簡易製本）3部</t>
        </is>
      </c>
      <c r="D19" s="16" t="inlineStr">
        <is>
          <t>3-1 給付費等分析結果報告書の作成
3-3 成果品①の製本・納品</t>
        </is>
      </c>
      <c r="E19" s="17" t="n">
        <v>2</v>
      </c>
      <c r="F19" s="18" t="inlineStr">
        <is>
          <t>○</t>
        </is>
      </c>
    </row>
    <row r="20">
      <c r="A20" s="17" t="inlineStr">
        <is>
          <t>成果品</t>
        </is>
      </c>
      <c r="B20" s="17" t="inlineStr">
        <is>
          <t>成果品②</t>
        </is>
      </c>
      <c r="C20" s="16" t="inlineStr">
        <is>
          <t>（2）サービス見込量推計結果報告書　※データ（CD-R）1部、冊子（簡易製本）3部</t>
        </is>
      </c>
      <c r="D20" s="16" t="inlineStr">
        <is>
          <t>7-7 サービス見込量推計結果報告書の作成
7-8 成果品②の製本・納品</t>
        </is>
      </c>
      <c r="E20" s="17" t="n">
        <v>2</v>
      </c>
      <c r="F20" s="18" t="inlineStr">
        <is>
          <t>○</t>
        </is>
      </c>
    </row>
    <row r="21">
      <c r="A21" s="17" t="inlineStr">
        <is>
          <t>成果品</t>
        </is>
      </c>
      <c r="B21" s="17" t="inlineStr">
        <is>
          <t>成果品③</t>
        </is>
      </c>
      <c r="C21" s="16" t="inlineStr">
        <is>
          <t>（3）小野町高齢者保健福祉計画・第10期介護保険事業計画骨子案　※データ（CD-R）1部、冊子（簡易製本）3部</t>
        </is>
      </c>
      <c r="D21" s="16" t="inlineStr">
        <is>
          <t>6-1 骨子案の作成
6-3 成果品③の製本・納品</t>
        </is>
      </c>
      <c r="E21" s="17" t="n">
        <v>2</v>
      </c>
      <c r="F21" s="18" t="inlineStr">
        <is>
          <t>○</t>
        </is>
      </c>
    </row>
    <row r="22">
      <c r="A22" s="17" t="inlineStr">
        <is>
          <t>成果品</t>
        </is>
      </c>
      <c r="B22" s="17" t="inlineStr">
        <is>
          <t>成果品④</t>
        </is>
      </c>
      <c r="C22" s="16" t="inlineStr">
        <is>
          <t>（4）小野町高齢者保健福祉計画・第10期介護保険事業計画素案　※データ（CD-R）1部、冊子（簡易製本）3部</t>
        </is>
      </c>
      <c r="D22" s="16" t="inlineStr">
        <is>
          <t>8-1 素案の作成
8-6 成果品④の製本・納品</t>
        </is>
      </c>
      <c r="E22" s="17" t="n">
        <v>2</v>
      </c>
      <c r="F22" s="18" t="inlineStr">
        <is>
          <t>○</t>
        </is>
      </c>
    </row>
    <row r="23">
      <c r="A23" s="17" t="inlineStr">
        <is>
          <t>成果品</t>
        </is>
      </c>
      <c r="B23" s="17" t="inlineStr">
        <is>
          <t>成果品⑤</t>
        </is>
      </c>
      <c r="C23" s="16" t="inlineStr">
        <is>
          <t>（5）小野町高齢者保健福祉計画・第10期介護保険事業計画　※データ（CD-R）1部、計画書印刷50部＜仕様＞A4版、4色刷り、80頁程度</t>
        </is>
      </c>
      <c r="D23" s="16" t="inlineStr">
        <is>
          <t>10-2 レイアウト・組版
10-3 校正（初校・再校・校了）
10-6 印刷・製本</t>
        </is>
      </c>
      <c r="E23" s="17" t="n">
        <v>3</v>
      </c>
      <c r="F23" s="18" t="inlineStr">
        <is>
          <t>○</t>
        </is>
      </c>
    </row>
    <row r="24">
      <c r="A24" s="17" t="inlineStr">
        <is>
          <t>成果品</t>
        </is>
      </c>
      <c r="B24" s="17" t="inlineStr">
        <is>
          <t>成果品⑥</t>
        </is>
      </c>
      <c r="C24" s="16" t="inlineStr">
        <is>
          <t>（6）小野町高齢者保健福祉計画・第10期介護保険事業計画概要版　※データ（CD-R）1部、概要版印刷50部＜仕様＞A4版、4色刷り、8頁</t>
        </is>
      </c>
      <c r="D24" s="16" t="inlineStr">
        <is>
          <t>10-4 概要版の構成案
10-5 概要版の作成
10-6 印刷・製本</t>
        </is>
      </c>
      <c r="E24" s="17" t="n">
        <v>3</v>
      </c>
      <c r="F24" s="18" t="inlineStr">
        <is>
          <t>○</t>
        </is>
      </c>
    </row>
    <row r="25">
      <c r="A25" s="17" t="inlineStr">
        <is>
          <t>成果品</t>
        </is>
      </c>
      <c r="B25" s="17" t="inlineStr">
        <is>
          <t>成果品</t>
        </is>
      </c>
      <c r="C25" s="16" t="inlineStr">
        <is>
          <t>（1）〜（4）のデータ（CD-R）1部、冊子（簡易製本）各3部／（5）（6）のデータ（CD-R）1部、計画書印刷50部／概要版印刷50部</t>
        </is>
      </c>
      <c r="D25" s="16" t="inlineStr">
        <is>
          <t>10-7 データCD-Rの作成</t>
        </is>
      </c>
      <c r="E25" s="17" t="n">
        <v>1</v>
      </c>
      <c r="F25" s="18" t="inlineStr">
        <is>
          <t>○</t>
        </is>
      </c>
    </row>
    <row r="26">
      <c r="A26" s="17" t="inlineStr">
        <is>
          <t>その他</t>
        </is>
      </c>
      <c r="B26" s="17" t="inlineStr">
        <is>
          <t>5(1)</t>
        </is>
      </c>
      <c r="C26" s="16" t="inlineStr">
        <is>
          <t>本業務の実施に必要な資料等は、小野町が受託者に貸与するものとする。</t>
        </is>
      </c>
      <c r="D26" s="16" t="inlineStr">
        <is>
          <t>1-6 町への資料依頼票の作成
1-7 町データの受領</t>
        </is>
      </c>
      <c r="E26" s="17" t="n">
        <v>2</v>
      </c>
      <c r="F26" s="18" t="inlineStr">
        <is>
          <t>○</t>
        </is>
      </c>
    </row>
    <row r="27">
      <c r="A27" s="17" t="inlineStr">
        <is>
          <t>その他</t>
        </is>
      </c>
      <c r="B27" s="17" t="inlineStr">
        <is>
          <t>5(2)</t>
        </is>
      </c>
      <c r="C27" s="16"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6" t="inlineStr">
        <is>
          <t>―</t>
        </is>
      </c>
      <c r="E27" s="17" t="n">
        <v>0</v>
      </c>
      <c r="F27" s="24" t="inlineStr">
        <is>
          <t>前提条項</t>
        </is>
      </c>
    </row>
    <row r="28">
      <c r="A28" s="17" t="inlineStr">
        <is>
          <t>その他</t>
        </is>
      </c>
      <c r="B28" s="17" t="inlineStr">
        <is>
          <t>5(3)</t>
        </is>
      </c>
      <c r="C28" s="16" t="inlineStr">
        <is>
          <t>本仕様書に定めのない事項及び疑義が生じた場合は、小野町と受託者で協議するものとする。</t>
        </is>
      </c>
      <c r="D28" s="16" t="inlineStr">
        <is>
          <t>1-8 工程・協議会日程の合意と確認事項の照会</t>
        </is>
      </c>
      <c r="E28" s="17" t="n">
        <v>1</v>
      </c>
      <c r="F28" s="18" t="inlineStr">
        <is>
          <t>○</t>
        </is>
      </c>
    </row>
    <row r="29">
      <c r="A29" s="17" t="inlineStr">
        <is>
          <t>その他</t>
        </is>
      </c>
      <c r="B29" s="17" t="inlineStr">
        <is>
          <t>公告10⑥</t>
        </is>
      </c>
      <c r="C29" s="16" t="inlineStr">
        <is>
          <t>研究員は「見える化」システムやニーズ調査など各種データから介護給付費の統計分析により将来のサービス量を推計し計画化できる者（公告第1-19号 10⑥）</t>
        </is>
      </c>
      <c r="D29" s="16" t="inlineStr">
        <is>
          <t>1-1 契約・体制の確立、キックオフ</t>
        </is>
      </c>
      <c r="E29" s="17" t="n">
        <v>1</v>
      </c>
      <c r="F29" s="18"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6" t="inlineStr">
        <is>
          <t>B1 現状分析（基礎データ・資料の整理分析）</t>
        </is>
      </c>
      <c r="B2" s="16" t="inlineStr">
        <is>
          <t>4(1)</t>
        </is>
      </c>
      <c r="C2" s="17">
        <f>COUNTIF('01_WBS'!$E$2:$E$65,$A2)</f>
        <v/>
      </c>
      <c r="D2" s="17">
        <f>COUNTIFS('01_WBS'!$E$2:$E$65,$A2,'01_WBS'!$K$2:$K$65,"完了")</f>
        <v/>
      </c>
      <c r="E2" s="17">
        <f>COUNTIFS('01_WBS'!$E$2:$E$65,$A2,'01_WBS'!$K$2:$K$65,"進行中")</f>
        <v/>
      </c>
      <c r="F2" s="17">
        <f>COUNTIFS('01_WBS'!$E$2:$E$65,$A2,'01_WBS'!$K$2:$K$65,"要対応")</f>
        <v/>
      </c>
      <c r="G2" s="17">
        <f>COUNTIFS('01_WBS'!$E$2:$E$65,$A2,'01_WBS'!$K$2:$K$65,"データ待ち")</f>
        <v/>
      </c>
      <c r="H2" s="17">
        <f>COUNTIFS('01_WBS'!$E$2:$E$65,$A2,'01_WBS'!$K$2:$K$65,"未着手")</f>
        <v/>
      </c>
      <c r="I2" s="25">
        <f>IF(SUMPRODUCT(('01_WBS'!$E$2:$E$65=$A2)*'01_WBS'!$M$2:$M$65)=0,"―",SUMPRODUCT(('01_WBS'!$E$2:$E$65=$A2)*'01_WBS'!$L$2:$L$65*'01_WBS'!$M$2:$M$65)/SUMPRODUCT(('01_WBS'!$E$2:$E$65=$A2)*'01_WBS'!$M$2:$M$65)/100)</f>
        <v/>
      </c>
      <c r="J2" s="16" t="inlineStr">
        <is>
          <t>第9期計画・第3期地域福祉計画の確認は完了。町からの実績データが未受領</t>
        </is>
      </c>
    </row>
    <row r="3">
      <c r="A3" s="16" t="inlineStr">
        <is>
          <t>B2 統計分析</t>
        </is>
      </c>
      <c r="B3" s="16" t="inlineStr">
        <is>
          <t>4(1)①ア、4(1)①イ、4(1)①ウ、4(1)①エ、4(1)①オ</t>
        </is>
      </c>
      <c r="C3" s="17">
        <f>COUNTIF('01_WBS'!$E$2:$E$65,$A3)</f>
        <v/>
      </c>
      <c r="D3" s="17">
        <f>COUNTIFS('01_WBS'!$E$2:$E$65,$A3,'01_WBS'!$K$2:$K$65,"完了")</f>
        <v/>
      </c>
      <c r="E3" s="17">
        <f>COUNTIFS('01_WBS'!$E$2:$E$65,$A3,'01_WBS'!$K$2:$K$65,"進行中")</f>
        <v/>
      </c>
      <c r="F3" s="17">
        <f>COUNTIFS('01_WBS'!$E$2:$E$65,$A3,'01_WBS'!$K$2:$K$65,"要対応")</f>
        <v/>
      </c>
      <c r="G3" s="17">
        <f>COUNTIFS('01_WBS'!$E$2:$E$65,$A3,'01_WBS'!$K$2:$K$65,"データ待ち")</f>
        <v/>
      </c>
      <c r="H3" s="17">
        <f>COUNTIFS('01_WBS'!$E$2:$E$65,$A3,'01_WBS'!$K$2:$K$65,"未着手")</f>
        <v/>
      </c>
      <c r="I3" s="25">
        <f>IF(SUMPRODUCT(('01_WBS'!$E$2:$E$65=$A3)*'01_WBS'!$M$2:$M$65)=0,"―",SUMPRODUCT(('01_WBS'!$E$2:$E$65=$A3)*'01_WBS'!$L$2:$L$65*'01_WBS'!$M$2:$M$65)/SUMPRODUCT(('01_WBS'!$E$2:$E$65=$A3)*'01_WBS'!$M$2:$M$65)/100)</f>
        <v/>
      </c>
      <c r="J3" s="16" t="inlineStr">
        <is>
          <t>**認定者数792人は年報で裏付けられた。論点は令和7年8〜9月の計上変更に絞られた。介護予防（総合事業・通いの場）のデータ欠落は残る**</t>
        </is>
      </c>
    </row>
    <row r="4">
      <c r="A4" s="16" t="inlineStr">
        <is>
          <t>B3 介護保険給付費等の分析</t>
        </is>
      </c>
      <c r="B4" s="16" t="inlineStr">
        <is>
          <t>4(1)②</t>
        </is>
      </c>
      <c r="C4" s="17">
        <f>COUNTIF('01_WBS'!$E$2:$E$65,$A4)</f>
        <v/>
      </c>
      <c r="D4" s="17">
        <f>COUNTIFS('01_WBS'!$E$2:$E$65,$A4,'01_WBS'!$K$2:$K$65,"完了")</f>
        <v/>
      </c>
      <c r="E4" s="17">
        <f>COUNTIFS('01_WBS'!$E$2:$E$65,$A4,'01_WBS'!$K$2:$K$65,"進行中")</f>
        <v/>
      </c>
      <c r="F4" s="17">
        <f>COUNTIFS('01_WBS'!$E$2:$E$65,$A4,'01_WBS'!$K$2:$K$65,"要対応")</f>
        <v/>
      </c>
      <c r="G4" s="17">
        <f>COUNTIFS('01_WBS'!$E$2:$E$65,$A4,'01_WBS'!$K$2:$K$65,"データ待ち")</f>
        <v/>
      </c>
      <c r="H4" s="17">
        <f>COUNTIFS('01_WBS'!$E$2:$E$65,$A4,'01_WBS'!$K$2:$K$65,"未着手")</f>
        <v/>
      </c>
      <c r="I4" s="25">
        <f>IF(SUMPRODUCT(('01_WBS'!$E$2:$E$65=$A4)*'01_WBS'!$M$2:$M$65)=0,"―",SUMPRODUCT(('01_WBS'!$E$2:$E$65=$A4)*'01_WBS'!$L$2:$L$65*'01_WBS'!$M$2:$M$65)/SUMPRODUCT(('01_WBS'!$E$2:$E$65=$A4)*'01_WBS'!$M$2:$M$65)/100)</f>
        <v/>
      </c>
      <c r="J4" s="16" t="inlineStr">
        <is>
          <t>成果品①は第5版。町の給付実績で数値を確定する段階</t>
        </is>
      </c>
    </row>
    <row r="5">
      <c r="A5" s="16" t="inlineStr">
        <is>
          <t>B4 令和7年度調査結果の反映</t>
        </is>
      </c>
      <c r="B5" s="16" t="inlineStr">
        <is>
          <t>4(1)③</t>
        </is>
      </c>
      <c r="C5" s="17">
        <f>COUNTIF('01_WBS'!$E$2:$E$65,$A5)</f>
        <v/>
      </c>
      <c r="D5" s="17">
        <f>COUNTIFS('01_WBS'!$E$2:$E$65,$A5,'01_WBS'!$K$2:$K$65,"完了")</f>
        <v/>
      </c>
      <c r="E5" s="17">
        <f>COUNTIFS('01_WBS'!$E$2:$E$65,$A5,'01_WBS'!$K$2:$K$65,"進行中")</f>
        <v/>
      </c>
      <c r="F5" s="17">
        <f>COUNTIFS('01_WBS'!$E$2:$E$65,$A5,'01_WBS'!$K$2:$K$65,"要対応")</f>
        <v/>
      </c>
      <c r="G5" s="17">
        <f>COUNTIFS('01_WBS'!$E$2:$E$65,$A5,'01_WBS'!$K$2:$K$65,"データ待ち")</f>
        <v/>
      </c>
      <c r="H5" s="17">
        <f>COUNTIFS('01_WBS'!$E$2:$E$65,$A5,'01_WBS'!$K$2:$K$65,"未着手")</f>
        <v/>
      </c>
      <c r="I5" s="25">
        <f>IF(SUMPRODUCT(('01_WBS'!$E$2:$E$65=$A5)*'01_WBS'!$M$2:$M$65)=0,"―",SUMPRODUCT(('01_WBS'!$E$2:$E$65=$A5)*'01_WBS'!$L$2:$L$65*'01_WBS'!$M$2:$M$65)/SUMPRODUCT(('01_WBS'!$E$2:$E$65=$A5)*'01_WBS'!$M$2:$M$65)/100)</f>
        <v/>
      </c>
      <c r="J5" s="16" t="inlineStr">
        <is>
          <t>**単純集計は完了。個票がないとクロス集計17件ができない**</t>
        </is>
      </c>
    </row>
    <row r="6">
      <c r="A6" s="16" t="inlineStr">
        <is>
          <t>B5 事業量推計・保険料算出・介護財政</t>
        </is>
      </c>
      <c r="B6" s="16" t="inlineStr">
        <is>
          <t>4(2)</t>
        </is>
      </c>
      <c r="C6" s="17">
        <f>COUNTIF('01_WBS'!$E$2:$E$65,$A6)</f>
        <v/>
      </c>
      <c r="D6" s="17">
        <f>COUNTIFS('01_WBS'!$E$2:$E$65,$A6,'01_WBS'!$K$2:$K$65,"完了")</f>
        <v/>
      </c>
      <c r="E6" s="17">
        <f>COUNTIFS('01_WBS'!$E$2:$E$65,$A6,'01_WBS'!$K$2:$K$65,"進行中")</f>
        <v/>
      </c>
      <c r="F6" s="17">
        <f>COUNTIFS('01_WBS'!$E$2:$E$65,$A6,'01_WBS'!$K$2:$K$65,"要対応")</f>
        <v/>
      </c>
      <c r="G6" s="17">
        <f>COUNTIFS('01_WBS'!$E$2:$E$65,$A6,'01_WBS'!$K$2:$K$65,"データ待ち")</f>
        <v/>
      </c>
      <c r="H6" s="17">
        <f>COUNTIFS('01_WBS'!$E$2:$E$65,$A6,'01_WBS'!$K$2:$K$65,"未着手")</f>
        <v/>
      </c>
      <c r="I6" s="25">
        <f>IF(SUMPRODUCT(('01_WBS'!$E$2:$E$65=$A6)*'01_WBS'!$M$2:$M$65)=0,"―",SUMPRODUCT(('01_WBS'!$E$2:$E$65=$A6)*'01_WBS'!$L$2:$L$65*'01_WBS'!$M$2:$M$65)/SUMPRODUCT(('01_WBS'!$E$2:$E$65=$A6)*'01_WBS'!$M$2:$M$65)/100)</f>
        <v/>
      </c>
      <c r="J6" s="16" t="inlineStr">
        <is>
          <t>**年報の受領で実績が揃い、算定シートに投入済み。残るのはサービス別見込量の算定と、地域支援事業費・調整交付金・基金取崩の確定**</t>
        </is>
      </c>
    </row>
    <row r="7">
      <c r="A7" s="16" t="inlineStr">
        <is>
          <t>B6 骨子案・素案の作成</t>
        </is>
      </c>
      <c r="B7" s="16" t="inlineStr">
        <is>
          <t>4(3)</t>
        </is>
      </c>
      <c r="C7" s="17">
        <f>COUNTIF('01_WBS'!$E$2:$E$65,$A7)</f>
        <v/>
      </c>
      <c r="D7" s="17">
        <f>COUNTIFS('01_WBS'!$E$2:$E$65,$A7,'01_WBS'!$K$2:$K$65,"完了")</f>
        <v/>
      </c>
      <c r="E7" s="17">
        <f>COUNTIFS('01_WBS'!$E$2:$E$65,$A7,'01_WBS'!$K$2:$K$65,"進行中")</f>
        <v/>
      </c>
      <c r="F7" s="17">
        <f>COUNTIFS('01_WBS'!$E$2:$E$65,$A7,'01_WBS'!$K$2:$K$65,"要対応")</f>
        <v/>
      </c>
      <c r="G7" s="17">
        <f>COUNTIFS('01_WBS'!$E$2:$E$65,$A7,'01_WBS'!$K$2:$K$65,"データ待ち")</f>
        <v/>
      </c>
      <c r="H7" s="17">
        <f>COUNTIFS('01_WBS'!$E$2:$E$65,$A7,'01_WBS'!$K$2:$K$65,"未着手")</f>
        <v/>
      </c>
      <c r="I7" s="25">
        <f>IF(SUMPRODUCT(('01_WBS'!$E$2:$E$65=$A7)*'01_WBS'!$M$2:$M$65)=0,"―",SUMPRODUCT(('01_WBS'!$E$2:$E$65=$A7)*'01_WBS'!$L$2:$L$65*'01_WBS'!$M$2:$M$65)/SUMPRODUCT(('01_WBS'!$E$2:$E$65=$A7)*'01_WBS'!$M$2:$M$65)/100)</f>
        <v/>
      </c>
      <c r="J7" s="16" t="inlineStr">
        <is>
          <t>骨子案第3版・素案第2版・成果指標の目標値案まで到達。見込量と保険料の反映が残る</t>
        </is>
      </c>
    </row>
    <row r="8">
      <c r="A8" s="16" t="inlineStr">
        <is>
          <t>B7 最終調整及び計画書の作成</t>
        </is>
      </c>
      <c r="B8" s="16" t="inlineStr">
        <is>
          <t>4(4)</t>
        </is>
      </c>
      <c r="C8" s="17">
        <f>COUNTIF('01_WBS'!$E$2:$E$65,$A8)</f>
        <v/>
      </c>
      <c r="D8" s="17">
        <f>COUNTIFS('01_WBS'!$E$2:$E$65,$A8,'01_WBS'!$K$2:$K$65,"完了")</f>
        <v/>
      </c>
      <c r="E8" s="17">
        <f>COUNTIFS('01_WBS'!$E$2:$E$65,$A8,'01_WBS'!$K$2:$K$65,"進行中")</f>
        <v/>
      </c>
      <c r="F8" s="17">
        <f>COUNTIFS('01_WBS'!$E$2:$E$65,$A8,'01_WBS'!$K$2:$K$65,"要対応")</f>
        <v/>
      </c>
      <c r="G8" s="17">
        <f>COUNTIFS('01_WBS'!$E$2:$E$65,$A8,'01_WBS'!$K$2:$K$65,"データ待ち")</f>
        <v/>
      </c>
      <c r="H8" s="17">
        <f>COUNTIFS('01_WBS'!$E$2:$E$65,$A8,'01_WBS'!$K$2:$K$65,"未着手")</f>
        <v/>
      </c>
      <c r="I8" s="25">
        <f>IF(SUMPRODUCT(('01_WBS'!$E$2:$E$65=$A8)*'01_WBS'!$M$2:$M$65)=0,"―",SUMPRODUCT(('01_WBS'!$E$2:$E$65=$A8)*'01_WBS'!$L$2:$L$65*'01_WBS'!$M$2:$M$65)/SUMPRODUCT(('01_WBS'!$E$2:$E$65=$A8)*'01_WBS'!$M$2:$M$65)/100)</f>
        <v/>
      </c>
      <c r="J8" s="16" t="inlineStr">
        <is>
          <t>パブリックコメント後に着手する。時期が来ていない</t>
        </is>
      </c>
    </row>
    <row r="9">
      <c r="A9" s="16" t="inlineStr">
        <is>
          <t>B8 協議会・パブリックコメントの支援</t>
        </is>
      </c>
      <c r="B9" s="16" t="inlineStr">
        <is>
          <t>4(5)</t>
        </is>
      </c>
      <c r="C9" s="17">
        <f>COUNTIF('01_WBS'!$E$2:$E$65,$A9)</f>
        <v/>
      </c>
      <c r="D9" s="17">
        <f>COUNTIFS('01_WBS'!$E$2:$E$65,$A9,'01_WBS'!$K$2:$K$65,"完了")</f>
        <v/>
      </c>
      <c r="E9" s="17">
        <f>COUNTIFS('01_WBS'!$E$2:$E$65,$A9,'01_WBS'!$K$2:$K$65,"進行中")</f>
        <v/>
      </c>
      <c r="F9" s="17">
        <f>COUNTIFS('01_WBS'!$E$2:$E$65,$A9,'01_WBS'!$K$2:$K$65,"要対応")</f>
        <v/>
      </c>
      <c r="G9" s="17">
        <f>COUNTIFS('01_WBS'!$E$2:$E$65,$A9,'01_WBS'!$K$2:$K$65,"データ待ち")</f>
        <v/>
      </c>
      <c r="H9" s="17">
        <f>COUNTIFS('01_WBS'!$E$2:$E$65,$A9,'01_WBS'!$K$2:$K$65,"未着手")</f>
        <v/>
      </c>
      <c r="I9" s="25">
        <f>IF(SUMPRODUCT(('01_WBS'!$E$2:$E$65=$A9)*'01_WBS'!$M$2:$M$65)=0,"―",SUMPRODUCT(('01_WBS'!$E$2:$E$65=$A9)*'01_WBS'!$L$2:$L$65*'01_WBS'!$M$2:$M$65)/SUMPRODUCT(('01_WBS'!$E$2:$E$65=$A9)*'01_WBS'!$M$2:$M$65)/100)</f>
        <v/>
      </c>
      <c r="J9" s="16" t="inlineStr">
        <is>
          <t>**資料と様式は揃っている。協議会の開催回数・時期が未定で工程が引けない**</t>
        </is>
      </c>
    </row>
    <row r="10">
      <c r="A10" s="16" t="inlineStr">
        <is>
          <t>B9 成果品の納品</t>
        </is>
      </c>
      <c r="B10" s="16" t="inlineStr">
        <is>
          <t>成果品①、成果品②、成果品③、成果品④、成果品⑤、成果品⑥ ほか</t>
        </is>
      </c>
      <c r="C10" s="17">
        <f>COUNTIF('01_WBS'!$E$2:$E$65,$A10)</f>
        <v/>
      </c>
      <c r="D10" s="17">
        <f>COUNTIFS('01_WBS'!$E$2:$E$65,$A10,'01_WBS'!$K$2:$K$65,"完了")</f>
        <v/>
      </c>
      <c r="E10" s="17">
        <f>COUNTIFS('01_WBS'!$E$2:$E$65,$A10,'01_WBS'!$K$2:$K$65,"進行中")</f>
        <v/>
      </c>
      <c r="F10" s="17">
        <f>COUNTIFS('01_WBS'!$E$2:$E$65,$A10,'01_WBS'!$K$2:$K$65,"要対応")</f>
        <v/>
      </c>
      <c r="G10" s="17">
        <f>COUNTIFS('01_WBS'!$E$2:$E$65,$A10,'01_WBS'!$K$2:$K$65,"データ待ち")</f>
        <v/>
      </c>
      <c r="H10" s="17">
        <f>COUNTIFS('01_WBS'!$E$2:$E$65,$A10,'01_WBS'!$K$2:$K$65,"未着手")</f>
        <v/>
      </c>
      <c r="I10" s="25">
        <f>IF(SUMPRODUCT(('01_WBS'!$E$2:$E$65=$A10)*'01_WBS'!$M$2:$M$65)=0,"―",SUMPRODUCT(('01_WBS'!$E$2:$E$65=$A10)*'01_WBS'!$L$2:$L$65*'01_WBS'!$M$2:$M$65)/SUMPRODUCT(('01_WBS'!$E$2:$E$65=$A10)*'01_WBS'!$M$2:$M$65)/100)</f>
        <v/>
      </c>
      <c r="J10" s="16" t="inlineStr">
        <is>
          <t>**製本・印刷が納品仕様に含まれる。令和9年2月下旬の校了が動かせない期限**</t>
        </is>
      </c>
    </row>
    <row r="11">
      <c r="A11" s="16" t="inlineStr">
        <is>
          <t>B10 業務管理・計画の基本的な考え方</t>
        </is>
      </c>
      <c r="B11" s="16" t="inlineStr">
        <is>
          <t>1、2(1)、2(2)、2(3)、3、5(1) ほか</t>
        </is>
      </c>
      <c r="C11" s="17">
        <f>COUNTIF('01_WBS'!$E$2:$E$65,$A11)</f>
        <v/>
      </c>
      <c r="D11" s="17">
        <f>COUNTIFS('01_WBS'!$E$2:$E$65,$A11,'01_WBS'!$K$2:$K$65,"完了")</f>
        <v/>
      </c>
      <c r="E11" s="17">
        <f>COUNTIFS('01_WBS'!$E$2:$E$65,$A11,'01_WBS'!$K$2:$K$65,"進行中")</f>
        <v/>
      </c>
      <c r="F11" s="17">
        <f>COUNTIFS('01_WBS'!$E$2:$E$65,$A11,'01_WBS'!$K$2:$K$65,"要対応")</f>
        <v/>
      </c>
      <c r="G11" s="17">
        <f>COUNTIFS('01_WBS'!$E$2:$E$65,$A11,'01_WBS'!$K$2:$K$65,"データ待ち")</f>
        <v/>
      </c>
      <c r="H11" s="17">
        <f>COUNTIFS('01_WBS'!$E$2:$E$65,$A11,'01_WBS'!$K$2:$K$65,"未着手")</f>
        <v/>
      </c>
      <c r="I11" s="25">
        <f>IF(SUMPRODUCT(('01_WBS'!$E$2:$E$65=$A11)*'01_WBS'!$M$2:$M$65)=0,"―",SUMPRODUCT(('01_WBS'!$E$2:$E$65=$A11)*'01_WBS'!$L$2:$L$65*'01_WBS'!$M$2:$M$65)/SUMPRODUCT(('01_WBS'!$E$2:$E$65=$A11)*'01_WBS'!$M$2:$M$65)/100)</f>
        <v/>
      </c>
      <c r="J11" s="16" t="inlineStr">
        <is>
          <t>仕様書の適合性チェック・データ依頼票は完了。工程と協議会日程の合意が残る</t>
        </is>
      </c>
    </row>
    <row r="12">
      <c r="A12" s="16" t="inlineStr">
        <is>
          <t>B11 仕様書に定めのない作業</t>
        </is>
      </c>
      <c r="B12" s="16" t="inlineStr">
        <is>
          <t>（該当条項なし）</t>
        </is>
      </c>
      <c r="C12" s="17">
        <f>COUNTIF('01_WBS'!$E$2:$E$65,$A12)</f>
        <v/>
      </c>
      <c r="D12" s="17">
        <f>COUNTIFS('01_WBS'!$E$2:$E$65,$A12,'01_WBS'!$K$2:$K$65,"完了")</f>
        <v/>
      </c>
      <c r="E12" s="17">
        <f>COUNTIFS('01_WBS'!$E$2:$E$65,$A12,'01_WBS'!$K$2:$K$65,"進行中")</f>
        <v/>
      </c>
      <c r="F12" s="17">
        <f>COUNTIFS('01_WBS'!$E$2:$E$65,$A12,'01_WBS'!$K$2:$K$65,"要対応")</f>
        <v/>
      </c>
      <c r="G12" s="17">
        <f>COUNTIFS('01_WBS'!$E$2:$E$65,$A12,'01_WBS'!$K$2:$K$65,"データ待ち")</f>
        <v/>
      </c>
      <c r="H12" s="17">
        <f>COUNTIFS('01_WBS'!$E$2:$E$65,$A12,'01_WBS'!$K$2:$K$65,"未着手")</f>
        <v/>
      </c>
      <c r="I12" s="25">
        <f>IF(SUMPRODUCT(('01_WBS'!$E$2:$E$65=$A12)*'01_WBS'!$M$2:$M$65)=0,"―",SUMPRODUCT(('01_WBS'!$E$2:$E$65=$A12)*'01_WBS'!$L$2:$L$65*'01_WBS'!$M$2:$M$65)/SUMPRODUCT(('01_WBS'!$E$2:$E$65=$A12)*'01_WBS'!$M$2:$M$65)/100)</f>
        <v/>
      </c>
      <c r="J12" s="16" t="inlineStr">
        <is>
          <t>該当なし。仕様書のいずれかの条項に紐づかない作業が発生した場合はここに現れる</t>
        </is>
      </c>
    </row>
    <row r="13">
      <c r="A13" s="26" t="inlineStr">
        <is>
          <t>合計</t>
        </is>
      </c>
      <c r="B13" s="26" t="inlineStr"/>
      <c r="C13" s="27">
        <f>SUM(C2:C12)</f>
        <v/>
      </c>
      <c r="D13" s="27">
        <f>SUM(D2:D12)</f>
        <v/>
      </c>
      <c r="E13" s="27">
        <f>SUM(E2:E12)</f>
        <v/>
      </c>
      <c r="F13" s="27">
        <f>SUM(F2:F12)</f>
        <v/>
      </c>
      <c r="G13" s="27">
        <f>SUM(G2:G12)</f>
        <v/>
      </c>
      <c r="H13" s="27">
        <f>SUM(H2:H12)</f>
        <v/>
      </c>
      <c r="I13" s="28">
        <f>IF(SUM('01_WBS'!$M$2:$M$65)=0,0,SUMPRODUCT('01_WBS'!$L$2:$L$65,'01_WBS'!$M$2:$M$65)/SUM('01_WBS'!$M$2:$M$65)/100)</f>
        <v/>
      </c>
      <c r="J13" s="16"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2026-09-28T05:23:23Z</dcterms:created>
  <dcterms:modified xmlns:dcterms="http://purl.org/dc/terms/" xmlns:xsi="http://www.w3.org/2001/XMLSchema-instance" xsi:type="dcterms:W3CDTF">2026-09-28T05:23:23Z</dcterms:modified>
</cp:coreProperties>
</file>