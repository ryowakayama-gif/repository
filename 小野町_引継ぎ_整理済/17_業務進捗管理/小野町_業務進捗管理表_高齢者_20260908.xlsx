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00_ダッシュボード" sheetId="1" state="visible" r:id="rId1"/>
    <sheet xmlns:r="http://schemas.openxmlformats.org/officeDocument/2006/relationships" name="01_WBS" sheetId="2" state="visible" r:id="rId2"/>
    <sheet xmlns:r="http://schemas.openxmlformats.org/officeDocument/2006/relationships" name="02_段階サマリ" sheetId="3" state="visible" r:id="rId3"/>
    <sheet xmlns:r="http://schemas.openxmlformats.org/officeDocument/2006/relationships" name="03_成果品管理" sheetId="4" state="visible" r:id="rId4"/>
    <sheet xmlns:r="http://schemas.openxmlformats.org/officeDocument/2006/relationships" name="04_工程表" sheetId="5" state="visible" r:id="rId5"/>
    <sheet xmlns:r="http://schemas.openxmlformats.org/officeDocument/2006/relationships" name="05_資料・データ受領" sheetId="6" state="visible" r:id="rId6"/>
    <sheet xmlns:r="http://schemas.openxmlformats.org/officeDocument/2006/relationships" name="06_会議体・意見聴取" sheetId="7" state="visible" r:id="rId7"/>
    <sheet xmlns:r="http://schemas.openxmlformats.org/officeDocument/2006/relationships" name="07_課題・リスク" sheetId="8" state="visible" r:id="rId8"/>
    <sheet xmlns:r="http://schemas.openxmlformats.org/officeDocument/2006/relationships" name="08_変更管理・打合せ記録" sheetId="9" state="visible" r:id="rId9"/>
    <sheet xmlns:r="http://schemas.openxmlformats.org/officeDocument/2006/relationships" name="09_仕様書対応表" sheetId="10" state="visible" r:id="rId10"/>
    <sheet xmlns:r="http://schemas.openxmlformats.org/officeDocument/2006/relationships" name="10_ブロック別進捗" sheetId="11" state="visible" r:id="rId11"/>
  </sheets>
  <definedNames>
    <definedName name="_xlnm._FilterDatabase" localSheetId="1" hidden="1">'01_WBS'!$A$1:$O$64</definedName>
  </definedNames>
  <calcPr calcId="124519" fullCalcOnLoad="1"/>
</workbook>
</file>

<file path=xl/styles.xml><?xml version="1.0" encoding="utf-8"?>
<styleSheet xmlns="http://schemas.openxmlformats.org/spreadsheetml/2006/main">
  <numFmts count="2">
    <numFmt numFmtId="164" formatCode="0&quot;%&quot;"/>
    <numFmt numFmtId="165" formatCode="0.0%"/>
  </numFmts>
  <fonts count="9">
    <font>
      <name val="Calibri"/>
      <family val="2"/>
      <color theme="1"/>
      <sz val="11"/>
      <scheme val="minor"/>
    </font>
    <font>
      <b val="1"/>
      <color rgb="00FFFFFF"/>
      <sz val="9"/>
    </font>
    <font>
      <sz val="11"/>
    </font>
    <font>
      <b val="1"/>
      <sz val="10"/>
    </font>
    <font>
      <b val="1"/>
      <sz val="14"/>
    </font>
    <font>
      <b val="1"/>
      <sz val="16"/>
    </font>
    <font>
      <sz val="9"/>
    </font>
    <font>
      <b val="1"/>
      <sz val="11"/>
    </font>
    <font>
      <b val="1"/>
      <color rgb="00000000"/>
      <sz val="9"/>
    </font>
  </fonts>
  <fills count="10">
    <fill>
      <patternFill/>
    </fill>
    <fill>
      <patternFill patternType="gray125"/>
    </fill>
    <fill>
      <patternFill patternType="solid">
        <fgColor rgb="001F3864"/>
      </patternFill>
    </fill>
    <fill>
      <patternFill patternType="solid">
        <fgColor rgb="00C6EFCE"/>
      </patternFill>
    </fill>
    <fill>
      <patternFill patternType="solid">
        <fgColor rgb="00FFF2CC"/>
      </patternFill>
    </fill>
    <fill>
      <patternFill patternType="solid">
        <fgColor rgb="00F8CBAD"/>
      </patternFill>
    </fill>
    <fill>
      <patternFill patternType="solid">
        <fgColor rgb="00FCE4E4"/>
      </patternFill>
    </fill>
    <fill>
      <patternFill patternType="solid">
        <fgColor rgb="00EEEEEE"/>
      </patternFill>
    </fill>
    <fill>
      <patternFill patternType="solid">
        <fgColor rgb="00EAF1FB"/>
      </patternFill>
    </fill>
    <fill>
      <patternFill patternType="solid">
        <fgColor rgb="00DDEBF7"/>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8">
    <xf numFmtId="0" fontId="0" fillId="0" borderId="0" pivotButton="0" quotePrefix="0" xfId="0"/>
    <xf numFmtId="0" fontId="4" fillId="0" borderId="0" pivotButton="0" quotePrefix="0" xfId="0"/>
    <xf numFmtId="0" fontId="3" fillId="0" borderId="0" pivotButton="0" quotePrefix="0" xfId="0"/>
    <xf numFmtId="165" fontId="5" fillId="8" borderId="0" applyAlignment="1" pivotButton="0" quotePrefix="0" xfId="0">
      <alignment horizontal="center" vertical="center"/>
    </xf>
    <xf numFmtId="0" fontId="5" fillId="8" borderId="0" applyAlignment="1" pivotButton="0" quotePrefix="0" xfId="0">
      <alignment horizontal="center" vertical="center"/>
    </xf>
    <xf numFmtId="0" fontId="1" fillId="2" borderId="1" applyAlignment="1" pivotButton="0" quotePrefix="0" xfId="0">
      <alignment horizontal="center" vertical="center" wrapText="1"/>
    </xf>
    <xf numFmtId="0" fontId="6" fillId="0" borderId="1" pivotButton="0" quotePrefix="0" xfId="0"/>
    <xf numFmtId="0" fontId="6" fillId="0" borderId="1" applyAlignment="1" pivotButton="0" quotePrefix="0" xfId="0">
      <alignment horizontal="center" vertical="center"/>
    </xf>
    <xf numFmtId="165" fontId="6" fillId="8" borderId="1" pivotButton="0" quotePrefix="0" xfId="0"/>
    <xf numFmtId="0" fontId="6" fillId="0" borderId="1" applyAlignment="1" pivotButton="0" quotePrefix="0" xfId="0">
      <alignment vertical="top" wrapText="1"/>
    </xf>
    <xf numFmtId="0" fontId="7" fillId="0" borderId="0" pivotButton="0" quotePrefix="0" xfId="0"/>
    <xf numFmtId="0" fontId="0" fillId="0" borderId="0" applyAlignment="1" pivotButton="0" quotePrefix="0" xfId="0">
      <alignment vertical="top" wrapText="1"/>
    </xf>
    <xf numFmtId="0" fontId="8" fillId="9" borderId="1" applyAlignment="1" pivotButton="0" quotePrefix="0" xfId="0">
      <alignment horizontal="center" vertical="center" wrapText="1"/>
    </xf>
    <xf numFmtId="0" fontId="6" fillId="3" borderId="1" applyAlignment="1" pivotButton="0" quotePrefix="0" xfId="0">
      <alignment horizontal="center" vertical="center"/>
    </xf>
    <xf numFmtId="0" fontId="6" fillId="5" borderId="1" applyAlignment="1" pivotButton="0" quotePrefix="0" xfId="0">
      <alignment horizontal="center" vertical="center"/>
    </xf>
    <xf numFmtId="0" fontId="6" fillId="7" borderId="1" applyAlignment="1" pivotButton="0" quotePrefix="0" xfId="0">
      <alignment horizontal="center" vertical="center"/>
    </xf>
    <xf numFmtId="0" fontId="2" fillId="0" borderId="1" applyAlignment="1" pivotButton="0" quotePrefix="0" xfId="0">
      <alignment vertical="top" wrapText="1"/>
    </xf>
    <xf numFmtId="0" fontId="2" fillId="0" borderId="1" applyAlignment="1" pivotButton="0" quotePrefix="0" xfId="0">
      <alignment vertical="top"/>
    </xf>
    <xf numFmtId="0" fontId="2" fillId="3" borderId="1" applyAlignment="1" pivotButton="0" quotePrefix="0" xfId="0">
      <alignment vertical="top"/>
    </xf>
    <xf numFmtId="164" fontId="2" fillId="4" borderId="1" applyAlignment="1" pivotButton="0" quotePrefix="0" xfId="0">
      <alignment vertical="top"/>
    </xf>
    <xf numFmtId="0" fontId="2" fillId="4" borderId="1" applyAlignment="1" pivotButton="0" quotePrefix="0" xfId="0">
      <alignment vertical="top"/>
    </xf>
    <xf numFmtId="0" fontId="2" fillId="5" borderId="1" applyAlignment="1" pivotButton="0" quotePrefix="0" xfId="0">
      <alignment vertical="top"/>
    </xf>
    <xf numFmtId="0" fontId="2" fillId="6" borderId="1" applyAlignment="1" pivotButton="0" quotePrefix="0" xfId="0">
      <alignment vertical="top"/>
    </xf>
    <xf numFmtId="0" fontId="2" fillId="7" borderId="1" applyAlignment="1" pivotButton="0" quotePrefix="0" xfId="0">
      <alignment vertical="top"/>
    </xf>
    <xf numFmtId="165" fontId="2" fillId="8" borderId="1" applyAlignment="1" pivotButton="0" quotePrefix="0" xfId="0">
      <alignment vertical="top"/>
    </xf>
    <xf numFmtId="0" fontId="3" fillId="0" borderId="1" applyAlignment="1" pivotButton="0" quotePrefix="0" xfId="0">
      <alignment vertical="top" wrapText="1"/>
    </xf>
    <xf numFmtId="0" fontId="3" fillId="0" borderId="1" applyAlignment="1" pivotButton="0" quotePrefix="0" xfId="0">
      <alignment vertical="top"/>
    </xf>
    <xf numFmtId="165" fontId="3" fillId="8" borderId="1" applyAlignment="1" pivotButton="0" quotePrefix="0" xfId="0">
      <alignment vertical="top"/>
    </xf>
  </cellXfs>
  <cellStyles count="1">
    <cellStyle name="Normal" xfId="0" builtinId="0" hidden="0"/>
  </cellStyles>
  <dxfs count="2">
    <dxf>
      <fill>
        <patternFill patternType="solid">
          <bgColor rgb="00C6EFCE"/>
        </patternFill>
      </fill>
    </dxf>
    <dxf>
      <fill>
        <patternFill patternType="solid">
          <bgColor rgb="00EEEEE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62"/>
  <sheetViews>
    <sheetView workbookViewId="0">
      <selection activeCell="A1" sqref="A1"/>
    </sheetView>
  </sheetViews>
  <sheetFormatPr baseColWidth="8" defaultRowHeight="15"/>
  <cols>
    <col width="16" customWidth="1" min="1" max="1"/>
    <col width="46" customWidth="1" min="2" max="2"/>
    <col width="30" customWidth="1" min="3" max="3"/>
    <col width="52" customWidth="1" min="4" max="4"/>
  </cols>
  <sheetData>
    <row r="1">
      <c r="A1" s="1" t="inlineStr">
        <is>
          <t>小野町　高齢者保健福祉計画・第10期介護保険事業計画　業務進捗管理表</t>
        </is>
      </c>
    </row>
    <row r="2">
      <c r="A2" t="inlineStr">
        <is>
          <t>基準日：令和8年9月8日</t>
        </is>
      </c>
    </row>
    <row r="4">
      <c r="A4" s="2" t="inlineStr">
        <is>
          <t>全体進捗</t>
        </is>
      </c>
      <c r="B4" s="3">
        <f>'02_段階サマリ'!H12</f>
        <v/>
      </c>
      <c r="C4" t="inlineStr"/>
      <c r="D4" s="2" t="inlineStr">
        <is>
          <t>作業数</t>
        </is>
      </c>
      <c r="E4" s="4">
        <f>'02_段階サマリ'!B12</f>
        <v/>
      </c>
      <c r="F4" t="inlineStr"/>
      <c r="G4" s="2" t="inlineStr">
        <is>
          <t>完了</t>
        </is>
      </c>
      <c r="H4" s="4">
        <f>'02_段階サマリ'!C12</f>
        <v/>
      </c>
    </row>
    <row r="6">
      <c r="A6" s="5" t="inlineStr">
        <is>
          <t>段階</t>
        </is>
      </c>
      <c r="B6" s="5" t="inlineStr">
        <is>
          <t>作業数</t>
        </is>
      </c>
      <c r="C6" s="5" t="inlineStr">
        <is>
          <t>加重進捗率</t>
        </is>
      </c>
      <c r="D6" s="5" t="inlineStr">
        <is>
          <t>律速要因</t>
        </is>
      </c>
    </row>
    <row r="7">
      <c r="A7" s="6">
        <f>'02_段階サマリ'!A2</f>
        <v/>
      </c>
      <c r="B7" s="7">
        <f>'02_段階サマリ'!B2</f>
        <v/>
      </c>
      <c r="C7" s="8">
        <f>'02_段階サマリ'!H2</f>
        <v/>
      </c>
      <c r="D7" s="9">
        <f>'02_段階サマリ'!K2</f>
        <v/>
      </c>
      <c r="E7" s="6" t="n"/>
      <c r="F7" s="6" t="n"/>
      <c r="G7" s="6" t="n"/>
      <c r="H7" s="6" t="n"/>
    </row>
    <row r="8">
      <c r="A8" s="6">
        <f>'02_段階サマリ'!A3</f>
        <v/>
      </c>
      <c r="B8" s="7">
        <f>'02_段階サマリ'!B3</f>
        <v/>
      </c>
      <c r="C8" s="8">
        <f>'02_段階サマリ'!H3</f>
        <v/>
      </c>
      <c r="D8" s="9">
        <f>'02_段階サマリ'!K3</f>
        <v/>
      </c>
      <c r="E8" s="6" t="n"/>
      <c r="F8" s="6" t="n"/>
      <c r="G8" s="6" t="n"/>
      <c r="H8" s="6" t="n"/>
    </row>
    <row r="9">
      <c r="A9" s="6">
        <f>'02_段階サマリ'!A4</f>
        <v/>
      </c>
      <c r="B9" s="7">
        <f>'02_段階サマリ'!B4</f>
        <v/>
      </c>
      <c r="C9" s="8">
        <f>'02_段階サマリ'!H4</f>
        <v/>
      </c>
      <c r="D9" s="9">
        <f>'02_段階サマリ'!K4</f>
        <v/>
      </c>
      <c r="E9" s="6" t="n"/>
      <c r="F9" s="6" t="n"/>
      <c r="G9" s="6" t="n"/>
      <c r="H9" s="6" t="n"/>
    </row>
    <row r="10">
      <c r="A10" s="6">
        <f>'02_段階サマリ'!A5</f>
        <v/>
      </c>
      <c r="B10" s="7">
        <f>'02_段階サマリ'!B5</f>
        <v/>
      </c>
      <c r="C10" s="8">
        <f>'02_段階サマリ'!H5</f>
        <v/>
      </c>
      <c r="D10" s="9">
        <f>'02_段階サマリ'!K5</f>
        <v/>
      </c>
      <c r="E10" s="6" t="n"/>
      <c r="F10" s="6" t="n"/>
      <c r="G10" s="6" t="n"/>
      <c r="H10" s="6" t="n"/>
    </row>
    <row r="11">
      <c r="A11" s="6">
        <f>'02_段階サマリ'!A6</f>
        <v/>
      </c>
      <c r="B11" s="7">
        <f>'02_段階サマリ'!B6</f>
        <v/>
      </c>
      <c r="C11" s="8">
        <f>'02_段階サマリ'!H6</f>
        <v/>
      </c>
      <c r="D11" s="9">
        <f>'02_段階サマリ'!K6</f>
        <v/>
      </c>
      <c r="E11" s="6" t="n"/>
      <c r="F11" s="6" t="n"/>
      <c r="G11" s="6" t="n"/>
      <c r="H11" s="6" t="n"/>
    </row>
    <row r="12">
      <c r="A12" s="6">
        <f>'02_段階サマリ'!A7</f>
        <v/>
      </c>
      <c r="B12" s="7">
        <f>'02_段階サマリ'!B7</f>
        <v/>
      </c>
      <c r="C12" s="8">
        <f>'02_段階サマリ'!H7</f>
        <v/>
      </c>
      <c r="D12" s="9">
        <f>'02_段階サマリ'!K7</f>
        <v/>
      </c>
      <c r="E12" s="6" t="n"/>
      <c r="F12" s="6" t="n"/>
      <c r="G12" s="6" t="n"/>
      <c r="H12" s="6" t="n"/>
    </row>
    <row r="13">
      <c r="A13" s="6">
        <f>'02_段階サマリ'!A8</f>
        <v/>
      </c>
      <c r="B13" s="7">
        <f>'02_段階サマリ'!B8</f>
        <v/>
      </c>
      <c r="C13" s="8">
        <f>'02_段階サマリ'!H8</f>
        <v/>
      </c>
      <c r="D13" s="9">
        <f>'02_段階サマリ'!K8</f>
        <v/>
      </c>
      <c r="E13" s="6" t="n"/>
      <c r="F13" s="6" t="n"/>
      <c r="G13" s="6" t="n"/>
      <c r="H13" s="6" t="n"/>
    </row>
    <row r="14">
      <c r="A14" s="6">
        <f>'02_段階サマリ'!A9</f>
        <v/>
      </c>
      <c r="B14" s="7">
        <f>'02_段階サマリ'!B9</f>
        <v/>
      </c>
      <c r="C14" s="8">
        <f>'02_段階サマリ'!H9</f>
        <v/>
      </c>
      <c r="D14" s="9">
        <f>'02_段階サマリ'!K9</f>
        <v/>
      </c>
      <c r="E14" s="6" t="n"/>
      <c r="F14" s="6" t="n"/>
      <c r="G14" s="6" t="n"/>
      <c r="H14" s="6" t="n"/>
    </row>
    <row r="15">
      <c r="A15" s="6">
        <f>'02_段階サマリ'!A10</f>
        <v/>
      </c>
      <c r="B15" s="7">
        <f>'02_段階サマリ'!B10</f>
        <v/>
      </c>
      <c r="C15" s="8">
        <f>'02_段階サマリ'!H10</f>
        <v/>
      </c>
      <c r="D15" s="9">
        <f>'02_段階サマリ'!K10</f>
        <v/>
      </c>
      <c r="E15" s="6" t="n"/>
      <c r="F15" s="6" t="n"/>
      <c r="G15" s="6" t="n"/>
      <c r="H15" s="6" t="n"/>
    </row>
    <row r="16">
      <c r="A16" s="6">
        <f>'02_段階サマリ'!A11</f>
        <v/>
      </c>
      <c r="B16" s="7">
        <f>'02_段階サマリ'!B11</f>
        <v/>
      </c>
      <c r="C16" s="8">
        <f>'02_段階サマリ'!H11</f>
        <v/>
      </c>
      <c r="D16" s="9">
        <f>'02_段階サマリ'!K11</f>
        <v/>
      </c>
      <c r="E16" s="6" t="n"/>
      <c r="F16" s="6" t="n"/>
      <c r="G16" s="6" t="n"/>
      <c r="H16" s="6" t="n"/>
    </row>
    <row r="18">
      <c r="A18" s="10" t="inlineStr">
        <is>
          <t>■ 仕様書の業務ブロック別</t>
        </is>
      </c>
    </row>
    <row r="19">
      <c r="A19" s="5" t="inlineStr">
        <is>
          <t>仕様書ブロック</t>
        </is>
      </c>
      <c r="B19" s="5" t="inlineStr">
        <is>
          <t>作業数</t>
        </is>
      </c>
      <c r="C19" s="5" t="inlineStr">
        <is>
          <t>加重進捗率</t>
        </is>
      </c>
      <c r="D19" s="5" t="inlineStr">
        <is>
          <t>現況・律速</t>
        </is>
      </c>
    </row>
    <row r="20">
      <c r="A20" s="6">
        <f>'10_ブロック別進捗'!A2</f>
        <v/>
      </c>
      <c r="B20" s="7">
        <f>'10_ブロック別進捗'!C2</f>
        <v/>
      </c>
      <c r="C20" s="8">
        <f>'10_ブロック別進捗'!I2</f>
        <v/>
      </c>
      <c r="D20" s="9">
        <f>'10_ブロック別進捗'!J2</f>
        <v/>
      </c>
      <c r="E20" s="6" t="n"/>
      <c r="F20" s="6" t="n"/>
      <c r="G20" s="6" t="n"/>
      <c r="H20" s="6" t="n"/>
    </row>
    <row r="21">
      <c r="A21" s="6">
        <f>'10_ブロック別進捗'!A3</f>
        <v/>
      </c>
      <c r="B21" s="7">
        <f>'10_ブロック別進捗'!C3</f>
        <v/>
      </c>
      <c r="C21" s="8">
        <f>'10_ブロック別進捗'!I3</f>
        <v/>
      </c>
      <c r="D21" s="9">
        <f>'10_ブロック別進捗'!J3</f>
        <v/>
      </c>
      <c r="E21" s="6" t="n"/>
      <c r="F21" s="6" t="n"/>
      <c r="G21" s="6" t="n"/>
      <c r="H21" s="6" t="n"/>
    </row>
    <row r="22">
      <c r="A22" s="6">
        <f>'10_ブロック別進捗'!A4</f>
        <v/>
      </c>
      <c r="B22" s="7">
        <f>'10_ブロック別進捗'!C4</f>
        <v/>
      </c>
      <c r="C22" s="8">
        <f>'10_ブロック別進捗'!I4</f>
        <v/>
      </c>
      <c r="D22" s="9">
        <f>'10_ブロック別進捗'!J4</f>
        <v/>
      </c>
      <c r="E22" s="6" t="n"/>
      <c r="F22" s="6" t="n"/>
      <c r="G22" s="6" t="n"/>
      <c r="H22" s="6" t="n"/>
    </row>
    <row r="23">
      <c r="A23" s="6">
        <f>'10_ブロック別進捗'!A5</f>
        <v/>
      </c>
      <c r="B23" s="7">
        <f>'10_ブロック別進捗'!C5</f>
        <v/>
      </c>
      <c r="C23" s="8">
        <f>'10_ブロック別進捗'!I5</f>
        <v/>
      </c>
      <c r="D23" s="9">
        <f>'10_ブロック別進捗'!J5</f>
        <v/>
      </c>
      <c r="E23" s="6" t="n"/>
      <c r="F23" s="6" t="n"/>
      <c r="G23" s="6" t="n"/>
      <c r="H23" s="6" t="n"/>
    </row>
    <row r="24">
      <c r="A24" s="6">
        <f>'10_ブロック別進捗'!A6</f>
        <v/>
      </c>
      <c r="B24" s="7">
        <f>'10_ブロック別進捗'!C6</f>
        <v/>
      </c>
      <c r="C24" s="8">
        <f>'10_ブロック別進捗'!I6</f>
        <v/>
      </c>
      <c r="D24" s="9">
        <f>'10_ブロック別進捗'!J6</f>
        <v/>
      </c>
      <c r="E24" s="6" t="n"/>
      <c r="F24" s="6" t="n"/>
      <c r="G24" s="6" t="n"/>
      <c r="H24" s="6" t="n"/>
    </row>
    <row r="25">
      <c r="A25" s="6">
        <f>'10_ブロック別進捗'!A7</f>
        <v/>
      </c>
      <c r="B25" s="7">
        <f>'10_ブロック別進捗'!C7</f>
        <v/>
      </c>
      <c r="C25" s="8">
        <f>'10_ブロック別進捗'!I7</f>
        <v/>
      </c>
      <c r="D25" s="9">
        <f>'10_ブロック別進捗'!J7</f>
        <v/>
      </c>
      <c r="E25" s="6" t="n"/>
      <c r="F25" s="6" t="n"/>
      <c r="G25" s="6" t="n"/>
      <c r="H25" s="6" t="n"/>
    </row>
    <row r="26">
      <c r="A26" s="6">
        <f>'10_ブロック別進捗'!A8</f>
        <v/>
      </c>
      <c r="B26" s="7">
        <f>'10_ブロック別進捗'!C8</f>
        <v/>
      </c>
      <c r="C26" s="8">
        <f>'10_ブロック別進捗'!I8</f>
        <v/>
      </c>
      <c r="D26" s="9">
        <f>'10_ブロック別進捗'!J8</f>
        <v/>
      </c>
      <c r="E26" s="6" t="n"/>
      <c r="F26" s="6" t="n"/>
      <c r="G26" s="6" t="n"/>
      <c r="H26" s="6" t="n"/>
    </row>
    <row r="27">
      <c r="A27" s="6">
        <f>'10_ブロック別進捗'!A9</f>
        <v/>
      </c>
      <c r="B27" s="7">
        <f>'10_ブロック別進捗'!C9</f>
        <v/>
      </c>
      <c r="C27" s="8">
        <f>'10_ブロック別進捗'!I9</f>
        <v/>
      </c>
      <c r="D27" s="9">
        <f>'10_ブロック別進捗'!J9</f>
        <v/>
      </c>
      <c r="E27" s="6" t="n"/>
      <c r="F27" s="6" t="n"/>
      <c r="G27" s="6" t="n"/>
      <c r="H27" s="6" t="n"/>
    </row>
    <row r="28">
      <c r="A28" s="6">
        <f>'10_ブロック別進捗'!A10</f>
        <v/>
      </c>
      <c r="B28" s="7">
        <f>'10_ブロック別進捗'!C10</f>
        <v/>
      </c>
      <c r="C28" s="8">
        <f>'10_ブロック別進捗'!I10</f>
        <v/>
      </c>
      <c r="D28" s="9">
        <f>'10_ブロック別進捗'!J10</f>
        <v/>
      </c>
      <c r="E28" s="6" t="n"/>
      <c r="F28" s="6" t="n"/>
      <c r="G28" s="6" t="n"/>
      <c r="H28" s="6" t="n"/>
    </row>
    <row r="29">
      <c r="A29" s="6">
        <f>'10_ブロック別進捗'!A11</f>
        <v/>
      </c>
      <c r="B29" s="7">
        <f>'10_ブロック別進捗'!C11</f>
        <v/>
      </c>
      <c r="C29" s="8">
        <f>'10_ブロック別進捗'!I11</f>
        <v/>
      </c>
      <c r="D29" s="9">
        <f>'10_ブロック別進捗'!J11</f>
        <v/>
      </c>
      <c r="E29" s="6" t="n"/>
      <c r="F29" s="6" t="n"/>
      <c r="G29" s="6" t="n"/>
      <c r="H29" s="6" t="n"/>
    </row>
    <row r="30">
      <c r="A30" s="6">
        <f>'10_ブロック別進捗'!A12</f>
        <v/>
      </c>
      <c r="B30" s="7">
        <f>'10_ブロック別進捗'!C12</f>
        <v/>
      </c>
      <c r="C30" s="8">
        <f>'10_ブロック別進捗'!I12</f>
        <v/>
      </c>
      <c r="D30" s="9">
        <f>'10_ブロック別進捗'!J12</f>
        <v/>
      </c>
      <c r="E30" s="6" t="n"/>
      <c r="F30" s="6" t="n"/>
      <c r="G30" s="6" t="n"/>
      <c r="H30" s="6" t="n"/>
    </row>
    <row r="32">
      <c r="A32" s="10" t="inlineStr">
        <is>
          <t>■ 現況</t>
        </is>
      </c>
    </row>
    <row r="33">
      <c r="A33" s="11" t="inlineStr">
        <is>
          <t>見える化システムによる分析は12分野135ファイルを取り込み、実質的に完了した。認定者数は平成19年3月末〜令和8年3月末の20期分を、要介護度別・年齢階層別・被保険者区分別で確定させた。</t>
        </is>
      </c>
    </row>
    <row r="34">
      <c r="A34" s="11" t="inlineStr">
        <is>
          <t>成果品6件のうち3件（①第5版・③第3版・④第2版）が初稿段階に達し、②は算定シートの構築まで進んだ。</t>
        </is>
      </c>
    </row>
    <row r="35">
      <c r="A35" s="11" t="inlineStr">
        <is>
          <t>**令和8年9月8日、町から介護保険事業状況報告（年報）令和3〜7年度（各47様式）、国保連合会業務統計表（月報）28か月分、第10期将来推計用推計人口を受領した。**これにより依頼35項目の主要部分が一括で解決し、見込量推計・保険料算定に着手できる状態になった。</t>
        </is>
      </c>
    </row>
    <row r="36">
      <c r="A36" s="11" t="inlineStr">
        <is>
          <t>**最大の律速だった令和8年3月末の認定者数792人は、介護保険事業状況報告（年報）様式1の5で裏付けられた（第1号783＋第2号9）。**さらに国保連月報28か月により、減少が令和7年9月審査分の1か月に集中していること（961人→862人・▲10.3％）と、**同じ月に給付件数がまったく減っていないこと（1,303件→1,365件）**が判明した。減少は要介護2以上に集中し、要支援1はむしろ増えている。死亡171人は平年並みである。</t>
        </is>
      </c>
    </row>
    <row r="37">
      <c r="A37" s="11" t="inlineStr">
        <is>
          <t>**認定者だけが落ちて給付が落ちていないため、実態の変化ではなく計上の変更とみるのが最も整合的である。**年度でみても、令和7年度は認定者▲16.1％に対し受給者延▲4.6％・給付費▲7.4％で、認定者の減り方は給付の減り方の2倍以上ある。**したがって見込量は認定者数ベースではなく、受給者数と給付費の実績を基礎に組む。**</t>
        </is>
      </c>
    </row>
    <row r="38">
      <c r="A38" s="11" t="inlineStr">
        <is>
          <t>**あわせて、介護給付費準備基金の保有額が12.0百万円しかないことが判明した。**第9期は基金取崩35.0百万円を見込んでいた。歳入歳出差引残額は144.2百万円あるため、繰越金として滞留している。令和4年度末の基金は120.0百万円で、令和5年度末に1桁減っており、確認を要する。</t>
        </is>
      </c>
    </row>
    <row r="39">
      <c r="A39" s="11" t="inlineStr">
        <is>
          <t>令和7年度調査の結果は集計結果・分析報告書として取りまとめ、素案第2版に反映した。**在宅の要介護認定者の42.1％がサービスを利用しておらず、その理由の92.9％が需要側の要因で、供給制約は0.6％であった。**これにより第10期の施策方向を、供給確保から認定運用の確認・利用意向への働きかけ・レスパイトへ組み替えた。</t>
        </is>
      </c>
    </row>
    <row r="40">
      <c r="A40" s="11" t="inlineStr">
        <is>
          <t>算定シートには受領した実績を投入した。人口推計（令和9〜11年）、令和7年度の年齢階層別認定率（65〜74歳3.92％／75〜84歳18.72％／85歳以上71.63％）、所得段階別被保険者数13段階と小野町が定める保険料率、収納率99.35％を入力済みで、**残る入力欄はサービス別の見込量、地域支援事業費、調整交付金見込額、基金取崩額である。**</t>
        </is>
      </c>
    </row>
    <row r="42">
      <c r="A42" s="10" t="inlineStr">
        <is>
          <t>■ 警戒事項</t>
        </is>
      </c>
    </row>
    <row r="43">
      <c r="A43" s="12" t="inlineStr">
        <is>
          <t>#</t>
        </is>
      </c>
      <c r="B43" s="12" t="inlineStr">
        <is>
          <t>内容</t>
        </is>
      </c>
      <c r="C43" s="12" t="inlineStr">
        <is>
          <t>影響</t>
        </is>
      </c>
      <c r="D43" s="12" t="inlineStr">
        <is>
          <t>対応</t>
        </is>
      </c>
    </row>
    <row r="44">
      <c r="A44" s="9" t="n">
        <v>1</v>
      </c>
      <c r="B44" s="9" t="inlineStr">
        <is>
          <t>認定者数の減少は計上の変更の可能性が高い</t>
        </is>
      </c>
      <c r="C44" s="9" t="inlineStr">
        <is>
          <t>認定者数ベースで給付費を推計すると過小になる（令和7年度は認定者▲16.1％に対し給付費▲7.4％）</t>
        </is>
      </c>
      <c r="D44" s="9" t="inlineStr">
        <is>
          <t>**令和7年9月審査分の1か月に▲99人が集中し、同月の給付件数は減っていない。令和7年8〜9月の計上方法の変更を町に確認する。見込量は受給者数・給付費の実績を基礎に組む**</t>
        </is>
      </c>
      <c r="E44" s="9" t="n"/>
      <c r="F44" s="9" t="n"/>
      <c r="G44" s="9" t="n"/>
      <c r="H44" s="9" t="n"/>
    </row>
    <row r="45">
      <c r="A45" s="9" t="n">
        <v>2</v>
      </c>
      <c r="B45" s="9" t="inlineStr">
        <is>
          <t>介護給付費準備基金の保有額が12.0百万円しかない</t>
        </is>
      </c>
      <c r="C45" s="9" t="inlineStr">
        <is>
          <t>第9期が見込んだ基金取崩35.0百万円は実行できない。保険料水準の判断に直結する</t>
        </is>
      </c>
      <c r="D45" s="9" t="inlineStr">
        <is>
          <t>**令和4年度末120.0百万円から令和5年度末12.0百万円へ1桁減っている。取崩実績か入力誤りかを町に確認する。繰越金144.2百万円の基金積立も選択肢**</t>
        </is>
      </c>
      <c r="E45" s="9" t="n"/>
      <c r="F45" s="9" t="n"/>
      <c r="G45" s="9" t="n"/>
      <c r="H45" s="9" t="n"/>
    </row>
    <row r="46">
      <c r="A46" s="9" t="n">
        <v>3</v>
      </c>
      <c r="B46" s="9" t="inlineStr">
        <is>
          <t>高齢者福祉サービス推進協議会の開催回数・時期が未定</t>
        </is>
      </c>
      <c r="C46" s="9" t="inlineStr">
        <is>
          <t>工程が引けず、パブリックコメント・印刷の日程も確定できない</t>
        </is>
      </c>
      <c r="D46" s="9" t="inlineStr">
        <is>
          <t>**仕様書に回数の指定がない。**受託者案（4回）を提示して町と確定する（依頼票C4）</t>
        </is>
      </c>
      <c r="E46" s="9" t="n"/>
      <c r="F46" s="9" t="n"/>
      <c r="G46" s="9" t="n"/>
      <c r="H46" s="9" t="n"/>
    </row>
    <row r="47">
      <c r="A47" s="9" t="n">
        <v>4</v>
      </c>
      <c r="B47" s="9" t="inlineStr">
        <is>
          <t>通いの場の実態が把握できていない</t>
        </is>
      </c>
      <c r="C47" s="9" t="inlineStr">
        <is>
          <t>第9期の介護予防施策を評価できず、第10期の最重点施策も設計できない</t>
        </is>
      </c>
      <c r="D47" s="9" t="inlineStr">
        <is>
          <t>見える化は0か所、調査は週1回以上5.5％（約190人規模）。町の事業実績で確認する（依頼票H3）</t>
        </is>
      </c>
      <c r="E47" s="9" t="n"/>
      <c r="F47" s="9" t="n"/>
      <c r="G47" s="9" t="n"/>
      <c r="H47" s="9" t="n"/>
    </row>
    <row r="48">
      <c r="A48" s="9" t="n">
        <v>5</v>
      </c>
      <c r="B48" s="9" t="inlineStr">
        <is>
          <t>印刷工程が確保されていない</t>
        </is>
      </c>
      <c r="C48" s="9" t="inlineStr">
        <is>
          <t>計画書50部・概要版50部が納期に間に合わない</t>
        </is>
      </c>
      <c r="D48" s="9" t="inlineStr">
        <is>
          <t>令和9年2月下旬の校了から逆算し、12月までに印刷業者を押さえる</t>
        </is>
      </c>
      <c r="E48" s="9" t="n"/>
      <c r="F48" s="9" t="n"/>
      <c r="G48" s="9" t="n"/>
      <c r="H48" s="9" t="n"/>
    </row>
    <row r="49">
      <c r="A49" s="9" t="n">
        <v>6</v>
      </c>
      <c r="B49" s="9" t="inlineStr">
        <is>
          <t>見える化システムへの入力作業が未着手</t>
        </is>
      </c>
      <c r="C49" s="9" t="inlineStr">
        <is>
          <t>出力の分析だけでは仕様書4(2)を満たさない</t>
        </is>
      </c>
      <c r="D49" s="9" t="inlineStr">
        <is>
          <t>アカウント・権限・作業範囲・時期を町と確認する（依頼票C5）</t>
        </is>
      </c>
      <c r="E49" s="9" t="n"/>
      <c r="F49" s="9" t="n"/>
      <c r="G49" s="9" t="n"/>
      <c r="H49" s="9" t="n"/>
    </row>
    <row r="51">
      <c r="A51" s="10" t="inlineStr">
        <is>
          <t>■ 直近のマイルストーン</t>
        </is>
      </c>
    </row>
    <row r="52">
      <c r="A52" s="12" t="inlineStr">
        <is>
          <t>時期</t>
        </is>
      </c>
      <c r="B52" s="12" t="inlineStr">
        <is>
          <t>内容</t>
        </is>
      </c>
      <c r="C52" s="12" t="inlineStr">
        <is>
          <t>状態</t>
        </is>
      </c>
      <c r="D52" s="12" t="inlineStr">
        <is>
          <t>前提</t>
        </is>
      </c>
    </row>
    <row r="53">
      <c r="A53" s="9" t="inlineStr">
        <is>
          <t>令和8年9月8日</t>
        </is>
      </c>
      <c r="B53" s="9" t="inlineStr">
        <is>
          <t>**年報5年分・国保連月報28か月・将来推計人口を受領**</t>
        </is>
      </c>
      <c r="C53" s="13" t="inlineStr">
        <is>
          <t>完了</t>
        </is>
      </c>
      <c r="D53" s="9" t="inlineStr">
        <is>
          <t>認定者数792人を確認。算定シートに実績を投入済み</t>
        </is>
      </c>
      <c r="E53" s="9" t="n"/>
      <c r="F53" s="9" t="n"/>
      <c r="G53" s="9" t="n"/>
      <c r="H53" s="9" t="n"/>
    </row>
    <row r="54">
      <c r="A54" s="9" t="inlineStr">
        <is>
          <t>令和8年9月中</t>
        </is>
      </c>
      <c r="B54" s="9" t="inlineStr">
        <is>
          <t>**令和7年8〜9月の計上変更の照会／基金残高の確認**</t>
        </is>
      </c>
      <c r="C54" s="14" t="inlineStr">
        <is>
          <t>要対応</t>
        </is>
      </c>
      <c r="D54" s="9" t="inlineStr">
        <is>
          <t>町への照会</t>
        </is>
      </c>
      <c r="E54" s="9" t="n"/>
      <c r="F54" s="9" t="n"/>
      <c r="G54" s="9" t="n"/>
      <c r="H54" s="9" t="n"/>
    </row>
    <row r="55">
      <c r="A55" s="9" t="inlineStr">
        <is>
          <t>令和8年9月中</t>
        </is>
      </c>
      <c r="B55" s="9" t="inlineStr">
        <is>
          <t>**サービス別単価の算出と見込量の試算（受給者数ベース）**</t>
        </is>
      </c>
      <c r="C55" s="14" t="inlineStr">
        <is>
          <t>要対応</t>
        </is>
      </c>
      <c r="D55" s="9" t="inlineStr">
        <is>
          <t>年報 様式2の5年分から算出できる</t>
        </is>
      </c>
      <c r="E55" s="9" t="n"/>
      <c r="F55" s="9" t="n"/>
      <c r="G55" s="9" t="n"/>
      <c r="H55" s="9" t="n"/>
    </row>
    <row r="56">
      <c r="A56" s="9" t="inlineStr">
        <is>
          <t>令和8年9〜10月</t>
        </is>
      </c>
      <c r="B56" s="9" t="inlineStr">
        <is>
          <t>協議会 第1回（第9期の評価・調査結果）</t>
        </is>
      </c>
      <c r="C56" s="14" t="inlineStr">
        <is>
          <t>要対応</t>
        </is>
      </c>
      <c r="D56" s="9" t="inlineStr">
        <is>
          <t>**資料は作成済み。開催日が未定**</t>
        </is>
      </c>
      <c r="E56" s="9" t="n"/>
      <c r="F56" s="9" t="n"/>
      <c r="G56" s="9" t="n"/>
      <c r="H56" s="9" t="n"/>
    </row>
    <row r="57">
      <c r="A57" s="9" t="inlineStr">
        <is>
          <t>令和8年10月</t>
        </is>
      </c>
      <c r="B57" s="9" t="inlineStr">
        <is>
          <t>**認定者数の確定 → 見込量の推計 → 見える化への入力**</t>
        </is>
      </c>
      <c r="C57" s="15" t="inlineStr">
        <is>
          <t>未着手</t>
        </is>
      </c>
      <c r="D57" s="9" t="inlineStr">
        <is>
          <t>認定者数の確認</t>
        </is>
      </c>
      <c r="E57" s="9" t="n"/>
      <c r="F57" s="9" t="n"/>
      <c r="G57" s="9" t="n"/>
      <c r="H57" s="9" t="n"/>
    </row>
    <row r="58">
      <c r="A58" s="9" t="inlineStr">
        <is>
          <t>令和8年11月</t>
        </is>
      </c>
      <c r="B58" s="9" t="inlineStr">
        <is>
          <t>保険料のケース別算定、協議会 第2回</t>
        </is>
      </c>
      <c r="C58" s="15" t="inlineStr">
        <is>
          <t>未着手</t>
        </is>
      </c>
      <c r="D58" s="9" t="inlineStr">
        <is>
          <t>見込量の確定</t>
        </is>
      </c>
      <c r="E58" s="9" t="n"/>
      <c r="F58" s="9" t="n"/>
      <c r="G58" s="9" t="n"/>
      <c r="H58" s="9" t="n"/>
    </row>
    <row r="59">
      <c r="A59" s="9" t="inlineStr">
        <is>
          <t>令和8年12月</t>
        </is>
      </c>
      <c r="B59" s="9" t="inlineStr">
        <is>
          <t>素案の確定、協議会 第3回</t>
        </is>
      </c>
      <c r="C59" s="15" t="inlineStr">
        <is>
          <t>未着手</t>
        </is>
      </c>
      <c r="D59" s="9" t="inlineStr">
        <is>
          <t>保険料の算定</t>
        </is>
      </c>
      <c r="E59" s="9" t="n"/>
      <c r="F59" s="9" t="n"/>
      <c r="G59" s="9" t="n"/>
      <c r="H59" s="9" t="n"/>
    </row>
    <row r="60">
      <c r="A60" s="9" t="inlineStr">
        <is>
          <t>令和9年1月</t>
        </is>
      </c>
      <c r="B60" s="9" t="inlineStr">
        <is>
          <t>パブリックコメント（1か月）</t>
        </is>
      </c>
      <c r="C60" s="15" t="inlineStr">
        <is>
          <t>未着手</t>
        </is>
      </c>
      <c r="D60" s="9" t="inlineStr">
        <is>
          <t>素案の確定</t>
        </is>
      </c>
      <c r="E60" s="9" t="n"/>
      <c r="F60" s="9" t="n"/>
      <c r="G60" s="9" t="n"/>
      <c r="H60" s="9" t="n"/>
    </row>
    <row r="61">
      <c r="A61" s="9" t="inlineStr">
        <is>
          <t>令和9年2月下旬</t>
        </is>
      </c>
      <c r="B61" s="9" t="inlineStr">
        <is>
          <t>**計画書の校了・下版（動かせない期限）**</t>
        </is>
      </c>
      <c r="C61" s="15" t="inlineStr">
        <is>
          <t>未着手</t>
        </is>
      </c>
      <c r="D61" s="9" t="inlineStr">
        <is>
          <t>パブコメ対応</t>
        </is>
      </c>
      <c r="E61" s="9" t="n"/>
      <c r="F61" s="9" t="n"/>
      <c r="G61" s="9" t="n"/>
      <c r="H61" s="9" t="n"/>
    </row>
    <row r="62">
      <c r="A62" s="9" t="inlineStr">
        <is>
          <t>令和9年3月31日</t>
        </is>
      </c>
      <c r="B62" s="9" t="inlineStr">
        <is>
          <t>納品（業務期間の末日）</t>
        </is>
      </c>
      <c r="C62" s="15" t="inlineStr">
        <is>
          <t>未着手</t>
        </is>
      </c>
      <c r="D62" s="9" t="inlineStr">
        <is>
          <t>全成果品の完成</t>
        </is>
      </c>
      <c r="E62" s="9" t="n"/>
      <c r="F62" s="9" t="n"/>
      <c r="G62" s="9" t="n"/>
      <c r="H62" s="9" t="n"/>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O64"/>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8" customWidth="1" min="1" max="1"/>
    <col width="7" customWidth="1" min="2" max="2"/>
    <col width="30" customWidth="1" min="3" max="3"/>
    <col width="38" customWidth="1" min="4" max="4"/>
    <col width="26" customWidth="1" min="5" max="5"/>
    <col width="15" customWidth="1" min="6" max="6"/>
    <col width="60" customWidth="1" min="7" max="7"/>
    <col width="12" customWidth="1" min="8" max="8"/>
    <col width="11" customWidth="1" min="9" max="9"/>
    <col width="11" customWidth="1" min="10" max="10"/>
    <col width="11" customWidth="1" min="11" max="11"/>
    <col width="8" customWidth="1" min="12" max="12"/>
    <col width="6" customWidth="1" min="13" max="13"/>
    <col width="48" customWidth="1" min="14" max="14"/>
    <col width="42" customWidth="1" min="15" max="15"/>
  </cols>
  <sheetData>
    <row r="1">
      <c r="A1" s="5" t="inlineStr">
        <is>
          <t>段階</t>
        </is>
      </c>
      <c r="B1" s="5" t="inlineStr">
        <is>
          <t>No</t>
        </is>
      </c>
      <c r="C1" s="5" t="inlineStr">
        <is>
          <t>作業</t>
        </is>
      </c>
      <c r="D1" s="5" t="inlineStr">
        <is>
          <t>内容</t>
        </is>
      </c>
      <c r="E1" s="5" t="inlineStr">
        <is>
          <t>仕様書ブロック</t>
        </is>
      </c>
      <c r="F1" s="5" t="inlineStr">
        <is>
          <t>仕様書 条項</t>
        </is>
      </c>
      <c r="G1" s="5" t="inlineStr">
        <is>
          <t>仕様書の記載内容（原文）</t>
        </is>
      </c>
      <c r="H1" s="5" t="inlineStr">
        <is>
          <t>担当</t>
        </is>
      </c>
      <c r="I1" s="5" t="inlineStr">
        <is>
          <t>予定開始</t>
        </is>
      </c>
      <c r="J1" s="5" t="inlineStr">
        <is>
          <t>予定完了</t>
        </is>
      </c>
      <c r="K1" s="5" t="inlineStr">
        <is>
          <t>状態</t>
        </is>
      </c>
      <c r="L1" s="5" t="inlineStr">
        <is>
          <t>進捗率</t>
        </is>
      </c>
      <c r="M1" s="5" t="inlineStr">
        <is>
          <t>重み</t>
        </is>
      </c>
      <c r="N1" s="5" t="inlineStr">
        <is>
          <t>実績・根拠</t>
        </is>
      </c>
      <c r="O1" s="5" t="inlineStr">
        <is>
          <t>前提条件・ブロッカー</t>
        </is>
      </c>
    </row>
    <row r="2">
      <c r="A2" s="16" t="inlineStr">
        <is>
          <t>P1 準備・現状把握</t>
        </is>
      </c>
      <c r="B2" s="17" t="inlineStr">
        <is>
          <t>1-1</t>
        </is>
      </c>
      <c r="C2" s="16" t="inlineStr">
        <is>
          <t>契約・体制の確立、キックオフ</t>
        </is>
      </c>
      <c r="D2" s="16" t="inlineStr">
        <is>
          <t>実施体制、役割分担、連絡系統</t>
        </is>
      </c>
      <c r="E2" s="16" t="inlineStr">
        <is>
          <t>B10 業務管理・計画の基本的な考え方</t>
        </is>
      </c>
      <c r="F2" s="17" t="inlineStr">
        <is>
          <t>公告10⑥（技術者の配置）</t>
        </is>
      </c>
      <c r="G2" s="16" t="inlineStr">
        <is>
          <t>【公告10⑥】研究員は「見える化」システムやニーズ調査など各種データから介護給付費の統計分析により将来のサービス量を推計し計画化できる者（公告第1-19号 10⑥）</t>
        </is>
      </c>
      <c r="H2" s="17" t="inlineStr">
        <is>
          <t>受託者</t>
        </is>
      </c>
      <c r="I2" s="17" t="inlineStr">
        <is>
          <t>2026-06</t>
        </is>
      </c>
      <c r="J2" s="17" t="inlineStr">
        <is>
          <t>2026-07</t>
        </is>
      </c>
      <c r="K2" s="18" t="inlineStr">
        <is>
          <t>完了</t>
        </is>
      </c>
      <c r="L2" s="19" t="n">
        <v>100</v>
      </c>
      <c r="M2" s="20" t="n">
        <v>2</v>
      </c>
      <c r="N2" s="16" t="inlineStr">
        <is>
          <t>キックオフ資料・業務計画書（02_キックオフ・業務計画）</t>
        </is>
      </c>
      <c r="O2" s="16" t="inlineStr">
        <is>
          <t>―</t>
        </is>
      </c>
    </row>
    <row r="3">
      <c r="A3" s="16" t="inlineStr">
        <is>
          <t>P1 準備・現状把握</t>
        </is>
      </c>
      <c r="B3" s="17" t="inlineStr">
        <is>
          <t>1-2</t>
        </is>
      </c>
      <c r="C3" s="16" t="inlineStr">
        <is>
          <t>引継ぎ資料の整理</t>
        </is>
      </c>
      <c r="D3" s="16" t="inlineStr">
        <is>
          <t>前受託者からの引継ぎ資料の棚卸しと索引化</t>
        </is>
      </c>
      <c r="E3" s="16" t="inlineStr">
        <is>
          <t>B10 業務管理・計画の基本的な考え方</t>
        </is>
      </c>
      <c r="F3" s="17" t="inlineStr">
        <is>
          <t>仕様書全般</t>
        </is>
      </c>
      <c r="G3" s="16" t="inlineStr">
        <is>
          <t>【全般】委託仕様書及び公告の全体（成果品要件・工程・作業分担の確認）</t>
        </is>
      </c>
      <c r="H3" s="17" t="inlineStr">
        <is>
          <t>受託者</t>
        </is>
      </c>
      <c r="I3" s="17" t="inlineStr">
        <is>
          <t>2026-07</t>
        </is>
      </c>
      <c r="J3" s="17" t="inlineStr">
        <is>
          <t>2026-07</t>
        </is>
      </c>
      <c r="K3" s="18" t="inlineStr">
        <is>
          <t>完了</t>
        </is>
      </c>
      <c r="L3" s="19" t="n">
        <v>100</v>
      </c>
      <c r="M3" s="20" t="n">
        <v>2</v>
      </c>
      <c r="N3" s="16" t="inlineStr">
        <is>
          <t>manifest_全ファイル（207ファイル）</t>
        </is>
      </c>
      <c r="O3" s="16" t="inlineStr">
        <is>
          <t>―</t>
        </is>
      </c>
    </row>
    <row r="4">
      <c r="A4" s="16" t="inlineStr">
        <is>
          <t>P1 準備・現状把握</t>
        </is>
      </c>
      <c r="B4" s="17" t="inlineStr">
        <is>
          <t>1-3</t>
        </is>
      </c>
      <c r="C4" s="16" t="inlineStr">
        <is>
          <t>委託仕様書の確認と適合性チェック</t>
        </is>
      </c>
      <c r="D4" s="16" t="inlineStr">
        <is>
          <t>原典4件（公告・仕様書×2計画）を読み、成果品要件・工程・作業分担を確定</t>
        </is>
      </c>
      <c r="E4" s="16" t="inlineStr">
        <is>
          <t>B10 業務管理・計画の基本的な考え方</t>
        </is>
      </c>
      <c r="F4" s="17" t="inlineStr">
        <is>
          <t>仕様書全般</t>
        </is>
      </c>
      <c r="G4" s="16" t="inlineStr">
        <is>
          <t>【全般】委託仕様書及び公告の全体（成果品要件・工程・作業分担の確認）</t>
        </is>
      </c>
      <c r="H4" s="17" t="inlineStr">
        <is>
          <t>受託者</t>
        </is>
      </c>
      <c r="I4" s="17" t="inlineStr">
        <is>
          <t>2026-08</t>
        </is>
      </c>
      <c r="J4" s="17" t="inlineStr">
        <is>
          <t>2026-08</t>
        </is>
      </c>
      <c r="K4" s="18" t="inlineStr">
        <is>
          <t>完了</t>
        </is>
      </c>
      <c r="L4" s="19" t="n">
        <v>100</v>
      </c>
      <c r="M4" s="20" t="n">
        <v>3</v>
      </c>
      <c r="N4" s="16" t="inlineStr">
        <is>
          <t>仕様書適合性チェック 第2版（00_引継ぎ）。初版8/3、第2版8/13</t>
        </is>
      </c>
      <c r="O4" s="16" t="inlineStr">
        <is>
          <t>―</t>
        </is>
      </c>
    </row>
    <row r="5">
      <c r="A5" s="16" t="inlineStr">
        <is>
          <t>P1 準備・現状把握</t>
        </is>
      </c>
      <c r="B5" s="17" t="inlineStr">
        <is>
          <t>1-4</t>
        </is>
      </c>
      <c r="C5" s="16" t="inlineStr">
        <is>
          <t>第9期計画本文の確認</t>
        </is>
      </c>
      <c r="D5" s="16" t="inlineStr">
        <is>
          <t>5章構成・基本理念・3基本目標・14施策、標準給付費3,566,486千円、保険料6,600円の算定根拠</t>
        </is>
      </c>
      <c r="E5" s="16" t="inlineStr">
        <is>
          <t>B1 現状分析（基礎データ・資料の整理分析）</t>
        </is>
      </c>
      <c r="F5" s="17" t="inlineStr">
        <is>
          <t>仕様書4(1)</t>
        </is>
      </c>
      <c r="G5" s="16" t="inlineStr">
        <is>
          <t>【4(1)】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H5" s="17" t="inlineStr">
        <is>
          <t>受託者</t>
        </is>
      </c>
      <c r="I5" s="17" t="inlineStr">
        <is>
          <t>2026-08</t>
        </is>
      </c>
      <c r="J5" s="17" t="inlineStr">
        <is>
          <t>2026-08</t>
        </is>
      </c>
      <c r="K5" s="18" t="inlineStr">
        <is>
          <t>完了</t>
        </is>
      </c>
      <c r="L5" s="19" t="n">
        <v>100</v>
      </c>
      <c r="M5" s="20" t="n">
        <v>3</v>
      </c>
      <c r="N5" s="16" t="inlineStr">
        <is>
          <t>第9期計画本文（13_関連計画）。骨子案第3版・成果品①第5版に反映</t>
        </is>
      </c>
      <c r="O5" s="16" t="inlineStr">
        <is>
          <t>―</t>
        </is>
      </c>
    </row>
    <row r="6">
      <c r="A6" s="16" t="inlineStr">
        <is>
          <t>P1 準備・現状把握</t>
        </is>
      </c>
      <c r="B6" s="17" t="inlineStr">
        <is>
          <t>1-5</t>
        </is>
      </c>
      <c r="C6" s="16" t="inlineStr">
        <is>
          <t>第3期地域福祉計画との役割分担の整理</t>
        </is>
      </c>
      <c r="D6" s="16" t="inlineStr">
        <is>
          <t>重複5施策を特定。成年後見は移管、虐待防止・災害対応・支え合いは連携</t>
        </is>
      </c>
      <c r="E6" s="16" t="inlineStr">
        <is>
          <t>B10 業務管理・計画の基本的な考え方</t>
        </is>
      </c>
      <c r="F6" s="17" t="inlineStr">
        <is>
          <t>仕様書2(2)</t>
        </is>
      </c>
      <c r="G6" s="16" t="inlineStr">
        <is>
          <t>【2(2)】国が示す第10期計画に関する基本的な考え方を踏まえた上で、本町の特性を活かした計画とする。</t>
        </is>
      </c>
      <c r="H6" s="17" t="inlineStr">
        <is>
          <t>受託者</t>
        </is>
      </c>
      <c r="I6" s="17" t="inlineStr">
        <is>
          <t>2026-08</t>
        </is>
      </c>
      <c r="J6" s="17" t="inlineStr">
        <is>
          <t>2026-08</t>
        </is>
      </c>
      <c r="K6" s="18" t="inlineStr">
        <is>
          <t>完了</t>
        </is>
      </c>
      <c r="L6" s="19" t="n">
        <v>100</v>
      </c>
      <c r="M6" s="20" t="n">
        <v>2</v>
      </c>
      <c r="N6" s="16" t="inlineStr">
        <is>
          <t>地域福祉計画との整合確認メモ（03_計画素案）</t>
        </is>
      </c>
      <c r="O6" s="16" t="inlineStr">
        <is>
          <t>―</t>
        </is>
      </c>
    </row>
    <row r="7">
      <c r="A7" s="16" t="inlineStr">
        <is>
          <t>P1 準備・現状把握</t>
        </is>
      </c>
      <c r="B7" s="17" t="inlineStr">
        <is>
          <t>1-6</t>
        </is>
      </c>
      <c r="C7" s="16" t="inlineStr">
        <is>
          <t>町への資料依頼票の作成</t>
        </is>
      </c>
      <c r="D7" s="16" t="inlineStr">
        <is>
          <t>依頼35項目＋確認事項12件。基準日・年度範囲・単位・様式まで指定</t>
        </is>
      </c>
      <c r="E7" s="16" t="inlineStr">
        <is>
          <t>B10 業務管理・計画の基本的な考え方</t>
        </is>
      </c>
      <c r="F7" s="17" t="inlineStr">
        <is>
          <t>仕様書5(1)（資料は町が貸与）</t>
        </is>
      </c>
      <c r="G7" s="16" t="inlineStr">
        <is>
          <t>【5(1)】本業務の実施に必要な資料等は、小野町が受託者に貸与するものとする。</t>
        </is>
      </c>
      <c r="H7" s="17" t="inlineStr">
        <is>
          <t>受託者</t>
        </is>
      </c>
      <c r="I7" s="17" t="inlineStr">
        <is>
          <t>2026-08</t>
        </is>
      </c>
      <c r="J7" s="17" t="inlineStr">
        <is>
          <t>2026-08</t>
        </is>
      </c>
      <c r="K7" s="18" t="inlineStr">
        <is>
          <t>完了</t>
        </is>
      </c>
      <c r="L7" s="19" t="n">
        <v>100</v>
      </c>
      <c r="M7" s="20" t="n">
        <v>2</v>
      </c>
      <c r="N7" s="16" t="inlineStr">
        <is>
          <t>小野町_データ依頼票（16_町データ依頼）</t>
        </is>
      </c>
      <c r="O7" s="16" t="inlineStr">
        <is>
          <t>―</t>
        </is>
      </c>
    </row>
    <row r="8">
      <c r="A8" s="16" t="inlineStr">
        <is>
          <t>P1 準備・現状把握</t>
        </is>
      </c>
      <c r="B8" s="17" t="inlineStr">
        <is>
          <t>1-7</t>
        </is>
      </c>
      <c r="C8" s="16" t="inlineStr">
        <is>
          <t>町データの受領</t>
        </is>
      </c>
      <c r="D8" s="16" t="inlineStr">
        <is>
          <t>依頼票に基づく資料・データの受領</t>
        </is>
      </c>
      <c r="E8" s="16" t="inlineStr">
        <is>
          <t>B10 業務管理・計画の基本的な考え方</t>
        </is>
      </c>
      <c r="F8" s="17" t="inlineStr">
        <is>
          <t>仕様書5(1)</t>
        </is>
      </c>
      <c r="G8" s="16" t="inlineStr">
        <is>
          <t>【5(1)】本業務の実施に必要な資料等は、小野町が受託者に貸与するものとする。</t>
        </is>
      </c>
      <c r="H8" s="17" t="inlineStr">
        <is>
          <t>町</t>
        </is>
      </c>
      <c r="I8" s="17" t="inlineStr">
        <is>
          <t>2026-08</t>
        </is>
      </c>
      <c r="J8" s="17" t="inlineStr">
        <is>
          <t>2026-09</t>
        </is>
      </c>
      <c r="K8" s="20" t="inlineStr">
        <is>
          <t>進行中</t>
        </is>
      </c>
      <c r="L8" s="19" t="n">
        <v>70</v>
      </c>
      <c r="M8" s="20" t="n">
        <v>4</v>
      </c>
      <c r="N8" s="16" t="inlineStr">
        <is>
          <t>**9月8日に介護保険事業状況報告（年報）令和3〜7年度（各47様式）、国保連合会業務統計表（月報）28か月分、第10期将来推計用推計人口を受領。**依頼票のN1・S1〜S5が解決し、S7は令和6年度分のみ解決</t>
        </is>
      </c>
      <c r="O8" s="16" t="inlineStr">
        <is>
          <t>残るのは地域支援事業費の内訳（S6）、令和7年度決算（S7）、成果指標の現状値17項目（H1〜H17）</t>
        </is>
      </c>
    </row>
    <row r="9">
      <c r="A9" s="16" t="inlineStr">
        <is>
          <t>P1 準備・現状把握</t>
        </is>
      </c>
      <c r="B9" s="17" t="inlineStr">
        <is>
          <t>1-8</t>
        </is>
      </c>
      <c r="C9" s="16" t="inlineStr">
        <is>
          <t>工程・協議会日程の合意と確認事項の照会</t>
        </is>
      </c>
      <c r="D9" s="16" t="inlineStr">
        <is>
          <t>高齢者計画の仕様書には工程表がないため、業務期間から逆算した工程と協議会の回数・時期を町と合意する。あわせて仕様書の疑義4件を照会する</t>
        </is>
      </c>
      <c r="E9" s="16" t="inlineStr">
        <is>
          <t>B10 業務管理・計画の基本的な考え方</t>
        </is>
      </c>
      <c r="F9" s="17" t="inlineStr">
        <is>
          <t>仕様書5(3)</t>
        </is>
      </c>
      <c r="G9" s="16" t="inlineStr">
        <is>
          <t>【5(3)】本仕様書に定めのない事項及び疑義が生じた場合は、小野町と受託者で協議するものとする。</t>
        </is>
      </c>
      <c r="H9" s="17" t="inlineStr">
        <is>
          <t>受託者・町</t>
        </is>
      </c>
      <c r="I9" s="17" t="inlineStr">
        <is>
          <t>2026-08</t>
        </is>
      </c>
      <c r="J9" s="17" t="inlineStr">
        <is>
          <t>2026-09</t>
        </is>
      </c>
      <c r="K9" s="21" t="inlineStr">
        <is>
          <t>要対応</t>
        </is>
      </c>
      <c r="L9" s="19" t="n">
        <v>30</v>
      </c>
      <c r="M9" s="20" t="n">
        <v>2</v>
      </c>
      <c r="N9" s="16" t="inlineStr">
        <is>
          <t>**工程変更協議資料と確認事項12件を作成済み（うち高齢者に係るもの8件）**</t>
        </is>
      </c>
      <c r="O9" s="16" t="inlineStr">
        <is>
          <t>**町との協議。協議会の回数が決まらないとP6・P8・P9・P10の日程が引けない**</t>
        </is>
      </c>
    </row>
    <row r="10">
      <c r="A10" s="16" t="inlineStr">
        <is>
          <t>P2 統計分析</t>
        </is>
      </c>
      <c r="B10" s="17" t="inlineStr">
        <is>
          <t>2-1</t>
        </is>
      </c>
      <c r="C10" s="16" t="inlineStr">
        <is>
          <t>人口・世帯の分析</t>
        </is>
      </c>
      <c r="D10" s="16" t="inlineStr">
        <is>
          <t>総人口、高齢化率、前期・後期高齢者、世帯。令和32年まで推計</t>
        </is>
      </c>
      <c r="E10" s="16" t="inlineStr">
        <is>
          <t>B2 統計分析</t>
        </is>
      </c>
      <c r="F10" s="17" t="inlineStr">
        <is>
          <t>仕様書4(1)①ア</t>
        </is>
      </c>
      <c r="G10" s="16" t="inlineStr">
        <is>
          <t>【4(1)①ア】統計分析（ア）人口</t>
        </is>
      </c>
      <c r="H10" s="17" t="inlineStr">
        <is>
          <t>受託者</t>
        </is>
      </c>
      <c r="I10" s="17" t="inlineStr">
        <is>
          <t>2026-07</t>
        </is>
      </c>
      <c r="J10" s="17" t="inlineStr">
        <is>
          <t>2026-07</t>
        </is>
      </c>
      <c r="K10" s="18" t="inlineStr">
        <is>
          <t>完了</t>
        </is>
      </c>
      <c r="L10" s="19" t="n">
        <v>100</v>
      </c>
      <c r="M10" s="20" t="n">
        <v>3</v>
      </c>
      <c r="N10" s="16" t="inlineStr">
        <is>
          <t>基礎数値整理ブック（A系13ファイル）</t>
        </is>
      </c>
      <c r="O10" s="16" t="inlineStr">
        <is>
          <t>―</t>
        </is>
      </c>
    </row>
    <row r="11">
      <c r="A11" s="16" t="inlineStr">
        <is>
          <t>P2 統計分析</t>
        </is>
      </c>
      <c r="B11" s="17" t="inlineStr">
        <is>
          <t>2-2</t>
        </is>
      </c>
      <c r="C11" s="16" t="inlineStr">
        <is>
          <t>第1号被保険者の分析</t>
        </is>
      </c>
      <c r="D11" s="16" t="inlineStr">
        <is>
          <t>被保険者数の推移と推計</t>
        </is>
      </c>
      <c r="E11" s="16" t="inlineStr">
        <is>
          <t>B2 統計分析</t>
        </is>
      </c>
      <c r="F11" s="17" t="inlineStr">
        <is>
          <t>仕様書4(1)①ア</t>
        </is>
      </c>
      <c r="G11" s="16" t="inlineStr">
        <is>
          <t>【4(1)①ア】統計分析（ア）人口</t>
        </is>
      </c>
      <c r="H11" s="17" t="inlineStr">
        <is>
          <t>受託者</t>
        </is>
      </c>
      <c r="I11" s="17" t="inlineStr">
        <is>
          <t>2026-07</t>
        </is>
      </c>
      <c r="J11" s="17" t="inlineStr">
        <is>
          <t>2026-07</t>
        </is>
      </c>
      <c r="K11" s="18" t="inlineStr">
        <is>
          <t>完了</t>
        </is>
      </c>
      <c r="L11" s="19" t="n">
        <v>100</v>
      </c>
      <c r="M11" s="20" t="n">
        <v>1</v>
      </c>
      <c r="N11" s="16" t="inlineStr">
        <is>
          <t>B系4ファイル</t>
        </is>
      </c>
      <c r="O11" s="16" t="inlineStr">
        <is>
          <t>―</t>
        </is>
      </c>
    </row>
    <row r="12">
      <c r="A12" s="16" t="inlineStr">
        <is>
          <t>P2 統計分析</t>
        </is>
      </c>
      <c r="B12" s="17" t="inlineStr">
        <is>
          <t>2-3</t>
        </is>
      </c>
      <c r="C12" s="16" t="inlineStr">
        <is>
          <t>認定者数・認定率の分析</t>
        </is>
      </c>
      <c r="D12" s="16" t="inlineStr">
        <is>
          <t>平成19年3月末〜令和8年3月末の20期。要介護度別7区分・年齢階層別・被保険者区分別</t>
        </is>
      </c>
      <c r="E12" s="16" t="inlineStr">
        <is>
          <t>B2 統計分析</t>
        </is>
      </c>
      <c r="F12" s="17" t="inlineStr">
        <is>
          <t>仕様書4(1)①イ</t>
        </is>
      </c>
      <c r="G12" s="16" t="inlineStr">
        <is>
          <t>【4(1)①イ】統計分析（イ）要支援者数、要介護認定者数、認知症高齢者数</t>
        </is>
      </c>
      <c r="H12" s="17" t="inlineStr">
        <is>
          <t>受託者</t>
        </is>
      </c>
      <c r="I12" s="17" t="inlineStr">
        <is>
          <t>2026-08</t>
        </is>
      </c>
      <c r="J12" s="17" t="inlineStr">
        <is>
          <t>2026-08</t>
        </is>
      </c>
      <c r="K12" s="18" t="inlineStr">
        <is>
          <t>完了</t>
        </is>
      </c>
      <c r="L12" s="19" t="n">
        <v>100</v>
      </c>
      <c r="M12" s="20" t="n">
        <v>4</v>
      </c>
      <c r="N12" s="16" t="inlineStr">
        <is>
          <t>要支援要介護認定者数の整理（07_見える化整理・10シート）。第1号＋第2号＝全体を20期で検算済み</t>
        </is>
      </c>
      <c r="O12" s="16" t="inlineStr">
        <is>
          <t>―</t>
        </is>
      </c>
    </row>
    <row r="13">
      <c r="A13" s="16" t="inlineStr">
        <is>
          <t>P2 統計分析</t>
        </is>
      </c>
      <c r="B13" s="17" t="inlineStr">
        <is>
          <t>2-4</t>
        </is>
      </c>
      <c r="C13" s="16" t="inlineStr">
        <is>
          <t>認定者数の異常値の検証</t>
        </is>
      </c>
      <c r="D13" s="16" t="inlineStr">
        <is>
          <t>令和8年3月末の▲152人（▲16.1％）の要因分析。県内59市町村との比較</t>
        </is>
      </c>
      <c r="E13" s="16" t="inlineStr">
        <is>
          <t>B2 統計分析</t>
        </is>
      </c>
      <c r="F13" s="17" t="inlineStr">
        <is>
          <t>仕様書4(1)①イ</t>
        </is>
      </c>
      <c r="G13" s="16" t="inlineStr">
        <is>
          <t>【4(1)①イ】統計分析（イ）要支援者数、要介護認定者数、認知症高齢者数</t>
        </is>
      </c>
      <c r="H13" s="17" t="inlineStr">
        <is>
          <t>受託者・町</t>
        </is>
      </c>
      <c r="I13" s="17" t="inlineStr">
        <is>
          <t>2026-08</t>
        </is>
      </c>
      <c r="J13" s="17" t="inlineStr">
        <is>
          <t>2026-10</t>
        </is>
      </c>
      <c r="K13" s="20" t="inlineStr">
        <is>
          <t>進行中</t>
        </is>
      </c>
      <c r="L13" s="19" t="n">
        <v>85</v>
      </c>
      <c r="M13" s="20" t="n">
        <v>5</v>
      </c>
      <c r="N13" s="16" t="inlineStr">
        <is>
          <t>**792人は介護保険事業状況報告（年報）様式1の5で裏付けられた（第1号783＋第2号9）。**国保連月報28か月で、減少が令和7年9月審査分の1か月に集中していること（961→862人）と、同じ月に給付件数が減っていないこと（1,303→1,365件）を確認。減少は要介護2以上に集中し、要支援1は増えている。死亡171人は平年並み</t>
        </is>
      </c>
      <c r="O13" s="16" t="inlineStr">
        <is>
          <t>**「令和7年8〜9月に計上方法の変更がなかったか」に論点が絞られた。町外施設入所者の帰属、住所地特例、国保連の集計定義のいずれか**</t>
        </is>
      </c>
    </row>
    <row r="14">
      <c r="A14" s="16" t="inlineStr">
        <is>
          <t>P2 統計分析</t>
        </is>
      </c>
      <c r="B14" s="17" t="inlineStr">
        <is>
          <t>2-5</t>
        </is>
      </c>
      <c r="C14" s="16" t="inlineStr">
        <is>
          <t>サービス受給者数の分析</t>
        </is>
      </c>
      <c r="D14" s="16" t="inlineStr">
        <is>
          <t>居宅・施設・地域密着型の受給者数</t>
        </is>
      </c>
      <c r="E14" s="16" t="inlineStr">
        <is>
          <t>B2 統計分析</t>
        </is>
      </c>
      <c r="F14" s="17" t="inlineStr">
        <is>
          <t>仕様書4(1)①ウ</t>
        </is>
      </c>
      <c r="G14" s="16" t="inlineStr">
        <is>
          <t>【4(1)①ウ】統計分析（ウ）居宅サービス・施設サービス・地域密着型サービスの受給者数</t>
        </is>
      </c>
      <c r="H14" s="17" t="inlineStr">
        <is>
          <t>受託者</t>
        </is>
      </c>
      <c r="I14" s="17" t="inlineStr">
        <is>
          <t>2026-07</t>
        </is>
      </c>
      <c r="J14" s="17" t="inlineStr">
        <is>
          <t>2026-08</t>
        </is>
      </c>
      <c r="K14" s="18" t="inlineStr">
        <is>
          <t>完了</t>
        </is>
      </c>
      <c r="L14" s="19" t="n">
        <v>100</v>
      </c>
      <c r="M14" s="20" t="n">
        <v>2</v>
      </c>
      <c r="N14" s="16" t="inlineStr">
        <is>
          <t>地域分析ブック（D1〜D4、D32系）</t>
        </is>
      </c>
      <c r="O14" s="16" t="inlineStr">
        <is>
          <t>―</t>
        </is>
      </c>
    </row>
    <row r="15">
      <c r="A15" s="16" t="inlineStr">
        <is>
          <t>P2 統計分析</t>
        </is>
      </c>
      <c r="B15" s="17" t="inlineStr">
        <is>
          <t>2-6</t>
        </is>
      </c>
      <c r="C15" s="16" t="inlineStr">
        <is>
          <t>介護予防事業対象者数の分析</t>
        </is>
      </c>
      <c r="D15" s="16" t="inlineStr">
        <is>
          <t>総合事業対象者、通いの場参加者</t>
        </is>
      </c>
      <c r="E15" s="16" t="inlineStr">
        <is>
          <t>B2 統計分析</t>
        </is>
      </c>
      <c r="F15" s="17" t="inlineStr">
        <is>
          <t>仕様書4(1)①エ</t>
        </is>
      </c>
      <c r="G15" s="16" t="inlineStr">
        <is>
          <t>【4(1)①エ】統計分析（エ）介護予防事業対象者数</t>
        </is>
      </c>
      <c r="H15" s="17" t="inlineStr">
        <is>
          <t>受託者</t>
        </is>
      </c>
      <c r="I15" s="17" t="inlineStr">
        <is>
          <t>2026-08</t>
        </is>
      </c>
      <c r="J15" s="17" t="inlineStr">
        <is>
          <t>2026-09</t>
        </is>
      </c>
      <c r="K15" s="22" t="inlineStr">
        <is>
          <t>データ待ち</t>
        </is>
      </c>
      <c r="L15" s="19" t="n">
        <v>30</v>
      </c>
      <c r="M15" s="20" t="n">
        <v>3</v>
      </c>
      <c r="N15" s="16" t="inlineStr">
        <is>
          <t>**見える化は通いの場がR2まで、総合事業はR1・R2のみで値もほぼ空。**F7〜F14は本町の値が未登録</t>
        </is>
      </c>
      <c r="O15" s="16" t="inlineStr">
        <is>
          <t>**町の事業実績（依頼票H3）。見える化の0か所と調査の5.5％が整合しない**</t>
        </is>
      </c>
    </row>
    <row r="16">
      <c r="A16" s="16" t="inlineStr">
        <is>
          <t>P2 統計分析</t>
        </is>
      </c>
      <c r="B16" s="17" t="inlineStr">
        <is>
          <t>2-7</t>
        </is>
      </c>
      <c r="C16" s="16" t="inlineStr">
        <is>
          <t>認知症高齢者の分析</t>
        </is>
      </c>
      <c r="D16" s="16" t="inlineStr">
        <is>
          <t>認知症高齢者の日常生活自立度、認知症施策の実施状況</t>
        </is>
      </c>
      <c r="E16" s="16" t="inlineStr">
        <is>
          <t>B2 統計分析</t>
        </is>
      </c>
      <c r="F16" s="17" t="inlineStr">
        <is>
          <t>仕様書4(1)①イ・2(3)</t>
        </is>
      </c>
      <c r="G16" s="16" t="inlineStr">
        <is>
          <t>【4(1)①イ】統計分析（イ）要支援者数、要介護認定者数、認知症高齢者数
【2(3)】国の「認知症施策推進基本計画」に基づく市町村計画も包含する計画とする。</t>
        </is>
      </c>
      <c r="H16" s="17" t="inlineStr">
        <is>
          <t>受託者</t>
        </is>
      </c>
      <c r="I16" s="17" t="inlineStr">
        <is>
          <t>2026-08</t>
        </is>
      </c>
      <c r="J16" s="17" t="inlineStr">
        <is>
          <t>2026-08</t>
        </is>
      </c>
      <c r="K16" s="20" t="inlineStr">
        <is>
          <t>進行中</t>
        </is>
      </c>
      <c r="L16" s="19" t="n">
        <v>60</v>
      </c>
      <c r="M16" s="20" t="n">
        <v>2</v>
      </c>
      <c r="N16" s="16" t="inlineStr">
        <is>
          <t>J16〜J18を取得。自立度Ⅱa 68→148人、M 7→29人</t>
        </is>
      </c>
      <c r="O16" s="16" t="inlineStr">
        <is>
          <t>研修系（J1〜J15）は本町の値が未公表。町の実績で代替する（依頼票H9）</t>
        </is>
      </c>
    </row>
    <row r="17">
      <c r="A17" s="16" t="inlineStr">
        <is>
          <t>P2 統計分析</t>
        </is>
      </c>
      <c r="B17" s="17" t="inlineStr">
        <is>
          <t>2-8</t>
        </is>
      </c>
      <c r="C17" s="16" t="inlineStr">
        <is>
          <t>サービス自給率の分析</t>
        </is>
      </c>
      <c r="D17" s="16" t="inlineStr">
        <is>
          <t>県内59市町村との比較。自給率67.57％</t>
        </is>
      </c>
      <c r="E17" s="16" t="inlineStr">
        <is>
          <t>B2 統計分析</t>
        </is>
      </c>
      <c r="F17" s="17" t="inlineStr">
        <is>
          <t>仕様書4(1)①オ</t>
        </is>
      </c>
      <c r="G17" s="16" t="inlineStr">
        <is>
          <t>【4(1)①オ】統計分析（オ）その他計画策定に必要な推計</t>
        </is>
      </c>
      <c r="H17" s="17" t="inlineStr">
        <is>
          <t>受託者</t>
        </is>
      </c>
      <c r="I17" s="17" t="inlineStr">
        <is>
          <t>2026-08</t>
        </is>
      </c>
      <c r="J17" s="17" t="inlineStr">
        <is>
          <t>2026-08</t>
        </is>
      </c>
      <c r="K17" s="18" t="inlineStr">
        <is>
          <t>完了</t>
        </is>
      </c>
      <c r="L17" s="19" t="n">
        <v>100</v>
      </c>
      <c r="M17" s="20" t="n">
        <v>2</v>
      </c>
      <c r="N17" s="16" t="inlineStr">
        <is>
          <t>δ2・δ3系12指標</t>
        </is>
      </c>
      <c r="O17" s="16" t="inlineStr">
        <is>
          <t>―</t>
        </is>
      </c>
    </row>
    <row r="18">
      <c r="A18" s="16" t="inlineStr">
        <is>
          <t>P2 統計分析</t>
        </is>
      </c>
      <c r="B18" s="17" t="inlineStr">
        <is>
          <t>2-9</t>
        </is>
      </c>
      <c r="C18" s="16" t="inlineStr">
        <is>
          <t>介護保険財政の分析</t>
        </is>
      </c>
      <c r="D18" s="16" t="inlineStr">
        <is>
          <t>歳入歳出、基金、繰越金</t>
        </is>
      </c>
      <c r="E18" s="16" t="inlineStr">
        <is>
          <t>B5 事業量推計・保険料算出・介護財政</t>
        </is>
      </c>
      <c r="F18" s="17" t="inlineStr">
        <is>
          <t>仕様書4(2)</t>
        </is>
      </c>
      <c r="G18"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18" s="17" t="inlineStr">
        <is>
          <t>受託者</t>
        </is>
      </c>
      <c r="I18" s="17" t="inlineStr">
        <is>
          <t>2026-08</t>
        </is>
      </c>
      <c r="J18" s="17" t="inlineStr">
        <is>
          <t>2026-10</t>
        </is>
      </c>
      <c r="K18" s="20" t="inlineStr">
        <is>
          <t>進行中</t>
        </is>
      </c>
      <c r="L18" s="19" t="n">
        <v>80</v>
      </c>
      <c r="M18" s="20" t="n">
        <v>3</v>
      </c>
      <c r="N18" s="16" t="inlineStr">
        <is>
          <t>**年報 様式4により令和6年度まで確定。歳入歳出差引残額144.2百万円、介護給付費準備基金の保有額12.0百万円。**保険料収納率は令和7年度99.35％（様式3）</t>
        </is>
      </c>
      <c r="O18" s="16" t="inlineStr">
        <is>
          <t>**令和7年度の様式4が全て0で未入力。また基金保有額が令和4年度末120百万円から令和5年度末12百万円へ1桁減っており、取崩実績か入力誤りかの確認が要る**</t>
        </is>
      </c>
    </row>
    <row r="19">
      <c r="A19" s="16" t="inlineStr">
        <is>
          <t>P2 統計分析</t>
        </is>
      </c>
      <c r="B19" s="17" t="inlineStr">
        <is>
          <t>2-10</t>
        </is>
      </c>
      <c r="C19" s="16" t="inlineStr">
        <is>
          <t>見える化 優先度C分野の出力</t>
        </is>
      </c>
      <c r="D19" s="16" t="inlineStr">
        <is>
          <t>在宅医療・介護連携、医療提供体制、リハビリ提供体制、保険者機能強化推進交付金の評価指標</t>
        </is>
      </c>
      <c r="E19" s="16" t="inlineStr">
        <is>
          <t>B2 統計分析</t>
        </is>
      </c>
      <c r="F19" s="17" t="inlineStr">
        <is>
          <t>仕様書4(1)①オ</t>
        </is>
      </c>
      <c r="G19" s="16" t="inlineStr">
        <is>
          <t>【4(1)①オ】統計分析（オ）その他計画策定に必要な推計</t>
        </is>
      </c>
      <c r="H19" s="17" t="inlineStr">
        <is>
          <t>受託者</t>
        </is>
      </c>
      <c r="I19" s="17" t="inlineStr">
        <is>
          <t>2026-09</t>
        </is>
      </c>
      <c r="J19" s="17" t="inlineStr">
        <is>
          <t>2026-09</t>
        </is>
      </c>
      <c r="K19" s="23" t="inlineStr">
        <is>
          <t>未着手</t>
        </is>
      </c>
      <c r="L19" s="19" t="n">
        <v>0</v>
      </c>
      <c r="M19" s="20" t="n">
        <v>2</v>
      </c>
      <c r="N19" s="16" t="inlineStr">
        <is>
          <t>―</t>
        </is>
      </c>
      <c r="O19" s="16" t="inlineStr">
        <is>
          <t>見える化システムへのアクセス</t>
        </is>
      </c>
    </row>
    <row r="20">
      <c r="A20" s="16" t="inlineStr">
        <is>
          <t>P3 給付費等の分析</t>
        </is>
      </c>
      <c r="B20" s="17" t="inlineStr">
        <is>
          <t>3-1</t>
        </is>
      </c>
      <c r="C20" s="16" t="inlineStr">
        <is>
          <t>給付費等分析結果報告書の作成</t>
        </is>
      </c>
      <c r="D20" s="16" t="inlineStr">
        <is>
          <t>サービス費目ごとの給付費・地域支援事業の分析、制度改正の影響</t>
        </is>
      </c>
      <c r="E20" s="16" t="inlineStr">
        <is>
          <t>B3 介護保険給付費等の分析</t>
        </is>
      </c>
      <c r="F20" s="17" t="inlineStr">
        <is>
          <t>仕様書4(1)②・成果品①</t>
        </is>
      </c>
      <c r="G20" s="16"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
【成果品①】（1）介護保険給付費等分析結果報告書　※データ（CD-R）1部、冊子（簡易製本）3部</t>
        </is>
      </c>
      <c r="H20" s="17" t="inlineStr">
        <is>
          <t>受託者</t>
        </is>
      </c>
      <c r="I20" s="17" t="inlineStr">
        <is>
          <t>2026-07</t>
        </is>
      </c>
      <c r="J20" s="17" t="inlineStr">
        <is>
          <t>2026-11</t>
        </is>
      </c>
      <c r="K20" s="20" t="inlineStr">
        <is>
          <t>進行中</t>
        </is>
      </c>
      <c r="L20" s="19" t="n">
        <v>70</v>
      </c>
      <c r="M20" s="20" t="n">
        <v>5</v>
      </c>
      <c r="N20" s="16" t="inlineStr">
        <is>
          <t>**第5版（8章・44表・約29,500字）。**第9期計画との対比、施策体系との対応、認定者数20期系列と年齢階層別分解、令和7年度調査による検証まで整理</t>
        </is>
      </c>
      <c r="O20" s="16" t="inlineStr">
        <is>
          <t>町の給付実績（依頼票S1・S2）で数値を確定する</t>
        </is>
      </c>
    </row>
    <row r="21">
      <c r="A21" s="16" t="inlineStr">
        <is>
          <t>P3 給付費等の分析</t>
        </is>
      </c>
      <c r="B21" s="17" t="inlineStr">
        <is>
          <t>3-2</t>
        </is>
      </c>
      <c r="C21" s="16" t="inlineStr">
        <is>
          <t>町の給付実績との突合</t>
        </is>
      </c>
      <c r="D21" s="16" t="inlineStr">
        <is>
          <t>見える化システムの値と町の給付実績の突合</t>
        </is>
      </c>
      <c r="E21" s="16" t="inlineStr">
        <is>
          <t>B3 介護保険給付費等の分析</t>
        </is>
      </c>
      <c r="F21" s="17" t="inlineStr">
        <is>
          <t>仕様書4(1)②</t>
        </is>
      </c>
      <c r="G21" s="16"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21" s="17" t="inlineStr">
        <is>
          <t>受託者</t>
        </is>
      </c>
      <c r="I21" s="17" t="inlineStr">
        <is>
          <t>2026-09</t>
        </is>
      </c>
      <c r="J21" s="17" t="inlineStr">
        <is>
          <t>2026-10</t>
        </is>
      </c>
      <c r="K21" s="20" t="inlineStr">
        <is>
          <t>進行中</t>
        </is>
      </c>
      <c r="L21" s="19" t="n">
        <v>50</v>
      </c>
      <c r="M21" s="20" t="n">
        <v>3</v>
      </c>
      <c r="N21" s="16" t="inlineStr">
        <is>
          <t>**年報 様式2によりサービス別給付費（件数・単位数・費用額・給付費）の令和3〜7年度5年分を取得。様式1の6により受給者数も取得。**令和7年度の給付費総計は1,005,144,062円</t>
        </is>
      </c>
      <c r="O21" s="16" t="inlineStr">
        <is>
          <t>見える化システムの値との突合作業</t>
        </is>
      </c>
    </row>
    <row r="22">
      <c r="A22" s="16" t="inlineStr">
        <is>
          <t>P3 給付費等の分析</t>
        </is>
      </c>
      <c r="B22" s="17" t="inlineStr">
        <is>
          <t>3-3</t>
        </is>
      </c>
      <c r="C22" s="16" t="inlineStr">
        <is>
          <t>成果品①の製本・納品</t>
        </is>
      </c>
      <c r="D22" s="16" t="inlineStr">
        <is>
          <t>データCD-R1部＋冊子（簡易製本）3部</t>
        </is>
      </c>
      <c r="E22" s="16" t="inlineStr">
        <is>
          <t>B9 成果品の納品</t>
        </is>
      </c>
      <c r="F22" s="17" t="inlineStr">
        <is>
          <t>仕様書4 成果品①</t>
        </is>
      </c>
      <c r="G22" s="16" t="inlineStr">
        <is>
          <t>【成果品①】（1）介護保険給付費等分析結果報告書　※データ（CD-R）1部、冊子（簡易製本）3部</t>
        </is>
      </c>
      <c r="H22" s="17" t="inlineStr">
        <is>
          <t>受託者</t>
        </is>
      </c>
      <c r="I22" s="17" t="inlineStr">
        <is>
          <t>2027-03</t>
        </is>
      </c>
      <c r="J22" s="17" t="inlineStr">
        <is>
          <t>2027-03</t>
        </is>
      </c>
      <c r="K22" s="23" t="inlineStr">
        <is>
          <t>未着手</t>
        </is>
      </c>
      <c r="L22" s="19" t="n">
        <v>0</v>
      </c>
      <c r="M22" s="20" t="n">
        <v>1</v>
      </c>
      <c r="N22" s="16" t="inlineStr">
        <is>
          <t>―</t>
        </is>
      </c>
      <c r="O22" s="16" t="inlineStr">
        <is>
          <t>報告書の確定</t>
        </is>
      </c>
    </row>
    <row r="23">
      <c r="A23" s="16" t="inlineStr">
        <is>
          <t>P4 調査結果の反映</t>
        </is>
      </c>
      <c r="B23" s="17" t="inlineStr">
        <is>
          <t>4-1</t>
        </is>
      </c>
      <c r="C23" s="16" t="inlineStr">
        <is>
          <t>調査結果報告書の確認</t>
        </is>
      </c>
      <c r="D23" s="16" t="inlineStr">
        <is>
          <t>令和8年3月・104頁の報告書の内容確認と妥当性の検証</t>
        </is>
      </c>
      <c r="E23" s="16" t="inlineStr">
        <is>
          <t>B4 令和7年度調査結果の反映</t>
        </is>
      </c>
      <c r="F23" s="17" t="inlineStr">
        <is>
          <t>仕様書4(1)③</t>
        </is>
      </c>
      <c r="G23" s="16" t="inlineStr">
        <is>
          <t>【4(1)③】介護予防・日常生活圏域ニーズ調査、在宅介護実態調査結果の反映。令和7年度に実施した調査結果を反映させる。</t>
        </is>
      </c>
      <c r="H23" s="17" t="inlineStr">
        <is>
          <t>受託者</t>
        </is>
      </c>
      <c r="I23" s="17" t="inlineStr">
        <is>
          <t>2026-08</t>
        </is>
      </c>
      <c r="J23" s="17" t="inlineStr">
        <is>
          <t>2026-08</t>
        </is>
      </c>
      <c r="K23" s="18" t="inlineStr">
        <is>
          <t>完了</t>
        </is>
      </c>
      <c r="L23" s="19" t="n">
        <v>100</v>
      </c>
      <c r="M23" s="20" t="n">
        <v>3</v>
      </c>
      <c r="N23" s="16" t="inlineStr">
        <is>
          <t>単純集計とリスク分析（年齢階層別・男女別・認定状況別）を取得。報告書内の不整合3件を指摘</t>
        </is>
      </c>
      <c r="O23" s="16" t="inlineStr">
        <is>
          <t>―</t>
        </is>
      </c>
    </row>
    <row r="24">
      <c r="A24" s="16" t="inlineStr">
        <is>
          <t>P4 調査結果の反映</t>
        </is>
      </c>
      <c r="B24" s="17" t="inlineStr">
        <is>
          <t>4-2</t>
        </is>
      </c>
      <c r="C24" s="16" t="inlineStr">
        <is>
          <t>集計データの整理</t>
        </is>
      </c>
      <c r="D24" s="16" t="inlineStr">
        <is>
          <t>リスク10項目×9区分の保持</t>
        </is>
      </c>
      <c r="E24" s="16" t="inlineStr">
        <is>
          <t>B4 令和7年度調査結果の反映</t>
        </is>
      </c>
      <c r="F24" s="17" t="inlineStr">
        <is>
          <t>仕様書4(1)③</t>
        </is>
      </c>
      <c r="G24" s="16" t="inlineStr">
        <is>
          <t>【4(1)③】介護予防・日常生活圏域ニーズ調査、在宅介護実態調査結果の反映。令和7年度に実施した調査結果を反映させる。</t>
        </is>
      </c>
      <c r="H24" s="17" t="inlineStr">
        <is>
          <t>受託者</t>
        </is>
      </c>
      <c r="I24" s="17" t="inlineStr">
        <is>
          <t>2026-08</t>
        </is>
      </c>
      <c r="J24" s="17" t="inlineStr">
        <is>
          <t>2026-08</t>
        </is>
      </c>
      <c r="K24" s="18" t="inlineStr">
        <is>
          <t>完了</t>
        </is>
      </c>
      <c r="L24" s="19" t="n">
        <v>100</v>
      </c>
      <c r="M24" s="20" t="n">
        <v>2</v>
      </c>
      <c r="N24" s="16" t="inlineStr">
        <is>
          <t>集計データ整理ブック（14_アンケート集計・9シート）</t>
        </is>
      </c>
      <c r="O24" s="16" t="inlineStr">
        <is>
          <t>―</t>
        </is>
      </c>
    </row>
    <row r="25">
      <c r="A25" s="16" t="inlineStr">
        <is>
          <t>P4 調査結果の反映</t>
        </is>
      </c>
      <c r="B25" s="17" t="inlineStr">
        <is>
          <t>4-3</t>
        </is>
      </c>
      <c r="C25" s="16" t="inlineStr">
        <is>
          <t>集計結果・分析報告書の作成</t>
        </is>
      </c>
      <c r="D25" s="16" t="inlineStr">
        <is>
          <t>単純集計、リスク分析、前回対比、8つの分析、第9期課題への到達状況、第10期への示唆</t>
        </is>
      </c>
      <c r="E25" s="16" t="inlineStr">
        <is>
          <t>B4 令和7年度調査結果の反映</t>
        </is>
      </c>
      <c r="F25" s="17" t="inlineStr">
        <is>
          <t>仕様書4(1)③</t>
        </is>
      </c>
      <c r="G25" s="16" t="inlineStr">
        <is>
          <t>【4(1)③】介護予防・日常生活圏域ニーズ調査、在宅介護実態調査結果の反映。令和7年度に実施した調査結果を反映させる。</t>
        </is>
      </c>
      <c r="H25" s="17" t="inlineStr">
        <is>
          <t>受託者</t>
        </is>
      </c>
      <c r="I25" s="17" t="inlineStr">
        <is>
          <t>2026-08</t>
        </is>
      </c>
      <c r="J25" s="17" t="inlineStr">
        <is>
          <t>2026-08</t>
        </is>
      </c>
      <c r="K25" s="18" t="inlineStr">
        <is>
          <t>完了</t>
        </is>
      </c>
      <c r="L25" s="19" t="n">
        <v>100</v>
      </c>
      <c r="M25" s="20" t="n">
        <v>4</v>
      </c>
      <c r="N25" s="16" t="inlineStr">
        <is>
          <t>**7章・72表・約27,800字（14_アンケート集計）**</t>
        </is>
      </c>
      <c r="O25" s="16" t="inlineStr">
        <is>
          <t>―</t>
        </is>
      </c>
    </row>
    <row r="26">
      <c r="A26" s="16" t="inlineStr">
        <is>
          <t>P4 調査結果の反映</t>
        </is>
      </c>
      <c r="B26" s="17" t="inlineStr">
        <is>
          <t>4-4</t>
        </is>
      </c>
      <c r="C26" s="16" t="inlineStr">
        <is>
          <t>クロス集計の設計</t>
        </is>
      </c>
      <c r="D26" s="16" t="inlineStr">
        <is>
          <t>前回計画の課題に基づくクロス集計25件の設計</t>
        </is>
      </c>
      <c r="E26" s="16" t="inlineStr">
        <is>
          <t>B4 令和7年度調査結果の反映</t>
        </is>
      </c>
      <c r="F26" s="17" t="inlineStr">
        <is>
          <t>仕様書4(1)③</t>
        </is>
      </c>
      <c r="G26" s="16" t="inlineStr">
        <is>
          <t>【4(1)③】介護予防・日常生活圏域ニーズ調査、在宅介護実態調査結果の反映。令和7年度に実施した調査結果を反映させる。</t>
        </is>
      </c>
      <c r="H26" s="17" t="inlineStr">
        <is>
          <t>受託者</t>
        </is>
      </c>
      <c r="I26" s="17" t="inlineStr">
        <is>
          <t>2026-08</t>
        </is>
      </c>
      <c r="J26" s="17" t="inlineStr">
        <is>
          <t>2026-08</t>
        </is>
      </c>
      <c r="K26" s="18" t="inlineStr">
        <is>
          <t>完了</t>
        </is>
      </c>
      <c r="L26" s="19" t="n">
        <v>100</v>
      </c>
      <c r="M26" s="20" t="n">
        <v>2</v>
      </c>
      <c r="N26" s="16" t="inlineStr">
        <is>
          <t>クロス集計設計書（8シート・25件）。4件掲載済、17件が個票を要し、4件は設問なし</t>
        </is>
      </c>
      <c r="O26" s="16" t="inlineStr">
        <is>
          <t>―</t>
        </is>
      </c>
    </row>
    <row r="27">
      <c r="A27" s="16" t="inlineStr">
        <is>
          <t>P4 調査結果の反映</t>
        </is>
      </c>
      <c r="B27" s="17" t="inlineStr">
        <is>
          <t>4-5</t>
        </is>
      </c>
      <c r="C27" s="16" t="inlineStr">
        <is>
          <t>個票によるクロス集計</t>
        </is>
      </c>
      <c r="D27" s="16" t="inlineStr">
        <is>
          <t>要介護度別・世帯構成別のクロス集計17件</t>
        </is>
      </c>
      <c r="E27" s="16" t="inlineStr">
        <is>
          <t>B4 令和7年度調査結果の反映</t>
        </is>
      </c>
      <c r="F27" s="17" t="inlineStr">
        <is>
          <t>仕様書4(1)③</t>
        </is>
      </c>
      <c r="G27" s="16" t="inlineStr">
        <is>
          <t>【4(1)③】介護予防・日常生活圏域ニーズ調査、在宅介護実態調査結果の反映。令和7年度に実施した調査結果を反映させる。</t>
        </is>
      </c>
      <c r="H27" s="17" t="inlineStr">
        <is>
          <t>受託者</t>
        </is>
      </c>
      <c r="I27" s="17" t="inlineStr">
        <is>
          <t>2026-09</t>
        </is>
      </c>
      <c r="J27" s="17" t="inlineStr">
        <is>
          <t>2026-10</t>
        </is>
      </c>
      <c r="K27" s="22" t="inlineStr">
        <is>
          <t>データ待ち</t>
        </is>
      </c>
      <c r="L27" s="19" t="n">
        <v>0</v>
      </c>
      <c r="M27" s="20" t="n">
        <v>3</v>
      </c>
      <c r="N27" s="16" t="inlineStr">
        <is>
          <t>―</t>
        </is>
      </c>
      <c r="O27" s="16" t="inlineStr">
        <is>
          <t>**令和7年度調査の個票データ（依頼票H16）。地区情報の有無も要確認**</t>
        </is>
      </c>
    </row>
    <row r="28">
      <c r="A28" s="16" t="inlineStr">
        <is>
          <t>P4 調査結果の反映</t>
        </is>
      </c>
      <c r="B28" s="17" t="inlineStr">
        <is>
          <t>4-6</t>
        </is>
      </c>
      <c r="C28" s="16" t="inlineStr">
        <is>
          <t>レッドチームレビュー</t>
        </is>
      </c>
      <c r="D28" s="16" t="inlineStr">
        <is>
          <t>集計・分析の反証検証</t>
        </is>
      </c>
      <c r="E28" s="16" t="inlineStr">
        <is>
          <t>B4 令和7年度調査結果の反映</t>
        </is>
      </c>
      <c r="F28" s="17" t="inlineStr">
        <is>
          <t>仕様書4(1)③</t>
        </is>
      </c>
      <c r="G28" s="16" t="inlineStr">
        <is>
          <t>【4(1)③】介護予防・日常生活圏域ニーズ調査、在宅介護実態調査結果の反映。令和7年度に実施した調査結果を反映させる。</t>
        </is>
      </c>
      <c r="H28" s="17" t="inlineStr">
        <is>
          <t>受託者</t>
        </is>
      </c>
      <c r="I28" s="17" t="inlineStr">
        <is>
          <t>2026-08</t>
        </is>
      </c>
      <c r="J28" s="17" t="inlineStr">
        <is>
          <t>2026-08</t>
        </is>
      </c>
      <c r="K28" s="18" t="inlineStr">
        <is>
          <t>完了</t>
        </is>
      </c>
      <c r="L28" s="19" t="n">
        <v>100</v>
      </c>
      <c r="M28" s="20" t="n">
        <v>1</v>
      </c>
      <c r="N28" s="16" t="inlineStr">
        <is>
          <t>REDTEAM 2本（14_アンケート集計）。数値の取り違え1件を自己検出し修正</t>
        </is>
      </c>
      <c r="O28" s="16" t="inlineStr">
        <is>
          <t>―</t>
        </is>
      </c>
    </row>
    <row r="29">
      <c r="A29" s="16" t="inlineStr">
        <is>
          <t>P5 第9期の評価</t>
        </is>
      </c>
      <c r="B29" s="17" t="inlineStr">
        <is>
          <t>5-1</t>
        </is>
      </c>
      <c r="C29" s="16" t="inlineStr">
        <is>
          <t>協議会資料（第9期評価・調査結果）の作成</t>
        </is>
      </c>
      <c r="D29" s="16" t="inlineStr">
        <is>
          <t>第9期が第5章2(2)で自ら定める4点検項目に沿って評価</t>
        </is>
      </c>
      <c r="E29" s="16" t="inlineStr">
        <is>
          <t>B3 介護保険給付費等の分析</t>
        </is>
      </c>
      <c r="F29" s="17" t="inlineStr">
        <is>
          <t>仕様書4(1)②・4(5)</t>
        </is>
      </c>
      <c r="G29" s="16"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
【4(5)】高齢者福祉サービス推進協議会、パブリックコメントの支援。小野町高齢者福祉サービス推進協議会の開催及びパブリックコメントの実施について、資料の作成と運営・実施の支援を行うものとする。</t>
        </is>
      </c>
      <c r="H29" s="17" t="inlineStr">
        <is>
          <t>受託者</t>
        </is>
      </c>
      <c r="I29" s="17" t="inlineStr">
        <is>
          <t>2026-08</t>
        </is>
      </c>
      <c r="J29" s="17" t="inlineStr">
        <is>
          <t>2026-08</t>
        </is>
      </c>
      <c r="K29" s="18" t="inlineStr">
        <is>
          <t>完了</t>
        </is>
      </c>
      <c r="L29" s="19" t="n">
        <v>100</v>
      </c>
      <c r="M29" s="20" t="n">
        <v>4</v>
      </c>
      <c r="N29" s="16" t="inlineStr">
        <is>
          <t>**協議会資料（08_協議会資料・42表・約23,500字）**</t>
        </is>
      </c>
      <c r="O29" s="16" t="inlineStr">
        <is>
          <t>―</t>
        </is>
      </c>
    </row>
    <row r="30">
      <c r="A30" s="16" t="inlineStr">
        <is>
          <t>P5 第9期の評価</t>
        </is>
      </c>
      <c r="B30" s="17" t="inlineStr">
        <is>
          <t>5-2</t>
        </is>
      </c>
      <c r="C30" s="16" t="inlineStr">
        <is>
          <t>成果目標の達成状況の確定</t>
        </is>
      </c>
      <c r="D30" s="16" t="inlineStr">
        <is>
          <t>第9期の見込みと実績の対比</t>
        </is>
      </c>
      <c r="E30" s="16" t="inlineStr">
        <is>
          <t>B3 介護保険給付費等の分析</t>
        </is>
      </c>
      <c r="F30" s="17" t="inlineStr">
        <is>
          <t>仕様書4(1)②</t>
        </is>
      </c>
      <c r="G30" s="16"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30" s="17" t="inlineStr">
        <is>
          <t>受託者</t>
        </is>
      </c>
      <c r="I30" s="17" t="inlineStr">
        <is>
          <t>2026-09</t>
        </is>
      </c>
      <c r="J30" s="17" t="inlineStr">
        <is>
          <t>2026-10</t>
        </is>
      </c>
      <c r="K30" s="20" t="inlineStr">
        <is>
          <t>進行中</t>
        </is>
      </c>
      <c r="L30" s="19" t="n">
        <v>70</v>
      </c>
      <c r="M30" s="20" t="n">
        <v>3</v>
      </c>
      <c r="N30" s="16" t="inlineStr">
        <is>
          <t>**給付費・受給者数・認定者数の実績が年報で確定したため、第9期が見込んだ標準給付費3,566,486千円との対比が可能になった。**枠は作成済み（成果品①第7章7、骨子案 参考1）</t>
        </is>
      </c>
      <c r="O30" s="16" t="inlineStr">
        <is>
          <t>介護予防・地域支援事業の実績（依頼票H3）と成果指標の現状値（H1〜H15）</t>
        </is>
      </c>
    </row>
    <row r="31">
      <c r="A31" s="16" t="inlineStr">
        <is>
          <t>P5 第9期の評価</t>
        </is>
      </c>
      <c r="B31" s="17" t="inlineStr">
        <is>
          <t>5-3</t>
        </is>
      </c>
      <c r="C31" s="16" t="inlineStr">
        <is>
          <t>施設整備方針との不整合の確認</t>
        </is>
      </c>
      <c r="D31" s="16" t="inlineStr">
        <is>
          <t>第9期は新規整備を行わない方針だが、認知症対応型共同生活介護の定員が27人（38.0％）増</t>
        </is>
      </c>
      <c r="E31" s="16" t="inlineStr">
        <is>
          <t>B3 介護保険給付費等の分析</t>
        </is>
      </c>
      <c r="F31" s="17" t="inlineStr">
        <is>
          <t>仕様書4(1)②</t>
        </is>
      </c>
      <c r="G31" s="16" t="inlineStr">
        <is>
          <t>【4(1)②】介護保険給付費等の分析。介護サービス費目ごとの介護給付費や地域支援事業の利用状況等を分析し、現在の状況や傾向の把握、また、制度改正に伴う影響等を分析し、今後の見通しや具体的施策を検討する。</t>
        </is>
      </c>
      <c r="H31" s="17" t="inlineStr">
        <is>
          <t>受託者・町</t>
        </is>
      </c>
      <c r="I31" s="17" t="inlineStr">
        <is>
          <t>2026-09</t>
        </is>
      </c>
      <c r="J31" s="17" t="inlineStr">
        <is>
          <t>2026-09</t>
        </is>
      </c>
      <c r="K31" s="23" t="inlineStr">
        <is>
          <t>未着手</t>
        </is>
      </c>
      <c r="L31" s="19" t="n">
        <v>0</v>
      </c>
      <c r="M31" s="20" t="n">
        <v>1</v>
      </c>
      <c r="N31" s="16" t="inlineStr">
        <is>
          <t>―</t>
        </is>
      </c>
      <c r="O31" s="16" t="inlineStr">
        <is>
          <t>整備の経緯の確認（依頼票H15）</t>
        </is>
      </c>
    </row>
    <row r="32">
      <c r="A32" s="16" t="inlineStr">
        <is>
          <t>P6 骨子案</t>
        </is>
      </c>
      <c r="B32" s="17" t="inlineStr">
        <is>
          <t>6-1</t>
        </is>
      </c>
      <c r="C32" s="16" t="inlineStr">
        <is>
          <t>骨子案の作成</t>
        </is>
      </c>
      <c r="D32" s="16" t="inlineStr">
        <is>
          <t>基本課題・施策方向・重点課題・施策体系</t>
        </is>
      </c>
      <c r="E32" s="16" t="inlineStr">
        <is>
          <t>B6 骨子案・素案の作成</t>
        </is>
      </c>
      <c r="F32" s="17" t="inlineStr">
        <is>
          <t>仕様書4(3)・成果品③</t>
        </is>
      </c>
      <c r="G32"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【成果品③】（3）小野町高齢者保健福祉計画・第10期介護保険事業計画骨子案　※データ（CD-R）1部、冊子（簡易製本）3部</t>
        </is>
      </c>
      <c r="H32" s="17" t="inlineStr">
        <is>
          <t>受託者</t>
        </is>
      </c>
      <c r="I32" s="17" t="inlineStr">
        <is>
          <t>2026-07</t>
        </is>
      </c>
      <c r="J32" s="17" t="inlineStr">
        <is>
          <t>2026-11</t>
        </is>
      </c>
      <c r="K32" s="20" t="inlineStr">
        <is>
          <t>進行中</t>
        </is>
      </c>
      <c r="L32" s="19" t="n">
        <v>80</v>
      </c>
      <c r="M32" s="20" t="n">
        <v>4</v>
      </c>
      <c r="N32" s="16" t="inlineStr">
        <is>
          <t>**第3版（13表・9,241字）。**第9期の5章構成・3基本目標・14施策を反映し、地域福祉計画との重複を精査。第9期の見込みと実績の対比も収載</t>
        </is>
      </c>
      <c r="O32" s="16" t="inlineStr">
        <is>
          <t>実績データによる数値の確定</t>
        </is>
      </c>
    </row>
    <row r="33">
      <c r="A33" s="16" t="inlineStr">
        <is>
          <t>P6 骨子案</t>
        </is>
      </c>
      <c r="B33" s="17" t="inlineStr">
        <is>
          <t>6-2</t>
        </is>
      </c>
      <c r="C33" s="16" t="inlineStr">
        <is>
          <t>骨子案の協議（協議会）</t>
        </is>
      </c>
      <c r="D33" s="16" t="inlineStr">
        <is>
          <t>基本理念・基本目標・施策体系の合意</t>
        </is>
      </c>
      <c r="E33" s="16" t="inlineStr">
        <is>
          <t>B6 骨子案・素案の作成</t>
        </is>
      </c>
      <c r="F33" s="17" t="inlineStr">
        <is>
          <t>仕様書4(3)・4(5)</t>
        </is>
      </c>
      <c r="G33"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4(5)】高齢者福祉サービス推進協議会、パブリックコメントの支援。小野町高齢者福祉サービス推進協議会の開催及びパブリックコメントの実施について、資料の作成と運営・実施の支援を行うものとする。</t>
        </is>
      </c>
      <c r="H33" s="17" t="inlineStr">
        <is>
          <t>受託者・町</t>
        </is>
      </c>
      <c r="I33" s="17" t="inlineStr">
        <is>
          <t>2026-11</t>
        </is>
      </c>
      <c r="J33" s="17" t="inlineStr">
        <is>
          <t>2026-11</t>
        </is>
      </c>
      <c r="K33" s="23" t="inlineStr">
        <is>
          <t>未着手</t>
        </is>
      </c>
      <c r="L33" s="19" t="n">
        <v>0</v>
      </c>
      <c r="M33" s="20" t="n">
        <v>2</v>
      </c>
      <c r="N33" s="16" t="inlineStr">
        <is>
          <t>―</t>
        </is>
      </c>
      <c r="O33" s="16" t="inlineStr">
        <is>
          <t>**協議会の開催回数・時期が未定（依頼票C4）**</t>
        </is>
      </c>
    </row>
    <row r="34">
      <c r="A34" s="16" t="inlineStr">
        <is>
          <t>P6 骨子案</t>
        </is>
      </c>
      <c r="B34" s="17" t="inlineStr">
        <is>
          <t>6-3</t>
        </is>
      </c>
      <c r="C34" s="16" t="inlineStr">
        <is>
          <t>成果品③の製本・納品</t>
        </is>
      </c>
      <c r="D34" s="16" t="inlineStr">
        <is>
          <t>データCD-R1部＋冊子（簡易製本）3部</t>
        </is>
      </c>
      <c r="E34" s="16" t="inlineStr">
        <is>
          <t>B9 成果品の納品</t>
        </is>
      </c>
      <c r="F34" s="17" t="inlineStr">
        <is>
          <t>仕様書4 成果品③</t>
        </is>
      </c>
      <c r="G34" s="16" t="inlineStr">
        <is>
          <t>【成果品③】（3）小野町高齢者保健福祉計画・第10期介護保険事業計画骨子案　※データ（CD-R）1部、冊子（簡易製本）3部</t>
        </is>
      </c>
      <c r="H34" s="17" t="inlineStr">
        <is>
          <t>受託者</t>
        </is>
      </c>
      <c r="I34" s="17" t="inlineStr">
        <is>
          <t>2027-03</t>
        </is>
      </c>
      <c r="J34" s="17" t="inlineStr">
        <is>
          <t>2027-03</t>
        </is>
      </c>
      <c r="K34" s="23" t="inlineStr">
        <is>
          <t>未着手</t>
        </is>
      </c>
      <c r="L34" s="19" t="n">
        <v>0</v>
      </c>
      <c r="M34" s="20" t="n">
        <v>1</v>
      </c>
      <c r="N34" s="16" t="inlineStr">
        <is>
          <t>―</t>
        </is>
      </c>
      <c r="O34" s="16" t="inlineStr">
        <is>
          <t>骨子案の確定</t>
        </is>
      </c>
    </row>
    <row r="35">
      <c r="A35" s="16" t="inlineStr">
        <is>
          <t>P7 推計・算定</t>
        </is>
      </c>
      <c r="B35" s="17" t="inlineStr">
        <is>
          <t>7-1</t>
        </is>
      </c>
      <c r="C35" s="16" t="inlineStr">
        <is>
          <t>算定シートの構築</t>
        </is>
      </c>
      <c r="D35" s="16" t="inlineStr">
        <is>
          <t>サービス54区分の単価×量から給付費、標準給付費、保険料までを算式でつなぐ</t>
        </is>
      </c>
      <c r="E35" s="16" t="inlineStr">
        <is>
          <t>B5 事業量推計・保険料算出・介護財政</t>
        </is>
      </c>
      <c r="F35" s="17" t="inlineStr">
        <is>
          <t>仕様書4(2)</t>
        </is>
      </c>
      <c r="G35"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5" s="17" t="inlineStr">
        <is>
          <t>受託者</t>
        </is>
      </c>
      <c r="I35" s="17" t="inlineStr">
        <is>
          <t>2026-08</t>
        </is>
      </c>
      <c r="J35" s="17" t="inlineStr">
        <is>
          <t>2026-08</t>
        </is>
      </c>
      <c r="K35" s="18" t="inlineStr">
        <is>
          <t>完了</t>
        </is>
      </c>
      <c r="L35" s="19" t="n">
        <v>100</v>
      </c>
      <c r="M35" s="20" t="n">
        <v>4</v>
      </c>
      <c r="N35" s="16" t="inlineStr">
        <is>
          <t>**見込量保険料算定シート（04_算定・見込量・11シート）。**第9期の実数で検算済み（月額6,442円 対 実際6,600円。差2.4％は仮置き値による）</t>
        </is>
      </c>
      <c r="O35" s="16" t="inlineStr">
        <is>
          <t>―</t>
        </is>
      </c>
    </row>
    <row r="36">
      <c r="A36" s="16" t="inlineStr">
        <is>
          <t>P7 推計・算定</t>
        </is>
      </c>
      <c r="B36" s="17" t="inlineStr">
        <is>
          <t>7-2</t>
        </is>
      </c>
      <c r="C36" s="16" t="inlineStr">
        <is>
          <t>保険料算定のケース設定の確定</t>
        </is>
      </c>
      <c r="D36" s="16" t="inlineStr">
        <is>
          <t>標準（低位・高位）、施設整備あり、制度改正の影響、基金活用、保険料据置の逆算</t>
        </is>
      </c>
      <c r="E36" s="16" t="inlineStr">
        <is>
          <t>B5 事業量推計・保険料算出・介護財政</t>
        </is>
      </c>
      <c r="F36" s="17" t="inlineStr">
        <is>
          <t>仕様書4(2)</t>
        </is>
      </c>
      <c r="G36"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6" s="17" t="inlineStr">
        <is>
          <t>受託者</t>
        </is>
      </c>
      <c r="I36" s="17" t="inlineStr">
        <is>
          <t>2026-08</t>
        </is>
      </c>
      <c r="J36" s="17" t="inlineStr">
        <is>
          <t>2026-08</t>
        </is>
      </c>
      <c r="K36" s="18" t="inlineStr">
        <is>
          <t>完了</t>
        </is>
      </c>
      <c r="L36" s="19" t="n">
        <v>100</v>
      </c>
      <c r="M36" s="20" t="n">
        <v>2</v>
      </c>
      <c r="N36" s="16" t="inlineStr">
        <is>
          <t>**C1〜C6。引継ぎ時点の3ケースは基金の扱いのみで、仕様書が例示する施設整備・制度改正に対応していなかった**</t>
        </is>
      </c>
      <c r="O36" s="16" t="inlineStr">
        <is>
          <t>―</t>
        </is>
      </c>
    </row>
    <row r="37">
      <c r="A37" s="16" t="inlineStr">
        <is>
          <t>P7 推計・算定</t>
        </is>
      </c>
      <c r="B37" s="17" t="inlineStr">
        <is>
          <t>7-3</t>
        </is>
      </c>
      <c r="C37" s="16" t="inlineStr">
        <is>
          <t>被保険者数・認定者数の推計</t>
        </is>
      </c>
      <c r="D37" s="16" t="inlineStr">
        <is>
          <t>人口推計に年齢階層別の認定率を乗じる自然体推計</t>
        </is>
      </c>
      <c r="E37" s="16" t="inlineStr">
        <is>
          <t>B5 事業量推計・保険料算出・介護財政</t>
        </is>
      </c>
      <c r="F37" s="17" t="inlineStr">
        <is>
          <t>仕様書4(2)</t>
        </is>
      </c>
      <c r="G37"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7" s="17" t="inlineStr">
        <is>
          <t>受託者</t>
        </is>
      </c>
      <c r="I37" s="17" t="inlineStr">
        <is>
          <t>2026-09</t>
        </is>
      </c>
      <c r="J37" s="17" t="inlineStr">
        <is>
          <t>2026-10</t>
        </is>
      </c>
      <c r="K37" s="20" t="inlineStr">
        <is>
          <t>進行中</t>
        </is>
      </c>
      <c r="L37" s="19" t="n">
        <v>40</v>
      </c>
      <c r="M37" s="20" t="n">
        <v>4</v>
      </c>
      <c r="N37" s="16" t="inlineStr">
        <is>
          <t>**算定シートに実績を投入済み。**第10期将来推計用推計人口（令和9〜11年）と、令和7年度の年齢階層別認定率（65〜74歳3.92％／75〜84歳18.72％／85歳以上71.63％）を入力した。85歳以上の認定率は令和6年度82.8％から11.2ポイント下がっている</t>
        </is>
      </c>
      <c r="O37" s="16" t="inlineStr">
        <is>
          <t>**認定率をどの水準で置くか（令和7年度実績か、計上変更前の令和6年度水準か）。2-4の確認結果しだいで前提が変わる**</t>
        </is>
      </c>
    </row>
    <row r="38">
      <c r="A38" s="16" t="inlineStr">
        <is>
          <t>P7 推計・算定</t>
        </is>
      </c>
      <c r="B38" s="17" t="inlineStr">
        <is>
          <t>7-4</t>
        </is>
      </c>
      <c r="C38" s="16" t="inlineStr">
        <is>
          <t>サービス見込量の推計</t>
        </is>
      </c>
      <c r="D38" s="16" t="inlineStr">
        <is>
          <t>サービス種類別の利用者数・量・給付費</t>
        </is>
      </c>
      <c r="E38" s="16" t="inlineStr">
        <is>
          <t>B5 事業量推計・保険料算出・介護財政</t>
        </is>
      </c>
      <c r="F38" s="17" t="inlineStr">
        <is>
          <t>仕様書4(2)</t>
        </is>
      </c>
      <c r="G38"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8" s="17" t="inlineStr">
        <is>
          <t>受託者</t>
        </is>
      </c>
      <c r="I38" s="17" t="inlineStr">
        <is>
          <t>2026-09</t>
        </is>
      </c>
      <c r="J38" s="17" t="inlineStr">
        <is>
          <t>2026-11</t>
        </is>
      </c>
      <c r="K38" s="20" t="inlineStr">
        <is>
          <t>進行中</t>
        </is>
      </c>
      <c r="L38" s="19" t="n">
        <v>20</v>
      </c>
      <c r="M38" s="20" t="n">
        <v>5</v>
      </c>
      <c r="N38" s="16" t="inlineStr">
        <is>
          <t>算式は実装済み（05・06_見込量）。**年報 様式2で令和3〜7年度のサービス別給付費・件数・単位数が揃ったため、単価の算出が可能になった**</t>
        </is>
      </c>
      <c r="O38" s="16" t="inlineStr">
        <is>
          <t>**認定者数ベースではなく受給者数ベースで組むこと。令和7年度は認定者▲16.1％に対し給付費▲7.4％で、認定者ベースでは過小推計になる**</t>
        </is>
      </c>
    </row>
    <row r="39">
      <c r="A39" s="16" t="inlineStr">
        <is>
          <t>P7 推計・算定</t>
        </is>
      </c>
      <c r="B39" s="17" t="inlineStr">
        <is>
          <t>7-5</t>
        </is>
      </c>
      <c r="C39" s="16" t="inlineStr">
        <is>
          <t>見える化システムへの入力作業</t>
        </is>
      </c>
      <c r="D39" s="16" t="inlineStr">
        <is>
          <t>出力の分析だけでなく、システムへの入力が業務に含まれる</t>
        </is>
      </c>
      <c r="E39" s="16" t="inlineStr">
        <is>
          <t>B5 事業量推計・保険料算出・介護財政</t>
        </is>
      </c>
      <c r="F39" s="17" t="inlineStr">
        <is>
          <t>仕様書4(2)</t>
        </is>
      </c>
      <c r="G39"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39" s="17" t="inlineStr">
        <is>
          <t>受託者</t>
        </is>
      </c>
      <c r="I39" s="17" t="inlineStr">
        <is>
          <t>2026-10</t>
        </is>
      </c>
      <c r="J39" s="17" t="inlineStr">
        <is>
          <t>2026-10</t>
        </is>
      </c>
      <c r="K39" s="23" t="inlineStr">
        <is>
          <t>未着手</t>
        </is>
      </c>
      <c r="L39" s="19" t="n">
        <v>0</v>
      </c>
      <c r="M39" s="20" t="n">
        <v>3</v>
      </c>
      <c r="N39" s="16" t="inlineStr">
        <is>
          <t>―</t>
        </is>
      </c>
      <c r="O39" s="16" t="inlineStr">
        <is>
          <t>**アカウント・権限・作業範囲・時期の確認（依頼票C5）**</t>
        </is>
      </c>
    </row>
    <row r="40">
      <c r="A40" s="16" t="inlineStr">
        <is>
          <t>P7 推計・算定</t>
        </is>
      </c>
      <c r="B40" s="17" t="inlineStr">
        <is>
          <t>7-6</t>
        </is>
      </c>
      <c r="C40" s="16" t="inlineStr">
        <is>
          <t>保険料のケース別算定</t>
        </is>
      </c>
      <c r="D40" s="16" t="inlineStr">
        <is>
          <t>ケースC1〜C6ごとの保険料基準額の算定</t>
        </is>
      </c>
      <c r="E40" s="16" t="inlineStr">
        <is>
          <t>B5 事業量推計・保険料算出・介護財政</t>
        </is>
      </c>
      <c r="F40" s="17" t="inlineStr">
        <is>
          <t>仕様書4(2)</t>
        </is>
      </c>
      <c r="G40" s="16" t="inlineStr">
        <is>
          <t>【4(2)】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H40" s="17" t="inlineStr">
        <is>
          <t>受託者</t>
        </is>
      </c>
      <c r="I40" s="17" t="inlineStr">
        <is>
          <t>2026-10</t>
        </is>
      </c>
      <c r="J40" s="17" t="inlineStr">
        <is>
          <t>2026-11</t>
        </is>
      </c>
      <c r="K40" s="20" t="inlineStr">
        <is>
          <t>進行中</t>
        </is>
      </c>
      <c r="L40" s="19" t="n">
        <v>30</v>
      </c>
      <c r="M40" s="20" t="n">
        <v>4</v>
      </c>
      <c r="N40" s="16" t="inlineStr">
        <is>
          <t>**所得段階別被保険者数（13段階）、小野町が定める保険料率（第1〜3段階は0.285／0.486／0.685で国の標準より低い）、収納率99.35％、基金保有額12,000千円を投入済み。**</t>
        </is>
      </c>
      <c r="O40" s="16" t="inlineStr">
        <is>
          <t>**見込量の確定。あわせて、第9期が見込んだ基金取崩35,000千円に対し基金保有額が12,000千円しかない点の確認が要る**</t>
        </is>
      </c>
    </row>
    <row r="41">
      <c r="A41" s="16" t="inlineStr">
        <is>
          <t>P7 推計・算定</t>
        </is>
      </c>
      <c r="B41" s="17" t="inlineStr">
        <is>
          <t>7-7</t>
        </is>
      </c>
      <c r="C41" s="16" t="inlineStr">
        <is>
          <t>サービス見込量推計結果報告書の作成</t>
        </is>
      </c>
      <c r="D41" s="16" t="inlineStr">
        <is>
          <t>成果品②の本体</t>
        </is>
      </c>
      <c r="E41" s="16" t="inlineStr">
        <is>
          <t>B9 成果品の納品</t>
        </is>
      </c>
      <c r="F41" s="17" t="inlineStr">
        <is>
          <t>仕様書4 成果品②</t>
        </is>
      </c>
      <c r="G41" s="16" t="inlineStr">
        <is>
          <t>【成果品②】（2）サービス見込量推計結果報告書　※データ（CD-R）1部、冊子（簡易製本）3部</t>
        </is>
      </c>
      <c r="H41" s="17" t="inlineStr">
        <is>
          <t>受託者</t>
        </is>
      </c>
      <c r="I41" s="17" t="inlineStr">
        <is>
          <t>2026-11</t>
        </is>
      </c>
      <c r="J41" s="17" t="inlineStr">
        <is>
          <t>2026-12</t>
        </is>
      </c>
      <c r="K41" s="23" t="inlineStr">
        <is>
          <t>未着手</t>
        </is>
      </c>
      <c r="L41" s="19" t="n">
        <v>0</v>
      </c>
      <c r="M41" s="20" t="n">
        <v>4</v>
      </c>
      <c r="N41" s="16" t="inlineStr">
        <is>
          <t>算定シートが素材。章立ては未作成</t>
        </is>
      </c>
      <c r="O41" s="16" t="inlineStr">
        <is>
          <t>見込量・保険料の算定</t>
        </is>
      </c>
    </row>
    <row r="42">
      <c r="A42" s="16" t="inlineStr">
        <is>
          <t>P7 推計・算定</t>
        </is>
      </c>
      <c r="B42" s="17" t="inlineStr">
        <is>
          <t>7-8</t>
        </is>
      </c>
      <c r="C42" s="16" t="inlineStr">
        <is>
          <t>成果品②の製本・納品</t>
        </is>
      </c>
      <c r="D42" s="16" t="inlineStr">
        <is>
          <t>データCD-R1部＋冊子（簡易製本）3部</t>
        </is>
      </c>
      <c r="E42" s="16" t="inlineStr">
        <is>
          <t>B9 成果品の納品</t>
        </is>
      </c>
      <c r="F42" s="17" t="inlineStr">
        <is>
          <t>仕様書4 成果品②</t>
        </is>
      </c>
      <c r="G42" s="16" t="inlineStr">
        <is>
          <t>【成果品②】（2）サービス見込量推計結果報告書　※データ（CD-R）1部、冊子（簡易製本）3部</t>
        </is>
      </c>
      <c r="H42" s="17" t="inlineStr">
        <is>
          <t>受託者</t>
        </is>
      </c>
      <c r="I42" s="17" t="inlineStr">
        <is>
          <t>2027-03</t>
        </is>
      </c>
      <c r="J42" s="17" t="inlineStr">
        <is>
          <t>2027-03</t>
        </is>
      </c>
      <c r="K42" s="23" t="inlineStr">
        <is>
          <t>未着手</t>
        </is>
      </c>
      <c r="L42" s="19" t="n">
        <v>0</v>
      </c>
      <c r="M42" s="20" t="n">
        <v>1</v>
      </c>
      <c r="N42" s="16" t="inlineStr">
        <is>
          <t>―</t>
        </is>
      </c>
      <c r="O42" s="16" t="inlineStr">
        <is>
          <t>報告書の確定</t>
        </is>
      </c>
    </row>
    <row r="43">
      <c r="A43" s="16" t="inlineStr">
        <is>
          <t>P8 素案</t>
        </is>
      </c>
      <c r="B43" s="17" t="inlineStr">
        <is>
          <t>8-1</t>
        </is>
      </c>
      <c r="C43" s="16" t="inlineStr">
        <is>
          <t>素案の作成</t>
        </is>
      </c>
      <c r="D43" s="16" t="inlineStr">
        <is>
          <t>骨子案を踏まえた計画素案。12施策の本文</t>
        </is>
      </c>
      <c r="E43" s="16" t="inlineStr">
        <is>
          <t>B6 骨子案・素案の作成</t>
        </is>
      </c>
      <c r="F43" s="17" t="inlineStr">
        <is>
          <t>仕様書4(3)・成果品④</t>
        </is>
      </c>
      <c r="G43"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【成果品④】（4）小野町高齢者保健福祉計画・第10期介護保険事業計画素案　※データ（CD-R）1部、冊子（簡易製本）3部</t>
        </is>
      </c>
      <c r="H43" s="17" t="inlineStr">
        <is>
          <t>受託者</t>
        </is>
      </c>
      <c r="I43" s="17" t="inlineStr">
        <is>
          <t>2026-08</t>
        </is>
      </c>
      <c r="J43" s="17" t="inlineStr">
        <is>
          <t>2026-12</t>
        </is>
      </c>
      <c r="K43" s="20" t="inlineStr">
        <is>
          <t>進行中</t>
        </is>
      </c>
      <c r="L43" s="19" t="n">
        <v>65</v>
      </c>
      <c r="M43" s="20" t="n">
        <v>5</v>
      </c>
      <c r="N43" s="16" t="inlineStr">
        <is>
          <t>**第2版（5章＋資料編・67表・約32,000字）。**12施策すべてに現状と課題・施策の方向・主な事業・成果指標を記載。未確定156箇所を5区分で明示</t>
        </is>
      </c>
      <c r="O43" s="16" t="inlineStr">
        <is>
          <t>見込量・保険料（P7）、成果指標の現状値（依頼票H1〜H15）</t>
        </is>
      </c>
    </row>
    <row r="44">
      <c r="A44" s="16" t="inlineStr">
        <is>
          <t>P8 素案</t>
        </is>
      </c>
      <c r="B44" s="17" t="inlineStr">
        <is>
          <t>8-2</t>
        </is>
      </c>
      <c r="C44" s="16" t="inlineStr">
        <is>
          <t>成果指標の目標値案の作成</t>
        </is>
      </c>
      <c r="D44" s="16" t="inlineStr">
        <is>
          <t>40指標の目標値案と根拠の型</t>
        </is>
      </c>
      <c r="E44" s="16" t="inlineStr">
        <is>
          <t>B6 骨子案・素案の作成</t>
        </is>
      </c>
      <c r="F44" s="17" t="inlineStr">
        <is>
          <t>仕様書4(3)</t>
        </is>
      </c>
      <c r="G44"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44" s="17" t="inlineStr">
        <is>
          <t>受託者</t>
        </is>
      </c>
      <c r="I44" s="17" t="inlineStr">
        <is>
          <t>2026-08</t>
        </is>
      </c>
      <c r="J44" s="17" t="inlineStr">
        <is>
          <t>2026-08</t>
        </is>
      </c>
      <c r="K44" s="18" t="inlineStr">
        <is>
          <t>完了</t>
        </is>
      </c>
      <c r="L44" s="19" t="n">
        <v>100</v>
      </c>
      <c r="M44" s="20" t="n">
        <v>3</v>
      </c>
      <c r="N44" s="16" t="inlineStr">
        <is>
          <t>**成果指標目標値案（03_計画素案・40指標）。**現状値が未受領の20指標は算定規則として案を置いた</t>
        </is>
      </c>
      <c r="O44" s="16" t="inlineStr">
        <is>
          <t>―</t>
        </is>
      </c>
    </row>
    <row r="45">
      <c r="A45" s="16" t="inlineStr">
        <is>
          <t>P8 素案</t>
        </is>
      </c>
      <c r="B45" s="17" t="inlineStr">
        <is>
          <t>8-3</t>
        </is>
      </c>
      <c r="C45" s="16" t="inlineStr">
        <is>
          <t>認知症施策推進基本計画の包含方針</t>
        </is>
      </c>
      <c r="D45" s="16" t="inlineStr">
        <is>
          <t>基本的施策12項目との対応表、包含の形式</t>
        </is>
      </c>
      <c r="E45" s="16" t="inlineStr">
        <is>
          <t>B10 業務管理・計画の基本的な考え方</t>
        </is>
      </c>
      <c r="F45" s="17" t="inlineStr">
        <is>
          <t>仕様書2(3)</t>
        </is>
      </c>
      <c r="G45" s="16" t="inlineStr">
        <is>
          <t>【2(3)】国の「認知症施策推進基本計画」に基づく市町村計画も包含する計画とする。</t>
        </is>
      </c>
      <c r="H45" s="17" t="inlineStr">
        <is>
          <t>受託者</t>
        </is>
      </c>
      <c r="I45" s="17" t="inlineStr">
        <is>
          <t>2026-08</t>
        </is>
      </c>
      <c r="J45" s="17" t="inlineStr">
        <is>
          <t>2026-08</t>
        </is>
      </c>
      <c r="K45" s="18" t="inlineStr">
        <is>
          <t>完了</t>
        </is>
      </c>
      <c r="L45" s="19" t="n">
        <v>100</v>
      </c>
      <c r="M45" s="20" t="n">
        <v>2</v>
      </c>
      <c r="N45" s="16" t="inlineStr">
        <is>
          <t>計画策定業務設計書 第1章（02_キックオフ・業務計画）。分散＋対応表方式を提案</t>
        </is>
      </c>
      <c r="O45" s="16" t="inlineStr">
        <is>
          <t>町の意思決定（方式A／B）</t>
        </is>
      </c>
    </row>
    <row r="46">
      <c r="A46" s="16" t="inlineStr">
        <is>
          <t>P8 素案</t>
        </is>
      </c>
      <c r="B46" s="17" t="inlineStr">
        <is>
          <t>8-4</t>
        </is>
      </c>
      <c r="C46" s="16" t="inlineStr">
        <is>
          <t>見込量・保険料・成果指標の反映</t>
        </is>
      </c>
      <c r="D46" s="16" t="inlineStr">
        <is>
          <t>素案の未確定156箇所の解消</t>
        </is>
      </c>
      <c r="E46" s="16" t="inlineStr">
        <is>
          <t>B6 骨子案・素案の作成</t>
        </is>
      </c>
      <c r="F46" s="17" t="inlineStr">
        <is>
          <t>仕様書4(3)</t>
        </is>
      </c>
      <c r="G46"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H46" s="17" t="inlineStr">
        <is>
          <t>受託者</t>
        </is>
      </c>
      <c r="I46" s="17" t="inlineStr">
        <is>
          <t>2026-11</t>
        </is>
      </c>
      <c r="J46" s="17" t="inlineStr">
        <is>
          <t>2026-12</t>
        </is>
      </c>
      <c r="K46" s="23" t="inlineStr">
        <is>
          <t>未着手</t>
        </is>
      </c>
      <c r="L46" s="19" t="n">
        <v>0</v>
      </c>
      <c r="M46" s="20" t="n">
        <v>4</v>
      </c>
      <c r="N46" s="16" t="inlineStr">
        <is>
          <t>―</t>
        </is>
      </c>
      <c r="O46" s="16" t="inlineStr">
        <is>
          <t>**P7の完了、町データの受領**</t>
        </is>
      </c>
    </row>
    <row r="47">
      <c r="A47" s="16" t="inlineStr">
        <is>
          <t>P8 素案</t>
        </is>
      </c>
      <c r="B47" s="17" t="inlineStr">
        <is>
          <t>8-5</t>
        </is>
      </c>
      <c r="C47" s="16" t="inlineStr">
        <is>
          <t>素案の協議（協議会）</t>
        </is>
      </c>
      <c r="D47" s="16" t="inlineStr">
        <is>
          <t>素案の内容の合意</t>
        </is>
      </c>
      <c r="E47" s="16" t="inlineStr">
        <is>
          <t>B6 骨子案・素案の作成</t>
        </is>
      </c>
      <c r="F47" s="17" t="inlineStr">
        <is>
          <t>仕様書4(3)・4(5)</t>
        </is>
      </c>
      <c r="G47" s="16" t="inlineStr">
        <is>
          <t>【4(3)】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
【4(5)】高齢者福祉サービス推進協議会、パブリックコメントの支援。小野町高齢者福祉サービス推進協議会の開催及びパブリックコメントの実施について、資料の作成と運営・実施の支援を行うものとする。</t>
        </is>
      </c>
      <c r="H47" s="17" t="inlineStr">
        <is>
          <t>受託者・町</t>
        </is>
      </c>
      <c r="I47" s="17" t="inlineStr">
        <is>
          <t>2026-12</t>
        </is>
      </c>
      <c r="J47" s="17" t="inlineStr">
        <is>
          <t>2026-12</t>
        </is>
      </c>
      <c r="K47" s="23" t="inlineStr">
        <is>
          <t>未着手</t>
        </is>
      </c>
      <c r="L47" s="19" t="n">
        <v>0</v>
      </c>
      <c r="M47" s="20" t="n">
        <v>2</v>
      </c>
      <c r="N47" s="16" t="inlineStr">
        <is>
          <t>―</t>
        </is>
      </c>
      <c r="O47" s="16" t="inlineStr">
        <is>
          <t>協議会の開催時期</t>
        </is>
      </c>
    </row>
    <row r="48">
      <c r="A48" s="16" t="inlineStr">
        <is>
          <t>P8 素案</t>
        </is>
      </c>
      <c r="B48" s="17" t="inlineStr">
        <is>
          <t>8-6</t>
        </is>
      </c>
      <c r="C48" s="16" t="inlineStr">
        <is>
          <t>成果品④の製本・納品</t>
        </is>
      </c>
      <c r="D48" s="16" t="inlineStr">
        <is>
          <t>データCD-R1部＋冊子（簡易製本）3部</t>
        </is>
      </c>
      <c r="E48" s="16" t="inlineStr">
        <is>
          <t>B9 成果品の納品</t>
        </is>
      </c>
      <c r="F48" s="17" t="inlineStr">
        <is>
          <t>仕様書4 成果品④</t>
        </is>
      </c>
      <c r="G48" s="16" t="inlineStr">
        <is>
          <t>【成果品④】（4）小野町高齢者保健福祉計画・第10期介護保険事業計画素案　※データ（CD-R）1部、冊子（簡易製本）3部</t>
        </is>
      </c>
      <c r="H48" s="17" t="inlineStr">
        <is>
          <t>受託者</t>
        </is>
      </c>
      <c r="I48" s="17" t="inlineStr">
        <is>
          <t>2027-03</t>
        </is>
      </c>
      <c r="J48" s="17" t="inlineStr">
        <is>
          <t>2027-03</t>
        </is>
      </c>
      <c r="K48" s="23" t="inlineStr">
        <is>
          <t>未着手</t>
        </is>
      </c>
      <c r="L48" s="19" t="n">
        <v>0</v>
      </c>
      <c r="M48" s="20" t="n">
        <v>1</v>
      </c>
      <c r="N48" s="16" t="inlineStr">
        <is>
          <t>―</t>
        </is>
      </c>
      <c r="O48" s="16" t="inlineStr">
        <is>
          <t>素案の確定</t>
        </is>
      </c>
    </row>
    <row r="49">
      <c r="A49" s="16" t="inlineStr">
        <is>
          <t>P9 意見聴取</t>
        </is>
      </c>
      <c r="B49" s="17" t="inlineStr">
        <is>
          <t>9-1</t>
        </is>
      </c>
      <c r="C49" s="16" t="inlineStr">
        <is>
          <t>協議会の開催回数・時期の確定</t>
        </is>
      </c>
      <c r="D49" s="16" t="inlineStr">
        <is>
          <t>小野町高齢者福祉サービス推進協議会</t>
        </is>
      </c>
      <c r="E49" s="16" t="inlineStr">
        <is>
          <t>B8 協議会・パブリックコメントの支援</t>
        </is>
      </c>
      <c r="F49" s="17" t="inlineStr">
        <is>
          <t>仕様書4(5)</t>
        </is>
      </c>
      <c r="G49"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49" s="17" t="inlineStr">
        <is>
          <t>町</t>
        </is>
      </c>
      <c r="I49" s="17" t="inlineStr">
        <is>
          <t>2026-08</t>
        </is>
      </c>
      <c r="J49" s="17" t="inlineStr">
        <is>
          <t>2026-08</t>
        </is>
      </c>
      <c r="K49" s="21" t="inlineStr">
        <is>
          <t>要対応</t>
        </is>
      </c>
      <c r="L49" s="19" t="n">
        <v>0</v>
      </c>
      <c r="M49" s="20" t="n">
        <v>1</v>
      </c>
      <c r="N49" s="16" t="inlineStr">
        <is>
          <t>**仕様書に回数の指定がない。**受託者案は4回</t>
        </is>
      </c>
      <c r="O49" s="16" t="inlineStr">
        <is>
          <t>**町との協議（依頼票C4）。これが決まらないと工程が引けない**</t>
        </is>
      </c>
    </row>
    <row r="50">
      <c r="A50" s="16" t="inlineStr">
        <is>
          <t>P9 意見聴取</t>
        </is>
      </c>
      <c r="B50" s="17" t="inlineStr">
        <is>
          <t>9-2</t>
        </is>
      </c>
      <c r="C50" s="16" t="inlineStr">
        <is>
          <t>協議会 第1回（第9期の評価・調査結果）</t>
        </is>
      </c>
      <c r="D50" s="16" t="inlineStr">
        <is>
          <t>評価と調査結果の報告</t>
        </is>
      </c>
      <c r="E50" s="16" t="inlineStr">
        <is>
          <t>B8 協議会・パブリックコメントの支援</t>
        </is>
      </c>
      <c r="F50" s="17" t="inlineStr">
        <is>
          <t>仕様書4(5)</t>
        </is>
      </c>
      <c r="G50"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0" s="17" t="inlineStr">
        <is>
          <t>受託者・町</t>
        </is>
      </c>
      <c r="I50" s="17" t="inlineStr">
        <is>
          <t>2026-08</t>
        </is>
      </c>
      <c r="J50" s="17" t="inlineStr">
        <is>
          <t>2026-09</t>
        </is>
      </c>
      <c r="K50" s="21" t="inlineStr">
        <is>
          <t>要対応</t>
        </is>
      </c>
      <c r="L50" s="19" t="n">
        <v>50</v>
      </c>
      <c r="M50" s="20" t="n">
        <v>2</v>
      </c>
      <c r="N50" s="16" t="inlineStr">
        <is>
          <t>**資料は作成済み（08_協議会資料・42表）**</t>
        </is>
      </c>
      <c r="O50" s="16" t="inlineStr">
        <is>
          <t>**開催日が未定**</t>
        </is>
      </c>
    </row>
    <row r="51">
      <c r="A51" s="16" t="inlineStr">
        <is>
          <t>P9 意見聴取</t>
        </is>
      </c>
      <c r="B51" s="17" t="inlineStr">
        <is>
          <t>9-3</t>
        </is>
      </c>
      <c r="C51" s="16" t="inlineStr">
        <is>
          <t>協議会 第2回（骨子案・見込量・保険料・成果指標）</t>
        </is>
      </c>
      <c r="D51" s="16" t="inlineStr">
        <is>
          <t>計画の骨格の合意</t>
        </is>
      </c>
      <c r="E51" s="16" t="inlineStr">
        <is>
          <t>B8 協議会・パブリックコメントの支援</t>
        </is>
      </c>
      <c r="F51" s="17" t="inlineStr">
        <is>
          <t>仕様書4(5)</t>
        </is>
      </c>
      <c r="G51"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1" s="17" t="inlineStr">
        <is>
          <t>受託者・町</t>
        </is>
      </c>
      <c r="I51" s="17" t="inlineStr">
        <is>
          <t>2026-11</t>
        </is>
      </c>
      <c r="J51" s="17" t="inlineStr">
        <is>
          <t>2026-11</t>
        </is>
      </c>
      <c r="K51" s="23" t="inlineStr">
        <is>
          <t>未着手</t>
        </is>
      </c>
      <c r="L51" s="19" t="n">
        <v>0</v>
      </c>
      <c r="M51" s="20" t="n">
        <v>2</v>
      </c>
      <c r="N51" s="16" t="inlineStr">
        <is>
          <t>骨子案第3版・成果指標目標値案は作成済み</t>
        </is>
      </c>
      <c r="O51" s="16" t="inlineStr">
        <is>
          <t>P7の完了、開催日の確定</t>
        </is>
      </c>
    </row>
    <row r="52">
      <c r="A52" s="16" t="inlineStr">
        <is>
          <t>P9 意見聴取</t>
        </is>
      </c>
      <c r="B52" s="17" t="inlineStr">
        <is>
          <t>9-4</t>
        </is>
      </c>
      <c r="C52" s="16" t="inlineStr">
        <is>
          <t>協議会 第3回（素案）</t>
        </is>
      </c>
      <c r="D52" s="16" t="inlineStr">
        <is>
          <t>素案の合意</t>
        </is>
      </c>
      <c r="E52" s="16" t="inlineStr">
        <is>
          <t>B8 協議会・パブリックコメントの支援</t>
        </is>
      </c>
      <c r="F52" s="17" t="inlineStr">
        <is>
          <t>仕様書4(5)</t>
        </is>
      </c>
      <c r="G52"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2" s="17" t="inlineStr">
        <is>
          <t>受託者・町</t>
        </is>
      </c>
      <c r="I52" s="17" t="inlineStr">
        <is>
          <t>2026-12</t>
        </is>
      </c>
      <c r="J52" s="17" t="inlineStr">
        <is>
          <t>2026-12</t>
        </is>
      </c>
      <c r="K52" s="23" t="inlineStr">
        <is>
          <t>未着手</t>
        </is>
      </c>
      <c r="L52" s="19" t="n">
        <v>0</v>
      </c>
      <c r="M52" s="20" t="n">
        <v>2</v>
      </c>
      <c r="N52" s="16" t="inlineStr">
        <is>
          <t>―</t>
        </is>
      </c>
      <c r="O52" s="16" t="inlineStr">
        <is>
          <t>素案の確定</t>
        </is>
      </c>
    </row>
    <row r="53">
      <c r="A53" s="16" t="inlineStr">
        <is>
          <t>P9 意見聴取</t>
        </is>
      </c>
      <c r="B53" s="17" t="inlineStr">
        <is>
          <t>9-5</t>
        </is>
      </c>
      <c r="C53" s="16" t="inlineStr">
        <is>
          <t>パブリックコメントの様式作成</t>
        </is>
      </c>
      <c r="D53" s="16" t="inlineStr">
        <is>
          <t>実施要領、意見提出様式、意見と町の考え方の対応表</t>
        </is>
      </c>
      <c r="E53" s="16" t="inlineStr">
        <is>
          <t>B8 協議会・パブリックコメントの支援</t>
        </is>
      </c>
      <c r="F53" s="17" t="inlineStr">
        <is>
          <t>仕様書4(5)</t>
        </is>
      </c>
      <c r="G53"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3" s="17" t="inlineStr">
        <is>
          <t>受託者</t>
        </is>
      </c>
      <c r="I53" s="17" t="inlineStr">
        <is>
          <t>2026-08</t>
        </is>
      </c>
      <c r="J53" s="17" t="inlineStr">
        <is>
          <t>2026-08</t>
        </is>
      </c>
      <c r="K53" s="18" t="inlineStr">
        <is>
          <t>完了</t>
        </is>
      </c>
      <c r="L53" s="19" t="n">
        <v>100</v>
      </c>
      <c r="M53" s="20" t="n">
        <v>2</v>
      </c>
      <c r="N53" s="16" t="inlineStr">
        <is>
          <t>計画策定業務設計書 第4章（02_キックオフ・業務計画）</t>
        </is>
      </c>
      <c r="O53" s="16" t="inlineStr">
        <is>
          <t>―</t>
        </is>
      </c>
    </row>
    <row r="54">
      <c r="A54" s="16" t="inlineStr">
        <is>
          <t>P9 意見聴取</t>
        </is>
      </c>
      <c r="B54" s="17" t="inlineStr">
        <is>
          <t>9-6</t>
        </is>
      </c>
      <c r="C54" s="16" t="inlineStr">
        <is>
          <t>パブリックコメントの実施</t>
        </is>
      </c>
      <c r="D54" s="16" t="inlineStr">
        <is>
          <t>意見提出期間1か月</t>
        </is>
      </c>
      <c r="E54" s="16" t="inlineStr">
        <is>
          <t>B8 協議会・パブリックコメントの支援</t>
        </is>
      </c>
      <c r="F54" s="17" t="inlineStr">
        <is>
          <t>仕様書4(5)</t>
        </is>
      </c>
      <c r="G54"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4" s="17" t="inlineStr">
        <is>
          <t>町</t>
        </is>
      </c>
      <c r="I54" s="17" t="inlineStr">
        <is>
          <t>2027-01</t>
        </is>
      </c>
      <c r="J54" s="17" t="inlineStr">
        <is>
          <t>2027-01</t>
        </is>
      </c>
      <c r="K54" s="23" t="inlineStr">
        <is>
          <t>未着手</t>
        </is>
      </c>
      <c r="L54" s="19" t="n">
        <v>0</v>
      </c>
      <c r="M54" s="20" t="n">
        <v>2</v>
      </c>
      <c r="N54" s="16" t="inlineStr">
        <is>
          <t>―</t>
        </is>
      </c>
      <c r="O54" s="16" t="inlineStr">
        <is>
          <t>素案の確定、実施時期の確定（依頼票C6）</t>
        </is>
      </c>
    </row>
    <row r="55">
      <c r="A55" s="16" t="inlineStr">
        <is>
          <t>P9 意見聴取</t>
        </is>
      </c>
      <c r="B55" s="17" t="inlineStr">
        <is>
          <t>9-7</t>
        </is>
      </c>
      <c r="C55" s="16" t="inlineStr">
        <is>
          <t>意見への対応</t>
        </is>
      </c>
      <c r="D55" s="16" t="inlineStr">
        <is>
          <t>意見の整理、対応案の作成、計画への反映</t>
        </is>
      </c>
      <c r="E55" s="16" t="inlineStr">
        <is>
          <t>B8 協議会・パブリックコメントの支援</t>
        </is>
      </c>
      <c r="F55" s="17" t="inlineStr">
        <is>
          <t>仕様書4(5)</t>
        </is>
      </c>
      <c r="G55"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5" s="17" t="inlineStr">
        <is>
          <t>受託者</t>
        </is>
      </c>
      <c r="I55" s="17" t="inlineStr">
        <is>
          <t>2027-02</t>
        </is>
      </c>
      <c r="J55" s="17" t="inlineStr">
        <is>
          <t>2027-02</t>
        </is>
      </c>
      <c r="K55" s="23" t="inlineStr">
        <is>
          <t>未着手</t>
        </is>
      </c>
      <c r="L55" s="19" t="n">
        <v>0</v>
      </c>
      <c r="M55" s="20" t="n">
        <v>2</v>
      </c>
      <c r="N55" s="16" t="inlineStr">
        <is>
          <t>対応表の様式は作成済み</t>
        </is>
      </c>
      <c r="O55" s="16" t="inlineStr">
        <is>
          <t>パブコメの実施</t>
        </is>
      </c>
    </row>
    <row r="56">
      <c r="A56" s="16" t="inlineStr">
        <is>
          <t>P9 意見聴取</t>
        </is>
      </c>
      <c r="B56" s="17" t="inlineStr">
        <is>
          <t>9-8</t>
        </is>
      </c>
      <c r="C56" s="16" t="inlineStr">
        <is>
          <t>協議会 第4回（最終案）</t>
        </is>
      </c>
      <c r="D56" s="16" t="inlineStr">
        <is>
          <t>最終案の確認</t>
        </is>
      </c>
      <c r="E56" s="16" t="inlineStr">
        <is>
          <t>B8 協議会・パブリックコメントの支援</t>
        </is>
      </c>
      <c r="F56" s="17" t="inlineStr">
        <is>
          <t>仕様書4(5)</t>
        </is>
      </c>
      <c r="G56" s="16" t="inlineStr">
        <is>
          <t>【4(5)】高齢者福祉サービス推進協議会、パブリックコメントの支援。小野町高齢者福祉サービス推進協議会の開催及びパブリックコメントの実施について、資料の作成と運営・実施の支援を行うものとする。</t>
        </is>
      </c>
      <c r="H56" s="17" t="inlineStr">
        <is>
          <t>受託者・町</t>
        </is>
      </c>
      <c r="I56" s="17" t="inlineStr">
        <is>
          <t>2027-02</t>
        </is>
      </c>
      <c r="J56" s="17" t="inlineStr">
        <is>
          <t>2027-02</t>
        </is>
      </c>
      <c r="K56" s="23" t="inlineStr">
        <is>
          <t>未着手</t>
        </is>
      </c>
      <c r="L56" s="19" t="n">
        <v>0</v>
      </c>
      <c r="M56" s="20" t="n">
        <v>1</v>
      </c>
      <c r="N56" s="16" t="inlineStr">
        <is>
          <t>―</t>
        </is>
      </c>
      <c r="O56" s="16" t="inlineStr">
        <is>
          <t>意見への対応</t>
        </is>
      </c>
    </row>
    <row r="57">
      <c r="A57" s="16" t="inlineStr">
        <is>
          <t>P10 完成・納品</t>
        </is>
      </c>
      <c r="B57" s="17" t="inlineStr">
        <is>
          <t>10-1</t>
        </is>
      </c>
      <c r="C57" s="16" t="inlineStr">
        <is>
          <t>計画書の原稿確定</t>
        </is>
      </c>
      <c r="D57" s="16" t="inlineStr">
        <is>
          <t>パブリックコメント対応後の原稿</t>
        </is>
      </c>
      <c r="E57" s="16" t="inlineStr">
        <is>
          <t>B7 最終調整及び計画書の作成</t>
        </is>
      </c>
      <c r="F57" s="17" t="inlineStr">
        <is>
          <t>仕様書4(4)</t>
        </is>
      </c>
      <c r="G57" s="16" t="inlineStr">
        <is>
          <t>【4(4)】最終調整及び計画書の作成・取りまとめ。（1）から（3）の結果を踏まえ、小野町高齢者保健福祉計画・第10期介護保険事業計画書を作成するものとする。</t>
        </is>
      </c>
      <c r="H57" s="17" t="inlineStr">
        <is>
          <t>受託者</t>
        </is>
      </c>
      <c r="I57" s="17" t="inlineStr">
        <is>
          <t>2027-02</t>
        </is>
      </c>
      <c r="J57" s="17" t="inlineStr">
        <is>
          <t>2027-02</t>
        </is>
      </c>
      <c r="K57" s="23" t="inlineStr">
        <is>
          <t>未着手</t>
        </is>
      </c>
      <c r="L57" s="19" t="n">
        <v>0</v>
      </c>
      <c r="M57" s="20" t="n">
        <v>3</v>
      </c>
      <c r="N57" s="16" t="inlineStr">
        <is>
          <t>―</t>
        </is>
      </c>
      <c r="O57" s="16" t="inlineStr">
        <is>
          <t>意見への対応</t>
        </is>
      </c>
    </row>
    <row r="58">
      <c r="A58" s="16" t="inlineStr">
        <is>
          <t>P10 完成・納品</t>
        </is>
      </c>
      <c r="B58" s="17" t="inlineStr">
        <is>
          <t>10-2</t>
        </is>
      </c>
      <c r="C58" s="16" t="inlineStr">
        <is>
          <t>レイアウト・組版</t>
        </is>
      </c>
      <c r="D58" s="16" t="inlineStr">
        <is>
          <t>A4・4色刷り・80頁程度</t>
        </is>
      </c>
      <c r="E58" s="16" t="inlineStr">
        <is>
          <t>B9 成果品の納品</t>
        </is>
      </c>
      <c r="F58" s="17" t="inlineStr">
        <is>
          <t>仕様書4 成果品⑤</t>
        </is>
      </c>
      <c r="G58" s="16" t="inlineStr">
        <is>
          <t>【成果品⑤】（5）小野町高齢者保健福祉計画・第10期介護保険事業計画　※データ（CD-R）1部、計画書印刷50部＜仕様＞A4版、4色刷り、80頁程度</t>
        </is>
      </c>
      <c r="H58" s="17" t="inlineStr">
        <is>
          <t>受託者</t>
        </is>
      </c>
      <c r="I58" s="17" t="inlineStr">
        <is>
          <t>2027-02</t>
        </is>
      </c>
      <c r="J58" s="17" t="inlineStr">
        <is>
          <t>2027-02</t>
        </is>
      </c>
      <c r="K58" s="23" t="inlineStr">
        <is>
          <t>未着手</t>
        </is>
      </c>
      <c r="L58" s="19" t="n">
        <v>0</v>
      </c>
      <c r="M58" s="20" t="n">
        <v>3</v>
      </c>
      <c r="N58" s="16" t="inlineStr">
        <is>
          <t>―</t>
        </is>
      </c>
      <c r="O58" s="16" t="inlineStr">
        <is>
          <t>原稿の確定</t>
        </is>
      </c>
    </row>
    <row r="59">
      <c r="A59" s="16" t="inlineStr">
        <is>
          <t>P10 完成・納品</t>
        </is>
      </c>
      <c r="B59" s="17" t="inlineStr">
        <is>
          <t>10-3</t>
        </is>
      </c>
      <c r="C59" s="16" t="inlineStr">
        <is>
          <t>校正（初校・再校・校了）</t>
        </is>
      </c>
      <c r="D59" s="16" t="inlineStr">
        <is>
          <t>町の確認を経て校了</t>
        </is>
      </c>
      <c r="E59" s="16" t="inlineStr">
        <is>
          <t>B9 成果品の納品</t>
        </is>
      </c>
      <c r="F59" s="17" t="inlineStr">
        <is>
          <t>仕様書4 成果品⑤</t>
        </is>
      </c>
      <c r="G59" s="16" t="inlineStr">
        <is>
          <t>【成果品⑤】（5）小野町高齢者保健福祉計画・第10期介護保険事業計画　※データ（CD-R）1部、計画書印刷50部＜仕様＞A4版、4色刷り、80頁程度</t>
        </is>
      </c>
      <c r="H59" s="17" t="inlineStr">
        <is>
          <t>受託者・町</t>
        </is>
      </c>
      <c r="I59" s="17" t="inlineStr">
        <is>
          <t>2027-02</t>
        </is>
      </c>
      <c r="J59" s="17" t="inlineStr">
        <is>
          <t>2027-02</t>
        </is>
      </c>
      <c r="K59" s="23" t="inlineStr">
        <is>
          <t>未着手</t>
        </is>
      </c>
      <c r="L59" s="19" t="n">
        <v>0</v>
      </c>
      <c r="M59" s="20" t="n">
        <v>2</v>
      </c>
      <c r="N59" s="16" t="inlineStr">
        <is>
          <t>**逆算表を作成済み（令和9年2月下旬の校了が動かせない期限）**</t>
        </is>
      </c>
      <c r="O59" s="16" t="inlineStr">
        <is>
          <t>組版</t>
        </is>
      </c>
    </row>
    <row r="60">
      <c r="A60" s="16" t="inlineStr">
        <is>
          <t>P10 完成・納品</t>
        </is>
      </c>
      <c r="B60" s="17" t="inlineStr">
        <is>
          <t>10-4</t>
        </is>
      </c>
      <c r="C60" s="16" t="inlineStr">
        <is>
          <t>概要版の構成案</t>
        </is>
      </c>
      <c r="D60" s="16" t="inlineStr">
        <is>
          <t>A4・4色刷り・8頁のページ割り</t>
        </is>
      </c>
      <c r="E60" s="16" t="inlineStr">
        <is>
          <t>B9 成果品の納品</t>
        </is>
      </c>
      <c r="F60" s="17" t="inlineStr">
        <is>
          <t>仕様書4 成果品⑥</t>
        </is>
      </c>
      <c r="G60" s="16" t="inlineStr">
        <is>
          <t>【成果品⑥】（6）小野町高齢者保健福祉計画・第10期介護保険事業計画概要版　※データ（CD-R）1部、概要版印刷50部＜仕様＞A4版、4色刷り、8頁</t>
        </is>
      </c>
      <c r="H60" s="17" t="inlineStr">
        <is>
          <t>受託者</t>
        </is>
      </c>
      <c r="I60" s="17" t="inlineStr">
        <is>
          <t>2026-08</t>
        </is>
      </c>
      <c r="J60" s="17" t="inlineStr">
        <is>
          <t>2026-08</t>
        </is>
      </c>
      <c r="K60" s="18" t="inlineStr">
        <is>
          <t>完了</t>
        </is>
      </c>
      <c r="L60" s="19" t="n">
        <v>100</v>
      </c>
      <c r="M60" s="20" t="n">
        <v>1</v>
      </c>
      <c r="N60" s="16" t="inlineStr">
        <is>
          <t>計画策定業務設計書 第2章（02_キックオフ・業務計画）</t>
        </is>
      </c>
      <c r="O60" s="16" t="inlineStr">
        <is>
          <t>―</t>
        </is>
      </c>
    </row>
    <row r="61">
      <c r="A61" s="16" t="inlineStr">
        <is>
          <t>P10 完成・納品</t>
        </is>
      </c>
      <c r="B61" s="17" t="inlineStr">
        <is>
          <t>10-5</t>
        </is>
      </c>
      <c r="C61" s="16" t="inlineStr">
        <is>
          <t>概要版の作成</t>
        </is>
      </c>
      <c r="D61" s="16" t="inlineStr">
        <is>
          <t>計画書からの抽出とリライト、図表8点程度</t>
        </is>
      </c>
      <c r="E61" s="16" t="inlineStr">
        <is>
          <t>B9 成果品の納品</t>
        </is>
      </c>
      <c r="F61" s="17" t="inlineStr">
        <is>
          <t>仕様書4 成果品⑥</t>
        </is>
      </c>
      <c r="G61" s="16" t="inlineStr">
        <is>
          <t>【成果品⑥】（6）小野町高齢者保健福祉計画・第10期介護保険事業計画概要版　※データ（CD-R）1部、概要版印刷50部＜仕様＞A4版、4色刷り、8頁</t>
        </is>
      </c>
      <c r="H61" s="17" t="inlineStr">
        <is>
          <t>受託者</t>
        </is>
      </c>
      <c r="I61" s="17" t="inlineStr">
        <is>
          <t>2027-02</t>
        </is>
      </c>
      <c r="J61" s="17" t="inlineStr">
        <is>
          <t>2027-03</t>
        </is>
      </c>
      <c r="K61" s="23" t="inlineStr">
        <is>
          <t>未着手</t>
        </is>
      </c>
      <c r="L61" s="19" t="n">
        <v>0</v>
      </c>
      <c r="M61" s="20" t="n">
        <v>2</v>
      </c>
      <c r="N61" s="16" t="inlineStr">
        <is>
          <t>構成案は作成済み</t>
        </is>
      </c>
      <c r="O61" s="16" t="inlineStr">
        <is>
          <t>計画書の確定</t>
        </is>
      </c>
    </row>
    <row r="62">
      <c r="A62" s="16" t="inlineStr">
        <is>
          <t>P10 完成・納品</t>
        </is>
      </c>
      <c r="B62" s="17" t="inlineStr">
        <is>
          <t>10-6</t>
        </is>
      </c>
      <c r="C62" s="16" t="inlineStr">
        <is>
          <t>印刷・製本</t>
        </is>
      </c>
      <c r="D62" s="16" t="inlineStr">
        <is>
          <t>計画書50部、概要版50部。色校正を含む</t>
        </is>
      </c>
      <c r="E62" s="16" t="inlineStr">
        <is>
          <t>B9 成果品の納品</t>
        </is>
      </c>
      <c r="F62" s="17" t="inlineStr">
        <is>
          <t>仕様書4 成果品⑤・仕様書4 成果品⑥</t>
        </is>
      </c>
      <c r="G62" s="16" t="inlineStr">
        <is>
          <t>【成果品⑤】（5）小野町高齢者保健福祉計画・第10期介護保険事業計画　※データ（CD-R）1部、計画書印刷50部＜仕様＞A4版、4色刷り、80頁程度
【成果品⑥】（6）小野町高齢者保健福祉計画・第10期介護保険事業計画概要版　※データ（CD-R）1部、概要版印刷50部＜仕様＞A4版、4色刷り、8頁</t>
        </is>
      </c>
      <c r="H62" s="17" t="inlineStr">
        <is>
          <t>受託者</t>
        </is>
      </c>
      <c r="I62" s="17" t="inlineStr">
        <is>
          <t>2027-03</t>
        </is>
      </c>
      <c r="J62" s="17" t="inlineStr">
        <is>
          <t>2027-03</t>
        </is>
      </c>
      <c r="K62" s="23" t="inlineStr">
        <is>
          <t>未着手</t>
        </is>
      </c>
      <c r="L62" s="19" t="n">
        <v>0</v>
      </c>
      <c r="M62" s="20" t="n">
        <v>2</v>
      </c>
      <c r="N62" s="16" t="inlineStr">
        <is>
          <t>**逆算表を作成済み。12月までに印刷業者を押さえる必要がある**</t>
        </is>
      </c>
      <c r="O62" s="16" t="inlineStr">
        <is>
          <t>校了</t>
        </is>
      </c>
    </row>
    <row r="63">
      <c r="A63" s="16" t="inlineStr">
        <is>
          <t>P10 完成・納品</t>
        </is>
      </c>
      <c r="B63" s="17" t="inlineStr">
        <is>
          <t>10-7</t>
        </is>
      </c>
      <c r="C63" s="16" t="inlineStr">
        <is>
          <t>データCD-Rの作成</t>
        </is>
      </c>
      <c r="D63" s="16" t="inlineStr">
        <is>
          <t>成果品①〜⑥のデータ</t>
        </is>
      </c>
      <c r="E63" s="16" t="inlineStr">
        <is>
          <t>B9 成果品の納品</t>
        </is>
      </c>
      <c r="F63" s="17" t="inlineStr">
        <is>
          <t>仕様書4 成果品</t>
        </is>
      </c>
      <c r="G63" s="16" t="inlineStr">
        <is>
          <t>【成果品】（1）〜（4）のデータ（CD-R）1部、冊子（簡易製本）各3部／（5）（6）のデータ（CD-R）1部、計画書印刷50部／概要版印刷50部</t>
        </is>
      </c>
      <c r="H63" s="17" t="inlineStr">
        <is>
          <t>受託者</t>
        </is>
      </c>
      <c r="I63" s="17" t="inlineStr">
        <is>
          <t>2027-03</t>
        </is>
      </c>
      <c r="J63" s="17" t="inlineStr">
        <is>
          <t>2027-03</t>
        </is>
      </c>
      <c r="K63" s="23" t="inlineStr">
        <is>
          <t>未着手</t>
        </is>
      </c>
      <c r="L63" s="19" t="n">
        <v>0</v>
      </c>
      <c r="M63" s="20" t="n">
        <v>1</v>
      </c>
      <c r="N63" s="16" t="inlineStr">
        <is>
          <t>―</t>
        </is>
      </c>
      <c r="O63" s="16" t="inlineStr">
        <is>
          <t>各成果品の確定</t>
        </is>
      </c>
    </row>
    <row r="64">
      <c r="A64" s="16" t="inlineStr">
        <is>
          <t>P10 完成・納品</t>
        </is>
      </c>
      <c r="B64" s="17" t="inlineStr">
        <is>
          <t>10-8</t>
        </is>
      </c>
      <c r="C64" s="16" t="inlineStr">
        <is>
          <t>納品・検収</t>
        </is>
      </c>
      <c r="D64" s="16" t="inlineStr">
        <is>
          <t>令和9年3月31日まで</t>
        </is>
      </c>
      <c r="E64" s="16" t="inlineStr">
        <is>
          <t>B10 業務管理・計画の基本的な考え方</t>
        </is>
      </c>
      <c r="F64" s="17" t="inlineStr">
        <is>
          <t>仕様書3（業務期間）</t>
        </is>
      </c>
      <c r="G64" s="16" t="inlineStr">
        <is>
          <t>【3】契約締結の日から令和9年3月31日まで</t>
        </is>
      </c>
      <c r="H64" s="17" t="inlineStr">
        <is>
          <t>受託者・町</t>
        </is>
      </c>
      <c r="I64" s="17" t="inlineStr">
        <is>
          <t>2027-03</t>
        </is>
      </c>
      <c r="J64" s="17" t="inlineStr">
        <is>
          <t>2027-03</t>
        </is>
      </c>
      <c r="K64" s="23" t="inlineStr">
        <is>
          <t>未着手</t>
        </is>
      </c>
      <c r="L64" s="19" t="n">
        <v>0</v>
      </c>
      <c r="M64" s="20" t="n">
        <v>1</v>
      </c>
      <c r="N64" s="16" t="inlineStr">
        <is>
          <t>―</t>
        </is>
      </c>
      <c r="O64" s="16" t="inlineStr">
        <is>
          <t>全成果品の完成</t>
        </is>
      </c>
    </row>
  </sheetData>
  <autoFilter ref="A1:O64"/>
  <conditionalFormatting sqref="L2:L64">
    <cfRule type="cellIs" priority="1" operator="equal" dxfId="0">
      <formula>100</formula>
    </cfRule>
    <cfRule type="cellIs" priority="2" operator="equal" dxfId="1">
      <formula>0</formula>
    </cfRule>
  </conditionalFormatting>
  <dataValidations count="2">
    <dataValidation sqref="K2:K64" showDropDown="0" showInputMessage="0" showErrorMessage="0" allowBlank="1" type="list">
      <formula1>"完了,進行中,要対応,データ待ち,未着手"</formula1>
    </dataValidation>
    <dataValidation sqref="L2:L64" showDropDown="0" showInputMessage="0" showErrorMessage="0" allowBlank="1" type="whole" operator="between">
      <formula1>0</formula1>
      <formula2>100</formula2>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16"/>
  <sheetViews>
    <sheetView workbookViewId="0">
      <pane xSplit="1" ySplit="1" topLeftCell="B2" activePane="bottomRight" state="frozen"/>
      <selection pane="topRight"/>
      <selection pane="bottomLeft"/>
      <selection pane="bottomRight" activeCell="A1" sqref="A1"/>
    </sheetView>
  </sheetViews>
  <sheetFormatPr baseColWidth="8" defaultRowHeight="15"/>
  <cols>
    <col width="18" customWidth="1" min="1" max="1"/>
    <col width="9" customWidth="1" min="2" max="2"/>
    <col width="8" customWidth="1" min="3" max="3"/>
    <col width="9" customWidth="1" min="4" max="4"/>
    <col width="9" customWidth="1" min="5" max="5"/>
    <col width="11" customWidth="1" min="6" max="6"/>
    <col width="9" customWidth="1" min="7" max="7"/>
    <col width="12" customWidth="1" min="8" max="8"/>
    <col width="11" customWidth="1" min="9" max="9"/>
    <col width="11" customWidth="1" min="10" max="10"/>
    <col width="56" customWidth="1" min="11" max="11"/>
  </cols>
  <sheetData>
    <row r="1">
      <c r="A1" s="5" t="inlineStr">
        <is>
          <t>段階</t>
        </is>
      </c>
      <c r="B1" s="5" t="inlineStr">
        <is>
          <t>作業数</t>
        </is>
      </c>
      <c r="C1" s="5" t="inlineStr">
        <is>
          <t>完了</t>
        </is>
      </c>
      <c r="D1" s="5" t="inlineStr">
        <is>
          <t>進行中</t>
        </is>
      </c>
      <c r="E1" s="5" t="inlineStr">
        <is>
          <t>要対応</t>
        </is>
      </c>
      <c r="F1" s="5" t="inlineStr">
        <is>
          <t>データ待ち</t>
        </is>
      </c>
      <c r="G1" s="5" t="inlineStr">
        <is>
          <t>未着手</t>
        </is>
      </c>
      <c r="H1" s="5" t="inlineStr">
        <is>
          <t>加重進捗率</t>
        </is>
      </c>
      <c r="I1" s="5" t="inlineStr">
        <is>
          <t>予定開始</t>
        </is>
      </c>
      <c r="J1" s="5" t="inlineStr">
        <is>
          <t>予定完了</t>
        </is>
      </c>
      <c r="K1" s="5" t="inlineStr">
        <is>
          <t>律速要因</t>
        </is>
      </c>
    </row>
    <row r="2">
      <c r="A2" s="16" t="inlineStr">
        <is>
          <t>P1 準備・現状把握</t>
        </is>
      </c>
      <c r="B2" s="17">
        <f>COUNTIF('01_WBS'!$A$2:$A$64,$A2)</f>
        <v/>
      </c>
      <c r="C2" s="17">
        <f>COUNTIFS('01_WBS'!$A$2:$A$64,$A2,'01_WBS'!$K$2:$K$64,"完了")</f>
        <v/>
      </c>
      <c r="D2" s="17">
        <f>COUNTIFS('01_WBS'!$A$2:$A$64,$A2,'01_WBS'!$K$2:$K$64,"進行中")</f>
        <v/>
      </c>
      <c r="E2" s="17">
        <f>COUNTIFS('01_WBS'!$A$2:$A$64,$A2,'01_WBS'!$K$2:$K$64,"要対応")</f>
        <v/>
      </c>
      <c r="F2" s="17">
        <f>COUNTIFS('01_WBS'!$A$2:$A$64,$A2,'01_WBS'!$K$2:$K$64,"データ待ち")</f>
        <v/>
      </c>
      <c r="G2" s="17">
        <f>COUNTIFS('01_WBS'!$A$2:$A$64,$A2,'01_WBS'!$K$2:$K$64,"未着手")</f>
        <v/>
      </c>
      <c r="H2" s="24">
        <f>IF(SUMPRODUCT(('01_WBS'!$A$2:$A$64=$A2)*'01_WBS'!$M$2:$M$64)=0,0,SUMPRODUCT(('01_WBS'!$A$2:$A$64=$A2)*'01_WBS'!$L$2:$L$64*'01_WBS'!$M$2:$M$64)/SUMPRODUCT(('01_WBS'!$A$2:$A$64=$A2)*'01_WBS'!$M$2:$M$64)/100)</f>
        <v/>
      </c>
      <c r="I2" s="17" t="inlineStr">
        <is>
          <t>2026-06</t>
        </is>
      </c>
      <c r="J2" s="17" t="inlineStr">
        <is>
          <t>2026-09</t>
        </is>
      </c>
      <c r="K2" s="16" t="inlineStr">
        <is>
          <t>町データの受領（依頼35件・受領0件）</t>
        </is>
      </c>
    </row>
    <row r="3">
      <c r="A3" s="16" t="inlineStr">
        <is>
          <t>P2 統計分析</t>
        </is>
      </c>
      <c r="B3" s="17">
        <f>COUNTIF('01_WBS'!$A$2:$A$64,$A3)</f>
        <v/>
      </c>
      <c r="C3" s="17">
        <f>COUNTIFS('01_WBS'!$A$2:$A$64,$A3,'01_WBS'!$K$2:$K$64,"完了")</f>
        <v/>
      </c>
      <c r="D3" s="17">
        <f>COUNTIFS('01_WBS'!$A$2:$A$64,$A3,'01_WBS'!$K$2:$K$64,"進行中")</f>
        <v/>
      </c>
      <c r="E3" s="17">
        <f>COUNTIFS('01_WBS'!$A$2:$A$64,$A3,'01_WBS'!$K$2:$K$64,"要対応")</f>
        <v/>
      </c>
      <c r="F3" s="17">
        <f>COUNTIFS('01_WBS'!$A$2:$A$64,$A3,'01_WBS'!$K$2:$K$64,"データ待ち")</f>
        <v/>
      </c>
      <c r="G3" s="17">
        <f>COUNTIFS('01_WBS'!$A$2:$A$64,$A3,'01_WBS'!$K$2:$K$64,"未着手")</f>
        <v/>
      </c>
      <c r="H3" s="24">
        <f>IF(SUMPRODUCT(('01_WBS'!$A$2:$A$64=$A3)*'01_WBS'!$M$2:$M$64)=0,0,SUMPRODUCT(('01_WBS'!$A$2:$A$64=$A3)*'01_WBS'!$L$2:$L$64*'01_WBS'!$M$2:$M$64)/SUMPRODUCT(('01_WBS'!$A$2:$A$64=$A3)*'01_WBS'!$M$2:$M$64)/100)</f>
        <v/>
      </c>
      <c r="I3" s="17" t="inlineStr">
        <is>
          <t>2026-07</t>
        </is>
      </c>
      <c r="J3" s="17" t="inlineStr">
        <is>
          <t>2026-10</t>
        </is>
      </c>
      <c r="K3" s="16" t="inlineStr">
        <is>
          <t>**令和8年3月末の認定者数の確認。本業務の最大の律速**</t>
        </is>
      </c>
    </row>
    <row r="4">
      <c r="A4" s="16" t="inlineStr">
        <is>
          <t>P3 給付費等の分析</t>
        </is>
      </c>
      <c r="B4" s="17">
        <f>COUNTIF('01_WBS'!$A$2:$A$64,$A4)</f>
        <v/>
      </c>
      <c r="C4" s="17">
        <f>COUNTIFS('01_WBS'!$A$2:$A$64,$A4,'01_WBS'!$K$2:$K$64,"完了")</f>
        <v/>
      </c>
      <c r="D4" s="17">
        <f>COUNTIFS('01_WBS'!$A$2:$A$64,$A4,'01_WBS'!$K$2:$K$64,"進行中")</f>
        <v/>
      </c>
      <c r="E4" s="17">
        <f>COUNTIFS('01_WBS'!$A$2:$A$64,$A4,'01_WBS'!$K$2:$K$64,"要対応")</f>
        <v/>
      </c>
      <c r="F4" s="17">
        <f>COUNTIFS('01_WBS'!$A$2:$A$64,$A4,'01_WBS'!$K$2:$K$64,"データ待ち")</f>
        <v/>
      </c>
      <c r="G4" s="17">
        <f>COUNTIFS('01_WBS'!$A$2:$A$64,$A4,'01_WBS'!$K$2:$K$64,"未着手")</f>
        <v/>
      </c>
      <c r="H4" s="24">
        <f>IF(SUMPRODUCT(('01_WBS'!$A$2:$A$64=$A4)*'01_WBS'!$M$2:$M$64)=0,0,SUMPRODUCT(('01_WBS'!$A$2:$A$64=$A4)*'01_WBS'!$L$2:$L$64*'01_WBS'!$M$2:$M$64)/SUMPRODUCT(('01_WBS'!$A$2:$A$64=$A4)*'01_WBS'!$M$2:$M$64)/100)</f>
        <v/>
      </c>
      <c r="I4" s="17" t="inlineStr">
        <is>
          <t>2026-07</t>
        </is>
      </c>
      <c r="J4" s="17" t="inlineStr">
        <is>
          <t>2027-03</t>
        </is>
      </c>
      <c r="K4" s="16" t="inlineStr">
        <is>
          <t>町の給付実績（令和3〜7年度）</t>
        </is>
      </c>
    </row>
    <row r="5">
      <c r="A5" s="16" t="inlineStr">
        <is>
          <t>P4 調査結果の反映</t>
        </is>
      </c>
      <c r="B5" s="17">
        <f>COUNTIF('01_WBS'!$A$2:$A$64,$A5)</f>
        <v/>
      </c>
      <c r="C5" s="17">
        <f>COUNTIFS('01_WBS'!$A$2:$A$64,$A5,'01_WBS'!$K$2:$K$64,"完了")</f>
        <v/>
      </c>
      <c r="D5" s="17">
        <f>COUNTIFS('01_WBS'!$A$2:$A$64,$A5,'01_WBS'!$K$2:$K$64,"進行中")</f>
        <v/>
      </c>
      <c r="E5" s="17">
        <f>COUNTIFS('01_WBS'!$A$2:$A$64,$A5,'01_WBS'!$K$2:$K$64,"要対応")</f>
        <v/>
      </c>
      <c r="F5" s="17">
        <f>COUNTIFS('01_WBS'!$A$2:$A$64,$A5,'01_WBS'!$K$2:$K$64,"データ待ち")</f>
        <v/>
      </c>
      <c r="G5" s="17">
        <f>COUNTIFS('01_WBS'!$A$2:$A$64,$A5,'01_WBS'!$K$2:$K$64,"未着手")</f>
        <v/>
      </c>
      <c r="H5" s="24">
        <f>IF(SUMPRODUCT(('01_WBS'!$A$2:$A$64=$A5)*'01_WBS'!$M$2:$M$64)=0,0,SUMPRODUCT(('01_WBS'!$A$2:$A$64=$A5)*'01_WBS'!$L$2:$L$64*'01_WBS'!$M$2:$M$64)/SUMPRODUCT(('01_WBS'!$A$2:$A$64=$A5)*'01_WBS'!$M$2:$M$64)/100)</f>
        <v/>
      </c>
      <c r="I5" s="17" t="inlineStr">
        <is>
          <t>2026-08</t>
        </is>
      </c>
      <c r="J5" s="17" t="inlineStr">
        <is>
          <t>2026-10</t>
        </is>
      </c>
      <c r="K5" s="16" t="inlineStr">
        <is>
          <t>令和7年度調査の個票データ（クロス集計17件）</t>
        </is>
      </c>
    </row>
    <row r="6">
      <c r="A6" s="16" t="inlineStr">
        <is>
          <t>P5 第9期の評価</t>
        </is>
      </c>
      <c r="B6" s="17">
        <f>COUNTIF('01_WBS'!$A$2:$A$64,$A6)</f>
        <v/>
      </c>
      <c r="C6" s="17">
        <f>COUNTIFS('01_WBS'!$A$2:$A$64,$A6,'01_WBS'!$K$2:$K$64,"完了")</f>
        <v/>
      </c>
      <c r="D6" s="17">
        <f>COUNTIFS('01_WBS'!$A$2:$A$64,$A6,'01_WBS'!$K$2:$K$64,"進行中")</f>
        <v/>
      </c>
      <c r="E6" s="17">
        <f>COUNTIFS('01_WBS'!$A$2:$A$64,$A6,'01_WBS'!$K$2:$K$64,"要対応")</f>
        <v/>
      </c>
      <c r="F6" s="17">
        <f>COUNTIFS('01_WBS'!$A$2:$A$64,$A6,'01_WBS'!$K$2:$K$64,"データ待ち")</f>
        <v/>
      </c>
      <c r="G6" s="17">
        <f>COUNTIFS('01_WBS'!$A$2:$A$64,$A6,'01_WBS'!$K$2:$K$64,"未着手")</f>
        <v/>
      </c>
      <c r="H6" s="24">
        <f>IF(SUMPRODUCT(('01_WBS'!$A$2:$A$64=$A6)*'01_WBS'!$M$2:$M$64)=0,0,SUMPRODUCT(('01_WBS'!$A$2:$A$64=$A6)*'01_WBS'!$L$2:$L$64*'01_WBS'!$M$2:$M$64)/SUMPRODUCT(('01_WBS'!$A$2:$A$64=$A6)*'01_WBS'!$M$2:$M$64)/100)</f>
        <v/>
      </c>
      <c r="I6" s="17" t="inlineStr">
        <is>
          <t>2026-08</t>
        </is>
      </c>
      <c r="J6" s="17" t="inlineStr">
        <is>
          <t>2026-10</t>
        </is>
      </c>
      <c r="K6" s="16" t="inlineStr">
        <is>
          <t>町の事業実績。とくに総合事業・通いの場</t>
        </is>
      </c>
    </row>
    <row r="7">
      <c r="A7" s="16" t="inlineStr">
        <is>
          <t>P6 骨子案</t>
        </is>
      </c>
      <c r="B7" s="17">
        <f>COUNTIF('01_WBS'!$A$2:$A$64,$A7)</f>
        <v/>
      </c>
      <c r="C7" s="17">
        <f>COUNTIFS('01_WBS'!$A$2:$A$64,$A7,'01_WBS'!$K$2:$K$64,"完了")</f>
        <v/>
      </c>
      <c r="D7" s="17">
        <f>COUNTIFS('01_WBS'!$A$2:$A$64,$A7,'01_WBS'!$K$2:$K$64,"進行中")</f>
        <v/>
      </c>
      <c r="E7" s="17">
        <f>COUNTIFS('01_WBS'!$A$2:$A$64,$A7,'01_WBS'!$K$2:$K$64,"要対応")</f>
        <v/>
      </c>
      <c r="F7" s="17">
        <f>COUNTIFS('01_WBS'!$A$2:$A$64,$A7,'01_WBS'!$K$2:$K$64,"データ待ち")</f>
        <v/>
      </c>
      <c r="G7" s="17">
        <f>COUNTIFS('01_WBS'!$A$2:$A$64,$A7,'01_WBS'!$K$2:$K$64,"未着手")</f>
        <v/>
      </c>
      <c r="H7" s="24">
        <f>IF(SUMPRODUCT(('01_WBS'!$A$2:$A$64=$A7)*'01_WBS'!$M$2:$M$64)=0,0,SUMPRODUCT(('01_WBS'!$A$2:$A$64=$A7)*'01_WBS'!$L$2:$L$64*'01_WBS'!$M$2:$M$64)/SUMPRODUCT(('01_WBS'!$A$2:$A$64=$A7)*'01_WBS'!$M$2:$M$64)/100)</f>
        <v/>
      </c>
      <c r="I7" s="17" t="inlineStr">
        <is>
          <t>2026-07</t>
        </is>
      </c>
      <c r="J7" s="17" t="inlineStr">
        <is>
          <t>2027-03</t>
        </is>
      </c>
      <c r="K7" s="16" t="inlineStr">
        <is>
          <t>協議会の開催回数・時期が未定</t>
        </is>
      </c>
    </row>
    <row r="8">
      <c r="A8" s="16" t="inlineStr">
        <is>
          <t>P7 推計・算定</t>
        </is>
      </c>
      <c r="B8" s="17">
        <f>COUNTIF('01_WBS'!$A$2:$A$64,$A8)</f>
        <v/>
      </c>
      <c r="C8" s="17">
        <f>COUNTIFS('01_WBS'!$A$2:$A$64,$A8,'01_WBS'!$K$2:$K$64,"完了")</f>
        <v/>
      </c>
      <c r="D8" s="17">
        <f>COUNTIFS('01_WBS'!$A$2:$A$64,$A8,'01_WBS'!$K$2:$K$64,"進行中")</f>
        <v/>
      </c>
      <c r="E8" s="17">
        <f>COUNTIFS('01_WBS'!$A$2:$A$64,$A8,'01_WBS'!$K$2:$K$64,"要対応")</f>
        <v/>
      </c>
      <c r="F8" s="17">
        <f>COUNTIFS('01_WBS'!$A$2:$A$64,$A8,'01_WBS'!$K$2:$K$64,"データ待ち")</f>
        <v/>
      </c>
      <c r="G8" s="17">
        <f>COUNTIFS('01_WBS'!$A$2:$A$64,$A8,'01_WBS'!$K$2:$K$64,"未着手")</f>
        <v/>
      </c>
      <c r="H8" s="24">
        <f>IF(SUMPRODUCT(('01_WBS'!$A$2:$A$64=$A8)*'01_WBS'!$M$2:$M$64)=0,0,SUMPRODUCT(('01_WBS'!$A$2:$A$64=$A8)*'01_WBS'!$L$2:$L$64*'01_WBS'!$M$2:$M$64)/SUMPRODUCT(('01_WBS'!$A$2:$A$64=$A8)*'01_WBS'!$M$2:$M$64)/100)</f>
        <v/>
      </c>
      <c r="I8" s="17" t="inlineStr">
        <is>
          <t>2026-08</t>
        </is>
      </c>
      <c r="J8" s="17" t="inlineStr">
        <is>
          <t>2027-03</t>
        </is>
      </c>
      <c r="K8" s="16" t="inlineStr">
        <is>
          <t>**認定者数の確定。算式は実装済みで、値が入れば通る**</t>
        </is>
      </c>
    </row>
    <row r="9">
      <c r="A9" s="16" t="inlineStr">
        <is>
          <t>P8 素案</t>
        </is>
      </c>
      <c r="B9" s="17">
        <f>COUNTIF('01_WBS'!$A$2:$A$64,$A9)</f>
        <v/>
      </c>
      <c r="C9" s="17">
        <f>COUNTIFS('01_WBS'!$A$2:$A$64,$A9,'01_WBS'!$K$2:$K$64,"完了")</f>
        <v/>
      </c>
      <c r="D9" s="17">
        <f>COUNTIFS('01_WBS'!$A$2:$A$64,$A9,'01_WBS'!$K$2:$K$64,"進行中")</f>
        <v/>
      </c>
      <c r="E9" s="17">
        <f>COUNTIFS('01_WBS'!$A$2:$A$64,$A9,'01_WBS'!$K$2:$K$64,"要対応")</f>
        <v/>
      </c>
      <c r="F9" s="17">
        <f>COUNTIFS('01_WBS'!$A$2:$A$64,$A9,'01_WBS'!$K$2:$K$64,"データ待ち")</f>
        <v/>
      </c>
      <c r="G9" s="17">
        <f>COUNTIFS('01_WBS'!$A$2:$A$64,$A9,'01_WBS'!$K$2:$K$64,"未着手")</f>
        <v/>
      </c>
      <c r="H9" s="24">
        <f>IF(SUMPRODUCT(('01_WBS'!$A$2:$A$64=$A9)*'01_WBS'!$M$2:$M$64)=0,0,SUMPRODUCT(('01_WBS'!$A$2:$A$64=$A9)*'01_WBS'!$L$2:$L$64*'01_WBS'!$M$2:$M$64)/SUMPRODUCT(('01_WBS'!$A$2:$A$64=$A9)*'01_WBS'!$M$2:$M$64)/100)</f>
        <v/>
      </c>
      <c r="I9" s="17" t="inlineStr">
        <is>
          <t>2026-08</t>
        </is>
      </c>
      <c r="J9" s="17" t="inlineStr">
        <is>
          <t>2027-03</t>
        </is>
      </c>
      <c r="K9" s="16" t="inlineStr">
        <is>
          <t>P7の完了と成果指標の現状値</t>
        </is>
      </c>
    </row>
    <row r="10">
      <c r="A10" s="16" t="inlineStr">
        <is>
          <t>P9 意見聴取</t>
        </is>
      </c>
      <c r="B10" s="17">
        <f>COUNTIF('01_WBS'!$A$2:$A$64,$A10)</f>
        <v/>
      </c>
      <c r="C10" s="17">
        <f>COUNTIFS('01_WBS'!$A$2:$A$64,$A10,'01_WBS'!$K$2:$K$64,"完了")</f>
        <v/>
      </c>
      <c r="D10" s="17">
        <f>COUNTIFS('01_WBS'!$A$2:$A$64,$A10,'01_WBS'!$K$2:$K$64,"進行中")</f>
        <v/>
      </c>
      <c r="E10" s="17">
        <f>COUNTIFS('01_WBS'!$A$2:$A$64,$A10,'01_WBS'!$K$2:$K$64,"要対応")</f>
        <v/>
      </c>
      <c r="F10" s="17">
        <f>COUNTIFS('01_WBS'!$A$2:$A$64,$A10,'01_WBS'!$K$2:$K$64,"データ待ち")</f>
        <v/>
      </c>
      <c r="G10" s="17">
        <f>COUNTIFS('01_WBS'!$A$2:$A$64,$A10,'01_WBS'!$K$2:$K$64,"未着手")</f>
        <v/>
      </c>
      <c r="H10" s="24">
        <f>IF(SUMPRODUCT(('01_WBS'!$A$2:$A$64=$A10)*'01_WBS'!$M$2:$M$64)=0,0,SUMPRODUCT(('01_WBS'!$A$2:$A$64=$A10)*'01_WBS'!$L$2:$L$64*'01_WBS'!$M$2:$M$64)/SUMPRODUCT(('01_WBS'!$A$2:$A$64=$A10)*'01_WBS'!$M$2:$M$64)/100)</f>
        <v/>
      </c>
      <c r="I10" s="17" t="inlineStr">
        <is>
          <t>2026-08</t>
        </is>
      </c>
      <c r="J10" s="17" t="inlineStr">
        <is>
          <t>2027-02</t>
        </is>
      </c>
      <c r="K10" s="16" t="inlineStr">
        <is>
          <t>**協議会の開催回数・時期が未定。工程が引けない**</t>
        </is>
      </c>
    </row>
    <row r="11">
      <c r="A11" s="16" t="inlineStr">
        <is>
          <t>P10 完成・納品</t>
        </is>
      </c>
      <c r="B11" s="17">
        <f>COUNTIF('01_WBS'!$A$2:$A$64,$A11)</f>
        <v/>
      </c>
      <c r="C11" s="17">
        <f>COUNTIFS('01_WBS'!$A$2:$A$64,$A11,'01_WBS'!$K$2:$K$64,"完了")</f>
        <v/>
      </c>
      <c r="D11" s="17">
        <f>COUNTIFS('01_WBS'!$A$2:$A$64,$A11,'01_WBS'!$K$2:$K$64,"進行中")</f>
        <v/>
      </c>
      <c r="E11" s="17">
        <f>COUNTIFS('01_WBS'!$A$2:$A$64,$A11,'01_WBS'!$K$2:$K$64,"要対応")</f>
        <v/>
      </c>
      <c r="F11" s="17">
        <f>COUNTIFS('01_WBS'!$A$2:$A$64,$A11,'01_WBS'!$K$2:$K$64,"データ待ち")</f>
        <v/>
      </c>
      <c r="G11" s="17">
        <f>COUNTIFS('01_WBS'!$A$2:$A$64,$A11,'01_WBS'!$K$2:$K$64,"未着手")</f>
        <v/>
      </c>
      <c r="H11" s="24">
        <f>IF(SUMPRODUCT(('01_WBS'!$A$2:$A$64=$A11)*'01_WBS'!$M$2:$M$64)=0,0,SUMPRODUCT(('01_WBS'!$A$2:$A$64=$A11)*'01_WBS'!$L$2:$L$64*'01_WBS'!$M$2:$M$64)/SUMPRODUCT(('01_WBS'!$A$2:$A$64=$A11)*'01_WBS'!$M$2:$M$64)/100)</f>
        <v/>
      </c>
      <c r="I11" s="17" t="inlineStr">
        <is>
          <t>2026-08</t>
        </is>
      </c>
      <c r="J11" s="17" t="inlineStr">
        <is>
          <t>2027-03</t>
        </is>
      </c>
      <c r="K11" s="16" t="inlineStr">
        <is>
          <t>令和9年2月下旬の校了が動かせない期限</t>
        </is>
      </c>
    </row>
    <row r="12">
      <c r="A12" s="25" t="inlineStr">
        <is>
          <t>合計</t>
        </is>
      </c>
      <c r="B12" s="26">
        <f>SUM(B2:B11)</f>
        <v/>
      </c>
      <c r="C12" s="26">
        <f>SUM(C2:C11)</f>
        <v/>
      </c>
      <c r="D12" s="26">
        <f>SUM(D2:D11)</f>
        <v/>
      </c>
      <c r="E12" s="26">
        <f>SUM(E2:E11)</f>
        <v/>
      </c>
      <c r="F12" s="26">
        <f>SUM(F2:F11)</f>
        <v/>
      </c>
      <c r="G12" s="26">
        <f>SUM(G2:G11)</f>
        <v/>
      </c>
      <c r="H12" s="27">
        <f>IF(SUM('01_WBS'!$M$2:$M$64)=0,0,SUMPRODUCT('01_WBS'!$L$2:$L$64,'01_WBS'!$M$2:$M$64)/SUM('01_WBS'!$M$2:$M$64)/100)</f>
        <v/>
      </c>
      <c r="I12" s="17" t="inlineStr">
        <is>
          <t>2026-06</t>
        </is>
      </c>
      <c r="J12" s="17" t="inlineStr">
        <is>
          <t>2027-03</t>
        </is>
      </c>
      <c r="K12" s="16" t="inlineStr"/>
    </row>
    <row r="14">
      <c r="A14" t="inlineStr">
        <is>
          <t>※ 加重進捗率＝Σ（進捗率×重み）÷Σ重み。重みは工数の目安（1〜5）。</t>
        </is>
      </c>
    </row>
    <row r="15">
      <c r="A15" t="inlineStr">
        <is>
          <t>※ 各作業が仕様書のどの条項にあたるかは 01_WBS のE列・F列、条項の網羅状況は 09_仕様書対応表 を参照。</t>
        </is>
      </c>
    </row>
    <row r="16">
      <c r="A16" t="inlineStr">
        <is>
          <t>※ 01_WBS の「状態」「進捗率」を書き換えると、本表とダッシュボードが再計算されます。</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8"/>
  <sheetViews>
    <sheetView workbookViewId="0">
      <pane ySplit="1" topLeftCell="A2" activePane="bottomLeft" state="frozen"/>
      <selection pane="bottomLeft" activeCell="A1" sqref="A1"/>
    </sheetView>
  </sheetViews>
  <sheetFormatPr baseColWidth="8" defaultRowHeight="15"/>
  <cols>
    <col width="8" customWidth="1" min="1" max="1"/>
    <col width="40" customWidth="1" min="2" max="2"/>
    <col width="40" customWidth="1" min="3" max="3"/>
    <col width="12" customWidth="1" min="4" max="4"/>
    <col width="11" customWidth="1" min="5" max="5"/>
    <col width="8" customWidth="1" min="6" max="6"/>
    <col width="50" customWidth="1" min="7" max="7"/>
    <col width="44" customWidth="1" min="8" max="8"/>
  </cols>
  <sheetData>
    <row r="1">
      <c r="A1" s="5" t="inlineStr">
        <is>
          <t>成果品</t>
        </is>
      </c>
      <c r="B1" s="5" t="inlineStr">
        <is>
          <t>名称</t>
        </is>
      </c>
      <c r="C1" s="5" t="inlineStr">
        <is>
          <t>納品仕様</t>
        </is>
      </c>
      <c r="D1" s="5" t="inlineStr">
        <is>
          <t>版</t>
        </is>
      </c>
      <c r="E1" s="5" t="inlineStr">
        <is>
          <t>状態</t>
        </is>
      </c>
      <c r="F1" s="5" t="inlineStr">
        <is>
          <t>進捗率</t>
        </is>
      </c>
      <c r="G1" s="5" t="inlineStr">
        <is>
          <t>現状</t>
        </is>
      </c>
      <c r="H1" s="5" t="inlineStr">
        <is>
          <t>確定に必要なもの</t>
        </is>
      </c>
    </row>
    <row r="2">
      <c r="A2" s="17" t="inlineStr">
        <is>
          <t>①</t>
        </is>
      </c>
      <c r="B2" s="16" t="inlineStr">
        <is>
          <t>介護保険給付費等分析結果報告書</t>
        </is>
      </c>
      <c r="C2" s="16" t="inlineStr">
        <is>
          <t>データCD-R1部＋冊子（簡易製本）3部</t>
        </is>
      </c>
      <c r="D2" s="17" t="inlineStr">
        <is>
          <t>第5版</t>
        </is>
      </c>
      <c r="E2" s="20" t="inlineStr">
        <is>
          <t>進行中</t>
        </is>
      </c>
      <c r="F2" s="17" t="n">
        <v>70</v>
      </c>
      <c r="G2" s="16" t="inlineStr">
        <is>
          <t>8章・44表・約29,500字</t>
        </is>
      </c>
      <c r="H2" s="16" t="inlineStr">
        <is>
          <t>町の給付実績、認定者数の確定</t>
        </is>
      </c>
    </row>
    <row r="3">
      <c r="A3" s="17" t="inlineStr">
        <is>
          <t>②</t>
        </is>
      </c>
      <c r="B3" s="16" t="inlineStr">
        <is>
          <t>サービス見込量推計結果報告書</t>
        </is>
      </c>
      <c r="C3" s="16" t="inlineStr">
        <is>
          <t>データCD-R1部＋冊子（簡易製本）3部</t>
        </is>
      </c>
      <c r="D3" s="17" t="inlineStr">
        <is>
          <t>―</t>
        </is>
      </c>
      <c r="E3" s="20" t="inlineStr">
        <is>
          <t>進行中</t>
        </is>
      </c>
      <c r="F3" s="17" t="n">
        <v>20</v>
      </c>
      <c r="G3" s="16" t="inlineStr">
        <is>
          <t>算定シート（11シート・算式実装済み）を構築。報告書本体は未着手</t>
        </is>
      </c>
      <c r="H3" s="16" t="inlineStr">
        <is>
          <t>認定者数の確定、見える化への入力</t>
        </is>
      </c>
    </row>
    <row r="4">
      <c r="A4" s="17" t="inlineStr">
        <is>
          <t>③</t>
        </is>
      </c>
      <c r="B4" s="16" t="inlineStr">
        <is>
          <t>第10期計画 骨子案</t>
        </is>
      </c>
      <c r="C4" s="16" t="inlineStr">
        <is>
          <t>データCD-R1部＋冊子（簡易製本）3部</t>
        </is>
      </c>
      <c r="D4" s="17" t="inlineStr">
        <is>
          <t>第3版</t>
        </is>
      </c>
      <c r="E4" s="20" t="inlineStr">
        <is>
          <t>進行中</t>
        </is>
      </c>
      <c r="F4" s="17" t="n">
        <v>80</v>
      </c>
      <c r="G4" s="16" t="inlineStr">
        <is>
          <t>13表・9,241字。第9期の5章構成・3基本目標・14施策を反映</t>
        </is>
      </c>
      <c r="H4" s="16" t="inlineStr">
        <is>
          <t>協議会での合意</t>
        </is>
      </c>
    </row>
    <row r="5">
      <c r="A5" s="17" t="inlineStr">
        <is>
          <t>④</t>
        </is>
      </c>
      <c r="B5" s="16" t="inlineStr">
        <is>
          <t>第10期計画 素案</t>
        </is>
      </c>
      <c r="C5" s="16" t="inlineStr">
        <is>
          <t>データCD-R1部＋冊子（簡易製本）3部</t>
        </is>
      </c>
      <c r="D5" s="17" t="inlineStr">
        <is>
          <t>第2版</t>
        </is>
      </c>
      <c r="E5" s="20" t="inlineStr">
        <is>
          <t>進行中</t>
        </is>
      </c>
      <c r="F5" s="17" t="n">
        <v>65</v>
      </c>
      <c r="G5" s="16" t="inlineStr">
        <is>
          <t>5章＋資料編・67表・約32,000字。未確定156箇所を5区分で明示</t>
        </is>
      </c>
      <c r="H5" s="16" t="inlineStr">
        <is>
          <t>見込量・保険料、成果指標の現状値、協議会での合意</t>
        </is>
      </c>
    </row>
    <row r="6">
      <c r="A6" s="17" t="inlineStr">
        <is>
          <t>⑤</t>
        </is>
      </c>
      <c r="B6" s="16" t="inlineStr">
        <is>
          <t>第10期計画</t>
        </is>
      </c>
      <c r="C6" s="16" t="inlineStr">
        <is>
          <t>データCD-R1部、印刷50部（A4・4色刷り・80頁程度）</t>
        </is>
      </c>
      <c r="D6" s="17" t="inlineStr">
        <is>
          <t>―</t>
        </is>
      </c>
      <c r="E6" s="23" t="inlineStr">
        <is>
          <t>未着手</t>
        </is>
      </c>
      <c r="F6" s="17" t="n">
        <v>0</v>
      </c>
      <c r="G6" s="16" t="inlineStr">
        <is>
          <t>―</t>
        </is>
      </c>
      <c r="H6" s="16" t="inlineStr">
        <is>
          <t>素案の確定、パブコメ、印刷工程</t>
        </is>
      </c>
    </row>
    <row r="7">
      <c r="A7" s="17" t="inlineStr">
        <is>
          <t>⑥</t>
        </is>
      </c>
      <c r="B7" s="16" t="inlineStr">
        <is>
          <t>第10期計画 概要版</t>
        </is>
      </c>
      <c r="C7" s="16" t="inlineStr">
        <is>
          <t>データCD-R1部、印刷50部（A4・4色刷り・8頁）</t>
        </is>
      </c>
      <c r="D7" s="17" t="inlineStr">
        <is>
          <t>―</t>
        </is>
      </c>
      <c r="E7" s="23" t="inlineStr">
        <is>
          <t>未着手</t>
        </is>
      </c>
      <c r="F7" s="17" t="n">
        <v>5</v>
      </c>
      <c r="G7" s="16" t="inlineStr">
        <is>
          <t>構成案（8頁のページ割り）は作成済み</t>
        </is>
      </c>
      <c r="H7" s="16" t="inlineStr">
        <is>
          <t>計画書の確定</t>
        </is>
      </c>
    </row>
    <row r="8">
      <c r="A8" t="inlineStr">
        <is>
          <t>※ 進捗率は目安。納品仕様（製本・印刷）を満たして初めて完了となる。</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0"/>
  <sheetViews>
    <sheetView workbookViewId="0">
      <pane ySplit="1" topLeftCell="A2" activePane="bottomLeft" state="frozen"/>
      <selection pane="bottomLeft" activeCell="A1" sqref="A1"/>
    </sheetView>
  </sheetViews>
  <sheetFormatPr baseColWidth="8" defaultRowHeight="15"/>
  <cols>
    <col width="14" customWidth="1" min="1" max="1"/>
    <col width="60" customWidth="1" min="2" max="2"/>
    <col width="14" customWidth="1" min="3" max="3"/>
    <col width="11" customWidth="1" min="4" max="4"/>
    <col width="46" customWidth="1" min="5" max="5"/>
  </cols>
  <sheetData>
    <row r="1">
      <c r="A1" s="5" t="inlineStr">
        <is>
          <t>時期</t>
        </is>
      </c>
      <c r="B1" s="5" t="inlineStr">
        <is>
          <t>作業</t>
        </is>
      </c>
      <c r="C1" s="5" t="inlineStr">
        <is>
          <t>担当</t>
        </is>
      </c>
      <c r="D1" s="5" t="inlineStr">
        <is>
          <t>状態</t>
        </is>
      </c>
      <c r="E1" s="5" t="inlineStr">
        <is>
          <t>備考</t>
        </is>
      </c>
    </row>
    <row r="2">
      <c r="A2" s="17" t="inlineStr">
        <is>
          <t>2026-08</t>
        </is>
      </c>
      <c r="B2" s="16" t="inlineStr">
        <is>
          <t>町データの照会（依頼票の送付）</t>
        </is>
      </c>
      <c r="C2" s="17" t="inlineStr">
        <is>
          <t>受託者</t>
        </is>
      </c>
      <c r="D2" s="21" t="inlineStr">
        <is>
          <t>要対応</t>
        </is>
      </c>
      <c r="E2" s="16" t="inlineStr">
        <is>
          <t>**認定者数の確認を含む。最優先**</t>
        </is>
      </c>
    </row>
    <row r="3">
      <c r="A3" s="17" t="inlineStr">
        <is>
          <t>2026-08〜09</t>
        </is>
      </c>
      <c r="B3" s="16" t="inlineStr">
        <is>
          <t>協議会 第1回（第9期の評価・調査結果）</t>
        </is>
      </c>
      <c r="C3" s="17" t="inlineStr">
        <is>
          <t>受託者・町</t>
        </is>
      </c>
      <c r="D3" s="21" t="inlineStr">
        <is>
          <t>要対応</t>
        </is>
      </c>
      <c r="E3" s="16" t="inlineStr">
        <is>
          <t>資料は作成済み。**開催日が未定**</t>
        </is>
      </c>
    </row>
    <row r="4">
      <c r="A4" s="17" t="inlineStr">
        <is>
          <t>2026-09</t>
        </is>
      </c>
      <c r="B4" s="16" t="inlineStr">
        <is>
          <t>見える化 優先度C分野の出力</t>
        </is>
      </c>
      <c r="C4" s="17" t="inlineStr">
        <is>
          <t>受託者</t>
        </is>
      </c>
      <c r="D4" s="23" t="inlineStr">
        <is>
          <t>未着手</t>
        </is>
      </c>
      <c r="E4" s="16" t="inlineStr">
        <is>
          <t>―</t>
        </is>
      </c>
    </row>
    <row r="5">
      <c r="A5" s="17" t="inlineStr">
        <is>
          <t>2026-10</t>
        </is>
      </c>
      <c r="B5" s="16" t="inlineStr">
        <is>
          <t>認定者数の確定、見込量の推計、見える化への入力</t>
        </is>
      </c>
      <c r="C5" s="17" t="inlineStr">
        <is>
          <t>受託者</t>
        </is>
      </c>
      <c r="D5" s="23" t="inlineStr">
        <is>
          <t>未着手</t>
        </is>
      </c>
      <c r="E5" s="16" t="inlineStr">
        <is>
          <t>**本業務の最大の節目**</t>
        </is>
      </c>
    </row>
    <row r="6">
      <c r="A6" s="17" t="inlineStr">
        <is>
          <t>2026-11</t>
        </is>
      </c>
      <c r="B6" s="16" t="inlineStr">
        <is>
          <t>保険料のケース別算定、協議会 第2回（骨子案・見込量・保険料・成果指標）</t>
        </is>
      </c>
      <c r="C6" s="17" t="inlineStr">
        <is>
          <t>受託者・町</t>
        </is>
      </c>
      <c r="D6" s="23" t="inlineStr">
        <is>
          <t>未着手</t>
        </is>
      </c>
      <c r="E6" s="16" t="inlineStr">
        <is>
          <t>―</t>
        </is>
      </c>
    </row>
    <row r="7">
      <c r="A7" s="17" t="inlineStr">
        <is>
          <t>2026-12</t>
        </is>
      </c>
      <c r="B7" s="16" t="inlineStr">
        <is>
          <t>素案の確定、協議会 第3回（素案）</t>
        </is>
      </c>
      <c r="C7" s="17" t="inlineStr">
        <is>
          <t>受託者・町</t>
        </is>
      </c>
      <c r="D7" s="23" t="inlineStr">
        <is>
          <t>未着手</t>
        </is>
      </c>
      <c r="E7" s="16" t="inlineStr">
        <is>
          <t>―</t>
        </is>
      </c>
    </row>
    <row r="8">
      <c r="A8" s="17" t="inlineStr">
        <is>
          <t>2027-01</t>
        </is>
      </c>
      <c r="B8" s="16" t="inlineStr">
        <is>
          <t>パブリックコメント（1か月）</t>
        </is>
      </c>
      <c r="C8" s="17" t="inlineStr">
        <is>
          <t>町</t>
        </is>
      </c>
      <c r="D8" s="23" t="inlineStr">
        <is>
          <t>未着手</t>
        </is>
      </c>
      <c r="E8" s="16" t="inlineStr">
        <is>
          <t>―</t>
        </is>
      </c>
    </row>
    <row r="9">
      <c r="A9" s="17" t="inlineStr">
        <is>
          <t>2027-02</t>
        </is>
      </c>
      <c r="B9" s="16" t="inlineStr">
        <is>
          <t>意見への対応、協議会 第4回（最終案）、**計画書の校了・下版**</t>
        </is>
      </c>
      <c r="C9" s="17" t="inlineStr">
        <is>
          <t>受託者・町</t>
        </is>
      </c>
      <c r="D9" s="23" t="inlineStr">
        <is>
          <t>未着手</t>
        </is>
      </c>
      <c r="E9" s="16" t="inlineStr">
        <is>
          <t>**2月下旬の校了が動かせない期限**</t>
        </is>
      </c>
    </row>
    <row r="10">
      <c r="A10" s="17" t="inlineStr">
        <is>
          <t>2027-03</t>
        </is>
      </c>
      <c r="B10" s="16" t="inlineStr">
        <is>
          <t>印刷・製本、概要版の作成、納品</t>
        </is>
      </c>
      <c r="C10" s="17" t="inlineStr">
        <is>
          <t>受託者</t>
        </is>
      </c>
      <c r="D10" s="23" t="inlineStr">
        <is>
          <t>未着手</t>
        </is>
      </c>
      <c r="E10" s="16" t="inlineStr">
        <is>
          <t>計画書50部・概要版50部・簡易製本各3部</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20"/>
  <sheetViews>
    <sheetView workbookViewId="0">
      <pane ySplit="1" topLeftCell="A2" activePane="bottomLeft" state="frozen"/>
      <selection pane="bottomLeft" activeCell="A1" sqref="A1"/>
    </sheetView>
  </sheetViews>
  <sheetFormatPr baseColWidth="8" defaultRowHeight="15"/>
  <cols>
    <col width="7" customWidth="1" min="1" max="1"/>
    <col width="44" customWidth="1" min="2" max="2"/>
    <col width="20" customWidth="1" min="3" max="3"/>
    <col width="11" customWidth="1" min="4" max="4"/>
    <col width="13" customWidth="1" min="5" max="5"/>
    <col width="56" customWidth="1" min="6" max="6"/>
  </cols>
  <sheetData>
    <row r="1">
      <c r="A1" s="5" t="inlineStr">
        <is>
          <t>No</t>
        </is>
      </c>
      <c r="B1" s="5" t="inlineStr">
        <is>
          <t>資料・データ</t>
        </is>
      </c>
      <c r="C1" s="5" t="inlineStr">
        <is>
          <t>提供元</t>
        </is>
      </c>
      <c r="D1" s="5" t="inlineStr">
        <is>
          <t>状態</t>
        </is>
      </c>
      <c r="E1" s="5" t="inlineStr">
        <is>
          <t>受領日</t>
        </is>
      </c>
      <c r="F1" s="5" t="inlineStr">
        <is>
          <t>使途・備考</t>
        </is>
      </c>
    </row>
    <row r="2">
      <c r="A2" s="17" t="inlineStr">
        <is>
          <t>町資料</t>
        </is>
      </c>
      <c r="B2" s="16" t="inlineStr">
        <is>
          <t>**介護保険事業状況報告（年報）令和3〜7年度（各47様式）**</t>
        </is>
      </c>
      <c r="C2" s="17" t="inlineStr">
        <is>
          <t>町</t>
        </is>
      </c>
      <c r="D2" s="18" t="inlineStr">
        <is>
          <t>完了</t>
        </is>
      </c>
      <c r="E2" s="17" t="inlineStr">
        <is>
          <t>2026-09-08</t>
        </is>
      </c>
      <c r="F2" s="16" t="inlineStr">
        <is>
          <t>**認定者数（様式1の5）・被保険者数（様式1）・受給者数（様式1の6）・サービス別給付費（様式2）・保険料収納状況（様式3）・所得段階別被保険者数・経理状況（様式4）。依頼票N1・S1〜S5を一括で解決した**</t>
        </is>
      </c>
    </row>
    <row r="3">
      <c r="A3" s="17" t="inlineStr">
        <is>
          <t>町資料</t>
        </is>
      </c>
      <c r="B3" s="16" t="inlineStr">
        <is>
          <t>**保険者別 国保連合会業務統計表（月報）令和6年5月〜令和8年8月送付分**</t>
        </is>
      </c>
      <c r="C3" s="17" t="inlineStr">
        <is>
          <t>町</t>
        </is>
      </c>
      <c r="D3" s="18" t="inlineStr">
        <is>
          <t>完了</t>
        </is>
      </c>
      <c r="E3" s="17" t="inlineStr">
        <is>
          <t>2026-09-08</t>
        </is>
      </c>
      <c r="F3" s="16" t="inlineStr">
        <is>
          <t>**28か月分の月次認定者数と給付件数。令和7年9月審査分の▲99人の断層を特定した**</t>
        </is>
      </c>
    </row>
    <row r="4">
      <c r="A4" s="17" t="inlineStr">
        <is>
          <t>町資料</t>
        </is>
      </c>
      <c r="B4" s="16" t="inlineStr">
        <is>
          <t>**第10期将来推計用推計人口（男女別・5歳階級別・令和2〜32年）**</t>
        </is>
      </c>
      <c r="C4" s="17" t="inlineStr">
        <is>
          <t>町</t>
        </is>
      </c>
      <c r="D4" s="18" t="inlineStr">
        <is>
          <t>完了</t>
        </is>
      </c>
      <c r="E4" s="17" t="inlineStr">
        <is>
          <t>2026-09-08</t>
        </is>
      </c>
      <c r="F4" s="16" t="inlineStr">
        <is>
          <t>コーホート変化率法。令和9年8,591人→令和11年8,232人。**障がい福祉計画が用いている人口（令和9年8,287人）と300人以上異なり、統一が必要**</t>
        </is>
      </c>
    </row>
    <row r="5">
      <c r="A5" s="17" t="inlineStr">
        <is>
          <t>見える化</t>
        </is>
      </c>
      <c r="B5" s="16" t="inlineStr">
        <is>
          <t>人口・世帯（A系13）／第1号被保険者（B系4）／地域分析（B・D・δ系53）</t>
        </is>
      </c>
      <c r="C5" s="17" t="inlineStr">
        <is>
          <t>見える化システム</t>
        </is>
      </c>
      <c r="D5" s="18" t="inlineStr">
        <is>
          <t>完了</t>
        </is>
      </c>
      <c r="E5" s="17" t="inlineStr">
        <is>
          <t>2026-07</t>
        </is>
      </c>
      <c r="F5" s="16" t="inlineStr">
        <is>
          <t>基礎数値・地域分析ブックに取込</t>
        </is>
      </c>
    </row>
    <row r="6">
      <c r="A6" s="17" t="inlineStr">
        <is>
          <t>見える化</t>
        </is>
      </c>
      <c r="B6" s="16" t="inlineStr">
        <is>
          <t>認定者数 年度末基準（B3a〜B3e／5系列）</t>
        </is>
      </c>
      <c r="C6" s="17" t="inlineStr">
        <is>
          <t>見える化システム</t>
        </is>
      </c>
      <c r="D6" s="18" t="inlineStr">
        <is>
          <t>完了</t>
        </is>
      </c>
      <c r="E6" s="17" t="inlineStr">
        <is>
          <t>2026-08-05</t>
        </is>
      </c>
      <c r="F6" s="16" t="inlineStr">
        <is>
          <t>**平成19年3月末〜令和8年3月末の20期。第1号＋第2号＝全体を検算済み**</t>
        </is>
      </c>
    </row>
    <row r="7">
      <c r="A7" s="17" t="inlineStr">
        <is>
          <t>見える化</t>
        </is>
      </c>
      <c r="B7" s="16" t="inlineStr">
        <is>
          <t>介護保険特別会計経理状況（D47・D48系25）</t>
        </is>
      </c>
      <c r="C7" s="17" t="inlineStr">
        <is>
          <t>見える化システム</t>
        </is>
      </c>
      <c r="D7" s="18" t="inlineStr">
        <is>
          <t>完了</t>
        </is>
      </c>
      <c r="E7" s="17" t="inlineStr">
        <is>
          <t>2026-08-04</t>
        </is>
      </c>
      <c r="F7" s="16" t="inlineStr">
        <is>
          <t>財政整理ブックに取込。H26〜R5</t>
        </is>
      </c>
    </row>
    <row r="8">
      <c r="A8" s="17" t="inlineStr">
        <is>
          <t>見える化</t>
        </is>
      </c>
      <c r="B8" s="16" t="inlineStr">
        <is>
          <t>入所定員（D25〜D30）／介護予防・総合事業（F系27）／認知症施策（J16〜18）</t>
        </is>
      </c>
      <c r="C8" s="17" t="inlineStr">
        <is>
          <t>見える化システム</t>
        </is>
      </c>
      <c r="D8" s="18" t="inlineStr">
        <is>
          <t>完了</t>
        </is>
      </c>
      <c r="E8" s="17" t="inlineStr">
        <is>
          <t>2026-08-04</t>
        </is>
      </c>
      <c r="F8" s="16" t="inlineStr">
        <is>
          <t>通いの場はR2まで、総合事業はR1・R2のみ</t>
        </is>
      </c>
    </row>
    <row r="9">
      <c r="A9" s="17" t="inlineStr">
        <is>
          <t>見える化</t>
        </is>
      </c>
      <c r="B9" s="16" t="inlineStr">
        <is>
          <t>サービス自給率（δ2・δ3系12）／給付分析（D17・D1〜D6・B1・B4-a／29）</t>
        </is>
      </c>
      <c r="C9" s="17" t="inlineStr">
        <is>
          <t>見える化システム</t>
        </is>
      </c>
      <c r="D9" s="18" t="inlineStr">
        <is>
          <t>完了</t>
        </is>
      </c>
      <c r="E9" s="17" t="inlineStr">
        <is>
          <t>2026-08-04</t>
        </is>
      </c>
      <c r="F9" s="16" t="inlineStr">
        <is>
          <t>県内59市町村の比較値つき</t>
        </is>
      </c>
    </row>
    <row r="10">
      <c r="A10" s="17" t="inlineStr">
        <is>
          <t>見える化</t>
        </is>
      </c>
      <c r="B10" s="16" t="inlineStr">
        <is>
          <t>在宅医療・介護連携、医療提供体制、リハビリ提供体制、交付金評価指標</t>
        </is>
      </c>
      <c r="C10" s="17" t="inlineStr">
        <is>
          <t>見える化システム</t>
        </is>
      </c>
      <c r="D10" s="23" t="inlineStr">
        <is>
          <t>未着手</t>
        </is>
      </c>
      <c r="E10" s="17" t="inlineStr">
        <is>
          <t>―</t>
        </is>
      </c>
      <c r="F10" s="16" t="inlineStr">
        <is>
          <t>優先度C。システムへのアクセスが必要</t>
        </is>
      </c>
    </row>
    <row r="11">
      <c r="A11" s="17" t="inlineStr">
        <is>
          <t>町資料</t>
        </is>
      </c>
      <c r="B11" s="16" t="inlineStr">
        <is>
          <t>第9期高齢者保健福祉計画・介護保険事業計画 本文</t>
        </is>
      </c>
      <c r="C11" s="17" t="inlineStr">
        <is>
          <t>町</t>
        </is>
      </c>
      <c r="D11" s="18" t="inlineStr">
        <is>
          <t>完了</t>
        </is>
      </c>
      <c r="E11" s="17" t="inlineStr">
        <is>
          <t>2026-08-04</t>
        </is>
      </c>
      <c r="F11" s="16" t="inlineStr">
        <is>
          <t>5章構成・3基本目標・14施策、標準給付費3,566,486千円、保険料6,600円の算定根拠</t>
        </is>
      </c>
    </row>
    <row r="12">
      <c r="A12" s="17" t="inlineStr">
        <is>
          <t>町資料</t>
        </is>
      </c>
      <c r="B12" s="16" t="inlineStr">
        <is>
          <t>第3期地域福祉計画 本文・概要版</t>
        </is>
      </c>
      <c r="C12" s="17" t="inlineStr">
        <is>
          <t>町</t>
        </is>
      </c>
      <c r="D12" s="18" t="inlineStr">
        <is>
          <t>完了</t>
        </is>
      </c>
      <c r="E12" s="17" t="inlineStr">
        <is>
          <t>2026-08-04</t>
        </is>
      </c>
      <c r="F12" s="16" t="inlineStr">
        <is>
          <t>重複5施策を特定し役割分担を整理</t>
        </is>
      </c>
    </row>
    <row r="13">
      <c r="A13" s="17" t="inlineStr">
        <is>
          <t>町資料</t>
        </is>
      </c>
      <c r="B13" s="16" t="inlineStr">
        <is>
          <t>令和7年度 調査結果報告書（104頁）</t>
        </is>
      </c>
      <c r="C13" s="17" t="inlineStr">
        <is>
          <t>町</t>
        </is>
      </c>
      <c r="D13" s="18" t="inlineStr">
        <is>
          <t>完了</t>
        </is>
      </c>
      <c r="E13" s="17" t="inlineStr">
        <is>
          <t>2026-08-05</t>
        </is>
      </c>
      <c r="F13" s="16" t="inlineStr">
        <is>
          <t>単純集計とリスク分析を取得。集計結果・分析報告書として取りまとめ済み</t>
        </is>
      </c>
    </row>
    <row r="14">
      <c r="A14" s="17" t="inlineStr">
        <is>
          <t>町資料</t>
        </is>
      </c>
      <c r="B14" s="16" t="inlineStr">
        <is>
          <t>令和8年3月末の認定者数の確認（依頼票N1）</t>
        </is>
      </c>
      <c r="C14" s="17" t="inlineStr">
        <is>
          <t>町</t>
        </is>
      </c>
      <c r="D14" s="18" t="inlineStr">
        <is>
          <t>完了</t>
        </is>
      </c>
      <c r="E14" s="17" t="inlineStr">
        <is>
          <t>2026-09-08</t>
        </is>
      </c>
      <c r="F14" s="16" t="inlineStr">
        <is>
          <t>**792人（第1号783＋第2号9）を年報 様式1の5で確認。見える化の値と一致**</t>
        </is>
      </c>
    </row>
    <row r="15">
      <c r="A15" s="17" t="inlineStr">
        <is>
          <t>町資料</t>
        </is>
      </c>
      <c r="B15" s="16" t="inlineStr">
        <is>
          <t>**令和7年8〜9月の認定者数の計上方法の変更の有無（N2〜N4の後継）**</t>
        </is>
      </c>
      <c r="C15" s="17" t="inlineStr">
        <is>
          <t>町</t>
        </is>
      </c>
      <c r="D15" s="21" t="inlineStr">
        <is>
          <t>要対応</t>
        </is>
      </c>
      <c r="E15" s="17" t="inlineStr">
        <is>
          <t>―</t>
        </is>
      </c>
      <c r="F15" s="16" t="inlineStr">
        <is>
          <t>**国保連月報で令和7年9月審査分に▲99人の断層を特定。同月の給付件数は減っていない。町外施設入所者の帰属・住所地特例・集計定義のいずれが変わったかを確認する**</t>
        </is>
      </c>
    </row>
    <row r="16">
      <c r="A16" s="17" t="inlineStr">
        <is>
          <t>町資料</t>
        </is>
      </c>
      <c r="B16" s="16" t="inlineStr">
        <is>
          <t>令和3〜7年度 サービス別給付費・受給者数（S1・S2）</t>
        </is>
      </c>
      <c r="C16" s="17" t="inlineStr">
        <is>
          <t>町</t>
        </is>
      </c>
      <c r="D16" s="18" t="inlineStr">
        <is>
          <t>完了</t>
        </is>
      </c>
      <c r="E16" s="17" t="inlineStr">
        <is>
          <t>2026-09-08</t>
        </is>
      </c>
      <c r="F16" s="16" t="inlineStr">
        <is>
          <t>**年報 様式2・様式1の6で取得**</t>
        </is>
      </c>
    </row>
    <row r="17">
      <c r="A17" s="17" t="inlineStr">
        <is>
          <t>町資料</t>
        </is>
      </c>
      <c r="B17" s="16" t="inlineStr">
        <is>
          <t>所得段階別人数・収納率・基金残高（S3〜S5）</t>
        </is>
      </c>
      <c r="C17" s="17" t="inlineStr">
        <is>
          <t>町</t>
        </is>
      </c>
      <c r="D17" s="18" t="inlineStr">
        <is>
          <t>完了</t>
        </is>
      </c>
      <c r="E17" s="17" t="inlineStr">
        <is>
          <t>2026-09-08</t>
        </is>
      </c>
      <c r="F17" s="16" t="inlineStr">
        <is>
          <t>**年報 様式1 所得段階別・様式3・様式4で取得。基金保有額が令和4年度末120百万円→令和5年度末12百万円と1桁減っており要確認**</t>
        </is>
      </c>
    </row>
    <row r="18">
      <c r="A18" s="17" t="inlineStr">
        <is>
          <t>町資料</t>
        </is>
      </c>
      <c r="B18" s="16" t="inlineStr">
        <is>
          <t>地域支援事業費の実績と事業別内訳（S6）／令和7年度決算（S7）</t>
        </is>
      </c>
      <c r="C18" s="17" t="inlineStr">
        <is>
          <t>町</t>
        </is>
      </c>
      <c r="D18" s="21" t="inlineStr">
        <is>
          <t>要対応</t>
        </is>
      </c>
      <c r="E18" s="17" t="inlineStr">
        <is>
          <t>―</t>
        </is>
      </c>
      <c r="F18" s="16" t="inlineStr">
        <is>
          <t>**年報 様式4の令和7年度が全て0で未入力。決算確定後の再受領が必要**</t>
        </is>
      </c>
    </row>
    <row r="19">
      <c r="A19" s="17" t="inlineStr">
        <is>
          <t>町資料</t>
        </is>
      </c>
      <c r="B19" s="16" t="inlineStr">
        <is>
          <t>成果指標の現状値 17項目（H1〜H17）</t>
        </is>
      </c>
      <c r="C19" s="17" t="inlineStr">
        <is>
          <t>町</t>
        </is>
      </c>
      <c r="D19" s="23" t="inlineStr">
        <is>
          <t>未着手</t>
        </is>
      </c>
      <c r="E19" s="17" t="inlineStr">
        <is>
          <t>―</t>
        </is>
      </c>
      <c r="F19" s="16" t="inlineStr">
        <is>
          <t>**うちH3（総合事業・通いの場）とH16（調査の個票）が最優先**</t>
        </is>
      </c>
    </row>
    <row r="20">
      <c r="A20" t="inlineStr">
        <is>
          <t>※ 依頼の詳細（粒度・様式・基準日）は 16_町データ依頼/小野町_データ依頼票 を参照。</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7"/>
  <sheetViews>
    <sheetView workbookViewId="0">
      <pane ySplit="1" topLeftCell="A2" activePane="bottomLeft" state="frozen"/>
      <selection pane="bottomLeft" activeCell="A1" sqref="A1"/>
    </sheetView>
  </sheetViews>
  <sheetFormatPr baseColWidth="8" defaultRowHeight="15"/>
  <cols>
    <col width="22" customWidth="1" min="1" max="1"/>
    <col width="8" customWidth="1" min="2" max="2"/>
    <col width="16" customWidth="1" min="3" max="3"/>
    <col width="46" customWidth="1" min="4" max="4"/>
    <col width="13" customWidth="1" min="5" max="5"/>
    <col width="46" customWidth="1" min="6" max="6"/>
  </cols>
  <sheetData>
    <row r="1">
      <c r="A1" s="5" t="inlineStr">
        <is>
          <t>区分</t>
        </is>
      </c>
      <c r="B1" s="5" t="inlineStr">
        <is>
          <t>回</t>
        </is>
      </c>
      <c r="C1" s="5" t="inlineStr">
        <is>
          <t>時期</t>
        </is>
      </c>
      <c r="D1" s="5" t="inlineStr">
        <is>
          <t>議題</t>
        </is>
      </c>
      <c r="E1" s="5" t="inlineStr">
        <is>
          <t>資料の状態</t>
        </is>
      </c>
      <c r="F1" s="5" t="inlineStr">
        <is>
          <t>備考</t>
        </is>
      </c>
    </row>
    <row r="2">
      <c r="A2" s="17" t="inlineStr">
        <is>
          <t>高齢者福祉サービス推進協議会</t>
        </is>
      </c>
      <c r="B2" s="17" t="inlineStr">
        <is>
          <t>第1回</t>
        </is>
      </c>
      <c r="C2" s="17" t="inlineStr">
        <is>
          <t>令和8年8〜9月</t>
        </is>
      </c>
      <c r="D2" s="16" t="inlineStr">
        <is>
          <t>第9期計画の評価、令和7年度調査結果の整理</t>
        </is>
      </c>
      <c r="E2" s="18" t="inlineStr">
        <is>
          <t>完了</t>
        </is>
      </c>
      <c r="F2" s="16" t="inlineStr">
        <is>
          <t>**資料は作成済み（42表・約23,500字）。開催日が未定**</t>
        </is>
      </c>
    </row>
    <row r="3">
      <c r="A3" s="17" t="inlineStr">
        <is>
          <t>高齢者福祉サービス推進協議会</t>
        </is>
      </c>
      <c r="B3" s="17" t="inlineStr">
        <is>
          <t>第2回</t>
        </is>
      </c>
      <c r="C3" s="17" t="inlineStr">
        <is>
          <t>令和8年11月</t>
        </is>
      </c>
      <c r="D3" s="16" t="inlineStr">
        <is>
          <t>骨子案、サービス見込量、保険料の考え方、成果指標の目標値</t>
        </is>
      </c>
      <c r="E3" s="20" t="inlineStr">
        <is>
          <t>進行中</t>
        </is>
      </c>
      <c r="F3" s="16" t="inlineStr">
        <is>
          <t>骨子案第3版・成果指標目標値案（40指標）は作成済み</t>
        </is>
      </c>
    </row>
    <row r="4">
      <c r="A4" s="17" t="inlineStr">
        <is>
          <t>高齢者福祉サービス推進協議会</t>
        </is>
      </c>
      <c r="B4" s="17" t="inlineStr">
        <is>
          <t>第3回</t>
        </is>
      </c>
      <c r="C4" s="17" t="inlineStr">
        <is>
          <t>令和8年12月</t>
        </is>
      </c>
      <c r="D4" s="16" t="inlineStr">
        <is>
          <t>計画素案</t>
        </is>
      </c>
      <c r="E4" s="20" t="inlineStr">
        <is>
          <t>進行中</t>
        </is>
      </c>
      <c r="F4" s="16" t="inlineStr">
        <is>
          <t>素案第2版は作成済み。見込量・保険料の反映が必要</t>
        </is>
      </c>
    </row>
    <row r="5">
      <c r="A5" s="17" t="inlineStr">
        <is>
          <t>高齢者福祉サービス推進協議会</t>
        </is>
      </c>
      <c r="B5" s="17" t="inlineStr">
        <is>
          <t>第4回</t>
        </is>
      </c>
      <c r="C5" s="17" t="inlineStr">
        <is>
          <t>令和9年2月</t>
        </is>
      </c>
      <c r="D5" s="16" t="inlineStr">
        <is>
          <t>パブリックコメントの結果、計画最終案</t>
        </is>
      </c>
      <c r="E5" s="23" t="inlineStr">
        <is>
          <t>未着手</t>
        </is>
      </c>
      <c r="F5" s="16" t="inlineStr">
        <is>
          <t>―</t>
        </is>
      </c>
    </row>
    <row r="6">
      <c r="A6" s="17" t="inlineStr">
        <is>
          <t>パブリックコメント</t>
        </is>
      </c>
      <c r="B6" s="17" t="inlineStr">
        <is>
          <t>―</t>
        </is>
      </c>
      <c r="C6" s="17" t="inlineStr">
        <is>
          <t>令和9年1月</t>
        </is>
      </c>
      <c r="D6" s="16" t="inlineStr">
        <is>
          <t>計画素案に対する意見の募集</t>
        </is>
      </c>
      <c r="E6" s="18" t="inlineStr">
        <is>
          <t>完了</t>
        </is>
      </c>
      <c r="F6" s="16" t="inlineStr">
        <is>
          <t>実施要領・意見提出様式・対応表の様式は作成済み</t>
        </is>
      </c>
    </row>
    <row r="7">
      <c r="A7" s="17" t="inlineStr">
        <is>
          <t>町との打合せ</t>
        </is>
      </c>
      <c r="B7" s="17" t="inlineStr">
        <is>
          <t>随時</t>
        </is>
      </c>
      <c r="C7" s="17" t="inlineStr">
        <is>
          <t>通年</t>
        </is>
      </c>
      <c r="D7" s="16" t="inlineStr">
        <is>
          <t>工程、データ、協議事項</t>
        </is>
      </c>
      <c r="E7" s="18" t="inlineStr">
        <is>
          <t>完了</t>
        </is>
      </c>
      <c r="F7" s="16" t="inlineStr">
        <is>
          <t>**仕様書8①により受託者が記録を作成し相互確認する。様式は作成済み**</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F13"/>
  <sheetViews>
    <sheetView workbookViewId="0">
      <pane ySplit="1" topLeftCell="A2" activePane="bottomLeft" state="frozen"/>
      <selection pane="bottomLeft" activeCell="A1" sqref="A1"/>
    </sheetView>
  </sheetViews>
  <sheetFormatPr baseColWidth="8" defaultRowHeight="15"/>
  <cols>
    <col width="5" customWidth="1" min="1" max="1"/>
    <col width="26" customWidth="1" min="2" max="2"/>
    <col width="56" customWidth="1" min="3" max="3"/>
    <col width="40" customWidth="1" min="4" max="4"/>
    <col width="46" customWidth="1" min="5" max="5"/>
    <col width="11" customWidth="1" min="6" max="6"/>
  </cols>
  <sheetData>
    <row r="1">
      <c r="A1" s="5" t="inlineStr">
        <is>
          <t>No</t>
        </is>
      </c>
      <c r="B1" s="5" t="inlineStr">
        <is>
          <t>課題・リスク</t>
        </is>
      </c>
      <c r="C1" s="5" t="inlineStr">
        <is>
          <t>内容</t>
        </is>
      </c>
      <c r="D1" s="5" t="inlineStr">
        <is>
          <t>影響</t>
        </is>
      </c>
      <c r="E1" s="5" t="inlineStr">
        <is>
          <t>対応</t>
        </is>
      </c>
      <c r="F1" s="5" t="inlineStr">
        <is>
          <t>状態</t>
        </is>
      </c>
    </row>
    <row r="2">
      <c r="A2" s="17" t="n">
        <v>1</v>
      </c>
      <c r="B2" s="16" t="inlineStr">
        <is>
          <t>認定者数の計上方法の変更（旧「認定者数の異常」）</t>
        </is>
      </c>
      <c r="C2" s="16" t="inlineStr">
        <is>
          <t>**令和8年3月末の792人は年報 様式1の5で裏付けられ、値そのものは確定した。**国保連月報28か月で、減少が令和7年9月審査分の1か月に集中していること（961→862人・▲10.3％）と、同じ月に給付件数が減っていないこと（1,303→1,365件）が判明した。減少は要介護2以上に集中し要支援1は増えている。死亡171人は平年並み</t>
        </is>
      </c>
      <c r="D2" s="16" t="inlineStr">
        <is>
          <t>**実態の変化ではなく計上の変更である可能性が高い。**認定者数ベースで給付費を推計すると過小になる（令和7年度は認定者▲16.1％に対し給付費▲7.4％）</t>
        </is>
      </c>
      <c r="E2" s="16" t="inlineStr">
        <is>
          <t>**令和7年8〜9月の計上方法の変更を町に確認する。見込量は認定者数ベースではなく受給者数・給付費の実績を基礎に組む**</t>
        </is>
      </c>
      <c r="F2" s="21" t="inlineStr">
        <is>
          <t>要対応</t>
        </is>
      </c>
    </row>
    <row r="3">
      <c r="A3" s="17" t="n">
        <v>2</v>
      </c>
      <c r="B3" s="16" t="inlineStr">
        <is>
          <t>町の実績データの受領状況</t>
        </is>
      </c>
      <c r="C3" s="16" t="inlineStr">
        <is>
          <t>**9月8日に年報5年分・国保連月報28か月・将来推計人口を受領し、依頼35項目のうち主要項目が解決した。**残るのは地域支援事業費の内訳、令和7年度決算、成果指標の現状値17項目</t>
        </is>
      </c>
      <c r="D3" s="16" t="inlineStr">
        <is>
          <t>見込量・保険料の算定に着手できる状態になった</t>
        </is>
      </c>
      <c r="E3" s="16" t="inlineStr">
        <is>
          <t>残項目を再依頼する。とくに地域支援事業費は総合事業・通いの場の評価に必須</t>
        </is>
      </c>
      <c r="F3" s="20" t="inlineStr">
        <is>
          <t>進行中</t>
        </is>
      </c>
    </row>
    <row r="4">
      <c r="A4" s="17" t="n">
        <v>3</v>
      </c>
      <c r="B4" s="16" t="inlineStr">
        <is>
          <t>協議会の開催回数・時期が未定</t>
        </is>
      </c>
      <c r="C4" s="16" t="inlineStr">
        <is>
          <t>仕様書4(5)は開催支援を定めるが回数の指定がない</t>
        </is>
      </c>
      <c r="D4" s="16" t="inlineStr">
        <is>
          <t>工程が引けず、パブコメ・印刷の日程も確定できない</t>
        </is>
      </c>
      <c r="E4" s="16" t="inlineStr">
        <is>
          <t>受託者案（4回）を提示して町と確定する（依頼票C4）</t>
        </is>
      </c>
      <c r="F4" s="21" t="inlineStr">
        <is>
          <t>要対応</t>
        </is>
      </c>
    </row>
    <row r="5">
      <c r="A5" s="17" t="n">
        <v>4</v>
      </c>
      <c r="B5" s="16" t="inlineStr">
        <is>
          <t>介護予防のデータ欠落</t>
        </is>
      </c>
      <c r="C5" s="16" t="inlineStr">
        <is>
          <t>見える化の通いの場はR2まで、総合事業はR1・R2のみで値もほぼ空。F7〜F14は本町の値が未登録</t>
        </is>
      </c>
      <c r="D5" s="16" t="inlineStr">
        <is>
          <t>第9期の介護予防施策を評価できない</t>
        </is>
      </c>
      <c r="E5" s="16" t="inlineStr">
        <is>
          <t>町の事業実績（令和3〜7年度）で代替する（依頼票H3）</t>
        </is>
      </c>
      <c r="F5" s="22" t="inlineStr">
        <is>
          <t>データ待ち</t>
        </is>
      </c>
    </row>
    <row r="6">
      <c r="A6" s="17" t="n">
        <v>5</v>
      </c>
      <c r="B6" s="16" t="inlineStr">
        <is>
          <t>通いの場が実質ゼロ</t>
        </is>
      </c>
      <c r="C6" s="16" t="inlineStr">
        <is>
          <t>見える化では週1回以上が平成28年度以降0か所。一方、調査では週1回以上の参加が5.5％（高齢者人口換算で約190人）</t>
        </is>
      </c>
      <c r="D6" s="16" t="inlineStr">
        <is>
          <t>第10期の最重点施策が設計できない。調整済み軽度認定率は10.6％→15.2％に上昇</t>
        </is>
      </c>
      <c r="E6" s="16" t="inlineStr">
        <is>
          <t>町の実態を確認したうえで、実態把握と登録を令和9年度の目標に置く</t>
        </is>
      </c>
      <c r="F6" s="20" t="inlineStr">
        <is>
          <t>進行中</t>
        </is>
      </c>
    </row>
    <row r="7">
      <c r="A7" s="17" t="n">
        <v>6</v>
      </c>
      <c r="B7" s="16" t="inlineStr">
        <is>
          <t>認定と利用のギャップ</t>
        </is>
      </c>
      <c r="C7" s="16" t="inlineStr">
        <is>
          <t>認定率の地域差指数1.24に対し受給率1.07（比0.86）。在宅の認定者の42.1％が未利用</t>
        </is>
      </c>
      <c r="D7" s="16" t="inlineStr">
        <is>
          <t>利用に移行した場合に給付費が急増するリスク</t>
        </is>
      </c>
      <c r="E7" s="16" t="inlineStr">
        <is>
          <t>未利用理由の92.9％が需要側（供給制約は0.6％）。供給確保ではなく認定運用の確認・利用意向への働きかけ・レスパイトで対応する</t>
        </is>
      </c>
      <c r="F7" s="20" t="inlineStr">
        <is>
          <t>進行中</t>
        </is>
      </c>
    </row>
    <row r="8">
      <c r="A8" s="17" t="n">
        <v>7</v>
      </c>
      <c r="B8" s="16" t="inlineStr">
        <is>
          <t>財政余剰の取扱いと基金残高の不整合</t>
        </is>
      </c>
      <c r="C8" s="16" t="inlineStr">
        <is>
          <t>**年報 様式4で、歳入歳出差引残額は令和6年度末144.2百万円ある一方、介護給付費準備基金の保有額は12.0百万円しかない。**しかも令和4年度末は120.0百万円で、令和5年度末に1桁減っている。第9期は基金取崩35.0百万円を見込んでいた</t>
        </is>
      </c>
      <c r="D8" s="16" t="inlineStr">
        <is>
          <t>**基金が12百万円しかなければ35百万円の取崩は実行できない。**第10期の保険料水準の判断に直結する</t>
        </is>
      </c>
      <c r="E8" s="16" t="inlineStr">
        <is>
          <t>取崩実績か入力誤りかを町に確認したうえで、余剰の還元（据置・引下げ・繰越金の基金積立）をケースC5・C6として算定する</t>
        </is>
      </c>
      <c r="F8" s="21" t="inlineStr">
        <is>
          <t>要対応</t>
        </is>
      </c>
    </row>
    <row r="9">
      <c r="A9" s="17" t="n">
        <v>8</v>
      </c>
      <c r="B9" s="16" t="inlineStr">
        <is>
          <t>施設整備方針との不整合</t>
        </is>
      </c>
      <c r="C9" s="16" t="inlineStr">
        <is>
          <t>第9期は新規施設整備を原則行わない方針だが、認知症対応型共同生活介護の定員が令和4年度71人から令和6年度98人へ27人（38.0％）増加</t>
        </is>
      </c>
      <c r="D9" s="16" t="inlineStr">
        <is>
          <t>第9期評価の記述に影響</t>
        </is>
      </c>
      <c r="E9" s="16" t="inlineStr">
        <is>
          <t>整備の経緯を町に確認する（依頼票H15）</t>
        </is>
      </c>
      <c r="F9" s="23" t="inlineStr">
        <is>
          <t>未着手</t>
        </is>
      </c>
    </row>
    <row r="10">
      <c r="A10" s="17" t="n">
        <v>9</v>
      </c>
      <c r="B10" s="16" t="inlineStr">
        <is>
          <t>印刷工程の未確保</t>
        </is>
      </c>
      <c r="C10" s="16" t="inlineStr">
        <is>
          <t>計画書50部（A4・4色刷り・80頁程度）、概要版50部（8頁）、簡易製本各3部が納品仕様</t>
        </is>
      </c>
      <c r="D10" s="16" t="inlineStr">
        <is>
          <t>納期に間に合わない</t>
        </is>
      </c>
      <c r="E10" s="16" t="inlineStr">
        <is>
          <t>**逆算表を作成済み（令和9年2月下旬の校了が期限）。12月までに印刷業者を押さえる**</t>
        </is>
      </c>
      <c r="F10" s="20" t="inlineStr">
        <is>
          <t>進行中</t>
        </is>
      </c>
    </row>
    <row r="11">
      <c r="A11" s="17" t="n">
        <v>10</v>
      </c>
      <c r="B11" s="16" t="inlineStr">
        <is>
          <t>見える化システムへの入力作業</t>
        </is>
      </c>
      <c r="C11" s="16" t="inlineStr">
        <is>
          <t>仕様書4(2)は入力作業を業務に含むと定める</t>
        </is>
      </c>
      <c r="D11" s="16" t="inlineStr">
        <is>
          <t>出力の分析だけでは仕様を満たさない</t>
        </is>
      </c>
      <c r="E11" s="16" t="inlineStr">
        <is>
          <t>アカウント・権限・作業範囲・時期を町と確認する（依頼票C5）</t>
        </is>
      </c>
      <c r="F11" s="20" t="inlineStr">
        <is>
          <t>進行中</t>
        </is>
      </c>
    </row>
    <row r="12">
      <c r="A12" s="17" t="n">
        <v>11</v>
      </c>
      <c r="B12" s="16" t="inlineStr">
        <is>
          <t>認知症施策推進基本計画の包含の形式が未決</t>
        </is>
      </c>
      <c r="C12" s="16" t="inlineStr">
        <is>
          <t>仕様書2(3)は包含を計画の構成要件と定める</t>
        </is>
      </c>
      <c r="D12" s="16" t="inlineStr">
        <is>
          <t>章立てが変わるため、素案の確定前に決める必要がある</t>
        </is>
      </c>
      <c r="E12" s="16" t="inlineStr">
        <is>
          <t>**基本的施策12項目との対応表を作成済み。分散＋対応表方式を提案**</t>
        </is>
      </c>
      <c r="F12" s="20" t="inlineStr">
        <is>
          <t>進行中</t>
        </is>
      </c>
    </row>
    <row r="13">
      <c r="A13" s="17" t="n">
        <v>12</v>
      </c>
      <c r="B13" s="16" t="inlineStr">
        <is>
          <t>成果品欄の「（７）」への参照</t>
        </is>
      </c>
      <c r="C13" s="16" t="inlineStr">
        <is>
          <t>成果品は（１）〜（６）だが、納品仕様欄に「※（７）のデータ（ＣＤ－Ｒ）１部、概要版印刷50部」との記載がある</t>
        </is>
      </c>
      <c r="D13" s="16" t="inlineStr">
        <is>
          <t>概要版の納品部数の解釈に関わる</t>
        </is>
      </c>
      <c r="E13" s="16" t="inlineStr">
        <is>
          <t>町に確認する（依頼票C2）</t>
        </is>
      </c>
      <c r="F13" s="20" t="inlineStr">
        <is>
          <t>進行中</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F8"/>
  <sheetViews>
    <sheetView workbookViewId="0">
      <pane ySplit="1" topLeftCell="A2" activePane="bottomLeft" state="frozen"/>
      <selection pane="bottomLeft" activeCell="A1" sqref="A1"/>
    </sheetView>
  </sheetViews>
  <sheetFormatPr baseColWidth="8" defaultRowHeight="15"/>
  <cols>
    <col width="5" customWidth="1" min="1" max="1"/>
    <col width="18" customWidth="1" min="2" max="2"/>
    <col width="60" customWidth="1" min="3" max="3"/>
    <col width="30" customWidth="1" min="4" max="4"/>
    <col width="11" customWidth="1" min="5" max="5"/>
    <col width="26" customWidth="1" min="6" max="6"/>
  </cols>
  <sheetData>
    <row r="1">
      <c r="A1" s="5" t="inlineStr">
        <is>
          <t>No</t>
        </is>
      </c>
      <c r="B1" s="5" t="inlineStr">
        <is>
          <t>区分</t>
        </is>
      </c>
      <c r="C1" s="5" t="inlineStr">
        <is>
          <t>内容</t>
        </is>
      </c>
      <c r="D1" s="5" t="inlineStr">
        <is>
          <t>根拠</t>
        </is>
      </c>
      <c r="E1" s="5" t="inlineStr">
        <is>
          <t>状態</t>
        </is>
      </c>
      <c r="F1" s="5" t="inlineStr">
        <is>
          <t>記録の有無</t>
        </is>
      </c>
    </row>
    <row r="2">
      <c r="A2" s="17" t="n">
        <v>1</v>
      </c>
      <c r="B2" s="17" t="inlineStr">
        <is>
          <t>工程</t>
        </is>
      </c>
      <c r="C2" s="16" t="inlineStr">
        <is>
          <t>高齢者計画の仕様書には工程表がない（工程が定められているのは障がい計画のみ）。業務期間は令和9年3月31日まで</t>
        </is>
      </c>
      <c r="D2" s="16" t="inlineStr">
        <is>
          <t>仕様書3</t>
        </is>
      </c>
      <c r="E2" s="21" t="inlineStr">
        <is>
          <t>要対応</t>
        </is>
      </c>
      <c r="F2" s="16" t="inlineStr">
        <is>
          <t>**業務期間から逆算した工程案を作成済み。町との合意が未**</t>
        </is>
      </c>
    </row>
    <row r="3">
      <c r="A3" s="17" t="n">
        <v>2</v>
      </c>
      <c r="B3" s="17" t="inlineStr">
        <is>
          <t>協議会</t>
        </is>
      </c>
      <c r="C3" s="16" t="inlineStr">
        <is>
          <t>開催回数の指定がない。受託者案は4回</t>
        </is>
      </c>
      <c r="D3" s="16" t="inlineStr">
        <is>
          <t>仕様書4(5)</t>
        </is>
      </c>
      <c r="E3" s="21" t="inlineStr">
        <is>
          <t>要対応</t>
        </is>
      </c>
      <c r="F3" s="16" t="inlineStr">
        <is>
          <t>未</t>
        </is>
      </c>
    </row>
    <row r="4">
      <c r="A4" s="17" t="n">
        <v>3</v>
      </c>
      <c r="B4" s="17" t="inlineStr">
        <is>
          <t>保険料算定</t>
        </is>
      </c>
      <c r="C4" s="16" t="inlineStr">
        <is>
          <t>ケース設定を引継ぎ時点の3ケース（基金の扱いのみ）からC1〜C6に組み直した。仕様書が例示する施設整備・制度改正に対応させた</t>
        </is>
      </c>
      <c r="D4" s="16" t="inlineStr">
        <is>
          <t>仕様書4(2)</t>
        </is>
      </c>
      <c r="E4" s="18" t="inlineStr">
        <is>
          <t>完了</t>
        </is>
      </c>
      <c r="F4" s="16" t="inlineStr">
        <is>
          <t>受託者の内部判断。町への説明が必要</t>
        </is>
      </c>
    </row>
    <row r="5">
      <c r="A5" s="17" t="n">
        <v>4</v>
      </c>
      <c r="B5" s="17" t="inlineStr">
        <is>
          <t>認知症計画</t>
        </is>
      </c>
      <c r="C5" s="16" t="inlineStr">
        <is>
          <t>包含の形式（独立章方式／分散＋対応表方式）</t>
        </is>
      </c>
      <c r="D5" s="16" t="inlineStr">
        <is>
          <t>仕様書2(3)</t>
        </is>
      </c>
      <c r="E5" s="20" t="inlineStr">
        <is>
          <t>進行中</t>
        </is>
      </c>
      <c r="F5" s="16" t="inlineStr">
        <is>
          <t>**分散＋対応表方式を提案。町の意思決定が未**</t>
        </is>
      </c>
    </row>
    <row r="6">
      <c r="A6" s="17" t="n">
        <v>5</v>
      </c>
      <c r="B6" s="17" t="inlineStr">
        <is>
          <t>打合せ記録</t>
        </is>
      </c>
      <c r="C6" s="16" t="inlineStr">
        <is>
          <t>契約後の打合せ記録が引継ぎ資料に含まれていない</t>
        </is>
      </c>
      <c r="D6" s="16" t="inlineStr">
        <is>
          <t>仕様書8①（受託者が作成し相互確認）</t>
        </is>
      </c>
      <c r="E6" s="21" t="inlineStr">
        <is>
          <t>要対応</t>
        </is>
      </c>
      <c r="F6" s="16" t="inlineStr">
        <is>
          <t>**様式を作成済み。8月の協議から適用する**</t>
        </is>
      </c>
    </row>
    <row r="7">
      <c r="A7" t="inlineStr">
        <is>
          <t>※ 仕様書8①により、打合せ記録は受託者が作成し町と相互に確認する。</t>
        </is>
      </c>
    </row>
    <row r="8">
      <c r="A8" t="inlineStr">
        <is>
          <t>※ 様式は 02_キックオフ・業務計画/小野町_工程変更協議資料 の第5節。</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F32"/>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14" customWidth="1" min="1" max="1"/>
    <col width="16" customWidth="1" min="2" max="2"/>
    <col width="88" customWidth="1" min="3" max="3"/>
    <col width="40" customWidth="1" min="4" max="4"/>
    <col width="8" customWidth="1" min="5" max="5"/>
    <col width="10" customWidth="1" min="6" max="6"/>
  </cols>
  <sheetData>
    <row r="1">
      <c r="A1" s="5" t="inlineStr">
        <is>
          <t>区分</t>
        </is>
      </c>
      <c r="B1" s="5" t="inlineStr">
        <is>
          <t>条項</t>
        </is>
      </c>
      <c r="C1" s="5" t="inlineStr">
        <is>
          <t>仕様書の記載内容（原文）</t>
        </is>
      </c>
      <c r="D1" s="5" t="inlineStr">
        <is>
          <t>対応する作業（01_WBS）</t>
        </is>
      </c>
      <c r="E1" s="5" t="inlineStr">
        <is>
          <t>作業数</t>
        </is>
      </c>
      <c r="F1" s="5" t="inlineStr">
        <is>
          <t>網羅</t>
        </is>
      </c>
    </row>
    <row r="2">
      <c r="A2" s="17" t="inlineStr">
        <is>
          <t>計画の考え方</t>
        </is>
      </c>
      <c r="B2" s="17" t="inlineStr">
        <is>
          <t>1</t>
        </is>
      </c>
      <c r="C2" s="16" t="inlineStr">
        <is>
          <t>本業務は、国や福島県の動向、本町の高齢者の状況を的確に把握し、高齢者へのアンケート調査結果及び小野町高齢者保健福祉計画・第9期介護保険事業計画の評価等を行い、本町が取り組むべき課題や高齢者保健福祉施策の方向性、サービスの目標量を定める（第10期計画）とする。</t>
        </is>
      </c>
      <c r="D2" s="16" t="inlineStr">
        <is>
          <t>―</t>
        </is>
      </c>
      <c r="E2" s="17" t="n">
        <v>0</v>
      </c>
      <c r="F2" s="23" t="inlineStr">
        <is>
          <t>前提条項</t>
        </is>
      </c>
    </row>
    <row r="3">
      <c r="A3" s="17" t="inlineStr">
        <is>
          <t>計画の考え方</t>
        </is>
      </c>
      <c r="B3" s="17" t="inlineStr">
        <is>
          <t>2(1)</t>
        </is>
      </c>
      <c r="C3" s="16" t="inlineStr">
        <is>
          <t>令和9年度から令和11年度までの3年間に実施する取り組みを定める計画とする。</t>
        </is>
      </c>
      <c r="D3" s="16" t="inlineStr">
        <is>
          <t>―</t>
        </is>
      </c>
      <c r="E3" s="17" t="n">
        <v>0</v>
      </c>
      <c r="F3" s="23" t="inlineStr">
        <is>
          <t>前提条項</t>
        </is>
      </c>
    </row>
    <row r="4">
      <c r="A4" s="17" t="inlineStr">
        <is>
          <t>計画の考え方</t>
        </is>
      </c>
      <c r="B4" s="17" t="inlineStr">
        <is>
          <t>2(2)</t>
        </is>
      </c>
      <c r="C4" s="16" t="inlineStr">
        <is>
          <t>国が示す第10期計画に関する基本的な考え方を踏まえた上で、本町の特性を活かした計画とする。</t>
        </is>
      </c>
      <c r="D4" s="16" t="inlineStr">
        <is>
          <t>1-5 第3期地域福祉計画との役割分担の整理</t>
        </is>
      </c>
      <c r="E4" s="17" t="n">
        <v>1</v>
      </c>
      <c r="F4" s="18" t="inlineStr">
        <is>
          <t>○</t>
        </is>
      </c>
    </row>
    <row r="5">
      <c r="A5" s="17" t="inlineStr">
        <is>
          <t>計画の考え方</t>
        </is>
      </c>
      <c r="B5" s="17" t="inlineStr">
        <is>
          <t>2(3)</t>
        </is>
      </c>
      <c r="C5" s="16" t="inlineStr">
        <is>
          <t>国の「認知症施策推進基本計画」に基づく市町村計画も包含する計画とする。</t>
        </is>
      </c>
      <c r="D5" s="16" t="inlineStr">
        <is>
          <t>2-7 認知症高齢者の分析
8-3 認知症施策推進基本計画の包含方針</t>
        </is>
      </c>
      <c r="E5" s="17" t="n">
        <v>2</v>
      </c>
      <c r="F5" s="18" t="inlineStr">
        <is>
          <t>○</t>
        </is>
      </c>
    </row>
    <row r="6">
      <c r="A6" s="17" t="inlineStr">
        <is>
          <t>計画の考え方</t>
        </is>
      </c>
      <c r="B6" s="17" t="inlineStr">
        <is>
          <t>3</t>
        </is>
      </c>
      <c r="C6" s="16" t="inlineStr">
        <is>
          <t>契約締結の日から令和9年3月31日まで</t>
        </is>
      </c>
      <c r="D6" s="16" t="inlineStr">
        <is>
          <t>10-8 納品・検収</t>
        </is>
      </c>
      <c r="E6" s="17" t="n">
        <v>1</v>
      </c>
      <c r="F6" s="18" t="inlineStr">
        <is>
          <t>○</t>
        </is>
      </c>
    </row>
    <row r="7">
      <c r="A7" s="17" t="inlineStr">
        <is>
          <t>業務の内容</t>
        </is>
      </c>
      <c r="B7" s="17" t="inlineStr">
        <is>
          <t>4(1)</t>
        </is>
      </c>
      <c r="C7" s="16" t="inlineStr">
        <is>
          <t>基礎的な地域データ及び資料の整理分析（現状分析）。高齢者福祉・介護保険をめぐる施策の動向、小野町の概要及び社会経済的特性、地域福祉資源の整備状況、高齢者の現況動向及びサービスの利用状況等について、小野町が提供するデータをもとに整理分析を行う。（計画策定の検討資料として活用するため、各種事項の将来推計を行う。なお、推計にあたっては、可能な限り細分化する）</t>
        </is>
      </c>
      <c r="D7" s="16" t="inlineStr">
        <is>
          <t>1-4 第9期計画本文の確認</t>
        </is>
      </c>
      <c r="E7" s="17" t="n">
        <v>1</v>
      </c>
      <c r="F7" s="18" t="inlineStr">
        <is>
          <t>○</t>
        </is>
      </c>
    </row>
    <row r="8">
      <c r="A8" s="17" t="inlineStr">
        <is>
          <t>業務の内容</t>
        </is>
      </c>
      <c r="B8" s="17" t="inlineStr">
        <is>
          <t>4(1)①ア</t>
        </is>
      </c>
      <c r="C8" s="16" t="inlineStr">
        <is>
          <t>統計分析（ア）人口</t>
        </is>
      </c>
      <c r="D8" s="16" t="inlineStr">
        <is>
          <t>2-1 人口・世帯の分析
2-2 第1号被保険者の分析</t>
        </is>
      </c>
      <c r="E8" s="17" t="n">
        <v>2</v>
      </c>
      <c r="F8" s="18" t="inlineStr">
        <is>
          <t>○</t>
        </is>
      </c>
    </row>
    <row r="9">
      <c r="A9" s="17" t="inlineStr">
        <is>
          <t>業務の内容</t>
        </is>
      </c>
      <c r="B9" s="17" t="inlineStr">
        <is>
          <t>4(1)①イ</t>
        </is>
      </c>
      <c r="C9" s="16" t="inlineStr">
        <is>
          <t>統計分析（イ）要支援者数、要介護認定者数、認知症高齢者数</t>
        </is>
      </c>
      <c r="D9" s="16" t="inlineStr">
        <is>
          <t>2-3 認定者数・認定率の分析
2-4 認定者数の異常値の検証
2-7 認知症高齢者の分析</t>
        </is>
      </c>
      <c r="E9" s="17" t="n">
        <v>3</v>
      </c>
      <c r="F9" s="18" t="inlineStr">
        <is>
          <t>○</t>
        </is>
      </c>
    </row>
    <row r="10">
      <c r="A10" s="17" t="inlineStr">
        <is>
          <t>業務の内容</t>
        </is>
      </c>
      <c r="B10" s="17" t="inlineStr">
        <is>
          <t>4(1)①ウ</t>
        </is>
      </c>
      <c r="C10" s="16" t="inlineStr">
        <is>
          <t>統計分析（ウ）居宅サービス・施設サービス・地域密着型サービスの受給者数</t>
        </is>
      </c>
      <c r="D10" s="16" t="inlineStr">
        <is>
          <t>2-5 サービス受給者数の分析</t>
        </is>
      </c>
      <c r="E10" s="17" t="n">
        <v>1</v>
      </c>
      <c r="F10" s="18" t="inlineStr">
        <is>
          <t>○</t>
        </is>
      </c>
    </row>
    <row r="11">
      <c r="A11" s="17" t="inlineStr">
        <is>
          <t>業務の内容</t>
        </is>
      </c>
      <c r="B11" s="17" t="inlineStr">
        <is>
          <t>4(1)①エ</t>
        </is>
      </c>
      <c r="C11" s="16" t="inlineStr">
        <is>
          <t>統計分析（エ）介護予防事業対象者数</t>
        </is>
      </c>
      <c r="D11" s="16" t="inlineStr">
        <is>
          <t>2-6 介護予防事業対象者数の分析</t>
        </is>
      </c>
      <c r="E11" s="17" t="n">
        <v>1</v>
      </c>
      <c r="F11" s="18" t="inlineStr">
        <is>
          <t>○</t>
        </is>
      </c>
    </row>
    <row r="12">
      <c r="A12" s="17" t="inlineStr">
        <is>
          <t>業務の内容</t>
        </is>
      </c>
      <c r="B12" s="17" t="inlineStr">
        <is>
          <t>4(1)①オ</t>
        </is>
      </c>
      <c r="C12" s="16" t="inlineStr">
        <is>
          <t>統計分析（オ）その他計画策定に必要な推計</t>
        </is>
      </c>
      <c r="D12" s="16" t="inlineStr">
        <is>
          <t>2-8 サービス自給率の分析
2-10 見える化 優先度C分野の出力</t>
        </is>
      </c>
      <c r="E12" s="17" t="n">
        <v>2</v>
      </c>
      <c r="F12" s="18" t="inlineStr">
        <is>
          <t>○</t>
        </is>
      </c>
    </row>
    <row r="13">
      <c r="A13" s="17" t="inlineStr">
        <is>
          <t>業務の内容</t>
        </is>
      </c>
      <c r="B13" s="17" t="inlineStr">
        <is>
          <t>4(1)②</t>
        </is>
      </c>
      <c r="C13" s="16" t="inlineStr">
        <is>
          <t>介護保険給付費等の分析。介護サービス費目ごとの介護給付費や地域支援事業の利用状況等を分析し、現在の状況や傾向の把握、また、制度改正に伴う影響等を分析し、今後の見通しや具体的施策を検討する。</t>
        </is>
      </c>
      <c r="D13" s="16" t="inlineStr">
        <is>
          <t>3-1 給付費等分析結果報告書の作成
3-2 町の給付実績との突合
5-1 協議会資料（第9期評価・調査結果）の作成
5-2 成果目標の達成状況の確定
5-3 施設整備方針との不整合の確認</t>
        </is>
      </c>
      <c r="E13" s="17" t="n">
        <v>5</v>
      </c>
      <c r="F13" s="18" t="inlineStr">
        <is>
          <t>○</t>
        </is>
      </c>
    </row>
    <row r="14">
      <c r="A14" s="17" t="inlineStr">
        <is>
          <t>業務の内容</t>
        </is>
      </c>
      <c r="B14" s="17" t="inlineStr">
        <is>
          <t>4(1)③</t>
        </is>
      </c>
      <c r="C14" s="16" t="inlineStr">
        <is>
          <t>介護予防・日常生活圏域ニーズ調査、在宅介護実態調査結果の反映。令和7年度に実施した調査結果を反映させる。</t>
        </is>
      </c>
      <c r="D14" s="16" t="inlineStr">
        <is>
          <t>4-1 調査結果報告書の確認
4-2 集計データの整理
4-3 集計結果・分析報告書の作成
4-4 クロス集計の設計
4-5 個票によるクロス集計
4-6 レッドチームレビュー</t>
        </is>
      </c>
      <c r="E14" s="17" t="n">
        <v>6</v>
      </c>
      <c r="F14" s="18" t="inlineStr">
        <is>
          <t>○</t>
        </is>
      </c>
    </row>
    <row r="15">
      <c r="A15" s="17" t="inlineStr">
        <is>
          <t>業務の内容</t>
        </is>
      </c>
      <c r="B15" s="17" t="inlineStr">
        <is>
          <t>4(2)</t>
        </is>
      </c>
      <c r="C15" s="16" t="inlineStr">
        <is>
          <t>サービス事業量推計、保険料の算出、介護財政の見通しの検討・調整。「見える化」システムを活用したサービス見込量を推計及び保険料の算出を行うこと。（「見える化」システムへの入力作業を含む。）なお、算定にあたっては、新たに介護施設を整備する場合や制度改正により条件が変わる場合等、様々なケースで勘案する必要があるため、想定されるケースごとに保険料の算定を行うものとする。</t>
        </is>
      </c>
      <c r="D15" s="16" t="inlineStr">
        <is>
          <t>2-9 介護保険財政の分析
7-1 算定シートの構築
7-2 保険料算定のケース設定の確定
7-3 被保険者数・認定者数の推計
7-4 サービス見込量の推計
7-5 見える化システムへの入力作業
7-6 保険料のケース別算定</t>
        </is>
      </c>
      <c r="E15" s="17" t="n">
        <v>7</v>
      </c>
      <c r="F15" s="18" t="inlineStr">
        <is>
          <t>○</t>
        </is>
      </c>
    </row>
    <row r="16">
      <c r="A16" s="17" t="inlineStr">
        <is>
          <t>業務の内容</t>
        </is>
      </c>
      <c r="B16" s="17" t="inlineStr">
        <is>
          <t>4(3)</t>
        </is>
      </c>
      <c r="C16" s="16" t="inlineStr">
        <is>
          <t>骨子案・素案の作成。これまでの調査結果を踏まえて第10期計画の基本課題や施策方向を整理し、今後の重点課題と施策の目標・体系をとりまとめた計画骨子案、計画素案を作成し、内容の協議を行う。策定にあたっては町総合計画、町地域福祉計画等の既存計画の関連も調整すること。</t>
        </is>
      </c>
      <c r="D16" s="16" t="inlineStr">
        <is>
          <t>6-1 骨子案の作成
6-2 骨子案の協議（協議会）
8-1 素案の作成
8-2 成果指標の目標値案の作成
8-4 見込量・保険料・成果指標の反映
8-5 素案の協議（協議会）</t>
        </is>
      </c>
      <c r="E16" s="17" t="n">
        <v>6</v>
      </c>
      <c r="F16" s="18" t="inlineStr">
        <is>
          <t>○</t>
        </is>
      </c>
    </row>
    <row r="17">
      <c r="A17" s="17" t="inlineStr">
        <is>
          <t>業務の内容</t>
        </is>
      </c>
      <c r="B17" s="17" t="inlineStr">
        <is>
          <t>4(4)</t>
        </is>
      </c>
      <c r="C17" s="16" t="inlineStr">
        <is>
          <t>最終調整及び計画書の作成・取りまとめ。（1）から（3）の結果を踏まえ、小野町高齢者保健福祉計画・第10期介護保険事業計画書を作成するものとする。</t>
        </is>
      </c>
      <c r="D17" s="16" t="inlineStr">
        <is>
          <t>10-1 計画書の原稿確定</t>
        </is>
      </c>
      <c r="E17" s="17" t="n">
        <v>1</v>
      </c>
      <c r="F17" s="18" t="inlineStr">
        <is>
          <t>○</t>
        </is>
      </c>
    </row>
    <row r="18">
      <c r="A18" s="17" t="inlineStr">
        <is>
          <t>業務の内容</t>
        </is>
      </c>
      <c r="B18" s="17" t="inlineStr">
        <is>
          <t>4(5)</t>
        </is>
      </c>
      <c r="C18" s="16" t="inlineStr">
        <is>
          <t>高齢者福祉サービス推進協議会、パブリックコメントの支援。小野町高齢者福祉サービス推進協議会の開催及びパブリックコメントの実施について、資料の作成と運営・実施の支援を行うものとする。</t>
        </is>
      </c>
      <c r="D18" s="16" t="inlineStr">
        <is>
          <t>5-1 協議会資料（第9期評価・調査結果）の作成
6-2 骨子案の協議（協議会）
8-5 素案の協議（協議会）
9-1 協議会の開催回数・時期の確定
9-2 協議会 第1回（第9期の評価・調査結果）
9-3 協議会 第2回（骨子案・見込量・保険料・成果指標）
9-4 協議会 第3回（素案）
9-5 パブリックコメントの様式作成
9-6 パブリックコメントの実施
9-7 意見への対応
9-8 協議会 第4回（最終案）</t>
        </is>
      </c>
      <c r="E18" s="17" t="n">
        <v>11</v>
      </c>
      <c r="F18" s="18" t="inlineStr">
        <is>
          <t>○</t>
        </is>
      </c>
    </row>
    <row r="19">
      <c r="A19" s="17" t="inlineStr">
        <is>
          <t>成果品</t>
        </is>
      </c>
      <c r="B19" s="17" t="inlineStr">
        <is>
          <t>成果品①</t>
        </is>
      </c>
      <c r="C19" s="16" t="inlineStr">
        <is>
          <t>（1）介護保険給付費等分析結果報告書　※データ（CD-R）1部、冊子（簡易製本）3部</t>
        </is>
      </c>
      <c r="D19" s="16" t="inlineStr">
        <is>
          <t>3-1 給付費等分析結果報告書の作成
3-3 成果品①の製本・納品</t>
        </is>
      </c>
      <c r="E19" s="17" t="n">
        <v>2</v>
      </c>
      <c r="F19" s="18" t="inlineStr">
        <is>
          <t>○</t>
        </is>
      </c>
    </row>
    <row r="20">
      <c r="A20" s="17" t="inlineStr">
        <is>
          <t>成果品</t>
        </is>
      </c>
      <c r="B20" s="17" t="inlineStr">
        <is>
          <t>成果品②</t>
        </is>
      </c>
      <c r="C20" s="16" t="inlineStr">
        <is>
          <t>（2）サービス見込量推計結果報告書　※データ（CD-R）1部、冊子（簡易製本）3部</t>
        </is>
      </c>
      <c r="D20" s="16" t="inlineStr">
        <is>
          <t>7-7 サービス見込量推計結果報告書の作成
7-8 成果品②の製本・納品</t>
        </is>
      </c>
      <c r="E20" s="17" t="n">
        <v>2</v>
      </c>
      <c r="F20" s="18" t="inlineStr">
        <is>
          <t>○</t>
        </is>
      </c>
    </row>
    <row r="21">
      <c r="A21" s="17" t="inlineStr">
        <is>
          <t>成果品</t>
        </is>
      </c>
      <c r="B21" s="17" t="inlineStr">
        <is>
          <t>成果品③</t>
        </is>
      </c>
      <c r="C21" s="16" t="inlineStr">
        <is>
          <t>（3）小野町高齢者保健福祉計画・第10期介護保険事業計画骨子案　※データ（CD-R）1部、冊子（簡易製本）3部</t>
        </is>
      </c>
      <c r="D21" s="16" t="inlineStr">
        <is>
          <t>6-1 骨子案の作成
6-3 成果品③の製本・納品</t>
        </is>
      </c>
      <c r="E21" s="17" t="n">
        <v>2</v>
      </c>
      <c r="F21" s="18" t="inlineStr">
        <is>
          <t>○</t>
        </is>
      </c>
    </row>
    <row r="22">
      <c r="A22" s="17" t="inlineStr">
        <is>
          <t>成果品</t>
        </is>
      </c>
      <c r="B22" s="17" t="inlineStr">
        <is>
          <t>成果品④</t>
        </is>
      </c>
      <c r="C22" s="16" t="inlineStr">
        <is>
          <t>（4）小野町高齢者保健福祉計画・第10期介護保険事業計画素案　※データ（CD-R）1部、冊子（簡易製本）3部</t>
        </is>
      </c>
      <c r="D22" s="16" t="inlineStr">
        <is>
          <t>8-1 素案の作成
8-6 成果品④の製本・納品</t>
        </is>
      </c>
      <c r="E22" s="17" t="n">
        <v>2</v>
      </c>
      <c r="F22" s="18" t="inlineStr">
        <is>
          <t>○</t>
        </is>
      </c>
    </row>
    <row r="23">
      <c r="A23" s="17" t="inlineStr">
        <is>
          <t>成果品</t>
        </is>
      </c>
      <c r="B23" s="17" t="inlineStr">
        <is>
          <t>成果品⑤</t>
        </is>
      </c>
      <c r="C23" s="16" t="inlineStr">
        <is>
          <t>（5）小野町高齢者保健福祉計画・第10期介護保険事業計画　※データ（CD-R）1部、計画書印刷50部＜仕様＞A4版、4色刷り、80頁程度</t>
        </is>
      </c>
      <c r="D23" s="16" t="inlineStr">
        <is>
          <t>10-2 レイアウト・組版
10-3 校正（初校・再校・校了）
10-6 印刷・製本</t>
        </is>
      </c>
      <c r="E23" s="17" t="n">
        <v>3</v>
      </c>
      <c r="F23" s="18" t="inlineStr">
        <is>
          <t>○</t>
        </is>
      </c>
    </row>
    <row r="24">
      <c r="A24" s="17" t="inlineStr">
        <is>
          <t>成果品</t>
        </is>
      </c>
      <c r="B24" s="17" t="inlineStr">
        <is>
          <t>成果品⑥</t>
        </is>
      </c>
      <c r="C24" s="16" t="inlineStr">
        <is>
          <t>（6）小野町高齢者保健福祉計画・第10期介護保険事業計画概要版　※データ（CD-R）1部、概要版印刷50部＜仕様＞A4版、4色刷り、8頁</t>
        </is>
      </c>
      <c r="D24" s="16" t="inlineStr">
        <is>
          <t>10-4 概要版の構成案
10-5 概要版の作成
10-6 印刷・製本</t>
        </is>
      </c>
      <c r="E24" s="17" t="n">
        <v>3</v>
      </c>
      <c r="F24" s="18" t="inlineStr">
        <is>
          <t>○</t>
        </is>
      </c>
    </row>
    <row r="25">
      <c r="A25" s="17" t="inlineStr">
        <is>
          <t>成果品</t>
        </is>
      </c>
      <c r="B25" s="17" t="inlineStr">
        <is>
          <t>成果品</t>
        </is>
      </c>
      <c r="C25" s="16" t="inlineStr">
        <is>
          <t>（1）〜（4）のデータ（CD-R）1部、冊子（簡易製本）各3部／（5）（6）のデータ（CD-R）1部、計画書印刷50部／概要版印刷50部</t>
        </is>
      </c>
      <c r="D25" s="16" t="inlineStr">
        <is>
          <t>10-7 データCD-Rの作成</t>
        </is>
      </c>
      <c r="E25" s="17" t="n">
        <v>1</v>
      </c>
      <c r="F25" s="18" t="inlineStr">
        <is>
          <t>○</t>
        </is>
      </c>
    </row>
    <row r="26">
      <c r="A26" s="17" t="inlineStr">
        <is>
          <t>その他</t>
        </is>
      </c>
      <c r="B26" s="17" t="inlineStr">
        <is>
          <t>5(1)</t>
        </is>
      </c>
      <c r="C26" s="16" t="inlineStr">
        <is>
          <t>本業務の実施に必要な資料等は、小野町が受託者に貸与するものとする。</t>
        </is>
      </c>
      <c r="D26" s="16" t="inlineStr">
        <is>
          <t>1-6 町への資料依頼票の作成
1-7 町データの受領</t>
        </is>
      </c>
      <c r="E26" s="17" t="n">
        <v>2</v>
      </c>
      <c r="F26" s="18" t="inlineStr">
        <is>
          <t>○</t>
        </is>
      </c>
    </row>
    <row r="27">
      <c r="A27" s="17" t="inlineStr">
        <is>
          <t>その他</t>
        </is>
      </c>
      <c r="B27" s="17" t="inlineStr">
        <is>
          <t>5(2)</t>
        </is>
      </c>
      <c r="C27" s="16" t="inlineStr">
        <is>
          <t>受託者は、本業務実施中及び終了後に関わらず、業務上知り得た一切の個人情報については、個人情報の保護に関する法律及び小野町個人情報保護条例等を遵守し、情報の保護に努め、適正に個人情報の取り扱いを行うこと。</t>
        </is>
      </c>
      <c r="D27" s="16" t="inlineStr">
        <is>
          <t>―</t>
        </is>
      </c>
      <c r="E27" s="17" t="n">
        <v>0</v>
      </c>
      <c r="F27" s="23" t="inlineStr">
        <is>
          <t>前提条項</t>
        </is>
      </c>
    </row>
    <row r="28">
      <c r="A28" s="17" t="inlineStr">
        <is>
          <t>その他</t>
        </is>
      </c>
      <c r="B28" s="17" t="inlineStr">
        <is>
          <t>5(3)</t>
        </is>
      </c>
      <c r="C28" s="16" t="inlineStr">
        <is>
          <t>本仕様書に定めのない事項及び疑義が生じた場合は、小野町と受託者で協議するものとする。</t>
        </is>
      </c>
      <c r="D28" s="16" t="inlineStr">
        <is>
          <t>1-8 工程・協議会日程の合意と確認事項の照会</t>
        </is>
      </c>
      <c r="E28" s="17" t="n">
        <v>1</v>
      </c>
      <c r="F28" s="18" t="inlineStr">
        <is>
          <t>○</t>
        </is>
      </c>
    </row>
    <row r="29">
      <c r="A29" s="17" t="inlineStr">
        <is>
          <t>その他</t>
        </is>
      </c>
      <c r="B29" s="17" t="inlineStr">
        <is>
          <t>公告10⑥</t>
        </is>
      </c>
      <c r="C29" s="16" t="inlineStr">
        <is>
          <t>研究員は「見える化」システムやニーズ調査など各種データから介護給付費の統計分析により将来のサービス量を推計し計画化できる者（公告第1-19号 10⑥）</t>
        </is>
      </c>
      <c r="D29" s="16" t="inlineStr">
        <is>
          <t>1-1 契約・体制の確立、キックオフ</t>
        </is>
      </c>
      <c r="E29" s="17" t="n">
        <v>1</v>
      </c>
      <c r="F29" s="18" t="inlineStr">
        <is>
          <t>○</t>
        </is>
      </c>
    </row>
    <row r="31">
      <c r="A31" t="inlineStr">
        <is>
          <t>※ 「要確認」は、01_WBS に対応する作業が置かれていない条項です。業務の抜けを疑ってください。</t>
        </is>
      </c>
    </row>
    <row r="32">
      <c r="A32" t="inlineStr">
        <is>
          <t>※ 「前提条項」は、目的・計画期間・個人情報の取扱いなど、作業として分解せず業務全体で担保する条項です。</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7"/>
  <sheetViews>
    <sheetView workbookViewId="0">
      <pane xSplit="2" ySplit="1" topLeftCell="C2" activePane="bottomRight" state="frozen"/>
      <selection pane="topRight"/>
      <selection pane="bottomLeft"/>
      <selection pane="bottomRight" activeCell="A1" sqref="A1"/>
    </sheetView>
  </sheetViews>
  <sheetFormatPr baseColWidth="8" defaultRowHeight="15"/>
  <cols>
    <col width="34" customWidth="1" min="1" max="1"/>
    <col width="26" customWidth="1" min="2" max="2"/>
    <col width="8" customWidth="1" min="3" max="3"/>
    <col width="8" customWidth="1" min="4" max="4"/>
    <col width="9" customWidth="1" min="5" max="5"/>
    <col width="9" customWidth="1" min="6" max="6"/>
    <col width="11" customWidth="1" min="7" max="7"/>
    <col width="9" customWidth="1" min="8" max="8"/>
    <col width="12" customWidth="1" min="9" max="9"/>
    <col width="54" customWidth="1" min="10" max="10"/>
  </cols>
  <sheetData>
    <row r="1">
      <c r="A1" s="5" t="inlineStr">
        <is>
          <t>仕様書ブロック</t>
        </is>
      </c>
      <c r="B1" s="5" t="inlineStr">
        <is>
          <t>該当条項</t>
        </is>
      </c>
      <c r="C1" s="5" t="inlineStr">
        <is>
          <t>作業数</t>
        </is>
      </c>
      <c r="D1" s="5" t="inlineStr">
        <is>
          <t>完了</t>
        </is>
      </c>
      <c r="E1" s="5" t="inlineStr">
        <is>
          <t>進行中</t>
        </is>
      </c>
      <c r="F1" s="5" t="inlineStr">
        <is>
          <t>要対応</t>
        </is>
      </c>
      <c r="G1" s="5" t="inlineStr">
        <is>
          <t>データ待ち</t>
        </is>
      </c>
      <c r="H1" s="5" t="inlineStr">
        <is>
          <t>未着手</t>
        </is>
      </c>
      <c r="I1" s="5" t="inlineStr">
        <is>
          <t>加重進捗率</t>
        </is>
      </c>
      <c r="J1" s="5" t="inlineStr">
        <is>
          <t>現況・律速</t>
        </is>
      </c>
    </row>
    <row r="2">
      <c r="A2" s="16" t="inlineStr">
        <is>
          <t>B1 現状分析（基礎データ・資料の整理分析）</t>
        </is>
      </c>
      <c r="B2" s="16" t="inlineStr">
        <is>
          <t>4(1)</t>
        </is>
      </c>
      <c r="C2" s="17">
        <f>COUNTIF('01_WBS'!$E$2:$E$64,$A2)</f>
        <v/>
      </c>
      <c r="D2" s="17">
        <f>COUNTIFS('01_WBS'!$E$2:$E$64,$A2,'01_WBS'!$K$2:$K$64,"完了")</f>
        <v/>
      </c>
      <c r="E2" s="17">
        <f>COUNTIFS('01_WBS'!$E$2:$E$64,$A2,'01_WBS'!$K$2:$K$64,"進行中")</f>
        <v/>
      </c>
      <c r="F2" s="17">
        <f>COUNTIFS('01_WBS'!$E$2:$E$64,$A2,'01_WBS'!$K$2:$K$64,"要対応")</f>
        <v/>
      </c>
      <c r="G2" s="17">
        <f>COUNTIFS('01_WBS'!$E$2:$E$64,$A2,'01_WBS'!$K$2:$K$64,"データ待ち")</f>
        <v/>
      </c>
      <c r="H2" s="17">
        <f>COUNTIFS('01_WBS'!$E$2:$E$64,$A2,'01_WBS'!$K$2:$K$64,"未着手")</f>
        <v/>
      </c>
      <c r="I2" s="24">
        <f>IF(SUMPRODUCT(('01_WBS'!$E$2:$E$64=$A2)*'01_WBS'!$M$2:$M$64)=0,"―",SUMPRODUCT(('01_WBS'!$E$2:$E$64=$A2)*'01_WBS'!$L$2:$L$64*'01_WBS'!$M$2:$M$64)/SUMPRODUCT(('01_WBS'!$E$2:$E$64=$A2)*'01_WBS'!$M$2:$M$64)/100)</f>
        <v/>
      </c>
      <c r="J2" s="16" t="inlineStr">
        <is>
          <t>第9期計画・第3期地域福祉計画の確認は完了。町からの実績データが未受領</t>
        </is>
      </c>
    </row>
    <row r="3">
      <c r="A3" s="16" t="inlineStr">
        <is>
          <t>B2 統計分析</t>
        </is>
      </c>
      <c r="B3" s="16" t="inlineStr">
        <is>
          <t>4(1)①ア、4(1)①イ、4(1)①ウ、4(1)①エ、4(1)①オ</t>
        </is>
      </c>
      <c r="C3" s="17">
        <f>COUNTIF('01_WBS'!$E$2:$E$64,$A3)</f>
        <v/>
      </c>
      <c r="D3" s="17">
        <f>COUNTIFS('01_WBS'!$E$2:$E$64,$A3,'01_WBS'!$K$2:$K$64,"完了")</f>
        <v/>
      </c>
      <c r="E3" s="17">
        <f>COUNTIFS('01_WBS'!$E$2:$E$64,$A3,'01_WBS'!$K$2:$K$64,"進行中")</f>
        <v/>
      </c>
      <c r="F3" s="17">
        <f>COUNTIFS('01_WBS'!$E$2:$E$64,$A3,'01_WBS'!$K$2:$K$64,"要対応")</f>
        <v/>
      </c>
      <c r="G3" s="17">
        <f>COUNTIFS('01_WBS'!$E$2:$E$64,$A3,'01_WBS'!$K$2:$K$64,"データ待ち")</f>
        <v/>
      </c>
      <c r="H3" s="17">
        <f>COUNTIFS('01_WBS'!$E$2:$E$64,$A3,'01_WBS'!$K$2:$K$64,"未着手")</f>
        <v/>
      </c>
      <c r="I3" s="24">
        <f>IF(SUMPRODUCT(('01_WBS'!$E$2:$E$64=$A3)*'01_WBS'!$M$2:$M$64)=0,"―",SUMPRODUCT(('01_WBS'!$E$2:$E$64=$A3)*'01_WBS'!$L$2:$L$64*'01_WBS'!$M$2:$M$64)/SUMPRODUCT(('01_WBS'!$E$2:$E$64=$A3)*'01_WBS'!$M$2:$M$64)/100)</f>
        <v/>
      </c>
      <c r="J3" s="16" t="inlineStr">
        <is>
          <t>**認定者数792人は年報で裏付けられた。論点は令和7年8〜9月の計上変更に絞られた。介護予防（総合事業・通いの場）のデータ欠落は残る**</t>
        </is>
      </c>
    </row>
    <row r="4">
      <c r="A4" s="16" t="inlineStr">
        <is>
          <t>B3 介護保険給付費等の分析</t>
        </is>
      </c>
      <c r="B4" s="16" t="inlineStr">
        <is>
          <t>4(1)②</t>
        </is>
      </c>
      <c r="C4" s="17">
        <f>COUNTIF('01_WBS'!$E$2:$E$64,$A4)</f>
        <v/>
      </c>
      <c r="D4" s="17">
        <f>COUNTIFS('01_WBS'!$E$2:$E$64,$A4,'01_WBS'!$K$2:$K$64,"完了")</f>
        <v/>
      </c>
      <c r="E4" s="17">
        <f>COUNTIFS('01_WBS'!$E$2:$E$64,$A4,'01_WBS'!$K$2:$K$64,"進行中")</f>
        <v/>
      </c>
      <c r="F4" s="17">
        <f>COUNTIFS('01_WBS'!$E$2:$E$64,$A4,'01_WBS'!$K$2:$K$64,"要対応")</f>
        <v/>
      </c>
      <c r="G4" s="17">
        <f>COUNTIFS('01_WBS'!$E$2:$E$64,$A4,'01_WBS'!$K$2:$K$64,"データ待ち")</f>
        <v/>
      </c>
      <c r="H4" s="17">
        <f>COUNTIFS('01_WBS'!$E$2:$E$64,$A4,'01_WBS'!$K$2:$K$64,"未着手")</f>
        <v/>
      </c>
      <c r="I4" s="24">
        <f>IF(SUMPRODUCT(('01_WBS'!$E$2:$E$64=$A4)*'01_WBS'!$M$2:$M$64)=0,"―",SUMPRODUCT(('01_WBS'!$E$2:$E$64=$A4)*'01_WBS'!$L$2:$L$64*'01_WBS'!$M$2:$M$64)/SUMPRODUCT(('01_WBS'!$E$2:$E$64=$A4)*'01_WBS'!$M$2:$M$64)/100)</f>
        <v/>
      </c>
      <c r="J4" s="16" t="inlineStr">
        <is>
          <t>成果品①は第5版。町の給付実績で数値を確定する段階</t>
        </is>
      </c>
    </row>
    <row r="5">
      <c r="A5" s="16" t="inlineStr">
        <is>
          <t>B4 令和7年度調査結果の反映</t>
        </is>
      </c>
      <c r="B5" s="16" t="inlineStr">
        <is>
          <t>4(1)③</t>
        </is>
      </c>
      <c r="C5" s="17">
        <f>COUNTIF('01_WBS'!$E$2:$E$64,$A5)</f>
        <v/>
      </c>
      <c r="D5" s="17">
        <f>COUNTIFS('01_WBS'!$E$2:$E$64,$A5,'01_WBS'!$K$2:$K$64,"完了")</f>
        <v/>
      </c>
      <c r="E5" s="17">
        <f>COUNTIFS('01_WBS'!$E$2:$E$64,$A5,'01_WBS'!$K$2:$K$64,"進行中")</f>
        <v/>
      </c>
      <c r="F5" s="17">
        <f>COUNTIFS('01_WBS'!$E$2:$E$64,$A5,'01_WBS'!$K$2:$K$64,"要対応")</f>
        <v/>
      </c>
      <c r="G5" s="17">
        <f>COUNTIFS('01_WBS'!$E$2:$E$64,$A5,'01_WBS'!$K$2:$K$64,"データ待ち")</f>
        <v/>
      </c>
      <c r="H5" s="17">
        <f>COUNTIFS('01_WBS'!$E$2:$E$64,$A5,'01_WBS'!$K$2:$K$64,"未着手")</f>
        <v/>
      </c>
      <c r="I5" s="24">
        <f>IF(SUMPRODUCT(('01_WBS'!$E$2:$E$64=$A5)*'01_WBS'!$M$2:$M$64)=0,"―",SUMPRODUCT(('01_WBS'!$E$2:$E$64=$A5)*'01_WBS'!$L$2:$L$64*'01_WBS'!$M$2:$M$64)/SUMPRODUCT(('01_WBS'!$E$2:$E$64=$A5)*'01_WBS'!$M$2:$M$64)/100)</f>
        <v/>
      </c>
      <c r="J5" s="16" t="inlineStr">
        <is>
          <t>**単純集計は完了。個票がないとクロス集計17件ができない**</t>
        </is>
      </c>
    </row>
    <row r="6">
      <c r="A6" s="16" t="inlineStr">
        <is>
          <t>B5 事業量推計・保険料算出・介護財政</t>
        </is>
      </c>
      <c r="B6" s="16" t="inlineStr">
        <is>
          <t>4(2)</t>
        </is>
      </c>
      <c r="C6" s="17">
        <f>COUNTIF('01_WBS'!$E$2:$E$64,$A6)</f>
        <v/>
      </c>
      <c r="D6" s="17">
        <f>COUNTIFS('01_WBS'!$E$2:$E$64,$A6,'01_WBS'!$K$2:$K$64,"完了")</f>
        <v/>
      </c>
      <c r="E6" s="17">
        <f>COUNTIFS('01_WBS'!$E$2:$E$64,$A6,'01_WBS'!$K$2:$K$64,"進行中")</f>
        <v/>
      </c>
      <c r="F6" s="17">
        <f>COUNTIFS('01_WBS'!$E$2:$E$64,$A6,'01_WBS'!$K$2:$K$64,"要対応")</f>
        <v/>
      </c>
      <c r="G6" s="17">
        <f>COUNTIFS('01_WBS'!$E$2:$E$64,$A6,'01_WBS'!$K$2:$K$64,"データ待ち")</f>
        <v/>
      </c>
      <c r="H6" s="17">
        <f>COUNTIFS('01_WBS'!$E$2:$E$64,$A6,'01_WBS'!$K$2:$K$64,"未着手")</f>
        <v/>
      </c>
      <c r="I6" s="24">
        <f>IF(SUMPRODUCT(('01_WBS'!$E$2:$E$64=$A6)*'01_WBS'!$M$2:$M$64)=0,"―",SUMPRODUCT(('01_WBS'!$E$2:$E$64=$A6)*'01_WBS'!$L$2:$L$64*'01_WBS'!$M$2:$M$64)/SUMPRODUCT(('01_WBS'!$E$2:$E$64=$A6)*'01_WBS'!$M$2:$M$64)/100)</f>
        <v/>
      </c>
      <c r="J6" s="16" t="inlineStr">
        <is>
          <t>**年報の受領で実績が揃い、算定シートに投入済み。残るのはサービス別見込量の算定と、地域支援事業費・調整交付金・基金取崩の確定**</t>
        </is>
      </c>
    </row>
    <row r="7">
      <c r="A7" s="16" t="inlineStr">
        <is>
          <t>B6 骨子案・素案の作成</t>
        </is>
      </c>
      <c r="B7" s="16" t="inlineStr">
        <is>
          <t>4(3)</t>
        </is>
      </c>
      <c r="C7" s="17">
        <f>COUNTIF('01_WBS'!$E$2:$E$64,$A7)</f>
        <v/>
      </c>
      <c r="D7" s="17">
        <f>COUNTIFS('01_WBS'!$E$2:$E$64,$A7,'01_WBS'!$K$2:$K$64,"完了")</f>
        <v/>
      </c>
      <c r="E7" s="17">
        <f>COUNTIFS('01_WBS'!$E$2:$E$64,$A7,'01_WBS'!$K$2:$K$64,"進行中")</f>
        <v/>
      </c>
      <c r="F7" s="17">
        <f>COUNTIFS('01_WBS'!$E$2:$E$64,$A7,'01_WBS'!$K$2:$K$64,"要対応")</f>
        <v/>
      </c>
      <c r="G7" s="17">
        <f>COUNTIFS('01_WBS'!$E$2:$E$64,$A7,'01_WBS'!$K$2:$K$64,"データ待ち")</f>
        <v/>
      </c>
      <c r="H7" s="17">
        <f>COUNTIFS('01_WBS'!$E$2:$E$64,$A7,'01_WBS'!$K$2:$K$64,"未着手")</f>
        <v/>
      </c>
      <c r="I7" s="24">
        <f>IF(SUMPRODUCT(('01_WBS'!$E$2:$E$64=$A7)*'01_WBS'!$M$2:$M$64)=0,"―",SUMPRODUCT(('01_WBS'!$E$2:$E$64=$A7)*'01_WBS'!$L$2:$L$64*'01_WBS'!$M$2:$M$64)/SUMPRODUCT(('01_WBS'!$E$2:$E$64=$A7)*'01_WBS'!$M$2:$M$64)/100)</f>
        <v/>
      </c>
      <c r="J7" s="16" t="inlineStr">
        <is>
          <t>骨子案第3版・素案第2版・成果指標の目標値案まで到達。見込量と保険料の反映が残る</t>
        </is>
      </c>
    </row>
    <row r="8">
      <c r="A8" s="16" t="inlineStr">
        <is>
          <t>B7 最終調整及び計画書の作成</t>
        </is>
      </c>
      <c r="B8" s="16" t="inlineStr">
        <is>
          <t>4(4)</t>
        </is>
      </c>
      <c r="C8" s="17">
        <f>COUNTIF('01_WBS'!$E$2:$E$64,$A8)</f>
        <v/>
      </c>
      <c r="D8" s="17">
        <f>COUNTIFS('01_WBS'!$E$2:$E$64,$A8,'01_WBS'!$K$2:$K$64,"完了")</f>
        <v/>
      </c>
      <c r="E8" s="17">
        <f>COUNTIFS('01_WBS'!$E$2:$E$64,$A8,'01_WBS'!$K$2:$K$64,"進行中")</f>
        <v/>
      </c>
      <c r="F8" s="17">
        <f>COUNTIFS('01_WBS'!$E$2:$E$64,$A8,'01_WBS'!$K$2:$K$64,"要対応")</f>
        <v/>
      </c>
      <c r="G8" s="17">
        <f>COUNTIFS('01_WBS'!$E$2:$E$64,$A8,'01_WBS'!$K$2:$K$64,"データ待ち")</f>
        <v/>
      </c>
      <c r="H8" s="17">
        <f>COUNTIFS('01_WBS'!$E$2:$E$64,$A8,'01_WBS'!$K$2:$K$64,"未着手")</f>
        <v/>
      </c>
      <c r="I8" s="24">
        <f>IF(SUMPRODUCT(('01_WBS'!$E$2:$E$64=$A8)*'01_WBS'!$M$2:$M$64)=0,"―",SUMPRODUCT(('01_WBS'!$E$2:$E$64=$A8)*'01_WBS'!$L$2:$L$64*'01_WBS'!$M$2:$M$64)/SUMPRODUCT(('01_WBS'!$E$2:$E$64=$A8)*'01_WBS'!$M$2:$M$64)/100)</f>
        <v/>
      </c>
      <c r="J8" s="16" t="inlineStr">
        <is>
          <t>パブリックコメント後に着手する。時期が来ていない</t>
        </is>
      </c>
    </row>
    <row r="9">
      <c r="A9" s="16" t="inlineStr">
        <is>
          <t>B8 協議会・パブリックコメントの支援</t>
        </is>
      </c>
      <c r="B9" s="16" t="inlineStr">
        <is>
          <t>4(5)</t>
        </is>
      </c>
      <c r="C9" s="17">
        <f>COUNTIF('01_WBS'!$E$2:$E$64,$A9)</f>
        <v/>
      </c>
      <c r="D9" s="17">
        <f>COUNTIFS('01_WBS'!$E$2:$E$64,$A9,'01_WBS'!$K$2:$K$64,"完了")</f>
        <v/>
      </c>
      <c r="E9" s="17">
        <f>COUNTIFS('01_WBS'!$E$2:$E$64,$A9,'01_WBS'!$K$2:$K$64,"進行中")</f>
        <v/>
      </c>
      <c r="F9" s="17">
        <f>COUNTIFS('01_WBS'!$E$2:$E$64,$A9,'01_WBS'!$K$2:$K$64,"要対応")</f>
        <v/>
      </c>
      <c r="G9" s="17">
        <f>COUNTIFS('01_WBS'!$E$2:$E$64,$A9,'01_WBS'!$K$2:$K$64,"データ待ち")</f>
        <v/>
      </c>
      <c r="H9" s="17">
        <f>COUNTIFS('01_WBS'!$E$2:$E$64,$A9,'01_WBS'!$K$2:$K$64,"未着手")</f>
        <v/>
      </c>
      <c r="I9" s="24">
        <f>IF(SUMPRODUCT(('01_WBS'!$E$2:$E$64=$A9)*'01_WBS'!$M$2:$M$64)=0,"―",SUMPRODUCT(('01_WBS'!$E$2:$E$64=$A9)*'01_WBS'!$L$2:$L$64*'01_WBS'!$M$2:$M$64)/SUMPRODUCT(('01_WBS'!$E$2:$E$64=$A9)*'01_WBS'!$M$2:$M$64)/100)</f>
        <v/>
      </c>
      <c r="J9" s="16" t="inlineStr">
        <is>
          <t>**資料と様式は揃っている。協議会の開催回数・時期が未定で工程が引けない**</t>
        </is>
      </c>
    </row>
    <row r="10">
      <c r="A10" s="16" t="inlineStr">
        <is>
          <t>B9 成果品の納品</t>
        </is>
      </c>
      <c r="B10" s="16" t="inlineStr">
        <is>
          <t>成果品①、成果品②、成果品③、成果品④、成果品⑤、成果品⑥ ほか</t>
        </is>
      </c>
      <c r="C10" s="17">
        <f>COUNTIF('01_WBS'!$E$2:$E$64,$A10)</f>
        <v/>
      </c>
      <c r="D10" s="17">
        <f>COUNTIFS('01_WBS'!$E$2:$E$64,$A10,'01_WBS'!$K$2:$K$64,"完了")</f>
        <v/>
      </c>
      <c r="E10" s="17">
        <f>COUNTIFS('01_WBS'!$E$2:$E$64,$A10,'01_WBS'!$K$2:$K$64,"進行中")</f>
        <v/>
      </c>
      <c r="F10" s="17">
        <f>COUNTIFS('01_WBS'!$E$2:$E$64,$A10,'01_WBS'!$K$2:$K$64,"要対応")</f>
        <v/>
      </c>
      <c r="G10" s="17">
        <f>COUNTIFS('01_WBS'!$E$2:$E$64,$A10,'01_WBS'!$K$2:$K$64,"データ待ち")</f>
        <v/>
      </c>
      <c r="H10" s="17">
        <f>COUNTIFS('01_WBS'!$E$2:$E$64,$A10,'01_WBS'!$K$2:$K$64,"未着手")</f>
        <v/>
      </c>
      <c r="I10" s="24">
        <f>IF(SUMPRODUCT(('01_WBS'!$E$2:$E$64=$A10)*'01_WBS'!$M$2:$M$64)=0,"―",SUMPRODUCT(('01_WBS'!$E$2:$E$64=$A10)*'01_WBS'!$L$2:$L$64*'01_WBS'!$M$2:$M$64)/SUMPRODUCT(('01_WBS'!$E$2:$E$64=$A10)*'01_WBS'!$M$2:$M$64)/100)</f>
        <v/>
      </c>
      <c r="J10" s="16" t="inlineStr">
        <is>
          <t>**製本・印刷が納品仕様に含まれる。令和9年2月下旬の校了が動かせない期限**</t>
        </is>
      </c>
    </row>
    <row r="11">
      <c r="A11" s="16" t="inlineStr">
        <is>
          <t>B10 業務管理・計画の基本的な考え方</t>
        </is>
      </c>
      <c r="B11" s="16" t="inlineStr">
        <is>
          <t>1、2(1)、2(2)、2(3)、3、5(1) ほか</t>
        </is>
      </c>
      <c r="C11" s="17">
        <f>COUNTIF('01_WBS'!$E$2:$E$64,$A11)</f>
        <v/>
      </c>
      <c r="D11" s="17">
        <f>COUNTIFS('01_WBS'!$E$2:$E$64,$A11,'01_WBS'!$K$2:$K$64,"完了")</f>
        <v/>
      </c>
      <c r="E11" s="17">
        <f>COUNTIFS('01_WBS'!$E$2:$E$64,$A11,'01_WBS'!$K$2:$K$64,"進行中")</f>
        <v/>
      </c>
      <c r="F11" s="17">
        <f>COUNTIFS('01_WBS'!$E$2:$E$64,$A11,'01_WBS'!$K$2:$K$64,"要対応")</f>
        <v/>
      </c>
      <c r="G11" s="17">
        <f>COUNTIFS('01_WBS'!$E$2:$E$64,$A11,'01_WBS'!$K$2:$K$64,"データ待ち")</f>
        <v/>
      </c>
      <c r="H11" s="17">
        <f>COUNTIFS('01_WBS'!$E$2:$E$64,$A11,'01_WBS'!$K$2:$K$64,"未着手")</f>
        <v/>
      </c>
      <c r="I11" s="24">
        <f>IF(SUMPRODUCT(('01_WBS'!$E$2:$E$64=$A11)*'01_WBS'!$M$2:$M$64)=0,"―",SUMPRODUCT(('01_WBS'!$E$2:$E$64=$A11)*'01_WBS'!$L$2:$L$64*'01_WBS'!$M$2:$M$64)/SUMPRODUCT(('01_WBS'!$E$2:$E$64=$A11)*'01_WBS'!$M$2:$M$64)/100)</f>
        <v/>
      </c>
      <c r="J11" s="16" t="inlineStr">
        <is>
          <t>仕様書の適合性チェック・データ依頼票は完了。工程と協議会日程の合意が残る</t>
        </is>
      </c>
    </row>
    <row r="12">
      <c r="A12" s="16" t="inlineStr">
        <is>
          <t>B11 仕様書に定めのない作業</t>
        </is>
      </c>
      <c r="B12" s="16" t="inlineStr">
        <is>
          <t>（該当条項なし）</t>
        </is>
      </c>
      <c r="C12" s="17">
        <f>COUNTIF('01_WBS'!$E$2:$E$64,$A12)</f>
        <v/>
      </c>
      <c r="D12" s="17">
        <f>COUNTIFS('01_WBS'!$E$2:$E$64,$A12,'01_WBS'!$K$2:$K$64,"完了")</f>
        <v/>
      </c>
      <c r="E12" s="17">
        <f>COUNTIFS('01_WBS'!$E$2:$E$64,$A12,'01_WBS'!$K$2:$K$64,"進行中")</f>
        <v/>
      </c>
      <c r="F12" s="17">
        <f>COUNTIFS('01_WBS'!$E$2:$E$64,$A12,'01_WBS'!$K$2:$K$64,"要対応")</f>
        <v/>
      </c>
      <c r="G12" s="17">
        <f>COUNTIFS('01_WBS'!$E$2:$E$64,$A12,'01_WBS'!$K$2:$K$64,"データ待ち")</f>
        <v/>
      </c>
      <c r="H12" s="17">
        <f>COUNTIFS('01_WBS'!$E$2:$E$64,$A12,'01_WBS'!$K$2:$K$64,"未着手")</f>
        <v/>
      </c>
      <c r="I12" s="24">
        <f>IF(SUMPRODUCT(('01_WBS'!$E$2:$E$64=$A12)*'01_WBS'!$M$2:$M$64)=0,"―",SUMPRODUCT(('01_WBS'!$E$2:$E$64=$A12)*'01_WBS'!$L$2:$L$64*'01_WBS'!$M$2:$M$64)/SUMPRODUCT(('01_WBS'!$E$2:$E$64=$A12)*'01_WBS'!$M$2:$M$64)/100)</f>
        <v/>
      </c>
      <c r="J12" s="16" t="inlineStr">
        <is>
          <t>該当なし。仕様書のいずれかの条項に紐づかない作業が発生した場合はここに現れる</t>
        </is>
      </c>
    </row>
    <row r="13">
      <c r="A13" s="25" t="inlineStr">
        <is>
          <t>合計</t>
        </is>
      </c>
      <c r="B13" s="25" t="inlineStr"/>
      <c r="C13" s="26">
        <f>SUM(C2:C12)</f>
        <v/>
      </c>
      <c r="D13" s="26">
        <f>SUM(D2:D12)</f>
        <v/>
      </c>
      <c r="E13" s="26">
        <f>SUM(E2:E12)</f>
        <v/>
      </c>
      <c r="F13" s="26">
        <f>SUM(F2:F12)</f>
        <v/>
      </c>
      <c r="G13" s="26">
        <f>SUM(G2:G12)</f>
        <v/>
      </c>
      <c r="H13" s="26">
        <f>SUM(H2:H12)</f>
        <v/>
      </c>
      <c r="I13" s="27">
        <f>IF(SUM('01_WBS'!$M$2:$M$64)=0,0,SUMPRODUCT('01_WBS'!$L$2:$L$64,'01_WBS'!$M$2:$M$64)/SUM('01_WBS'!$M$2:$M$64)/100)</f>
        <v/>
      </c>
      <c r="J13" s="16" t="inlineStr"/>
    </row>
    <row r="15">
      <c r="A15" t="inlineStr">
        <is>
          <t>※ 段階（02_段階サマリ）は業務の進み方の切り口、ブロックは委託契約上の業務単位の切り口です。同じ作業を別の軸で見ています。</t>
        </is>
      </c>
    </row>
    <row r="16">
      <c r="A16" t="inlineStr">
        <is>
          <t>※ 作業が複数の条項にまたがる場合は、先頭の条項が属するブロックに数えています。</t>
        </is>
      </c>
    </row>
    <row r="17">
      <c r="A17" t="inlineStr">
        <is>
          <t>※ 未分類の作業があります：[]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2026-09-08T01:46:51Z</dcterms:created>
  <dcterms:modified xmlns:dcterms="http://purl.org/dc/terms/" xmlns:xsi="http://www.w3.org/2001/XMLSchema-instance" xsi:type="dcterms:W3CDTF">2026-09-08T01:46:51Z</dcterms:modified>
</cp:coreProperties>
</file>