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'01_WBS'!$A$1:$O$78</definedName>
    <definedName name="_xlnm._FilterDatabase" localSheetId="11" hidden="1">'11_進捗の乖離'!$A$1:$M$78</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3" borderId="1" applyAlignment="1" pivotButton="0" quotePrefix="0" xfId="0">
      <alignment horizontal="center" vertical="center"/>
    </xf>
    <xf numFmtId="0" fontId="5" fillId="5" borderId="1" applyAlignment="1" pivotButton="0" quotePrefix="0" xfId="0">
      <alignment horizontal="center" vertical="center"/>
    </xf>
    <xf numFmtId="0" fontId="5"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6"/>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基準日：令和8年10月5日</t>
        </is>
      </c>
    </row>
    <row r="4">
      <c r="A4" s="2" t="inlineStr">
        <is>
          <t>全体進捗</t>
        </is>
      </c>
      <c r="B4" s="3">
        <f>'02_段階サマリ'!H13</f>
        <v/>
      </c>
      <c r="C4" t="inlineStr"/>
      <c r="D4" s="2" t="inlineStr">
        <is>
          <t>作業数</t>
        </is>
      </c>
      <c r="E4" s="4">
        <f>'02_段階サマリ'!B13</f>
        <v/>
      </c>
      <c r="F4" t="inlineStr"/>
      <c r="G4" s="2" t="inlineStr">
        <is>
          <t>完了</t>
        </is>
      </c>
      <c r="H4" s="4">
        <f>'02_段階サマリ'!C13</f>
        <v/>
      </c>
    </row>
    <row r="6">
      <c r="A6" s="5" t="inlineStr">
        <is>
          <t>■ 予定との乖離（11_進捗の乖離）</t>
        </is>
      </c>
    </row>
    <row r="7">
      <c r="A7" s="2" t="inlineStr">
        <is>
          <t>予定進捗率</t>
        </is>
      </c>
      <c r="B7" s="6" t="n">
        <v>0.5477731958762886</v>
      </c>
      <c r="C7" s="2" t="inlineStr">
        <is>
          <t>実績進捗率</t>
        </is>
      </c>
      <c r="D7" s="6" t="n">
        <v>0.7074742268041238</v>
      </c>
      <c r="E7" s="2" t="inlineStr">
        <is>
          <t>乖離</t>
        </is>
      </c>
      <c r="F7" s="7" t="n">
        <v>0.1597010309278351</v>
      </c>
    </row>
    <row r="8">
      <c r="A8" s="8" t="inlineStr">
        <is>
          <t>おおむね予定どおり 44件／前倒し 25件／遅れ 4件／期限超過（2か月） 2件／期限超過（1か月） 2件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19">
      <c r="A19" s="10">
        <f>'02_段階サマリ'!A10</f>
        <v/>
      </c>
      <c r="B19" s="11">
        <f>'02_段階サマリ'!B10</f>
        <v/>
      </c>
      <c r="C19" s="12">
        <f>'02_段階サマリ'!H10</f>
        <v/>
      </c>
      <c r="D19" s="13">
        <f>'02_段階サマリ'!K10</f>
        <v/>
      </c>
      <c r="E19" s="10" t="n"/>
      <c r="F19" s="10" t="n"/>
      <c r="G19" s="10" t="n"/>
      <c r="H19" s="10" t="n"/>
    </row>
    <row r="20">
      <c r="A20" s="10">
        <f>'02_段階サマリ'!A11</f>
        <v/>
      </c>
      <c r="B20" s="11">
        <f>'02_段階サマリ'!B11</f>
        <v/>
      </c>
      <c r="C20" s="12">
        <f>'02_段階サマリ'!H11</f>
        <v/>
      </c>
      <c r="D20" s="13">
        <f>'02_段階サマリ'!K11</f>
        <v/>
      </c>
      <c r="E20" s="10" t="n"/>
      <c r="F20" s="10" t="n"/>
      <c r="G20" s="10" t="n"/>
      <c r="H20" s="10" t="n"/>
    </row>
    <row r="21">
      <c r="A21" s="10">
        <f>'02_段階サマリ'!A12</f>
        <v/>
      </c>
      <c r="B21" s="11">
        <f>'02_段階サマリ'!B12</f>
        <v/>
      </c>
      <c r="C21" s="12">
        <f>'02_段階サマリ'!H12</f>
        <v/>
      </c>
      <c r="D21" s="13">
        <f>'02_段階サマリ'!K12</f>
        <v/>
      </c>
      <c r="E21" s="10" t="n"/>
      <c r="F21" s="10" t="n"/>
      <c r="G21" s="10" t="n"/>
      <c r="H21" s="10" t="n"/>
    </row>
    <row r="23">
      <c r="A23" s="5" t="inlineStr">
        <is>
          <t>■ 仕様書の業務ブロック別</t>
        </is>
      </c>
    </row>
    <row r="24">
      <c r="A24" s="9" t="inlineStr">
        <is>
          <t>仕様書ブロック</t>
        </is>
      </c>
      <c r="B24" s="9" t="inlineStr">
        <is>
          <t>作業数</t>
        </is>
      </c>
      <c r="C24" s="9" t="inlineStr">
        <is>
          <t>加重進捗率</t>
        </is>
      </c>
      <c r="D24" s="9" t="inlineStr">
        <is>
          <t>現況・律速</t>
        </is>
      </c>
    </row>
    <row r="25">
      <c r="A25" s="10">
        <f>'10_ブロック別進捗'!A2</f>
        <v/>
      </c>
      <c r="B25" s="11">
        <f>'10_ブロック別進捗'!C2</f>
        <v/>
      </c>
      <c r="C25" s="12">
        <f>'10_ブロック別進捗'!I2</f>
        <v/>
      </c>
      <c r="D25" s="13">
        <f>'10_ブロック別進捗'!J2</f>
        <v/>
      </c>
      <c r="E25" s="10" t="n"/>
      <c r="F25" s="10" t="n"/>
      <c r="G25" s="10" t="n"/>
      <c r="H25" s="10" t="n"/>
    </row>
    <row r="26">
      <c r="A26" s="10">
        <f>'10_ブロック別進捗'!A3</f>
        <v/>
      </c>
      <c r="B26" s="11">
        <f>'10_ブロック別進捗'!C3</f>
        <v/>
      </c>
      <c r="C26" s="12">
        <f>'10_ブロック別進捗'!I3</f>
        <v/>
      </c>
      <c r="D26" s="13">
        <f>'10_ブロック別進捗'!J3</f>
        <v/>
      </c>
      <c r="E26" s="10" t="n"/>
      <c r="F26" s="10" t="n"/>
      <c r="G26" s="10" t="n"/>
      <c r="H26" s="10" t="n"/>
    </row>
    <row r="27">
      <c r="A27" s="10">
        <f>'10_ブロック別進捗'!A4</f>
        <v/>
      </c>
      <c r="B27" s="11">
        <f>'10_ブロック別進捗'!C4</f>
        <v/>
      </c>
      <c r="C27" s="12">
        <f>'10_ブロック別進捗'!I4</f>
        <v/>
      </c>
      <c r="D27" s="13">
        <f>'10_ブロック別進捗'!J4</f>
        <v/>
      </c>
      <c r="E27" s="10" t="n"/>
      <c r="F27" s="10" t="n"/>
      <c r="G27" s="10" t="n"/>
      <c r="H27" s="10" t="n"/>
    </row>
    <row r="28">
      <c r="A28" s="10">
        <f>'10_ブロック別進捗'!A5</f>
        <v/>
      </c>
      <c r="B28" s="11">
        <f>'10_ブロック別進捗'!C5</f>
        <v/>
      </c>
      <c r="C28" s="12">
        <f>'10_ブロック別進捗'!I5</f>
        <v/>
      </c>
      <c r="D28" s="13">
        <f>'10_ブロック別進捗'!J5</f>
        <v/>
      </c>
      <c r="E28" s="10" t="n"/>
      <c r="F28" s="10" t="n"/>
      <c r="G28" s="10" t="n"/>
      <c r="H28" s="10" t="n"/>
    </row>
    <row r="29">
      <c r="A29" s="10">
        <f>'10_ブロック別進捗'!A6</f>
        <v/>
      </c>
      <c r="B29" s="11">
        <f>'10_ブロック別進捗'!C6</f>
        <v/>
      </c>
      <c r="C29" s="12">
        <f>'10_ブロック別進捗'!I6</f>
        <v/>
      </c>
      <c r="D29" s="13">
        <f>'10_ブロック別進捗'!J6</f>
        <v/>
      </c>
      <c r="E29" s="10" t="n"/>
      <c r="F29" s="10" t="n"/>
      <c r="G29" s="10" t="n"/>
      <c r="H29" s="10" t="n"/>
    </row>
    <row r="30">
      <c r="A30" s="10">
        <f>'10_ブロック別進捗'!A7</f>
        <v/>
      </c>
      <c r="B30" s="11">
        <f>'10_ブロック別進捗'!C7</f>
        <v/>
      </c>
      <c r="C30" s="12">
        <f>'10_ブロック別進捗'!I7</f>
        <v/>
      </c>
      <c r="D30" s="13">
        <f>'10_ブロック別進捗'!J7</f>
        <v/>
      </c>
      <c r="E30" s="10" t="n"/>
      <c r="F30" s="10" t="n"/>
      <c r="G30" s="10" t="n"/>
      <c r="H30" s="10" t="n"/>
    </row>
    <row r="31">
      <c r="A31" s="10">
        <f>'10_ブロック別進捗'!A8</f>
        <v/>
      </c>
      <c r="B31" s="11">
        <f>'10_ブロック別進捗'!C8</f>
        <v/>
      </c>
      <c r="C31" s="12">
        <f>'10_ブロック別進捗'!I8</f>
        <v/>
      </c>
      <c r="D31" s="13">
        <f>'10_ブロック別進捗'!J8</f>
        <v/>
      </c>
      <c r="E31" s="10" t="n"/>
      <c r="F31" s="10" t="n"/>
      <c r="G31" s="10" t="n"/>
      <c r="H31" s="10" t="n"/>
    </row>
    <row r="32">
      <c r="A32" s="10">
        <f>'10_ブロック別進捗'!A9</f>
        <v/>
      </c>
      <c r="B32" s="11">
        <f>'10_ブロック別進捗'!C9</f>
        <v/>
      </c>
      <c r="C32" s="12">
        <f>'10_ブロック別進捗'!I9</f>
        <v/>
      </c>
      <c r="D32" s="13">
        <f>'10_ブロック別進捗'!J9</f>
        <v/>
      </c>
      <c r="E32" s="10" t="n"/>
      <c r="F32" s="10" t="n"/>
      <c r="G32" s="10" t="n"/>
      <c r="H32" s="10" t="n"/>
    </row>
    <row r="33">
      <c r="A33" s="10">
        <f>'10_ブロック別進捗'!A10</f>
        <v/>
      </c>
      <c r="B33" s="11">
        <f>'10_ブロック別進捗'!C10</f>
        <v/>
      </c>
      <c r="C33" s="12">
        <f>'10_ブロック別進捗'!I10</f>
        <v/>
      </c>
      <c r="D33" s="13">
        <f>'10_ブロック別進捗'!J10</f>
        <v/>
      </c>
      <c r="E33" s="10" t="n"/>
      <c r="F33" s="10" t="n"/>
      <c r="G33" s="10" t="n"/>
      <c r="H33" s="10" t="n"/>
    </row>
    <row r="34">
      <c r="A34" s="10">
        <f>'10_ブロック別進捗'!A11</f>
        <v/>
      </c>
      <c r="B34" s="11">
        <f>'10_ブロック別進捗'!C11</f>
        <v/>
      </c>
      <c r="C34" s="12">
        <f>'10_ブロック別進捗'!I11</f>
        <v/>
      </c>
      <c r="D34" s="13">
        <f>'10_ブロック別進捗'!J11</f>
        <v/>
      </c>
      <c r="E34" s="10" t="n"/>
      <c r="F34" s="10" t="n"/>
      <c r="G34" s="10" t="n"/>
      <c r="H34" s="10" t="n"/>
    </row>
    <row r="35">
      <c r="A35" s="10">
        <f>'10_ブロック別進捗'!A12</f>
        <v/>
      </c>
      <c r="B35" s="11">
        <f>'10_ブロック別進捗'!C12</f>
        <v/>
      </c>
      <c r="C35" s="12">
        <f>'10_ブロック別進捗'!I12</f>
        <v/>
      </c>
      <c r="D35" s="13">
        <f>'10_ブロック別進捗'!J12</f>
        <v/>
      </c>
      <c r="E35" s="10" t="n"/>
      <c r="F35" s="10" t="n"/>
      <c r="G35" s="10" t="n"/>
      <c r="H35" s="10" t="n"/>
    </row>
    <row r="37">
      <c r="A37" s="5" t="inlineStr">
        <is>
          <t>■ 現況</t>
        </is>
      </c>
    </row>
    <row r="38">
      <c r="A38" s="14" t="inlineStr">
        <is>
          <t>見える化システムによる分析は12分野135ファイルを取り込み、実質的に完了した。認定者数は平成19年3月末〜令和8年3月末の20期分を、要介護度別・年齢階層別・被保険者区分別で確定させた。</t>
        </is>
      </c>
    </row>
    <row r="39">
      <c r="A39" s="14" t="inlineStr">
        <is>
          <t>成果品6件のうち3件（①第5版・③第3版・④第2版）が初稿段階に達し、②は算定シートの構築まで進んだ。</t>
        </is>
      </c>
    </row>
    <row r="40">
      <c r="A40" s="14"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41">
      <c r="A41" s="14"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42">
      <c r="A42" s="14"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43">
      <c r="A43" s="14"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44">
      <c r="A44" s="14" t="inlineStr">
        <is>
          <t>令和7年度調査の結果は集計結果・分析報告書として取りまとめ、素案第2版に反映した。**在宅の要介護認定者の42.1％がサービスを利用しておらず、その理由の上位3つはいずれも需要側のもので、供給側の理由を挙げた方は各1人（0.6％）であった。**これにより第10期の施策方向を、供給確保から認定運用の確認・利用意向への働きかけ・レスパイトへ組み替えた。</t>
        </is>
      </c>
    </row>
    <row r="45">
      <c r="A45" s="14"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6">
      <c r="A46" s="14"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7">
      <c r="A47" s="14"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8">
      <c r="A48" s="14"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9">
      <c r="A49" s="14"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50">
      <c r="A50" s="14" t="inlineStr">
        <is>
          <t>**令和8年9月28日、地域包括ケア「見える化」システムへの入力が完了し、推計が通った。**施策反映のワーニングはすべて「該当無し」、負の値もなくなった。**システムによる保険料基準額は月額6,533円（切上げ6,600円）で、本計画の6,048円（同6,100円）と485円の差がある。差のほとんどは令和8年度の置き方の違いによるもので、算式そのものは段階ごとに一致することを確かめた。****切り上げた水準では6,100円（第9期から▲500円）と6,600円（据え置き）に分かれ、引下げか据え置きかの分かれ目にあたる。協議会に2案を並べてお示しする。**</t>
        </is>
      </c>
    </row>
    <row r="51">
      <c r="A51" s="14" t="inlineStr">
        <is>
          <t>**あわせて、調整交付金見込額の算式を訂正した。**基数は調整交付金相当額（5％）と同じ（標準給付費＋総合事業費）であり、標準給付費のみとしていたのは誤りだった。システムの出力と1円まで照合し、第9期の実数でも検算している（誤差0.3％）。訂正による差は月額47円で、保険料基準額は6,048円（切上げ6,100円）である。</t>
        </is>
      </c>
    </row>
    <row r="52">
      <c r="A52" s="14" t="inlineStr">
        <is>
          <t>**同日、国の「（改修版）総合事業の充実に向けたワークシート」を受領した。****本町に訪問型サービスB・通所型サービスB（住民主体）の担い手が各1団体あることが分かった。**これまで確認できていなかったものである（ただし令和4年度以降の実施の有無は無回答で、令和5年度の通所型Bの利用者数は0人。現在の実施状況は未確認）。**生産年齢人口は令和2年の4,677人から令和32年の2,399人へ半減する一方、認定者数は788人から808人と横ばいで、2030年に▲122人、2040年に▲345人の供給不足が生じる。**第10期の期間中はなお需要に追いつくこと、本町の見込量が在宅の利用と利用回（日）数を増やしていないためこの制約と整合することを確かめた。**見込量そのものは変えていない。**</t>
        </is>
      </c>
    </row>
    <row r="53">
      <c r="A53" s="14" t="inlineStr">
        <is>
          <t>**同日、令和8年度交付金の該当状況調査票集計表（市町村分）と評価指標を受領し、小野町の得点を項目ごとに整理した。****これまで用いていた見える化システムの値（W126〜W137）は令和6年度交付金（令和5年度の取組の評価）のものであり、2年の間に得点は大きく変わっていた。**合計は233点（令和6年度）→324点（令和7年度）→**537点（令和8年度）**で、**市町村分の平均454.8点を82点上回り、市町村分1,536のうち258位、県内13位／59である。****受領したのは市町村分のみで、公表順位の母数は広域連合を含む1,741保険者。258位は公表順位ではない。****介護給付適正化は弱点ではなく強みだった。**医療情報との突合は全保険者の上位1割で、0点はケアプラン点検の実施割合（配点16点）だけである。**ただし主要3事業の「実施」は該当状況調査に対する町の回答（予定を含む）で、内容は確かめられていない。また体制・取組68点の根拠となっている文書も確認できていない（第9期計画本文には評価指標の記載がない）。****最大の弱点は在宅医療・在宅介護連携（支援Ⅲ）で55点・県内39位。8つの目標のうち全国平均を下回るのはここだけであり、評価指標が求める4つの場面ごとの目指すべき姿を計画に書けば動く。**</t>
        </is>
      </c>
    </row>
    <row r="54">
      <c r="A54" s="14" t="inlineStr">
        <is>
          <t>**成果品は、素案が第6版（84表・図3点）、協議会資料が第2版（49表・図9点）に達した。**素案には「⑦ 在宅医療・介護連携の推進」を新設し、基本目標3① の適正化の記述を実際の得点に合わせて訂正した。**あわせて打合せ資料一式（次第・現在地と論点・決定依頼事項一覧・打合せ記録）を作成した。決めていただくこと11件、いただきたい資料15件である。****ここから先は当方の作業ではなく町の意思決定が律速になる。**</t>
        </is>
      </c>
    </row>
    <row r="56">
      <c r="A56" s="5" t="inlineStr">
        <is>
          <t>■ 警戒事項</t>
        </is>
      </c>
    </row>
    <row r="57">
      <c r="A57" s="15" t="inlineStr">
        <is>
          <t>#</t>
        </is>
      </c>
      <c r="B57" s="15" t="inlineStr">
        <is>
          <t>内容</t>
        </is>
      </c>
      <c r="C57" s="15" t="inlineStr">
        <is>
          <t>影響</t>
        </is>
      </c>
      <c r="D57" s="15" t="inlineStr">
        <is>
          <t>対応</t>
        </is>
      </c>
    </row>
    <row r="58">
      <c r="A58" s="13" t="n">
        <v>1</v>
      </c>
      <c r="B58" s="13" t="inlineStr">
        <is>
          <t>**保険料を6,100円（▲500円）とするか6,600円（据え置き）とするか**</t>
        </is>
      </c>
      <c r="C58" s="13" t="inlineStr">
        <is>
          <t>**当方の算定は月額6,048円（切上げ6,100円）、見える化システムは6,533円（同6,600円）。分かれ目は令和8年度の実績をどう見るかだけである**</t>
        </is>
      </c>
      <c r="D58" s="13" t="inlineStr">
        <is>
          <t>**当方は国保連月報の4〜6月（前年同期比0.9598）で置き、システムは1か月で置いている。12か月そろうのは令和9年5月で、それまでどちらが当たっているかは確かめられない。協議会に2案を並べてお諮りする（決定1）**</t>
        </is>
      </c>
      <c r="E58" s="13" t="n"/>
      <c r="F58" s="13" t="n"/>
      <c r="G58" s="13" t="n"/>
      <c r="H58" s="13" t="n"/>
    </row>
    <row r="59">
      <c r="A59" s="13" t="n">
        <v>2</v>
      </c>
      <c r="B59" s="13" t="inlineStr">
        <is>
          <t>第10期の第1号被保険者負担割合と調整交付金が未確定</t>
        </is>
      </c>
      <c r="C59" s="13" t="inlineStr">
        <is>
          <t>**保険料の水準を左右するのは給付費の精度ではなく制度側の2つ。負担割合1ptで月額269円、調整交付金の見込交付割合1ptで262円動く（給付費に直すと5％分に相当）**</t>
        </is>
      </c>
      <c r="D59" s="13" t="inlineStr">
        <is>
          <t>**負担割合は3年の計画期間ごとに政令で定まる。第1期17％から3年ごとに1ptずつ上がっており、第10期は24％となる可能性がある。第10期の政令の公布状況を確認する。調整交付金の見込交付割合は算式により5.533％としている**</t>
        </is>
      </c>
      <c r="E59" s="13" t="n"/>
      <c r="F59" s="13" t="n"/>
      <c r="G59" s="13" t="n"/>
      <c r="H59" s="13" t="n"/>
    </row>
    <row r="60">
      <c r="A60" s="13" t="n">
        <v>3</v>
      </c>
      <c r="B60" s="13" t="inlineStr">
        <is>
          <t>**総合事業費の上限額が確かめられていない**</t>
        </is>
      </c>
      <c r="C60" s="13" t="inlineStr">
        <is>
          <t>**介護保険法施行令第37条の13第4項による上限額があり、超過分は町の一般財源となる。第10期の総合事業費（3年計103,743千円）が上限内に収まるかを確かめられていない**</t>
        </is>
      </c>
      <c r="D60" s="13" t="inlineStr">
        <is>
          <t>**町の「総合事業上限額算定の手引き（Excel）」（平成27年度〜令和6年度）と地域支援事業交付金事業実績報告書が要る。サービスBを広げる場合（決定7）の判断に直結する**</t>
        </is>
      </c>
      <c r="E60" s="13" t="n"/>
      <c r="F60" s="13" t="n"/>
      <c r="G60" s="13" t="n"/>
      <c r="H60" s="13" t="n"/>
    </row>
    <row r="61">
      <c r="A61" s="13" t="n">
        <v>4</v>
      </c>
      <c r="B61" s="13" t="inlineStr">
        <is>
          <t>**介護給付適正化計画の位置づけが未決**</t>
        </is>
      </c>
      <c r="C61" s="13" t="inlineStr">
        <is>
          <t>**介護保険法117条5項は市町村介護給付適正化計画を定めることを求めているが、第9期計画はその名称では置いていない**</t>
        </is>
      </c>
      <c r="D61" s="13" t="inlineStr">
        <is>
          <t>**案A（独立した節）・案B（施策の中）・案C（別冊）の3案を示した。当方は案Bをお勧めし、素案にはその形で9指標の定量目標を置いている。協議会にお諮りする（決定9）**</t>
        </is>
      </c>
      <c r="E61" s="13" t="n"/>
      <c r="F61" s="13" t="n"/>
      <c r="G61" s="13" t="n"/>
      <c r="H61" s="13" t="n"/>
    </row>
    <row r="62">
      <c r="A62" s="13" t="n">
        <v>5</v>
      </c>
      <c r="B62" s="13" t="inlineStr">
        <is>
          <t>認定者数の減少は計上の変更の可能性が高い</t>
        </is>
      </c>
      <c r="C62" s="13" t="inlineStr">
        <is>
          <t>認定者数ベースで給付費を推計すると過小になる（令和7年度は認定者▲16.1％に対し給付費▲7.4％）</t>
        </is>
      </c>
      <c r="D62" s="13" t="inlineStr">
        <is>
          <t>**令和7年9月審査分の1か月に▲99人が集中し、同月の給付件数は減っていない。令和7年8〜9月の計上方法の変更を町に確認する。見込量は受給者数・給付費の実績を基礎に組む**</t>
        </is>
      </c>
      <c r="E62" s="13" t="n"/>
      <c r="F62" s="13" t="n"/>
      <c r="G62" s="13" t="n"/>
      <c r="H62" s="13" t="n"/>
    </row>
    <row r="63">
      <c r="A63" s="13" t="n">
        <v>6</v>
      </c>
      <c r="B63" s="13" t="inlineStr">
        <is>
          <t>介護給付費準備基金の保有額が12.0百万円しかない</t>
        </is>
      </c>
      <c r="C63" s="13" t="inlineStr">
        <is>
          <t>第9期が見込んだ基金取崩35.0百万円は実行できない。保険料水準の判断に直結する</t>
        </is>
      </c>
      <c r="D63" s="13" t="inlineStr">
        <is>
          <t>**令和4年度末120.0百万円から令和5年度末12.0百万円へ1桁減っている。取崩実績か入力誤りかを町に確認する。繰越金144.2百万円の基金積立も選択肢**</t>
        </is>
      </c>
      <c r="E63" s="13" t="n"/>
      <c r="F63" s="13" t="n"/>
      <c r="G63" s="13" t="n"/>
      <c r="H63" s="13" t="n"/>
    </row>
    <row r="64">
      <c r="A64" s="13" t="n">
        <v>7</v>
      </c>
      <c r="B64" s="13" t="inlineStr">
        <is>
          <t>高齢者福祉サービス推進協議会の開催回数・時期が未定</t>
        </is>
      </c>
      <c r="C64" s="13" t="inlineStr">
        <is>
          <t>工程が引けず、パブリックコメント・印刷の日程も確定できない</t>
        </is>
      </c>
      <c r="D64" s="13" t="inlineStr">
        <is>
          <t>**仕様書に回数の指定がない。**受託者案（4回）を提示して町と確定する（依頼票C4）</t>
        </is>
      </c>
      <c r="E64" s="13" t="n"/>
      <c r="F64" s="13" t="n"/>
      <c r="G64" s="13" t="n"/>
      <c r="H64" s="13" t="n"/>
    </row>
    <row r="65">
      <c r="A65" s="13" t="n">
        <v>8</v>
      </c>
      <c r="B65" s="13" t="inlineStr">
        <is>
          <t>通いの場の実態が把握できていない</t>
        </is>
      </c>
      <c r="C65" s="13" t="inlineStr">
        <is>
          <t>第9期の介護予防施策を評価できず、第10期の最重点施策も設計できない</t>
        </is>
      </c>
      <c r="D65" s="13" t="inlineStr">
        <is>
          <t>見える化は0か所、調査は週1回以上5.5％（約190人規模）。町の事業実績で確認する（依頼票H3）</t>
        </is>
      </c>
      <c r="E65" s="13" t="n"/>
      <c r="F65" s="13" t="n"/>
      <c r="G65" s="13" t="n"/>
      <c r="H65" s="13" t="n"/>
    </row>
    <row r="66">
      <c r="A66" s="13" t="n">
        <v>9</v>
      </c>
      <c r="B66" s="13" t="inlineStr">
        <is>
          <t>印刷工程が確保されていない</t>
        </is>
      </c>
      <c r="C66" s="13" t="inlineStr">
        <is>
          <t>計画書50部・概要版50部が納期に間に合わない</t>
        </is>
      </c>
      <c r="D66" s="13" t="inlineStr">
        <is>
          <t>令和9年2月下旬の校了から逆算すると発注は2月中旬まで待てるが、年度末の印刷の集中を見て1月中に押さえる</t>
        </is>
      </c>
      <c r="E66" s="13" t="n"/>
      <c r="F66" s="13" t="n"/>
      <c r="G66" s="13" t="n"/>
      <c r="H66" s="13" t="n"/>
    </row>
    <row r="67">
      <c r="A67" s="13" t="n">
        <v>10</v>
      </c>
      <c r="B67" s="13" t="inlineStr">
        <is>
          <t>**在宅医療・介護連携の目指すべき姿が設定されていない**</t>
        </is>
      </c>
      <c r="C67" s="13" t="inlineStr">
        <is>
          <t>**令和8年度交付金の支援Ⅲは55点・県内39位で、8つの目標のうち全国平均を下回るのはここだけ。評価指標が求める4つの場面ごとの目指すべき姿がないことによる（5項目・25点）**</t>
        </is>
      </c>
      <c r="D67" s="13" t="inlineStr">
        <is>
          <t>**素案 第4章 基本目標2⑦ に案を置いた。公立小野町地方綜合病院・田村郡医師会等との調整のうえ確定する（決定11）**</t>
        </is>
      </c>
      <c r="E67" s="13" t="n"/>
      <c r="F67" s="13" t="n"/>
      <c r="G67" s="13" t="n"/>
      <c r="H67" s="13" t="n"/>
    </row>
    <row r="69">
      <c r="A69" s="5" t="inlineStr">
        <is>
          <t>■ 直近のマイルストーン</t>
        </is>
      </c>
    </row>
    <row r="70">
      <c r="A70" s="15" t="inlineStr">
        <is>
          <t>時期</t>
        </is>
      </c>
      <c r="B70" s="15" t="inlineStr">
        <is>
          <t>内容</t>
        </is>
      </c>
      <c r="C70" s="15" t="inlineStr">
        <is>
          <t>状態</t>
        </is>
      </c>
      <c r="D70" s="15" t="inlineStr">
        <is>
          <t>前提</t>
        </is>
      </c>
    </row>
    <row r="71">
      <c r="A71" s="13" t="inlineStr">
        <is>
          <t>令和8年9月8日</t>
        </is>
      </c>
      <c r="B71" s="13" t="inlineStr">
        <is>
          <t>**年報5年分・国保連月報28か月・将来推計人口を受領**</t>
        </is>
      </c>
      <c r="C71" s="16" t="inlineStr">
        <is>
          <t>完了</t>
        </is>
      </c>
      <c r="D71" s="13" t="inlineStr">
        <is>
          <t>認定者数792人を確認。算定シートに実績を投入済み</t>
        </is>
      </c>
      <c r="E71" s="13" t="n"/>
      <c r="F71" s="13" t="n"/>
      <c r="G71" s="13" t="n"/>
      <c r="H71" s="13" t="n"/>
    </row>
    <row r="72">
      <c r="A72" s="13" t="inlineStr">
        <is>
          <t>令和8年9月25日</t>
        </is>
      </c>
      <c r="B72" s="13" t="inlineStr">
        <is>
          <t>**令和8年度の置き方を自然体推計に改め、標準ケースとした**</t>
        </is>
      </c>
      <c r="C72" s="16" t="inlineStr">
        <is>
          <t>完了</t>
        </is>
      </c>
      <c r="D72" s="13" t="inlineStr">
        <is>
          <t>保険料基準額は月額6,402円→6,048円（切上げ6,100円）</t>
        </is>
      </c>
      <c r="E72" s="13" t="n"/>
      <c r="F72" s="13" t="n"/>
      <c r="G72" s="13" t="n"/>
      <c r="H72" s="13" t="n"/>
    </row>
    <row r="73">
      <c r="A73" s="13" t="inlineStr">
        <is>
          <t>令和8年9月28日</t>
        </is>
      </c>
      <c r="B73" s="13" t="inlineStr">
        <is>
          <t>**見える化システムへの入力が完了し、推計が通った**</t>
        </is>
      </c>
      <c r="C73" s="16" t="inlineStr">
        <is>
          <t>完了</t>
        </is>
      </c>
      <c r="D73" s="13" t="inlineStr">
        <is>
          <t>**システムは6,533円（切上げ6,600円）。差485円の分解を済ませた**</t>
        </is>
      </c>
      <c r="E73" s="13" t="n"/>
      <c r="F73" s="13" t="n"/>
      <c r="G73" s="13" t="n"/>
      <c r="H73" s="13" t="n"/>
    </row>
    <row r="74">
      <c r="A74" s="13" t="inlineStr">
        <is>
          <t>令和8年9月28日</t>
        </is>
      </c>
      <c r="B74" s="13" t="inlineStr">
        <is>
          <t>**（改修版）総合事業ワークシート／令和8年度交付金の市町村分集計表を受領**</t>
        </is>
      </c>
      <c r="C74" s="16" t="inlineStr">
        <is>
          <t>完了</t>
        </is>
      </c>
      <c r="D74" s="13" t="inlineStr">
        <is>
          <t>**サービスBの担い手と、主要3事業についての町の回答が確かめられた**</t>
        </is>
      </c>
      <c r="E74" s="13" t="n"/>
      <c r="F74" s="13" t="n"/>
      <c r="G74" s="13" t="n"/>
      <c r="H74" s="13" t="n"/>
    </row>
    <row r="75">
      <c r="A75" s="13" t="inlineStr">
        <is>
          <t>令和8年9月28日</t>
        </is>
      </c>
      <c r="B75" s="13" t="inlineStr">
        <is>
          <t>**打合せ資料一式を作成（決定11件・依頼資料15件）**</t>
        </is>
      </c>
      <c r="C75" s="16" t="inlineStr">
        <is>
          <t>完了</t>
        </is>
      </c>
      <c r="D75" s="13" t="inlineStr">
        <is>
          <t>**ここから先は町の意思決定が律速になる**</t>
        </is>
      </c>
      <c r="E75" s="13" t="n"/>
      <c r="F75" s="13" t="n"/>
      <c r="G75" s="13" t="n"/>
      <c r="H75" s="13" t="n"/>
    </row>
    <row r="76">
      <c r="A76" s="13" t="inlineStr">
        <is>
          <t>令和8年9月29日</t>
        </is>
      </c>
      <c r="B76" s="13" t="inlineStr">
        <is>
          <t>**調査結果報告書の原本と成果品の数値を全件突合（286件・NG0）**</t>
        </is>
      </c>
      <c r="C76" s="16" t="inlineStr">
        <is>
          <t>完了</t>
        </is>
      </c>
      <c r="D76" s="13" t="inlineStr">
        <is>
          <t>**報告書そのものの食い違い3件と、当方の項目名の取り違え1件を特定して直した**</t>
        </is>
      </c>
      <c r="E76" s="13" t="n"/>
      <c r="F76" s="13" t="n"/>
      <c r="G76" s="13" t="n"/>
      <c r="H76" s="13" t="n"/>
    </row>
    <row r="77">
      <c r="A77" s="13" t="inlineStr">
        <is>
          <t>令和8年9月29日</t>
        </is>
      </c>
      <c r="B77" s="13" t="inlineStr">
        <is>
          <t>**素案を6章構成に組み替え、書体・体裁を成果品全体でそろえた**</t>
        </is>
      </c>
      <c r="C77" s="16" t="inlineStr">
        <is>
          <t>完了</t>
        </is>
      </c>
      <c r="D77" s="13" t="inlineStr">
        <is>
          <t>**他団体の第10期計画との44項目の対比で、16項目を反映した**</t>
        </is>
      </c>
      <c r="E77" s="13" t="n"/>
      <c r="F77" s="13" t="n"/>
      <c r="G77" s="13" t="n"/>
      <c r="H77" s="13" t="n"/>
    </row>
    <row r="78">
      <c r="A78" s="13" t="inlineStr">
        <is>
          <t>令和8年10月1日</t>
        </is>
      </c>
      <c r="B78" s="13" t="inlineStr">
        <is>
          <t>**図表データ管理台帳を新設し、足りない図3点を作成**</t>
        </is>
      </c>
      <c r="C78" s="16" t="inlineStr">
        <is>
          <t>完了</t>
        </is>
      </c>
      <c r="D78" s="13" t="inlineStr">
        <is>
          <t>**図22点の出所・差し込み先・交付金との紐付けを1枚で追えるようにした**</t>
        </is>
      </c>
      <c r="E78" s="13" t="n"/>
      <c r="F78" s="13" t="n"/>
      <c r="G78" s="13" t="n"/>
      <c r="H78" s="13" t="n"/>
    </row>
    <row r="79">
      <c r="A79" s="13" t="inlineStr">
        <is>
          <t>令和8年10月</t>
        </is>
      </c>
      <c r="B79" s="13" t="inlineStr">
        <is>
          <t>**保険料基準額の決定（6,100円か6,600円か）／町との打合せ**</t>
        </is>
      </c>
      <c r="C79" s="17" t="inlineStr">
        <is>
          <t>要対応</t>
        </is>
      </c>
      <c r="D79" s="13" t="inlineStr">
        <is>
          <t>**最重要。11月の協議会までに**</t>
        </is>
      </c>
      <c r="E79" s="13" t="n"/>
      <c r="F79" s="13" t="n"/>
      <c r="G79" s="13" t="n"/>
      <c r="H79" s="13" t="n"/>
    </row>
    <row r="80">
      <c r="A80" s="13" t="inlineStr">
        <is>
          <t>令和8年9〜10月</t>
        </is>
      </c>
      <c r="B80" s="13" t="inlineStr">
        <is>
          <t>協議会 第1回（第9期の評価・調査結果）</t>
        </is>
      </c>
      <c r="C80" s="17" t="inlineStr">
        <is>
          <t>要対応</t>
        </is>
      </c>
      <c r="D80" s="13" t="inlineStr">
        <is>
          <t>**資料は第2版まで作成済み。開催日が未定**</t>
        </is>
      </c>
      <c r="E80" s="13" t="n"/>
      <c r="F80" s="13" t="n"/>
      <c r="G80" s="13" t="n"/>
      <c r="H80" s="13" t="n"/>
    </row>
    <row r="81">
      <c r="A81" s="13" t="inlineStr">
        <is>
          <t>令和8年10月</t>
        </is>
      </c>
      <c r="B81" s="13" t="inlineStr">
        <is>
          <t>見える化の都道府県への提出</t>
        </is>
      </c>
      <c r="C81" s="17" t="inlineStr">
        <is>
          <t>要対応</t>
        </is>
      </c>
      <c r="D81" s="13" t="inlineStr">
        <is>
          <t>**推計は通っている。保険料の決定のあとに**</t>
        </is>
      </c>
      <c r="E81" s="13" t="n"/>
      <c r="F81" s="13" t="n"/>
      <c r="G81" s="13" t="n"/>
      <c r="H81" s="13" t="n"/>
    </row>
    <row r="82">
      <c r="A82" s="13" t="inlineStr">
        <is>
          <t>令和8年11月</t>
        </is>
      </c>
      <c r="B82" s="13" t="inlineStr">
        <is>
          <t>**協議会 第2回（骨子案・見込量・保険料の考え方・成果指標）**</t>
        </is>
      </c>
      <c r="C82" s="18" t="inlineStr">
        <is>
          <t>未着手</t>
        </is>
      </c>
      <c r="D82" s="13" t="inlineStr">
        <is>
          <t>**本業務の最大の節目。ここで保険料を固める**</t>
        </is>
      </c>
      <c r="E82" s="13" t="n"/>
      <c r="F82" s="13" t="n"/>
      <c r="G82" s="13" t="n"/>
      <c r="H82" s="13" t="n"/>
    </row>
    <row r="83">
      <c r="A83" s="13" t="inlineStr">
        <is>
          <t>令和8年12月</t>
        </is>
      </c>
      <c r="B83" s="13" t="inlineStr">
        <is>
          <t>素案の確定、協議会 第3回／印刷業者の確保</t>
        </is>
      </c>
      <c r="C83" s="18" t="inlineStr">
        <is>
          <t>未着手</t>
        </is>
      </c>
      <c r="D83" s="13" t="inlineStr">
        <is>
          <t>**年度末は印刷が集中するため1月中に業者を押さえる**</t>
        </is>
      </c>
      <c r="E83" s="13" t="n"/>
      <c r="F83" s="13" t="n"/>
      <c r="G83" s="13" t="n"/>
      <c r="H83" s="13" t="n"/>
    </row>
    <row r="84">
      <c r="A84" s="13" t="inlineStr">
        <is>
          <t>令和9年1月</t>
        </is>
      </c>
      <c r="B84" s="13" t="inlineStr">
        <is>
          <t>パブリックコメント（1か月）</t>
        </is>
      </c>
      <c r="C84" s="18" t="inlineStr">
        <is>
          <t>未着手</t>
        </is>
      </c>
      <c r="D84" s="13" t="inlineStr">
        <is>
          <t>素案の確定</t>
        </is>
      </c>
      <c r="E84" s="13" t="n"/>
      <c r="F84" s="13" t="n"/>
      <c r="G84" s="13" t="n"/>
      <c r="H84" s="13" t="n"/>
    </row>
    <row r="85">
      <c r="A85" s="13" t="inlineStr">
        <is>
          <t>令和9年2月下旬</t>
        </is>
      </c>
      <c r="B85" s="13" t="inlineStr">
        <is>
          <t>**計画書の校了・下版（動かせない期限）**</t>
        </is>
      </c>
      <c r="C85" s="18" t="inlineStr">
        <is>
          <t>未着手</t>
        </is>
      </c>
      <c r="D85" s="13" t="inlineStr">
        <is>
          <t>パブコメ対応</t>
        </is>
      </c>
      <c r="E85" s="13" t="n"/>
      <c r="F85" s="13" t="n"/>
      <c r="G85" s="13" t="n"/>
      <c r="H85" s="13" t="n"/>
    </row>
    <row r="86">
      <c r="A86" s="13" t="inlineStr">
        <is>
          <t>令和9年3月31日</t>
        </is>
      </c>
      <c r="B86" s="13" t="inlineStr">
        <is>
          <t>納品（業務期間の末日）</t>
        </is>
      </c>
      <c r="C86" s="18" t="inlineStr">
        <is>
          <t>未着手</t>
        </is>
      </c>
      <c r="D86" s="13" t="inlineStr">
        <is>
          <t>全成果品の完成</t>
        </is>
      </c>
      <c r="E86" s="13" t="n"/>
      <c r="F86" s="13" t="n"/>
      <c r="G86" s="13" t="n"/>
      <c r="H86"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7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9" t="inlineStr">
        <is>
          <t>P1 準備・現状把握</t>
        </is>
      </c>
      <c r="B2" s="20" t="inlineStr">
        <is>
          <t>1-1</t>
        </is>
      </c>
      <c r="C2" s="19" t="inlineStr">
        <is>
          <t>契約・体制の確立、キックオフ</t>
        </is>
      </c>
      <c r="D2" s="19" t="inlineStr">
        <is>
          <t>実施体制、役割分担、連絡系統</t>
        </is>
      </c>
      <c r="E2" s="19" t="inlineStr">
        <is>
          <t>B10 業務管理・計画の基本的な考え方</t>
        </is>
      </c>
      <c r="F2" s="20" t="inlineStr">
        <is>
          <t>公告10⑥（技術者の配置）</t>
        </is>
      </c>
      <c r="G2" s="19" t="inlineStr">
        <is>
          <t>【公告10⑥】研究員は「見える化」システムやニーズ調査など各種データから介護給付費の統計分析により将来のサービス量を推計し計画化できる者（公告第1-19号 10⑥）</t>
        </is>
      </c>
      <c r="H2" s="20" t="inlineStr">
        <is>
          <t>受託者</t>
        </is>
      </c>
      <c r="I2" s="20" t="inlineStr">
        <is>
          <t>2026-06</t>
        </is>
      </c>
      <c r="J2" s="20" t="inlineStr">
        <is>
          <t>2026-07</t>
        </is>
      </c>
      <c r="K2" s="21" t="inlineStr">
        <is>
          <t>完了</t>
        </is>
      </c>
      <c r="L2" s="22" t="n">
        <v>100</v>
      </c>
      <c r="M2" s="23" t="n">
        <v>2</v>
      </c>
      <c r="N2" s="19" t="inlineStr">
        <is>
          <t>キックオフ資料・業務計画書（02_キックオフ・業務計画）</t>
        </is>
      </c>
      <c r="O2" s="19" t="inlineStr">
        <is>
          <t>―</t>
        </is>
      </c>
      <c r="P2" s="24" t="n"/>
      <c r="Q2" s="24" t="n"/>
      <c r="R2" s="24" t="n"/>
      <c r="S2" s="24" t="n"/>
      <c r="T2" s="24" t="n"/>
      <c r="U2" s="24" t="n"/>
      <c r="V2" s="24" t="n"/>
      <c r="W2" s="24" t="n"/>
    </row>
    <row r="3">
      <c r="A3" s="19" t="inlineStr">
        <is>
          <t>P1 準備・現状把握</t>
        </is>
      </c>
      <c r="B3" s="20" t="inlineStr">
        <is>
          <t>1-2</t>
        </is>
      </c>
      <c r="C3" s="19" t="inlineStr">
        <is>
          <t>引継ぎ資料の整理</t>
        </is>
      </c>
      <c r="D3" s="19" t="inlineStr">
        <is>
          <t>前受託者からの引継ぎ資料の棚卸しと索引化</t>
        </is>
      </c>
      <c r="E3" s="19" t="inlineStr">
        <is>
          <t>B10 業務管理・計画の基本的な考え方</t>
        </is>
      </c>
      <c r="F3" s="20" t="inlineStr">
        <is>
          <t>仕様書全般</t>
        </is>
      </c>
      <c r="G3" s="19" t="inlineStr">
        <is>
          <t>【全般】委託仕様書及び公告の全体（成果品要件・工程・作業分担の確認）</t>
        </is>
      </c>
      <c r="H3" s="20" t="inlineStr">
        <is>
          <t>受託者</t>
        </is>
      </c>
      <c r="I3" s="20" t="inlineStr">
        <is>
          <t>2026-07</t>
        </is>
      </c>
      <c r="J3" s="20" t="inlineStr">
        <is>
          <t>2026-07</t>
        </is>
      </c>
      <c r="K3" s="21" t="inlineStr">
        <is>
          <t>完了</t>
        </is>
      </c>
      <c r="L3" s="22" t="n">
        <v>100</v>
      </c>
      <c r="M3" s="23" t="n">
        <v>2</v>
      </c>
      <c r="N3" s="19" t="inlineStr">
        <is>
          <t>manifest_全ファイル（207ファイル）</t>
        </is>
      </c>
      <c r="O3" s="19" t="inlineStr">
        <is>
          <t>―</t>
        </is>
      </c>
      <c r="P3" s="24" t="n"/>
      <c r="Q3" s="24" t="n"/>
      <c r="R3" s="24" t="n"/>
      <c r="S3" s="24" t="n"/>
      <c r="T3" s="24" t="n"/>
      <c r="U3" s="24" t="n"/>
      <c r="V3" s="24" t="n"/>
      <c r="W3" s="24" t="n"/>
    </row>
    <row r="4">
      <c r="A4" s="19" t="inlineStr">
        <is>
          <t>P1 準備・現状把握</t>
        </is>
      </c>
      <c r="B4" s="20" t="inlineStr">
        <is>
          <t>1-3</t>
        </is>
      </c>
      <c r="C4" s="19" t="inlineStr">
        <is>
          <t>委託仕様書の確認と適合性チェック</t>
        </is>
      </c>
      <c r="D4" s="19" t="inlineStr">
        <is>
          <t>原典4件（公告・仕様書×2計画）を読み、成果品要件・工程・作業分担を確定</t>
        </is>
      </c>
      <c r="E4" s="19" t="inlineStr">
        <is>
          <t>B10 業務管理・計画の基本的な考え方</t>
        </is>
      </c>
      <c r="F4" s="20" t="inlineStr">
        <is>
          <t>仕様書全般</t>
        </is>
      </c>
      <c r="G4" s="19" t="inlineStr">
        <is>
          <t>【全般】委託仕様書及び公告の全体（成果品要件・工程・作業分担の確認）</t>
        </is>
      </c>
      <c r="H4" s="20" t="inlineStr">
        <is>
          <t>受託者</t>
        </is>
      </c>
      <c r="I4" s="20" t="inlineStr">
        <is>
          <t>2026-08</t>
        </is>
      </c>
      <c r="J4" s="20" t="inlineStr">
        <is>
          <t>2026-08</t>
        </is>
      </c>
      <c r="K4" s="21" t="inlineStr">
        <is>
          <t>完了</t>
        </is>
      </c>
      <c r="L4" s="22" t="n">
        <v>100</v>
      </c>
      <c r="M4" s="23" t="n">
        <v>3</v>
      </c>
      <c r="N4" s="19" t="inlineStr">
        <is>
          <t>仕様書適合性チェック 第2版（00_引継ぎ）。初版8/3、第2版8/13</t>
        </is>
      </c>
      <c r="O4" s="19" t="inlineStr">
        <is>
          <t>―</t>
        </is>
      </c>
      <c r="P4" s="24" t="n"/>
      <c r="Q4" s="24" t="n"/>
      <c r="R4" s="24" t="n"/>
      <c r="S4" s="24" t="n"/>
      <c r="T4" s="24" t="n"/>
      <c r="U4" s="24" t="n"/>
      <c r="V4" s="24" t="n"/>
      <c r="W4" s="24" t="n"/>
    </row>
    <row r="5">
      <c r="A5" s="19" t="inlineStr">
        <is>
          <t>P1 準備・現状把握</t>
        </is>
      </c>
      <c r="B5" s="20" t="inlineStr">
        <is>
          <t>1-4</t>
        </is>
      </c>
      <c r="C5" s="19" t="inlineStr">
        <is>
          <t>第9期計画本文の確認</t>
        </is>
      </c>
      <c r="D5" s="19" t="inlineStr">
        <is>
          <t>5章構成・基本理念・3基本目標・14施策、標準給付費3,566,486千円、保険料6,600円の算定根拠</t>
        </is>
      </c>
      <c r="E5" s="19" t="inlineStr">
        <is>
          <t>B1 現状分析（基礎データ・資料の整理分析）</t>
        </is>
      </c>
      <c r="F5" s="20" t="inlineStr">
        <is>
          <t>仕様書4(1)</t>
        </is>
      </c>
      <c r="G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20" t="inlineStr">
        <is>
          <t>受託者</t>
        </is>
      </c>
      <c r="I5" s="20" t="inlineStr">
        <is>
          <t>2026-08</t>
        </is>
      </c>
      <c r="J5" s="20" t="inlineStr">
        <is>
          <t>2026-08</t>
        </is>
      </c>
      <c r="K5" s="21" t="inlineStr">
        <is>
          <t>完了</t>
        </is>
      </c>
      <c r="L5" s="22" t="n">
        <v>100</v>
      </c>
      <c r="M5" s="23" t="n">
        <v>3</v>
      </c>
      <c r="N5" s="19" t="inlineStr">
        <is>
          <t>第9期計画本文（13_関連計画）。骨子案第3版・成果品①第5版に反映</t>
        </is>
      </c>
      <c r="O5" s="19" t="inlineStr">
        <is>
          <t>―</t>
        </is>
      </c>
      <c r="P5" s="24" t="n"/>
      <c r="Q5" s="24" t="n"/>
      <c r="R5" s="24" t="n"/>
      <c r="S5" s="24" t="n"/>
      <c r="T5" s="24" t="n"/>
      <c r="U5" s="24" t="n"/>
      <c r="V5" s="24" t="n"/>
      <c r="W5" s="24" t="n"/>
    </row>
    <row r="6">
      <c r="A6" s="19" t="inlineStr">
        <is>
          <t>P1 準備・現状把握</t>
        </is>
      </c>
      <c r="B6" s="20" t="inlineStr">
        <is>
          <t>1-5</t>
        </is>
      </c>
      <c r="C6" s="19" t="inlineStr">
        <is>
          <t>第3期地域福祉計画との役割分担の整理</t>
        </is>
      </c>
      <c r="D6" s="19" t="inlineStr">
        <is>
          <t>重複5施策を特定。成年後見は移管、虐待防止・災害対応・支え合いは連携</t>
        </is>
      </c>
      <c r="E6" s="19" t="inlineStr">
        <is>
          <t>B10 業務管理・計画の基本的な考え方</t>
        </is>
      </c>
      <c r="F6" s="20" t="inlineStr">
        <is>
          <t>仕様書2(2)</t>
        </is>
      </c>
      <c r="G6" s="19" t="inlineStr">
        <is>
          <t>【2(2)】国が示す第10期計画に関する基本的な考え方を踏まえた上で、本町の特性を活かした計画とする。</t>
        </is>
      </c>
      <c r="H6" s="20" t="inlineStr">
        <is>
          <t>受託者</t>
        </is>
      </c>
      <c r="I6" s="20" t="inlineStr">
        <is>
          <t>2026-08</t>
        </is>
      </c>
      <c r="J6" s="20" t="inlineStr">
        <is>
          <t>2026-08</t>
        </is>
      </c>
      <c r="K6" s="21" t="inlineStr">
        <is>
          <t>完了</t>
        </is>
      </c>
      <c r="L6" s="22" t="n">
        <v>100</v>
      </c>
      <c r="M6" s="23" t="n">
        <v>2</v>
      </c>
      <c r="N6" s="19" t="inlineStr">
        <is>
          <t>地域福祉計画との整合確認メモ（03_計画素案）</t>
        </is>
      </c>
      <c r="O6" s="19" t="inlineStr">
        <is>
          <t>―</t>
        </is>
      </c>
      <c r="P6" s="24" t="n"/>
      <c r="Q6" s="24" t="n"/>
      <c r="R6" s="24" t="n"/>
      <c r="S6" s="24" t="n"/>
      <c r="T6" s="24" t="n"/>
      <c r="U6" s="24" t="n"/>
      <c r="V6" s="24" t="n"/>
      <c r="W6" s="24" t="n"/>
    </row>
    <row r="7">
      <c r="A7" s="19" t="inlineStr">
        <is>
          <t>P1 準備・現状把握</t>
        </is>
      </c>
      <c r="B7" s="20" t="inlineStr">
        <is>
          <t>1-6</t>
        </is>
      </c>
      <c r="C7" s="19" t="inlineStr">
        <is>
          <t>町への資料依頼票の作成</t>
        </is>
      </c>
      <c r="D7" s="19" t="inlineStr">
        <is>
          <t>依頼35項目＋確認事項12件。基準日・年度範囲・単位・様式まで指定</t>
        </is>
      </c>
      <c r="E7" s="19" t="inlineStr">
        <is>
          <t>B10 業務管理・計画の基本的な考え方</t>
        </is>
      </c>
      <c r="F7" s="20" t="inlineStr">
        <is>
          <t>仕様書5(1)（資料は町が貸与）</t>
        </is>
      </c>
      <c r="G7" s="19" t="inlineStr">
        <is>
          <t>【5(1)】本業務の実施に必要な資料等は、小野町が受託者に貸与するものとする。</t>
        </is>
      </c>
      <c r="H7" s="20" t="inlineStr">
        <is>
          <t>受託者</t>
        </is>
      </c>
      <c r="I7" s="20" t="inlineStr">
        <is>
          <t>2026-08</t>
        </is>
      </c>
      <c r="J7" s="20" t="inlineStr">
        <is>
          <t>2026-08</t>
        </is>
      </c>
      <c r="K7" s="21" t="inlineStr">
        <is>
          <t>完了</t>
        </is>
      </c>
      <c r="L7" s="22" t="n">
        <v>100</v>
      </c>
      <c r="M7" s="23" t="n">
        <v>2</v>
      </c>
      <c r="N7" s="19" t="inlineStr">
        <is>
          <t>小野町_データ依頼票（16_町データ依頼）</t>
        </is>
      </c>
      <c r="O7" s="19" t="inlineStr">
        <is>
          <t>―</t>
        </is>
      </c>
      <c r="P7" s="24" t="n"/>
      <c r="Q7" s="24" t="n"/>
      <c r="R7" s="24" t="n"/>
      <c r="S7" s="24" t="n"/>
      <c r="T7" s="24" t="n"/>
      <c r="U7" s="24" t="n"/>
      <c r="V7" s="24" t="n"/>
      <c r="W7" s="24" t="n"/>
    </row>
    <row r="8">
      <c r="A8" s="19" t="inlineStr">
        <is>
          <t>P1 準備・現状把握</t>
        </is>
      </c>
      <c r="B8" s="20" t="inlineStr">
        <is>
          <t>1-7</t>
        </is>
      </c>
      <c r="C8" s="19" t="inlineStr">
        <is>
          <t>町データの受領</t>
        </is>
      </c>
      <c r="D8" s="19" t="inlineStr">
        <is>
          <t>依頼票に基づく資料・データの受領</t>
        </is>
      </c>
      <c r="E8" s="19" t="inlineStr">
        <is>
          <t>B10 業務管理・計画の基本的な考え方</t>
        </is>
      </c>
      <c r="F8" s="20" t="inlineStr">
        <is>
          <t>仕様書5(1)</t>
        </is>
      </c>
      <c r="G8" s="19" t="inlineStr">
        <is>
          <t>【5(1)】本業務の実施に必要な資料等は、小野町が受託者に貸与するものとする。</t>
        </is>
      </c>
      <c r="H8" s="20" t="inlineStr">
        <is>
          <t>町</t>
        </is>
      </c>
      <c r="I8" s="20" t="inlineStr">
        <is>
          <t>2026-08</t>
        </is>
      </c>
      <c r="J8" s="20" t="inlineStr">
        <is>
          <t>2026-10</t>
        </is>
      </c>
      <c r="K8" s="23" t="inlineStr">
        <is>
          <t>進行中</t>
        </is>
      </c>
      <c r="L8" s="22" t="n">
        <v>80</v>
      </c>
      <c r="M8" s="23" t="n">
        <v>4</v>
      </c>
      <c r="N8" s="19" t="inlineStr">
        <is>
          <t>**9月8日に介護保険事業状況報告（年報）令和3〜7年度（各47様式）、国保連合会業務統計表（月報）28か月分、第10期将来推計用推計人口を受領。**依頼票のN1・S1〜S5が解決し、S7は令和6年度分のみ解決。**9月28日に、国の「（改修版）総合事業の充実に向けたワークシート」と令和8年度交付金の該当状況調査票集計表（市町村分）・評価指標を受領した。**前者で訪問型サービスB・通所型サービスBの担い手が各1団体あることが、後者で介護給付適正化の主要3事業の実施状況が確かめられた</t>
        </is>
      </c>
      <c r="O8" s="19" t="inlineStr">
        <is>
          <t>**残るのは地域支援事業費の内訳（S6）、令和7年度決算（S7）、成果指標の現状値17項目（H1〜H17）、総合事業上限額算定の手引き、地域支援事業交付金事業実績報告書、令和6年度のケアプラン点検の実施件数**</t>
        </is>
      </c>
      <c r="P8" s="24" t="n"/>
      <c r="Q8" s="24" t="n"/>
      <c r="R8" s="24" t="n"/>
      <c r="S8" s="24" t="n"/>
      <c r="T8" s="24" t="n"/>
      <c r="U8" s="24" t="n"/>
      <c r="V8" s="24" t="n"/>
      <c r="W8" s="24" t="n"/>
    </row>
    <row r="9">
      <c r="A9" s="19" t="inlineStr">
        <is>
          <t>P1 準備・現状把握</t>
        </is>
      </c>
      <c r="B9" s="20" t="inlineStr">
        <is>
          <t>1-8</t>
        </is>
      </c>
      <c r="C9" s="19" t="inlineStr">
        <is>
          <t>工程・協議会日程の合意と確認事項の照会</t>
        </is>
      </c>
      <c r="D9" s="19" t="inlineStr">
        <is>
          <t>高齢者計画の仕様書には工程表がないため、業務期間から逆算した工程と協議会の回数・時期を町と合意する。あわせて仕様書の疑義4件を照会する</t>
        </is>
      </c>
      <c r="E9" s="19" t="inlineStr">
        <is>
          <t>B10 業務管理・計画の基本的な考え方</t>
        </is>
      </c>
      <c r="F9" s="20" t="inlineStr">
        <is>
          <t>仕様書5(3)</t>
        </is>
      </c>
      <c r="G9" s="19" t="inlineStr">
        <is>
          <t>【5(3)】本仕様書に定めのない事項及び疑義が生じた場合は、小野町と受託者で協議するものとする。</t>
        </is>
      </c>
      <c r="H9" s="20" t="inlineStr">
        <is>
          <t>受託者・町</t>
        </is>
      </c>
      <c r="I9" s="20" t="inlineStr">
        <is>
          <t>2026-08</t>
        </is>
      </c>
      <c r="J9" s="20" t="inlineStr">
        <is>
          <t>2026-10</t>
        </is>
      </c>
      <c r="K9" s="25" t="inlineStr">
        <is>
          <t>要対応</t>
        </is>
      </c>
      <c r="L9" s="22" t="n">
        <v>55</v>
      </c>
      <c r="M9" s="23" t="n">
        <v>2</v>
      </c>
      <c r="N9" s="19" t="inlineStr">
        <is>
          <t>**工程変更協議資料と確認事項12件を作成済み（うち高齢者に係るもの8件）。****9月28日に打合せ資料一式（19_打合せ・次第／現在地と論点／決定依頼事項一覧／打合せ記録の4点）を作成した。**決めていただくこと11件、いただきたい資料15件、配布資料15件を90分の次第に落とし込んでいる。仕様書8①により打合せ記録は受託者が作成し町と相互に確認する。**10月4日に工程変更協議資料 第2版を作成した（02_キックオフ・業務計画）。**第1版は協議会日程が未定という前提で書かれており2か月分が反映されていなかったため、納期から逆算する形に改めた。**町が動かせるつまみ（協議会の回数と印刷日数）を総当たりにし、協議会 第1回の期限を案A（4回・印刷25日）11月6日から案D（3回・印刷18日）12月4日までの4通りで示した。**間に合わなくなる場合に何から落とすかの順序も5段階で示している</t>
        </is>
      </c>
      <c r="O9" s="19" t="inlineStr">
        <is>
          <t>**町との協議。協議会の回数が決まらないとP6・P8・P9・P10の日程が引けない。最も厳しい案Aでも第1回の期限は11月6日で、残りは1か月である**</t>
        </is>
      </c>
      <c r="P9" s="24" t="n"/>
      <c r="Q9" s="24" t="n"/>
      <c r="R9" s="24" t="n"/>
      <c r="S9" s="24" t="n"/>
      <c r="T9" s="24" t="n"/>
      <c r="U9" s="24" t="n"/>
      <c r="V9" s="24" t="n"/>
      <c r="W9" s="24" t="n"/>
    </row>
    <row r="10">
      <c r="A10" s="19" t="inlineStr">
        <is>
          <t>P2 統計分析</t>
        </is>
      </c>
      <c r="B10" s="20" t="inlineStr">
        <is>
          <t>2-1</t>
        </is>
      </c>
      <c r="C10" s="19" t="inlineStr">
        <is>
          <t>人口・世帯の分析</t>
        </is>
      </c>
      <c r="D10" s="19" t="inlineStr">
        <is>
          <t>総人口、高齢化率、前期・後期高齢者、世帯。令和32年まで推計</t>
        </is>
      </c>
      <c r="E10" s="19" t="inlineStr">
        <is>
          <t>B2 統計分析</t>
        </is>
      </c>
      <c r="F10" s="20" t="inlineStr">
        <is>
          <t>仕様書4(1)①ア</t>
        </is>
      </c>
      <c r="G10" s="19" t="inlineStr">
        <is>
          <t>【4(1)①ア】統計分析（ア）人口</t>
        </is>
      </c>
      <c r="H10" s="20" t="inlineStr">
        <is>
          <t>受託者</t>
        </is>
      </c>
      <c r="I10" s="20" t="inlineStr">
        <is>
          <t>2026-07</t>
        </is>
      </c>
      <c r="J10" s="20" t="inlineStr">
        <is>
          <t>2026-07</t>
        </is>
      </c>
      <c r="K10" s="21" t="inlineStr">
        <is>
          <t>完了</t>
        </is>
      </c>
      <c r="L10" s="22" t="n">
        <v>100</v>
      </c>
      <c r="M10" s="23" t="n">
        <v>3</v>
      </c>
      <c r="N10" s="19" t="inlineStr">
        <is>
          <t>基礎数値整理ブック（A系13ファイル）</t>
        </is>
      </c>
      <c r="O10" s="19" t="inlineStr">
        <is>
          <t>―</t>
        </is>
      </c>
      <c r="P10" s="24" t="n"/>
      <c r="Q10" s="24" t="n"/>
      <c r="R10" s="24" t="n"/>
      <c r="S10" s="24" t="n"/>
      <c r="T10" s="24" t="n"/>
      <c r="U10" s="24" t="n"/>
      <c r="V10" s="24" t="n"/>
      <c r="W10" s="24" t="n"/>
    </row>
    <row r="11">
      <c r="A11" s="19" t="inlineStr">
        <is>
          <t>P2 統計分析</t>
        </is>
      </c>
      <c r="B11" s="20" t="inlineStr">
        <is>
          <t>2-2</t>
        </is>
      </c>
      <c r="C11" s="19" t="inlineStr">
        <is>
          <t>第1号被保険者の分析</t>
        </is>
      </c>
      <c r="D11" s="19" t="inlineStr">
        <is>
          <t>被保険者数の推移と推計</t>
        </is>
      </c>
      <c r="E11" s="19" t="inlineStr">
        <is>
          <t>B2 統計分析</t>
        </is>
      </c>
      <c r="F11" s="20" t="inlineStr">
        <is>
          <t>仕様書4(1)①ア</t>
        </is>
      </c>
      <c r="G11" s="19" t="inlineStr">
        <is>
          <t>【4(1)①ア】統計分析（ア）人口</t>
        </is>
      </c>
      <c r="H11" s="20" t="inlineStr">
        <is>
          <t>受託者</t>
        </is>
      </c>
      <c r="I11" s="20" t="inlineStr">
        <is>
          <t>2026-07</t>
        </is>
      </c>
      <c r="J11" s="20" t="inlineStr">
        <is>
          <t>2026-07</t>
        </is>
      </c>
      <c r="K11" s="21" t="inlineStr">
        <is>
          <t>完了</t>
        </is>
      </c>
      <c r="L11" s="22" t="n">
        <v>100</v>
      </c>
      <c r="M11" s="23" t="n">
        <v>1</v>
      </c>
      <c r="N11" s="19" t="inlineStr">
        <is>
          <t>B系4ファイル</t>
        </is>
      </c>
      <c r="O11" s="19" t="inlineStr">
        <is>
          <t>―</t>
        </is>
      </c>
      <c r="P11" s="24" t="n"/>
      <c r="Q11" s="24" t="n"/>
      <c r="R11" s="24" t="n"/>
      <c r="S11" s="24" t="n"/>
      <c r="T11" s="24" t="n"/>
      <c r="U11" s="24" t="n"/>
      <c r="V11" s="24" t="n"/>
      <c r="W11" s="24" t="n"/>
    </row>
    <row r="12">
      <c r="A12" s="19" t="inlineStr">
        <is>
          <t>P2 統計分析</t>
        </is>
      </c>
      <c r="B12" s="20" t="inlineStr">
        <is>
          <t>2-3</t>
        </is>
      </c>
      <c r="C12" s="19" t="inlineStr">
        <is>
          <t>認定者数・認定率の分析</t>
        </is>
      </c>
      <c r="D12" s="19" t="inlineStr">
        <is>
          <t>平成19年3月末〜令和8年3月末の20期。要介護度別7区分・年齢階層別・被保険者区分別</t>
        </is>
      </c>
      <c r="E12" s="19" t="inlineStr">
        <is>
          <t>B2 統計分析</t>
        </is>
      </c>
      <c r="F12" s="20" t="inlineStr">
        <is>
          <t>仕様書4(1)①イ</t>
        </is>
      </c>
      <c r="G12" s="19" t="inlineStr">
        <is>
          <t>【4(1)①イ】統計分析（イ）要支援者数、要介護認定者数、認知症高齢者数</t>
        </is>
      </c>
      <c r="H12" s="20" t="inlineStr">
        <is>
          <t>受託者</t>
        </is>
      </c>
      <c r="I12" s="20" t="inlineStr">
        <is>
          <t>2026-08</t>
        </is>
      </c>
      <c r="J12" s="20" t="inlineStr">
        <is>
          <t>2026-08</t>
        </is>
      </c>
      <c r="K12" s="21" t="inlineStr">
        <is>
          <t>完了</t>
        </is>
      </c>
      <c r="L12" s="22" t="n">
        <v>100</v>
      </c>
      <c r="M12" s="23" t="n">
        <v>4</v>
      </c>
      <c r="N12" s="19" t="inlineStr">
        <is>
          <t>要支援要介護認定者数の整理（07_見える化整理・10シート）。第1号＋第2号＝全体を20期で検算済み</t>
        </is>
      </c>
      <c r="O12" s="19" t="inlineStr">
        <is>
          <t>―</t>
        </is>
      </c>
      <c r="P12" s="24" t="n"/>
      <c r="Q12" s="24" t="n"/>
      <c r="R12" s="24" t="n"/>
      <c r="S12" s="24" t="n"/>
      <c r="T12" s="24" t="n"/>
      <c r="U12" s="24" t="n"/>
      <c r="V12" s="24" t="n"/>
      <c r="W12" s="24" t="n"/>
    </row>
    <row r="13">
      <c r="A13" s="19" t="inlineStr">
        <is>
          <t>P2 統計分析</t>
        </is>
      </c>
      <c r="B13" s="20" t="inlineStr">
        <is>
          <t>2-4</t>
        </is>
      </c>
      <c r="C13" s="19" t="inlineStr">
        <is>
          <t>認定者数の異常値の検証</t>
        </is>
      </c>
      <c r="D13" s="19" t="inlineStr">
        <is>
          <t>令和8年3月末の▲152人（▲16.1％）の要因分析。県内59市町村との比較</t>
        </is>
      </c>
      <c r="E13" s="19" t="inlineStr">
        <is>
          <t>B2 統計分析</t>
        </is>
      </c>
      <c r="F13" s="20" t="inlineStr">
        <is>
          <t>仕様書4(1)①イ</t>
        </is>
      </c>
      <c r="G13" s="19" t="inlineStr">
        <is>
          <t>【4(1)①イ】統計分析（イ）要支援者数、要介護認定者数、認知症高齢者数</t>
        </is>
      </c>
      <c r="H13" s="20" t="inlineStr">
        <is>
          <t>受託者・町</t>
        </is>
      </c>
      <c r="I13" s="20" t="inlineStr">
        <is>
          <t>2026-08</t>
        </is>
      </c>
      <c r="J13" s="20" t="inlineStr">
        <is>
          <t>2026-10</t>
        </is>
      </c>
      <c r="K13" s="23" t="inlineStr">
        <is>
          <t>進行中</t>
        </is>
      </c>
      <c r="L13" s="22" t="n">
        <v>90</v>
      </c>
      <c r="M13" s="23" t="n">
        <v>5</v>
      </c>
      <c r="N13" s="19"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9" t="inlineStr">
        <is>
          <t>**「令和7年8〜9月に計上方法の変更がなかったか」に論点が絞られた。町外施設入所者の帰属、住所地特例、国保連の集計定義のいずれか**</t>
        </is>
      </c>
      <c r="P13" s="24" t="n"/>
      <c r="Q13" s="24" t="n"/>
      <c r="R13" s="24" t="n"/>
      <c r="S13" s="24" t="n"/>
      <c r="T13" s="24" t="n"/>
      <c r="U13" s="24" t="n"/>
      <c r="V13" s="24" t="n"/>
      <c r="W13" s="24" t="n"/>
    </row>
    <row r="14">
      <c r="A14" s="19" t="inlineStr">
        <is>
          <t>P2 統計分析</t>
        </is>
      </c>
      <c r="B14" s="20" t="inlineStr">
        <is>
          <t>2-5</t>
        </is>
      </c>
      <c r="C14" s="19" t="inlineStr">
        <is>
          <t>サービス受給者数の分析</t>
        </is>
      </c>
      <c r="D14" s="19" t="inlineStr">
        <is>
          <t>居宅・施設・地域密着型の受給者数</t>
        </is>
      </c>
      <c r="E14" s="19" t="inlineStr">
        <is>
          <t>B2 統計分析</t>
        </is>
      </c>
      <c r="F14" s="20" t="inlineStr">
        <is>
          <t>仕様書4(1)①ウ</t>
        </is>
      </c>
      <c r="G14" s="19" t="inlineStr">
        <is>
          <t>【4(1)①ウ】統計分析（ウ）居宅サービス・施設サービス・地域密着型サービスの受給者数</t>
        </is>
      </c>
      <c r="H14" s="20" t="inlineStr">
        <is>
          <t>受託者</t>
        </is>
      </c>
      <c r="I14" s="20" t="inlineStr">
        <is>
          <t>2026-07</t>
        </is>
      </c>
      <c r="J14" s="20" t="inlineStr">
        <is>
          <t>2026-08</t>
        </is>
      </c>
      <c r="K14" s="21" t="inlineStr">
        <is>
          <t>完了</t>
        </is>
      </c>
      <c r="L14" s="22" t="n">
        <v>100</v>
      </c>
      <c r="M14" s="23" t="n">
        <v>2</v>
      </c>
      <c r="N14" s="19" t="inlineStr">
        <is>
          <t>地域分析ブック（D1〜D4、D32系）</t>
        </is>
      </c>
      <c r="O14" s="19" t="inlineStr">
        <is>
          <t>―</t>
        </is>
      </c>
      <c r="P14" s="24" t="n"/>
      <c r="Q14" s="24" t="n"/>
      <c r="R14" s="24" t="n"/>
      <c r="S14" s="24" t="n"/>
      <c r="T14" s="24" t="n"/>
      <c r="U14" s="24" t="n"/>
      <c r="V14" s="24" t="n"/>
      <c r="W14" s="24" t="n"/>
    </row>
    <row r="15">
      <c r="A15" s="19" t="inlineStr">
        <is>
          <t>P2 統計分析</t>
        </is>
      </c>
      <c r="B15" s="20" t="inlineStr">
        <is>
          <t>2-6</t>
        </is>
      </c>
      <c r="C15" s="19" t="inlineStr">
        <is>
          <t>介護予防事業対象者数の分析</t>
        </is>
      </c>
      <c r="D15" s="19" t="inlineStr">
        <is>
          <t>総合事業対象者、通いの場参加者</t>
        </is>
      </c>
      <c r="E15" s="19" t="inlineStr">
        <is>
          <t>B2 統計分析</t>
        </is>
      </c>
      <c r="F15" s="20" t="inlineStr">
        <is>
          <t>仕様書4(1)①エ</t>
        </is>
      </c>
      <c r="G15" s="19" t="inlineStr">
        <is>
          <t>【4(1)①エ】統計分析（エ）介護予防事業対象者数</t>
        </is>
      </c>
      <c r="H15" s="20" t="inlineStr">
        <is>
          <t>受託者</t>
        </is>
      </c>
      <c r="I15" s="20" t="inlineStr">
        <is>
          <t>2026-08</t>
        </is>
      </c>
      <c r="J15" s="20" t="inlineStr">
        <is>
          <t>2026-10</t>
        </is>
      </c>
      <c r="K15" s="26" t="inlineStr">
        <is>
          <t>データ待ち</t>
        </is>
      </c>
      <c r="L15" s="22" t="n">
        <v>50</v>
      </c>
      <c r="M15" s="23" t="n">
        <v>3</v>
      </c>
      <c r="N15" s="19" t="inlineStr">
        <is>
          <t>**見える化は通いの場がR2まで、総合事業はR1・R2のみで値もほぼ空。**F7〜F14は本町の値が未登録。**9月28日に受領した国の（改修版）総合事業ワークシートにより、本町に訪問型サービスB・通所型サービスB（住民主体）の担い手が各1団体あることが分かった（訪問型A・通所型Aは実施していない）。**国の実施状況調査で令和元年度〜令和3年度に「実施の有無＝有」と回答され、市町村内の事業所数は平成29年度から令和4年度まで各1で一貫している。**ただし令和4年度以降の実施の有無は無回答で、令和5年度の利用者数は訪問型B 24人・通所型B 0人である**</t>
        </is>
      </c>
      <c r="O15"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c r="P15" s="24" t="n"/>
      <c r="Q15" s="24" t="n"/>
      <c r="R15" s="24" t="n"/>
      <c r="S15" s="24" t="n"/>
      <c r="T15" s="24" t="n"/>
      <c r="U15" s="24" t="n"/>
      <c r="V15" s="24" t="n"/>
      <c r="W15" s="24" t="n"/>
    </row>
    <row r="16">
      <c r="A16" s="19" t="inlineStr">
        <is>
          <t>P2 統計分析</t>
        </is>
      </c>
      <c r="B16" s="20" t="inlineStr">
        <is>
          <t>2-7</t>
        </is>
      </c>
      <c r="C16" s="19" t="inlineStr">
        <is>
          <t>認知症高齢者の分析</t>
        </is>
      </c>
      <c r="D16" s="19" t="inlineStr">
        <is>
          <t>認知症高齢者の日常生活自立度、認知症施策の実施状況</t>
        </is>
      </c>
      <c r="E16" s="19" t="inlineStr">
        <is>
          <t>B2 統計分析</t>
        </is>
      </c>
      <c r="F16" s="20" t="inlineStr">
        <is>
          <t>仕様書4(1)①イ・2(3)</t>
        </is>
      </c>
      <c r="G16" s="19" t="inlineStr">
        <is>
          <t>【4(1)①イ】統計分析（イ）要支援者数、要介護認定者数、認知症高齢者数
【2(3)】国の「認知症施策推進基本計画」に基づく市町村計画も包含する計画とする。</t>
        </is>
      </c>
      <c r="H16" s="20" t="inlineStr">
        <is>
          <t>受託者</t>
        </is>
      </c>
      <c r="I16" s="20" t="inlineStr">
        <is>
          <t>2026-08</t>
        </is>
      </c>
      <c r="J16" s="20" t="inlineStr">
        <is>
          <t>2026-08</t>
        </is>
      </c>
      <c r="K16" s="23" t="inlineStr">
        <is>
          <t>進行中</t>
        </is>
      </c>
      <c r="L16" s="22" t="n">
        <v>85</v>
      </c>
      <c r="M16" s="23" t="n">
        <v>2</v>
      </c>
      <c r="N16" s="19"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c r="P16" s="24" t="n"/>
      <c r="Q16" s="24" t="n"/>
      <c r="R16" s="24" t="n"/>
      <c r="S16" s="24" t="n"/>
      <c r="T16" s="24" t="n"/>
      <c r="U16" s="24" t="n"/>
      <c r="V16" s="24" t="n"/>
      <c r="W16" s="24" t="n"/>
    </row>
    <row r="17">
      <c r="A17" s="19" t="inlineStr">
        <is>
          <t>P2 統計分析</t>
        </is>
      </c>
      <c r="B17" s="20" t="inlineStr">
        <is>
          <t>2-8</t>
        </is>
      </c>
      <c r="C17" s="19" t="inlineStr">
        <is>
          <t>サービス自給率の分析</t>
        </is>
      </c>
      <c r="D17" s="19" t="inlineStr">
        <is>
          <t>県内59市町村との比較。自給率67.57％</t>
        </is>
      </c>
      <c r="E17" s="19" t="inlineStr">
        <is>
          <t>B2 統計分析</t>
        </is>
      </c>
      <c r="F17" s="20" t="inlineStr">
        <is>
          <t>仕様書4(1)①オ</t>
        </is>
      </c>
      <c r="G17" s="19" t="inlineStr">
        <is>
          <t>【4(1)①オ】統計分析（オ）その他計画策定に必要な推計</t>
        </is>
      </c>
      <c r="H17" s="20" t="inlineStr">
        <is>
          <t>受託者</t>
        </is>
      </c>
      <c r="I17" s="20" t="inlineStr">
        <is>
          <t>2026-08</t>
        </is>
      </c>
      <c r="J17" s="20" t="inlineStr">
        <is>
          <t>2026-08</t>
        </is>
      </c>
      <c r="K17" s="21" t="inlineStr">
        <is>
          <t>完了</t>
        </is>
      </c>
      <c r="L17" s="22" t="n">
        <v>100</v>
      </c>
      <c r="M17" s="23" t="n">
        <v>2</v>
      </c>
      <c r="N17" s="19" t="inlineStr">
        <is>
          <t>δ2・δ3系12指標</t>
        </is>
      </c>
      <c r="O17" s="19" t="inlineStr">
        <is>
          <t>―</t>
        </is>
      </c>
      <c r="P17" s="24" t="n"/>
      <c r="Q17" s="24" t="n"/>
      <c r="R17" s="24" t="n"/>
      <c r="S17" s="24" t="n"/>
      <c r="T17" s="24" t="n"/>
      <c r="U17" s="24" t="n"/>
      <c r="V17" s="24" t="n"/>
      <c r="W17" s="24" t="n"/>
    </row>
    <row r="18">
      <c r="A18" s="19" t="inlineStr">
        <is>
          <t>P2 統計分析</t>
        </is>
      </c>
      <c r="B18" s="20" t="inlineStr">
        <is>
          <t>2-9</t>
        </is>
      </c>
      <c r="C18" s="19" t="inlineStr">
        <is>
          <t>介護保険財政の分析</t>
        </is>
      </c>
      <c r="D18" s="19" t="inlineStr">
        <is>
          <t>歳入歳出、基金、繰越金</t>
        </is>
      </c>
      <c r="E18" s="19" t="inlineStr">
        <is>
          <t>B5 事業量推計・保険料算出・介護財政</t>
        </is>
      </c>
      <c r="F18" s="20" t="inlineStr">
        <is>
          <t>仕様書4(2)</t>
        </is>
      </c>
      <c r="G1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20" t="inlineStr">
        <is>
          <t>受託者</t>
        </is>
      </c>
      <c r="I18" s="20" t="inlineStr">
        <is>
          <t>2026-08</t>
        </is>
      </c>
      <c r="J18" s="20" t="inlineStr">
        <is>
          <t>2026-10</t>
        </is>
      </c>
      <c r="K18" s="23" t="inlineStr">
        <is>
          <t>進行中</t>
        </is>
      </c>
      <c r="L18" s="22" t="n">
        <v>80</v>
      </c>
      <c r="M18" s="23" t="n">
        <v>3</v>
      </c>
      <c r="N18" s="19" t="inlineStr">
        <is>
          <t>**年報 様式4により令和6年度まで確定。歳入歳出差引残額144.2百万円、介護給付費準備基金の保有額12.0百万円。**保険料収納率は令和7年度99.35％（様式3）</t>
        </is>
      </c>
      <c r="O18" s="19" t="inlineStr">
        <is>
          <t>**令和7年度の様式4が全て0で未入力。また基金保有額が令和4年度末120百万円から令和5年度末12百万円へ1桁減っており、取崩実績か入力誤りかの確認が要る**</t>
        </is>
      </c>
      <c r="P18" s="24" t="n"/>
      <c r="Q18" s="24" t="n"/>
      <c r="R18" s="24" t="n"/>
      <c r="S18" s="24" t="n"/>
      <c r="T18" s="24" t="n"/>
      <c r="U18" s="24" t="n"/>
      <c r="V18" s="24" t="n"/>
      <c r="W18" s="24" t="n"/>
    </row>
    <row r="19">
      <c r="A19" s="19" t="inlineStr">
        <is>
          <t>P2 統計分析</t>
        </is>
      </c>
      <c r="B19" s="20" t="inlineStr">
        <is>
          <t>2-10</t>
        </is>
      </c>
      <c r="C19" s="19" t="inlineStr">
        <is>
          <t>見える化 優先度C分野の出力</t>
        </is>
      </c>
      <c r="D19" s="19" t="inlineStr">
        <is>
          <t>在宅医療・介護連携、医療提供体制、リハビリ提供体制、保険者機能強化推進交付金の評価指標</t>
        </is>
      </c>
      <c r="E19" s="19" t="inlineStr">
        <is>
          <t>B2 統計分析</t>
        </is>
      </c>
      <c r="F19" s="20" t="inlineStr">
        <is>
          <t>仕様書4(1)①オ</t>
        </is>
      </c>
      <c r="G19" s="19" t="inlineStr">
        <is>
          <t>【4(1)①オ】統計分析（オ）その他計画策定に必要な推計</t>
        </is>
      </c>
      <c r="H19" s="20" t="inlineStr">
        <is>
          <t>受託者</t>
        </is>
      </c>
      <c r="I19" s="20" t="inlineStr">
        <is>
          <t>2026-09</t>
        </is>
      </c>
      <c r="J19" s="20" t="inlineStr">
        <is>
          <t>2026-11</t>
        </is>
      </c>
      <c r="K19" s="23" t="inlineStr">
        <is>
          <t>進行中</t>
        </is>
      </c>
      <c r="L19" s="22" t="n">
        <v>55</v>
      </c>
      <c r="M19" s="23" t="n">
        <v>2</v>
      </c>
      <c r="N19" s="19" t="inlineStr">
        <is>
          <t>**10月5日に、医療・リハビリ提供体制の出力依頼を作り直した（11_見える化出力依頼）。****8月4日の依頼は在宅医療・介護連携91・医療提供体制62・リハビリ39の計192指標を優先度Cで一括依頼しており、量が多く優先度も低かったため出力されないままだった。****支援Ⅲ（55点・県内39位）の4つの場面ごとの目指すべき姿（決定11）に紐づく46指標へ絞り、1指標ごとに使い道を書いた。依頼する指標が実在することは指標リストと機械照合している。****出力そのものはシステムの操作が要るため、受託者では行えない。****交付金の評価指標は、9月28日に市町村分の集計表を直接受領したため、見える化からの出力は要らなくなった（2-11で整理済み）。****在宅医療・介護連携も、令和8年度交付金の明細により本町の位置（支援Ⅲ 55点・県内39位）が分かっている**</t>
        </is>
      </c>
      <c r="O19" s="19" t="inlineStr">
        <is>
          <t>**残るのは医療提供体制・リハビリ提供体制の出力。見える化システムへのアクセスは確保できている（9月28日に推計が通った）**</t>
        </is>
      </c>
      <c r="P19" s="24" t="n"/>
      <c r="Q19" s="24" t="n"/>
      <c r="R19" s="24" t="n"/>
      <c r="S19" s="24" t="n"/>
      <c r="T19" s="24" t="n"/>
      <c r="U19" s="24" t="n"/>
      <c r="V19" s="24" t="n"/>
      <c r="W19" s="24" t="n"/>
    </row>
    <row r="20">
      <c r="A20" s="19" t="inlineStr">
        <is>
          <t>P2 統計分析</t>
        </is>
      </c>
      <c r="B20" s="20" t="inlineStr">
        <is>
          <t>2-11</t>
        </is>
      </c>
      <c r="C20" s="19" t="inlineStr">
        <is>
          <t>保険者機能強化推進交付金等の評価結果の整理</t>
        </is>
      </c>
      <c r="D20" s="19" t="inlineStr">
        <is>
          <t>評価指標に対する該当状況、全国・県内での位置、計画への反映</t>
        </is>
      </c>
      <c r="E20" s="19" t="inlineStr">
        <is>
          <t>B2 統計分析</t>
        </is>
      </c>
      <c r="F20" s="20" t="inlineStr">
        <is>
          <t>仕様書4(1)①オ</t>
        </is>
      </c>
      <c r="G20" s="19" t="inlineStr">
        <is>
          <t>【4(1)①オ】統計分析（オ）その他計画策定に必要な推計</t>
        </is>
      </c>
      <c r="H20" s="20" t="inlineStr">
        <is>
          <t>受託者</t>
        </is>
      </c>
      <c r="I20" s="20" t="inlineStr">
        <is>
          <t>2026-09</t>
        </is>
      </c>
      <c r="J20" s="20" t="inlineStr">
        <is>
          <t>2026-11</t>
        </is>
      </c>
      <c r="K20" s="21" t="inlineStr">
        <is>
          <t>完了</t>
        </is>
      </c>
      <c r="L20" s="22" t="n">
        <v>100</v>
      </c>
      <c r="M20" s="23" t="n">
        <v>2</v>
      </c>
      <c r="N20" s="19" t="inlineStr">
        <is>
          <t>**9月28日に市町村分の集計表と評価指標を受領し、小野町の得点を項目ごとに整理した（21_給付適正化・交付金／取りまとめ9章・22表・図4点）。****令和8年度交付金は537点／800点で市町村分の平均454.8点を82点上回り、市町村分1,536のうち258位・県内13位／59である。****ただし受領したのは市町村分のみで、公表順位の母数は広域連合を含む1,741保険者。258位は公表順位ではない**（令和7年度は表内1,339位に対し公表1,513位）。**介護給付適正化（推進Ⅱ）は84点で平均を上回る強みであり、体制・取組68点は配点満点。医療情報との突合は全保険者の上位1割。0点はケアプラン点検の実施割合（配点16点）だけである。****主要3事業の「実施」は該当状況調査に対する町の回答（予定を含む）であり、実施の内容は確かめられていない。****また体制・取組68点の根拠となっている文書が確認できていない。第9期計画本文には主要3事業の記載はあるが、評価指標も毎年度の定量的な目標も書かれていない。****8つの目標のうち全国平均を下回るのは支援Ⅲ（在宅医療・在宅介護連携）のみで、55点・県内39位。評価指標が求める4つの場面ごとの目指すべき姿が設定されていないことによる。****素案 第4章 基本目標2に「⑦ 在宅医療・介護連携の推進」を新設し、基本目標3① の適正化の記述を実際の得点に合わせて訂正した。****なお、それまで用いていた見える化システムの値（W126〜W137）は令和6年度交付金（233点）のものであり、2年前の状況だった。**9月25日に令和8年度の評価指標と全国集計（都道府県分）を受領し、協議会資料として整理している（08_協議会資料）。福島県は令和7年度468点・42位から令和8年度530点・26位へ上がり、伸び幅＋62点は47都道府県で3位。ただし全国平均535.6点に届かず、東北6県では5番目。**全国の6割以上が得点していて福島県が0点の項目が21件あり、うち認知症施策に関する市町村支援（全国の93.6％が得点）、チームオレンジ設置状況（70.2％）、介護予防等と保健事業の一体的実施に向けた環境整備ウ・エ・オ（80〜83％）は小野町の施策に直に効く。****県の支援が薄い領域として、素案は町が自前で組み立てる前提で書く。****令和8年度に成果指向型配分枠（100点・800点とは別枠）が新設され、対象層の特定とアウトプット／アウトカム指標の分離、目標値の記載を求めている。第4章の成果指標42件のうち38件が目標値未設定であり、整理の仕方が交付金の配分に直に効く。**評価結果は計画本文には載せず毎年度の協議会資料として扱う（評価結果を外部の議論の場で検証すること自体が指標の要件であるため）。**10月4日に成果指標群（目標Ⅳ）の図を作成した（f49_yokaigo）。****15点（令和6年度交付金）から60点（令和8年度）へ伸びており、同じ期間に全国平均はほぼ動いていない（48.6→47.8点）。****0点のまま残るのは健康寿命延伸の状況だけで、性・年齢調整済み要介護2以上の認定率が全国8.99％・県10.09％に対し小野町14.28％と高いことによる**</t>
        </is>
      </c>
      <c r="O20"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c r="P20" s="24" t="n"/>
      <c r="Q20" s="24" t="n"/>
      <c r="R20" s="24" t="n"/>
      <c r="S20" s="24" t="n"/>
      <c r="T20" s="24" t="n"/>
      <c r="U20" s="24" t="n"/>
      <c r="V20" s="24" t="n"/>
      <c r="W20" s="24" t="n"/>
    </row>
    <row r="21">
      <c r="A21" s="19" t="inlineStr">
        <is>
          <t>P2 統計分析</t>
        </is>
      </c>
      <c r="B21" s="20" t="inlineStr">
        <is>
          <t>2-12</t>
        </is>
      </c>
      <c r="C21" s="19" t="inlineStr">
        <is>
          <t>総合事業の実施状況の分析</t>
        </is>
      </c>
      <c r="D21" s="19" t="inlineStr">
        <is>
          <t>国の（改修版）総合事業の充実に向けたワークシートによる確認</t>
        </is>
      </c>
      <c r="E21" s="19" t="inlineStr">
        <is>
          <t>B2 統計分析</t>
        </is>
      </c>
      <c r="F21" s="20" t="inlineStr">
        <is>
          <t>仕様書4(1)①エ</t>
        </is>
      </c>
      <c r="G21" s="19" t="inlineStr">
        <is>
          <t>【4(1)①エ】統計分析（エ）介護予防事業対象者数</t>
        </is>
      </c>
      <c r="H21" s="20" t="inlineStr">
        <is>
          <t>受託者</t>
        </is>
      </c>
      <c r="I21" s="20" t="inlineStr">
        <is>
          <t>2026-09</t>
        </is>
      </c>
      <c r="J21" s="20" t="inlineStr">
        <is>
          <t>2026-10</t>
        </is>
      </c>
      <c r="K21" s="23" t="inlineStr">
        <is>
          <t>進行中</t>
        </is>
      </c>
      <c r="L21" s="22" t="n">
        <v>85</v>
      </c>
      <c r="M21" s="23" t="n">
        <v>3</v>
      </c>
      <c r="N21" s="19" t="inlineStr">
        <is>
          <t>**9月28日に受領した国の「（改修版）総合事業の充実に向けたワークシート」と説明書を1行ずつ読み、確認結果を取りまとめた（20_総合事業ワークシート・18表・図3点）。****分かったことが3つある。**①**本町に訪問型サービスB・通所型サービスB（住民主体）の担い手が各1団体ある（訪問型A・通所型Aは実施していない）。****ただし実施の有無の回答は令和3年度が最後で、令和5年度の通所型Bの利用者数は0人である。現在の実施状況は未確認。**②**生産年齢人口は令和2年の4,677人から令和32年の2,399人へ半減する一方、認定者数は788人から808人と横ばいで、認定者1人を支える生産年齢人口は5.9人から3.0人になる。**2030年に▲122人、2040年に▲345人の供給不足が生じる。第10期の期間中はなお持つが、直後から効く。③**本町の見込量は在宅の利用と利用回（日）数を増やしていないため、この制約と整合する。見込量そのものを変える必要はない。****素案 第4章④に「人材の供給制約からみた見込量の妥当性」として反映した**</t>
        </is>
      </c>
      <c r="O21"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c r="P21" s="24" t="n"/>
      <c r="Q21" s="24" t="n"/>
      <c r="R21" s="24" t="n"/>
      <c r="S21" s="24" t="n"/>
      <c r="T21" s="24" t="n"/>
      <c r="U21" s="24" t="n"/>
      <c r="V21" s="24" t="n"/>
      <c r="W21" s="24" t="n"/>
    </row>
    <row r="22">
      <c r="A22" s="19" t="inlineStr">
        <is>
          <t>P2 統計分析</t>
        </is>
      </c>
      <c r="B22" s="20" t="inlineStr">
        <is>
          <t>2-13</t>
        </is>
      </c>
      <c r="C22" s="19" t="inlineStr">
        <is>
          <t>地域分析・検討シートの記入案の作成</t>
        </is>
      </c>
      <c r="D22" s="19" t="inlineStr">
        <is>
          <t>町から受領した地域分析・検討シートの自由記述欄（現状・課題・対応の方向）の記入案</t>
        </is>
      </c>
      <c r="E22" s="19" t="inlineStr">
        <is>
          <t>B1 現状分析（基礎データ・資料の整理分析）</t>
        </is>
      </c>
      <c r="F22" s="20" t="inlineStr">
        <is>
          <t>仕様書4(1)</t>
        </is>
      </c>
      <c r="G22"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22" s="20" t="inlineStr">
        <is>
          <t>受託者</t>
        </is>
      </c>
      <c r="I22" s="20" t="inlineStr">
        <is>
          <t>2026-09</t>
        </is>
      </c>
      <c r="J22" s="20" t="inlineStr">
        <is>
          <t>2026-10</t>
        </is>
      </c>
      <c r="K22" s="23" t="inlineStr">
        <is>
          <t>進行中</t>
        </is>
      </c>
      <c r="L22" s="22" t="n">
        <v>90</v>
      </c>
      <c r="M22" s="23" t="n">
        <v>2</v>
      </c>
      <c r="N22" s="19" t="inlineStr">
        <is>
          <t>**9月30日に町から受領したシートを読み、自由記述欄の記入案を作成した（11_見える化出力依頼）。****数値は受領シートから毎回計算する作りにして、固定値を書き込んでいない。**シートの改訂で数字が動いても記入案が置き去りにならないようにするためである。自己点検6項目を組み込み、受領シートと記入案の数値が食い違えば止まる。**記入案は打合せ資料の依頼資料一覧にも反映済み**</t>
        </is>
      </c>
      <c r="O22" s="19" t="inlineStr">
        <is>
          <t>**町の確定稿への記入は町が行う。記入案のうち通いの場・総合事業に関する記述は2-6・2-12と同じデータ待ちで、町の事業実績が入ると書き換えが要る**</t>
        </is>
      </c>
      <c r="P22" s="24" t="n"/>
      <c r="Q22" s="24" t="n"/>
      <c r="R22" s="24" t="n"/>
      <c r="S22" s="24" t="n"/>
      <c r="T22" s="24" t="n"/>
      <c r="U22" s="24" t="n"/>
      <c r="V22" s="24" t="n"/>
      <c r="W22" s="24" t="n"/>
    </row>
    <row r="23">
      <c r="A23" s="19" t="inlineStr">
        <is>
          <t>P3 給付費等の分析</t>
        </is>
      </c>
      <c r="B23" s="20" t="inlineStr">
        <is>
          <t>3-1</t>
        </is>
      </c>
      <c r="C23" s="19" t="inlineStr">
        <is>
          <t>給付費等分析結果報告書の作成</t>
        </is>
      </c>
      <c r="D23" s="19" t="inlineStr">
        <is>
          <t>サービス費目ごとの給付費・地域支援事業の分析、制度改正の影響</t>
        </is>
      </c>
      <c r="E23" s="19" t="inlineStr">
        <is>
          <t>B3 介護保険給付費等の分析</t>
        </is>
      </c>
      <c r="F23" s="20" t="inlineStr">
        <is>
          <t>仕様書4(1)②・成果品①</t>
        </is>
      </c>
      <c r="G2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3" s="20" t="inlineStr">
        <is>
          <t>受託者</t>
        </is>
      </c>
      <c r="I23" s="20" t="inlineStr">
        <is>
          <t>2026-07</t>
        </is>
      </c>
      <c r="J23" s="20" t="inlineStr">
        <is>
          <t>2026-11</t>
        </is>
      </c>
      <c r="K23" s="23" t="inlineStr">
        <is>
          <t>進行中</t>
        </is>
      </c>
      <c r="L23" s="22" t="n">
        <v>70</v>
      </c>
      <c r="M23" s="23" t="n">
        <v>5</v>
      </c>
      <c r="N23" s="19" t="inlineStr">
        <is>
          <t>**第5版（8章・44表・約29,500字）。**第9期計画との対比、施策体系との対応、認定者数20期系列と年齢階層別分解、令和7年度調査による検証まで整理</t>
        </is>
      </c>
      <c r="O23" s="19" t="inlineStr">
        <is>
          <t>町の給付実績（依頼票S1・S2）で数値を確定する</t>
        </is>
      </c>
      <c r="P23" s="24" t="n"/>
      <c r="Q23" s="24" t="n"/>
      <c r="R23" s="24" t="n"/>
      <c r="S23" s="24" t="n"/>
      <c r="T23" s="24" t="n"/>
      <c r="U23" s="24" t="n"/>
      <c r="V23" s="24" t="n"/>
      <c r="W23" s="24" t="n"/>
    </row>
    <row r="24">
      <c r="A24" s="19" t="inlineStr">
        <is>
          <t>P3 給付費等の分析</t>
        </is>
      </c>
      <c r="B24" s="20" t="inlineStr">
        <is>
          <t>3-2</t>
        </is>
      </c>
      <c r="C24" s="19" t="inlineStr">
        <is>
          <t>町の給付実績との突合</t>
        </is>
      </c>
      <c r="D24" s="19" t="inlineStr">
        <is>
          <t>見える化システムの値と町の給付実績の突合</t>
        </is>
      </c>
      <c r="E24" s="19" t="inlineStr">
        <is>
          <t>B3 介護保険給付費等の分析</t>
        </is>
      </c>
      <c r="F24" s="20" t="inlineStr">
        <is>
          <t>仕様書4(1)②</t>
        </is>
      </c>
      <c r="G2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4" s="20" t="inlineStr">
        <is>
          <t>受託者</t>
        </is>
      </c>
      <c r="I24" s="20" t="inlineStr">
        <is>
          <t>2026-09</t>
        </is>
      </c>
      <c r="J24" s="20" t="inlineStr">
        <is>
          <t>2026-10</t>
        </is>
      </c>
      <c r="K24" s="23" t="inlineStr">
        <is>
          <t>進行中</t>
        </is>
      </c>
      <c r="L24" s="22" t="n">
        <v>50</v>
      </c>
      <c r="M24" s="23" t="n">
        <v>3</v>
      </c>
      <c r="N24" s="19" t="inlineStr">
        <is>
          <t>**年報 様式2によりサービス別給付費（件数・単位数・費用額・給付費）の令和3〜7年度5年分を取得。様式1の6により受給者数も取得。**令和7年度の給付費総計は1,005,144,062円</t>
        </is>
      </c>
      <c r="O24" s="19" t="inlineStr">
        <is>
          <t>見える化システムの値との突合作業</t>
        </is>
      </c>
      <c r="P24" s="24" t="n"/>
      <c r="Q24" s="24" t="n"/>
      <c r="R24" s="24" t="n"/>
      <c r="S24" s="24" t="n"/>
      <c r="T24" s="24" t="n"/>
      <c r="U24" s="24" t="n"/>
      <c r="V24" s="24" t="n"/>
      <c r="W24" s="24" t="n"/>
    </row>
    <row r="25">
      <c r="A25" s="19" t="inlineStr">
        <is>
          <t>P3 給付費等の分析</t>
        </is>
      </c>
      <c r="B25" s="20" t="inlineStr">
        <is>
          <t>3-3</t>
        </is>
      </c>
      <c r="C25" s="19" t="inlineStr">
        <is>
          <t>成果品①の製本・納品</t>
        </is>
      </c>
      <c r="D25" s="19" t="inlineStr">
        <is>
          <t>データCD-R1部＋冊子（簡易製本）3部</t>
        </is>
      </c>
      <c r="E25" s="19" t="inlineStr">
        <is>
          <t>B9 成果品の納品</t>
        </is>
      </c>
      <c r="F25" s="20" t="inlineStr">
        <is>
          <t>仕様書4 成果品①</t>
        </is>
      </c>
      <c r="G25" s="19" t="inlineStr">
        <is>
          <t>【成果品①】（1）介護保険給付費等分析結果報告書　※データ（CD-R）1部、冊子（簡易製本）3部</t>
        </is>
      </c>
      <c r="H25" s="20" t="inlineStr">
        <is>
          <t>受託者</t>
        </is>
      </c>
      <c r="I25" s="20" t="inlineStr">
        <is>
          <t>2027-03</t>
        </is>
      </c>
      <c r="J25" s="20" t="inlineStr">
        <is>
          <t>2027-03</t>
        </is>
      </c>
      <c r="K25" s="27" t="inlineStr">
        <is>
          <t>未着手</t>
        </is>
      </c>
      <c r="L25" s="22" t="n">
        <v>0</v>
      </c>
      <c r="M25" s="23" t="n">
        <v>1</v>
      </c>
      <c r="N25" s="19" t="inlineStr">
        <is>
          <t>―</t>
        </is>
      </c>
      <c r="O25" s="19" t="inlineStr">
        <is>
          <t>報告書の確定</t>
        </is>
      </c>
      <c r="P25" s="24" t="n"/>
      <c r="Q25" s="24" t="n"/>
      <c r="R25" s="24" t="n"/>
      <c r="S25" s="24" t="n"/>
      <c r="T25" s="24" t="n"/>
      <c r="U25" s="24" t="n"/>
      <c r="V25" s="24" t="n"/>
      <c r="W25" s="24" t="n"/>
    </row>
    <row r="26">
      <c r="A26" s="19" t="inlineStr">
        <is>
          <t>P4 調査結果の反映</t>
        </is>
      </c>
      <c r="B26" s="20" t="inlineStr">
        <is>
          <t>4-1</t>
        </is>
      </c>
      <c r="C26" s="19" t="inlineStr">
        <is>
          <t>調査結果報告書の確認</t>
        </is>
      </c>
      <c r="D26" s="19" t="inlineStr">
        <is>
          <t>令和8年3月・104頁の報告書の内容確認と妥当性の検証</t>
        </is>
      </c>
      <c r="E26" s="19" t="inlineStr">
        <is>
          <t>B4 令和7年度調査結果の反映</t>
        </is>
      </c>
      <c r="F26" s="20" t="inlineStr">
        <is>
          <t>仕様書4(1)③</t>
        </is>
      </c>
      <c r="G26" s="19" t="inlineStr">
        <is>
          <t>【4(1)③】介護予防・日常生活圏域ニーズ調査、在宅介護実態調査結果の反映。令和7年度に実施した調査結果を反映させる。</t>
        </is>
      </c>
      <c r="H26" s="20" t="inlineStr">
        <is>
          <t>受託者</t>
        </is>
      </c>
      <c r="I26" s="20" t="inlineStr">
        <is>
          <t>2026-08</t>
        </is>
      </c>
      <c r="J26" s="20" t="inlineStr">
        <is>
          <t>2026-08</t>
        </is>
      </c>
      <c r="K26" s="21" t="inlineStr">
        <is>
          <t>完了</t>
        </is>
      </c>
      <c r="L26" s="22" t="n">
        <v>100</v>
      </c>
      <c r="M26" s="23" t="n">
        <v>3</v>
      </c>
      <c r="N26" s="19" t="inlineStr">
        <is>
          <t>単純集計とリスク分析（年齢階層別・男女別・認定状況別）を取得。報告書内の不整合3件を指摘</t>
        </is>
      </c>
      <c r="O26" s="19" t="inlineStr">
        <is>
          <t>―　**9月29日に調査結果報告書の原本（104頁）を受領し、集計値を1件ずつ突き合わせた（286件・NG0）。**認知症の設問の項目名を1件訂正し、報告書そのものの食い違い3件を注記した</t>
        </is>
      </c>
      <c r="P26" s="24" t="n"/>
      <c r="Q26" s="24" t="n"/>
      <c r="R26" s="24" t="n"/>
      <c r="S26" s="24" t="n"/>
      <c r="T26" s="24" t="n"/>
      <c r="U26" s="24" t="n"/>
      <c r="V26" s="24" t="n"/>
      <c r="W26" s="24" t="n"/>
    </row>
    <row r="27">
      <c r="A27" s="19" t="inlineStr">
        <is>
          <t>P4 調査結果の反映</t>
        </is>
      </c>
      <c r="B27" s="20" t="inlineStr">
        <is>
          <t>4-2</t>
        </is>
      </c>
      <c r="C27" s="19" t="inlineStr">
        <is>
          <t>集計データの整理</t>
        </is>
      </c>
      <c r="D27" s="19" t="inlineStr">
        <is>
          <t>リスク10項目×9区分の保持</t>
        </is>
      </c>
      <c r="E27" s="19" t="inlineStr">
        <is>
          <t>B4 令和7年度調査結果の反映</t>
        </is>
      </c>
      <c r="F27" s="20" t="inlineStr">
        <is>
          <t>仕様書4(1)③</t>
        </is>
      </c>
      <c r="G27" s="19" t="inlineStr">
        <is>
          <t>【4(1)③】介護予防・日常生活圏域ニーズ調査、在宅介護実態調査結果の反映。令和7年度に実施した調査結果を反映させる。</t>
        </is>
      </c>
      <c r="H27" s="20" t="inlineStr">
        <is>
          <t>受託者</t>
        </is>
      </c>
      <c r="I27" s="20" t="inlineStr">
        <is>
          <t>2026-08</t>
        </is>
      </c>
      <c r="J27" s="20" t="inlineStr">
        <is>
          <t>2026-08</t>
        </is>
      </c>
      <c r="K27" s="21" t="inlineStr">
        <is>
          <t>完了</t>
        </is>
      </c>
      <c r="L27" s="22" t="n">
        <v>100</v>
      </c>
      <c r="M27" s="23" t="n">
        <v>2</v>
      </c>
      <c r="N27" s="19" t="inlineStr">
        <is>
          <t>集計データ整理ブック（14_アンケート集計・9シート）</t>
        </is>
      </c>
      <c r="O27" s="19" t="inlineStr">
        <is>
          <t>―</t>
        </is>
      </c>
      <c r="P27" s="24" t="n"/>
      <c r="Q27" s="24" t="n"/>
      <c r="R27" s="24" t="n"/>
      <c r="S27" s="24" t="n"/>
      <c r="T27" s="24" t="n"/>
      <c r="U27" s="24" t="n"/>
      <c r="V27" s="24" t="n"/>
      <c r="W27" s="24" t="n"/>
    </row>
    <row r="28">
      <c r="A28" s="19" t="inlineStr">
        <is>
          <t>P4 調査結果の反映</t>
        </is>
      </c>
      <c r="B28" s="20" t="inlineStr">
        <is>
          <t>4-3</t>
        </is>
      </c>
      <c r="C28" s="19" t="inlineStr">
        <is>
          <t>集計結果・分析報告書の作成</t>
        </is>
      </c>
      <c r="D28" s="19" t="inlineStr">
        <is>
          <t>単純集計、リスク分析、前回対比、8つの分析、第9期課題への到達状況、第10期への示唆</t>
        </is>
      </c>
      <c r="E28" s="19" t="inlineStr">
        <is>
          <t>B4 令和7年度調査結果の反映</t>
        </is>
      </c>
      <c r="F28" s="20" t="inlineStr">
        <is>
          <t>仕様書4(1)③</t>
        </is>
      </c>
      <c r="G28" s="19" t="inlineStr">
        <is>
          <t>【4(1)③】介護予防・日常生活圏域ニーズ調査、在宅介護実態調査結果の反映。令和7年度に実施した調査結果を反映させる。</t>
        </is>
      </c>
      <c r="H28" s="20" t="inlineStr">
        <is>
          <t>受託者</t>
        </is>
      </c>
      <c r="I28" s="20" t="inlineStr">
        <is>
          <t>2026-08</t>
        </is>
      </c>
      <c r="J28" s="20" t="inlineStr">
        <is>
          <t>2026-08</t>
        </is>
      </c>
      <c r="K28" s="21" t="inlineStr">
        <is>
          <t>完了</t>
        </is>
      </c>
      <c r="L28" s="22" t="n">
        <v>100</v>
      </c>
      <c r="M28" s="23" t="n">
        <v>4</v>
      </c>
      <c r="N28" s="19" t="inlineStr">
        <is>
          <t>**7章・72表・約27,800字（14_アンケート集計）**</t>
        </is>
      </c>
      <c r="O28" s="19" t="inlineStr">
        <is>
          <t>―</t>
        </is>
      </c>
      <c r="P28" s="24" t="n"/>
      <c r="Q28" s="24" t="n"/>
      <c r="R28" s="24" t="n"/>
      <c r="S28" s="24" t="n"/>
      <c r="T28" s="24" t="n"/>
      <c r="U28" s="24" t="n"/>
      <c r="V28" s="24" t="n"/>
      <c r="W28" s="24" t="n"/>
    </row>
    <row r="29">
      <c r="A29" s="19" t="inlineStr">
        <is>
          <t>P4 調査結果の反映</t>
        </is>
      </c>
      <c r="B29" s="20" t="inlineStr">
        <is>
          <t>4-4</t>
        </is>
      </c>
      <c r="C29" s="19" t="inlineStr">
        <is>
          <t>クロス集計の設計</t>
        </is>
      </c>
      <c r="D29" s="19" t="inlineStr">
        <is>
          <t>前回計画の課題に基づくクロス集計25件の設計</t>
        </is>
      </c>
      <c r="E29" s="19" t="inlineStr">
        <is>
          <t>B4 令和7年度調査結果の反映</t>
        </is>
      </c>
      <c r="F29" s="20" t="inlineStr">
        <is>
          <t>仕様書4(1)③</t>
        </is>
      </c>
      <c r="G29" s="19" t="inlineStr">
        <is>
          <t>【4(1)③】介護予防・日常生活圏域ニーズ調査、在宅介護実態調査結果の反映。令和7年度に実施した調査結果を反映させる。</t>
        </is>
      </c>
      <c r="H29" s="20" t="inlineStr">
        <is>
          <t>受託者</t>
        </is>
      </c>
      <c r="I29" s="20" t="inlineStr">
        <is>
          <t>2026-08</t>
        </is>
      </c>
      <c r="J29" s="20" t="inlineStr">
        <is>
          <t>2026-08</t>
        </is>
      </c>
      <c r="K29" s="21" t="inlineStr">
        <is>
          <t>完了</t>
        </is>
      </c>
      <c r="L29" s="22" t="n">
        <v>100</v>
      </c>
      <c r="M29" s="23" t="n">
        <v>2</v>
      </c>
      <c r="N29" s="19" t="inlineStr">
        <is>
          <t>クロス集計設計書（8シート・25件）。4件掲載済、17件が個票を要し、4件は設問なし</t>
        </is>
      </c>
      <c r="O29" s="19" t="inlineStr">
        <is>
          <t>―</t>
        </is>
      </c>
      <c r="P29" s="24" t="n"/>
      <c r="Q29" s="24" t="n"/>
      <c r="R29" s="24" t="n"/>
      <c r="S29" s="24" t="n"/>
      <c r="T29" s="24" t="n"/>
      <c r="U29" s="24" t="n"/>
      <c r="V29" s="24" t="n"/>
      <c r="W29" s="24" t="n"/>
    </row>
    <row r="30">
      <c r="A30" s="19" t="inlineStr">
        <is>
          <t>P4 調査結果の反映</t>
        </is>
      </c>
      <c r="B30" s="20" t="inlineStr">
        <is>
          <t>4-5</t>
        </is>
      </c>
      <c r="C30" s="19" t="inlineStr">
        <is>
          <t>個票によるクロス集計</t>
        </is>
      </c>
      <c r="D30" s="19" t="inlineStr">
        <is>
          <t>要介護度別・世帯構成別のクロス集計17件</t>
        </is>
      </c>
      <c r="E30" s="19" t="inlineStr">
        <is>
          <t>B4 令和7年度調査結果の反映</t>
        </is>
      </c>
      <c r="F30" s="20" t="inlineStr">
        <is>
          <t>仕様書4(1)③</t>
        </is>
      </c>
      <c r="G30" s="19" t="inlineStr">
        <is>
          <t>【4(1)③】介護予防・日常生活圏域ニーズ調査、在宅介護実態調査結果の反映。令和7年度に実施した調査結果を反映させる。</t>
        </is>
      </c>
      <c r="H30" s="20" t="inlineStr">
        <is>
          <t>受託者</t>
        </is>
      </c>
      <c r="I30" s="20" t="inlineStr">
        <is>
          <t>2026-09</t>
        </is>
      </c>
      <c r="J30" s="20" t="inlineStr">
        <is>
          <t>2026-10</t>
        </is>
      </c>
      <c r="K30" s="26" t="inlineStr">
        <is>
          <t>データ待ち</t>
        </is>
      </c>
      <c r="L30" s="22" t="n">
        <v>0</v>
      </c>
      <c r="M30" s="23" t="n">
        <v>3</v>
      </c>
      <c r="N30" s="19" t="inlineStr">
        <is>
          <t>―</t>
        </is>
      </c>
      <c r="O30" s="19" t="inlineStr">
        <is>
          <t>**令和7年度調査の個票データ（依頼票H16）。地区情報の有無も要確認**</t>
        </is>
      </c>
      <c r="P30" s="24" t="n"/>
      <c r="Q30" s="24" t="n"/>
      <c r="R30" s="24" t="n"/>
      <c r="S30" s="24" t="n"/>
      <c r="T30" s="24" t="n"/>
      <c r="U30" s="24" t="n"/>
      <c r="V30" s="24" t="n"/>
      <c r="W30" s="24" t="n"/>
    </row>
    <row r="31">
      <c r="A31" s="19" t="inlineStr">
        <is>
          <t>P4 調査結果の反映</t>
        </is>
      </c>
      <c r="B31" s="20" t="inlineStr">
        <is>
          <t>4-6</t>
        </is>
      </c>
      <c r="C31" s="19" t="inlineStr">
        <is>
          <t>レッドチームレビュー</t>
        </is>
      </c>
      <c r="D31" s="19" t="inlineStr">
        <is>
          <t>集計・分析の反証検証</t>
        </is>
      </c>
      <c r="E31" s="19" t="inlineStr">
        <is>
          <t>B4 令和7年度調査結果の反映</t>
        </is>
      </c>
      <c r="F31" s="20" t="inlineStr">
        <is>
          <t>仕様書4(1)③</t>
        </is>
      </c>
      <c r="G31" s="19" t="inlineStr">
        <is>
          <t>【4(1)③】介護予防・日常生活圏域ニーズ調査、在宅介護実態調査結果の反映。令和7年度に実施した調査結果を反映させる。</t>
        </is>
      </c>
      <c r="H31" s="20" t="inlineStr">
        <is>
          <t>受託者</t>
        </is>
      </c>
      <c r="I31" s="20" t="inlineStr">
        <is>
          <t>2026-08</t>
        </is>
      </c>
      <c r="J31" s="20" t="inlineStr">
        <is>
          <t>2026-08</t>
        </is>
      </c>
      <c r="K31" s="21" t="inlineStr">
        <is>
          <t>完了</t>
        </is>
      </c>
      <c r="L31" s="22" t="n">
        <v>100</v>
      </c>
      <c r="M31" s="23" t="n">
        <v>1</v>
      </c>
      <c r="N31" s="19" t="inlineStr">
        <is>
          <t>REDTEAM 2本（14_アンケート集計）。数値の取り違え1件を自己検出し修正</t>
        </is>
      </c>
      <c r="O31" s="19" t="inlineStr">
        <is>
          <t>―</t>
        </is>
      </c>
      <c r="P31" s="24" t="n"/>
      <c r="Q31" s="24" t="n"/>
      <c r="R31" s="24" t="n"/>
      <c r="S31" s="24" t="n"/>
      <c r="T31" s="24" t="n"/>
      <c r="U31" s="24" t="n"/>
      <c r="V31" s="24" t="n"/>
      <c r="W31" s="24" t="n"/>
    </row>
    <row r="32">
      <c r="A32" s="19" t="inlineStr">
        <is>
          <t>P5 第9期の評価</t>
        </is>
      </c>
      <c r="B32" s="20" t="inlineStr">
        <is>
          <t>5-1</t>
        </is>
      </c>
      <c r="C32" s="19" t="inlineStr">
        <is>
          <t>協議会資料（第9期評価・調査結果）の作成</t>
        </is>
      </c>
      <c r="D32" s="19" t="inlineStr">
        <is>
          <t>第9期が第5章2(2)で自ら定める4点検項目に沿って評価</t>
        </is>
      </c>
      <c r="E32" s="19" t="inlineStr">
        <is>
          <t>B3 介護保険給付費等の分析</t>
        </is>
      </c>
      <c r="F32" s="20" t="inlineStr">
        <is>
          <t>仕様書4(1)②・4(5)</t>
        </is>
      </c>
      <c r="G32"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32" s="20" t="inlineStr">
        <is>
          <t>受託者</t>
        </is>
      </c>
      <c r="I32" s="20" t="inlineStr">
        <is>
          <t>2026-08</t>
        </is>
      </c>
      <c r="J32" s="20" t="inlineStr">
        <is>
          <t>2026-09</t>
        </is>
      </c>
      <c r="K32" s="21" t="inlineStr">
        <is>
          <t>完了</t>
        </is>
      </c>
      <c r="L32" s="22" t="n">
        <v>100</v>
      </c>
      <c r="M32" s="23" t="n">
        <v>4</v>
      </c>
      <c r="N32" s="19" t="inlineStr">
        <is>
          <t>**協議会資料 第2版（08_協議会資料・49表・図9点）。****年報により第9期の実績（標準給付費・地域支援事業費・保険料収納・特別会計）を確定させ、次回お諮りする保険料2案を明記した。****9月28日に、5-1／5-2 を設けて令和8年度交付金の評価結果を加えた。**評価結果を外部の関係者を含む議論の場で検証すること自体が評価指標の要件であるため、協議会への報告の形にしている</t>
        </is>
      </c>
      <c r="O32" s="19" t="inlineStr">
        <is>
          <t>**開催日が未定。決まればすぐにお出しできる**</t>
        </is>
      </c>
      <c r="P32" s="24" t="n"/>
      <c r="Q32" s="24" t="n"/>
      <c r="R32" s="24" t="n"/>
      <c r="S32" s="24" t="n"/>
      <c r="T32" s="24" t="n"/>
      <c r="U32" s="24" t="n"/>
      <c r="V32" s="24" t="n"/>
      <c r="W32" s="24" t="n"/>
    </row>
    <row r="33">
      <c r="A33" s="19" t="inlineStr">
        <is>
          <t>P5 第9期の評価</t>
        </is>
      </c>
      <c r="B33" s="20" t="inlineStr">
        <is>
          <t>5-2</t>
        </is>
      </c>
      <c r="C33" s="19" t="inlineStr">
        <is>
          <t>成果目標の達成状況の確定</t>
        </is>
      </c>
      <c r="D33" s="19" t="inlineStr">
        <is>
          <t>第9期の見込みと実績の対比</t>
        </is>
      </c>
      <c r="E33" s="19" t="inlineStr">
        <is>
          <t>B3 介護保険給付費等の分析</t>
        </is>
      </c>
      <c r="F33" s="20" t="inlineStr">
        <is>
          <t>仕様書4(1)②</t>
        </is>
      </c>
      <c r="G3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3" s="20" t="inlineStr">
        <is>
          <t>受託者</t>
        </is>
      </c>
      <c r="I33" s="20" t="inlineStr">
        <is>
          <t>2026-09</t>
        </is>
      </c>
      <c r="J33" s="20" t="inlineStr">
        <is>
          <t>2026-10</t>
        </is>
      </c>
      <c r="K33" s="23" t="inlineStr">
        <is>
          <t>進行中</t>
        </is>
      </c>
      <c r="L33" s="22" t="n">
        <v>90</v>
      </c>
      <c r="M33" s="23" t="n">
        <v>3</v>
      </c>
      <c r="N33" s="19"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3" s="19" t="inlineStr">
        <is>
          <t>**地域支援事業費の実績（年報 様式4の令和6・7年度が未入力。依頼票H3）と成果指標の現状値（H1〜H15）。令和8年度は年度途中のため令和9年夏の年報を待つ**</t>
        </is>
      </c>
      <c r="P33" s="24" t="n"/>
      <c r="Q33" s="24" t="n"/>
      <c r="R33" s="24" t="n"/>
      <c r="S33" s="24" t="n"/>
      <c r="T33" s="24" t="n"/>
      <c r="U33" s="24" t="n"/>
      <c r="V33" s="24" t="n"/>
      <c r="W33" s="24" t="n"/>
    </row>
    <row r="34">
      <c r="A34" s="19" t="inlineStr">
        <is>
          <t>P5 第9期の評価</t>
        </is>
      </c>
      <c r="B34" s="20" t="inlineStr">
        <is>
          <t>5-3</t>
        </is>
      </c>
      <c r="C34" s="19" t="inlineStr">
        <is>
          <t>施設整備方針との不整合の確認</t>
        </is>
      </c>
      <c r="D34" s="19" t="inlineStr">
        <is>
          <t>第9期は新規整備を行わない方針だが、認知症対応型共同生活介護の定員が27人（38.0％）増</t>
        </is>
      </c>
      <c r="E34" s="19" t="inlineStr">
        <is>
          <t>B3 介護保険給付費等の分析</t>
        </is>
      </c>
      <c r="F34" s="20" t="inlineStr">
        <is>
          <t>仕様書4(1)②</t>
        </is>
      </c>
      <c r="G3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4" s="20" t="inlineStr">
        <is>
          <t>受託者・町</t>
        </is>
      </c>
      <c r="I34" s="20" t="inlineStr">
        <is>
          <t>2026-09</t>
        </is>
      </c>
      <c r="J34" s="20" t="inlineStr">
        <is>
          <t>2026-09</t>
        </is>
      </c>
      <c r="K34" s="27" t="inlineStr">
        <is>
          <t>未着手</t>
        </is>
      </c>
      <c r="L34" s="22" t="n">
        <v>0</v>
      </c>
      <c r="M34" s="23" t="n">
        <v>1</v>
      </c>
      <c r="N34" s="19" t="inlineStr">
        <is>
          <t>―</t>
        </is>
      </c>
      <c r="O34" s="19" t="inlineStr">
        <is>
          <t>整備の経緯の確認（依頼票H15）</t>
        </is>
      </c>
      <c r="P34" s="24" t="n"/>
      <c r="Q34" s="24" t="n"/>
      <c r="R34" s="24" t="n"/>
      <c r="S34" s="24" t="n"/>
      <c r="T34" s="24" t="n"/>
      <c r="U34" s="24" t="n"/>
      <c r="V34" s="24" t="n"/>
      <c r="W34" s="24" t="n"/>
    </row>
    <row r="35">
      <c r="A35" s="19" t="inlineStr">
        <is>
          <t>P6 骨子案</t>
        </is>
      </c>
      <c r="B35" s="20" t="inlineStr">
        <is>
          <t>6-1</t>
        </is>
      </c>
      <c r="C35" s="19" t="inlineStr">
        <is>
          <t>骨子案の作成</t>
        </is>
      </c>
      <c r="D35" s="19" t="inlineStr">
        <is>
          <t>基本課題・施策方向・重点課題・施策体系</t>
        </is>
      </c>
      <c r="E35" s="19" t="inlineStr">
        <is>
          <t>B6 骨子案・素案の作成</t>
        </is>
      </c>
      <c r="F35" s="20" t="inlineStr">
        <is>
          <t>仕様書4(3)・成果品③</t>
        </is>
      </c>
      <c r="G3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5" s="20" t="inlineStr">
        <is>
          <t>受託者</t>
        </is>
      </c>
      <c r="I35" s="20" t="inlineStr">
        <is>
          <t>2026-07</t>
        </is>
      </c>
      <c r="J35" s="20" t="inlineStr">
        <is>
          <t>2026-11</t>
        </is>
      </c>
      <c r="K35" s="23" t="inlineStr">
        <is>
          <t>進行中</t>
        </is>
      </c>
      <c r="L35" s="22" t="n">
        <v>80</v>
      </c>
      <c r="M35" s="23" t="n">
        <v>4</v>
      </c>
      <c r="N35" s="19" t="inlineStr">
        <is>
          <t>**第3版（13表・9,241字）。**第9期の5章構成・3基本目標・14施策を反映し、地域福祉計画との重複を精査。第9期の見込みと実績の対比も収載</t>
        </is>
      </c>
      <c r="O35" s="19" t="inlineStr">
        <is>
          <t>実績データによる数値の確定</t>
        </is>
      </c>
      <c r="P35" s="24" t="n"/>
      <c r="Q35" s="24" t="n"/>
      <c r="R35" s="24" t="n"/>
      <c r="S35" s="24" t="n"/>
      <c r="T35" s="24" t="n"/>
      <c r="U35" s="24" t="n"/>
      <c r="V35" s="24" t="n"/>
      <c r="W35" s="24" t="n"/>
    </row>
    <row r="36">
      <c r="A36" s="19" t="inlineStr">
        <is>
          <t>P6 骨子案</t>
        </is>
      </c>
      <c r="B36" s="20" t="inlineStr">
        <is>
          <t>6-2</t>
        </is>
      </c>
      <c r="C36" s="19" t="inlineStr">
        <is>
          <t>骨子案の協議（協議会）</t>
        </is>
      </c>
      <c r="D36" s="19" t="inlineStr">
        <is>
          <t>基本理念・基本目標・施策体系の合意</t>
        </is>
      </c>
      <c r="E36" s="19" t="inlineStr">
        <is>
          <t>B6 骨子案・素案の作成</t>
        </is>
      </c>
      <c r="F36" s="20" t="inlineStr">
        <is>
          <t>仕様書4(3)・4(5)</t>
        </is>
      </c>
      <c r="G36"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6" s="20" t="inlineStr">
        <is>
          <t>受託者・町</t>
        </is>
      </c>
      <c r="I36" s="20" t="inlineStr">
        <is>
          <t>2026-11</t>
        </is>
      </c>
      <c r="J36" s="20" t="inlineStr">
        <is>
          <t>2026-11</t>
        </is>
      </c>
      <c r="K36" s="27" t="inlineStr">
        <is>
          <t>未着手</t>
        </is>
      </c>
      <c r="L36" s="22" t="n">
        <v>0</v>
      </c>
      <c r="M36" s="23" t="n">
        <v>2</v>
      </c>
      <c r="N36" s="19" t="inlineStr">
        <is>
          <t>―</t>
        </is>
      </c>
      <c r="O36" s="19" t="inlineStr">
        <is>
          <t>**協議会の開催回数・時期が未定（依頼票C4）**</t>
        </is>
      </c>
      <c r="P36" s="24" t="n"/>
      <c r="Q36" s="24" t="n"/>
      <c r="R36" s="24" t="n"/>
      <c r="S36" s="24" t="n"/>
      <c r="T36" s="24" t="n"/>
      <c r="U36" s="24" t="n"/>
      <c r="V36" s="24" t="n"/>
      <c r="W36" s="24" t="n"/>
    </row>
    <row r="37">
      <c r="A37" s="19" t="inlineStr">
        <is>
          <t>P6 骨子案</t>
        </is>
      </c>
      <c r="B37" s="20" t="inlineStr">
        <is>
          <t>6-3</t>
        </is>
      </c>
      <c r="C37" s="19" t="inlineStr">
        <is>
          <t>成果品③の製本・納品</t>
        </is>
      </c>
      <c r="D37" s="19" t="inlineStr">
        <is>
          <t>データCD-R1部＋冊子（簡易製本）3部</t>
        </is>
      </c>
      <c r="E37" s="19" t="inlineStr">
        <is>
          <t>B9 成果品の納品</t>
        </is>
      </c>
      <c r="F37" s="20" t="inlineStr">
        <is>
          <t>仕様書4 成果品③</t>
        </is>
      </c>
      <c r="G37" s="19" t="inlineStr">
        <is>
          <t>【成果品③】（3）小野町高齢者保健福祉計画・第10期介護保険事業計画骨子案　※データ（CD-R）1部、冊子（簡易製本）3部</t>
        </is>
      </c>
      <c r="H37" s="20" t="inlineStr">
        <is>
          <t>受託者</t>
        </is>
      </c>
      <c r="I37" s="20" t="inlineStr">
        <is>
          <t>2027-03</t>
        </is>
      </c>
      <c r="J37" s="20" t="inlineStr">
        <is>
          <t>2027-03</t>
        </is>
      </c>
      <c r="K37" s="27" t="inlineStr">
        <is>
          <t>未着手</t>
        </is>
      </c>
      <c r="L37" s="22" t="n">
        <v>0</v>
      </c>
      <c r="M37" s="23" t="n">
        <v>1</v>
      </c>
      <c r="N37" s="19" t="inlineStr">
        <is>
          <t>―</t>
        </is>
      </c>
      <c r="O37" s="19" t="inlineStr">
        <is>
          <t>骨子案の確定</t>
        </is>
      </c>
      <c r="P37" s="24" t="n"/>
      <c r="Q37" s="24" t="n"/>
      <c r="R37" s="24" t="n"/>
      <c r="S37" s="24" t="n"/>
      <c r="T37" s="24" t="n"/>
      <c r="U37" s="24" t="n"/>
      <c r="V37" s="24" t="n"/>
      <c r="W37" s="24" t="n"/>
    </row>
    <row r="38">
      <c r="A38" s="19" t="inlineStr">
        <is>
          <t>P7 推計・算定</t>
        </is>
      </c>
      <c r="B38" s="20" t="inlineStr">
        <is>
          <t>7-1</t>
        </is>
      </c>
      <c r="C38" s="19" t="inlineStr">
        <is>
          <t>算定シートの構築</t>
        </is>
      </c>
      <c r="D38" s="19" t="inlineStr">
        <is>
          <t>サービス54区分の単価×量から給付費、標準給付費、保険料までを算式でつなぐ</t>
        </is>
      </c>
      <c r="E38" s="19" t="inlineStr">
        <is>
          <t>B5 事業量推計・保険料算出・介護財政</t>
        </is>
      </c>
      <c r="F38" s="20" t="inlineStr">
        <is>
          <t>仕様書4(2)</t>
        </is>
      </c>
      <c r="G3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20" t="inlineStr">
        <is>
          <t>受託者</t>
        </is>
      </c>
      <c r="I38" s="20" t="inlineStr">
        <is>
          <t>2026-08</t>
        </is>
      </c>
      <c r="J38" s="20" t="inlineStr">
        <is>
          <t>2026-08</t>
        </is>
      </c>
      <c r="K38" s="21" t="inlineStr">
        <is>
          <t>完了</t>
        </is>
      </c>
      <c r="L38" s="22" t="n">
        <v>100</v>
      </c>
      <c r="M38" s="23" t="n">
        <v>4</v>
      </c>
      <c r="N38" s="19" t="inlineStr">
        <is>
          <t>**見込量保険料算定シート（04_算定・見込量・11シート）。**第9期の実数で検算済み（月額6,865円 対 計画の算定値6,886円。差0.3％）</t>
        </is>
      </c>
      <c r="O38" s="19" t="inlineStr">
        <is>
          <t>―</t>
        </is>
      </c>
      <c r="P38" s="24" t="n"/>
      <c r="Q38" s="24" t="n"/>
      <c r="R38" s="24" t="n"/>
      <c r="S38" s="24" t="n"/>
      <c r="T38" s="24" t="n"/>
      <c r="U38" s="24" t="n"/>
      <c r="V38" s="24" t="n"/>
      <c r="W38" s="24" t="n"/>
    </row>
    <row r="39">
      <c r="A39" s="19" t="inlineStr">
        <is>
          <t>P7 推計・算定</t>
        </is>
      </c>
      <c r="B39" s="20" t="inlineStr">
        <is>
          <t>7-2</t>
        </is>
      </c>
      <c r="C39" s="19" t="inlineStr">
        <is>
          <t>保険料算定のケース設定の確定</t>
        </is>
      </c>
      <c r="D39" s="19" t="inlineStr">
        <is>
          <t>標準（低位・高位）、施設整備あり、制度改正の影響、基金活用、保険料据置の逆算</t>
        </is>
      </c>
      <c r="E39" s="19" t="inlineStr">
        <is>
          <t>B5 事業量推計・保険料算出・介護財政</t>
        </is>
      </c>
      <c r="F39" s="20" t="inlineStr">
        <is>
          <t>仕様書4(2)</t>
        </is>
      </c>
      <c r="G39"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20" t="inlineStr">
        <is>
          <t>受託者</t>
        </is>
      </c>
      <c r="I39" s="20" t="inlineStr">
        <is>
          <t>2026-08</t>
        </is>
      </c>
      <c r="J39" s="20" t="inlineStr">
        <is>
          <t>2026-08</t>
        </is>
      </c>
      <c r="K39" s="21" t="inlineStr">
        <is>
          <t>完了</t>
        </is>
      </c>
      <c r="L39" s="22" t="n">
        <v>100</v>
      </c>
      <c r="M39" s="23" t="n">
        <v>2</v>
      </c>
      <c r="N39" s="19" t="inlineStr">
        <is>
          <t>**C1〜C6。引継ぎ時点の3ケースは基金の扱いのみで、仕様書が例示する施設整備・制度改正に対応していなかった**</t>
        </is>
      </c>
      <c r="O39" s="19" t="inlineStr">
        <is>
          <t>―</t>
        </is>
      </c>
      <c r="P39" s="24" t="n"/>
      <c r="Q39" s="24" t="n"/>
      <c r="R39" s="24" t="n"/>
      <c r="S39" s="24" t="n"/>
      <c r="T39" s="24" t="n"/>
      <c r="U39" s="24" t="n"/>
      <c r="V39" s="24" t="n"/>
      <c r="W39" s="24" t="n"/>
    </row>
    <row r="40">
      <c r="A40" s="19" t="inlineStr">
        <is>
          <t>P7 推計・算定</t>
        </is>
      </c>
      <c r="B40" s="20" t="inlineStr">
        <is>
          <t>7-3</t>
        </is>
      </c>
      <c r="C40" s="19" t="inlineStr">
        <is>
          <t>被保険者数・認定者数の推計</t>
        </is>
      </c>
      <c r="D40" s="19" t="inlineStr">
        <is>
          <t>人口推計に年齢階層別の認定率を乗じる自然体推計</t>
        </is>
      </c>
      <c r="E40" s="19" t="inlineStr">
        <is>
          <t>B5 事業量推計・保険料算出・介護財政</t>
        </is>
      </c>
      <c r="F40" s="20" t="inlineStr">
        <is>
          <t>仕様書4(2)</t>
        </is>
      </c>
      <c r="G40"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20" t="inlineStr">
        <is>
          <t>受託者</t>
        </is>
      </c>
      <c r="I40" s="20" t="inlineStr">
        <is>
          <t>2026-09</t>
        </is>
      </c>
      <c r="J40" s="20" t="inlineStr">
        <is>
          <t>2026-10</t>
        </is>
      </c>
      <c r="K40" s="23" t="inlineStr">
        <is>
          <t>進行中</t>
        </is>
      </c>
      <c r="L40" s="22" t="n">
        <v>90</v>
      </c>
      <c r="M40" s="23" t="n">
        <v>4</v>
      </c>
      <c r="N40" s="19" t="inlineStr">
        <is>
          <t>**9月24日に、認定者数の見込みをハードコードから算式（年齢階層別認定率×将来推計人口）に置き換えた。787／782／777／772人となり、従前の785／782／781／780から令和10・11年度で4人・8人ずれていた。****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40"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40" s="24" t="n"/>
      <c r="Q40" s="24" t="n"/>
      <c r="R40" s="24" t="n"/>
      <c r="S40" s="24" t="n"/>
      <c r="T40" s="24" t="n"/>
      <c r="U40" s="24" t="n"/>
      <c r="V40" s="24" t="n"/>
      <c r="W40" s="24" t="n"/>
    </row>
    <row r="41">
      <c r="A41" s="19" t="inlineStr">
        <is>
          <t>P7 推計・算定</t>
        </is>
      </c>
      <c r="B41" s="20" t="inlineStr">
        <is>
          <t>7-4</t>
        </is>
      </c>
      <c r="C41" s="19" t="inlineStr">
        <is>
          <t>サービス見込量の推計</t>
        </is>
      </c>
      <c r="D41" s="19" t="inlineStr">
        <is>
          <t>サービス種類別の利用者数・量・給付費</t>
        </is>
      </c>
      <c r="E41" s="19" t="inlineStr">
        <is>
          <t>B5 事業量推計・保険料算出・介護財政</t>
        </is>
      </c>
      <c r="F41" s="20" t="inlineStr">
        <is>
          <t>仕様書4(2)</t>
        </is>
      </c>
      <c r="G41"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1" s="20" t="inlineStr">
        <is>
          <t>受託者</t>
        </is>
      </c>
      <c r="I41" s="20" t="inlineStr">
        <is>
          <t>2026-09</t>
        </is>
      </c>
      <c r="J41" s="20" t="inlineStr">
        <is>
          <t>2026-11</t>
        </is>
      </c>
      <c r="K41" s="21" t="inlineStr">
        <is>
          <t>完了</t>
        </is>
      </c>
      <c r="L41" s="22" t="n">
        <v>100</v>
      </c>
      <c r="M41" s="23" t="n">
        <v>5</v>
      </c>
      <c r="N41" s="19"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41"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41" s="20"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他団体の手引きの偏り補正（φ0.5・上限±3％）は5.39％で一律に劣る。**同手引きの判定基準「一律より良いことを示せなければ補正しない」により採らない。分母を認定者数とすると6.39％で、起点年度によって2.20％〜9.60％と振れ幅が大きい</t>
        </is>
      </c>
      <c r="Q41" s="20"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195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41" s="20" t="inlineStr">
        <is>
          <t>**他町村の案件①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41" s="20"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41" s="20"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41" s="20" t="inlineStr">
        <is>
          <t>**9月25日に、令和8年度の置き方を4通りで比べ、国保連月報で裏づけた（12_令和8年度の置き方）。**令和7年度の実績に対する比は、据え置き1.0000／令和6→令和7の動きを1年延長0.9255／当方の現行方式1.0171／**月報3か月の実績0.9598**。**当方の現行方式は実績より6.0％高い。**令和5〜7年度の3年平均が、下がり続けている系列を上に引いているため。**9月25日に、この自然体推計ケースを標準ケースに切り替えた（素案 第5版、見込量の算定結果 令和8年9月25日版）。**令和8年度を月報の実績で置き、そこから人口で延ばす。総給付費の3年計は2,869,936千円（従前の方式から▲5.9％）、標準給付費3,093,948千円、保険料は月額6,048円（100円未満切上げで6,100円。第9期の6,600円から▲500円・▲7.6％）。**見える化システムの自然体推計と総額の置き方が同じであり、システムの出力と素案の数値が突き合う。**従前の方式（3年平均の伸び）によるケースは月額6,402円で、比較のケースとして残した。令和8年度は3か月分しかなく完結年度ではないため、残りの月の実績を見たうえで協議会にお諮りして確定する</t>
        </is>
      </c>
      <c r="V41" s="20" t="inlineStr">
        <is>
          <t>**認定者数の見込みを算式に置き換えた。**従前は785／782／781／780とハードコードしていたが、記載の方法（年齢階層別認定率×将来推計人口）で計算すると**787／782／777／772**となり、令和10・11年度で4人・8人ずれていた。**令和6年度→令和7年度の認定率の変化を一定として延ばす置き方は採れない。**65〜74歳▲1.38ポイント・75〜84歳▲1.66ポイント・85歳以上▲11.20ポイントで、毎年加えると令和10年度に65〜74歳の認定率が負になり、令和11年度の認定者数は329人まで落ちる。断層がこの変化に入っているため</t>
        </is>
      </c>
      <c r="W41" s="20"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195円）**</t>
        </is>
      </c>
    </row>
    <row r="42">
      <c r="A42" s="19" t="inlineStr">
        <is>
          <t>P7 推計・算定</t>
        </is>
      </c>
      <c r="B42" s="20" t="inlineStr">
        <is>
          <t>7-5</t>
        </is>
      </c>
      <c r="C42" s="19" t="inlineStr">
        <is>
          <t>見える化システムへの入力作業</t>
        </is>
      </c>
      <c r="D42" s="19" t="inlineStr">
        <is>
          <t>将来推計機能への入力と総括表の出力。出力の分析だけでなく入力が業務に含まれる</t>
        </is>
      </c>
      <c r="E42" s="19" t="inlineStr">
        <is>
          <t>B5 事業量推計・保険料算出・介護財政</t>
        </is>
      </c>
      <c r="F42" s="20" t="inlineStr">
        <is>
          <t>仕様書4(2)</t>
        </is>
      </c>
      <c r="G42"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2" s="20" t="inlineStr">
        <is>
          <t>受託者</t>
        </is>
      </c>
      <c r="I42" s="20" t="inlineStr">
        <is>
          <t>2026-09</t>
        </is>
      </c>
      <c r="J42" s="20" t="inlineStr">
        <is>
          <t>2026-09</t>
        </is>
      </c>
      <c r="K42" s="21" t="inlineStr">
        <is>
          <t>完了</t>
        </is>
      </c>
      <c r="L42" s="22" t="n">
        <v>100</v>
      </c>
      <c r="M42" s="23" t="n">
        <v>3</v>
      </c>
      <c r="N42" s="19" t="inlineStr">
        <is>
          <t>**9月28日に入力が完了し、推計が通った（見える化 推計が通りました／システムとの突合。11_見える化出力依頼）。****施策反映のワーニングはすべて「該当無し」、負の値もなくなった。**残る33件は小野町に利用がないサービスが0のまま延びたもので、直す必要はない。**システムによる保険料基準額は月額6,533円（100円未満切上げ6,600円）で、本計画の6,048円（同6,100円）と485円の差がある。差のほとんどは令和8年度の置き方の違いによるもので、算式そのものは一致する（段階ごとに突き合わせて確認した）。****他町村の案件2件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編集するとセルがピンクになり「自然体推計に全て戻す」が押せる状態になる。**この状態のまま総括表を出すと、伸びの窓を変えても見込量が動かない**</t>
        </is>
      </c>
      <c r="O42"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c r="P42" s="20" t="inlineStr">
        <is>
          <t>**都道府県への提出の時期。推計は通っており、いつでも提出できる状態にある。ただし提出する額と協議会にお示しする額はそろえたいので、保険料基準額の決定のあとにしていただくのが筋と考える（決定6）**</t>
        </is>
      </c>
      <c r="Q42" s="24" t="n"/>
      <c r="R42" s="24" t="n"/>
      <c r="S42" s="24" t="n"/>
      <c r="T42" s="24" t="n"/>
      <c r="U42" s="24" t="n"/>
      <c r="V42" s="24" t="n"/>
      <c r="W42" s="24" t="n"/>
    </row>
    <row r="43">
      <c r="A43" s="19" t="inlineStr">
        <is>
          <t>P7 推計・算定</t>
        </is>
      </c>
      <c r="B43" s="20" t="inlineStr">
        <is>
          <t>7-6</t>
        </is>
      </c>
      <c r="C43" s="19" t="inlineStr">
        <is>
          <t>保険料のケース別算定</t>
        </is>
      </c>
      <c r="D43" s="19" t="inlineStr">
        <is>
          <t>ケースC1〜C6ごとの保険料基準額の算定</t>
        </is>
      </c>
      <c r="E43" s="19" t="inlineStr">
        <is>
          <t>B5 事業量推計・保険料算出・介護財政</t>
        </is>
      </c>
      <c r="F43" s="20" t="inlineStr">
        <is>
          <t>仕様書4(2)</t>
        </is>
      </c>
      <c r="G43"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3" s="20" t="inlineStr">
        <is>
          <t>受託者</t>
        </is>
      </c>
      <c r="I43" s="20" t="inlineStr">
        <is>
          <t>2026-10</t>
        </is>
      </c>
      <c r="J43" s="20" t="inlineStr">
        <is>
          <t>2026-11</t>
        </is>
      </c>
      <c r="K43" s="23" t="inlineStr">
        <is>
          <t>進行中</t>
        </is>
      </c>
      <c r="L43" s="22" t="n">
        <v>95</v>
      </c>
      <c r="M43" s="23" t="n">
        <v>4</v>
      </c>
      <c r="N43" s="19" t="inlineStr">
        <is>
          <t>**9月28日に、調整交付金見込額の基数を訂正した。基数は調整交付金相当額（5％）と同じ（標準給付費＋総合事業費）であり、標準給付費のみとしていたのは誤りだった。見える化システムの出力と1円まで照合し、第9期の実数でも検算した（誤差0.3％）。訂正による差は月額47円で、保険料基準額は6,048円（切上げ6,100円）である。****所得段階別被保険者数（13段階）、小野町が定める保険料率（第1〜3段階は0.285／0.485／0.685で国の標準より低い）、収納率99.35％、基金保有額12,000千円を投入済み。地域支援事業費は年報 様式4 の令和6年度決算63,916千円（3年計191,749千円）を事業別に割り付けて投入した。総合事業の内訳は国保連月報の総合事業コード（A2・A6・AF）による。****9月25日に標準ケースを自然体推計に切り替え、あわせて所得段階別の割合を軽減前の標準割合に訂正した結果、保険料基準額は月額6,048円（基金取崩なし）、5,997円（保有額12,000千円を全額取崩）、5,808円（第9期と同じ35,000千円を取崩）となった。**第9期は6,600円。負担割合が24％になると6,364円。従前の方式（令和5〜7年度の3年平均の伸び）では6,402円であり、比較のケースとして残している。**9月25日に、保険料基準額の算定に用いる所得段階別の割合を軽減後の賦課割合（0.285／0.485／0.685）から軽減前の標準割合（0.455／0.685／0.690）に訂正した。**軽減相当額は別枠の公費（国1/2・県1/4・町1/4）で補填され、保険料収納必要額から控除されないためである。第9期計画の補正後被保険者数10,136人÷第1号被保険者数10,409人＝0.974も軽減前でしか再現できない（軽減後だと0.93台）。見える化システムの「①標準段階区分・割合」の画面でも0.4550／0.6850／0.6900が固定表示されることを同日の画面で確認した。**あわせて調整交付金の見込交付割合を、第9期からの逆算6.148％から算式（（第1号負担割合＋5％）－第1号負担割合×後期高齢者加入割合補正係数×所得段階別加入割合補正係数）による5.533％に改めた。**2つの訂正は互いに打ち消し合い、保険料基準額は月額115円下がった※ 逆算される調整交付金見込額219,272千円は基数の取り方によらない。見える化システムは標準給付費見込額のみを基数とするため6.148％、総合事業費を含めると5.963％となる（本件は前者にそろえた）</t>
        </is>
      </c>
      <c r="O43" s="19"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c r="P43" s="24" t="n"/>
      <c r="Q43" s="24" t="n"/>
      <c r="R43" s="24" t="n"/>
      <c r="S43" s="24" t="n"/>
      <c r="T43" s="24" t="n"/>
      <c r="U43" s="24" t="n"/>
      <c r="V43" s="24" t="n"/>
      <c r="W43" s="24" t="n"/>
    </row>
    <row r="44">
      <c r="A44" s="19" t="inlineStr">
        <is>
          <t>P7 推計・算定</t>
        </is>
      </c>
      <c r="B44" s="20" t="inlineStr">
        <is>
          <t>7-7</t>
        </is>
      </c>
      <c r="C44" s="19" t="inlineStr">
        <is>
          <t>サービス見込量推計結果報告書の作成</t>
        </is>
      </c>
      <c r="D44" s="19" t="inlineStr">
        <is>
          <t>成果品②の本体</t>
        </is>
      </c>
      <c r="E44" s="19" t="inlineStr">
        <is>
          <t>B9 成果品の納品</t>
        </is>
      </c>
      <c r="F44" s="20" t="inlineStr">
        <is>
          <t>仕様書4 成果品②</t>
        </is>
      </c>
      <c r="G44" s="19" t="inlineStr">
        <is>
          <t>【成果品②】（2）サービス見込量推計結果報告書　※データ（CD-R）1部、冊子（簡易製本）3部</t>
        </is>
      </c>
      <c r="H44" s="20" t="inlineStr">
        <is>
          <t>受託者</t>
        </is>
      </c>
      <c r="I44" s="20" t="inlineStr">
        <is>
          <t>2026-11</t>
        </is>
      </c>
      <c r="J44" s="20" t="inlineStr">
        <is>
          <t>2026-12</t>
        </is>
      </c>
      <c r="K44" s="23" t="inlineStr">
        <is>
          <t>進行中</t>
        </is>
      </c>
      <c r="L44" s="22" t="n">
        <v>75</v>
      </c>
      <c r="M44" s="23" t="n">
        <v>4</v>
      </c>
      <c r="N44" s="19"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4" s="19" t="inlineStr">
        <is>
          <t>**報酬改定率と第1号被保険者負担割合が確定したら数値を差し替える。**あわせて、協議会での議論を踏まえた記述の追加</t>
        </is>
      </c>
      <c r="P44" s="24" t="n"/>
      <c r="Q44" s="24" t="n"/>
      <c r="R44" s="24" t="n"/>
      <c r="S44" s="24" t="n"/>
      <c r="T44" s="24" t="n"/>
      <c r="U44" s="24" t="n"/>
      <c r="V44" s="24" t="n"/>
      <c r="W44" s="24" t="n"/>
    </row>
    <row r="45">
      <c r="A45" s="19" t="inlineStr">
        <is>
          <t>P7 推計・算定</t>
        </is>
      </c>
      <c r="B45" s="20" t="inlineStr">
        <is>
          <t>7-8</t>
        </is>
      </c>
      <c r="C45" s="19" t="inlineStr">
        <is>
          <t>成果品②の製本・納品</t>
        </is>
      </c>
      <c r="D45" s="19" t="inlineStr">
        <is>
          <t>データCD-R1部＋冊子（簡易製本）3部</t>
        </is>
      </c>
      <c r="E45" s="19" t="inlineStr">
        <is>
          <t>B9 成果品の納品</t>
        </is>
      </c>
      <c r="F45" s="20" t="inlineStr">
        <is>
          <t>仕様書4 成果品②</t>
        </is>
      </c>
      <c r="G45" s="19" t="inlineStr">
        <is>
          <t>【成果品②】（2）サービス見込量推計結果報告書　※データ（CD-R）1部、冊子（簡易製本）3部</t>
        </is>
      </c>
      <c r="H45" s="20" t="inlineStr">
        <is>
          <t>受託者</t>
        </is>
      </c>
      <c r="I45" s="20" t="inlineStr">
        <is>
          <t>2027-03</t>
        </is>
      </c>
      <c r="J45" s="20" t="inlineStr">
        <is>
          <t>2027-03</t>
        </is>
      </c>
      <c r="K45" s="27" t="inlineStr">
        <is>
          <t>未着手</t>
        </is>
      </c>
      <c r="L45" s="22" t="n">
        <v>0</v>
      </c>
      <c r="M45" s="23" t="n">
        <v>1</v>
      </c>
      <c r="N45" s="19" t="inlineStr">
        <is>
          <t>―</t>
        </is>
      </c>
      <c r="O45" s="19" t="inlineStr">
        <is>
          <t>報告書の確定</t>
        </is>
      </c>
      <c r="P45" s="24" t="n"/>
      <c r="Q45" s="24" t="n"/>
      <c r="R45" s="24" t="n"/>
      <c r="S45" s="24" t="n"/>
      <c r="T45" s="24" t="n"/>
      <c r="U45" s="24" t="n"/>
      <c r="V45" s="24" t="n"/>
      <c r="W45" s="24" t="n"/>
    </row>
    <row r="46">
      <c r="A46" s="19" t="inlineStr">
        <is>
          <t>P7 推計・算定</t>
        </is>
      </c>
      <c r="B46" s="20" t="inlineStr">
        <is>
          <t>7-9</t>
        </is>
      </c>
      <c r="C46" s="19" t="inlineStr">
        <is>
          <t>総合事業費の上限額の確認</t>
        </is>
      </c>
      <c r="D46" s="19" t="inlineStr">
        <is>
          <t>介護保険法施行令第37条の13第4項による上限額と第10期の見込みの突合</t>
        </is>
      </c>
      <c r="E46" s="19" t="inlineStr">
        <is>
          <t>B5 事業量推計・保険料算出・介護財政</t>
        </is>
      </c>
      <c r="F46" s="20" t="inlineStr">
        <is>
          <t>仕様書4(2)</t>
        </is>
      </c>
      <c r="G46"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6" s="20" t="inlineStr">
        <is>
          <t>受託者・町</t>
        </is>
      </c>
      <c r="I46" s="20" t="inlineStr">
        <is>
          <t>2026-09</t>
        </is>
      </c>
      <c r="J46" s="20" t="inlineStr">
        <is>
          <t>2026-11</t>
        </is>
      </c>
      <c r="K46" s="26" t="inlineStr">
        <is>
          <t>データ待ち</t>
        </is>
      </c>
      <c r="L46" s="22" t="n">
        <v>25</v>
      </c>
      <c r="M46" s="23" t="n">
        <v>3</v>
      </c>
      <c r="N46" s="19" t="inlineStr">
        <is>
          <t>**上限額の算式（基本の上限額＝前年度の事業費×75歳以上人口の伸び率）は整理し、総合事業ワークシートの確認結果に載せた。**第10期の総合事業費は令和6年度決算の据え置きで3年計103,743千円としている</t>
        </is>
      </c>
      <c r="O46"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c r="P46" s="24" t="n"/>
      <c r="Q46" s="24" t="n"/>
      <c r="R46" s="24" t="n"/>
      <c r="S46" s="24" t="n"/>
      <c r="T46" s="24" t="n"/>
      <c r="U46" s="24" t="n"/>
      <c r="V46" s="24" t="n"/>
      <c r="W46" s="24" t="n"/>
    </row>
    <row r="47">
      <c r="A47" s="19" t="inlineStr">
        <is>
          <t>P8 素案</t>
        </is>
      </c>
      <c r="B47" s="20" t="inlineStr">
        <is>
          <t>8-1</t>
        </is>
      </c>
      <c r="C47" s="19" t="inlineStr">
        <is>
          <t>素案の作成</t>
        </is>
      </c>
      <c r="D47" s="19" t="inlineStr">
        <is>
          <t>骨子案を踏まえた計画素案。12施策の本文</t>
        </is>
      </c>
      <c r="E47" s="19" t="inlineStr">
        <is>
          <t>B6 骨子案・素案の作成</t>
        </is>
      </c>
      <c r="F47" s="20" t="inlineStr">
        <is>
          <t>仕様書4(3)・成果品④</t>
        </is>
      </c>
      <c r="G47"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7" s="20" t="inlineStr">
        <is>
          <t>受託者</t>
        </is>
      </c>
      <c r="I47" s="20" t="inlineStr">
        <is>
          <t>2026-08</t>
        </is>
      </c>
      <c r="J47" s="20" t="inlineStr">
        <is>
          <t>2026-12</t>
        </is>
      </c>
      <c r="K47" s="23" t="inlineStr">
        <is>
          <t>進行中</t>
        </is>
      </c>
      <c r="L47" s="22" t="n">
        <v>95</v>
      </c>
      <c r="M47" s="23" t="n">
        <v>5</v>
      </c>
      <c r="N47" s="19" t="inlineStr">
        <is>
          <t>**第8版（6章＋資料編・104表・図5点・見出し45件）。****10月4日に、他団体の計画との対比で残っていた3項目を埋めた**（第6章10 中長期の見通し／第1章2 の制度改正の表／資料編12 図表番号一覧）。**すべての表に通し番号を振り、表題は見出しから機械的に作る形にした。**未確定は136箇所（町データ待ち62／協議会で設定55／決定後に記載13／見える化出力待ち6）で、**受託者が算定すべきものは引き続き0件である**（新しい節を立てたぶん町データ待ちと協議会で設定が増えている）。**第6版（5章＋資料編・84表・図3点）。****第4章④に「人材の供給制約からみた見込量の妥当性」と「見える化システムによる算定との突合」を加えた。****第4章 基本目標2に「⑦ 在宅医療・介護連携の推進」を新設し、国の評価指標が求める4つの場面（日常の療養支援・入退院支援・急変時の対応・看取り）ごとの目指すべき姿を掲げた。****基本目標3① の介護給付適正化の記述を、令和8年度交付金の実際の得点に合わせて訂正した**（主要3事業は3つとも実施、医療情報との突合は全国上位1割。0点はケアプラン点検の実施割合だけ）。**項目別の得点そのものは計画本文には置かず、評価から読み取れる中身と協議会への報告手順のみを書いている。**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を入れた。**第5版（9月25日）で令和8年度の置き方を自然体推計に改め、保険料基準額は月額6,402円から6,048円（切上げ6,100円）となった。****9月25日の再検証で、延ばし方を見える化システムの仕様にそろえた**（施設は利用者数一定、居住系・在宅は認定者数で延ばす。月額▲13円）。従前の方式による算定は比較のケースとして残している。**第5章2の進行管理に、保険者機能強化推進交付金等の評価結果を点検項目として加えた**（評価結果を外部の議論の場で検証すること自体が評価指標の要件であるため）</t>
        </is>
      </c>
      <c r="O47"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c r="P47" s="20" t="inlineStr">
        <is>
          <t>**残る115箇所の内訳は、協議会で設定する目標値54、町データ待ち43、町・国の決定12、見える化出力6。****受託者の算定によるものは残っていない**（第6版で新設した⑦在宅医療・介護連携と適正化の目標により、協議会で設定するものと町データ待ちのものが増えている）。町データ待ちの筆頭は成果指標の現状値、一般介護予防事業費・包括的支援事業・任意事業費の事業別内訳、地域支援事業の量（13事業）、認知症対応型共同生活介護の増床の経緯**</t>
        </is>
      </c>
      <c r="Q47" s="24" t="n"/>
      <c r="R47" s="24" t="n"/>
      <c r="S47" s="24" t="n"/>
      <c r="T47" s="24" t="n"/>
      <c r="U47" s="24" t="n"/>
      <c r="V47" s="24" t="n"/>
      <c r="W47" s="24" t="n"/>
    </row>
    <row r="48">
      <c r="A48" s="19" t="inlineStr">
        <is>
          <t>P8 素案</t>
        </is>
      </c>
      <c r="B48" s="20" t="inlineStr">
        <is>
          <t>8-2</t>
        </is>
      </c>
      <c r="C48" s="19" t="inlineStr">
        <is>
          <t>成果指標の目標値案の作成</t>
        </is>
      </c>
      <c r="D48" s="19" t="inlineStr">
        <is>
          <t>40指標の目標値案と根拠の型</t>
        </is>
      </c>
      <c r="E48" s="19" t="inlineStr">
        <is>
          <t>B6 骨子案・素案の作成</t>
        </is>
      </c>
      <c r="F48" s="20" t="inlineStr">
        <is>
          <t>仕様書4(3)</t>
        </is>
      </c>
      <c r="G48"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8" s="20" t="inlineStr">
        <is>
          <t>受託者</t>
        </is>
      </c>
      <c r="I48" s="20" t="inlineStr">
        <is>
          <t>2026-08</t>
        </is>
      </c>
      <c r="J48" s="20" t="inlineStr">
        <is>
          <t>2026-08</t>
        </is>
      </c>
      <c r="K48" s="21" t="inlineStr">
        <is>
          <t>完了</t>
        </is>
      </c>
      <c r="L48" s="22" t="n">
        <v>100</v>
      </c>
      <c r="M48" s="23" t="n">
        <v>3</v>
      </c>
      <c r="N48" s="19" t="inlineStr">
        <is>
          <t>**成果指標目標値案（03_計画素案・40指標）。**現状値が未受領の20指標は算定規則として案を置いた</t>
        </is>
      </c>
      <c r="O48" s="19" t="inlineStr">
        <is>
          <t>―</t>
        </is>
      </c>
      <c r="P48" s="24" t="n"/>
      <c r="Q48" s="24" t="n"/>
      <c r="R48" s="24" t="n"/>
      <c r="S48" s="24" t="n"/>
      <c r="T48" s="24" t="n"/>
      <c r="U48" s="24" t="n"/>
      <c r="V48" s="24" t="n"/>
      <c r="W48" s="24" t="n"/>
    </row>
    <row r="49">
      <c r="A49" s="19" t="inlineStr">
        <is>
          <t>P8 素案</t>
        </is>
      </c>
      <c r="B49" s="20" t="inlineStr">
        <is>
          <t>8-3</t>
        </is>
      </c>
      <c r="C49" s="19" t="inlineStr">
        <is>
          <t>認知症施策推進基本計画の包含方針</t>
        </is>
      </c>
      <c r="D49" s="19" t="inlineStr">
        <is>
          <t>基本的施策12項目との対応表、包含の形式</t>
        </is>
      </c>
      <c r="E49" s="19" t="inlineStr">
        <is>
          <t>B10 業務管理・計画の基本的な考え方</t>
        </is>
      </c>
      <c r="F49" s="20" t="inlineStr">
        <is>
          <t>仕様書2(3)</t>
        </is>
      </c>
      <c r="G49" s="19" t="inlineStr">
        <is>
          <t>【2(3)】国の「認知症施策推進基本計画」に基づく市町村計画も包含する計画とする。</t>
        </is>
      </c>
      <c r="H49" s="20" t="inlineStr">
        <is>
          <t>受託者</t>
        </is>
      </c>
      <c r="I49" s="20" t="inlineStr">
        <is>
          <t>2026-08</t>
        </is>
      </c>
      <c r="J49" s="20" t="inlineStr">
        <is>
          <t>2026-08</t>
        </is>
      </c>
      <c r="K49" s="21" t="inlineStr">
        <is>
          <t>完了</t>
        </is>
      </c>
      <c r="L49" s="22" t="n">
        <v>100</v>
      </c>
      <c r="M49" s="23" t="n">
        <v>2</v>
      </c>
      <c r="N49" s="19"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他町村の案件の法定記載事項チェックと他町村の案件①の骨子案を参照している</t>
        </is>
      </c>
      <c r="O49"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9" s="24" t="n"/>
      <c r="Q49" s="24" t="n"/>
      <c r="R49" s="24" t="n"/>
      <c r="S49" s="24" t="n"/>
      <c r="T49" s="24" t="n"/>
      <c r="U49" s="24" t="n"/>
      <c r="V49" s="24" t="n"/>
      <c r="W49" s="24" t="n"/>
    </row>
    <row r="50">
      <c r="A50" s="19" t="inlineStr">
        <is>
          <t>P8 素案</t>
        </is>
      </c>
      <c r="B50" s="20" t="inlineStr">
        <is>
          <t>8-4</t>
        </is>
      </c>
      <c r="C50" s="19" t="inlineStr">
        <is>
          <t>見込量・保険料・成果指標の反映</t>
        </is>
      </c>
      <c r="D50" s="19" t="inlineStr">
        <is>
          <t>素案の未確定箇所の解消</t>
        </is>
      </c>
      <c r="E50" s="19" t="inlineStr">
        <is>
          <t>B6 骨子案・素案の作成</t>
        </is>
      </c>
      <c r="F50" s="20" t="inlineStr">
        <is>
          <t>仕様書4(3)</t>
        </is>
      </c>
      <c r="G50"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0" s="20" t="inlineStr">
        <is>
          <t>受託者</t>
        </is>
      </c>
      <c r="I50" s="20" t="inlineStr">
        <is>
          <t>2026-11</t>
        </is>
      </c>
      <c r="J50" s="20" t="inlineStr">
        <is>
          <t>2026-12</t>
        </is>
      </c>
      <c r="K50" s="23" t="inlineStr">
        <is>
          <t>進行中</t>
        </is>
      </c>
      <c r="L50" s="22" t="n">
        <v>85</v>
      </c>
      <c r="M50" s="23" t="n">
        <v>4</v>
      </c>
      <c r="N50" s="19" t="inlineStr">
        <is>
          <t>**見込量・給付費・標準給付費・地域支援事業費・保険料基準額・所得段階別保険料率（13段階）・必要利用定員総数・地域支援事業の量は素案に反映済み。****受託者が算定すべき未確定箇所は0件である。****9月25日に令和8年度の置き方を自然体推計に改め、9月28日に見える化システムによる算定との突合を加えた**</t>
        </is>
      </c>
      <c r="O50" s="19" t="inlineStr">
        <is>
          <t>**残るのは成果指標の目標値（協議会で設定54）と町データ待ち43。**とくに成果指標の現状値17項目が入らないと目標値を置けない　**10月1日に図を5点に（人口・区分・保険料・認知症・通いの場）**</t>
        </is>
      </c>
      <c r="P50" s="24" t="n"/>
      <c r="Q50" s="24" t="n"/>
      <c r="R50" s="24" t="n"/>
      <c r="S50" s="24" t="n"/>
      <c r="T50" s="24" t="n"/>
      <c r="U50" s="24" t="n"/>
      <c r="V50" s="24" t="n"/>
      <c r="W50" s="24" t="n"/>
    </row>
    <row r="51">
      <c r="A51" s="19" t="inlineStr">
        <is>
          <t>P8 素案</t>
        </is>
      </c>
      <c r="B51" s="20" t="inlineStr">
        <is>
          <t>8-5</t>
        </is>
      </c>
      <c r="C51" s="19" t="inlineStr">
        <is>
          <t>素案の協議（協議会）</t>
        </is>
      </c>
      <c r="D51" s="19" t="inlineStr">
        <is>
          <t>素案の内容の合意</t>
        </is>
      </c>
      <c r="E51" s="19" t="inlineStr">
        <is>
          <t>B6 骨子案・素案の作成</t>
        </is>
      </c>
      <c r="F51" s="20" t="inlineStr">
        <is>
          <t>仕様書4(3)・4(5)</t>
        </is>
      </c>
      <c r="G51"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51" s="20" t="inlineStr">
        <is>
          <t>受託者・町</t>
        </is>
      </c>
      <c r="I51" s="20" t="inlineStr">
        <is>
          <t>2026-12</t>
        </is>
      </c>
      <c r="J51" s="20" t="inlineStr">
        <is>
          <t>2026-12</t>
        </is>
      </c>
      <c r="K51" s="27" t="inlineStr">
        <is>
          <t>未着手</t>
        </is>
      </c>
      <c r="L51" s="22" t="n">
        <v>0</v>
      </c>
      <c r="M51" s="23" t="n">
        <v>2</v>
      </c>
      <c r="N51" s="19" t="inlineStr">
        <is>
          <t>―</t>
        </is>
      </c>
      <c r="O51" s="19" t="inlineStr">
        <is>
          <t>協議会の開催時期</t>
        </is>
      </c>
      <c r="P51" s="24" t="n"/>
      <c r="Q51" s="24" t="n"/>
      <c r="R51" s="24" t="n"/>
      <c r="S51" s="24" t="n"/>
      <c r="T51" s="24" t="n"/>
      <c r="U51" s="24" t="n"/>
      <c r="V51" s="24" t="n"/>
      <c r="W51" s="24" t="n"/>
    </row>
    <row r="52">
      <c r="A52" s="19" t="inlineStr">
        <is>
          <t>P8 素案</t>
        </is>
      </c>
      <c r="B52" s="20" t="inlineStr">
        <is>
          <t>8-6</t>
        </is>
      </c>
      <c r="C52" s="19" t="inlineStr">
        <is>
          <t>成果品④の製本・納品</t>
        </is>
      </c>
      <c r="D52" s="19" t="inlineStr">
        <is>
          <t>データCD-R1部＋冊子（簡易製本）3部</t>
        </is>
      </c>
      <c r="E52" s="19" t="inlineStr">
        <is>
          <t>B9 成果品の納品</t>
        </is>
      </c>
      <c r="F52" s="20" t="inlineStr">
        <is>
          <t>仕様書4 成果品④</t>
        </is>
      </c>
      <c r="G52" s="19" t="inlineStr">
        <is>
          <t>【成果品④】（4）小野町高齢者保健福祉計画・第10期介護保険事業計画素案　※データ（CD-R）1部、冊子（簡易製本）3部</t>
        </is>
      </c>
      <c r="H52" s="20" t="inlineStr">
        <is>
          <t>受託者</t>
        </is>
      </c>
      <c r="I52" s="20" t="inlineStr">
        <is>
          <t>2027-03</t>
        </is>
      </c>
      <c r="J52" s="20" t="inlineStr">
        <is>
          <t>2027-03</t>
        </is>
      </c>
      <c r="K52" s="27" t="inlineStr">
        <is>
          <t>未着手</t>
        </is>
      </c>
      <c r="L52" s="22" t="n">
        <v>0</v>
      </c>
      <c r="M52" s="23" t="n">
        <v>1</v>
      </c>
      <c r="N52" s="19" t="inlineStr">
        <is>
          <t>―</t>
        </is>
      </c>
      <c r="O52" s="19" t="inlineStr">
        <is>
          <t>素案の確定</t>
        </is>
      </c>
      <c r="P52" s="24" t="n"/>
      <c r="Q52" s="24" t="n"/>
      <c r="R52" s="24" t="n"/>
      <c r="S52" s="24" t="n"/>
      <c r="T52" s="24" t="n"/>
      <c r="U52" s="24" t="n"/>
      <c r="V52" s="24" t="n"/>
      <c r="W52" s="24" t="n"/>
    </row>
    <row r="53">
      <c r="A53" s="19" t="inlineStr">
        <is>
          <t>P8 素案</t>
        </is>
      </c>
      <c r="B53" s="20" t="inlineStr">
        <is>
          <t>8-7</t>
        </is>
      </c>
      <c r="C53" s="19" t="inlineStr">
        <is>
          <t>介護給付適正化計画の位置づけと主要3事業の定量目標</t>
        </is>
      </c>
      <c r="D53" s="19" t="inlineStr">
        <is>
          <t>介護保険法117条5項の市町村介護給付適正化計画を本計画にどう置くか。指針（令和5年9月12日 老介発0912第1号）第二の(2)① が求める事業ごとの毎年度の定量的な目標の設定</t>
        </is>
      </c>
      <c r="E53" s="19" t="inlineStr">
        <is>
          <t>B6 骨子案・素案の作成</t>
        </is>
      </c>
      <c r="F53" s="20" t="inlineStr">
        <is>
          <t>仕様書4(3)</t>
        </is>
      </c>
      <c r="G53"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3" s="20" t="inlineStr">
        <is>
          <t>受託者・町</t>
        </is>
      </c>
      <c r="I53" s="20" t="inlineStr">
        <is>
          <t>2026-09</t>
        </is>
      </c>
      <c r="J53" s="20" t="inlineStr">
        <is>
          <t>2026-12</t>
        </is>
      </c>
      <c r="K53" s="23" t="inlineStr">
        <is>
          <t>進行中</t>
        </is>
      </c>
      <c r="L53" s="22" t="n">
        <v>60</v>
      </c>
      <c r="M53" s="23" t="n">
        <v>3</v>
      </c>
      <c r="N53" s="19" t="inlineStr">
        <is>
          <t>**9月28日に受領した令和8年度交付金の該当状況調査票集計表（市町村分）により、主要3事業の実施状況が確かめられた（21_給付適正化・交付金・9章・22表・図4点）。****調査票の回答では3事業とも実施しており、縦覧点検4帳票の全件点検と医療情報との突合は配点満点（突合の実施割合は全保険者の上位1割）。0点はケアプラン点検の実施割合（配点16点）だけである。****目標Ⅱ（介護給付適正化）は84点で市町村分の平均69.1点を上回り、体制・取組68点は配点満点。****ただし第9期計画本文（87頁）には主要3事業の記載はあるものの、指標1イが求める「取組の効果を検証するための評価指標」も毎年度の定量的な目標も書かれておらず、32点の根拠が確認できていない。**位置づけは案A（独立した節）・案B（施策の中）・案C（別冊）の3案を示し、**当方は案Bをお勧めし、素案にはその形で9指標の定量目標を置いた**</t>
        </is>
      </c>
      <c r="O53"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c r="P53" s="24" t="n"/>
      <c r="Q53" s="24" t="n"/>
      <c r="R53" s="24" t="n"/>
      <c r="S53" s="24" t="n"/>
      <c r="T53" s="24" t="n"/>
      <c r="U53" s="24" t="n"/>
      <c r="V53" s="24" t="n"/>
      <c r="W53" s="24" t="n"/>
    </row>
    <row r="54">
      <c r="A54" s="19" t="inlineStr">
        <is>
          <t>P8 素案</t>
        </is>
      </c>
      <c r="B54" s="20" t="inlineStr">
        <is>
          <t>8-8</t>
        </is>
      </c>
      <c r="C54" s="19" t="inlineStr">
        <is>
          <t>在宅医療・介護連携の目指すべき姿の設定</t>
        </is>
      </c>
      <c r="D54" s="19" t="inlineStr">
        <is>
          <t>国の評価指標が求める4つの場面（日常の療養支援・入退院支援・急変時の対応・看取り）ごとの、在宅医療と介護の提供体制の目指すべき姿</t>
        </is>
      </c>
      <c r="E54" s="19" t="inlineStr">
        <is>
          <t>B6 骨子案・素案の作成</t>
        </is>
      </c>
      <c r="F54" s="20" t="inlineStr">
        <is>
          <t>仕様書4(3)</t>
        </is>
      </c>
      <c r="G54"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4" s="20" t="inlineStr">
        <is>
          <t>受託者・町</t>
        </is>
      </c>
      <c r="I54" s="20" t="inlineStr">
        <is>
          <t>2026-09</t>
        </is>
      </c>
      <c r="J54" s="20" t="inlineStr">
        <is>
          <t>2026-12</t>
        </is>
      </c>
      <c r="K54" s="23" t="inlineStr">
        <is>
          <t>進行中</t>
        </is>
      </c>
      <c r="L54" s="22" t="n">
        <v>45</v>
      </c>
      <c r="M54" s="23" t="n">
        <v>3</v>
      </c>
      <c r="N54" s="19" t="inlineStr">
        <is>
          <t>**令和8年度交付金で、在宅医療・在宅介護連携（支援Ⅲ）は55点・県内39位。8つの目標のうち全国平均を下回るのはここだけである。****「医療・介護関係者間の情報共有」は配点満点であり、足りていないのは①4つの場面ごとの目指すべき姿の設定、②そこから導かれる課題と対応策の立案、③取組の検証と見直しの仕組みの3つ（5項目・25点。全国では半数以上が得点している）。****素案 第4章 基本目標2に「⑦ 在宅医療・介護連携の推進」を新設し、4つの場面ごとの目指すべき姿の案と、事業・成果指標を置いた**</t>
        </is>
      </c>
      <c r="O54" s="19" t="inlineStr">
        <is>
          <t>**目指すべき姿の内容の確定（決定11）。公立小野町地方綜合病院・田村郡医師会等との調整が要る。**あわせて在宅医療・介護連携推進事業の実施状況（相談窓口の運営、多職種研修、情報共有ツール）</t>
        </is>
      </c>
      <c r="P54" s="24" t="n"/>
      <c r="Q54" s="24" t="n"/>
      <c r="R54" s="24" t="n"/>
      <c r="S54" s="24" t="n"/>
      <c r="T54" s="24" t="n"/>
      <c r="U54" s="24" t="n"/>
      <c r="V54" s="24" t="n"/>
      <c r="W54" s="24" t="n"/>
    </row>
    <row r="55">
      <c r="A55" s="19" t="inlineStr">
        <is>
          <t>P8 素案</t>
        </is>
      </c>
      <c r="B55" s="20" t="inlineStr">
        <is>
          <t>8-9</t>
        </is>
      </c>
      <c r="C55" s="19" t="inlineStr">
        <is>
          <t>素案の構成・体裁の点検（他団体の第10期計画との対比）</t>
        </is>
      </c>
      <c r="D55" s="19" t="inlineStr">
        <is>
          <t>他団体の第10期計画の章立てと1項目ずつ突き合わせ、落ちている記載事項を洗い出す。あわせて書体・余白・見出しの体裁をそろえる</t>
        </is>
      </c>
      <c r="E55" s="19" t="inlineStr">
        <is>
          <t>B6 骨子案・素案の作成</t>
        </is>
      </c>
      <c r="F55" s="20" t="inlineStr">
        <is>
          <t>仕様書4(3)</t>
        </is>
      </c>
      <c r="G5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5" s="20" t="inlineStr">
        <is>
          <t>受託者</t>
        </is>
      </c>
      <c r="I55" s="20" t="inlineStr">
        <is>
          <t>2026-09</t>
        </is>
      </c>
      <c r="J55" s="20" t="inlineStr">
        <is>
          <t>2026-11</t>
        </is>
      </c>
      <c r="K55" s="23" t="inlineStr">
        <is>
          <t>進行中</t>
        </is>
      </c>
      <c r="L55" s="22" t="n">
        <v>90</v>
      </c>
      <c r="M55" s="23" t="n">
        <v>3</v>
      </c>
      <c r="N55" s="19" t="inlineStr">
        <is>
          <t>**9月29日に、他団体の第10期計画の見出し129件を機械的に抽出し、小野町の素案と44項目で対比した（03_計画素案）。****○18件・△11件・×14件・該当なし1件で、うち16件を素案に反映済みである。**第1章に3節（計画策定の視点／日常生活圏域の設定／計画の進行管理・推進体制）、**第3章「第9期計画の実施状況と評価」を新設**し、**「介護保険事業等の見込み」を独立章（第6章・9節）に立て直した。**資料編に4項目（成果指標の定義／年次評価の様式／施策の見直しの基準／主な参照資料）を加え、5章構成から6章構成に組み替えた。**9月29日に書体を游ゴシック10.5pt（表8.5pt・出典8.5pt、見出しH1 15pt・H2 12.5pt・H3 11pt、上下余白2.0cm・左右1.9cm）に改め、成果品全体でそろえた。**対比は check_ono_taihi.py が毎回再計算するため、素案を直せば対比表も追従する。**10月5日に、第5章の各施策に【関連データ】の表を加えた（12施策・74行）。****他団体が置いている5項目のうち、本町に無かった「関連データ」である。****値は一次資料の台帳（原本と照合済みの286件）から引く作りにしたため、本文と表がずれない。台帳に無いキーを書くと生成が止まる。**これで対比は○22／△9／×12となった。**10月4日に3項目を解消した。****①第6章10「中長期の見通し（令和22年・令和32年）」を新設**（総給付費は令和22年で＋12.8％にとどまるが、第1号被保険者1人当たりでは＋28.7％、令和32年では＋39.5％になる）。**②第1章2に、国が第10期に求める5点と、確認すべき制度改正5件の表を加えた**（公布・公表が確認できた事項に限り、先取りはしていない）。**③資料編12「図表番号一覧」を新設し、すべての表に通し番号を振った**（表題は見出しから機械的に作るため、見出しを変えても題が古くならない）</t>
        </is>
      </c>
      <c r="O55" s="19" t="inlineStr">
        <is>
          <t>**残る未対応は、第5章の各施策の記載を5項目にそろえること、事業所調査（未実施。実施の可否を町と相談）、国の基本指針が示す確認すべき指標との対応表**</t>
        </is>
      </c>
      <c r="P55" s="24" t="n"/>
      <c r="Q55" s="24" t="n"/>
      <c r="R55" s="24" t="n"/>
      <c r="S55" s="24" t="n"/>
      <c r="T55" s="24" t="n"/>
      <c r="U55" s="24" t="n"/>
      <c r="V55" s="24" t="n"/>
      <c r="W55" s="24" t="n"/>
    </row>
    <row r="56">
      <c r="A56" s="19" t="inlineStr">
        <is>
          <t>P9 意見聴取</t>
        </is>
      </c>
      <c r="B56" s="20" t="inlineStr">
        <is>
          <t>9-1</t>
        </is>
      </c>
      <c r="C56" s="19" t="inlineStr">
        <is>
          <t>協議会の開催回数・時期の確定</t>
        </is>
      </c>
      <c r="D56" s="19" t="inlineStr">
        <is>
          <t>小野町高齢者福祉サービス推進協議会</t>
        </is>
      </c>
      <c r="E56" s="19" t="inlineStr">
        <is>
          <t>B8 協議会・パブリックコメントの支援</t>
        </is>
      </c>
      <c r="F56" s="20" t="inlineStr">
        <is>
          <t>仕様書4(5)</t>
        </is>
      </c>
      <c r="G56"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20" t="inlineStr">
        <is>
          <t>町</t>
        </is>
      </c>
      <c r="I56" s="20" t="inlineStr">
        <is>
          <t>2026-08</t>
        </is>
      </c>
      <c r="J56" s="20" t="inlineStr">
        <is>
          <t>2026-08</t>
        </is>
      </c>
      <c r="K56" s="25" t="inlineStr">
        <is>
          <t>要対応</t>
        </is>
      </c>
      <c r="L56" s="22" t="n">
        <v>0</v>
      </c>
      <c r="M56" s="23" t="n">
        <v>1</v>
      </c>
      <c r="N56" s="19" t="inlineStr">
        <is>
          <t>**仕様書に回数の指定がない。**受託者案は4回</t>
        </is>
      </c>
      <c r="O56" s="19" t="inlineStr">
        <is>
          <t>**町との協議（依頼票C4）。これが決まらないと工程が引けない**</t>
        </is>
      </c>
      <c r="P56" s="24" t="n"/>
      <c r="Q56" s="24" t="n"/>
      <c r="R56" s="24" t="n"/>
      <c r="S56" s="24" t="n"/>
      <c r="T56" s="24" t="n"/>
      <c r="U56" s="24" t="n"/>
      <c r="V56" s="24" t="n"/>
      <c r="W56" s="24" t="n"/>
    </row>
    <row r="57">
      <c r="A57" s="19" t="inlineStr">
        <is>
          <t>P9 意見聴取</t>
        </is>
      </c>
      <c r="B57" s="20" t="inlineStr">
        <is>
          <t>9-2</t>
        </is>
      </c>
      <c r="C57" s="19" t="inlineStr">
        <is>
          <t>協議会 第1回（第9期の評価・調査結果）</t>
        </is>
      </c>
      <c r="D57" s="19" t="inlineStr">
        <is>
          <t>評価と調査結果の報告</t>
        </is>
      </c>
      <c r="E57" s="19" t="inlineStr">
        <is>
          <t>B8 協議会・パブリックコメントの支援</t>
        </is>
      </c>
      <c r="F57" s="20" t="inlineStr">
        <is>
          <t>仕様書4(5)</t>
        </is>
      </c>
      <c r="G57"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7" s="20" t="inlineStr">
        <is>
          <t>受託者・町</t>
        </is>
      </c>
      <c r="I57" s="20" t="inlineStr">
        <is>
          <t>2026-08</t>
        </is>
      </c>
      <c r="J57" s="20" t="inlineStr">
        <is>
          <t>2026-09</t>
        </is>
      </c>
      <c r="K57" s="25" t="inlineStr">
        <is>
          <t>要対応</t>
        </is>
      </c>
      <c r="L57" s="22" t="n">
        <v>50</v>
      </c>
      <c r="M57" s="23" t="n">
        <v>2</v>
      </c>
      <c r="N57" s="19" t="inlineStr">
        <is>
          <t>**資料は作成済み（08_協議会資料・42表）**</t>
        </is>
      </c>
      <c r="O57" s="19" t="inlineStr">
        <is>
          <t>**開催日が未定**</t>
        </is>
      </c>
      <c r="P57" s="24" t="n"/>
      <c r="Q57" s="24" t="n"/>
      <c r="R57" s="24" t="n"/>
      <c r="S57" s="24" t="n"/>
      <c r="T57" s="24" t="n"/>
      <c r="U57" s="24" t="n"/>
      <c r="V57" s="24" t="n"/>
      <c r="W57" s="24" t="n"/>
    </row>
    <row r="58">
      <c r="A58" s="19" t="inlineStr">
        <is>
          <t>P9 意見聴取</t>
        </is>
      </c>
      <c r="B58" s="20" t="inlineStr">
        <is>
          <t>9-3</t>
        </is>
      </c>
      <c r="C58" s="19" t="inlineStr">
        <is>
          <t>協議会 第2回（骨子案・見込量・保険料・成果指標）</t>
        </is>
      </c>
      <c r="D58" s="19" t="inlineStr">
        <is>
          <t>計画の骨格の合意</t>
        </is>
      </c>
      <c r="E58" s="19" t="inlineStr">
        <is>
          <t>B8 協議会・パブリックコメントの支援</t>
        </is>
      </c>
      <c r="F58" s="20" t="inlineStr">
        <is>
          <t>仕様書4(5)</t>
        </is>
      </c>
      <c r="G58"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8" s="20" t="inlineStr">
        <is>
          <t>受託者・町</t>
        </is>
      </c>
      <c r="I58" s="20" t="inlineStr">
        <is>
          <t>2026-11</t>
        </is>
      </c>
      <c r="J58" s="20" t="inlineStr">
        <is>
          <t>2026-11</t>
        </is>
      </c>
      <c r="K58" s="23" t="inlineStr">
        <is>
          <t>進行中</t>
        </is>
      </c>
      <c r="L58" s="22" t="n">
        <v>40</v>
      </c>
      <c r="M58" s="23" t="n">
        <v>2</v>
      </c>
      <c r="N58" s="19" t="inlineStr">
        <is>
          <t>**資料を作成済み（令和8年10月6日・08_協議会資料）。骨子案 第4版・見込量・保険料の2案・成果指標の目標値の置き方の3案。数値は算定モジュールから引いており、算定が変われば資料も変わる**</t>
        </is>
      </c>
      <c r="O58" s="19" t="inlineStr">
        <is>
          <t>開催日の確定（案Aなら11月27日が期限）</t>
        </is>
      </c>
      <c r="P58" s="24" t="n"/>
      <c r="Q58" s="24" t="n"/>
      <c r="R58" s="24" t="n"/>
      <c r="S58" s="24" t="n"/>
      <c r="T58" s="24" t="n"/>
      <c r="U58" s="24" t="n"/>
      <c r="V58" s="24" t="n"/>
      <c r="W58" s="24" t="n"/>
    </row>
    <row r="59">
      <c r="A59" s="19" t="inlineStr">
        <is>
          <t>P9 意見聴取</t>
        </is>
      </c>
      <c r="B59" s="20" t="inlineStr">
        <is>
          <t>9-4</t>
        </is>
      </c>
      <c r="C59" s="19" t="inlineStr">
        <is>
          <t>協議会 第3回（素案）</t>
        </is>
      </c>
      <c r="D59" s="19" t="inlineStr">
        <is>
          <t>素案の合意</t>
        </is>
      </c>
      <c r="E59" s="19" t="inlineStr">
        <is>
          <t>B8 協議会・パブリックコメントの支援</t>
        </is>
      </c>
      <c r="F59" s="20" t="inlineStr">
        <is>
          <t>仕様書4(5)</t>
        </is>
      </c>
      <c r="G59"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9" s="20" t="inlineStr">
        <is>
          <t>受託者・町</t>
        </is>
      </c>
      <c r="I59" s="20" t="inlineStr">
        <is>
          <t>2026-12</t>
        </is>
      </c>
      <c r="J59" s="20" t="inlineStr">
        <is>
          <t>2026-12</t>
        </is>
      </c>
      <c r="K59" s="27" t="inlineStr">
        <is>
          <t>未着手</t>
        </is>
      </c>
      <c r="L59" s="22" t="n">
        <v>0</v>
      </c>
      <c r="M59" s="23" t="n">
        <v>2</v>
      </c>
      <c r="N59" s="19" t="inlineStr">
        <is>
          <t>―</t>
        </is>
      </c>
      <c r="O59" s="19" t="inlineStr">
        <is>
          <t>素案の確定</t>
        </is>
      </c>
      <c r="P59" s="24" t="n"/>
      <c r="Q59" s="24" t="n"/>
      <c r="R59" s="24" t="n"/>
      <c r="S59" s="24" t="n"/>
      <c r="T59" s="24" t="n"/>
      <c r="U59" s="24" t="n"/>
      <c r="V59" s="24" t="n"/>
      <c r="W59" s="24" t="n"/>
    </row>
    <row r="60">
      <c r="A60" s="19" t="inlineStr">
        <is>
          <t>P9 意見聴取</t>
        </is>
      </c>
      <c r="B60" s="20" t="inlineStr">
        <is>
          <t>9-5</t>
        </is>
      </c>
      <c r="C60" s="19" t="inlineStr">
        <is>
          <t>パブリックコメントの様式作成</t>
        </is>
      </c>
      <c r="D60" s="19" t="inlineStr">
        <is>
          <t>実施要領、意見提出様式、意見と町の考え方の対応表</t>
        </is>
      </c>
      <c r="E60" s="19" t="inlineStr">
        <is>
          <t>B8 協議会・パブリックコメントの支援</t>
        </is>
      </c>
      <c r="F60" s="20" t="inlineStr">
        <is>
          <t>仕様書4(5)</t>
        </is>
      </c>
      <c r="G60"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0" s="20" t="inlineStr">
        <is>
          <t>受託者</t>
        </is>
      </c>
      <c r="I60" s="20" t="inlineStr">
        <is>
          <t>2026-08</t>
        </is>
      </c>
      <c r="J60" s="20" t="inlineStr">
        <is>
          <t>2026-08</t>
        </is>
      </c>
      <c r="K60" s="21" t="inlineStr">
        <is>
          <t>完了</t>
        </is>
      </c>
      <c r="L60" s="22" t="n">
        <v>100</v>
      </c>
      <c r="M60" s="23" t="n">
        <v>2</v>
      </c>
      <c r="N60" s="19" t="inlineStr">
        <is>
          <t>計画策定業務設計書 第4章（02_キックオフ・業務計画）</t>
        </is>
      </c>
      <c r="O60" s="19" t="inlineStr">
        <is>
          <t>―</t>
        </is>
      </c>
      <c r="P60" s="24" t="n"/>
      <c r="Q60" s="24" t="n"/>
      <c r="R60" s="24" t="n"/>
      <c r="S60" s="24" t="n"/>
      <c r="T60" s="24" t="n"/>
      <c r="U60" s="24" t="n"/>
      <c r="V60" s="24" t="n"/>
      <c r="W60" s="24" t="n"/>
    </row>
    <row r="61">
      <c r="A61" s="19" t="inlineStr">
        <is>
          <t>P9 意見聴取</t>
        </is>
      </c>
      <c r="B61" s="20" t="inlineStr">
        <is>
          <t>9-6</t>
        </is>
      </c>
      <c r="C61" s="19" t="inlineStr">
        <is>
          <t>パブリックコメントの実施</t>
        </is>
      </c>
      <c r="D61" s="19" t="inlineStr">
        <is>
          <t>意見提出期間1か月</t>
        </is>
      </c>
      <c r="E61" s="19" t="inlineStr">
        <is>
          <t>B8 協議会・パブリックコメントの支援</t>
        </is>
      </c>
      <c r="F61" s="20" t="inlineStr">
        <is>
          <t>仕様書4(5)</t>
        </is>
      </c>
      <c r="G61"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1" s="20" t="inlineStr">
        <is>
          <t>町</t>
        </is>
      </c>
      <c r="I61" s="20" t="inlineStr">
        <is>
          <t>2027-01</t>
        </is>
      </c>
      <c r="J61" s="20" t="inlineStr">
        <is>
          <t>2027-01</t>
        </is>
      </c>
      <c r="K61" s="27" t="inlineStr">
        <is>
          <t>未着手</t>
        </is>
      </c>
      <c r="L61" s="22" t="n">
        <v>0</v>
      </c>
      <c r="M61" s="23" t="n">
        <v>2</v>
      </c>
      <c r="N61" s="19" t="inlineStr">
        <is>
          <t>―</t>
        </is>
      </c>
      <c r="O61" s="19" t="inlineStr">
        <is>
          <t>素案の確定、実施時期の確定（依頼票C6）</t>
        </is>
      </c>
      <c r="P61" s="24" t="n"/>
      <c r="Q61" s="24" t="n"/>
      <c r="R61" s="24" t="n"/>
      <c r="S61" s="24" t="n"/>
      <c r="T61" s="24" t="n"/>
      <c r="U61" s="24" t="n"/>
      <c r="V61" s="24" t="n"/>
      <c r="W61" s="24" t="n"/>
    </row>
    <row r="62">
      <c r="A62" s="19" t="inlineStr">
        <is>
          <t>P9 意見聴取</t>
        </is>
      </c>
      <c r="B62" s="20" t="inlineStr">
        <is>
          <t>9-7</t>
        </is>
      </c>
      <c r="C62" s="19" t="inlineStr">
        <is>
          <t>意見への対応</t>
        </is>
      </c>
      <c r="D62" s="19" t="inlineStr">
        <is>
          <t>意見の整理、対応案の作成、計画への反映</t>
        </is>
      </c>
      <c r="E62" s="19" t="inlineStr">
        <is>
          <t>B8 協議会・パブリックコメントの支援</t>
        </is>
      </c>
      <c r="F62" s="20" t="inlineStr">
        <is>
          <t>仕様書4(5)</t>
        </is>
      </c>
      <c r="G62"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2" s="20" t="inlineStr">
        <is>
          <t>受託者</t>
        </is>
      </c>
      <c r="I62" s="20" t="inlineStr">
        <is>
          <t>2027-02</t>
        </is>
      </c>
      <c r="J62" s="20" t="inlineStr">
        <is>
          <t>2027-02</t>
        </is>
      </c>
      <c r="K62" s="27" t="inlineStr">
        <is>
          <t>未着手</t>
        </is>
      </c>
      <c r="L62" s="22" t="n">
        <v>0</v>
      </c>
      <c r="M62" s="23" t="n">
        <v>2</v>
      </c>
      <c r="N62" s="19" t="inlineStr">
        <is>
          <t>対応表の様式は作成済み</t>
        </is>
      </c>
      <c r="O62" s="19" t="inlineStr">
        <is>
          <t>パブコメの実施</t>
        </is>
      </c>
      <c r="P62" s="24" t="n"/>
      <c r="Q62" s="24" t="n"/>
      <c r="R62" s="24" t="n"/>
      <c r="S62" s="24" t="n"/>
      <c r="T62" s="24" t="n"/>
      <c r="U62" s="24" t="n"/>
      <c r="V62" s="24" t="n"/>
      <c r="W62" s="24" t="n"/>
    </row>
    <row r="63">
      <c r="A63" s="19" t="inlineStr">
        <is>
          <t>P9 意見聴取</t>
        </is>
      </c>
      <c r="B63" s="20" t="inlineStr">
        <is>
          <t>9-8</t>
        </is>
      </c>
      <c r="C63" s="19" t="inlineStr">
        <is>
          <t>協議会 第4回（最終案）</t>
        </is>
      </c>
      <c r="D63" s="19" t="inlineStr">
        <is>
          <t>最終案の確認</t>
        </is>
      </c>
      <c r="E63" s="19" t="inlineStr">
        <is>
          <t>B8 協議会・パブリックコメントの支援</t>
        </is>
      </c>
      <c r="F63" s="20" t="inlineStr">
        <is>
          <t>仕様書4(5)</t>
        </is>
      </c>
      <c r="G63"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3" s="20" t="inlineStr">
        <is>
          <t>受託者・町</t>
        </is>
      </c>
      <c r="I63" s="20" t="inlineStr">
        <is>
          <t>2027-02</t>
        </is>
      </c>
      <c r="J63" s="20" t="inlineStr">
        <is>
          <t>2027-02</t>
        </is>
      </c>
      <c r="K63" s="27" t="inlineStr">
        <is>
          <t>未着手</t>
        </is>
      </c>
      <c r="L63" s="22" t="n">
        <v>0</v>
      </c>
      <c r="M63" s="23" t="n">
        <v>1</v>
      </c>
      <c r="N63" s="19" t="inlineStr">
        <is>
          <t>―</t>
        </is>
      </c>
      <c r="O63" s="19" t="inlineStr">
        <is>
          <t>意見への対応</t>
        </is>
      </c>
      <c r="P63" s="24" t="n"/>
      <c r="Q63" s="24" t="n"/>
      <c r="R63" s="24" t="n"/>
      <c r="S63" s="24" t="n"/>
      <c r="T63" s="24" t="n"/>
      <c r="U63" s="24" t="n"/>
      <c r="V63" s="24" t="n"/>
      <c r="W63" s="24" t="n"/>
    </row>
    <row r="64">
      <c r="A64" s="19" t="inlineStr">
        <is>
          <t>P10 完成・納品</t>
        </is>
      </c>
      <c r="B64" s="20" t="inlineStr">
        <is>
          <t>10-1</t>
        </is>
      </c>
      <c r="C64" s="19" t="inlineStr">
        <is>
          <t>計画書の原稿確定</t>
        </is>
      </c>
      <c r="D64" s="19" t="inlineStr">
        <is>
          <t>パブリックコメント対応後の原稿</t>
        </is>
      </c>
      <c r="E64" s="19" t="inlineStr">
        <is>
          <t>B7 最終調整及び計画書の作成</t>
        </is>
      </c>
      <c r="F64" s="20" t="inlineStr">
        <is>
          <t>仕様書4(4)</t>
        </is>
      </c>
      <c r="G64" s="19" t="inlineStr">
        <is>
          <t>【4(4)】最終調整及び計画書の作成・取りまとめ。（1）から（3）の結果を踏まえ、小野町高齢者保健福祉計画・第10期介護保険事業計画書を作成するものとする。</t>
        </is>
      </c>
      <c r="H64" s="20" t="inlineStr">
        <is>
          <t>受託者</t>
        </is>
      </c>
      <c r="I64" s="20" t="inlineStr">
        <is>
          <t>2027-02</t>
        </is>
      </c>
      <c r="J64" s="20" t="inlineStr">
        <is>
          <t>2027-02</t>
        </is>
      </c>
      <c r="K64" s="27" t="inlineStr">
        <is>
          <t>未着手</t>
        </is>
      </c>
      <c r="L64" s="22" t="n">
        <v>0</v>
      </c>
      <c r="M64" s="23" t="n">
        <v>3</v>
      </c>
      <c r="N64" s="19" t="inlineStr">
        <is>
          <t>―</t>
        </is>
      </c>
      <c r="O64" s="19" t="inlineStr">
        <is>
          <t>意見への対応</t>
        </is>
      </c>
      <c r="P64" s="24" t="n"/>
      <c r="Q64" s="24" t="n"/>
      <c r="R64" s="24" t="n"/>
      <c r="S64" s="24" t="n"/>
      <c r="T64" s="24" t="n"/>
      <c r="U64" s="24" t="n"/>
      <c r="V64" s="24" t="n"/>
      <c r="W64" s="24" t="n"/>
    </row>
    <row r="65">
      <c r="A65" s="19" t="inlineStr">
        <is>
          <t>P10 完成・納品</t>
        </is>
      </c>
      <c r="B65" s="20" t="inlineStr">
        <is>
          <t>10-2</t>
        </is>
      </c>
      <c r="C65" s="19" t="inlineStr">
        <is>
          <t>レイアウト・組版</t>
        </is>
      </c>
      <c r="D65" s="19" t="inlineStr">
        <is>
          <t>A4・4色刷り・80頁程度</t>
        </is>
      </c>
      <c r="E65" s="19" t="inlineStr">
        <is>
          <t>B9 成果品の納品</t>
        </is>
      </c>
      <c r="F65" s="20" t="inlineStr">
        <is>
          <t>仕様書4 成果品⑤</t>
        </is>
      </c>
      <c r="G65" s="19" t="inlineStr">
        <is>
          <t>【成果品⑤】（5）小野町高齢者保健福祉計画・第10期介護保険事業計画　※データ（CD-R）1部、計画書印刷50部＜仕様＞A4版、4色刷り、80頁程度</t>
        </is>
      </c>
      <c r="H65" s="20" t="inlineStr">
        <is>
          <t>受託者</t>
        </is>
      </c>
      <c r="I65" s="20" t="inlineStr">
        <is>
          <t>2027-02</t>
        </is>
      </c>
      <c r="J65" s="20" t="inlineStr">
        <is>
          <t>2027-02</t>
        </is>
      </c>
      <c r="K65" s="27" t="inlineStr">
        <is>
          <t>未着手</t>
        </is>
      </c>
      <c r="L65" s="22" t="n">
        <v>0</v>
      </c>
      <c r="M65" s="23" t="n">
        <v>3</v>
      </c>
      <c r="N65" s="19" t="inlineStr">
        <is>
          <t>―</t>
        </is>
      </c>
      <c r="O65" s="19" t="inlineStr">
        <is>
          <t>原稿の確定</t>
        </is>
      </c>
      <c r="P65" s="24" t="n"/>
      <c r="Q65" s="24" t="n"/>
      <c r="R65" s="24" t="n"/>
      <c r="S65" s="24" t="n"/>
      <c r="T65" s="24" t="n"/>
      <c r="U65" s="24" t="n"/>
      <c r="V65" s="24" t="n"/>
      <c r="W65" s="24" t="n"/>
    </row>
    <row r="66">
      <c r="A66" s="19" t="inlineStr">
        <is>
          <t>P10 完成・納品</t>
        </is>
      </c>
      <c r="B66" s="20" t="inlineStr">
        <is>
          <t>10-3</t>
        </is>
      </c>
      <c r="C66" s="19" t="inlineStr">
        <is>
          <t>校正（初校・再校・校了）</t>
        </is>
      </c>
      <c r="D66" s="19" t="inlineStr">
        <is>
          <t>町の確認を経て校了</t>
        </is>
      </c>
      <c r="E66" s="19" t="inlineStr">
        <is>
          <t>B9 成果品の納品</t>
        </is>
      </c>
      <c r="F66" s="20" t="inlineStr">
        <is>
          <t>仕様書4 成果品⑤</t>
        </is>
      </c>
      <c r="G66" s="19" t="inlineStr">
        <is>
          <t>【成果品⑤】（5）小野町高齢者保健福祉計画・第10期介護保険事業計画　※データ（CD-R）1部、計画書印刷50部＜仕様＞A4版、4色刷り、80頁程度</t>
        </is>
      </c>
      <c r="H66" s="20" t="inlineStr">
        <is>
          <t>受託者・町</t>
        </is>
      </c>
      <c r="I66" s="20" t="inlineStr">
        <is>
          <t>2027-02</t>
        </is>
      </c>
      <c r="J66" s="20" t="inlineStr">
        <is>
          <t>2027-02</t>
        </is>
      </c>
      <c r="K66" s="27" t="inlineStr">
        <is>
          <t>未着手</t>
        </is>
      </c>
      <c r="L66" s="22" t="n">
        <v>0</v>
      </c>
      <c r="M66" s="23" t="n">
        <v>2</v>
      </c>
      <c r="N66" s="19" t="inlineStr">
        <is>
          <t>**逆算表を作成済み（令和9年2月下旬の校了が動かせない期限）**</t>
        </is>
      </c>
      <c r="O66" s="19" t="inlineStr">
        <is>
          <t>組版</t>
        </is>
      </c>
      <c r="P66" s="24" t="n"/>
      <c r="Q66" s="24" t="n"/>
      <c r="R66" s="24" t="n"/>
      <c r="S66" s="24" t="n"/>
      <c r="T66" s="24" t="n"/>
      <c r="U66" s="24" t="n"/>
      <c r="V66" s="24" t="n"/>
      <c r="W66" s="24" t="n"/>
    </row>
    <row r="67">
      <c r="A67" s="19" t="inlineStr">
        <is>
          <t>P10 完成・納品</t>
        </is>
      </c>
      <c r="B67" s="20" t="inlineStr">
        <is>
          <t>10-4</t>
        </is>
      </c>
      <c r="C67" s="19" t="inlineStr">
        <is>
          <t>概要版の構成案</t>
        </is>
      </c>
      <c r="D67" s="19" t="inlineStr">
        <is>
          <t>A4・4色刷り・8頁のページ割り</t>
        </is>
      </c>
      <c r="E67" s="19" t="inlineStr">
        <is>
          <t>B9 成果品の納品</t>
        </is>
      </c>
      <c r="F67" s="20" t="inlineStr">
        <is>
          <t>仕様書4 成果品⑥</t>
        </is>
      </c>
      <c r="G67" s="19" t="inlineStr">
        <is>
          <t>【成果品⑥】（6）小野町高齢者保健福祉計画・第10期介護保険事業計画概要版　※データ（CD-R）1部、概要版印刷50部＜仕様＞A4版、4色刷り、8頁</t>
        </is>
      </c>
      <c r="H67" s="20" t="inlineStr">
        <is>
          <t>受託者</t>
        </is>
      </c>
      <c r="I67" s="20" t="inlineStr">
        <is>
          <t>2026-08</t>
        </is>
      </c>
      <c r="J67" s="20" t="inlineStr">
        <is>
          <t>2026-10</t>
        </is>
      </c>
      <c r="K67" s="21" t="inlineStr">
        <is>
          <t>完了</t>
        </is>
      </c>
      <c r="L67" s="22" t="n">
        <v>100</v>
      </c>
      <c r="M67" s="23" t="n">
        <v>1</v>
      </c>
      <c r="N67" s="19" t="inlineStr">
        <is>
          <t>計画策定業務設計書 第2章（02_キックオフ・業務計画）。**令和8年10月6日に図の割付まで決めた（10_納品・印刷）。既存の図6点を頁に割り付け、作る図2点の作成時期を11月とした**</t>
        </is>
      </c>
      <c r="O67" s="19" t="inlineStr">
        <is>
          <t>―</t>
        </is>
      </c>
      <c r="P67" s="24" t="n"/>
      <c r="Q67" s="24" t="n"/>
      <c r="R67" s="24" t="n"/>
      <c r="S67" s="24" t="n"/>
      <c r="T67" s="24" t="n"/>
      <c r="U67" s="24" t="n"/>
      <c r="V67" s="24" t="n"/>
      <c r="W67" s="24" t="n"/>
    </row>
    <row r="68">
      <c r="A68" s="19" t="inlineStr">
        <is>
          <t>P10 完成・納品</t>
        </is>
      </c>
      <c r="B68" s="20" t="inlineStr">
        <is>
          <t>10-5</t>
        </is>
      </c>
      <c r="C68" s="19" t="inlineStr">
        <is>
          <t>概要版の作成</t>
        </is>
      </c>
      <c r="D68" s="19" t="inlineStr">
        <is>
          <t>計画書からの抽出とリライト、図表8点程度</t>
        </is>
      </c>
      <c r="E68" s="19" t="inlineStr">
        <is>
          <t>B9 成果品の納品</t>
        </is>
      </c>
      <c r="F68" s="20" t="inlineStr">
        <is>
          <t>仕様書4 成果品⑥</t>
        </is>
      </c>
      <c r="G68" s="19" t="inlineStr">
        <is>
          <t>【成果品⑥】（6）小野町高齢者保健福祉計画・第10期介護保険事業計画概要版　※データ（CD-R）1部、概要版印刷50部＜仕様＞A4版、4色刷り、8頁</t>
        </is>
      </c>
      <c r="H68" s="20" t="inlineStr">
        <is>
          <t>受託者</t>
        </is>
      </c>
      <c r="I68" s="20" t="inlineStr">
        <is>
          <t>2027-02</t>
        </is>
      </c>
      <c r="J68" s="20" t="inlineStr">
        <is>
          <t>2027-03</t>
        </is>
      </c>
      <c r="K68" s="27" t="inlineStr">
        <is>
          <t>未着手</t>
        </is>
      </c>
      <c r="L68" s="22" t="n">
        <v>0</v>
      </c>
      <c r="M68" s="23" t="n">
        <v>2</v>
      </c>
      <c r="N68" s="19" t="inlineStr">
        <is>
          <t>**構成案とページ割り・図の割付は作成済み。**1頁あたりの分量を文字数で見積もり、8頁に収まることを確かめた</t>
        </is>
      </c>
      <c r="O68" s="19" t="inlineStr">
        <is>
          <t>計画書の確定</t>
        </is>
      </c>
      <c r="P68" s="24" t="n"/>
      <c r="Q68" s="24" t="n"/>
      <c r="R68" s="24" t="n"/>
      <c r="S68" s="24" t="n"/>
      <c r="T68" s="24" t="n"/>
      <c r="U68" s="24" t="n"/>
      <c r="V68" s="24" t="n"/>
      <c r="W68" s="24" t="n"/>
    </row>
    <row r="69">
      <c r="A69" s="19" t="inlineStr">
        <is>
          <t>P10 完成・納品</t>
        </is>
      </c>
      <c r="B69" s="20" t="inlineStr">
        <is>
          <t>10-6</t>
        </is>
      </c>
      <c r="C69" s="19" t="inlineStr">
        <is>
          <t>印刷・製本</t>
        </is>
      </c>
      <c r="D69" s="19" t="inlineStr">
        <is>
          <t>計画書50部、概要版50部。色校正を含む</t>
        </is>
      </c>
      <c r="E69" s="19" t="inlineStr">
        <is>
          <t>B9 成果品の納品</t>
        </is>
      </c>
      <c r="F69" s="20" t="inlineStr">
        <is>
          <t>仕様書4 成果品⑤・仕様書4 成果品⑥</t>
        </is>
      </c>
      <c r="G69"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9" s="20" t="inlineStr">
        <is>
          <t>受託者</t>
        </is>
      </c>
      <c r="I69" s="20" t="inlineStr">
        <is>
          <t>2027-03</t>
        </is>
      </c>
      <c r="J69" s="20" t="inlineStr">
        <is>
          <t>2027-03</t>
        </is>
      </c>
      <c r="K69" s="27" t="inlineStr">
        <is>
          <t>未着手</t>
        </is>
      </c>
      <c r="L69" s="22" t="n">
        <v>0</v>
      </c>
      <c r="M69" s="23" t="n">
        <v>2</v>
      </c>
      <c r="N69" s="19" t="inlineStr">
        <is>
          <t>**発注仕様書と見積依頼の様式を作成済み（令和8年10月6日）。年度末の印刷の集中を見て1月中に業者を押さえる**</t>
        </is>
      </c>
      <c r="O69" s="19" t="inlineStr">
        <is>
          <t>校了</t>
        </is>
      </c>
      <c r="P69" s="24" t="n"/>
      <c r="Q69" s="24" t="n"/>
      <c r="R69" s="24" t="n"/>
      <c r="S69" s="24" t="n"/>
      <c r="T69" s="24" t="n"/>
      <c r="U69" s="24" t="n"/>
      <c r="V69" s="24" t="n"/>
      <c r="W69" s="24" t="n"/>
    </row>
    <row r="70">
      <c r="A70" s="19" t="inlineStr">
        <is>
          <t>P10 完成・納品</t>
        </is>
      </c>
      <c r="B70" s="20" t="inlineStr">
        <is>
          <t>10-7</t>
        </is>
      </c>
      <c r="C70" s="19" t="inlineStr">
        <is>
          <t>データCD-Rの作成</t>
        </is>
      </c>
      <c r="D70" s="19" t="inlineStr">
        <is>
          <t>成果品①〜⑥のデータ</t>
        </is>
      </c>
      <c r="E70" s="19" t="inlineStr">
        <is>
          <t>B9 成果品の納品</t>
        </is>
      </c>
      <c r="F70" s="20" t="inlineStr">
        <is>
          <t>仕様書4 成果品</t>
        </is>
      </c>
      <c r="G70" s="19" t="inlineStr">
        <is>
          <t>【成果品】（1）〜（4）のデータ（CD-R）1部、冊子（簡易製本）各3部／（5）（6）のデータ（CD-R）1部、計画書印刷50部／概要版印刷50部</t>
        </is>
      </c>
      <c r="H70" s="20" t="inlineStr">
        <is>
          <t>受託者</t>
        </is>
      </c>
      <c r="I70" s="20" t="inlineStr">
        <is>
          <t>2027-03</t>
        </is>
      </c>
      <c r="J70" s="20" t="inlineStr">
        <is>
          <t>2027-03</t>
        </is>
      </c>
      <c r="K70" s="27" t="inlineStr">
        <is>
          <t>未着手</t>
        </is>
      </c>
      <c r="L70" s="22" t="n">
        <v>0</v>
      </c>
      <c r="M70" s="23" t="n">
        <v>1</v>
      </c>
      <c r="N70" s="19" t="inlineStr">
        <is>
          <t>―</t>
        </is>
      </c>
      <c r="O70" s="19" t="inlineStr">
        <is>
          <t>各成果品の確定</t>
        </is>
      </c>
      <c r="P70" s="24" t="n"/>
      <c r="Q70" s="24" t="n"/>
      <c r="R70" s="24" t="n"/>
      <c r="S70" s="24" t="n"/>
      <c r="T70" s="24" t="n"/>
      <c r="U70" s="24" t="n"/>
      <c r="V70" s="24" t="n"/>
      <c r="W70" s="24" t="n"/>
    </row>
    <row r="71">
      <c r="A71" s="19" t="inlineStr">
        <is>
          <t>P10 完成・納品</t>
        </is>
      </c>
      <c r="B71" s="20" t="inlineStr">
        <is>
          <t>10-8</t>
        </is>
      </c>
      <c r="C71" s="19" t="inlineStr">
        <is>
          <t>納品・検収</t>
        </is>
      </c>
      <c r="D71" s="19" t="inlineStr">
        <is>
          <t>令和9年3月31日まで</t>
        </is>
      </c>
      <c r="E71" s="19" t="inlineStr">
        <is>
          <t>B10 業務管理・計画の基本的な考え方</t>
        </is>
      </c>
      <c r="F71" s="20" t="inlineStr">
        <is>
          <t>仕様書3（業務期間）</t>
        </is>
      </c>
      <c r="G71" s="19" t="inlineStr">
        <is>
          <t>【3】契約締結の日から令和9年3月31日まで</t>
        </is>
      </c>
      <c r="H71" s="20" t="inlineStr">
        <is>
          <t>受託者・町</t>
        </is>
      </c>
      <c r="I71" s="20" t="inlineStr">
        <is>
          <t>2027-03</t>
        </is>
      </c>
      <c r="J71" s="20" t="inlineStr">
        <is>
          <t>2027-03</t>
        </is>
      </c>
      <c r="K71" s="27" t="inlineStr">
        <is>
          <t>未着手</t>
        </is>
      </c>
      <c r="L71" s="22" t="n">
        <v>0</v>
      </c>
      <c r="M71" s="23" t="n">
        <v>1</v>
      </c>
      <c r="N71" s="19" t="inlineStr">
        <is>
          <t>―</t>
        </is>
      </c>
      <c r="O71" s="19" t="inlineStr">
        <is>
          <t>全成果品の完成</t>
        </is>
      </c>
      <c r="P71" s="24" t="n"/>
      <c r="Q71" s="24" t="n"/>
      <c r="R71" s="24" t="n"/>
      <c r="S71" s="24" t="n"/>
      <c r="T71" s="24" t="n"/>
      <c r="U71" s="24" t="n"/>
      <c r="V71" s="24" t="n"/>
      <c r="W71" s="24" t="n"/>
    </row>
    <row r="72">
      <c r="A72" s="19" t="inlineStr">
        <is>
          <t>P10 完成・納品</t>
        </is>
      </c>
      <c r="B72" s="20" t="inlineStr">
        <is>
          <t>10-9</t>
        </is>
      </c>
      <c r="C72" s="19" t="inlineStr">
        <is>
          <t>印刷の発注準備</t>
        </is>
      </c>
      <c r="D72" s="19" t="inlineStr">
        <is>
          <t>発注仕様書（用紙・綴じ・校正の回数）と見積依頼の様式・比較表</t>
        </is>
      </c>
      <c r="E72" s="19" t="inlineStr">
        <is>
          <t>B9 成果品の納品</t>
        </is>
      </c>
      <c r="F72" s="20" t="inlineStr">
        <is>
          <t>仕様書4 成果品⑤・仕様書4 成果品⑥</t>
        </is>
      </c>
      <c r="G72"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72" s="20" t="inlineStr">
        <is>
          <t>受託者</t>
        </is>
      </c>
      <c r="I72" s="20" t="inlineStr">
        <is>
          <t>2026-10</t>
        </is>
      </c>
      <c r="J72" s="20" t="inlineStr">
        <is>
          <t>2026-10</t>
        </is>
      </c>
      <c r="K72" s="21" t="inlineStr">
        <is>
          <t>完了</t>
        </is>
      </c>
      <c r="L72" s="22" t="n">
        <v>100</v>
      </c>
      <c r="M72" s="23" t="n">
        <v>1</v>
      </c>
      <c r="N72" s="19" t="inlineStr">
        <is>
          <t>**印刷の発注仕様書・見積依頼書と内訳の様式（10_納品・印刷、令和8年10月6日）。仕様書に定めのない8条件に推奨を置き、見積の内訳13工程を固定した。発注の逆算で、校了に間に合わせるだけなら2月中旬まで待てることが分かった**</t>
        </is>
      </c>
      <c r="O72" s="19" t="inlineStr">
        <is>
          <t>町による用紙・校正の条件の決定</t>
        </is>
      </c>
      <c r="P72" s="24" t="n"/>
      <c r="Q72" s="24" t="n"/>
      <c r="R72" s="24" t="n"/>
      <c r="S72" s="24" t="n"/>
      <c r="T72" s="24" t="n"/>
      <c r="U72" s="24" t="n"/>
      <c r="V72" s="24" t="n"/>
      <c r="W72" s="24" t="n"/>
    </row>
    <row r="73">
      <c r="A73" s="19" t="inlineStr">
        <is>
          <t>P11 品質・進捗管理</t>
        </is>
      </c>
      <c r="B73" s="20" t="inlineStr">
        <is>
          <t>11-1</t>
        </is>
      </c>
      <c r="C73" s="19" t="inlineStr">
        <is>
          <t>一次資料との全件突合</t>
        </is>
      </c>
      <c r="D73" s="19" t="inlineStr">
        <is>
          <t>成果品に載せた数値を、町から受領した原本（年報・月報・調査結果報告書・交付金の集計表）と1件ずつ突き合わせる</t>
        </is>
      </c>
      <c r="E73" s="19" t="inlineStr">
        <is>
          <t>B10 業務管理・計画の基本的な考え方</t>
        </is>
      </c>
      <c r="F73" s="20" t="inlineStr">
        <is>
          <t>仕様書全般</t>
        </is>
      </c>
      <c r="G73" s="19" t="inlineStr">
        <is>
          <t>【全般】委託仕様書及び公告の全体（成果品要件・工程・作業分担の確認）</t>
        </is>
      </c>
      <c r="H73" s="20" t="inlineStr">
        <is>
          <t>受託者</t>
        </is>
      </c>
      <c r="I73" s="20" t="inlineStr">
        <is>
          <t>2026-09</t>
        </is>
      </c>
      <c r="J73" s="20" t="inlineStr">
        <is>
          <t>2027-02</t>
        </is>
      </c>
      <c r="K73" s="23" t="inlineStr">
        <is>
          <t>進行中</t>
        </is>
      </c>
      <c r="L73" s="22" t="n">
        <v>85</v>
      </c>
      <c r="M73" s="23" t="n">
        <v>4</v>
      </c>
      <c r="N73" s="19" t="inlineStr">
        <is>
          <t>**check_ono_ichiji.py が286件を毎回照合し、NGがあれば止まる。現在NGは0件である。****9月29日に調査結果報告書の原本を取り込み、配布・回収、リスク該当率10項目、通いの場、外出、認知症（問35・問36）、在宅介護実態調査の属性・利用状況・未利用理由・介護者、問9（仕事と介護の両立の支援12項目）を全件突合した。****これにより、報告書そのものの食い違い3件を特定した**（①回収数319に対し集計基数366、②通いの場が本文67.2％・図76.2％、③p.84のまとめで項目名が重複）。**あわせて、当方の成果品にあった項目名の取り違えを正した。**問36の54.1％は「相談窓口の充実」ではなく**「地域での見守りや声掛け」**であり、選択肢に「相談窓口の充実」は存在しない（素案・協議会資料・調査結果の分析・交付金の4点を訂正）。**点検の結果はOK 280件・NG 0件・説明のつく相違4件・一次資料が手元にないもの2件である。**相違はいずれも理由とともに記録している</t>
        </is>
      </c>
      <c r="O73" s="19" t="inlineStr">
        <is>
          <t>**町データが届くたびに突合対象が増える。とくに成果指標の現状値17項目と令和7年度決算が入ると、素案・算定シート・協議会資料の3系統を同時に照合する必要がある**</t>
        </is>
      </c>
      <c r="P73" s="24" t="n"/>
      <c r="Q73" s="24" t="n"/>
      <c r="R73" s="24" t="n"/>
      <c r="S73" s="24" t="n"/>
      <c r="T73" s="24" t="n"/>
      <c r="U73" s="24" t="n"/>
      <c r="V73" s="24" t="n"/>
      <c r="W73" s="24" t="n"/>
    </row>
    <row r="74">
      <c r="A74" s="19" t="inlineStr">
        <is>
          <t>P11 品質・進捗管理</t>
        </is>
      </c>
      <c r="B74" s="20" t="inlineStr">
        <is>
          <t>11-2</t>
        </is>
      </c>
      <c r="C74" s="19" t="inlineStr">
        <is>
          <t>図表データ管理台帳の整備と運用</t>
        </is>
      </c>
      <c r="D74" s="19" t="inlineStr">
        <is>
          <t>成果品に載せる図表の出所・算定根拠・差し込み先を1枚で追えるようにする</t>
        </is>
      </c>
      <c r="E74" s="19" t="inlineStr">
        <is>
          <t>B10 業務管理・計画の基本的な考え方</t>
        </is>
      </c>
      <c r="F74" s="20" t="inlineStr">
        <is>
          <t>仕様書全般</t>
        </is>
      </c>
      <c r="G74" s="19" t="inlineStr">
        <is>
          <t>【全般】委託仕様書及び公告の全体（成果品要件・工程・作業分担の確認）</t>
        </is>
      </c>
      <c r="H74" s="20" t="inlineStr">
        <is>
          <t>受託者</t>
        </is>
      </c>
      <c r="I74" s="20" t="inlineStr">
        <is>
          <t>2026-09</t>
        </is>
      </c>
      <c r="J74" s="20" t="inlineStr">
        <is>
          <t>2027-02</t>
        </is>
      </c>
      <c r="K74" s="23" t="inlineStr">
        <is>
          <t>進行中</t>
        </is>
      </c>
      <c r="L74" s="22" t="n">
        <v>85</v>
      </c>
      <c r="M74" s="23" t="n">
        <v>3</v>
      </c>
      <c r="N74" s="19" t="inlineStr">
        <is>
          <t>**9月30日に図表データ管理台帳（25シート）を新設した（22_図表管理）。**図22点の差し込み先、交付金の評価指標との紐付け11件、成果品9件との対応、足りない図6件を一覧にしている。**台帳の数値は ono_figs.py の共通出口から自動で控える仕組みにした**（matplotlib の描画オブジェクトから系列名と数値を読み取り、_ledger.json に書き出す）。手で転記しないため、図と台帳がずれない。**小野町は図を一次資料から毎回計算する作りであるため、台帳は正本ではなく控えである旨を00シートに明記した**</t>
        </is>
      </c>
      <c r="O74"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c r="P74" s="24" t="n"/>
      <c r="Q74" s="24" t="n"/>
      <c r="R74" s="24" t="n"/>
      <c r="S74" s="24" t="n"/>
      <c r="T74" s="24" t="n"/>
      <c r="U74" s="24" t="n"/>
      <c r="V74" s="24" t="n"/>
      <c r="W74" s="24" t="n"/>
    </row>
    <row r="75">
      <c r="A75" s="19" t="inlineStr">
        <is>
          <t>P11 品質・進捗管理</t>
        </is>
      </c>
      <c r="B75" s="20" t="inlineStr">
        <is>
          <t>11-3</t>
        </is>
      </c>
      <c r="C75" s="19" t="inlineStr">
        <is>
          <t>図表の追加作成</t>
        </is>
      </c>
      <c r="D75" s="19" t="inlineStr">
        <is>
          <t>交付金の評価結果・調査結果の裏づけとなる図の作成</t>
        </is>
      </c>
      <c r="E75" s="19" t="inlineStr">
        <is>
          <t>B1 現状分析（基礎データ・資料の整理分析）</t>
        </is>
      </c>
      <c r="F75" s="20" t="inlineStr">
        <is>
          <t>仕様書4(1)</t>
        </is>
      </c>
      <c r="G7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75" s="20" t="inlineStr">
        <is>
          <t>受託者</t>
        </is>
      </c>
      <c r="I75" s="20" t="inlineStr">
        <is>
          <t>2026-09</t>
        </is>
      </c>
      <c r="J75" s="20" t="inlineStr">
        <is>
          <t>2026-12</t>
        </is>
      </c>
      <c r="K75" s="23" t="inlineStr">
        <is>
          <t>進行中</t>
        </is>
      </c>
      <c r="L75" s="22" t="n">
        <v>80</v>
      </c>
      <c r="M75" s="23" t="n">
        <v>2</v>
      </c>
      <c r="N75" s="19" t="inlineStr">
        <is>
          <t>**台帳が洗い出した「足りない図」のうち4点を作成した。****①入院時・退院時の加算算定率（f46）**── 支援Ⅲの失点の中身を示す図。**②認知症施策の体制と活動（f47）**── 推進員1→4人、カフェ1か所で横ばい、初期集中支援チームの訪問実績0件。体制は県内の標準を満たすが活動実績が伴っていないことが1枚で分かる。**③通いの場（f48）**── 見える化の箇所数（平成28年度以降0か所）と調査の参加頻度（年に数回以上13.8％）を並べ、食い違いを可視化した。**④要介護度の維持・改善（f49）**── 成果指標群（目標Ⅳ）の指標別得点を令和6年度交付金と令和8年度で並べ、0点のまま残る健康寿命延伸の状況の中身（要介護2以上の認定率）を添えた。**10月4日に作成し、給付適正化と交付金の取りまとめ 第2章(4)に差し込んだ。**いずれも素案・協議会資料・交付金の取りまとめに差し込み済み</t>
        </is>
      </c>
      <c r="O75" s="19" t="inlineStr">
        <is>
          <t>**残る2点はいずれも町データ待ち。地域ケア会議の開催回数・検討件数と、介護給付適正化の主要3事業の実施状況である**</t>
        </is>
      </c>
      <c r="P75" s="24" t="n"/>
      <c r="Q75" s="24" t="n"/>
      <c r="R75" s="24" t="n"/>
      <c r="S75" s="24" t="n"/>
      <c r="T75" s="24" t="n"/>
      <c r="U75" s="24" t="n"/>
      <c r="V75" s="24" t="n"/>
      <c r="W75" s="24" t="n"/>
    </row>
    <row r="76">
      <c r="A76" s="19" t="inlineStr">
        <is>
          <t>P11 品質・進捗管理</t>
        </is>
      </c>
      <c r="B76" s="20" t="inlineStr">
        <is>
          <t>11-4</t>
        </is>
      </c>
      <c r="C76" s="19" t="inlineStr">
        <is>
          <t>成果品の体裁の統一と機械点検</t>
        </is>
      </c>
      <c r="D76" s="19" t="inlineStr">
        <is>
          <t>書体・余白・見出し・表の体裁をそろえ、崩れを機械で検出する</t>
        </is>
      </c>
      <c r="E76" s="19" t="inlineStr">
        <is>
          <t>B9 成果品の納品</t>
        </is>
      </c>
      <c r="F76" s="20" t="inlineStr">
        <is>
          <t>仕様書4 成果品</t>
        </is>
      </c>
      <c r="G76" s="19" t="inlineStr">
        <is>
          <t>【成果品】（1）〜（4）のデータ（CD-R）1部、冊子（簡易製本）各3部／（5）（6）のデータ（CD-R）1部、計画書印刷50部／概要版印刷50部</t>
        </is>
      </c>
      <c r="H76" s="20" t="inlineStr">
        <is>
          <t>受託者</t>
        </is>
      </c>
      <c r="I76" s="20" t="inlineStr">
        <is>
          <t>2026-09</t>
        </is>
      </c>
      <c r="J76" s="20" t="inlineStr">
        <is>
          <t>2026-12</t>
        </is>
      </c>
      <c r="K76" s="23" t="inlineStr">
        <is>
          <t>進行中</t>
        </is>
      </c>
      <c r="L76" s="22" t="n">
        <v>80</v>
      </c>
      <c r="M76" s="23" t="n">
        <v>2</v>
      </c>
      <c r="N76" s="19" t="inlineStr">
        <is>
          <t>**9月29日に ono_style.py の書体定数を改め、成果品全体を游ゴシック10.5ptにそろえた。****強調記法（**）がそのまま読み手に見えていた不具合を直した**（見える化突合の資料が共通スタイルを通らず独自に組んでいたため、docx 3件・xlsx 18件で記号が露出していた）。**体裁の点検は check_ono_taisai.py で行う**（この環境ではLibreOfficeが動かずPDFで目視できないため、docx・xlsx を直接読んで点検する）。**番号の通し確認を自己点検に加え、打合せ資料の要点・依頼資料・配布資料の番号の乱れ3件を検出して直した**</t>
        </is>
      </c>
      <c r="O76" s="19" t="inlineStr">
        <is>
          <t>**印刷用の最終体裁（4色刷り・80頁）は組版工程（10-2）で別に点検する**</t>
        </is>
      </c>
      <c r="P76" s="24" t="n"/>
      <c r="Q76" s="24" t="n"/>
      <c r="R76" s="24" t="n"/>
      <c r="S76" s="24" t="n"/>
      <c r="T76" s="24" t="n"/>
      <c r="U76" s="24" t="n"/>
      <c r="V76" s="24" t="n"/>
      <c r="W76" s="24" t="n"/>
    </row>
    <row r="77">
      <c r="A77" s="19" t="inlineStr">
        <is>
          <t>P11 品質・進捗管理</t>
        </is>
      </c>
      <c r="B77" s="20" t="inlineStr">
        <is>
          <t>11-5</t>
        </is>
      </c>
      <c r="C77" s="19" t="inlineStr">
        <is>
          <t>他団体の資料・データの取扱いの点検</t>
        </is>
      </c>
      <c r="D77" s="19" t="inlineStr">
        <is>
          <t>他団体から受領していない資料の数値・団体名が成果品に混入していないかの全件走査</t>
        </is>
      </c>
      <c r="E77" s="19" t="inlineStr">
        <is>
          <t>B10 業務管理・計画の基本的な考え方</t>
        </is>
      </c>
      <c r="F77" s="20" t="inlineStr">
        <is>
          <t>仕様書全般</t>
        </is>
      </c>
      <c r="G77" s="19" t="inlineStr">
        <is>
          <t>【全般】委託仕様書及び公告の全体（成果品要件・工程・作業分担の確認）</t>
        </is>
      </c>
      <c r="H77" s="20" t="inlineStr">
        <is>
          <t>受託者</t>
        </is>
      </c>
      <c r="I77" s="20" t="inlineStr">
        <is>
          <t>2026-09</t>
        </is>
      </c>
      <c r="J77" s="20" t="inlineStr">
        <is>
          <t>2026-10</t>
        </is>
      </c>
      <c r="K77" s="21" t="inlineStr">
        <is>
          <t>完了</t>
        </is>
      </c>
      <c r="L77" s="22" t="n">
        <v>100</v>
      </c>
      <c r="M77" s="23" t="n">
        <v>2</v>
      </c>
      <c r="N77" s="19" t="inlineStr">
        <is>
          <t>**方法の参考にした他団体の案件について、団体名と個別の数値が当方の成果品に残っていないかを全件走査した。****当方作成の成果品36箇所と過去版11ファイルで検出し、すべて「他町村の案件」「他団体」または県内の分布（平均・中央値・四分位・最大・最小）と小野町の順位に置き換えた。****県内比較は福島県内59市町村に限り、個別の団体名と個別の得点は出さない。**走査を再実行し、検出0件を確認している</t>
        </is>
      </c>
      <c r="O77" s="19" t="inlineStr">
        <is>
          <t>―</t>
        </is>
      </c>
      <c r="P77" s="24" t="n"/>
      <c r="Q77" s="24" t="n"/>
      <c r="R77" s="24" t="n"/>
      <c r="S77" s="24" t="n"/>
      <c r="T77" s="24" t="n"/>
      <c r="U77" s="24" t="n"/>
      <c r="V77" s="24" t="n"/>
      <c r="W77" s="24" t="n"/>
    </row>
    <row r="78">
      <c r="A78" s="19" t="inlineStr">
        <is>
          <t>P11 品質・進捗管理</t>
        </is>
      </c>
      <c r="B78" s="20" t="inlineStr">
        <is>
          <t>11-6</t>
        </is>
      </c>
      <c r="C78" s="19" t="inlineStr">
        <is>
          <t>ペンディング項目の整理と作業順位の管理</t>
        </is>
      </c>
      <c r="D78" s="19" t="inlineStr">
        <is>
          <t>止まっている項目の影響度・優先順位と、止まっていない作業の着手順を1枚で追えるようにする</t>
        </is>
      </c>
      <c r="E78" s="19" t="inlineStr">
        <is>
          <t>B10 業務管理・計画の基本的な考え方</t>
        </is>
      </c>
      <c r="F78" s="20" t="inlineStr">
        <is>
          <t>仕様書5(3)</t>
        </is>
      </c>
      <c r="G78" s="19" t="inlineStr">
        <is>
          <t>【5(3)】本仕様書に定めのない事項及び疑義が生じた場合は、小野町と受託者で協議するものとする。</t>
        </is>
      </c>
      <c r="H78" s="20" t="inlineStr">
        <is>
          <t>受託者</t>
        </is>
      </c>
      <c r="I78" s="20" t="inlineStr">
        <is>
          <t>2026-10</t>
        </is>
      </c>
      <c r="J78" s="20" t="inlineStr">
        <is>
          <t>2027-03</t>
        </is>
      </c>
      <c r="K78" s="23" t="inlineStr">
        <is>
          <t>進行中</t>
        </is>
      </c>
      <c r="L78" s="22" t="n">
        <v>70</v>
      </c>
      <c r="M78" s="23" t="n">
        <v>2</v>
      </c>
      <c r="N78" s="19" t="inlineStr">
        <is>
          <t>**10月1日にペンディング整理と作業順位を新設した（17_業務進捗管理）。****止まっている項目38件（町の政策判断11件・資料の提供21件・国・県の決定待ち6件）を影響度（保険料に直結11件／法定記載事項に直結11件／交付金の得点8件／記述の裏づけ8件）と緊急度から機械的に順位づけした。**町に係る項目は打合せ資料の決定依頼事項一覧から引いており、本ブックに書き写していない（打合せ資料に項目が増えれば現れる）。**国・県の決定待ち（介護報酬改定率・第1号被保険者負担割合・調整交付金の見込交付割合・制度改正の公布・県計画）は町に向けた一覧がないため本ブックで定義した。保険料に最も強く効くのはここで、負担割合1ポイントで月額269円動く。****全38件に「回答がない場合にどうするか」を置いた。**待っているだけの一覧は待ち時間を短くしないためである。**あわせて、町の回答を待たずに進められる作業14件・38.0時間を洗い出し、10月2日から8日までの着手順に落とした**（1日8.0時間を上限とし、超えると生成が止まる）。自己点検10項目</t>
        </is>
      </c>
      <c r="O78" s="19" t="inlineStr">
        <is>
          <t>**町の回答が届くたびに順位を組み替える。優先1位（基金運用状況調書）の回答が来た時点で、その日の作業を止めて差し替えに回す**</t>
        </is>
      </c>
      <c r="P78" s="24" t="n"/>
      <c r="Q78" s="24" t="n"/>
      <c r="R78" s="24" t="n"/>
      <c r="S78" s="24" t="n"/>
      <c r="T78" s="24" t="n"/>
      <c r="U78" s="24" t="n"/>
      <c r="V78" s="24" t="n"/>
      <c r="W78" s="24" t="n"/>
    </row>
  </sheetData>
  <autoFilter ref="A1:O78"/>
  <conditionalFormatting sqref="L2:L78">
    <cfRule type="cellIs" priority="1" operator="equal" dxfId="0">
      <formula>100</formula>
    </cfRule>
    <cfRule type="cellIs" priority="2" operator="equal" dxfId="1">
      <formula>0</formula>
    </cfRule>
  </conditionalFormatting>
  <dataValidations count="2">
    <dataValidation sqref="K2:K78" showDropDown="0" showInputMessage="0" showErrorMessage="0" allowBlank="1" type="list">
      <formula1>"完了,進行中,要対応,データ待ち,未着手"</formula1>
    </dataValidation>
    <dataValidation sqref="L2:L78"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9" t="inlineStr">
        <is>
          <t>P1 準備・現状把握</t>
        </is>
      </c>
      <c r="B2" s="20">
        <f>COUNTIF('01_WBS'!$A$2:$A$78,$A2)</f>
        <v/>
      </c>
      <c r="C2" s="20">
        <f>COUNTIFS('01_WBS'!$A$2:$A$78,$A2,'01_WBS'!$K$2:$K$78,"完了")</f>
        <v/>
      </c>
      <c r="D2" s="20">
        <f>COUNTIFS('01_WBS'!$A$2:$A$78,$A2,'01_WBS'!$K$2:$K$78,"進行中")</f>
        <v/>
      </c>
      <c r="E2" s="20">
        <f>COUNTIFS('01_WBS'!$A$2:$A$78,$A2,'01_WBS'!$K$2:$K$78,"要対応")</f>
        <v/>
      </c>
      <c r="F2" s="20">
        <f>COUNTIFS('01_WBS'!$A$2:$A$78,$A2,'01_WBS'!$K$2:$K$78,"データ待ち")</f>
        <v/>
      </c>
      <c r="G2" s="20">
        <f>COUNTIFS('01_WBS'!$A$2:$A$78,$A2,'01_WBS'!$K$2:$K$78,"未着手")</f>
        <v/>
      </c>
      <c r="H2" s="28">
        <f>IF(SUMPRODUCT(('01_WBS'!$A$2:$A$78=$A2)*'01_WBS'!$M$2:$M$78)=0,0,SUMPRODUCT(('01_WBS'!$A$2:$A$78=$A2)*'01_WBS'!$L$2:$L$78*'01_WBS'!$M$2:$M$78)/SUMPRODUCT(('01_WBS'!$A$2:$A$78=$A2)*'01_WBS'!$M$2:$M$78)/100)</f>
        <v/>
      </c>
      <c r="I2" s="20" t="inlineStr">
        <is>
          <t>2026-06</t>
        </is>
      </c>
      <c r="J2" s="20" t="inlineStr">
        <is>
          <t>2026-10</t>
        </is>
      </c>
      <c r="K2" s="19" t="inlineStr">
        <is>
          <t>**町データの受領。年報・月報・交付金の集計表は届いた。残るのは地域支援事業費の内訳・令和7年度決算・成果指標の現状値**</t>
        </is>
      </c>
    </row>
    <row r="3">
      <c r="A3" s="19" t="inlineStr">
        <is>
          <t>P2 統計分析</t>
        </is>
      </c>
      <c r="B3" s="20">
        <f>COUNTIF('01_WBS'!$A$2:$A$78,$A3)</f>
        <v/>
      </c>
      <c r="C3" s="20">
        <f>COUNTIFS('01_WBS'!$A$2:$A$78,$A3,'01_WBS'!$K$2:$K$78,"完了")</f>
        <v/>
      </c>
      <c r="D3" s="20">
        <f>COUNTIFS('01_WBS'!$A$2:$A$78,$A3,'01_WBS'!$K$2:$K$78,"進行中")</f>
        <v/>
      </c>
      <c r="E3" s="20">
        <f>COUNTIFS('01_WBS'!$A$2:$A$78,$A3,'01_WBS'!$K$2:$K$78,"要対応")</f>
        <v/>
      </c>
      <c r="F3" s="20">
        <f>COUNTIFS('01_WBS'!$A$2:$A$78,$A3,'01_WBS'!$K$2:$K$78,"データ待ち")</f>
        <v/>
      </c>
      <c r="G3" s="20">
        <f>COUNTIFS('01_WBS'!$A$2:$A$78,$A3,'01_WBS'!$K$2:$K$78,"未着手")</f>
        <v/>
      </c>
      <c r="H3" s="28">
        <f>IF(SUMPRODUCT(('01_WBS'!$A$2:$A$78=$A3)*'01_WBS'!$M$2:$M$78)=0,0,SUMPRODUCT(('01_WBS'!$A$2:$A$78=$A3)*'01_WBS'!$L$2:$L$78*'01_WBS'!$M$2:$M$78)/SUMPRODUCT(('01_WBS'!$A$2:$A$78=$A3)*'01_WBS'!$M$2:$M$78)/100)</f>
        <v/>
      </c>
      <c r="I3" s="20" t="inlineStr">
        <is>
          <t>2026-07</t>
        </is>
      </c>
      <c r="J3" s="20" t="inlineStr">
        <is>
          <t>2026-11</t>
        </is>
      </c>
      <c r="K3" s="19" t="inlineStr">
        <is>
          <t>**令和7年8〜9月の認定者数の計上方法の確認。**総合事業の実施状況は町の控えとの突合が要る</t>
        </is>
      </c>
    </row>
    <row r="4">
      <c r="A4" s="19" t="inlineStr">
        <is>
          <t>P3 給付費等の分析</t>
        </is>
      </c>
      <c r="B4" s="20">
        <f>COUNTIF('01_WBS'!$A$2:$A$78,$A4)</f>
        <v/>
      </c>
      <c r="C4" s="20">
        <f>COUNTIFS('01_WBS'!$A$2:$A$78,$A4,'01_WBS'!$K$2:$K$78,"完了")</f>
        <v/>
      </c>
      <c r="D4" s="20">
        <f>COUNTIFS('01_WBS'!$A$2:$A$78,$A4,'01_WBS'!$K$2:$K$78,"進行中")</f>
        <v/>
      </c>
      <c r="E4" s="20">
        <f>COUNTIFS('01_WBS'!$A$2:$A$78,$A4,'01_WBS'!$K$2:$K$78,"要対応")</f>
        <v/>
      </c>
      <c r="F4" s="20">
        <f>COUNTIFS('01_WBS'!$A$2:$A$78,$A4,'01_WBS'!$K$2:$K$78,"データ待ち")</f>
        <v/>
      </c>
      <c r="G4" s="20">
        <f>COUNTIFS('01_WBS'!$A$2:$A$78,$A4,'01_WBS'!$K$2:$K$78,"未着手")</f>
        <v/>
      </c>
      <c r="H4" s="28">
        <f>IF(SUMPRODUCT(('01_WBS'!$A$2:$A$78=$A4)*'01_WBS'!$M$2:$M$78)=0,0,SUMPRODUCT(('01_WBS'!$A$2:$A$78=$A4)*'01_WBS'!$L$2:$L$78*'01_WBS'!$M$2:$M$78)/SUMPRODUCT(('01_WBS'!$A$2:$A$78=$A4)*'01_WBS'!$M$2:$M$78)/100)</f>
        <v/>
      </c>
      <c r="I4" s="20" t="inlineStr">
        <is>
          <t>2026-07</t>
        </is>
      </c>
      <c r="J4" s="20" t="inlineStr">
        <is>
          <t>2027-03</t>
        </is>
      </c>
      <c r="K4" s="19" t="inlineStr">
        <is>
          <t>町の給付実績（令和3〜7年度）</t>
        </is>
      </c>
    </row>
    <row r="5">
      <c r="A5" s="19" t="inlineStr">
        <is>
          <t>P4 調査結果の反映</t>
        </is>
      </c>
      <c r="B5" s="20">
        <f>COUNTIF('01_WBS'!$A$2:$A$78,$A5)</f>
        <v/>
      </c>
      <c r="C5" s="20">
        <f>COUNTIFS('01_WBS'!$A$2:$A$78,$A5,'01_WBS'!$K$2:$K$78,"完了")</f>
        <v/>
      </c>
      <c r="D5" s="20">
        <f>COUNTIFS('01_WBS'!$A$2:$A$78,$A5,'01_WBS'!$K$2:$K$78,"進行中")</f>
        <v/>
      </c>
      <c r="E5" s="20">
        <f>COUNTIFS('01_WBS'!$A$2:$A$78,$A5,'01_WBS'!$K$2:$K$78,"要対応")</f>
        <v/>
      </c>
      <c r="F5" s="20">
        <f>COUNTIFS('01_WBS'!$A$2:$A$78,$A5,'01_WBS'!$K$2:$K$78,"データ待ち")</f>
        <v/>
      </c>
      <c r="G5" s="20">
        <f>COUNTIFS('01_WBS'!$A$2:$A$78,$A5,'01_WBS'!$K$2:$K$78,"未着手")</f>
        <v/>
      </c>
      <c r="H5" s="28">
        <f>IF(SUMPRODUCT(('01_WBS'!$A$2:$A$78=$A5)*'01_WBS'!$M$2:$M$78)=0,0,SUMPRODUCT(('01_WBS'!$A$2:$A$78=$A5)*'01_WBS'!$L$2:$L$78*'01_WBS'!$M$2:$M$78)/SUMPRODUCT(('01_WBS'!$A$2:$A$78=$A5)*'01_WBS'!$M$2:$M$78)/100)</f>
        <v/>
      </c>
      <c r="I5" s="20" t="inlineStr">
        <is>
          <t>2026-08</t>
        </is>
      </c>
      <c r="J5" s="20" t="inlineStr">
        <is>
          <t>2026-10</t>
        </is>
      </c>
      <c r="K5" s="19" t="inlineStr">
        <is>
          <t>令和7年度調査の個票データ（クロス集計17件）</t>
        </is>
      </c>
    </row>
    <row r="6">
      <c r="A6" s="19" t="inlineStr">
        <is>
          <t>P5 第9期の評価</t>
        </is>
      </c>
      <c r="B6" s="20">
        <f>COUNTIF('01_WBS'!$A$2:$A$78,$A6)</f>
        <v/>
      </c>
      <c r="C6" s="20">
        <f>COUNTIFS('01_WBS'!$A$2:$A$78,$A6,'01_WBS'!$K$2:$K$78,"完了")</f>
        <v/>
      </c>
      <c r="D6" s="20">
        <f>COUNTIFS('01_WBS'!$A$2:$A$78,$A6,'01_WBS'!$K$2:$K$78,"進行中")</f>
        <v/>
      </c>
      <c r="E6" s="20">
        <f>COUNTIFS('01_WBS'!$A$2:$A$78,$A6,'01_WBS'!$K$2:$K$78,"要対応")</f>
        <v/>
      </c>
      <c r="F6" s="20">
        <f>COUNTIFS('01_WBS'!$A$2:$A$78,$A6,'01_WBS'!$K$2:$K$78,"データ待ち")</f>
        <v/>
      </c>
      <c r="G6" s="20">
        <f>COUNTIFS('01_WBS'!$A$2:$A$78,$A6,'01_WBS'!$K$2:$K$78,"未着手")</f>
        <v/>
      </c>
      <c r="H6" s="28">
        <f>IF(SUMPRODUCT(('01_WBS'!$A$2:$A$78=$A6)*'01_WBS'!$M$2:$M$78)=0,0,SUMPRODUCT(('01_WBS'!$A$2:$A$78=$A6)*'01_WBS'!$L$2:$L$78*'01_WBS'!$M$2:$M$78)/SUMPRODUCT(('01_WBS'!$A$2:$A$78=$A6)*'01_WBS'!$M$2:$M$78)/100)</f>
        <v/>
      </c>
      <c r="I6" s="20" t="inlineStr">
        <is>
          <t>2026-08</t>
        </is>
      </c>
      <c r="J6" s="20" t="inlineStr">
        <is>
          <t>2026-10</t>
        </is>
      </c>
      <c r="K6" s="19" t="inlineStr">
        <is>
          <t>町の事業実績。とくに総合事業・通いの場</t>
        </is>
      </c>
    </row>
    <row r="7">
      <c r="A7" s="19" t="inlineStr">
        <is>
          <t>P6 骨子案</t>
        </is>
      </c>
      <c r="B7" s="20">
        <f>COUNTIF('01_WBS'!$A$2:$A$78,$A7)</f>
        <v/>
      </c>
      <c r="C7" s="20">
        <f>COUNTIFS('01_WBS'!$A$2:$A$78,$A7,'01_WBS'!$K$2:$K$78,"完了")</f>
        <v/>
      </c>
      <c r="D7" s="20">
        <f>COUNTIFS('01_WBS'!$A$2:$A$78,$A7,'01_WBS'!$K$2:$K$78,"進行中")</f>
        <v/>
      </c>
      <c r="E7" s="20">
        <f>COUNTIFS('01_WBS'!$A$2:$A$78,$A7,'01_WBS'!$K$2:$K$78,"要対応")</f>
        <v/>
      </c>
      <c r="F7" s="20">
        <f>COUNTIFS('01_WBS'!$A$2:$A$78,$A7,'01_WBS'!$K$2:$K$78,"データ待ち")</f>
        <v/>
      </c>
      <c r="G7" s="20">
        <f>COUNTIFS('01_WBS'!$A$2:$A$78,$A7,'01_WBS'!$K$2:$K$78,"未着手")</f>
        <v/>
      </c>
      <c r="H7" s="28">
        <f>IF(SUMPRODUCT(('01_WBS'!$A$2:$A$78=$A7)*'01_WBS'!$M$2:$M$78)=0,0,SUMPRODUCT(('01_WBS'!$A$2:$A$78=$A7)*'01_WBS'!$L$2:$L$78*'01_WBS'!$M$2:$M$78)/SUMPRODUCT(('01_WBS'!$A$2:$A$78=$A7)*'01_WBS'!$M$2:$M$78)/100)</f>
        <v/>
      </c>
      <c r="I7" s="20" t="inlineStr">
        <is>
          <t>2026-07</t>
        </is>
      </c>
      <c r="J7" s="20" t="inlineStr">
        <is>
          <t>2027-03</t>
        </is>
      </c>
      <c r="K7" s="19" t="inlineStr">
        <is>
          <t>協議会の開催回数・時期が未定</t>
        </is>
      </c>
    </row>
    <row r="8">
      <c r="A8" s="19" t="inlineStr">
        <is>
          <t>P7 推計・算定</t>
        </is>
      </c>
      <c r="B8" s="20">
        <f>COUNTIF('01_WBS'!$A$2:$A$78,$A8)</f>
        <v/>
      </c>
      <c r="C8" s="20">
        <f>COUNTIFS('01_WBS'!$A$2:$A$78,$A8,'01_WBS'!$K$2:$K$78,"完了")</f>
        <v/>
      </c>
      <c r="D8" s="20">
        <f>COUNTIFS('01_WBS'!$A$2:$A$78,$A8,'01_WBS'!$K$2:$K$78,"進行中")</f>
        <v/>
      </c>
      <c r="E8" s="20">
        <f>COUNTIFS('01_WBS'!$A$2:$A$78,$A8,'01_WBS'!$K$2:$K$78,"要対応")</f>
        <v/>
      </c>
      <c r="F8" s="20">
        <f>COUNTIFS('01_WBS'!$A$2:$A$78,$A8,'01_WBS'!$K$2:$K$78,"データ待ち")</f>
        <v/>
      </c>
      <c r="G8" s="20">
        <f>COUNTIFS('01_WBS'!$A$2:$A$78,$A8,'01_WBS'!$K$2:$K$78,"未着手")</f>
        <v/>
      </c>
      <c r="H8" s="28">
        <f>IF(SUMPRODUCT(('01_WBS'!$A$2:$A$78=$A8)*'01_WBS'!$M$2:$M$78)=0,0,SUMPRODUCT(('01_WBS'!$A$2:$A$78=$A8)*'01_WBS'!$L$2:$L$78*'01_WBS'!$M$2:$M$78)/SUMPRODUCT(('01_WBS'!$A$2:$A$78=$A8)*'01_WBS'!$M$2:$M$78)/100)</f>
        <v/>
      </c>
      <c r="I8" s="20" t="inlineStr">
        <is>
          <t>2026-08</t>
        </is>
      </c>
      <c r="J8" s="20" t="inlineStr">
        <is>
          <t>2027-03</t>
        </is>
      </c>
      <c r="K8" s="19" t="inlineStr">
        <is>
          <t>**見える化の推計は通った。残るのは報酬改定率・第1号被保険者負担割合と、総合事業費の上限額の確認**</t>
        </is>
      </c>
    </row>
    <row r="9">
      <c r="A9" s="19" t="inlineStr">
        <is>
          <t>P8 素案</t>
        </is>
      </c>
      <c r="B9" s="20">
        <f>COUNTIF('01_WBS'!$A$2:$A$78,$A9)</f>
        <v/>
      </c>
      <c r="C9" s="20">
        <f>COUNTIFS('01_WBS'!$A$2:$A$78,$A9,'01_WBS'!$K$2:$K$78,"完了")</f>
        <v/>
      </c>
      <c r="D9" s="20">
        <f>COUNTIFS('01_WBS'!$A$2:$A$78,$A9,'01_WBS'!$K$2:$K$78,"進行中")</f>
        <v/>
      </c>
      <c r="E9" s="20">
        <f>COUNTIFS('01_WBS'!$A$2:$A$78,$A9,'01_WBS'!$K$2:$K$78,"要対応")</f>
        <v/>
      </c>
      <c r="F9" s="20">
        <f>COUNTIFS('01_WBS'!$A$2:$A$78,$A9,'01_WBS'!$K$2:$K$78,"データ待ち")</f>
        <v/>
      </c>
      <c r="G9" s="20">
        <f>COUNTIFS('01_WBS'!$A$2:$A$78,$A9,'01_WBS'!$K$2:$K$78,"未着手")</f>
        <v/>
      </c>
      <c r="H9" s="28">
        <f>IF(SUMPRODUCT(('01_WBS'!$A$2:$A$78=$A9)*'01_WBS'!$M$2:$M$78)=0,0,SUMPRODUCT(('01_WBS'!$A$2:$A$78=$A9)*'01_WBS'!$L$2:$L$78*'01_WBS'!$M$2:$M$78)/SUMPRODUCT(('01_WBS'!$A$2:$A$78=$A9)*'01_WBS'!$M$2:$M$78)/100)</f>
        <v/>
      </c>
      <c r="I9" s="20" t="inlineStr">
        <is>
          <t>2026-08</t>
        </is>
      </c>
      <c r="J9" s="20" t="inlineStr">
        <is>
          <t>2027-03</t>
        </is>
      </c>
      <c r="K9" s="19" t="inlineStr">
        <is>
          <t>**成果指標の目標値（協議会）と、給付適正化計画の位置づけ・在宅医療連携の目指すべき姿の決定**</t>
        </is>
      </c>
    </row>
    <row r="10">
      <c r="A10" s="19" t="inlineStr">
        <is>
          <t>P9 意見聴取</t>
        </is>
      </c>
      <c r="B10" s="20">
        <f>COUNTIF('01_WBS'!$A$2:$A$78,$A10)</f>
        <v/>
      </c>
      <c r="C10" s="20">
        <f>COUNTIFS('01_WBS'!$A$2:$A$78,$A10,'01_WBS'!$K$2:$K$78,"完了")</f>
        <v/>
      </c>
      <c r="D10" s="20">
        <f>COUNTIFS('01_WBS'!$A$2:$A$78,$A10,'01_WBS'!$K$2:$K$78,"進行中")</f>
        <v/>
      </c>
      <c r="E10" s="20">
        <f>COUNTIFS('01_WBS'!$A$2:$A$78,$A10,'01_WBS'!$K$2:$K$78,"要対応")</f>
        <v/>
      </c>
      <c r="F10" s="20">
        <f>COUNTIFS('01_WBS'!$A$2:$A$78,$A10,'01_WBS'!$K$2:$K$78,"データ待ち")</f>
        <v/>
      </c>
      <c r="G10" s="20">
        <f>COUNTIFS('01_WBS'!$A$2:$A$78,$A10,'01_WBS'!$K$2:$K$78,"未着手")</f>
        <v/>
      </c>
      <c r="H10" s="28">
        <f>IF(SUMPRODUCT(('01_WBS'!$A$2:$A$78=$A10)*'01_WBS'!$M$2:$M$78)=0,0,SUMPRODUCT(('01_WBS'!$A$2:$A$78=$A10)*'01_WBS'!$L$2:$L$78*'01_WBS'!$M$2:$M$78)/SUMPRODUCT(('01_WBS'!$A$2:$A$78=$A10)*'01_WBS'!$M$2:$M$78)/100)</f>
        <v/>
      </c>
      <c r="I10" s="20" t="inlineStr">
        <is>
          <t>2026-08</t>
        </is>
      </c>
      <c r="J10" s="20" t="inlineStr">
        <is>
          <t>2027-02</t>
        </is>
      </c>
      <c r="K10" s="19" t="inlineStr">
        <is>
          <t>**協議会の開催回数・時期が未定。工程が引けない**</t>
        </is>
      </c>
    </row>
    <row r="11">
      <c r="A11" s="19" t="inlineStr">
        <is>
          <t>P10 完成・納品</t>
        </is>
      </c>
      <c r="B11" s="20">
        <f>COUNTIF('01_WBS'!$A$2:$A$78,$A11)</f>
        <v/>
      </c>
      <c r="C11" s="20">
        <f>COUNTIFS('01_WBS'!$A$2:$A$78,$A11,'01_WBS'!$K$2:$K$78,"完了")</f>
        <v/>
      </c>
      <c r="D11" s="20">
        <f>COUNTIFS('01_WBS'!$A$2:$A$78,$A11,'01_WBS'!$K$2:$K$78,"進行中")</f>
        <v/>
      </c>
      <c r="E11" s="20">
        <f>COUNTIFS('01_WBS'!$A$2:$A$78,$A11,'01_WBS'!$K$2:$K$78,"要対応")</f>
        <v/>
      </c>
      <c r="F11" s="20">
        <f>COUNTIFS('01_WBS'!$A$2:$A$78,$A11,'01_WBS'!$K$2:$K$78,"データ待ち")</f>
        <v/>
      </c>
      <c r="G11" s="20">
        <f>COUNTIFS('01_WBS'!$A$2:$A$78,$A11,'01_WBS'!$K$2:$K$78,"未着手")</f>
        <v/>
      </c>
      <c r="H11" s="28">
        <f>IF(SUMPRODUCT(('01_WBS'!$A$2:$A$78=$A11)*'01_WBS'!$M$2:$M$78)=0,0,SUMPRODUCT(('01_WBS'!$A$2:$A$78=$A11)*'01_WBS'!$L$2:$L$78*'01_WBS'!$M$2:$M$78)/SUMPRODUCT(('01_WBS'!$A$2:$A$78=$A11)*'01_WBS'!$M$2:$M$78)/100)</f>
        <v/>
      </c>
      <c r="I11" s="20" t="inlineStr">
        <is>
          <t>2026-08</t>
        </is>
      </c>
      <c r="J11" s="20" t="inlineStr">
        <is>
          <t>2027-03</t>
        </is>
      </c>
      <c r="K11" s="19" t="inlineStr">
        <is>
          <t>令和9年2月下旬の校了が動かせない期限</t>
        </is>
      </c>
    </row>
    <row r="12">
      <c r="A12" s="19" t="inlineStr">
        <is>
          <t>P11 品質・進捗管理</t>
        </is>
      </c>
      <c r="B12" s="20">
        <f>COUNTIF('01_WBS'!$A$2:$A$78,$A12)</f>
        <v/>
      </c>
      <c r="C12" s="20">
        <f>COUNTIFS('01_WBS'!$A$2:$A$78,$A12,'01_WBS'!$K$2:$K$78,"完了")</f>
        <v/>
      </c>
      <c r="D12" s="20">
        <f>COUNTIFS('01_WBS'!$A$2:$A$78,$A12,'01_WBS'!$K$2:$K$78,"進行中")</f>
        <v/>
      </c>
      <c r="E12" s="20">
        <f>COUNTIFS('01_WBS'!$A$2:$A$78,$A12,'01_WBS'!$K$2:$K$78,"要対応")</f>
        <v/>
      </c>
      <c r="F12" s="20">
        <f>COUNTIFS('01_WBS'!$A$2:$A$78,$A12,'01_WBS'!$K$2:$K$78,"データ待ち")</f>
        <v/>
      </c>
      <c r="G12" s="20">
        <f>COUNTIFS('01_WBS'!$A$2:$A$78,$A12,'01_WBS'!$K$2:$K$78,"未着手")</f>
        <v/>
      </c>
      <c r="H12" s="28">
        <f>IF(SUMPRODUCT(('01_WBS'!$A$2:$A$78=$A12)*'01_WBS'!$M$2:$M$78)=0,0,SUMPRODUCT(('01_WBS'!$A$2:$A$78=$A12)*'01_WBS'!$L$2:$L$78*'01_WBS'!$M$2:$M$78)/SUMPRODUCT(('01_WBS'!$A$2:$A$78=$A12)*'01_WBS'!$M$2:$M$78)/100)</f>
        <v/>
      </c>
      <c r="I12" s="20" t="inlineStr">
        <is>
          <t>2026-09</t>
        </is>
      </c>
      <c r="J12" s="20" t="inlineStr">
        <is>
          <t>2027-03</t>
        </is>
      </c>
      <c r="K12" s="19" t="inlineStr">
        <is>
          <t>**町データが届くたびに突合・図・台帳の3つを回し直す。足りない図3点のうち2点は町の事業実績待ち**</t>
        </is>
      </c>
    </row>
    <row r="13">
      <c r="A13" s="29" t="inlineStr">
        <is>
          <t>合計</t>
        </is>
      </c>
      <c r="B13" s="30">
        <f>SUM(B2:B12)</f>
        <v/>
      </c>
      <c r="C13" s="30">
        <f>SUM(C2:C12)</f>
        <v/>
      </c>
      <c r="D13" s="30">
        <f>SUM(D2:D12)</f>
        <v/>
      </c>
      <c r="E13" s="30">
        <f>SUM(E2:E12)</f>
        <v/>
      </c>
      <c r="F13" s="30">
        <f>SUM(F2:F12)</f>
        <v/>
      </c>
      <c r="G13" s="30">
        <f>SUM(G2:G12)</f>
        <v/>
      </c>
      <c r="H13" s="31">
        <f>IF(SUM('01_WBS'!$M$2:$M$78)=0,0,SUMPRODUCT('01_WBS'!$L$2:$L$78,'01_WBS'!$M$2:$M$78)/SUM('01_WBS'!$M$2:$M$78)/100)</f>
        <v/>
      </c>
      <c r="I13" s="20" t="inlineStr">
        <is>
          <t>2026-06</t>
        </is>
      </c>
      <c r="J13" s="20" t="inlineStr">
        <is>
          <t>2027-03</t>
        </is>
      </c>
      <c r="K13" s="19" t="inlineStr"/>
    </row>
    <row r="15">
      <c r="A15" t="inlineStr">
        <is>
          <t>※ 加重進捗率＝Σ（進捗率×重み）÷Σ重み。重みは工数の目安（1〜5）。</t>
        </is>
      </c>
    </row>
    <row r="16">
      <c r="A16" t="inlineStr">
        <is>
          <t>※ 各作業が仕様書のどの条項にあたるかは 01_WBS のE列・F列、条項の網羅状況は 09_仕様書対応表 を参照。</t>
        </is>
      </c>
    </row>
    <row r="17">
      <c r="A17"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20" t="inlineStr">
        <is>
          <t>①</t>
        </is>
      </c>
      <c r="B2" s="19" t="inlineStr">
        <is>
          <t>介護保険給付費等分析結果報告書</t>
        </is>
      </c>
      <c r="C2" s="19" t="inlineStr">
        <is>
          <t>データCD-R1部＋冊子（簡易製本）3部</t>
        </is>
      </c>
      <c r="D2" s="20" t="inlineStr">
        <is>
          <t>第5版</t>
        </is>
      </c>
      <c r="E2" s="23" t="inlineStr">
        <is>
          <t>進行中</t>
        </is>
      </c>
      <c r="F2" s="20" t="n">
        <v>70</v>
      </c>
      <c r="G2" s="19" t="inlineStr">
        <is>
          <t>8章・44表・約29,500字</t>
        </is>
      </c>
      <c r="H2" s="19" t="inlineStr">
        <is>
          <t>町の給付実績、認定者数の確定</t>
        </is>
      </c>
    </row>
    <row r="3">
      <c r="A3" s="20" t="inlineStr">
        <is>
          <t>②</t>
        </is>
      </c>
      <c r="B3" s="19" t="inlineStr">
        <is>
          <t>サービス見込量推計結果報告書</t>
        </is>
      </c>
      <c r="C3" s="19" t="inlineStr">
        <is>
          <t>データCD-R1部＋冊子（簡易製本）3部</t>
        </is>
      </c>
      <c r="D3" s="20" t="inlineStr">
        <is>
          <t>令和8年9月25日版</t>
        </is>
      </c>
      <c r="E3" s="23" t="inlineStr">
        <is>
          <t>進行中</t>
        </is>
      </c>
      <c r="F3" s="20" t="n">
        <v>75</v>
      </c>
      <c r="G3" s="19" t="inlineStr">
        <is>
          <t>**10章・11表。算定の方法、基準期間の置き方、見込量、給付費と標準給付費、地域支援事業費、供給実現性、保険料の試算、据え置いた前提と動く幅まで収めた。算定シートは11シート**</t>
        </is>
      </c>
      <c r="H3" s="19" t="inlineStr">
        <is>
          <t>報酬改定率と第1号被保険者負担割合の確定、協議会での議論の反映</t>
        </is>
      </c>
    </row>
    <row r="4">
      <c r="A4" s="20" t="inlineStr">
        <is>
          <t>③</t>
        </is>
      </c>
      <c r="B4" s="19" t="inlineStr">
        <is>
          <t>第10期計画 骨子案</t>
        </is>
      </c>
      <c r="C4" s="19" t="inlineStr">
        <is>
          <t>データCD-R1部＋冊子（簡易製本）3部</t>
        </is>
      </c>
      <c r="D4" s="20" t="inlineStr">
        <is>
          <t>第3版</t>
        </is>
      </c>
      <c r="E4" s="23" t="inlineStr">
        <is>
          <t>進行中</t>
        </is>
      </c>
      <c r="F4" s="20" t="n">
        <v>80</v>
      </c>
      <c r="G4" s="19" t="inlineStr">
        <is>
          <t>13表・9,241字。第9期の5章構成・3基本目標・14施策を反映</t>
        </is>
      </c>
      <c r="H4" s="19" t="inlineStr">
        <is>
          <t>協議会での合意</t>
        </is>
      </c>
    </row>
    <row r="5">
      <c r="A5" s="20" t="inlineStr">
        <is>
          <t>④</t>
        </is>
      </c>
      <c r="B5" s="19" t="inlineStr">
        <is>
          <t>第10期計画 素案</t>
        </is>
      </c>
      <c r="C5" s="19" t="inlineStr">
        <is>
          <t>データCD-R1部＋冊子（簡易製本）3部</t>
        </is>
      </c>
      <c r="D5" s="20" t="inlineStr">
        <is>
          <t>第6版</t>
        </is>
      </c>
      <c r="E5" s="23" t="inlineStr">
        <is>
          <t>進行中</t>
        </is>
      </c>
      <c r="F5" s="20" t="n">
        <v>90</v>
      </c>
      <c r="G5" s="19" t="inlineStr">
        <is>
          <t>**5章＋資料編・84表・図3点。未確定115箇所を4区分で明示（協議会で設定54／町データ待ち43／決定後に記載12／見える化出力待ち6）。受託者が算定すべき箇所は0件**</t>
        </is>
      </c>
      <c r="H5" s="19" t="inlineStr">
        <is>
          <t>成果指標の目標値、町データ42箇所、協議会での合意</t>
        </is>
      </c>
    </row>
    <row r="6">
      <c r="A6" s="20" t="inlineStr">
        <is>
          <t>⑤</t>
        </is>
      </c>
      <c r="B6" s="19" t="inlineStr">
        <is>
          <t>第10期計画</t>
        </is>
      </c>
      <c r="C6" s="19" t="inlineStr">
        <is>
          <t>データCD-R1部、印刷50部（A4・4色刷り・80頁程度）</t>
        </is>
      </c>
      <c r="D6" s="20" t="inlineStr">
        <is>
          <t>―</t>
        </is>
      </c>
      <c r="E6" s="27" t="inlineStr">
        <is>
          <t>未着手</t>
        </is>
      </c>
      <c r="F6" s="20" t="n">
        <v>0</v>
      </c>
      <c r="G6" s="19" t="inlineStr">
        <is>
          <t>―</t>
        </is>
      </c>
      <c r="H6" s="19" t="inlineStr">
        <is>
          <t>素案の確定、パブコメ、印刷工程</t>
        </is>
      </c>
    </row>
    <row r="7">
      <c r="A7" s="20" t="inlineStr">
        <is>
          <t>⑥</t>
        </is>
      </c>
      <c r="B7" s="19" t="inlineStr">
        <is>
          <t>第10期計画 概要版</t>
        </is>
      </c>
      <c r="C7" s="19" t="inlineStr">
        <is>
          <t>データCD-R1部、印刷50部（A4・4色刷り・8頁）</t>
        </is>
      </c>
      <c r="D7" s="20" t="inlineStr">
        <is>
          <t>―</t>
        </is>
      </c>
      <c r="E7" s="27" t="inlineStr">
        <is>
          <t>未着手</t>
        </is>
      </c>
      <c r="F7" s="20" t="n">
        <v>5</v>
      </c>
      <c r="G7" s="19" t="inlineStr">
        <is>
          <t>構成案（8頁のページ割り）は作成済み</t>
        </is>
      </c>
      <c r="H7" s="19"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20" t="inlineStr">
        <is>
          <t>2026-08</t>
        </is>
      </c>
      <c r="B2" s="19" t="inlineStr">
        <is>
          <t>町データの照会（依頼票の送付）</t>
        </is>
      </c>
      <c r="C2" s="20" t="inlineStr">
        <is>
          <t>受託者</t>
        </is>
      </c>
      <c r="D2" s="21" t="inlineStr">
        <is>
          <t>完了</t>
        </is>
      </c>
      <c r="E2" s="19" t="inlineStr">
        <is>
          <t>**年報・国保連月報・将来推計人口を9月8日に受領した**</t>
        </is>
      </c>
    </row>
    <row r="3">
      <c r="A3" s="20" t="inlineStr">
        <is>
          <t>2026-09</t>
        </is>
      </c>
      <c r="B3" s="19" t="inlineStr">
        <is>
          <t>**見込量の推計、見える化への入力、保険料の算定**</t>
        </is>
      </c>
      <c r="C3" s="20" t="inlineStr">
        <is>
          <t>受託者</t>
        </is>
      </c>
      <c r="D3" s="21" t="inlineStr">
        <is>
          <t>完了</t>
        </is>
      </c>
      <c r="E3" s="19" t="inlineStr">
        <is>
          <t>**9月28日に推計が通った。本計画6,100円／見える化6,600円の2案**</t>
        </is>
      </c>
    </row>
    <row r="4">
      <c r="A4" s="20" t="inlineStr">
        <is>
          <t>2026-09</t>
        </is>
      </c>
      <c r="B4" s="19" t="inlineStr">
        <is>
          <t>**総合事業ワークシート・令和8年度交付金の確認**</t>
        </is>
      </c>
      <c r="C4" s="20" t="inlineStr">
        <is>
          <t>受託者</t>
        </is>
      </c>
      <c r="D4" s="21" t="inlineStr">
        <is>
          <t>完了</t>
        </is>
      </c>
      <c r="E4" s="19" t="inlineStr">
        <is>
          <t>**サービスBの担い手と、主要3事業についての町の回答が確かめられた**</t>
        </is>
      </c>
    </row>
    <row r="5">
      <c r="A5" s="20" t="inlineStr">
        <is>
          <t>2026-10</t>
        </is>
      </c>
      <c r="B5" s="19" t="inlineStr">
        <is>
          <t>**町との打合せ（保険料の決定・決定11件・依頼資料15件）**</t>
        </is>
      </c>
      <c r="C5" s="20" t="inlineStr">
        <is>
          <t>受託者・町</t>
        </is>
      </c>
      <c r="D5" s="25" t="inlineStr">
        <is>
          <t>要対応</t>
        </is>
      </c>
      <c r="E5" s="19" t="inlineStr">
        <is>
          <t>**資料一式は作成済み。ここから先は町の意思決定が律速**</t>
        </is>
      </c>
    </row>
    <row r="6">
      <c r="A6" s="20" t="inlineStr">
        <is>
          <t>2026-08〜10</t>
        </is>
      </c>
      <c r="B6" s="19" t="inlineStr">
        <is>
          <t>協議会 第1回（第9期の評価・調査結果）</t>
        </is>
      </c>
      <c r="C6" s="20" t="inlineStr">
        <is>
          <t>受託者・町</t>
        </is>
      </c>
      <c r="D6" s="25" t="inlineStr">
        <is>
          <t>要対応</t>
        </is>
      </c>
      <c r="E6" s="19" t="inlineStr">
        <is>
          <t>資料は第2版まで作成済み。**開催日が未定**</t>
        </is>
      </c>
    </row>
    <row r="7">
      <c r="A7" s="20" t="inlineStr">
        <is>
          <t>2026-10</t>
        </is>
      </c>
      <c r="B7" s="19" t="inlineStr">
        <is>
          <t>見える化の都道府県への提出</t>
        </is>
      </c>
      <c r="C7" s="20" t="inlineStr">
        <is>
          <t>町</t>
        </is>
      </c>
      <c r="D7" s="25" t="inlineStr">
        <is>
          <t>要対応</t>
        </is>
      </c>
      <c r="E7" s="19" t="inlineStr">
        <is>
          <t>**推計は通っている。保険料の決定のあとに**</t>
        </is>
      </c>
    </row>
    <row r="8">
      <c r="A8" s="20" t="inlineStr">
        <is>
          <t>2026-09</t>
        </is>
      </c>
      <c r="B8" s="19" t="inlineStr">
        <is>
          <t>見える化 優先度C分野の出力</t>
        </is>
      </c>
      <c r="C8" s="20" t="inlineStr">
        <is>
          <t>受託者</t>
        </is>
      </c>
      <c r="D8" s="27" t="inlineStr">
        <is>
          <t>未着手</t>
        </is>
      </c>
      <c r="E8" s="19" t="inlineStr">
        <is>
          <t>**交付金は市町村分の集計表を直接受領したため不要になった**</t>
        </is>
      </c>
    </row>
    <row r="9">
      <c r="A9" s="20" t="inlineStr">
        <is>
          <t>2026-11</t>
        </is>
      </c>
      <c r="B9" s="19" t="inlineStr">
        <is>
          <t>協議会 第2回（骨子案・見込量・保険料・成果指標）</t>
        </is>
      </c>
      <c r="C9" s="20" t="inlineStr">
        <is>
          <t>受託者・町</t>
        </is>
      </c>
      <c r="D9" s="27" t="inlineStr">
        <is>
          <t>未着手</t>
        </is>
      </c>
      <c r="E9" s="19" t="inlineStr">
        <is>
          <t>**ここで保険料を固める**</t>
        </is>
      </c>
    </row>
    <row r="10">
      <c r="A10" s="20" t="inlineStr">
        <is>
          <t>2026-12</t>
        </is>
      </c>
      <c r="B10" s="19" t="inlineStr">
        <is>
          <t>素案の確定、協議会 第3回（素案）／印刷業者の確保</t>
        </is>
      </c>
      <c r="C10" s="20" t="inlineStr">
        <is>
          <t>受託者・町</t>
        </is>
      </c>
      <c r="D10" s="27" t="inlineStr">
        <is>
          <t>未着手</t>
        </is>
      </c>
      <c r="E10" s="19" t="inlineStr">
        <is>
          <t>**年度末は印刷が集中するため1月中に業者を押さえる**</t>
        </is>
      </c>
    </row>
    <row r="11">
      <c r="A11" s="20" t="inlineStr">
        <is>
          <t>2027-01</t>
        </is>
      </c>
      <c r="B11" s="19" t="inlineStr">
        <is>
          <t>パブリックコメント（1か月）</t>
        </is>
      </c>
      <c r="C11" s="20" t="inlineStr">
        <is>
          <t>町</t>
        </is>
      </c>
      <c r="D11" s="27" t="inlineStr">
        <is>
          <t>未着手</t>
        </is>
      </c>
      <c r="E11" s="19" t="inlineStr">
        <is>
          <t>―</t>
        </is>
      </c>
    </row>
    <row r="12">
      <c r="A12" s="20" t="inlineStr">
        <is>
          <t>2027-02</t>
        </is>
      </c>
      <c r="B12" s="19" t="inlineStr">
        <is>
          <t>意見への対応、協議会 第4回（最終案）、**計画書の校了・下版**</t>
        </is>
      </c>
      <c r="C12" s="20" t="inlineStr">
        <is>
          <t>受託者・町</t>
        </is>
      </c>
      <c r="D12" s="27" t="inlineStr">
        <is>
          <t>未着手</t>
        </is>
      </c>
      <c r="E12" s="19" t="inlineStr">
        <is>
          <t>**2月下旬の校了が動かせない期限**</t>
        </is>
      </c>
    </row>
    <row r="13">
      <c r="A13" s="20" t="inlineStr">
        <is>
          <t>2027-03</t>
        </is>
      </c>
      <c r="B13" s="19" t="inlineStr">
        <is>
          <t>印刷・製本、概要版の作成、納品</t>
        </is>
      </c>
      <c r="C13" s="20" t="inlineStr">
        <is>
          <t>受託者</t>
        </is>
      </c>
      <c r="D13" s="27" t="inlineStr">
        <is>
          <t>未着手</t>
        </is>
      </c>
      <c r="E13" s="19"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20" t="inlineStr">
        <is>
          <t>町資料</t>
        </is>
      </c>
      <c r="B2" s="19" t="inlineStr">
        <is>
          <t>**介護保険事業状況報告（年報）令和3〜7年度（各47様式）**</t>
        </is>
      </c>
      <c r="C2" s="20" t="inlineStr">
        <is>
          <t>町</t>
        </is>
      </c>
      <c r="D2" s="21" t="inlineStr">
        <is>
          <t>完了</t>
        </is>
      </c>
      <c r="E2" s="20" t="inlineStr">
        <is>
          <t>2026-09-08</t>
        </is>
      </c>
      <c r="F2" s="19" t="inlineStr">
        <is>
          <t>**認定者数（様式1の5）・被保険者数（様式1）・受給者数（様式1の6）・サービス別給付費（様式2）・保険料収納状況（様式3）・所得段階別被保険者数・経理状況（様式4）。依頼票N1・S1〜S5を一括で解決した**</t>
        </is>
      </c>
    </row>
    <row r="3">
      <c r="A3" s="20" t="inlineStr">
        <is>
          <t>町資料</t>
        </is>
      </c>
      <c r="B3" s="19" t="inlineStr">
        <is>
          <t>**保険者別 国保連合会業務統計表（月報）令和6年5月〜令和8年8月送付分**</t>
        </is>
      </c>
      <c r="C3" s="20" t="inlineStr">
        <is>
          <t>町</t>
        </is>
      </c>
      <c r="D3" s="21" t="inlineStr">
        <is>
          <t>完了</t>
        </is>
      </c>
      <c r="E3" s="20" t="inlineStr">
        <is>
          <t>2026-09-08</t>
        </is>
      </c>
      <c r="F3" s="19" t="inlineStr">
        <is>
          <t>**28か月分の月次認定者数と給付件数。令和7年9月審査分の▲99人の断層を特定した**</t>
        </is>
      </c>
    </row>
    <row r="4">
      <c r="A4" s="20" t="inlineStr">
        <is>
          <t>町資料</t>
        </is>
      </c>
      <c r="B4" s="19" t="inlineStr">
        <is>
          <t>**第10期将来推計用推計人口（男女別・5歳階級別・令和2〜32年）**</t>
        </is>
      </c>
      <c r="C4" s="20" t="inlineStr">
        <is>
          <t>町</t>
        </is>
      </c>
      <c r="D4" s="21" t="inlineStr">
        <is>
          <t>完了</t>
        </is>
      </c>
      <c r="E4" s="20" t="inlineStr">
        <is>
          <t>2026-09-08</t>
        </is>
      </c>
      <c r="F4" s="19" t="inlineStr">
        <is>
          <t>コーホート変化率法。令和9年8,591人→令和11年8,232人。**障がい福祉計画が用いている人口（令和9年8,287人）と300人以上異なり、統一が必要**</t>
        </is>
      </c>
    </row>
    <row r="5">
      <c r="A5" s="20" t="inlineStr">
        <is>
          <t>見える化</t>
        </is>
      </c>
      <c r="B5" s="19" t="inlineStr">
        <is>
          <t>人口・世帯（A系13）／第1号被保険者（B系4）／地域分析（B・D・δ系53）</t>
        </is>
      </c>
      <c r="C5" s="20" t="inlineStr">
        <is>
          <t>見える化システム</t>
        </is>
      </c>
      <c r="D5" s="21" t="inlineStr">
        <is>
          <t>完了</t>
        </is>
      </c>
      <c r="E5" s="20" t="inlineStr">
        <is>
          <t>2026-07</t>
        </is>
      </c>
      <c r="F5" s="19" t="inlineStr">
        <is>
          <t>基礎数値・地域分析ブックに取込</t>
        </is>
      </c>
    </row>
    <row r="6">
      <c r="A6" s="20" t="inlineStr">
        <is>
          <t>見える化</t>
        </is>
      </c>
      <c r="B6" s="19" t="inlineStr">
        <is>
          <t>認定者数 年度末基準（B3a〜B3e／5系列）</t>
        </is>
      </c>
      <c r="C6" s="20" t="inlineStr">
        <is>
          <t>見える化システム</t>
        </is>
      </c>
      <c r="D6" s="21" t="inlineStr">
        <is>
          <t>完了</t>
        </is>
      </c>
      <c r="E6" s="20" t="inlineStr">
        <is>
          <t>2026-08-05</t>
        </is>
      </c>
      <c r="F6" s="19" t="inlineStr">
        <is>
          <t>**平成19年3月末〜令和8年3月末の20期。第1号＋第2号＝全体を検算済み**</t>
        </is>
      </c>
    </row>
    <row r="7">
      <c r="A7" s="20" t="inlineStr">
        <is>
          <t>見える化</t>
        </is>
      </c>
      <c r="B7" s="19" t="inlineStr">
        <is>
          <t>介護保険特別会計経理状況（D47・D48系25）</t>
        </is>
      </c>
      <c r="C7" s="20" t="inlineStr">
        <is>
          <t>見える化システム</t>
        </is>
      </c>
      <c r="D7" s="21" t="inlineStr">
        <is>
          <t>完了</t>
        </is>
      </c>
      <c r="E7" s="20" t="inlineStr">
        <is>
          <t>2026-08-04</t>
        </is>
      </c>
      <c r="F7" s="19" t="inlineStr">
        <is>
          <t>財政整理ブックに取込。H26〜R5</t>
        </is>
      </c>
    </row>
    <row r="8">
      <c r="A8" s="20" t="inlineStr">
        <is>
          <t>見える化</t>
        </is>
      </c>
      <c r="B8" s="19" t="inlineStr">
        <is>
          <t>入所定員（D25〜D30）／介護予防・総合事業（F系27）／認知症施策（J16〜18）</t>
        </is>
      </c>
      <c r="C8" s="20" t="inlineStr">
        <is>
          <t>見える化システム</t>
        </is>
      </c>
      <c r="D8" s="21" t="inlineStr">
        <is>
          <t>完了</t>
        </is>
      </c>
      <c r="E8" s="20" t="inlineStr">
        <is>
          <t>2026-08-04</t>
        </is>
      </c>
      <c r="F8" s="19" t="inlineStr">
        <is>
          <t>通いの場はR2まで、総合事業はR1・R2のみ</t>
        </is>
      </c>
    </row>
    <row r="9">
      <c r="A9" s="20" t="inlineStr">
        <is>
          <t>見える化</t>
        </is>
      </c>
      <c r="B9" s="19" t="inlineStr">
        <is>
          <t>サービス自給率（δ2・δ3系12）／給付分析（D17・D1〜D6・B1・B4-a／29）</t>
        </is>
      </c>
      <c r="C9" s="20" t="inlineStr">
        <is>
          <t>見える化システム</t>
        </is>
      </c>
      <c r="D9" s="21" t="inlineStr">
        <is>
          <t>完了</t>
        </is>
      </c>
      <c r="E9" s="20" t="inlineStr">
        <is>
          <t>2026-08-04</t>
        </is>
      </c>
      <c r="F9" s="19" t="inlineStr">
        <is>
          <t>県内59市町村の比較値つき</t>
        </is>
      </c>
    </row>
    <row r="10">
      <c r="A10" s="20" t="inlineStr">
        <is>
          <t>見える化</t>
        </is>
      </c>
      <c r="B10" s="19" t="inlineStr">
        <is>
          <t>在宅医療・介護連携、医療提供体制、リハビリ提供体制、交付金評価指標</t>
        </is>
      </c>
      <c r="C10" s="20" t="inlineStr">
        <is>
          <t>見える化システム</t>
        </is>
      </c>
      <c r="D10" s="27" t="inlineStr">
        <is>
          <t>未着手</t>
        </is>
      </c>
      <c r="E10" s="20" t="inlineStr">
        <is>
          <t>―</t>
        </is>
      </c>
      <c r="F10" s="19" t="inlineStr">
        <is>
          <t>**優先度C。交付金については市町村分の集計表を直接受領したため、見える化からの出力は要らなくなった**</t>
        </is>
      </c>
    </row>
    <row r="11">
      <c r="A11" s="20" t="inlineStr">
        <is>
          <t>町資料</t>
        </is>
      </c>
      <c r="B11" s="19" t="inlineStr">
        <is>
          <t>**（改修版）総合事業の充実に向けたワークシート（xlsm）・説明書**</t>
        </is>
      </c>
      <c r="C11" s="20" t="inlineStr">
        <is>
          <t>町</t>
        </is>
      </c>
      <c r="D11" s="21" t="inlineStr">
        <is>
          <t>完了</t>
        </is>
      </c>
      <c r="E11" s="20" t="inlineStr">
        <is>
          <t>2026-09-28</t>
        </is>
      </c>
      <c r="F11" s="19" t="inlineStr">
        <is>
          <t>**将来推計人口、調整済み軽度認定率、総合事業の実施状況調査の回答、上限額の算式。訪問型サービスB・通所型サービスBの担い手が各1団体あることが判明した（現在も実施しているかは未確認）**</t>
        </is>
      </c>
    </row>
    <row r="12">
      <c r="A12" s="20" t="inlineStr">
        <is>
          <t>町資料</t>
        </is>
      </c>
      <c r="B12" s="19" t="inlineStr">
        <is>
          <t>**令和8年度交付金 該当状況調査票集計表（市町村分）・評価指標（42頁）**</t>
        </is>
      </c>
      <c r="C12" s="20" t="inlineStr">
        <is>
          <t>町</t>
        </is>
      </c>
      <c r="D12" s="21" t="inlineStr">
        <is>
          <t>完了</t>
        </is>
      </c>
      <c r="E12" s="20" t="inlineStr">
        <is>
          <t>2026-09-28</t>
        </is>
      </c>
      <c r="F12" s="19" t="inlineStr">
        <is>
          <t>**1,574保険者×1,563列。小野町537点／800点、市町村分1,536のうち258位、県内13位／59。介護給付適正化の主要3事業について町の回答（実施）が確かめられた。見える化の値（W126〜W137）は令和6年度交付金のものだった。****広域連合分は別表であり未受領。公表順位の母数は1,741保険者**</t>
        </is>
      </c>
    </row>
    <row r="13">
      <c r="A13" s="20" t="inlineStr">
        <is>
          <t>町資料</t>
        </is>
      </c>
      <c r="B13" s="19" t="inlineStr">
        <is>
          <t>第9期高齢者保健福祉計画・介護保険事業計画 本文</t>
        </is>
      </c>
      <c r="C13" s="20" t="inlineStr">
        <is>
          <t>町</t>
        </is>
      </c>
      <c r="D13" s="21" t="inlineStr">
        <is>
          <t>完了</t>
        </is>
      </c>
      <c r="E13" s="20" t="inlineStr">
        <is>
          <t>2026-08-04</t>
        </is>
      </c>
      <c r="F13" s="19" t="inlineStr">
        <is>
          <t>5章構成・3基本目標・14施策、標準給付費3,566,486千円、保険料6,600円の算定根拠</t>
        </is>
      </c>
    </row>
    <row r="14">
      <c r="A14" s="20" t="inlineStr">
        <is>
          <t>町資料</t>
        </is>
      </c>
      <c r="B14" s="19" t="inlineStr">
        <is>
          <t>第3期地域福祉計画 本文・概要版</t>
        </is>
      </c>
      <c r="C14" s="20" t="inlineStr">
        <is>
          <t>町</t>
        </is>
      </c>
      <c r="D14" s="21" t="inlineStr">
        <is>
          <t>完了</t>
        </is>
      </c>
      <c r="E14" s="20" t="inlineStr">
        <is>
          <t>2026-08-04</t>
        </is>
      </c>
      <c r="F14" s="19" t="inlineStr">
        <is>
          <t>重複5施策を特定し役割分担を整理</t>
        </is>
      </c>
    </row>
    <row r="15">
      <c r="A15" s="20" t="inlineStr">
        <is>
          <t>町資料</t>
        </is>
      </c>
      <c r="B15" s="19" t="inlineStr">
        <is>
          <t>令和7年度 調査結果報告書（104頁）</t>
        </is>
      </c>
      <c r="C15" s="20" t="inlineStr">
        <is>
          <t>町</t>
        </is>
      </c>
      <c r="D15" s="21" t="inlineStr">
        <is>
          <t>完了</t>
        </is>
      </c>
      <c r="E15" s="20" t="inlineStr">
        <is>
          <t>2026-08-05</t>
        </is>
      </c>
      <c r="F15" s="19" t="inlineStr">
        <is>
          <t>単純集計とリスク分析を取得。集計結果・分析報告書として取りまとめ済み。**9月29日に原本を取り込み、成果品の数値286件と全件突合した（NG0件）。報告書そのものの食い違い3件を特定している**</t>
        </is>
      </c>
    </row>
    <row r="16">
      <c r="A16" s="20" t="inlineStr">
        <is>
          <t>町資料</t>
        </is>
      </c>
      <c r="B16" s="19" t="inlineStr">
        <is>
          <t>**地域分析・検討シート（様式）**</t>
        </is>
      </c>
      <c r="C16" s="20" t="inlineStr">
        <is>
          <t>町</t>
        </is>
      </c>
      <c r="D16" s="21" t="inlineStr">
        <is>
          <t>完了</t>
        </is>
      </c>
      <c r="E16" s="20" t="inlineStr">
        <is>
          <t>2026-09-30</t>
        </is>
      </c>
      <c r="F16" s="19" t="inlineStr">
        <is>
          <t>**自由記述欄（現状・課題・対応の方向）の記入案を作成し、打合せ資料の依頼資料一覧にも反映した（11_見える化出力依頼）**</t>
        </is>
      </c>
    </row>
    <row r="17">
      <c r="A17" s="20" t="inlineStr">
        <is>
          <t>町資料</t>
        </is>
      </c>
      <c r="B17" s="19" t="inlineStr">
        <is>
          <t>令和8年3月末の認定者数の確認（依頼票N1）</t>
        </is>
      </c>
      <c r="C17" s="20" t="inlineStr">
        <is>
          <t>町</t>
        </is>
      </c>
      <c r="D17" s="21" t="inlineStr">
        <is>
          <t>完了</t>
        </is>
      </c>
      <c r="E17" s="20" t="inlineStr">
        <is>
          <t>2026-09-08</t>
        </is>
      </c>
      <c r="F17" s="19" t="inlineStr">
        <is>
          <t>**792人（第1号783＋第2号9）を年報 様式1の5で確認。見える化の値と一致**</t>
        </is>
      </c>
    </row>
    <row r="18">
      <c r="A18" s="20" t="inlineStr">
        <is>
          <t>町資料</t>
        </is>
      </c>
      <c r="B18" s="19" t="inlineStr">
        <is>
          <t>**令和7年8〜9月の認定者数の計上方法の変更の有無（N2〜N4の後継）**</t>
        </is>
      </c>
      <c r="C18" s="20" t="inlineStr">
        <is>
          <t>町</t>
        </is>
      </c>
      <c r="D18" s="25" t="inlineStr">
        <is>
          <t>要対応</t>
        </is>
      </c>
      <c r="E18" s="20" t="inlineStr">
        <is>
          <t>―</t>
        </is>
      </c>
      <c r="F18" s="19" t="inlineStr">
        <is>
          <t>**国保連月報で令和7年9月審査分に▲99人の断層を特定。同月の給付件数は減っていない。町外施設入所者の帰属・住所地特例・集計定義のいずれが変わったかを確認する**</t>
        </is>
      </c>
    </row>
    <row r="19">
      <c r="A19" s="20" t="inlineStr">
        <is>
          <t>町資料</t>
        </is>
      </c>
      <c r="B19" s="19" t="inlineStr">
        <is>
          <t>令和3〜7年度 サービス別給付費・受給者数（S1・S2）</t>
        </is>
      </c>
      <c r="C19" s="20" t="inlineStr">
        <is>
          <t>町</t>
        </is>
      </c>
      <c r="D19" s="21" t="inlineStr">
        <is>
          <t>完了</t>
        </is>
      </c>
      <c r="E19" s="20" t="inlineStr">
        <is>
          <t>2026-09-08</t>
        </is>
      </c>
      <c r="F19" s="19" t="inlineStr">
        <is>
          <t>**年報 様式2・様式1の6で取得**</t>
        </is>
      </c>
    </row>
    <row r="20">
      <c r="A20" s="20" t="inlineStr">
        <is>
          <t>町資料</t>
        </is>
      </c>
      <c r="B20" s="19" t="inlineStr">
        <is>
          <t>所得段階別人数・収納率・基金残高（S3〜S5）</t>
        </is>
      </c>
      <c r="C20" s="20" t="inlineStr">
        <is>
          <t>町</t>
        </is>
      </c>
      <c r="D20" s="21" t="inlineStr">
        <is>
          <t>完了</t>
        </is>
      </c>
      <c r="E20" s="20" t="inlineStr">
        <is>
          <t>2026-09-08</t>
        </is>
      </c>
      <c r="F20" s="19" t="inlineStr">
        <is>
          <t>**年報 様式1 所得段階別・様式3・様式4で取得。基金保有額が令和4年度末120百万円→令和5年度末12百万円と1桁減っており要確認**</t>
        </is>
      </c>
    </row>
    <row r="21">
      <c r="A21" s="20" t="inlineStr">
        <is>
          <t>町資料</t>
        </is>
      </c>
      <c r="B21" s="19" t="inlineStr">
        <is>
          <t>地域支援事業費の実績と事業別内訳（S6）／令和7年度決算（S7）</t>
        </is>
      </c>
      <c r="C21" s="20" t="inlineStr">
        <is>
          <t>町</t>
        </is>
      </c>
      <c r="D21" s="25" t="inlineStr">
        <is>
          <t>要対応</t>
        </is>
      </c>
      <c r="E21" s="20" t="inlineStr">
        <is>
          <t>―</t>
        </is>
      </c>
      <c r="F21" s="19" t="inlineStr">
        <is>
          <t>**年報 様式4の令和7年度が全て0で未入力。決算確定後の再受領が必要**</t>
        </is>
      </c>
    </row>
    <row r="22">
      <c r="A22" s="20" t="inlineStr">
        <is>
          <t>町資料</t>
        </is>
      </c>
      <c r="B22" s="19" t="inlineStr">
        <is>
          <t>成果指標の現状値 17項目（H1〜H17）</t>
        </is>
      </c>
      <c r="C22" s="20" t="inlineStr">
        <is>
          <t>町</t>
        </is>
      </c>
      <c r="D22" s="27" t="inlineStr">
        <is>
          <t>未着手</t>
        </is>
      </c>
      <c r="E22" s="20" t="inlineStr">
        <is>
          <t>―</t>
        </is>
      </c>
      <c r="F22" s="19" t="inlineStr">
        <is>
          <t>**うちH3（総合事業・通いの場）とH16（調査の個票）が最優先**</t>
        </is>
      </c>
    </row>
    <row r="23">
      <c r="A23" s="20" t="inlineStr">
        <is>
          <t>町資料</t>
        </is>
      </c>
      <c r="B23" s="19" t="inlineStr">
        <is>
          <t>**総合事業上限額算定の手引き（Excel）平成27年度〜令和6年度**</t>
        </is>
      </c>
      <c r="C23" s="20" t="inlineStr">
        <is>
          <t>町</t>
        </is>
      </c>
      <c r="D23" s="25" t="inlineStr">
        <is>
          <t>要対応</t>
        </is>
      </c>
      <c r="E23" s="20" t="inlineStr">
        <is>
          <t>―</t>
        </is>
      </c>
      <c r="F23" s="19" t="inlineStr">
        <is>
          <t>**介護保険法施行令第37条の13第4項による上限額。第10期の総合事業費が上限内に収まるかを確かめられていない**</t>
        </is>
      </c>
    </row>
    <row r="24">
      <c r="A24" s="20" t="inlineStr">
        <is>
          <t>町資料</t>
        </is>
      </c>
      <c r="B24" s="19" t="inlineStr">
        <is>
          <t>**地域支援事業交付金事業実績報告書（Excel）平成27年度〜令和6年度**</t>
        </is>
      </c>
      <c r="C24" s="20" t="inlineStr">
        <is>
          <t>町</t>
        </is>
      </c>
      <c r="D24" s="25" t="inlineStr">
        <is>
          <t>要対応</t>
        </is>
      </c>
      <c r="E24" s="20" t="inlineStr">
        <is>
          <t>―</t>
        </is>
      </c>
      <c r="F24" s="19" t="inlineStr">
        <is>
          <t>様式1（精算書）を含むもの。訪問型・通所型のサービス・活動別の事業費</t>
        </is>
      </c>
    </row>
    <row r="25">
      <c r="A25" s="20" t="inlineStr">
        <is>
          <t>町資料</t>
        </is>
      </c>
      <c r="B25" s="19" t="inlineStr">
        <is>
          <t>総合事業の実施状況調査への回答の控え 平成29年度〜令和6年度</t>
        </is>
      </c>
      <c r="C25" s="20" t="inlineStr">
        <is>
          <t>町</t>
        </is>
      </c>
      <c r="D25" s="25" t="inlineStr">
        <is>
          <t>要対応</t>
        </is>
      </c>
      <c r="E25" s="20" t="inlineStr">
        <is>
          <t>―</t>
        </is>
      </c>
      <c r="F25" s="19" t="inlineStr">
        <is>
          <t>**国の集計では従前相当の利用者数がほとんど空欄で、サービスBの人数が408→24→150→24人と激しく振れている**</t>
        </is>
      </c>
    </row>
    <row r="26">
      <c r="A26" s="20" t="inlineStr">
        <is>
          <t>町資料</t>
        </is>
      </c>
      <c r="B26" s="19" t="inlineStr">
        <is>
          <t>**令和6年度のケアプラン点検の実施件数**</t>
        </is>
      </c>
      <c r="C26" s="20" t="inlineStr">
        <is>
          <t>町</t>
        </is>
      </c>
      <c r="D26" s="25" t="inlineStr">
        <is>
          <t>要対応</t>
        </is>
      </c>
      <c r="E26" s="20" t="inlineStr">
        <is>
          <t>―</t>
        </is>
      </c>
      <c r="F26" s="19" t="inlineStr">
        <is>
          <t>**令和8年度交付金で唯一0点の項目。件数が少ないことによるものか、報告していないことによるものかで打てる手が変わる**</t>
        </is>
      </c>
    </row>
    <row r="27">
      <c r="A27" s="20" t="inlineStr">
        <is>
          <t>町資料</t>
        </is>
      </c>
      <c r="B27" s="19" t="inlineStr">
        <is>
          <t>要介護認定の適正化の実施内容／令和8年度の該当状況調査票の控え</t>
        </is>
      </c>
      <c r="C27" s="20" t="inlineStr">
        <is>
          <t>町</t>
        </is>
      </c>
      <c r="D27" s="25" t="inlineStr">
        <is>
          <t>要対応</t>
        </is>
      </c>
      <c r="E27" s="20" t="inlineStr">
        <is>
          <t>―</t>
        </is>
      </c>
      <c r="F27" s="19" t="inlineStr">
        <is>
          <t>**交付金では3事業とも実施として計上されている。体制・取組で得点した項目の根拠資料が残っているかの確認を含む**</t>
        </is>
      </c>
    </row>
    <row r="28">
      <c r="A28"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20" t="inlineStr">
        <is>
          <t>高齢者福祉サービス推進協議会</t>
        </is>
      </c>
      <c r="B2" s="20" t="inlineStr">
        <is>
          <t>第1回</t>
        </is>
      </c>
      <c r="C2" s="20" t="inlineStr">
        <is>
          <t>令和8年8〜9月</t>
        </is>
      </c>
      <c r="D2" s="19" t="inlineStr">
        <is>
          <t>第9期計画の評価、令和7年度調査結果の整理</t>
        </is>
      </c>
      <c r="E2" s="21" t="inlineStr">
        <is>
          <t>完了</t>
        </is>
      </c>
      <c r="F2" s="19" t="inlineStr">
        <is>
          <t>**資料は第2版（49表・図9点）。年報で第9期の実績を確定させ、令和8年度交付金の評価結果（5-2）を加えた。開催日が未定**</t>
        </is>
      </c>
    </row>
    <row r="3">
      <c r="A3" s="20" t="inlineStr">
        <is>
          <t>高齢者福祉サービス推進協議会</t>
        </is>
      </c>
      <c r="B3" s="20" t="inlineStr">
        <is>
          <t>第2回</t>
        </is>
      </c>
      <c r="C3" s="20" t="inlineStr">
        <is>
          <t>令和8年11月</t>
        </is>
      </c>
      <c r="D3" s="19" t="inlineStr">
        <is>
          <t>骨子案、サービス見込量、保険料の考え方、成果指標の目標値</t>
        </is>
      </c>
      <c r="E3" s="23" t="inlineStr">
        <is>
          <t>進行中</t>
        </is>
      </c>
      <c r="F3" s="19" t="inlineStr">
        <is>
          <t>**骨子案第3版・成果指標目標値案（40指標）は作成済み。保険料は6,100円と6,600円の2案をお示しする**</t>
        </is>
      </c>
    </row>
    <row r="4">
      <c r="A4" s="20" t="inlineStr">
        <is>
          <t>高齢者福祉サービス推進協議会</t>
        </is>
      </c>
      <c r="B4" s="20" t="inlineStr">
        <is>
          <t>第3回</t>
        </is>
      </c>
      <c r="C4" s="20" t="inlineStr">
        <is>
          <t>令和8年12月</t>
        </is>
      </c>
      <c r="D4" s="19" t="inlineStr">
        <is>
          <t>計画素案</t>
        </is>
      </c>
      <c r="E4" s="23" t="inlineStr">
        <is>
          <t>進行中</t>
        </is>
      </c>
      <c r="F4" s="19" t="inlineStr">
        <is>
          <t>**素案は第6版まで作成済み（見込量・保険料は反映済み）。給付適正化計画の位置づけと在宅医療連携の目指すべき姿もお諮りする**</t>
        </is>
      </c>
    </row>
    <row r="5">
      <c r="A5" s="20" t="inlineStr">
        <is>
          <t>高齢者福祉サービス推進協議会</t>
        </is>
      </c>
      <c r="B5" s="20" t="inlineStr">
        <is>
          <t>第4回</t>
        </is>
      </c>
      <c r="C5" s="20" t="inlineStr">
        <is>
          <t>令和9年2月</t>
        </is>
      </c>
      <c r="D5" s="19" t="inlineStr">
        <is>
          <t>パブリックコメントの結果、計画最終案</t>
        </is>
      </c>
      <c r="E5" s="27" t="inlineStr">
        <is>
          <t>未着手</t>
        </is>
      </c>
      <c r="F5" s="19" t="inlineStr">
        <is>
          <t>―</t>
        </is>
      </c>
    </row>
    <row r="6">
      <c r="A6" s="20" t="inlineStr">
        <is>
          <t>パブリックコメント</t>
        </is>
      </c>
      <c r="B6" s="20" t="inlineStr">
        <is>
          <t>―</t>
        </is>
      </c>
      <c r="C6" s="20" t="inlineStr">
        <is>
          <t>令和9年1月</t>
        </is>
      </c>
      <c r="D6" s="19" t="inlineStr">
        <is>
          <t>計画素案に対する意見の募集</t>
        </is>
      </c>
      <c r="E6" s="21" t="inlineStr">
        <is>
          <t>完了</t>
        </is>
      </c>
      <c r="F6" s="19" t="inlineStr">
        <is>
          <t>実施要領・意見提出様式・対応表の様式は作成済み</t>
        </is>
      </c>
    </row>
    <row r="7">
      <c r="A7" s="20" t="inlineStr">
        <is>
          <t>町との打合せ</t>
        </is>
      </c>
      <c r="B7" s="20" t="inlineStr">
        <is>
          <t>随時</t>
        </is>
      </c>
      <c r="C7" s="20" t="inlineStr">
        <is>
          <t>通年</t>
        </is>
      </c>
      <c r="D7" s="19" t="inlineStr">
        <is>
          <t>工程、データ、協議事項</t>
        </is>
      </c>
      <c r="E7" s="21" t="inlineStr">
        <is>
          <t>完了</t>
        </is>
      </c>
      <c r="F7" s="19"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20" t="n">
        <v>1</v>
      </c>
      <c r="B2" s="19" t="inlineStr">
        <is>
          <t>認定者数の計上方法の変更（旧「認定者数の異常」）</t>
        </is>
      </c>
      <c r="C2" s="19"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9" t="inlineStr">
        <is>
          <t>**実態の変化ではなく計上の変更である可能性が高い。**認定者数ベースで給付費を推計すると過小になる（令和7年度は認定者▲16.1％に対し給付費▲7.4％）</t>
        </is>
      </c>
      <c r="E2" s="19" t="inlineStr">
        <is>
          <t>**令和7年8〜9月の計上方法の変更を町に確認する。見込量は認定者数ベースではなく受給者数・給付費の実績を基礎に組む**</t>
        </is>
      </c>
      <c r="F2" s="25" t="inlineStr">
        <is>
          <t>要対応</t>
        </is>
      </c>
    </row>
    <row r="3">
      <c r="A3" s="20" t="n">
        <v>2</v>
      </c>
      <c r="B3" s="19" t="inlineStr">
        <is>
          <t>町の実績データの受領状況</t>
        </is>
      </c>
      <c r="C3" s="19" t="inlineStr">
        <is>
          <t>**9月8日に年報5年分・国保連月報28か月・将来推計人口を受領し、依頼35項目のうち主要項目が解決した。****9月14日に国保連月報のExcel版、9月28日に（改修版）総合事業ワークシートと令和8年度交付金の市町村分集計表を受領した。**残るのは地域支援事業費の内訳、令和7年度決算、成果指標の現状値17項目、総合事業上限額算定の手引き、ケアプラン点検の実施件数</t>
        </is>
      </c>
      <c r="D3" s="19" t="inlineStr">
        <is>
          <t>見込量・給付費・保険料の算定は完了した。**残項目は、成果指標の目標値と総合事業費の上限額の確認に効く**</t>
        </is>
      </c>
      <c r="E3" s="19" t="inlineStr">
        <is>
          <t>残項目を再依頼する（打合せの依頼資料15件）。とくに地域支援事業費の内訳は総合事業・通いの場の評価に必須</t>
        </is>
      </c>
      <c r="F3" s="23" t="inlineStr">
        <is>
          <t>進行中</t>
        </is>
      </c>
    </row>
    <row r="4">
      <c r="A4" s="20" t="n">
        <v>3</v>
      </c>
      <c r="B4" s="19" t="inlineStr">
        <is>
          <t>協議会の開催回数・時期が未定</t>
        </is>
      </c>
      <c r="C4" s="19" t="inlineStr">
        <is>
          <t>仕様書4(5)は開催支援を定めるが回数の指定がない</t>
        </is>
      </c>
      <c r="D4" s="19" t="inlineStr">
        <is>
          <t>工程が引けず、パブコメ・印刷の日程も確定できない</t>
        </is>
      </c>
      <c r="E4" s="19" t="inlineStr">
        <is>
          <t>受託者案（4回）を提示して町と確定する（依頼票C4）</t>
        </is>
      </c>
      <c r="F4" s="25" t="inlineStr">
        <is>
          <t>要対応</t>
        </is>
      </c>
    </row>
    <row r="5">
      <c r="A5" s="20" t="n">
        <v>4</v>
      </c>
      <c r="B5" s="19" t="inlineStr">
        <is>
          <t>介護予防のデータ欠落</t>
        </is>
      </c>
      <c r="C5" s="19" t="inlineStr">
        <is>
          <t>見える化の通いの場はR2まで、総合事業はR1・R2のみで値もほぼ空。F7〜F14は本町の値が未登録</t>
        </is>
      </c>
      <c r="D5" s="19" t="inlineStr">
        <is>
          <t>第9期の介護予防施策を評価できない</t>
        </is>
      </c>
      <c r="E5" s="19" t="inlineStr">
        <is>
          <t>町の事業実績（令和3〜7年度）で代替する（依頼票H3）</t>
        </is>
      </c>
      <c r="F5" s="26" t="inlineStr">
        <is>
          <t>データ待ち</t>
        </is>
      </c>
    </row>
    <row r="6">
      <c r="A6" s="20" t="n">
        <v>5</v>
      </c>
      <c r="B6" s="19" t="inlineStr">
        <is>
          <t>通いの場が実質ゼロ</t>
        </is>
      </c>
      <c r="C6" s="19" t="inlineStr">
        <is>
          <t>見える化では週1回以上が平成28年度以降0か所。一方、調査では週1回以上の参加が5.5％（高齢者人口換算で約190人）</t>
        </is>
      </c>
      <c r="D6" s="19" t="inlineStr">
        <is>
          <t>第10期の最重点施策が設計できない。調整済み軽度認定率は10.6％→15.2％に上昇</t>
        </is>
      </c>
      <c r="E6" s="19" t="inlineStr">
        <is>
          <t>町の実態を確認したうえで、実態把握と登録を令和9年度の目標に置く</t>
        </is>
      </c>
      <c r="F6" s="23" t="inlineStr">
        <is>
          <t>進行中</t>
        </is>
      </c>
    </row>
    <row r="7">
      <c r="A7" s="20" t="n">
        <v>6</v>
      </c>
      <c r="B7" s="19" t="inlineStr">
        <is>
          <t>認定と利用のギャップ</t>
        </is>
      </c>
      <c r="C7" s="19" t="inlineStr">
        <is>
          <t>認定率の地域差指数1.24に対し受給率1.07（比0.86）。在宅の認定者の42.1％が未利用</t>
        </is>
      </c>
      <c r="D7" s="19" t="inlineStr">
        <is>
          <t>利用に移行した場合に給付費が急増するリスク</t>
        </is>
      </c>
      <c r="E7" s="19" t="inlineStr">
        <is>
          <t>未利用理由の上位3つは需要側（供給側は各1人・0.6％）。供給確保ではなく認定運用の確認・利用意向への働きかけ・レスパイトで対応する</t>
        </is>
      </c>
      <c r="F7" s="23" t="inlineStr">
        <is>
          <t>進行中</t>
        </is>
      </c>
    </row>
    <row r="8">
      <c r="A8" s="20" t="n">
        <v>7</v>
      </c>
      <c r="B8" s="19" t="inlineStr">
        <is>
          <t>財政余剰の取扱いと基金残高の不整合</t>
        </is>
      </c>
      <c r="C8" s="19"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9" t="inlineStr">
        <is>
          <t>**基金が12百万円しかなければ35百万円の取崩は実行できない。しかも繰入金（取崩し）は令和3〜6年度とも0円で、残高だけが1桁減っており、年報の系列自体に矛盾がある。**見込量の試算で算式を通すと、保険料基準額は取崩なしで月額6,558円、保有額12百万円を全額取り崩して6,456円、第9期と同じ35百万円で6,259円となる（第9期は6,600円）。**基金の扱いだけで月額300円動く**</t>
        </is>
      </c>
      <c r="E8" s="19" t="inlineStr">
        <is>
          <t>取崩実績か入力誤りかを町に確認したうえで、余剰の還元（据置・引下げ・繰越金の基金積立）をケースC5・C6として算定する</t>
        </is>
      </c>
      <c r="F8" s="25" t="inlineStr">
        <is>
          <t>要対応</t>
        </is>
      </c>
    </row>
    <row r="9">
      <c r="A9" s="20" t="n">
        <v>8</v>
      </c>
      <c r="B9" s="19" t="inlineStr">
        <is>
          <t>施設整備方針との不整合</t>
        </is>
      </c>
      <c r="C9" s="19" t="inlineStr">
        <is>
          <t>第9期は新規施設整備を原則行わない方針だが、認知症対応型共同生活介護の定員が令和4年度71人から令和6年度98人へ27人（38.0％）増加</t>
        </is>
      </c>
      <c r="D9" s="19" t="inlineStr">
        <is>
          <t>第9期評価の記述に影響</t>
        </is>
      </c>
      <c r="E9" s="19" t="inlineStr">
        <is>
          <t>整備の経緯を町に確認する（依頼票H15）</t>
        </is>
      </c>
      <c r="F9" s="27" t="inlineStr">
        <is>
          <t>未着手</t>
        </is>
      </c>
    </row>
    <row r="10">
      <c r="A10" s="20" t="n">
        <v>9</v>
      </c>
      <c r="B10" s="19" t="inlineStr">
        <is>
          <t>印刷工程の未確保</t>
        </is>
      </c>
      <c r="C10" s="19" t="inlineStr">
        <is>
          <t>計画書50部（A4・4色刷り・80頁程度）、概要版50部（8頁）、簡易製本各3部が納品仕様</t>
        </is>
      </c>
      <c r="D10" s="19" t="inlineStr">
        <is>
          <t>納期に間に合わない</t>
        </is>
      </c>
      <c r="E10" s="19" t="inlineStr">
        <is>
          <t>**発注仕様書と見積依頼の様式を作成済み。年度末の印刷の集中を見て1月中に業者を押さえる**</t>
        </is>
      </c>
      <c r="F10" s="23" t="inlineStr">
        <is>
          <t>進行中</t>
        </is>
      </c>
    </row>
    <row r="11">
      <c r="A11" s="20" t="n">
        <v>10</v>
      </c>
      <c r="B11" s="19" t="inlineStr">
        <is>
          <t>見える化システムへの入力作業</t>
        </is>
      </c>
      <c r="C11" s="19" t="inlineStr">
        <is>
          <t>仕様書4(2)は入力作業を業務に含むと定める</t>
        </is>
      </c>
      <c r="D11" s="19" t="inlineStr">
        <is>
          <t>**9月28日に入力が完了し、推計が通った。施策反映のワーニングはすべて「該当無し」、負の値もない。システムによる保険料基準額6,533円と本計画の6,048円の差485円は、令和8年度の置き方の違いによるもので、算式は段階ごとに一致する**</t>
        </is>
      </c>
      <c r="E11" s="19" t="inlineStr">
        <is>
          <t>**都道府県への提出は、保険料基準額の決定のあとに行う（決定6）**</t>
        </is>
      </c>
      <c r="F11" s="21" t="inlineStr">
        <is>
          <t>完了</t>
        </is>
      </c>
    </row>
    <row r="12">
      <c r="A12" s="20" t="n">
        <v>13</v>
      </c>
      <c r="B12" s="19" t="inlineStr">
        <is>
          <t>**認知症の人及びその家族等の意見聴取の方法が未決**</t>
        </is>
      </c>
      <c r="C12" s="19" t="inlineStr">
        <is>
          <t>**認知症基本法13条3項が準用する12条3項は、市町村計画の案の作成にあたり認知症の人及び家族等の意見を聴くよう努めることを求めている**</t>
        </is>
      </c>
      <c r="D12" s="19" t="inlineStr">
        <is>
          <t>**記述の追加では埋まらず、策定過程そのものに関わる。協議会の日程から逆算すると、素案の確定前に方針を決める必要がある**</t>
        </is>
      </c>
      <c r="E12" s="19" t="inlineStr">
        <is>
          <t>協議会の委員構成に認知症の人又は家族が含まれるかを確認し、含まれない場合は家族会・認知症カフェでの意見聴取の機会を設けるかを町と協議する</t>
        </is>
      </c>
      <c r="F12" s="25" t="inlineStr">
        <is>
          <t>要対応</t>
        </is>
      </c>
    </row>
    <row r="13">
      <c r="A13" s="20" t="n">
        <v>14</v>
      </c>
      <c r="B13" s="19" t="inlineStr">
        <is>
          <t>**地域密着型3サービスの必要利用定員総数が第9期計画にない**</t>
        </is>
      </c>
      <c r="C13" s="19" t="inlineStr">
        <is>
          <t>介護保険法117条2項1号は3サービスの各年度の必要利用定員総数を計画に定めることを求めている（必須記載事項）</t>
        </is>
      </c>
      <c r="D13" s="19" t="inlineStr">
        <is>
          <t>**第10期では9月16日に追加済み。**ただし認知症対応型共同生活介護の定員が第9期の方針に反して令和4年度71人から令和6年度98人へ27人増えた経緯が確認できていない</t>
        </is>
      </c>
      <c r="E13" s="19" t="inlineStr">
        <is>
          <t>増床の事実関係と町外の方の利用割合を町に確認する</t>
        </is>
      </c>
      <c r="F13" s="23" t="inlineStr">
        <is>
          <t>進行中</t>
        </is>
      </c>
    </row>
    <row r="14">
      <c r="A14" s="20" t="n">
        <v>11</v>
      </c>
      <c r="B14" s="19" t="inlineStr">
        <is>
          <t>認知症施策推進基本計画の包含の形式が未決</t>
        </is>
      </c>
      <c r="C14" s="19" t="inlineStr">
        <is>
          <t>仕様書2(3)は包含を計画の構成要件と定める</t>
        </is>
      </c>
      <c r="D14" s="19" t="inlineStr">
        <is>
          <t>章立てが変わるため、素案の確定前に決める必要がある</t>
        </is>
      </c>
      <c r="E14" s="19" t="inlineStr">
        <is>
          <t>**基本的施策12項目との対応表を作成済み。分散＋対応表方式を提案**</t>
        </is>
      </c>
      <c r="F14" s="23" t="inlineStr">
        <is>
          <t>進行中</t>
        </is>
      </c>
    </row>
    <row r="15">
      <c r="A15" s="20" t="n">
        <v>12</v>
      </c>
      <c r="B15" s="19" t="inlineStr">
        <is>
          <t>成果品欄の「（７）」への参照</t>
        </is>
      </c>
      <c r="C15" s="19" t="inlineStr">
        <is>
          <t>成果品は（１）〜（６）だが、納品仕様欄に「※（７）のデータ（ＣＤ－Ｒ）１部、概要版印刷50部」との記載がある</t>
        </is>
      </c>
      <c r="D15" s="19" t="inlineStr">
        <is>
          <t>概要版の納品部数の解釈に関わる</t>
        </is>
      </c>
      <c r="E15" s="19" t="inlineStr">
        <is>
          <t>町に確認する（依頼票C2）</t>
        </is>
      </c>
      <c r="F15" s="23" t="inlineStr">
        <is>
          <t>進行中</t>
        </is>
      </c>
    </row>
    <row r="16">
      <c r="A16" s="20" t="n">
        <v>15</v>
      </c>
      <c r="B16" s="19" t="inlineStr">
        <is>
          <t>**総合事業費の上限額が確かめられていない**</t>
        </is>
      </c>
      <c r="C16" s="19" t="inlineStr">
        <is>
          <t>**介護保険法施行令第37条の13第4項による上限額（基本の上限額＝前年度の事業費×75歳以上人口の伸び率）。超過分は町の一般財源となる**</t>
        </is>
      </c>
      <c r="D16" s="19" t="inlineStr">
        <is>
          <t>**第10期の総合事業費（3年計103,743千円）が上限内に収まるかを確かめられていない。サービスBを広げる場合の判断に直結する**</t>
        </is>
      </c>
      <c r="E16" s="19" t="inlineStr">
        <is>
          <t>**町の総合事業上限額算定の手引き（平成27年度〜令和6年度）と地域支援事業交付金事業実績報告書の受領**</t>
        </is>
      </c>
      <c r="F16" s="26" t="inlineStr">
        <is>
          <t>データ待ち</t>
        </is>
      </c>
    </row>
    <row r="17">
      <c r="A17" s="20" t="n">
        <v>16</v>
      </c>
      <c r="B17" s="19" t="inlineStr">
        <is>
          <t>**介護給付適正化計画の位置づけが未決／評価指標の根拠が不明**</t>
        </is>
      </c>
      <c r="C17" s="19" t="inlineStr">
        <is>
          <t>**介護保険法117条5項は市町村介護給付適正化計画を定めることを求めているが、第9期計画はその名称では置いていない。また第9期計画本文には主要3事業の記載はあるものの、交付金の指標1イが求める評価指標の記載がない**</t>
        </is>
      </c>
      <c r="D17" s="19" t="inlineStr">
        <is>
          <t>**指針が求める事業ごとの毎年度の定量的な目標を、どこに書くかが決まらない。また現に8点を得ている指標1イの根拠が確かめられず、次の評価で落ちる可能性がある**</t>
        </is>
      </c>
      <c r="E17" s="19" t="inlineStr">
        <is>
          <t>**案A（独立した節）・案B（施策の中）・案C（別冊）の3案を示した。当方は案Bをお勧めし、素案にはその形で9指標を置いている（決定9）**</t>
        </is>
      </c>
      <c r="F17" s="25" t="inlineStr">
        <is>
          <t>要対応</t>
        </is>
      </c>
    </row>
    <row r="18">
      <c r="A18" s="20" t="n">
        <v>18</v>
      </c>
      <c r="B18" s="19" t="inlineStr">
        <is>
          <t>**交付金の順位は市町村分の中での順位にすぎない**</t>
        </is>
      </c>
      <c r="C18" s="19" t="inlineStr">
        <is>
          <t>**受領した集計表は市町村分のみ（1,536保険者）で、広域連合分は別表。同表の令和7年度の順位欄は1〜1,741位まであり、上位100位のうち83しか本表に現れない**</t>
        </is>
      </c>
      <c r="D18" s="19" t="inlineStr">
        <is>
          <t>**当方が算出した「全国258位」は公表順位ではない。令和7年度は本表の中で1,339位に対し公表1,513位で、174位の差がある。成果品に載せる順位は母数を明記しないと誤解を招く**</t>
        </is>
      </c>
      <c r="E18" s="19" t="inlineStr">
        <is>
          <t>**成果品の記載を「市町村分◯位／1,536」に統一した。広域連合分の集計表を町に照会する（依頼資料15）**</t>
        </is>
      </c>
      <c r="F18" s="23" t="inlineStr">
        <is>
          <t>進行中</t>
        </is>
      </c>
    </row>
    <row r="19">
      <c r="A19" s="20" t="n">
        <v>17</v>
      </c>
      <c r="B19" s="19" t="inlineStr">
        <is>
          <t>**在宅医療・介護連携の目指すべき姿が設定されていない**</t>
        </is>
      </c>
      <c r="C19" s="19" t="inlineStr">
        <is>
          <t>**令和8年度交付金の支援Ⅲは55点・県内39位。8つの目標のうち全国平均を下回るのはここだけである**</t>
        </is>
      </c>
      <c r="D19" s="19" t="inlineStr">
        <is>
          <t>**評価指標が求める4つの場面ごとの目指すべき姿がないことによるもので、5項目・25点を落としている（全国では半数以上が得点している）**</t>
        </is>
      </c>
      <c r="E19" s="19" t="inlineStr">
        <is>
          <t>**素案 第4章 基本目標2⑦ に案を置いた。公立小野町地方綜合病院・田村郡医師会等との調整のうえ確定する（決定11）**</t>
        </is>
      </c>
      <c r="F19" s="23"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20" t="n">
        <v>8</v>
      </c>
      <c r="B2" s="20" t="inlineStr">
        <is>
          <t>集計値の検証</t>
        </is>
      </c>
      <c r="C2" s="19" t="inlineStr">
        <is>
          <t>**成果品に直書きしている集計値を、一次資料から計算し直して突き合わせる点検を導入した（174件）。****令和7年度調査の未利用理由で、複数回答の割合を足し上げていた（92.9％）ことが分かったのを受けたもの**</t>
        </is>
      </c>
      <c r="D2" s="19" t="inlineStr">
        <is>
          <t>―</t>
        </is>
      </c>
      <c r="E2" s="21" t="inlineStr">
        <is>
          <t>完了</t>
        </is>
      </c>
      <c r="F2" s="19" t="inlineStr">
        <is>
          <t>**第1号被保険者1人あたり給付月額の県内順位を23位・30位から28位・33位に訂正し、認定率の「県内2位」に年度（令和7年3月末）を付した。見える化の定員の年度も令和7年度から令和6年度に直した**</t>
        </is>
      </c>
    </row>
    <row r="3">
      <c r="A3" s="20" t="n">
        <v>6</v>
      </c>
      <c r="B3" s="20" t="inlineStr">
        <is>
          <t>給付適正化</t>
        </is>
      </c>
      <c r="C3" s="19" t="inlineStr">
        <is>
          <t>**交付金の分析の基礎データを、地域包括ケア「見える化」システムの値（令和6年度交付金）から、受領した令和8年度交付金の該当状況調査票集計表（市町村分）に切り替えた。****得点は233点から537点へ変わり、「介護給付適正化が最大の弱点」という整理は「適正化は強みで、弱点は在宅医療・在宅介護連携」に改まった**</t>
        </is>
      </c>
      <c r="D3" s="19" t="inlineStr">
        <is>
          <t>仕様書4(1)①オ</t>
        </is>
      </c>
      <c r="E3" s="21" t="inlineStr">
        <is>
          <t>完了</t>
        </is>
      </c>
      <c r="F3" s="19" t="inlineStr">
        <is>
          <t>**21_給付適正化・交付金 の取りまとめに、出所と切替の理由を明記した。令和6年度の値に基づく整理は本書をもって差し替える**</t>
        </is>
      </c>
    </row>
    <row r="4">
      <c r="A4" s="20" t="n">
        <v>7</v>
      </c>
      <c r="B4" s="20" t="inlineStr">
        <is>
          <t>保険料算定</t>
        </is>
      </c>
      <c r="C4" s="19" t="inlineStr">
        <is>
          <t>**調整交付金見込額の基数を、標準給付費のみから（標準給付費＋総合事業費）に訂正した。**調整交付金相当額（5％）と同じ基数である</t>
        </is>
      </c>
      <c r="D4" s="19" t="inlineStr">
        <is>
          <t>仕様書4(2)</t>
        </is>
      </c>
      <c r="E4" s="21" t="inlineStr">
        <is>
          <t>完了</t>
        </is>
      </c>
      <c r="F4" s="19" t="inlineStr">
        <is>
          <t>**見える化システムの出力と1円まで照合し、第9期の実数でも検算した（誤差0.3％）。訂正による差は月額47円で、保険料基準額は6,048円（切上げ6,100円）である。町にはまだお出ししていない段階での訂正である**</t>
        </is>
      </c>
    </row>
    <row r="5">
      <c r="A5" s="20" t="n">
        <v>1</v>
      </c>
      <c r="B5" s="20" t="inlineStr">
        <is>
          <t>工程</t>
        </is>
      </c>
      <c r="C5" s="19" t="inlineStr">
        <is>
          <t>高齢者計画の仕様書には工程表がない（工程が定められているのは障がい計画のみ）。業務期間は令和9年3月31日まで</t>
        </is>
      </c>
      <c r="D5" s="19" t="inlineStr">
        <is>
          <t>仕様書3</t>
        </is>
      </c>
      <c r="E5" s="25" t="inlineStr">
        <is>
          <t>要対応</t>
        </is>
      </c>
      <c r="F5" s="19" t="inlineStr">
        <is>
          <t>**業務期間から逆算した工程案を作成済み。町との合意が未**</t>
        </is>
      </c>
    </row>
    <row r="6">
      <c r="A6" s="20" t="n">
        <v>2</v>
      </c>
      <c r="B6" s="20" t="inlineStr">
        <is>
          <t>協議会</t>
        </is>
      </c>
      <c r="C6" s="19" t="inlineStr">
        <is>
          <t>開催回数の指定がない。受託者案は4回</t>
        </is>
      </c>
      <c r="D6" s="19" t="inlineStr">
        <is>
          <t>仕様書4(5)</t>
        </is>
      </c>
      <c r="E6" s="25" t="inlineStr">
        <is>
          <t>要対応</t>
        </is>
      </c>
      <c r="F6" s="19" t="inlineStr">
        <is>
          <t>未</t>
        </is>
      </c>
    </row>
    <row r="7">
      <c r="A7" s="20" t="n">
        <v>3</v>
      </c>
      <c r="B7" s="20" t="inlineStr">
        <is>
          <t>保険料算定</t>
        </is>
      </c>
      <c r="C7" s="19" t="inlineStr">
        <is>
          <t>ケース設定を引継ぎ時点の3ケース（基金の扱いのみ）からC1〜C6に組み直した。仕様書が例示する施設整備・制度改正に対応させた</t>
        </is>
      </c>
      <c r="D7" s="19" t="inlineStr">
        <is>
          <t>仕様書4(2)</t>
        </is>
      </c>
      <c r="E7" s="21" t="inlineStr">
        <is>
          <t>完了</t>
        </is>
      </c>
      <c r="F7" s="19" t="inlineStr">
        <is>
          <t>受託者の内部判断。町への説明が必要</t>
        </is>
      </c>
    </row>
    <row r="8">
      <c r="A8" s="20" t="n">
        <v>4</v>
      </c>
      <c r="B8" s="20" t="inlineStr">
        <is>
          <t>認知症計画</t>
        </is>
      </c>
      <c r="C8" s="19" t="inlineStr">
        <is>
          <t>包含の形式（独立章方式／分散＋対応表方式）</t>
        </is>
      </c>
      <c r="D8" s="19" t="inlineStr">
        <is>
          <t>仕様書2(3)</t>
        </is>
      </c>
      <c r="E8" s="23" t="inlineStr">
        <is>
          <t>進行中</t>
        </is>
      </c>
      <c r="F8" s="19" t="inlineStr">
        <is>
          <t>**分散＋対応表方式を提案。町の意思決定が未**</t>
        </is>
      </c>
    </row>
    <row r="9">
      <c r="A9" s="20" t="n">
        <v>5</v>
      </c>
      <c r="B9" s="20" t="inlineStr">
        <is>
          <t>打合せ記録</t>
        </is>
      </c>
      <c r="C9" s="19" t="inlineStr">
        <is>
          <t>契約後の打合せ記録が引継ぎ資料に含まれていない</t>
        </is>
      </c>
      <c r="D9" s="19" t="inlineStr">
        <is>
          <t>仕様書8①（受託者が作成し相互確認）</t>
        </is>
      </c>
      <c r="E9" s="25" t="inlineStr">
        <is>
          <t>要対応</t>
        </is>
      </c>
      <c r="F9" s="19" t="inlineStr">
        <is>
          <t>**様式を作成済み。8月の協議から適用する**</t>
        </is>
      </c>
    </row>
    <row r="10">
      <c r="A10" t="inlineStr">
        <is>
          <t>※ 仕様書8①により、打合せ記録は受託者が作成し町と相互に確認する。</t>
        </is>
      </c>
    </row>
    <row r="11">
      <c r="A11"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20" t="inlineStr">
        <is>
          <t>計画の考え方</t>
        </is>
      </c>
      <c r="B2" s="20" t="inlineStr">
        <is>
          <t>1</t>
        </is>
      </c>
      <c r="C2" s="19"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9" t="inlineStr">
        <is>
          <t>―</t>
        </is>
      </c>
      <c r="E2" s="20" t="n">
        <v>0</v>
      </c>
      <c r="F2" s="27" t="inlineStr">
        <is>
          <t>前提条項</t>
        </is>
      </c>
    </row>
    <row r="3">
      <c r="A3" s="20" t="inlineStr">
        <is>
          <t>計画の考え方</t>
        </is>
      </c>
      <c r="B3" s="20" t="inlineStr">
        <is>
          <t>2(1)</t>
        </is>
      </c>
      <c r="C3" s="19" t="inlineStr">
        <is>
          <t>令和9年度から令和11年度までの3年間に実施する取り組みを定める計画とする。</t>
        </is>
      </c>
      <c r="D3" s="19" t="inlineStr">
        <is>
          <t>―</t>
        </is>
      </c>
      <c r="E3" s="20" t="n">
        <v>0</v>
      </c>
      <c r="F3" s="27" t="inlineStr">
        <is>
          <t>前提条項</t>
        </is>
      </c>
    </row>
    <row r="4">
      <c r="A4" s="20" t="inlineStr">
        <is>
          <t>計画の考え方</t>
        </is>
      </c>
      <c r="B4" s="20" t="inlineStr">
        <is>
          <t>2(2)</t>
        </is>
      </c>
      <c r="C4" s="19" t="inlineStr">
        <is>
          <t>国が示す第10期計画に関する基本的な考え方を踏まえた上で、本町の特性を活かした計画とする。</t>
        </is>
      </c>
      <c r="D4" s="19" t="inlineStr">
        <is>
          <t>1-5 第3期地域福祉計画との役割分担の整理</t>
        </is>
      </c>
      <c r="E4" s="20" t="n">
        <v>1</v>
      </c>
      <c r="F4" s="21" t="inlineStr">
        <is>
          <t>○</t>
        </is>
      </c>
    </row>
    <row r="5">
      <c r="A5" s="20" t="inlineStr">
        <is>
          <t>計画の考え方</t>
        </is>
      </c>
      <c r="B5" s="20" t="inlineStr">
        <is>
          <t>2(3)</t>
        </is>
      </c>
      <c r="C5" s="19" t="inlineStr">
        <is>
          <t>国の「認知症施策推進基本計画」に基づく市町村計画も包含する計画とする。</t>
        </is>
      </c>
      <c r="D5" s="19" t="inlineStr">
        <is>
          <t>2-7 認知症高齢者の分析
8-3 認知症施策推進基本計画の包含方針</t>
        </is>
      </c>
      <c r="E5" s="20" t="n">
        <v>2</v>
      </c>
      <c r="F5" s="21" t="inlineStr">
        <is>
          <t>○</t>
        </is>
      </c>
    </row>
    <row r="6">
      <c r="A6" s="20" t="inlineStr">
        <is>
          <t>計画の考え方</t>
        </is>
      </c>
      <c r="B6" s="20" t="inlineStr">
        <is>
          <t>3</t>
        </is>
      </c>
      <c r="C6" s="19" t="inlineStr">
        <is>
          <t>契約締結の日から令和9年3月31日まで</t>
        </is>
      </c>
      <c r="D6" s="19" t="inlineStr">
        <is>
          <t>10-8 納品・検収</t>
        </is>
      </c>
      <c r="E6" s="20" t="n">
        <v>1</v>
      </c>
      <c r="F6" s="21" t="inlineStr">
        <is>
          <t>○</t>
        </is>
      </c>
    </row>
    <row r="7">
      <c r="A7" s="20" t="inlineStr">
        <is>
          <t>業務の内容</t>
        </is>
      </c>
      <c r="B7" s="20" t="inlineStr">
        <is>
          <t>4(1)</t>
        </is>
      </c>
      <c r="C7" s="19"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9" t="inlineStr">
        <is>
          <t>1-4 第9期計画本文の確認
2-13 地域分析・検討シートの記入案の作成
11-3 図表の追加作成</t>
        </is>
      </c>
      <c r="E7" s="20" t="n">
        <v>3</v>
      </c>
      <c r="F7" s="21" t="inlineStr">
        <is>
          <t>○</t>
        </is>
      </c>
    </row>
    <row r="8">
      <c r="A8" s="20" t="inlineStr">
        <is>
          <t>業務の内容</t>
        </is>
      </c>
      <c r="B8" s="20" t="inlineStr">
        <is>
          <t>4(1)①ア</t>
        </is>
      </c>
      <c r="C8" s="19" t="inlineStr">
        <is>
          <t>統計分析（ア）人口</t>
        </is>
      </c>
      <c r="D8" s="19" t="inlineStr">
        <is>
          <t>2-1 人口・世帯の分析
2-2 第1号被保険者の分析</t>
        </is>
      </c>
      <c r="E8" s="20" t="n">
        <v>2</v>
      </c>
      <c r="F8" s="21" t="inlineStr">
        <is>
          <t>○</t>
        </is>
      </c>
    </row>
    <row r="9">
      <c r="A9" s="20" t="inlineStr">
        <is>
          <t>業務の内容</t>
        </is>
      </c>
      <c r="B9" s="20" t="inlineStr">
        <is>
          <t>4(1)①イ</t>
        </is>
      </c>
      <c r="C9" s="19" t="inlineStr">
        <is>
          <t>統計分析（イ）要支援者数、要介護認定者数、認知症高齢者数</t>
        </is>
      </c>
      <c r="D9" s="19" t="inlineStr">
        <is>
          <t>2-3 認定者数・認定率の分析
2-4 認定者数の異常値の検証
2-7 認知症高齢者の分析</t>
        </is>
      </c>
      <c r="E9" s="20" t="n">
        <v>3</v>
      </c>
      <c r="F9" s="21" t="inlineStr">
        <is>
          <t>○</t>
        </is>
      </c>
    </row>
    <row r="10">
      <c r="A10" s="20" t="inlineStr">
        <is>
          <t>業務の内容</t>
        </is>
      </c>
      <c r="B10" s="20" t="inlineStr">
        <is>
          <t>4(1)①ウ</t>
        </is>
      </c>
      <c r="C10" s="19" t="inlineStr">
        <is>
          <t>統計分析（ウ）居宅サービス・施設サービス・地域密着型サービスの受給者数</t>
        </is>
      </c>
      <c r="D10" s="19" t="inlineStr">
        <is>
          <t>2-5 サービス受給者数の分析</t>
        </is>
      </c>
      <c r="E10" s="20" t="n">
        <v>1</v>
      </c>
      <c r="F10" s="21" t="inlineStr">
        <is>
          <t>○</t>
        </is>
      </c>
    </row>
    <row r="11">
      <c r="A11" s="20" t="inlineStr">
        <is>
          <t>業務の内容</t>
        </is>
      </c>
      <c r="B11" s="20" t="inlineStr">
        <is>
          <t>4(1)①エ</t>
        </is>
      </c>
      <c r="C11" s="19" t="inlineStr">
        <is>
          <t>統計分析（エ）介護予防事業対象者数</t>
        </is>
      </c>
      <c r="D11" s="19" t="inlineStr">
        <is>
          <t>2-6 介護予防事業対象者数の分析
2-12 総合事業の実施状況の分析</t>
        </is>
      </c>
      <c r="E11" s="20" t="n">
        <v>2</v>
      </c>
      <c r="F11" s="21" t="inlineStr">
        <is>
          <t>○</t>
        </is>
      </c>
    </row>
    <row r="12">
      <c r="A12" s="20" t="inlineStr">
        <is>
          <t>業務の内容</t>
        </is>
      </c>
      <c r="B12" s="20" t="inlineStr">
        <is>
          <t>4(1)①オ</t>
        </is>
      </c>
      <c r="C12" s="19" t="inlineStr">
        <is>
          <t>統計分析（オ）その他計画策定に必要な推計</t>
        </is>
      </c>
      <c r="D12" s="19" t="inlineStr">
        <is>
          <t>2-8 サービス自給率の分析
2-10 見える化 優先度C分野の出力
2-11 保険者機能強化推進交付金等の評価結果の整理</t>
        </is>
      </c>
      <c r="E12" s="20" t="n">
        <v>3</v>
      </c>
      <c r="F12" s="21" t="inlineStr">
        <is>
          <t>○</t>
        </is>
      </c>
    </row>
    <row r="13">
      <c r="A13" s="20" t="inlineStr">
        <is>
          <t>業務の内容</t>
        </is>
      </c>
      <c r="B13" s="20" t="inlineStr">
        <is>
          <t>4(1)②</t>
        </is>
      </c>
      <c r="C13" s="19"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9" t="inlineStr">
        <is>
          <t>3-1 給付費等分析結果報告書の作成
3-2 町の給付実績との突合
5-1 協議会資料（第9期評価・調査結果）の作成
5-2 成果目標の達成状況の確定
5-3 施設整備方針との不整合の確認</t>
        </is>
      </c>
      <c r="E13" s="20" t="n">
        <v>5</v>
      </c>
      <c r="F13" s="21" t="inlineStr">
        <is>
          <t>○</t>
        </is>
      </c>
    </row>
    <row r="14">
      <c r="A14" s="20" t="inlineStr">
        <is>
          <t>業務の内容</t>
        </is>
      </c>
      <c r="B14" s="20" t="inlineStr">
        <is>
          <t>4(1)③</t>
        </is>
      </c>
      <c r="C14" s="19" t="inlineStr">
        <is>
          <t>介護予防・日常生活圏域ニーズ調査、在宅介護実態調査結果の反映。令和7年度に実施した調査結果を反映させる。</t>
        </is>
      </c>
      <c r="D14" s="19" t="inlineStr">
        <is>
          <t>4-1 調査結果報告書の確認
4-2 集計データの整理
4-3 集計結果・分析報告書の作成
4-4 クロス集計の設計
4-5 個票によるクロス集計
4-6 レッドチームレビュー</t>
        </is>
      </c>
      <c r="E14" s="20" t="n">
        <v>6</v>
      </c>
      <c r="F14" s="21" t="inlineStr">
        <is>
          <t>○</t>
        </is>
      </c>
    </row>
    <row r="15">
      <c r="A15" s="20" t="inlineStr">
        <is>
          <t>業務の内容</t>
        </is>
      </c>
      <c r="B15" s="20" t="inlineStr">
        <is>
          <t>4(2)</t>
        </is>
      </c>
      <c r="C15" s="19"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9" t="inlineStr">
        <is>
          <t>2-9 介護保険財政の分析
7-1 算定シートの構築
7-2 保険料算定のケース設定の確定
7-3 被保険者数・認定者数の推計
7-4 サービス見込量の推計
7-5 見える化システムへの入力作業
7-6 保険料のケース別算定
7-9 総合事業費の上限額の確認</t>
        </is>
      </c>
      <c r="E15" s="20" t="n">
        <v>8</v>
      </c>
      <c r="F15" s="21" t="inlineStr">
        <is>
          <t>○</t>
        </is>
      </c>
    </row>
    <row r="16">
      <c r="A16" s="20" t="inlineStr">
        <is>
          <t>業務の内容</t>
        </is>
      </c>
      <c r="B16" s="20" t="inlineStr">
        <is>
          <t>4(3)</t>
        </is>
      </c>
      <c r="C16" s="19"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9" t="inlineStr">
        <is>
          <t>6-1 骨子案の作成
6-2 骨子案の協議（協議会）
8-1 素案の作成
8-2 成果指標の目標値案の作成
8-4 見込量・保険料・成果指標の反映
8-5 素案の協議（協議会）
8-7 介護給付適正化計画の位置づけと主要3事業の定量目標
8-8 在宅医療・介護連携の目指すべき姿の設定
8-9 素案の構成・体裁の点検（他団体の第10期計画との対比）</t>
        </is>
      </c>
      <c r="E16" s="20" t="n">
        <v>9</v>
      </c>
      <c r="F16" s="21" t="inlineStr">
        <is>
          <t>○</t>
        </is>
      </c>
    </row>
    <row r="17">
      <c r="A17" s="20" t="inlineStr">
        <is>
          <t>業務の内容</t>
        </is>
      </c>
      <c r="B17" s="20" t="inlineStr">
        <is>
          <t>4(4)</t>
        </is>
      </c>
      <c r="C17" s="19" t="inlineStr">
        <is>
          <t>最終調整及び計画書の作成・取りまとめ。（1）から（3）の結果を踏まえ、小野町高齢者保健福祉計画・第10期介護保険事業計画書を作成するものとする。</t>
        </is>
      </c>
      <c r="D17" s="19" t="inlineStr">
        <is>
          <t>10-1 計画書の原稿確定</t>
        </is>
      </c>
      <c r="E17" s="20" t="n">
        <v>1</v>
      </c>
      <c r="F17" s="21" t="inlineStr">
        <is>
          <t>○</t>
        </is>
      </c>
    </row>
    <row r="18">
      <c r="A18" s="20" t="inlineStr">
        <is>
          <t>業務の内容</t>
        </is>
      </c>
      <c r="B18" s="20" t="inlineStr">
        <is>
          <t>4(5)</t>
        </is>
      </c>
      <c r="C18" s="19"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9"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20" t="n">
        <v>11</v>
      </c>
      <c r="F18" s="21" t="inlineStr">
        <is>
          <t>○</t>
        </is>
      </c>
    </row>
    <row r="19">
      <c r="A19" s="20" t="inlineStr">
        <is>
          <t>成果品</t>
        </is>
      </c>
      <c r="B19" s="20" t="inlineStr">
        <is>
          <t>成果品①</t>
        </is>
      </c>
      <c r="C19" s="19" t="inlineStr">
        <is>
          <t>（1）介護保険給付費等分析結果報告書　※データ（CD-R）1部、冊子（簡易製本）3部</t>
        </is>
      </c>
      <c r="D19" s="19" t="inlineStr">
        <is>
          <t>3-1 給付費等分析結果報告書の作成
3-3 成果品①の製本・納品</t>
        </is>
      </c>
      <c r="E19" s="20" t="n">
        <v>2</v>
      </c>
      <c r="F19" s="21" t="inlineStr">
        <is>
          <t>○</t>
        </is>
      </c>
    </row>
    <row r="20">
      <c r="A20" s="20" t="inlineStr">
        <is>
          <t>成果品</t>
        </is>
      </c>
      <c r="B20" s="20" t="inlineStr">
        <is>
          <t>成果品②</t>
        </is>
      </c>
      <c r="C20" s="19" t="inlineStr">
        <is>
          <t>（2）サービス見込量推計結果報告書　※データ（CD-R）1部、冊子（簡易製本）3部</t>
        </is>
      </c>
      <c r="D20" s="19" t="inlineStr">
        <is>
          <t>7-7 サービス見込量推計結果報告書の作成
7-8 成果品②の製本・納品</t>
        </is>
      </c>
      <c r="E20" s="20" t="n">
        <v>2</v>
      </c>
      <c r="F20" s="21" t="inlineStr">
        <is>
          <t>○</t>
        </is>
      </c>
    </row>
    <row r="21">
      <c r="A21" s="20" t="inlineStr">
        <is>
          <t>成果品</t>
        </is>
      </c>
      <c r="B21" s="20" t="inlineStr">
        <is>
          <t>成果品③</t>
        </is>
      </c>
      <c r="C21" s="19" t="inlineStr">
        <is>
          <t>（3）小野町高齢者保健福祉計画・第10期介護保険事業計画骨子案　※データ（CD-R）1部、冊子（簡易製本）3部</t>
        </is>
      </c>
      <c r="D21" s="19" t="inlineStr">
        <is>
          <t>6-1 骨子案の作成
6-3 成果品③の製本・納品</t>
        </is>
      </c>
      <c r="E21" s="20" t="n">
        <v>2</v>
      </c>
      <c r="F21" s="21" t="inlineStr">
        <is>
          <t>○</t>
        </is>
      </c>
    </row>
    <row r="22">
      <c r="A22" s="20" t="inlineStr">
        <is>
          <t>成果品</t>
        </is>
      </c>
      <c r="B22" s="20" t="inlineStr">
        <is>
          <t>成果品④</t>
        </is>
      </c>
      <c r="C22" s="19" t="inlineStr">
        <is>
          <t>（4）小野町高齢者保健福祉計画・第10期介護保険事業計画素案　※データ（CD-R）1部、冊子（簡易製本）3部</t>
        </is>
      </c>
      <c r="D22" s="19" t="inlineStr">
        <is>
          <t>8-1 素案の作成
8-6 成果品④の製本・納品</t>
        </is>
      </c>
      <c r="E22" s="20" t="n">
        <v>2</v>
      </c>
      <c r="F22" s="21" t="inlineStr">
        <is>
          <t>○</t>
        </is>
      </c>
    </row>
    <row r="23">
      <c r="A23" s="20" t="inlineStr">
        <is>
          <t>成果品</t>
        </is>
      </c>
      <c r="B23" s="20" t="inlineStr">
        <is>
          <t>成果品⑤</t>
        </is>
      </c>
      <c r="C23" s="19" t="inlineStr">
        <is>
          <t>（5）小野町高齢者保健福祉計画・第10期介護保険事業計画　※データ（CD-R）1部、計画書印刷50部＜仕様＞A4版、4色刷り、80頁程度</t>
        </is>
      </c>
      <c r="D23" s="19" t="inlineStr">
        <is>
          <t>10-2 レイアウト・組版
10-3 校正（初校・再校・校了）
10-6 印刷・製本
10-9 印刷の発注準備</t>
        </is>
      </c>
      <c r="E23" s="20" t="n">
        <v>4</v>
      </c>
      <c r="F23" s="21" t="inlineStr">
        <is>
          <t>○</t>
        </is>
      </c>
    </row>
    <row r="24">
      <c r="A24" s="20" t="inlineStr">
        <is>
          <t>成果品</t>
        </is>
      </c>
      <c r="B24" s="20" t="inlineStr">
        <is>
          <t>成果品⑥</t>
        </is>
      </c>
      <c r="C24" s="19" t="inlineStr">
        <is>
          <t>（6）小野町高齢者保健福祉計画・第10期介護保険事業計画概要版　※データ（CD-R）1部、概要版印刷50部＜仕様＞A4版、4色刷り、8頁</t>
        </is>
      </c>
      <c r="D24" s="19" t="inlineStr">
        <is>
          <t>10-4 概要版の構成案
10-5 概要版の作成
10-6 印刷・製本
10-9 印刷の発注準備</t>
        </is>
      </c>
      <c r="E24" s="20" t="n">
        <v>4</v>
      </c>
      <c r="F24" s="21" t="inlineStr">
        <is>
          <t>○</t>
        </is>
      </c>
    </row>
    <row r="25">
      <c r="A25" s="20" t="inlineStr">
        <is>
          <t>成果品</t>
        </is>
      </c>
      <c r="B25" s="20" t="inlineStr">
        <is>
          <t>成果品</t>
        </is>
      </c>
      <c r="C25" s="19" t="inlineStr">
        <is>
          <t>（1）〜（4）のデータ（CD-R）1部、冊子（簡易製本）各3部／（5）（6）のデータ（CD-R）1部、計画書印刷50部／概要版印刷50部</t>
        </is>
      </c>
      <c r="D25" s="19" t="inlineStr">
        <is>
          <t>10-7 データCD-Rの作成
11-4 成果品の体裁の統一と機械点検</t>
        </is>
      </c>
      <c r="E25" s="20" t="n">
        <v>2</v>
      </c>
      <c r="F25" s="21" t="inlineStr">
        <is>
          <t>○</t>
        </is>
      </c>
    </row>
    <row r="26">
      <c r="A26" s="20" t="inlineStr">
        <is>
          <t>その他</t>
        </is>
      </c>
      <c r="B26" s="20" t="inlineStr">
        <is>
          <t>5(1)</t>
        </is>
      </c>
      <c r="C26" s="19" t="inlineStr">
        <is>
          <t>本業務の実施に必要な資料等は、小野町が受託者に貸与するものとする。</t>
        </is>
      </c>
      <c r="D26" s="19" t="inlineStr">
        <is>
          <t>1-6 町への資料依頼票の作成
1-7 町データの受領</t>
        </is>
      </c>
      <c r="E26" s="20" t="n">
        <v>2</v>
      </c>
      <c r="F26" s="21" t="inlineStr">
        <is>
          <t>○</t>
        </is>
      </c>
    </row>
    <row r="27">
      <c r="A27" s="20" t="inlineStr">
        <is>
          <t>その他</t>
        </is>
      </c>
      <c r="B27" s="20" t="inlineStr">
        <is>
          <t>5(2)</t>
        </is>
      </c>
      <c r="C27" s="19"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9" t="inlineStr">
        <is>
          <t>―</t>
        </is>
      </c>
      <c r="E27" s="20" t="n">
        <v>0</v>
      </c>
      <c r="F27" s="27" t="inlineStr">
        <is>
          <t>前提条項</t>
        </is>
      </c>
    </row>
    <row r="28">
      <c r="A28" s="20" t="inlineStr">
        <is>
          <t>その他</t>
        </is>
      </c>
      <c r="B28" s="20" t="inlineStr">
        <is>
          <t>5(3)</t>
        </is>
      </c>
      <c r="C28" s="19" t="inlineStr">
        <is>
          <t>本仕様書に定めのない事項及び疑義が生じた場合は、小野町と受託者で協議するものとする。</t>
        </is>
      </c>
      <c r="D28" s="19" t="inlineStr">
        <is>
          <t>1-8 工程・協議会日程の合意と確認事項の照会
11-6 ペンディング項目の整理と作業順位の管理</t>
        </is>
      </c>
      <c r="E28" s="20" t="n">
        <v>2</v>
      </c>
      <c r="F28" s="21" t="inlineStr">
        <is>
          <t>○</t>
        </is>
      </c>
    </row>
    <row r="29">
      <c r="A29" s="20" t="inlineStr">
        <is>
          <t>その他</t>
        </is>
      </c>
      <c r="B29" s="20" t="inlineStr">
        <is>
          <t>公告10⑥</t>
        </is>
      </c>
      <c r="C29" s="19" t="inlineStr">
        <is>
          <t>研究員は「見える化」システムやニーズ調査など各種データから介護給付費の統計分析により将来のサービス量を推計し計画化できる者（公告第1-19号 10⑥）</t>
        </is>
      </c>
      <c r="D29" s="19" t="inlineStr">
        <is>
          <t>1-1 契約・体制の確立、キックオフ</t>
        </is>
      </c>
      <c r="E29" s="20" t="n">
        <v>1</v>
      </c>
      <c r="F29" s="21"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9" t="inlineStr">
        <is>
          <t>B1 現状分析（基礎データ・資料の整理分析）</t>
        </is>
      </c>
      <c r="B2" s="19" t="inlineStr">
        <is>
          <t>4(1)</t>
        </is>
      </c>
      <c r="C2" s="20">
        <f>COUNTIF('01_WBS'!$E$2:$E$78,$A2)</f>
        <v/>
      </c>
      <c r="D2" s="20">
        <f>COUNTIFS('01_WBS'!$E$2:$E$78,$A2,'01_WBS'!$K$2:$K$78,"完了")</f>
        <v/>
      </c>
      <c r="E2" s="20">
        <f>COUNTIFS('01_WBS'!$E$2:$E$78,$A2,'01_WBS'!$K$2:$K$78,"進行中")</f>
        <v/>
      </c>
      <c r="F2" s="20">
        <f>COUNTIFS('01_WBS'!$E$2:$E$78,$A2,'01_WBS'!$K$2:$K$78,"要対応")</f>
        <v/>
      </c>
      <c r="G2" s="20">
        <f>COUNTIFS('01_WBS'!$E$2:$E$78,$A2,'01_WBS'!$K$2:$K$78,"データ待ち")</f>
        <v/>
      </c>
      <c r="H2" s="20">
        <f>COUNTIFS('01_WBS'!$E$2:$E$78,$A2,'01_WBS'!$K$2:$K$78,"未着手")</f>
        <v/>
      </c>
      <c r="I2" s="28">
        <f>IF(SUMPRODUCT(('01_WBS'!$E$2:$E$78=$A2)*'01_WBS'!$M$2:$M$78)=0,"―",SUMPRODUCT(('01_WBS'!$E$2:$E$78=$A2)*'01_WBS'!$L$2:$L$78*'01_WBS'!$M$2:$M$78)/SUMPRODUCT(('01_WBS'!$E$2:$E$78=$A2)*'01_WBS'!$M$2:$M$78)/100)</f>
        <v/>
      </c>
      <c r="J2" s="19" t="inlineStr">
        <is>
          <t>**第9期計画・第3期地域福祉計画の確認は完了。年報・国保連月報・将来推計人口・総合事業ワークシート・令和8年度交付金の集計表を受領した。残るのは地域支援事業費の内訳と令和7年度決算、成果指標の現状値**</t>
        </is>
      </c>
    </row>
    <row r="3">
      <c r="A3" s="19" t="inlineStr">
        <is>
          <t>B2 統計分析</t>
        </is>
      </c>
      <c r="B3" s="19" t="inlineStr">
        <is>
          <t>4(1)①ア、4(1)①イ、4(1)①ウ、4(1)①エ、4(1)①オ</t>
        </is>
      </c>
      <c r="C3" s="20">
        <f>COUNTIF('01_WBS'!$E$2:$E$78,$A3)</f>
        <v/>
      </c>
      <c r="D3" s="20">
        <f>COUNTIFS('01_WBS'!$E$2:$E$78,$A3,'01_WBS'!$K$2:$K$78,"完了")</f>
        <v/>
      </c>
      <c r="E3" s="20">
        <f>COUNTIFS('01_WBS'!$E$2:$E$78,$A3,'01_WBS'!$K$2:$K$78,"進行中")</f>
        <v/>
      </c>
      <c r="F3" s="20">
        <f>COUNTIFS('01_WBS'!$E$2:$E$78,$A3,'01_WBS'!$K$2:$K$78,"要対応")</f>
        <v/>
      </c>
      <c r="G3" s="20">
        <f>COUNTIFS('01_WBS'!$E$2:$E$78,$A3,'01_WBS'!$K$2:$K$78,"データ待ち")</f>
        <v/>
      </c>
      <c r="H3" s="20">
        <f>COUNTIFS('01_WBS'!$E$2:$E$78,$A3,'01_WBS'!$K$2:$K$78,"未着手")</f>
        <v/>
      </c>
      <c r="I3" s="28">
        <f>IF(SUMPRODUCT(('01_WBS'!$E$2:$E$78=$A3)*'01_WBS'!$M$2:$M$78)=0,"―",SUMPRODUCT(('01_WBS'!$E$2:$E$78=$A3)*'01_WBS'!$L$2:$L$78*'01_WBS'!$M$2:$M$78)/SUMPRODUCT(('01_WBS'!$E$2:$E$78=$A3)*'01_WBS'!$M$2:$M$78)/100)</f>
        <v/>
      </c>
      <c r="J3" s="19" t="inlineStr">
        <is>
          <t>**認定者数792人は年報で裏付けられた。論点は令和7年8〜9月の計上変更に絞られた。交付金は市町村分の集計表により項目ごとに追えるようになった（537点／800点）。介護予防（総合事業・通いの場）のデータ欠落は残る**</t>
        </is>
      </c>
    </row>
    <row r="4">
      <c r="A4" s="19" t="inlineStr">
        <is>
          <t>B3 介護保険給付費等の分析</t>
        </is>
      </c>
      <c r="B4" s="19" t="inlineStr">
        <is>
          <t>4(1)②</t>
        </is>
      </c>
      <c r="C4" s="20">
        <f>COUNTIF('01_WBS'!$E$2:$E$78,$A4)</f>
        <v/>
      </c>
      <c r="D4" s="20">
        <f>COUNTIFS('01_WBS'!$E$2:$E$78,$A4,'01_WBS'!$K$2:$K$78,"完了")</f>
        <v/>
      </c>
      <c r="E4" s="20">
        <f>COUNTIFS('01_WBS'!$E$2:$E$78,$A4,'01_WBS'!$K$2:$K$78,"進行中")</f>
        <v/>
      </c>
      <c r="F4" s="20">
        <f>COUNTIFS('01_WBS'!$E$2:$E$78,$A4,'01_WBS'!$K$2:$K$78,"要対応")</f>
        <v/>
      </c>
      <c r="G4" s="20">
        <f>COUNTIFS('01_WBS'!$E$2:$E$78,$A4,'01_WBS'!$K$2:$K$78,"データ待ち")</f>
        <v/>
      </c>
      <c r="H4" s="20">
        <f>COUNTIFS('01_WBS'!$E$2:$E$78,$A4,'01_WBS'!$K$2:$K$78,"未着手")</f>
        <v/>
      </c>
      <c r="I4" s="28">
        <f>IF(SUMPRODUCT(('01_WBS'!$E$2:$E$78=$A4)*'01_WBS'!$M$2:$M$78)=0,"―",SUMPRODUCT(('01_WBS'!$E$2:$E$78=$A4)*'01_WBS'!$L$2:$L$78*'01_WBS'!$M$2:$M$78)/SUMPRODUCT(('01_WBS'!$E$2:$E$78=$A4)*'01_WBS'!$M$2:$M$78)/100)</f>
        <v/>
      </c>
      <c r="J4" s="19" t="inlineStr">
        <is>
          <t>成果品①は第5版。町の給付実績で数値を確定する段階</t>
        </is>
      </c>
    </row>
    <row r="5">
      <c r="A5" s="19" t="inlineStr">
        <is>
          <t>B4 令和7年度調査結果の反映</t>
        </is>
      </c>
      <c r="B5" s="19" t="inlineStr">
        <is>
          <t>4(1)③</t>
        </is>
      </c>
      <c r="C5" s="20">
        <f>COUNTIF('01_WBS'!$E$2:$E$78,$A5)</f>
        <v/>
      </c>
      <c r="D5" s="20">
        <f>COUNTIFS('01_WBS'!$E$2:$E$78,$A5,'01_WBS'!$K$2:$K$78,"完了")</f>
        <v/>
      </c>
      <c r="E5" s="20">
        <f>COUNTIFS('01_WBS'!$E$2:$E$78,$A5,'01_WBS'!$K$2:$K$78,"進行中")</f>
        <v/>
      </c>
      <c r="F5" s="20">
        <f>COUNTIFS('01_WBS'!$E$2:$E$78,$A5,'01_WBS'!$K$2:$K$78,"要対応")</f>
        <v/>
      </c>
      <c r="G5" s="20">
        <f>COUNTIFS('01_WBS'!$E$2:$E$78,$A5,'01_WBS'!$K$2:$K$78,"データ待ち")</f>
        <v/>
      </c>
      <c r="H5" s="20">
        <f>COUNTIFS('01_WBS'!$E$2:$E$78,$A5,'01_WBS'!$K$2:$K$78,"未着手")</f>
        <v/>
      </c>
      <c r="I5" s="28">
        <f>IF(SUMPRODUCT(('01_WBS'!$E$2:$E$78=$A5)*'01_WBS'!$M$2:$M$78)=0,"―",SUMPRODUCT(('01_WBS'!$E$2:$E$78=$A5)*'01_WBS'!$L$2:$L$78*'01_WBS'!$M$2:$M$78)/SUMPRODUCT(('01_WBS'!$E$2:$E$78=$A5)*'01_WBS'!$M$2:$M$78)/100)</f>
        <v/>
      </c>
      <c r="J5" s="19" t="inlineStr">
        <is>
          <t>**単純集計は完了。個票がないとクロス集計17件ができない**</t>
        </is>
      </c>
    </row>
    <row r="6">
      <c r="A6" s="19" t="inlineStr">
        <is>
          <t>B5 事業量推計・保険料算出・介護財政</t>
        </is>
      </c>
      <c r="B6" s="19" t="inlineStr">
        <is>
          <t>4(2)</t>
        </is>
      </c>
      <c r="C6" s="20">
        <f>COUNTIF('01_WBS'!$E$2:$E$78,$A6)</f>
        <v/>
      </c>
      <c r="D6" s="20">
        <f>COUNTIFS('01_WBS'!$E$2:$E$78,$A6,'01_WBS'!$K$2:$K$78,"完了")</f>
        <v/>
      </c>
      <c r="E6" s="20">
        <f>COUNTIFS('01_WBS'!$E$2:$E$78,$A6,'01_WBS'!$K$2:$K$78,"進行中")</f>
        <v/>
      </c>
      <c r="F6" s="20">
        <f>COUNTIFS('01_WBS'!$E$2:$E$78,$A6,'01_WBS'!$K$2:$K$78,"要対応")</f>
        <v/>
      </c>
      <c r="G6" s="20">
        <f>COUNTIFS('01_WBS'!$E$2:$E$78,$A6,'01_WBS'!$K$2:$K$78,"データ待ち")</f>
        <v/>
      </c>
      <c r="H6" s="20">
        <f>COUNTIFS('01_WBS'!$E$2:$E$78,$A6,'01_WBS'!$K$2:$K$78,"未着手")</f>
        <v/>
      </c>
      <c r="I6" s="28">
        <f>IF(SUMPRODUCT(('01_WBS'!$E$2:$E$78=$A6)*'01_WBS'!$M$2:$M$78)=0,"―",SUMPRODUCT(('01_WBS'!$E$2:$E$78=$A6)*'01_WBS'!$L$2:$L$78*'01_WBS'!$M$2:$M$78)/SUMPRODUCT(('01_WBS'!$E$2:$E$78=$A6)*'01_WBS'!$M$2:$M$78)/100)</f>
        <v/>
      </c>
      <c r="J6" s="19" t="inlineStr">
        <is>
          <t>**見込量・保険料の算定と見える化への入力は完了した（本計画6,100円／見える化6,600円の2案）。残るのは保険料水準の決定、基金取崩、報酬改定率・第1号被保険者負担割合、総合事業費の上限額の確認**</t>
        </is>
      </c>
    </row>
    <row r="7">
      <c r="A7" s="19" t="inlineStr">
        <is>
          <t>B6 骨子案・素案の作成</t>
        </is>
      </c>
      <c r="B7" s="19" t="inlineStr">
        <is>
          <t>4(3)</t>
        </is>
      </c>
      <c r="C7" s="20">
        <f>COUNTIF('01_WBS'!$E$2:$E$78,$A7)</f>
        <v/>
      </c>
      <c r="D7" s="20">
        <f>COUNTIFS('01_WBS'!$E$2:$E$78,$A7,'01_WBS'!$K$2:$K$78,"完了")</f>
        <v/>
      </c>
      <c r="E7" s="20">
        <f>COUNTIFS('01_WBS'!$E$2:$E$78,$A7,'01_WBS'!$K$2:$K$78,"進行中")</f>
        <v/>
      </c>
      <c r="F7" s="20">
        <f>COUNTIFS('01_WBS'!$E$2:$E$78,$A7,'01_WBS'!$K$2:$K$78,"要対応")</f>
        <v/>
      </c>
      <c r="G7" s="20">
        <f>COUNTIFS('01_WBS'!$E$2:$E$78,$A7,'01_WBS'!$K$2:$K$78,"データ待ち")</f>
        <v/>
      </c>
      <c r="H7" s="20">
        <f>COUNTIFS('01_WBS'!$E$2:$E$78,$A7,'01_WBS'!$K$2:$K$78,"未着手")</f>
        <v/>
      </c>
      <c r="I7" s="28">
        <f>IF(SUMPRODUCT(('01_WBS'!$E$2:$E$78=$A7)*'01_WBS'!$M$2:$M$78)=0,"―",SUMPRODUCT(('01_WBS'!$E$2:$E$78=$A7)*'01_WBS'!$L$2:$L$78*'01_WBS'!$M$2:$M$78)/SUMPRODUCT(('01_WBS'!$E$2:$E$78=$A7)*'01_WBS'!$M$2:$M$78)/100)</f>
        <v/>
      </c>
      <c r="J7" s="19" t="inlineStr">
        <is>
          <t>**骨子案第3版・素案第6版・成果指標の目標値案まで到達。見込量と保険料は反映済みで、受託者が算定すべき未確定箇所は0件。残るのは成果指標の目標値（協議会）と町データ42箇所**</t>
        </is>
      </c>
    </row>
    <row r="8">
      <c r="A8" s="19" t="inlineStr">
        <is>
          <t>B7 最終調整及び計画書の作成</t>
        </is>
      </c>
      <c r="B8" s="19" t="inlineStr">
        <is>
          <t>4(4)</t>
        </is>
      </c>
      <c r="C8" s="20">
        <f>COUNTIF('01_WBS'!$E$2:$E$78,$A8)</f>
        <v/>
      </c>
      <c r="D8" s="20">
        <f>COUNTIFS('01_WBS'!$E$2:$E$78,$A8,'01_WBS'!$K$2:$K$78,"完了")</f>
        <v/>
      </c>
      <c r="E8" s="20">
        <f>COUNTIFS('01_WBS'!$E$2:$E$78,$A8,'01_WBS'!$K$2:$K$78,"進行中")</f>
        <v/>
      </c>
      <c r="F8" s="20">
        <f>COUNTIFS('01_WBS'!$E$2:$E$78,$A8,'01_WBS'!$K$2:$K$78,"要対応")</f>
        <v/>
      </c>
      <c r="G8" s="20">
        <f>COUNTIFS('01_WBS'!$E$2:$E$78,$A8,'01_WBS'!$K$2:$K$78,"データ待ち")</f>
        <v/>
      </c>
      <c r="H8" s="20">
        <f>COUNTIFS('01_WBS'!$E$2:$E$78,$A8,'01_WBS'!$K$2:$K$78,"未着手")</f>
        <v/>
      </c>
      <c r="I8" s="28">
        <f>IF(SUMPRODUCT(('01_WBS'!$E$2:$E$78=$A8)*'01_WBS'!$M$2:$M$78)=0,"―",SUMPRODUCT(('01_WBS'!$E$2:$E$78=$A8)*'01_WBS'!$L$2:$L$78*'01_WBS'!$M$2:$M$78)/SUMPRODUCT(('01_WBS'!$E$2:$E$78=$A8)*'01_WBS'!$M$2:$M$78)/100)</f>
        <v/>
      </c>
      <c r="J8" s="19" t="inlineStr">
        <is>
          <t>パブリックコメント後に着手する。時期が来ていない</t>
        </is>
      </c>
    </row>
    <row r="9">
      <c r="A9" s="19" t="inlineStr">
        <is>
          <t>B8 協議会・パブリックコメントの支援</t>
        </is>
      </c>
      <c r="B9" s="19" t="inlineStr">
        <is>
          <t>4(5)</t>
        </is>
      </c>
      <c r="C9" s="20">
        <f>COUNTIF('01_WBS'!$E$2:$E$78,$A9)</f>
        <v/>
      </c>
      <c r="D9" s="20">
        <f>COUNTIFS('01_WBS'!$E$2:$E$78,$A9,'01_WBS'!$K$2:$K$78,"完了")</f>
        <v/>
      </c>
      <c r="E9" s="20">
        <f>COUNTIFS('01_WBS'!$E$2:$E$78,$A9,'01_WBS'!$K$2:$K$78,"進行中")</f>
        <v/>
      </c>
      <c r="F9" s="20">
        <f>COUNTIFS('01_WBS'!$E$2:$E$78,$A9,'01_WBS'!$K$2:$K$78,"要対応")</f>
        <v/>
      </c>
      <c r="G9" s="20">
        <f>COUNTIFS('01_WBS'!$E$2:$E$78,$A9,'01_WBS'!$K$2:$K$78,"データ待ち")</f>
        <v/>
      </c>
      <c r="H9" s="20">
        <f>COUNTIFS('01_WBS'!$E$2:$E$78,$A9,'01_WBS'!$K$2:$K$78,"未着手")</f>
        <v/>
      </c>
      <c r="I9" s="28">
        <f>IF(SUMPRODUCT(('01_WBS'!$E$2:$E$78=$A9)*'01_WBS'!$M$2:$M$78)=0,"―",SUMPRODUCT(('01_WBS'!$E$2:$E$78=$A9)*'01_WBS'!$L$2:$L$78*'01_WBS'!$M$2:$M$78)/SUMPRODUCT(('01_WBS'!$E$2:$E$78=$A9)*'01_WBS'!$M$2:$M$78)/100)</f>
        <v/>
      </c>
      <c r="J9" s="19" t="inlineStr">
        <is>
          <t>**資料と様式は揃っている。協議会の開催回数・時期が未定で工程が引けない**</t>
        </is>
      </c>
    </row>
    <row r="10">
      <c r="A10" s="19" t="inlineStr">
        <is>
          <t>B9 成果品の納品</t>
        </is>
      </c>
      <c r="B10" s="19" t="inlineStr">
        <is>
          <t>成果品①、成果品②、成果品③、成果品④、成果品⑤、成果品⑥ ほか</t>
        </is>
      </c>
      <c r="C10" s="20">
        <f>COUNTIF('01_WBS'!$E$2:$E$78,$A10)</f>
        <v/>
      </c>
      <c r="D10" s="20">
        <f>COUNTIFS('01_WBS'!$E$2:$E$78,$A10,'01_WBS'!$K$2:$K$78,"完了")</f>
        <v/>
      </c>
      <c r="E10" s="20">
        <f>COUNTIFS('01_WBS'!$E$2:$E$78,$A10,'01_WBS'!$K$2:$K$78,"進行中")</f>
        <v/>
      </c>
      <c r="F10" s="20">
        <f>COUNTIFS('01_WBS'!$E$2:$E$78,$A10,'01_WBS'!$K$2:$K$78,"要対応")</f>
        <v/>
      </c>
      <c r="G10" s="20">
        <f>COUNTIFS('01_WBS'!$E$2:$E$78,$A10,'01_WBS'!$K$2:$K$78,"データ待ち")</f>
        <v/>
      </c>
      <c r="H10" s="20">
        <f>COUNTIFS('01_WBS'!$E$2:$E$78,$A10,'01_WBS'!$K$2:$K$78,"未着手")</f>
        <v/>
      </c>
      <c r="I10" s="28">
        <f>IF(SUMPRODUCT(('01_WBS'!$E$2:$E$78=$A10)*'01_WBS'!$M$2:$M$78)=0,"―",SUMPRODUCT(('01_WBS'!$E$2:$E$78=$A10)*'01_WBS'!$L$2:$L$78*'01_WBS'!$M$2:$M$78)/SUMPRODUCT(('01_WBS'!$E$2:$E$78=$A10)*'01_WBS'!$M$2:$M$78)/100)</f>
        <v/>
      </c>
      <c r="J10" s="19" t="inlineStr">
        <is>
          <t>**製本・印刷が納品仕様に含まれる。令和9年2月下旬の校了が動かせない期限**</t>
        </is>
      </c>
    </row>
    <row r="11">
      <c r="A11" s="19" t="inlineStr">
        <is>
          <t>B10 業務管理・計画の基本的な考え方</t>
        </is>
      </c>
      <c r="B11" s="19" t="inlineStr">
        <is>
          <t>1、2(1)、2(2)、2(3)、3、5(1) ほか</t>
        </is>
      </c>
      <c r="C11" s="20">
        <f>COUNTIF('01_WBS'!$E$2:$E$78,$A11)</f>
        <v/>
      </c>
      <c r="D11" s="20">
        <f>COUNTIFS('01_WBS'!$E$2:$E$78,$A11,'01_WBS'!$K$2:$K$78,"完了")</f>
        <v/>
      </c>
      <c r="E11" s="20">
        <f>COUNTIFS('01_WBS'!$E$2:$E$78,$A11,'01_WBS'!$K$2:$K$78,"進行中")</f>
        <v/>
      </c>
      <c r="F11" s="20">
        <f>COUNTIFS('01_WBS'!$E$2:$E$78,$A11,'01_WBS'!$K$2:$K$78,"要対応")</f>
        <v/>
      </c>
      <c r="G11" s="20">
        <f>COUNTIFS('01_WBS'!$E$2:$E$78,$A11,'01_WBS'!$K$2:$K$78,"データ待ち")</f>
        <v/>
      </c>
      <c r="H11" s="20">
        <f>COUNTIFS('01_WBS'!$E$2:$E$78,$A11,'01_WBS'!$K$2:$K$78,"未着手")</f>
        <v/>
      </c>
      <c r="I11" s="28">
        <f>IF(SUMPRODUCT(('01_WBS'!$E$2:$E$78=$A11)*'01_WBS'!$M$2:$M$78)=0,"―",SUMPRODUCT(('01_WBS'!$E$2:$E$78=$A11)*'01_WBS'!$L$2:$L$78*'01_WBS'!$M$2:$M$78)/SUMPRODUCT(('01_WBS'!$E$2:$E$78=$A11)*'01_WBS'!$M$2:$M$78)/100)</f>
        <v/>
      </c>
      <c r="J11" s="19" t="inlineStr">
        <is>
          <t>**仕様書の適合性チェック・データ依頼票・打合せ資料一式は完了。工程と協議会日程の合意、決定11件が残る**</t>
        </is>
      </c>
    </row>
    <row r="12">
      <c r="A12" s="19" t="inlineStr">
        <is>
          <t>B11 仕様書に定めのない作業</t>
        </is>
      </c>
      <c r="B12" s="19" t="inlineStr">
        <is>
          <t>（該当条項なし）</t>
        </is>
      </c>
      <c r="C12" s="20">
        <f>COUNTIF('01_WBS'!$E$2:$E$78,$A12)</f>
        <v/>
      </c>
      <c r="D12" s="20">
        <f>COUNTIFS('01_WBS'!$E$2:$E$78,$A12,'01_WBS'!$K$2:$K$78,"完了")</f>
        <v/>
      </c>
      <c r="E12" s="20">
        <f>COUNTIFS('01_WBS'!$E$2:$E$78,$A12,'01_WBS'!$K$2:$K$78,"進行中")</f>
        <v/>
      </c>
      <c r="F12" s="20">
        <f>COUNTIFS('01_WBS'!$E$2:$E$78,$A12,'01_WBS'!$K$2:$K$78,"要対応")</f>
        <v/>
      </c>
      <c r="G12" s="20">
        <f>COUNTIFS('01_WBS'!$E$2:$E$78,$A12,'01_WBS'!$K$2:$K$78,"データ待ち")</f>
        <v/>
      </c>
      <c r="H12" s="20">
        <f>COUNTIFS('01_WBS'!$E$2:$E$78,$A12,'01_WBS'!$K$2:$K$78,"未着手")</f>
        <v/>
      </c>
      <c r="I12" s="28">
        <f>IF(SUMPRODUCT(('01_WBS'!$E$2:$E$78=$A12)*'01_WBS'!$M$2:$M$78)=0,"―",SUMPRODUCT(('01_WBS'!$E$2:$E$78=$A12)*'01_WBS'!$L$2:$L$78*'01_WBS'!$M$2:$M$78)/SUMPRODUCT(('01_WBS'!$E$2:$E$78=$A12)*'01_WBS'!$M$2:$M$78)/100)</f>
        <v/>
      </c>
      <c r="J12" s="19" t="inlineStr">
        <is>
          <t>該当なし。仕様書のいずれかの条項に紐づかない作業が発生した場合はここに現れる</t>
        </is>
      </c>
    </row>
    <row r="13">
      <c r="A13" s="29" t="inlineStr">
        <is>
          <t>合計</t>
        </is>
      </c>
      <c r="B13" s="29" t="inlineStr"/>
      <c r="C13" s="30">
        <f>SUM(C2:C12)</f>
        <v/>
      </c>
      <c r="D13" s="30">
        <f>SUM(D2:D12)</f>
        <v/>
      </c>
      <c r="E13" s="30">
        <f>SUM(E2:E12)</f>
        <v/>
      </c>
      <c r="F13" s="30">
        <f>SUM(F2:F12)</f>
        <v/>
      </c>
      <c r="G13" s="30">
        <f>SUM(G2:G12)</f>
        <v/>
      </c>
      <c r="H13" s="30">
        <f>SUM(H2:H12)</f>
        <v/>
      </c>
      <c r="I13" s="31">
        <f>IF(SUM('01_WBS'!$M$2:$M$78)=0,0,SUMPRODUCT('01_WBS'!$L$2:$L$78,'01_WBS'!$M$2:$M$78)/SUM('01_WBS'!$M$2:$M$78)/100)</f>
        <v/>
      </c>
      <c r="J13" s="19"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9" t="inlineStr">
        <is>
          <t>P5 第9期の評価</t>
        </is>
      </c>
      <c r="B2" s="20" t="inlineStr">
        <is>
          <t>5-3</t>
        </is>
      </c>
      <c r="C2" s="19" t="inlineStr">
        <is>
          <t>施設整備方針との不整合の確認</t>
        </is>
      </c>
      <c r="D2" s="20" t="inlineStr">
        <is>
          <t>受託者・町</t>
        </is>
      </c>
      <c r="E2" s="20" t="inlineStr">
        <is>
          <t>2026-09</t>
        </is>
      </c>
      <c r="F2" s="20" t="inlineStr">
        <is>
          <t>2026-09</t>
        </is>
      </c>
      <c r="G2" s="27" t="inlineStr">
        <is>
          <t>未着手</t>
        </is>
      </c>
      <c r="H2" s="32" t="n">
        <v>0</v>
      </c>
      <c r="I2" s="32" t="n">
        <v>100</v>
      </c>
      <c r="J2" s="32" t="n">
        <v>-100</v>
      </c>
      <c r="K2" s="20" t="n">
        <v>1</v>
      </c>
      <c r="L2" s="25" t="inlineStr">
        <is>
          <t>期限超過（1か月）</t>
        </is>
      </c>
      <c r="M2" s="19" t="inlineStr">
        <is>
          <t>整備の経緯の確認（依頼票H15）</t>
        </is>
      </c>
    </row>
    <row r="3">
      <c r="A3" s="19" t="inlineStr">
        <is>
          <t>P9 意見聴取</t>
        </is>
      </c>
      <c r="B3" s="20" t="inlineStr">
        <is>
          <t>9-1</t>
        </is>
      </c>
      <c r="C3" s="19" t="inlineStr">
        <is>
          <t>協議会の開催回数・時期の確定</t>
        </is>
      </c>
      <c r="D3" s="20" t="inlineStr">
        <is>
          <t>町</t>
        </is>
      </c>
      <c r="E3" s="20" t="inlineStr">
        <is>
          <t>2026-08</t>
        </is>
      </c>
      <c r="F3" s="20" t="inlineStr">
        <is>
          <t>2026-08</t>
        </is>
      </c>
      <c r="G3" s="25" t="inlineStr">
        <is>
          <t>要対応</t>
        </is>
      </c>
      <c r="H3" s="32" t="n">
        <v>0</v>
      </c>
      <c r="I3" s="32" t="n">
        <v>100</v>
      </c>
      <c r="J3" s="32" t="n">
        <v>-100</v>
      </c>
      <c r="K3" s="20" t="n">
        <v>1</v>
      </c>
      <c r="L3" s="25" t="inlineStr">
        <is>
          <t>期限超過（2か月）</t>
        </is>
      </c>
      <c r="M3" s="19" t="inlineStr">
        <is>
          <t>**町との協議（依頼票C4）。これが決まらないと工程が引けない**</t>
        </is>
      </c>
    </row>
    <row r="4">
      <c r="A4" s="19" t="inlineStr">
        <is>
          <t>P4 調査結果の反映</t>
        </is>
      </c>
      <c r="B4" s="20" t="inlineStr">
        <is>
          <t>4-5</t>
        </is>
      </c>
      <c r="C4" s="19" t="inlineStr">
        <is>
          <t>個票によるクロス集計</t>
        </is>
      </c>
      <c r="D4" s="20" t="inlineStr">
        <is>
          <t>受託者</t>
        </is>
      </c>
      <c r="E4" s="20" t="inlineStr">
        <is>
          <t>2026-09</t>
        </is>
      </c>
      <c r="F4" s="20" t="inlineStr">
        <is>
          <t>2026-10</t>
        </is>
      </c>
      <c r="G4" s="26" t="inlineStr">
        <is>
          <t>データ待ち</t>
        </is>
      </c>
      <c r="H4" s="32" t="n">
        <v>0</v>
      </c>
      <c r="I4" s="32" t="n">
        <v>56.7</v>
      </c>
      <c r="J4" s="32" t="n">
        <v>-56.7</v>
      </c>
      <c r="K4" s="20" t="n">
        <v>3</v>
      </c>
      <c r="L4" s="26" t="inlineStr">
        <is>
          <t>遅れ</t>
        </is>
      </c>
      <c r="M4" s="19" t="inlineStr">
        <is>
          <t>**令和7年度調査の個票データ（依頼票H16）。地区情報の有無も要確認**</t>
        </is>
      </c>
    </row>
    <row r="5">
      <c r="A5" s="19" t="inlineStr">
        <is>
          <t>P9 意見聴取</t>
        </is>
      </c>
      <c r="B5" s="20" t="inlineStr">
        <is>
          <t>9-2</t>
        </is>
      </c>
      <c r="C5" s="19" t="inlineStr">
        <is>
          <t>協議会 第1回（第9期の評価・調査結果）</t>
        </is>
      </c>
      <c r="D5" s="20" t="inlineStr">
        <is>
          <t>受託者・町</t>
        </is>
      </c>
      <c r="E5" s="20" t="inlineStr">
        <is>
          <t>2026-08</t>
        </is>
      </c>
      <c r="F5" s="20" t="inlineStr">
        <is>
          <t>2026-09</t>
        </is>
      </c>
      <c r="G5" s="25" t="inlineStr">
        <is>
          <t>要対応</t>
        </is>
      </c>
      <c r="H5" s="32" t="n">
        <v>50</v>
      </c>
      <c r="I5" s="32" t="n">
        <v>100</v>
      </c>
      <c r="J5" s="32" t="n">
        <v>-50</v>
      </c>
      <c r="K5" s="20" t="n">
        <v>2</v>
      </c>
      <c r="L5" s="25" t="inlineStr">
        <is>
          <t>期限超過（1か月）</t>
        </is>
      </c>
      <c r="M5" s="19" t="inlineStr">
        <is>
          <t>**開催日が未定**</t>
        </is>
      </c>
    </row>
    <row r="6">
      <c r="A6" s="19" t="inlineStr">
        <is>
          <t>P2 統計分析</t>
        </is>
      </c>
      <c r="B6" s="20" t="inlineStr">
        <is>
          <t>2-6</t>
        </is>
      </c>
      <c r="C6" s="19" t="inlineStr">
        <is>
          <t>介護予防事業対象者数の分析</t>
        </is>
      </c>
      <c r="D6" s="20" t="inlineStr">
        <is>
          <t>受託者</t>
        </is>
      </c>
      <c r="E6" s="20" t="inlineStr">
        <is>
          <t>2026-08</t>
        </is>
      </c>
      <c r="F6" s="20" t="inlineStr">
        <is>
          <t>2026-10</t>
        </is>
      </c>
      <c r="G6" s="26" t="inlineStr">
        <is>
          <t>データ待ち</t>
        </is>
      </c>
      <c r="H6" s="32" t="n">
        <v>50</v>
      </c>
      <c r="I6" s="32" t="n">
        <v>71.40000000000001</v>
      </c>
      <c r="J6" s="32" t="n">
        <v>-21.4</v>
      </c>
      <c r="K6" s="20" t="n">
        <v>3</v>
      </c>
      <c r="L6" s="26" t="inlineStr">
        <is>
          <t>遅れ</t>
        </is>
      </c>
      <c r="M6"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row>
    <row r="7">
      <c r="A7" s="19" t="inlineStr">
        <is>
          <t>P1 準備・現状把握</t>
        </is>
      </c>
      <c r="B7" s="20" t="inlineStr">
        <is>
          <t>1-8</t>
        </is>
      </c>
      <c r="C7" s="19" t="inlineStr">
        <is>
          <t>工程・協議会日程の合意と確認事項の照会</t>
        </is>
      </c>
      <c r="D7" s="20" t="inlineStr">
        <is>
          <t>受託者・町</t>
        </is>
      </c>
      <c r="E7" s="20" t="inlineStr">
        <is>
          <t>2026-08</t>
        </is>
      </c>
      <c r="F7" s="20" t="inlineStr">
        <is>
          <t>2026-10</t>
        </is>
      </c>
      <c r="G7" s="25" t="inlineStr">
        <is>
          <t>要対応</t>
        </is>
      </c>
      <c r="H7" s="32" t="n">
        <v>55</v>
      </c>
      <c r="I7" s="32" t="n">
        <v>71.40000000000001</v>
      </c>
      <c r="J7" s="32" t="n">
        <v>-16.4</v>
      </c>
      <c r="K7" s="20" t="n">
        <v>2</v>
      </c>
      <c r="L7" s="26" t="inlineStr">
        <is>
          <t>遅れ</t>
        </is>
      </c>
      <c r="M7" s="19" t="inlineStr">
        <is>
          <t>**町との協議。協議会の回数が決まらないとP6・P8・P9・P10の日程が引けない。最も厳しい案Aでも第1回の期限は11月6日で、残りは1か月である**</t>
        </is>
      </c>
    </row>
    <row r="8">
      <c r="A8" s="19" t="inlineStr">
        <is>
          <t>P2 統計分析</t>
        </is>
      </c>
      <c r="B8" s="20" t="inlineStr">
        <is>
          <t>2-7</t>
        </is>
      </c>
      <c r="C8" s="19" t="inlineStr">
        <is>
          <t>認知症高齢者の分析</t>
        </is>
      </c>
      <c r="D8" s="20" t="inlineStr">
        <is>
          <t>受託者</t>
        </is>
      </c>
      <c r="E8" s="20" t="inlineStr">
        <is>
          <t>2026-08</t>
        </is>
      </c>
      <c r="F8" s="20" t="inlineStr">
        <is>
          <t>2026-08</t>
        </is>
      </c>
      <c r="G8" s="23" t="inlineStr">
        <is>
          <t>進行中</t>
        </is>
      </c>
      <c r="H8" s="32" t="n">
        <v>85</v>
      </c>
      <c r="I8" s="32" t="n">
        <v>100</v>
      </c>
      <c r="J8" s="32" t="n">
        <v>-15</v>
      </c>
      <c r="K8" s="20" t="n">
        <v>2</v>
      </c>
      <c r="L8" s="25" t="inlineStr">
        <is>
          <t>期限超過（2か月）</t>
        </is>
      </c>
      <c r="M8"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row>
    <row r="9">
      <c r="A9" s="19" t="inlineStr">
        <is>
          <t>P7 推計・算定</t>
        </is>
      </c>
      <c r="B9" s="20" t="inlineStr">
        <is>
          <t>7-9</t>
        </is>
      </c>
      <c r="C9" s="19" t="inlineStr">
        <is>
          <t>総合事業費の上限額の確認</t>
        </is>
      </c>
      <c r="D9" s="20" t="inlineStr">
        <is>
          <t>受託者・町</t>
        </is>
      </c>
      <c r="E9" s="20" t="inlineStr">
        <is>
          <t>2026-09</t>
        </is>
      </c>
      <c r="F9" s="20" t="inlineStr">
        <is>
          <t>2026-11</t>
        </is>
      </c>
      <c r="G9" s="26" t="inlineStr">
        <is>
          <t>データ待ち</t>
        </is>
      </c>
      <c r="H9" s="32" t="n">
        <v>25</v>
      </c>
      <c r="I9" s="32" t="n">
        <v>37.8</v>
      </c>
      <c r="J9" s="32" t="n">
        <v>-12.8</v>
      </c>
      <c r="K9" s="20" t="n">
        <v>3</v>
      </c>
      <c r="L9" s="26" t="inlineStr">
        <is>
          <t>遅れ</t>
        </is>
      </c>
      <c r="M9"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row>
    <row r="10">
      <c r="A10" s="19" t="inlineStr">
        <is>
          <t>P3 給付費等の分析</t>
        </is>
      </c>
      <c r="B10" s="20" t="inlineStr">
        <is>
          <t>3-2</t>
        </is>
      </c>
      <c r="C10" s="19" t="inlineStr">
        <is>
          <t>町の給付実績との突合</t>
        </is>
      </c>
      <c r="D10" s="20" t="inlineStr">
        <is>
          <t>受託者</t>
        </is>
      </c>
      <c r="E10" s="20" t="inlineStr">
        <is>
          <t>2026-09</t>
        </is>
      </c>
      <c r="F10" s="20" t="inlineStr">
        <is>
          <t>2026-10</t>
        </is>
      </c>
      <c r="G10" s="23" t="inlineStr">
        <is>
          <t>進行中</t>
        </is>
      </c>
      <c r="H10" s="32" t="n">
        <v>50</v>
      </c>
      <c r="I10" s="32" t="n">
        <v>56.7</v>
      </c>
      <c r="J10" s="32" t="n">
        <v>-6.7</v>
      </c>
      <c r="K10" s="20" t="n">
        <v>3</v>
      </c>
      <c r="L10" s="21" t="inlineStr">
        <is>
          <t>おおむね予定どおり</t>
        </is>
      </c>
      <c r="M10" s="19" t="inlineStr">
        <is>
          <t>見える化システムの値との突合作業</t>
        </is>
      </c>
    </row>
    <row r="11">
      <c r="A11" s="19" t="inlineStr">
        <is>
          <t>P2 統計分析</t>
        </is>
      </c>
      <c r="B11" s="20" t="inlineStr">
        <is>
          <t>2-3</t>
        </is>
      </c>
      <c r="C11" s="19" t="inlineStr">
        <is>
          <t>認定者数・認定率の分析</t>
        </is>
      </c>
      <c r="D11" s="20" t="inlineStr">
        <is>
          <t>受託者</t>
        </is>
      </c>
      <c r="E11" s="20" t="inlineStr">
        <is>
          <t>2026-08</t>
        </is>
      </c>
      <c r="F11" s="20" t="inlineStr">
        <is>
          <t>2026-08</t>
        </is>
      </c>
      <c r="G11" s="21" t="inlineStr">
        <is>
          <t>完了</t>
        </is>
      </c>
      <c r="H11" s="32" t="n">
        <v>100</v>
      </c>
      <c r="I11" s="32" t="n">
        <v>100</v>
      </c>
      <c r="J11" s="32" t="n">
        <v>0</v>
      </c>
      <c r="K11" s="20" t="n">
        <v>4</v>
      </c>
      <c r="L11" s="21" t="inlineStr">
        <is>
          <t>おおむね予定どおり</t>
        </is>
      </c>
      <c r="M11" s="19" t="inlineStr">
        <is>
          <t>―</t>
        </is>
      </c>
    </row>
    <row r="12">
      <c r="A12" s="19" t="inlineStr">
        <is>
          <t>P4 調査結果の反映</t>
        </is>
      </c>
      <c r="B12" s="20" t="inlineStr">
        <is>
          <t>4-3</t>
        </is>
      </c>
      <c r="C12" s="19" t="inlineStr">
        <is>
          <t>集計結果・分析報告書の作成</t>
        </is>
      </c>
      <c r="D12" s="20" t="inlineStr">
        <is>
          <t>受託者</t>
        </is>
      </c>
      <c r="E12" s="20" t="inlineStr">
        <is>
          <t>2026-08</t>
        </is>
      </c>
      <c r="F12" s="20" t="inlineStr">
        <is>
          <t>2026-08</t>
        </is>
      </c>
      <c r="G12" s="21" t="inlineStr">
        <is>
          <t>完了</t>
        </is>
      </c>
      <c r="H12" s="32" t="n">
        <v>100</v>
      </c>
      <c r="I12" s="32" t="n">
        <v>100</v>
      </c>
      <c r="J12" s="32" t="n">
        <v>0</v>
      </c>
      <c r="K12" s="20" t="n">
        <v>4</v>
      </c>
      <c r="L12" s="21" t="inlineStr">
        <is>
          <t>おおむね予定どおり</t>
        </is>
      </c>
      <c r="M12" s="19" t="inlineStr">
        <is>
          <t>―</t>
        </is>
      </c>
    </row>
    <row r="13">
      <c r="A13" s="19" t="inlineStr">
        <is>
          <t>P5 第9期の評価</t>
        </is>
      </c>
      <c r="B13" s="20" t="inlineStr">
        <is>
          <t>5-1</t>
        </is>
      </c>
      <c r="C13" s="19" t="inlineStr">
        <is>
          <t>協議会資料（第9期評価・調査結果）の作成</t>
        </is>
      </c>
      <c r="D13" s="20" t="inlineStr">
        <is>
          <t>受託者</t>
        </is>
      </c>
      <c r="E13" s="20" t="inlineStr">
        <is>
          <t>2026-08</t>
        </is>
      </c>
      <c r="F13" s="20" t="inlineStr">
        <is>
          <t>2026-09</t>
        </is>
      </c>
      <c r="G13" s="21" t="inlineStr">
        <is>
          <t>完了</t>
        </is>
      </c>
      <c r="H13" s="32" t="n">
        <v>100</v>
      </c>
      <c r="I13" s="32" t="n">
        <v>100</v>
      </c>
      <c r="J13" s="32" t="n">
        <v>0</v>
      </c>
      <c r="K13" s="20" t="n">
        <v>4</v>
      </c>
      <c r="L13" s="21" t="inlineStr">
        <is>
          <t>おおむね予定どおり</t>
        </is>
      </c>
      <c r="M13" s="19" t="inlineStr">
        <is>
          <t>**開催日が未定。決まればすぐにお出しできる**</t>
        </is>
      </c>
    </row>
    <row r="14">
      <c r="A14" s="19" t="inlineStr">
        <is>
          <t>P7 推計・算定</t>
        </is>
      </c>
      <c r="B14" s="20" t="inlineStr">
        <is>
          <t>7-1</t>
        </is>
      </c>
      <c r="C14" s="19" t="inlineStr">
        <is>
          <t>算定シートの構築</t>
        </is>
      </c>
      <c r="D14" s="20" t="inlineStr">
        <is>
          <t>受託者</t>
        </is>
      </c>
      <c r="E14" s="20" t="inlineStr">
        <is>
          <t>2026-08</t>
        </is>
      </c>
      <c r="F14" s="20" t="inlineStr">
        <is>
          <t>2026-08</t>
        </is>
      </c>
      <c r="G14" s="21" t="inlineStr">
        <is>
          <t>完了</t>
        </is>
      </c>
      <c r="H14" s="32" t="n">
        <v>100</v>
      </c>
      <c r="I14" s="32" t="n">
        <v>100</v>
      </c>
      <c r="J14" s="32" t="n">
        <v>0</v>
      </c>
      <c r="K14" s="20" t="n">
        <v>4</v>
      </c>
      <c r="L14" s="21" t="inlineStr">
        <is>
          <t>おおむね予定どおり</t>
        </is>
      </c>
      <c r="M14" s="19" t="inlineStr">
        <is>
          <t>―</t>
        </is>
      </c>
    </row>
    <row r="15">
      <c r="A15" s="19" t="inlineStr">
        <is>
          <t>P1 準備・現状把握</t>
        </is>
      </c>
      <c r="B15" s="20" t="inlineStr">
        <is>
          <t>1-3</t>
        </is>
      </c>
      <c r="C15" s="19" t="inlineStr">
        <is>
          <t>委託仕様書の確認と適合性チェック</t>
        </is>
      </c>
      <c r="D15" s="20" t="inlineStr">
        <is>
          <t>受託者</t>
        </is>
      </c>
      <c r="E15" s="20" t="inlineStr">
        <is>
          <t>2026-08</t>
        </is>
      </c>
      <c r="F15" s="20" t="inlineStr">
        <is>
          <t>2026-08</t>
        </is>
      </c>
      <c r="G15" s="21" t="inlineStr">
        <is>
          <t>完了</t>
        </is>
      </c>
      <c r="H15" s="32" t="n">
        <v>100</v>
      </c>
      <c r="I15" s="32" t="n">
        <v>100</v>
      </c>
      <c r="J15" s="32" t="n">
        <v>0</v>
      </c>
      <c r="K15" s="20" t="n">
        <v>3</v>
      </c>
      <c r="L15" s="21" t="inlineStr">
        <is>
          <t>おおむね予定どおり</t>
        </is>
      </c>
      <c r="M15" s="19" t="inlineStr">
        <is>
          <t>―</t>
        </is>
      </c>
    </row>
    <row r="16">
      <c r="A16" s="19" t="inlineStr">
        <is>
          <t>P1 準備・現状把握</t>
        </is>
      </c>
      <c r="B16" s="20" t="inlineStr">
        <is>
          <t>1-4</t>
        </is>
      </c>
      <c r="C16" s="19" t="inlineStr">
        <is>
          <t>第9期計画本文の確認</t>
        </is>
      </c>
      <c r="D16" s="20" t="inlineStr">
        <is>
          <t>受託者</t>
        </is>
      </c>
      <c r="E16" s="20" t="inlineStr">
        <is>
          <t>2026-08</t>
        </is>
      </c>
      <c r="F16" s="20" t="inlineStr">
        <is>
          <t>2026-08</t>
        </is>
      </c>
      <c r="G16" s="21" t="inlineStr">
        <is>
          <t>完了</t>
        </is>
      </c>
      <c r="H16" s="32" t="n">
        <v>100</v>
      </c>
      <c r="I16" s="32" t="n">
        <v>100</v>
      </c>
      <c r="J16" s="32" t="n">
        <v>0</v>
      </c>
      <c r="K16" s="20" t="n">
        <v>3</v>
      </c>
      <c r="L16" s="21" t="inlineStr">
        <is>
          <t>おおむね予定どおり</t>
        </is>
      </c>
      <c r="M16" s="19" t="inlineStr">
        <is>
          <t>―</t>
        </is>
      </c>
    </row>
    <row r="17">
      <c r="A17" s="19" t="inlineStr">
        <is>
          <t>P2 統計分析</t>
        </is>
      </c>
      <c r="B17" s="20" t="inlineStr">
        <is>
          <t>2-1</t>
        </is>
      </c>
      <c r="C17" s="19" t="inlineStr">
        <is>
          <t>人口・世帯の分析</t>
        </is>
      </c>
      <c r="D17" s="20" t="inlineStr">
        <is>
          <t>受託者</t>
        </is>
      </c>
      <c r="E17" s="20" t="inlineStr">
        <is>
          <t>2026-07</t>
        </is>
      </c>
      <c r="F17" s="20" t="inlineStr">
        <is>
          <t>2026-07</t>
        </is>
      </c>
      <c r="G17" s="21" t="inlineStr">
        <is>
          <t>完了</t>
        </is>
      </c>
      <c r="H17" s="32" t="n">
        <v>100</v>
      </c>
      <c r="I17" s="32" t="n">
        <v>100</v>
      </c>
      <c r="J17" s="32" t="n">
        <v>0</v>
      </c>
      <c r="K17" s="20" t="n">
        <v>3</v>
      </c>
      <c r="L17" s="21" t="inlineStr">
        <is>
          <t>おおむね予定どおり</t>
        </is>
      </c>
      <c r="M17" s="19" t="inlineStr">
        <is>
          <t>―</t>
        </is>
      </c>
    </row>
    <row r="18">
      <c r="A18" s="19" t="inlineStr">
        <is>
          <t>P4 調査結果の反映</t>
        </is>
      </c>
      <c r="B18" s="20" t="inlineStr">
        <is>
          <t>4-1</t>
        </is>
      </c>
      <c r="C18" s="19" t="inlineStr">
        <is>
          <t>調査結果報告書の確認</t>
        </is>
      </c>
      <c r="D18" s="20" t="inlineStr">
        <is>
          <t>受託者</t>
        </is>
      </c>
      <c r="E18" s="20" t="inlineStr">
        <is>
          <t>2026-08</t>
        </is>
      </c>
      <c r="F18" s="20" t="inlineStr">
        <is>
          <t>2026-08</t>
        </is>
      </c>
      <c r="G18" s="21" t="inlineStr">
        <is>
          <t>完了</t>
        </is>
      </c>
      <c r="H18" s="32" t="n">
        <v>100</v>
      </c>
      <c r="I18" s="32" t="n">
        <v>100</v>
      </c>
      <c r="J18" s="32" t="n">
        <v>0</v>
      </c>
      <c r="K18" s="20" t="n">
        <v>3</v>
      </c>
      <c r="L18" s="21" t="inlineStr">
        <is>
          <t>おおむね予定どおり</t>
        </is>
      </c>
      <c r="M18" s="19" t="inlineStr">
        <is>
          <t>―　**9月29日に調査結果報告書の原本（104頁）を受領し、集計値を1件ずつ突き合わせた（286件・NG0）。**認知症の設問の項目名を1件訂正し、報告書そのものの食い違い3件を注記した</t>
        </is>
      </c>
    </row>
    <row r="19">
      <c r="A19" s="19" t="inlineStr">
        <is>
          <t>P7 推計・算定</t>
        </is>
      </c>
      <c r="B19" s="20" t="inlineStr">
        <is>
          <t>7-5</t>
        </is>
      </c>
      <c r="C19" s="19" t="inlineStr">
        <is>
          <t>見える化システムへの入力作業</t>
        </is>
      </c>
      <c r="D19" s="20" t="inlineStr">
        <is>
          <t>受託者</t>
        </is>
      </c>
      <c r="E19" s="20" t="inlineStr">
        <is>
          <t>2026-09</t>
        </is>
      </c>
      <c r="F19" s="20" t="inlineStr">
        <is>
          <t>2026-09</t>
        </is>
      </c>
      <c r="G19" s="21" t="inlineStr">
        <is>
          <t>完了</t>
        </is>
      </c>
      <c r="H19" s="32" t="n">
        <v>100</v>
      </c>
      <c r="I19" s="32" t="n">
        <v>100</v>
      </c>
      <c r="J19" s="32" t="n">
        <v>0</v>
      </c>
      <c r="K19" s="20" t="n">
        <v>3</v>
      </c>
      <c r="L19" s="21" t="inlineStr">
        <is>
          <t>おおむね予定どおり</t>
        </is>
      </c>
      <c r="M19"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row>
    <row r="20">
      <c r="A20" s="19" t="inlineStr">
        <is>
          <t>P8 素案</t>
        </is>
      </c>
      <c r="B20" s="20" t="inlineStr">
        <is>
          <t>8-2</t>
        </is>
      </c>
      <c r="C20" s="19" t="inlineStr">
        <is>
          <t>成果指標の目標値案の作成</t>
        </is>
      </c>
      <c r="D20" s="20" t="inlineStr">
        <is>
          <t>受託者</t>
        </is>
      </c>
      <c r="E20" s="20" t="inlineStr">
        <is>
          <t>2026-08</t>
        </is>
      </c>
      <c r="F20" s="20" t="inlineStr">
        <is>
          <t>2026-08</t>
        </is>
      </c>
      <c r="G20" s="21" t="inlineStr">
        <is>
          <t>完了</t>
        </is>
      </c>
      <c r="H20" s="32" t="n">
        <v>100</v>
      </c>
      <c r="I20" s="32" t="n">
        <v>100</v>
      </c>
      <c r="J20" s="32" t="n">
        <v>0</v>
      </c>
      <c r="K20" s="20" t="n">
        <v>3</v>
      </c>
      <c r="L20" s="21" t="inlineStr">
        <is>
          <t>おおむね予定どおり</t>
        </is>
      </c>
      <c r="M20" s="19" t="inlineStr">
        <is>
          <t>―</t>
        </is>
      </c>
    </row>
    <row r="21">
      <c r="A21" s="19" t="inlineStr">
        <is>
          <t>P10 完成・納品</t>
        </is>
      </c>
      <c r="B21" s="20" t="inlineStr">
        <is>
          <t>10-1</t>
        </is>
      </c>
      <c r="C21" s="19" t="inlineStr">
        <is>
          <t>計画書の原稿確定</t>
        </is>
      </c>
      <c r="D21" s="20" t="inlineStr">
        <is>
          <t>受託者</t>
        </is>
      </c>
      <c r="E21" s="20" t="inlineStr">
        <is>
          <t>2027-02</t>
        </is>
      </c>
      <c r="F21" s="20" t="inlineStr">
        <is>
          <t>2027-02</t>
        </is>
      </c>
      <c r="G21" s="27" t="inlineStr">
        <is>
          <t>未着手</t>
        </is>
      </c>
      <c r="H21" s="32" t="n">
        <v>0</v>
      </c>
      <c r="I21" s="32" t="n">
        <v>0</v>
      </c>
      <c r="J21" s="32" t="n">
        <v>0</v>
      </c>
      <c r="K21" s="20" t="n">
        <v>3</v>
      </c>
      <c r="L21" s="21" t="inlineStr">
        <is>
          <t>おおむね予定どおり</t>
        </is>
      </c>
      <c r="M21" s="19" t="inlineStr">
        <is>
          <t>意見への対応</t>
        </is>
      </c>
    </row>
    <row r="22">
      <c r="A22" s="19" t="inlineStr">
        <is>
          <t>P10 完成・納品</t>
        </is>
      </c>
      <c r="B22" s="20" t="inlineStr">
        <is>
          <t>10-2</t>
        </is>
      </c>
      <c r="C22" s="19" t="inlineStr">
        <is>
          <t>レイアウト・組版</t>
        </is>
      </c>
      <c r="D22" s="20" t="inlineStr">
        <is>
          <t>受託者</t>
        </is>
      </c>
      <c r="E22" s="20" t="inlineStr">
        <is>
          <t>2027-02</t>
        </is>
      </c>
      <c r="F22" s="20" t="inlineStr">
        <is>
          <t>2027-02</t>
        </is>
      </c>
      <c r="G22" s="27" t="inlineStr">
        <is>
          <t>未着手</t>
        </is>
      </c>
      <c r="H22" s="32" t="n">
        <v>0</v>
      </c>
      <c r="I22" s="32" t="n">
        <v>0</v>
      </c>
      <c r="J22" s="32" t="n">
        <v>0</v>
      </c>
      <c r="K22" s="20" t="n">
        <v>3</v>
      </c>
      <c r="L22" s="21" t="inlineStr">
        <is>
          <t>おおむね予定どおり</t>
        </is>
      </c>
      <c r="M22" s="19" t="inlineStr">
        <is>
          <t>原稿の確定</t>
        </is>
      </c>
    </row>
    <row r="23">
      <c r="A23" s="19" t="inlineStr">
        <is>
          <t>P1 準備・現状把握</t>
        </is>
      </c>
      <c r="B23" s="20" t="inlineStr">
        <is>
          <t>1-1</t>
        </is>
      </c>
      <c r="C23" s="19" t="inlineStr">
        <is>
          <t>契約・体制の確立、キックオフ</t>
        </is>
      </c>
      <c r="D23" s="20" t="inlineStr">
        <is>
          <t>受託者</t>
        </is>
      </c>
      <c r="E23" s="20" t="inlineStr">
        <is>
          <t>2026-06</t>
        </is>
      </c>
      <c r="F23" s="20" t="inlineStr">
        <is>
          <t>2026-07</t>
        </is>
      </c>
      <c r="G23" s="21" t="inlineStr">
        <is>
          <t>完了</t>
        </is>
      </c>
      <c r="H23" s="32" t="n">
        <v>100</v>
      </c>
      <c r="I23" s="32" t="n">
        <v>100</v>
      </c>
      <c r="J23" s="32" t="n">
        <v>0</v>
      </c>
      <c r="K23" s="20" t="n">
        <v>2</v>
      </c>
      <c r="L23" s="21" t="inlineStr">
        <is>
          <t>おおむね予定どおり</t>
        </is>
      </c>
      <c r="M23" s="19" t="inlineStr">
        <is>
          <t>―</t>
        </is>
      </c>
    </row>
    <row r="24">
      <c r="A24" s="19" t="inlineStr">
        <is>
          <t>P1 準備・現状把握</t>
        </is>
      </c>
      <c r="B24" s="20" t="inlineStr">
        <is>
          <t>1-2</t>
        </is>
      </c>
      <c r="C24" s="19" t="inlineStr">
        <is>
          <t>引継ぎ資料の整理</t>
        </is>
      </c>
      <c r="D24" s="20" t="inlineStr">
        <is>
          <t>受託者</t>
        </is>
      </c>
      <c r="E24" s="20" t="inlineStr">
        <is>
          <t>2026-07</t>
        </is>
      </c>
      <c r="F24" s="20" t="inlineStr">
        <is>
          <t>2026-07</t>
        </is>
      </c>
      <c r="G24" s="21" t="inlineStr">
        <is>
          <t>完了</t>
        </is>
      </c>
      <c r="H24" s="32" t="n">
        <v>100</v>
      </c>
      <c r="I24" s="32" t="n">
        <v>100</v>
      </c>
      <c r="J24" s="32" t="n">
        <v>0</v>
      </c>
      <c r="K24" s="20" t="n">
        <v>2</v>
      </c>
      <c r="L24" s="21" t="inlineStr">
        <is>
          <t>おおむね予定どおり</t>
        </is>
      </c>
      <c r="M24" s="19" t="inlineStr">
        <is>
          <t>―</t>
        </is>
      </c>
    </row>
    <row r="25">
      <c r="A25" s="19" t="inlineStr">
        <is>
          <t>P1 準備・現状把握</t>
        </is>
      </c>
      <c r="B25" s="20" t="inlineStr">
        <is>
          <t>1-5</t>
        </is>
      </c>
      <c r="C25" s="19" t="inlineStr">
        <is>
          <t>第3期地域福祉計画との役割分担の整理</t>
        </is>
      </c>
      <c r="D25" s="20" t="inlineStr">
        <is>
          <t>受託者</t>
        </is>
      </c>
      <c r="E25" s="20" t="inlineStr">
        <is>
          <t>2026-08</t>
        </is>
      </c>
      <c r="F25" s="20" t="inlineStr">
        <is>
          <t>2026-08</t>
        </is>
      </c>
      <c r="G25" s="21" t="inlineStr">
        <is>
          <t>完了</t>
        </is>
      </c>
      <c r="H25" s="32" t="n">
        <v>100</v>
      </c>
      <c r="I25" s="32" t="n">
        <v>100</v>
      </c>
      <c r="J25" s="32" t="n">
        <v>0</v>
      </c>
      <c r="K25" s="20" t="n">
        <v>2</v>
      </c>
      <c r="L25" s="21" t="inlineStr">
        <is>
          <t>おおむね予定どおり</t>
        </is>
      </c>
      <c r="M25" s="19" t="inlineStr">
        <is>
          <t>―</t>
        </is>
      </c>
    </row>
    <row r="26">
      <c r="A26" s="19" t="inlineStr">
        <is>
          <t>P1 準備・現状把握</t>
        </is>
      </c>
      <c r="B26" s="20" t="inlineStr">
        <is>
          <t>1-6</t>
        </is>
      </c>
      <c r="C26" s="19" t="inlineStr">
        <is>
          <t>町への資料依頼票の作成</t>
        </is>
      </c>
      <c r="D26" s="20" t="inlineStr">
        <is>
          <t>受託者</t>
        </is>
      </c>
      <c r="E26" s="20" t="inlineStr">
        <is>
          <t>2026-08</t>
        </is>
      </c>
      <c r="F26" s="20" t="inlineStr">
        <is>
          <t>2026-08</t>
        </is>
      </c>
      <c r="G26" s="21" t="inlineStr">
        <is>
          <t>完了</t>
        </is>
      </c>
      <c r="H26" s="32" t="n">
        <v>100</v>
      </c>
      <c r="I26" s="32" t="n">
        <v>100</v>
      </c>
      <c r="J26" s="32" t="n">
        <v>0</v>
      </c>
      <c r="K26" s="20" t="n">
        <v>2</v>
      </c>
      <c r="L26" s="21" t="inlineStr">
        <is>
          <t>おおむね予定どおり</t>
        </is>
      </c>
      <c r="M26" s="19" t="inlineStr">
        <is>
          <t>―</t>
        </is>
      </c>
    </row>
    <row r="27">
      <c r="A27" s="19" t="inlineStr">
        <is>
          <t>P2 統計分析</t>
        </is>
      </c>
      <c r="B27" s="20" t="inlineStr">
        <is>
          <t>2-5</t>
        </is>
      </c>
      <c r="C27" s="19" t="inlineStr">
        <is>
          <t>サービス受給者数の分析</t>
        </is>
      </c>
      <c r="D27" s="20" t="inlineStr">
        <is>
          <t>受託者</t>
        </is>
      </c>
      <c r="E27" s="20" t="inlineStr">
        <is>
          <t>2026-07</t>
        </is>
      </c>
      <c r="F27" s="20" t="inlineStr">
        <is>
          <t>2026-08</t>
        </is>
      </c>
      <c r="G27" s="21" t="inlineStr">
        <is>
          <t>完了</t>
        </is>
      </c>
      <c r="H27" s="32" t="n">
        <v>100</v>
      </c>
      <c r="I27" s="32" t="n">
        <v>100</v>
      </c>
      <c r="J27" s="32" t="n">
        <v>0</v>
      </c>
      <c r="K27" s="20" t="n">
        <v>2</v>
      </c>
      <c r="L27" s="21" t="inlineStr">
        <is>
          <t>おおむね予定どおり</t>
        </is>
      </c>
      <c r="M27" s="19" t="inlineStr">
        <is>
          <t>―</t>
        </is>
      </c>
    </row>
    <row r="28">
      <c r="A28" s="19" t="inlineStr">
        <is>
          <t>P2 統計分析</t>
        </is>
      </c>
      <c r="B28" s="20" t="inlineStr">
        <is>
          <t>2-8</t>
        </is>
      </c>
      <c r="C28" s="19" t="inlineStr">
        <is>
          <t>サービス自給率の分析</t>
        </is>
      </c>
      <c r="D28" s="20" t="inlineStr">
        <is>
          <t>受託者</t>
        </is>
      </c>
      <c r="E28" s="20" t="inlineStr">
        <is>
          <t>2026-08</t>
        </is>
      </c>
      <c r="F28" s="20" t="inlineStr">
        <is>
          <t>2026-08</t>
        </is>
      </c>
      <c r="G28" s="21" t="inlineStr">
        <is>
          <t>完了</t>
        </is>
      </c>
      <c r="H28" s="32" t="n">
        <v>100</v>
      </c>
      <c r="I28" s="32" t="n">
        <v>100</v>
      </c>
      <c r="J28" s="32" t="n">
        <v>0</v>
      </c>
      <c r="K28" s="20" t="n">
        <v>2</v>
      </c>
      <c r="L28" s="21" t="inlineStr">
        <is>
          <t>おおむね予定どおり</t>
        </is>
      </c>
      <c r="M28" s="19" t="inlineStr">
        <is>
          <t>―</t>
        </is>
      </c>
    </row>
    <row r="29">
      <c r="A29" s="19" t="inlineStr">
        <is>
          <t>P4 調査結果の反映</t>
        </is>
      </c>
      <c r="B29" s="20" t="inlineStr">
        <is>
          <t>4-2</t>
        </is>
      </c>
      <c r="C29" s="19" t="inlineStr">
        <is>
          <t>集計データの整理</t>
        </is>
      </c>
      <c r="D29" s="20" t="inlineStr">
        <is>
          <t>受託者</t>
        </is>
      </c>
      <c r="E29" s="20" t="inlineStr">
        <is>
          <t>2026-08</t>
        </is>
      </c>
      <c r="F29" s="20" t="inlineStr">
        <is>
          <t>2026-08</t>
        </is>
      </c>
      <c r="G29" s="21" t="inlineStr">
        <is>
          <t>完了</t>
        </is>
      </c>
      <c r="H29" s="32" t="n">
        <v>100</v>
      </c>
      <c r="I29" s="32" t="n">
        <v>100</v>
      </c>
      <c r="J29" s="32" t="n">
        <v>0</v>
      </c>
      <c r="K29" s="20" t="n">
        <v>2</v>
      </c>
      <c r="L29" s="21" t="inlineStr">
        <is>
          <t>おおむね予定どおり</t>
        </is>
      </c>
      <c r="M29" s="19" t="inlineStr">
        <is>
          <t>―</t>
        </is>
      </c>
    </row>
    <row r="30">
      <c r="A30" s="19" t="inlineStr">
        <is>
          <t>P4 調査結果の反映</t>
        </is>
      </c>
      <c r="B30" s="20" t="inlineStr">
        <is>
          <t>4-4</t>
        </is>
      </c>
      <c r="C30" s="19" t="inlineStr">
        <is>
          <t>クロス集計の設計</t>
        </is>
      </c>
      <c r="D30" s="20" t="inlineStr">
        <is>
          <t>受託者</t>
        </is>
      </c>
      <c r="E30" s="20" t="inlineStr">
        <is>
          <t>2026-08</t>
        </is>
      </c>
      <c r="F30" s="20" t="inlineStr">
        <is>
          <t>2026-08</t>
        </is>
      </c>
      <c r="G30" s="21" t="inlineStr">
        <is>
          <t>完了</t>
        </is>
      </c>
      <c r="H30" s="32" t="n">
        <v>100</v>
      </c>
      <c r="I30" s="32" t="n">
        <v>100</v>
      </c>
      <c r="J30" s="32" t="n">
        <v>0</v>
      </c>
      <c r="K30" s="20" t="n">
        <v>2</v>
      </c>
      <c r="L30" s="21" t="inlineStr">
        <is>
          <t>おおむね予定どおり</t>
        </is>
      </c>
      <c r="M30" s="19" t="inlineStr">
        <is>
          <t>―</t>
        </is>
      </c>
    </row>
    <row r="31">
      <c r="A31" s="19" t="inlineStr">
        <is>
          <t>P6 骨子案</t>
        </is>
      </c>
      <c r="B31" s="20" t="inlineStr">
        <is>
          <t>6-2</t>
        </is>
      </c>
      <c r="C31" s="19" t="inlineStr">
        <is>
          <t>骨子案の協議（協議会）</t>
        </is>
      </c>
      <c r="D31" s="20" t="inlineStr">
        <is>
          <t>受託者・町</t>
        </is>
      </c>
      <c r="E31" s="20" t="inlineStr">
        <is>
          <t>2026-11</t>
        </is>
      </c>
      <c r="F31" s="20" t="inlineStr">
        <is>
          <t>2026-11</t>
        </is>
      </c>
      <c r="G31" s="27" t="inlineStr">
        <is>
          <t>未着手</t>
        </is>
      </c>
      <c r="H31" s="32" t="n">
        <v>0</v>
      </c>
      <c r="I31" s="32" t="n">
        <v>0</v>
      </c>
      <c r="J31" s="32" t="n">
        <v>0</v>
      </c>
      <c r="K31" s="20" t="n">
        <v>2</v>
      </c>
      <c r="L31" s="21" t="inlineStr">
        <is>
          <t>おおむね予定どおり</t>
        </is>
      </c>
      <c r="M31" s="19" t="inlineStr">
        <is>
          <t>**協議会の開催回数・時期が未定（依頼票C4）**</t>
        </is>
      </c>
    </row>
    <row r="32">
      <c r="A32" s="19" t="inlineStr">
        <is>
          <t>P7 推計・算定</t>
        </is>
      </c>
      <c r="B32" s="20" t="inlineStr">
        <is>
          <t>7-2</t>
        </is>
      </c>
      <c r="C32" s="19" t="inlineStr">
        <is>
          <t>保険料算定のケース設定の確定</t>
        </is>
      </c>
      <c r="D32" s="20" t="inlineStr">
        <is>
          <t>受託者</t>
        </is>
      </c>
      <c r="E32" s="20" t="inlineStr">
        <is>
          <t>2026-08</t>
        </is>
      </c>
      <c r="F32" s="20" t="inlineStr">
        <is>
          <t>2026-08</t>
        </is>
      </c>
      <c r="G32" s="21" t="inlineStr">
        <is>
          <t>完了</t>
        </is>
      </c>
      <c r="H32" s="32" t="n">
        <v>100</v>
      </c>
      <c r="I32" s="32" t="n">
        <v>100</v>
      </c>
      <c r="J32" s="32" t="n">
        <v>0</v>
      </c>
      <c r="K32" s="20" t="n">
        <v>2</v>
      </c>
      <c r="L32" s="21" t="inlineStr">
        <is>
          <t>おおむね予定どおり</t>
        </is>
      </c>
      <c r="M32" s="19" t="inlineStr">
        <is>
          <t>―</t>
        </is>
      </c>
    </row>
    <row r="33">
      <c r="A33" s="19" t="inlineStr">
        <is>
          <t>P8 素案</t>
        </is>
      </c>
      <c r="B33" s="20" t="inlineStr">
        <is>
          <t>8-3</t>
        </is>
      </c>
      <c r="C33" s="19" t="inlineStr">
        <is>
          <t>認知症施策推進基本計画の包含方針</t>
        </is>
      </c>
      <c r="D33" s="20" t="inlineStr">
        <is>
          <t>受託者</t>
        </is>
      </c>
      <c r="E33" s="20" t="inlineStr">
        <is>
          <t>2026-08</t>
        </is>
      </c>
      <c r="F33" s="20" t="inlineStr">
        <is>
          <t>2026-08</t>
        </is>
      </c>
      <c r="G33" s="21" t="inlineStr">
        <is>
          <t>完了</t>
        </is>
      </c>
      <c r="H33" s="32" t="n">
        <v>100</v>
      </c>
      <c r="I33" s="32" t="n">
        <v>100</v>
      </c>
      <c r="J33" s="32" t="n">
        <v>0</v>
      </c>
      <c r="K33" s="20" t="n">
        <v>2</v>
      </c>
      <c r="L33" s="21" t="inlineStr">
        <is>
          <t>おおむね予定どおり</t>
        </is>
      </c>
      <c r="M33"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row>
    <row r="34">
      <c r="A34" s="19" t="inlineStr">
        <is>
          <t>P8 素案</t>
        </is>
      </c>
      <c r="B34" s="20" t="inlineStr">
        <is>
          <t>8-5</t>
        </is>
      </c>
      <c r="C34" s="19" t="inlineStr">
        <is>
          <t>素案の協議（協議会）</t>
        </is>
      </c>
      <c r="D34" s="20" t="inlineStr">
        <is>
          <t>受託者・町</t>
        </is>
      </c>
      <c r="E34" s="20" t="inlineStr">
        <is>
          <t>2026-12</t>
        </is>
      </c>
      <c r="F34" s="20" t="inlineStr">
        <is>
          <t>2026-12</t>
        </is>
      </c>
      <c r="G34" s="27" t="inlineStr">
        <is>
          <t>未着手</t>
        </is>
      </c>
      <c r="H34" s="32" t="n">
        <v>0</v>
      </c>
      <c r="I34" s="32" t="n">
        <v>0</v>
      </c>
      <c r="J34" s="32" t="n">
        <v>0</v>
      </c>
      <c r="K34" s="20" t="n">
        <v>2</v>
      </c>
      <c r="L34" s="21" t="inlineStr">
        <is>
          <t>おおむね予定どおり</t>
        </is>
      </c>
      <c r="M34" s="19" t="inlineStr">
        <is>
          <t>協議会の開催時期</t>
        </is>
      </c>
    </row>
    <row r="35">
      <c r="A35" s="19" t="inlineStr">
        <is>
          <t>P9 意見聴取</t>
        </is>
      </c>
      <c r="B35" s="20" t="inlineStr">
        <is>
          <t>9-4</t>
        </is>
      </c>
      <c r="C35" s="19" t="inlineStr">
        <is>
          <t>協議会 第3回（素案）</t>
        </is>
      </c>
      <c r="D35" s="20" t="inlineStr">
        <is>
          <t>受託者・町</t>
        </is>
      </c>
      <c r="E35" s="20" t="inlineStr">
        <is>
          <t>2026-12</t>
        </is>
      </c>
      <c r="F35" s="20" t="inlineStr">
        <is>
          <t>2026-12</t>
        </is>
      </c>
      <c r="G35" s="27" t="inlineStr">
        <is>
          <t>未着手</t>
        </is>
      </c>
      <c r="H35" s="32" t="n">
        <v>0</v>
      </c>
      <c r="I35" s="32" t="n">
        <v>0</v>
      </c>
      <c r="J35" s="32" t="n">
        <v>0</v>
      </c>
      <c r="K35" s="20" t="n">
        <v>2</v>
      </c>
      <c r="L35" s="21" t="inlineStr">
        <is>
          <t>おおむね予定どおり</t>
        </is>
      </c>
      <c r="M35" s="19" t="inlineStr">
        <is>
          <t>素案の確定</t>
        </is>
      </c>
    </row>
    <row r="36">
      <c r="A36" s="19" t="inlineStr">
        <is>
          <t>P9 意見聴取</t>
        </is>
      </c>
      <c r="B36" s="20" t="inlineStr">
        <is>
          <t>9-5</t>
        </is>
      </c>
      <c r="C36" s="19" t="inlineStr">
        <is>
          <t>パブリックコメントの様式作成</t>
        </is>
      </c>
      <c r="D36" s="20" t="inlineStr">
        <is>
          <t>受託者</t>
        </is>
      </c>
      <c r="E36" s="20" t="inlineStr">
        <is>
          <t>2026-08</t>
        </is>
      </c>
      <c r="F36" s="20" t="inlineStr">
        <is>
          <t>2026-08</t>
        </is>
      </c>
      <c r="G36" s="21" t="inlineStr">
        <is>
          <t>完了</t>
        </is>
      </c>
      <c r="H36" s="32" t="n">
        <v>100</v>
      </c>
      <c r="I36" s="32" t="n">
        <v>100</v>
      </c>
      <c r="J36" s="32" t="n">
        <v>0</v>
      </c>
      <c r="K36" s="20" t="n">
        <v>2</v>
      </c>
      <c r="L36" s="21" t="inlineStr">
        <is>
          <t>おおむね予定どおり</t>
        </is>
      </c>
      <c r="M36" s="19" t="inlineStr">
        <is>
          <t>―</t>
        </is>
      </c>
    </row>
    <row r="37">
      <c r="A37" s="19" t="inlineStr">
        <is>
          <t>P9 意見聴取</t>
        </is>
      </c>
      <c r="B37" s="20" t="inlineStr">
        <is>
          <t>9-6</t>
        </is>
      </c>
      <c r="C37" s="19" t="inlineStr">
        <is>
          <t>パブリックコメントの実施</t>
        </is>
      </c>
      <c r="D37" s="20" t="inlineStr">
        <is>
          <t>町</t>
        </is>
      </c>
      <c r="E37" s="20" t="inlineStr">
        <is>
          <t>2027-01</t>
        </is>
      </c>
      <c r="F37" s="20" t="inlineStr">
        <is>
          <t>2027-01</t>
        </is>
      </c>
      <c r="G37" s="27" t="inlineStr">
        <is>
          <t>未着手</t>
        </is>
      </c>
      <c r="H37" s="32" t="n">
        <v>0</v>
      </c>
      <c r="I37" s="32" t="n">
        <v>0</v>
      </c>
      <c r="J37" s="32" t="n">
        <v>0</v>
      </c>
      <c r="K37" s="20" t="n">
        <v>2</v>
      </c>
      <c r="L37" s="21" t="inlineStr">
        <is>
          <t>おおむね予定どおり</t>
        </is>
      </c>
      <c r="M37" s="19" t="inlineStr">
        <is>
          <t>素案の確定、実施時期の確定（依頼票C6）</t>
        </is>
      </c>
    </row>
    <row r="38">
      <c r="A38" s="19" t="inlineStr">
        <is>
          <t>P9 意見聴取</t>
        </is>
      </c>
      <c r="B38" s="20" t="inlineStr">
        <is>
          <t>9-7</t>
        </is>
      </c>
      <c r="C38" s="19" t="inlineStr">
        <is>
          <t>意見への対応</t>
        </is>
      </c>
      <c r="D38" s="20" t="inlineStr">
        <is>
          <t>受託者</t>
        </is>
      </c>
      <c r="E38" s="20" t="inlineStr">
        <is>
          <t>2027-02</t>
        </is>
      </c>
      <c r="F38" s="20" t="inlineStr">
        <is>
          <t>2027-02</t>
        </is>
      </c>
      <c r="G38" s="27" t="inlineStr">
        <is>
          <t>未着手</t>
        </is>
      </c>
      <c r="H38" s="32" t="n">
        <v>0</v>
      </c>
      <c r="I38" s="32" t="n">
        <v>0</v>
      </c>
      <c r="J38" s="32" t="n">
        <v>0</v>
      </c>
      <c r="K38" s="20" t="n">
        <v>2</v>
      </c>
      <c r="L38" s="21" t="inlineStr">
        <is>
          <t>おおむね予定どおり</t>
        </is>
      </c>
      <c r="M38" s="19" t="inlineStr">
        <is>
          <t>パブコメの実施</t>
        </is>
      </c>
    </row>
    <row r="39">
      <c r="A39" s="19" t="inlineStr">
        <is>
          <t>P10 完成・納品</t>
        </is>
      </c>
      <c r="B39" s="20" t="inlineStr">
        <is>
          <t>10-3</t>
        </is>
      </c>
      <c r="C39" s="19" t="inlineStr">
        <is>
          <t>校正（初校・再校・校了）</t>
        </is>
      </c>
      <c r="D39" s="20" t="inlineStr">
        <is>
          <t>受託者・町</t>
        </is>
      </c>
      <c r="E39" s="20" t="inlineStr">
        <is>
          <t>2027-02</t>
        </is>
      </c>
      <c r="F39" s="20" t="inlineStr">
        <is>
          <t>2027-02</t>
        </is>
      </c>
      <c r="G39" s="27" t="inlineStr">
        <is>
          <t>未着手</t>
        </is>
      </c>
      <c r="H39" s="32" t="n">
        <v>0</v>
      </c>
      <c r="I39" s="32" t="n">
        <v>0</v>
      </c>
      <c r="J39" s="32" t="n">
        <v>0</v>
      </c>
      <c r="K39" s="20" t="n">
        <v>2</v>
      </c>
      <c r="L39" s="21" t="inlineStr">
        <is>
          <t>おおむね予定どおり</t>
        </is>
      </c>
      <c r="M39" s="19" t="inlineStr">
        <is>
          <t>組版</t>
        </is>
      </c>
    </row>
    <row r="40">
      <c r="A40" s="19" t="inlineStr">
        <is>
          <t>P10 完成・納品</t>
        </is>
      </c>
      <c r="B40" s="20" t="inlineStr">
        <is>
          <t>10-5</t>
        </is>
      </c>
      <c r="C40" s="19" t="inlineStr">
        <is>
          <t>概要版の作成</t>
        </is>
      </c>
      <c r="D40" s="20" t="inlineStr">
        <is>
          <t>受託者</t>
        </is>
      </c>
      <c r="E40" s="20" t="inlineStr">
        <is>
          <t>2027-02</t>
        </is>
      </c>
      <c r="F40" s="20" t="inlineStr">
        <is>
          <t>2027-03</t>
        </is>
      </c>
      <c r="G40" s="27" t="inlineStr">
        <is>
          <t>未着手</t>
        </is>
      </c>
      <c r="H40" s="32" t="n">
        <v>0</v>
      </c>
      <c r="I40" s="32" t="n">
        <v>0</v>
      </c>
      <c r="J40" s="32" t="n">
        <v>0</v>
      </c>
      <c r="K40" s="20" t="n">
        <v>2</v>
      </c>
      <c r="L40" s="21" t="inlineStr">
        <is>
          <t>おおむね予定どおり</t>
        </is>
      </c>
      <c r="M40" s="19" t="inlineStr">
        <is>
          <t>計画書の確定</t>
        </is>
      </c>
    </row>
    <row r="41">
      <c r="A41" s="19" t="inlineStr">
        <is>
          <t>P10 完成・納品</t>
        </is>
      </c>
      <c r="B41" s="20" t="inlineStr">
        <is>
          <t>10-6</t>
        </is>
      </c>
      <c r="C41" s="19" t="inlineStr">
        <is>
          <t>印刷・製本</t>
        </is>
      </c>
      <c r="D41" s="20" t="inlineStr">
        <is>
          <t>受託者</t>
        </is>
      </c>
      <c r="E41" s="20" t="inlineStr">
        <is>
          <t>2027-03</t>
        </is>
      </c>
      <c r="F41" s="20" t="inlineStr">
        <is>
          <t>2027-03</t>
        </is>
      </c>
      <c r="G41" s="27" t="inlineStr">
        <is>
          <t>未着手</t>
        </is>
      </c>
      <c r="H41" s="32" t="n">
        <v>0</v>
      </c>
      <c r="I41" s="32" t="n">
        <v>0</v>
      </c>
      <c r="J41" s="32" t="n">
        <v>0</v>
      </c>
      <c r="K41" s="20" t="n">
        <v>2</v>
      </c>
      <c r="L41" s="21" t="inlineStr">
        <is>
          <t>おおむね予定どおり</t>
        </is>
      </c>
      <c r="M41" s="19" t="inlineStr">
        <is>
          <t>校了</t>
        </is>
      </c>
    </row>
    <row r="42">
      <c r="A42" s="19" t="inlineStr">
        <is>
          <t>P2 統計分析</t>
        </is>
      </c>
      <c r="B42" s="20" t="inlineStr">
        <is>
          <t>2-2</t>
        </is>
      </c>
      <c r="C42" s="19" t="inlineStr">
        <is>
          <t>第1号被保険者の分析</t>
        </is>
      </c>
      <c r="D42" s="20" t="inlineStr">
        <is>
          <t>受託者</t>
        </is>
      </c>
      <c r="E42" s="20" t="inlineStr">
        <is>
          <t>2026-07</t>
        </is>
      </c>
      <c r="F42" s="20" t="inlineStr">
        <is>
          <t>2026-07</t>
        </is>
      </c>
      <c r="G42" s="21" t="inlineStr">
        <is>
          <t>完了</t>
        </is>
      </c>
      <c r="H42" s="32" t="n">
        <v>100</v>
      </c>
      <c r="I42" s="32" t="n">
        <v>100</v>
      </c>
      <c r="J42" s="32" t="n">
        <v>0</v>
      </c>
      <c r="K42" s="20" t="n">
        <v>1</v>
      </c>
      <c r="L42" s="21" t="inlineStr">
        <is>
          <t>おおむね予定どおり</t>
        </is>
      </c>
      <c r="M42" s="19" t="inlineStr">
        <is>
          <t>―</t>
        </is>
      </c>
    </row>
    <row r="43">
      <c r="A43" s="19" t="inlineStr">
        <is>
          <t>P3 給付費等の分析</t>
        </is>
      </c>
      <c r="B43" s="20" t="inlineStr">
        <is>
          <t>3-3</t>
        </is>
      </c>
      <c r="C43" s="19" t="inlineStr">
        <is>
          <t>成果品①の製本・納品</t>
        </is>
      </c>
      <c r="D43" s="20" t="inlineStr">
        <is>
          <t>受託者</t>
        </is>
      </c>
      <c r="E43" s="20" t="inlineStr">
        <is>
          <t>2027-03</t>
        </is>
      </c>
      <c r="F43" s="20" t="inlineStr">
        <is>
          <t>2027-03</t>
        </is>
      </c>
      <c r="G43" s="27" t="inlineStr">
        <is>
          <t>未着手</t>
        </is>
      </c>
      <c r="H43" s="32" t="n">
        <v>0</v>
      </c>
      <c r="I43" s="32" t="n">
        <v>0</v>
      </c>
      <c r="J43" s="32" t="n">
        <v>0</v>
      </c>
      <c r="K43" s="20" t="n">
        <v>1</v>
      </c>
      <c r="L43" s="21" t="inlineStr">
        <is>
          <t>おおむね予定どおり</t>
        </is>
      </c>
      <c r="M43" s="19" t="inlineStr">
        <is>
          <t>報告書の確定</t>
        </is>
      </c>
    </row>
    <row r="44">
      <c r="A44" s="19" t="inlineStr">
        <is>
          <t>P4 調査結果の反映</t>
        </is>
      </c>
      <c r="B44" s="20" t="inlineStr">
        <is>
          <t>4-6</t>
        </is>
      </c>
      <c r="C44" s="19" t="inlineStr">
        <is>
          <t>レッドチームレビュー</t>
        </is>
      </c>
      <c r="D44" s="20" t="inlineStr">
        <is>
          <t>受託者</t>
        </is>
      </c>
      <c r="E44" s="20" t="inlineStr">
        <is>
          <t>2026-08</t>
        </is>
      </c>
      <c r="F44" s="20" t="inlineStr">
        <is>
          <t>2026-08</t>
        </is>
      </c>
      <c r="G44" s="21" t="inlineStr">
        <is>
          <t>完了</t>
        </is>
      </c>
      <c r="H44" s="32" t="n">
        <v>100</v>
      </c>
      <c r="I44" s="32" t="n">
        <v>100</v>
      </c>
      <c r="J44" s="32" t="n">
        <v>0</v>
      </c>
      <c r="K44" s="20" t="n">
        <v>1</v>
      </c>
      <c r="L44" s="21" t="inlineStr">
        <is>
          <t>おおむね予定どおり</t>
        </is>
      </c>
      <c r="M44" s="19" t="inlineStr">
        <is>
          <t>―</t>
        </is>
      </c>
    </row>
    <row r="45">
      <c r="A45" s="19" t="inlineStr">
        <is>
          <t>P6 骨子案</t>
        </is>
      </c>
      <c r="B45" s="20" t="inlineStr">
        <is>
          <t>6-3</t>
        </is>
      </c>
      <c r="C45" s="19" t="inlineStr">
        <is>
          <t>成果品③の製本・納品</t>
        </is>
      </c>
      <c r="D45" s="20" t="inlineStr">
        <is>
          <t>受託者</t>
        </is>
      </c>
      <c r="E45" s="20" t="inlineStr">
        <is>
          <t>2027-03</t>
        </is>
      </c>
      <c r="F45" s="20" t="inlineStr">
        <is>
          <t>2027-03</t>
        </is>
      </c>
      <c r="G45" s="27" t="inlineStr">
        <is>
          <t>未着手</t>
        </is>
      </c>
      <c r="H45" s="32" t="n">
        <v>0</v>
      </c>
      <c r="I45" s="32" t="n">
        <v>0</v>
      </c>
      <c r="J45" s="32" t="n">
        <v>0</v>
      </c>
      <c r="K45" s="20" t="n">
        <v>1</v>
      </c>
      <c r="L45" s="21" t="inlineStr">
        <is>
          <t>おおむね予定どおり</t>
        </is>
      </c>
      <c r="M45" s="19" t="inlineStr">
        <is>
          <t>骨子案の確定</t>
        </is>
      </c>
    </row>
    <row r="46">
      <c r="A46" s="19" t="inlineStr">
        <is>
          <t>P7 推計・算定</t>
        </is>
      </c>
      <c r="B46" s="20" t="inlineStr">
        <is>
          <t>7-8</t>
        </is>
      </c>
      <c r="C46" s="19" t="inlineStr">
        <is>
          <t>成果品②の製本・納品</t>
        </is>
      </c>
      <c r="D46" s="20" t="inlineStr">
        <is>
          <t>受託者</t>
        </is>
      </c>
      <c r="E46" s="20" t="inlineStr">
        <is>
          <t>2027-03</t>
        </is>
      </c>
      <c r="F46" s="20" t="inlineStr">
        <is>
          <t>2027-03</t>
        </is>
      </c>
      <c r="G46" s="27" t="inlineStr">
        <is>
          <t>未着手</t>
        </is>
      </c>
      <c r="H46" s="32" t="n">
        <v>0</v>
      </c>
      <c r="I46" s="32" t="n">
        <v>0</v>
      </c>
      <c r="J46" s="32" t="n">
        <v>0</v>
      </c>
      <c r="K46" s="20" t="n">
        <v>1</v>
      </c>
      <c r="L46" s="21" t="inlineStr">
        <is>
          <t>おおむね予定どおり</t>
        </is>
      </c>
      <c r="M46" s="19" t="inlineStr">
        <is>
          <t>報告書の確定</t>
        </is>
      </c>
    </row>
    <row r="47">
      <c r="A47" s="19" t="inlineStr">
        <is>
          <t>P8 素案</t>
        </is>
      </c>
      <c r="B47" s="20" t="inlineStr">
        <is>
          <t>8-6</t>
        </is>
      </c>
      <c r="C47" s="19" t="inlineStr">
        <is>
          <t>成果品④の製本・納品</t>
        </is>
      </c>
      <c r="D47" s="20" t="inlineStr">
        <is>
          <t>受託者</t>
        </is>
      </c>
      <c r="E47" s="20" t="inlineStr">
        <is>
          <t>2027-03</t>
        </is>
      </c>
      <c r="F47" s="20" t="inlineStr">
        <is>
          <t>2027-03</t>
        </is>
      </c>
      <c r="G47" s="27" t="inlineStr">
        <is>
          <t>未着手</t>
        </is>
      </c>
      <c r="H47" s="32" t="n">
        <v>0</v>
      </c>
      <c r="I47" s="32" t="n">
        <v>0</v>
      </c>
      <c r="J47" s="32" t="n">
        <v>0</v>
      </c>
      <c r="K47" s="20" t="n">
        <v>1</v>
      </c>
      <c r="L47" s="21" t="inlineStr">
        <is>
          <t>おおむね予定どおり</t>
        </is>
      </c>
      <c r="M47" s="19" t="inlineStr">
        <is>
          <t>素案の確定</t>
        </is>
      </c>
    </row>
    <row r="48">
      <c r="A48" s="19" t="inlineStr">
        <is>
          <t>P9 意見聴取</t>
        </is>
      </c>
      <c r="B48" s="20" t="inlineStr">
        <is>
          <t>9-8</t>
        </is>
      </c>
      <c r="C48" s="19" t="inlineStr">
        <is>
          <t>協議会 第4回（最終案）</t>
        </is>
      </c>
      <c r="D48" s="20" t="inlineStr">
        <is>
          <t>受託者・町</t>
        </is>
      </c>
      <c r="E48" s="20" t="inlineStr">
        <is>
          <t>2027-02</t>
        </is>
      </c>
      <c r="F48" s="20" t="inlineStr">
        <is>
          <t>2027-02</t>
        </is>
      </c>
      <c r="G48" s="27" t="inlineStr">
        <is>
          <t>未着手</t>
        </is>
      </c>
      <c r="H48" s="32" t="n">
        <v>0</v>
      </c>
      <c r="I48" s="32" t="n">
        <v>0</v>
      </c>
      <c r="J48" s="32" t="n">
        <v>0</v>
      </c>
      <c r="K48" s="20" t="n">
        <v>1</v>
      </c>
      <c r="L48" s="21" t="inlineStr">
        <is>
          <t>おおむね予定どおり</t>
        </is>
      </c>
      <c r="M48" s="19" t="inlineStr">
        <is>
          <t>意見への対応</t>
        </is>
      </c>
    </row>
    <row r="49">
      <c r="A49" s="19" t="inlineStr">
        <is>
          <t>P10 完成・納品</t>
        </is>
      </c>
      <c r="B49" s="20" t="inlineStr">
        <is>
          <t>10-7</t>
        </is>
      </c>
      <c r="C49" s="19" t="inlineStr">
        <is>
          <t>データCD-Rの作成</t>
        </is>
      </c>
      <c r="D49" s="20" t="inlineStr">
        <is>
          <t>受託者</t>
        </is>
      </c>
      <c r="E49" s="20" t="inlineStr">
        <is>
          <t>2027-03</t>
        </is>
      </c>
      <c r="F49" s="20" t="inlineStr">
        <is>
          <t>2027-03</t>
        </is>
      </c>
      <c r="G49" s="27" t="inlineStr">
        <is>
          <t>未着手</t>
        </is>
      </c>
      <c r="H49" s="32" t="n">
        <v>0</v>
      </c>
      <c r="I49" s="32" t="n">
        <v>0</v>
      </c>
      <c r="J49" s="32" t="n">
        <v>0</v>
      </c>
      <c r="K49" s="20" t="n">
        <v>1</v>
      </c>
      <c r="L49" s="21" t="inlineStr">
        <is>
          <t>おおむね予定どおり</t>
        </is>
      </c>
      <c r="M49" s="19" t="inlineStr">
        <is>
          <t>各成果品の確定</t>
        </is>
      </c>
    </row>
    <row r="50">
      <c r="A50" s="19" t="inlineStr">
        <is>
          <t>P10 完成・納品</t>
        </is>
      </c>
      <c r="B50" s="20" t="inlineStr">
        <is>
          <t>10-8</t>
        </is>
      </c>
      <c r="C50" s="19" t="inlineStr">
        <is>
          <t>納品・検収</t>
        </is>
      </c>
      <c r="D50" s="20" t="inlineStr">
        <is>
          <t>受託者・町</t>
        </is>
      </c>
      <c r="E50" s="20" t="inlineStr">
        <is>
          <t>2027-03</t>
        </is>
      </c>
      <c r="F50" s="20" t="inlineStr">
        <is>
          <t>2027-03</t>
        </is>
      </c>
      <c r="G50" s="27" t="inlineStr">
        <is>
          <t>未着手</t>
        </is>
      </c>
      <c r="H50" s="32" t="n">
        <v>0</v>
      </c>
      <c r="I50" s="32" t="n">
        <v>0</v>
      </c>
      <c r="J50" s="32" t="n">
        <v>0</v>
      </c>
      <c r="K50" s="20" t="n">
        <v>1</v>
      </c>
      <c r="L50" s="21" t="inlineStr">
        <is>
          <t>おおむね予定どおり</t>
        </is>
      </c>
      <c r="M50" s="19" t="inlineStr">
        <is>
          <t>全成果品の完成</t>
        </is>
      </c>
    </row>
    <row r="51">
      <c r="A51" s="19" t="inlineStr">
        <is>
          <t>P3 給付費等の分析</t>
        </is>
      </c>
      <c r="B51" s="20" t="inlineStr">
        <is>
          <t>3-1</t>
        </is>
      </c>
      <c r="C51" s="19" t="inlineStr">
        <is>
          <t>給付費等分析結果報告書の作成</t>
        </is>
      </c>
      <c r="D51" s="20" t="inlineStr">
        <is>
          <t>受託者</t>
        </is>
      </c>
      <c r="E51" s="20" t="inlineStr">
        <is>
          <t>2026-07</t>
        </is>
      </c>
      <c r="F51" s="20" t="inlineStr">
        <is>
          <t>2026-11</t>
        </is>
      </c>
      <c r="G51" s="23" t="inlineStr">
        <is>
          <t>進行中</t>
        </is>
      </c>
      <c r="H51" s="32" t="n">
        <v>70</v>
      </c>
      <c r="I51" s="32" t="n">
        <v>63.2</v>
      </c>
      <c r="J51" s="32" t="n">
        <v>6.8</v>
      </c>
      <c r="K51" s="20" t="n">
        <v>5</v>
      </c>
      <c r="L51" s="21" t="inlineStr">
        <is>
          <t>おおむね予定どおり</t>
        </is>
      </c>
      <c r="M51" s="19" t="inlineStr">
        <is>
          <t>町の給付実績（依頼票S1・S2）で数値を確定する</t>
        </is>
      </c>
    </row>
    <row r="52">
      <c r="A52" s="19" t="inlineStr">
        <is>
          <t>P1 準備・現状把握</t>
        </is>
      </c>
      <c r="B52" s="20" t="inlineStr">
        <is>
          <t>1-7</t>
        </is>
      </c>
      <c r="C52" s="19" t="inlineStr">
        <is>
          <t>町データの受領</t>
        </is>
      </c>
      <c r="D52" s="20" t="inlineStr">
        <is>
          <t>町</t>
        </is>
      </c>
      <c r="E52" s="20" t="inlineStr">
        <is>
          <t>2026-08</t>
        </is>
      </c>
      <c r="F52" s="20" t="inlineStr">
        <is>
          <t>2026-10</t>
        </is>
      </c>
      <c r="G52" s="23" t="inlineStr">
        <is>
          <t>進行中</t>
        </is>
      </c>
      <c r="H52" s="32" t="n">
        <v>80</v>
      </c>
      <c r="I52" s="32" t="n">
        <v>71.40000000000001</v>
      </c>
      <c r="J52" s="32" t="n">
        <v>8.6</v>
      </c>
      <c r="K52" s="20" t="n">
        <v>4</v>
      </c>
      <c r="L52" s="21" t="inlineStr">
        <is>
          <t>おおむね予定どおり</t>
        </is>
      </c>
      <c r="M52" s="19" t="inlineStr">
        <is>
          <t>**残るのは地域支援事業費の内訳（S6）、令和7年度決算（S7）、成果指標の現状値17項目（H1〜H17）、総合事業上限額算定の手引き、地域支援事業交付金事業実績報告書、令和6年度のケアプラン点検の実施件数**</t>
        </is>
      </c>
    </row>
    <row r="53">
      <c r="A53" s="19" t="inlineStr">
        <is>
          <t>P2 統計分析</t>
        </is>
      </c>
      <c r="B53" s="20" t="inlineStr">
        <is>
          <t>2-9</t>
        </is>
      </c>
      <c r="C53" s="19" t="inlineStr">
        <is>
          <t>介護保険財政の分析</t>
        </is>
      </c>
      <c r="D53" s="20" t="inlineStr">
        <is>
          <t>受託者</t>
        </is>
      </c>
      <c r="E53" s="20" t="inlineStr">
        <is>
          <t>2026-08</t>
        </is>
      </c>
      <c r="F53" s="20" t="inlineStr">
        <is>
          <t>2026-10</t>
        </is>
      </c>
      <c r="G53" s="23" t="inlineStr">
        <is>
          <t>進行中</t>
        </is>
      </c>
      <c r="H53" s="32" t="n">
        <v>80</v>
      </c>
      <c r="I53" s="32" t="n">
        <v>71.40000000000001</v>
      </c>
      <c r="J53" s="32" t="n">
        <v>8.6</v>
      </c>
      <c r="K53" s="20" t="n">
        <v>3</v>
      </c>
      <c r="L53" s="21" t="inlineStr">
        <is>
          <t>おおむね予定どおり</t>
        </is>
      </c>
      <c r="M53" s="19" t="inlineStr">
        <is>
          <t>**令和7年度の様式4が全て0で未入力。また基金保有額が令和4年度末120百万円から令和5年度末12百万円へ1桁減っており、取崩実績か入力誤りかの確認が要る**</t>
        </is>
      </c>
    </row>
    <row r="54">
      <c r="A54" s="19" t="inlineStr">
        <is>
          <t>P6 骨子案</t>
        </is>
      </c>
      <c r="B54" s="20" t="inlineStr">
        <is>
          <t>6-1</t>
        </is>
      </c>
      <c r="C54" s="19" t="inlineStr">
        <is>
          <t>骨子案の作成</t>
        </is>
      </c>
      <c r="D54" s="20" t="inlineStr">
        <is>
          <t>受託者</t>
        </is>
      </c>
      <c r="E54" s="20" t="inlineStr">
        <is>
          <t>2026-07</t>
        </is>
      </c>
      <c r="F54" s="20" t="inlineStr">
        <is>
          <t>2026-11</t>
        </is>
      </c>
      <c r="G54" s="23" t="inlineStr">
        <is>
          <t>進行中</t>
        </is>
      </c>
      <c r="H54" s="32" t="n">
        <v>80</v>
      </c>
      <c r="I54" s="32" t="n">
        <v>63.2</v>
      </c>
      <c r="J54" s="32" t="n">
        <v>16.8</v>
      </c>
      <c r="K54" s="20" t="n">
        <v>4</v>
      </c>
      <c r="L54" s="33" t="inlineStr">
        <is>
          <t>前倒し</t>
        </is>
      </c>
      <c r="M54" s="19" t="inlineStr">
        <is>
          <t>実績データによる数値の確定</t>
        </is>
      </c>
    </row>
    <row r="55">
      <c r="A55" s="19" t="inlineStr">
        <is>
          <t>P8 素案</t>
        </is>
      </c>
      <c r="B55" s="20" t="inlineStr">
        <is>
          <t>8-8</t>
        </is>
      </c>
      <c r="C55" s="19" t="inlineStr">
        <is>
          <t>在宅医療・介護連携の目指すべき姿の設定</t>
        </is>
      </c>
      <c r="D55" s="20" t="inlineStr">
        <is>
          <t>受託者・町</t>
        </is>
      </c>
      <c r="E55" s="20" t="inlineStr">
        <is>
          <t>2026-09</t>
        </is>
      </c>
      <c r="F55" s="20" t="inlineStr">
        <is>
          <t>2026-12</t>
        </is>
      </c>
      <c r="G55" s="23" t="inlineStr">
        <is>
          <t>進行中</t>
        </is>
      </c>
      <c r="H55" s="32" t="n">
        <v>45</v>
      </c>
      <c r="I55" s="32" t="n">
        <v>28.1</v>
      </c>
      <c r="J55" s="32" t="n">
        <v>16.9</v>
      </c>
      <c r="K55" s="20" t="n">
        <v>3</v>
      </c>
      <c r="L55" s="33" t="inlineStr">
        <is>
          <t>前倒し</t>
        </is>
      </c>
      <c r="M55" s="19" t="inlineStr">
        <is>
          <t>**目指すべき姿の内容の確定（決定11）。公立小野町地方綜合病院・田村郡医師会等との調整が要る。**あわせて在宅医療・介護連携推進事業の実施状況（相談窓口の運営、多職種研修、情報共有ツール）</t>
        </is>
      </c>
    </row>
    <row r="56">
      <c r="A56" s="19" t="inlineStr">
        <is>
          <t>P2 統計分析</t>
        </is>
      </c>
      <c r="B56" s="20" t="inlineStr">
        <is>
          <t>2-10</t>
        </is>
      </c>
      <c r="C56" s="19" t="inlineStr">
        <is>
          <t>見える化 優先度C分野の出力</t>
        </is>
      </c>
      <c r="D56" s="20" t="inlineStr">
        <is>
          <t>受託者</t>
        </is>
      </c>
      <c r="E56" s="20" t="inlineStr">
        <is>
          <t>2026-09</t>
        </is>
      </c>
      <c r="F56" s="20" t="inlineStr">
        <is>
          <t>2026-11</t>
        </is>
      </c>
      <c r="G56" s="23" t="inlineStr">
        <is>
          <t>進行中</t>
        </is>
      </c>
      <c r="H56" s="32" t="n">
        <v>55</v>
      </c>
      <c r="I56" s="32" t="n">
        <v>37.8</v>
      </c>
      <c r="J56" s="32" t="n">
        <v>17.2</v>
      </c>
      <c r="K56" s="20" t="n">
        <v>2</v>
      </c>
      <c r="L56" s="33" t="inlineStr">
        <is>
          <t>前倒し</t>
        </is>
      </c>
      <c r="M56" s="19" t="inlineStr">
        <is>
          <t>**残るのは医療提供体制・リハビリ提供体制の出力。見える化システムへのアクセスは確保できている（9月28日に推計が通った）**</t>
        </is>
      </c>
    </row>
    <row r="57">
      <c r="A57" s="19" t="inlineStr">
        <is>
          <t>P2 統計分析</t>
        </is>
      </c>
      <c r="B57" s="20" t="inlineStr">
        <is>
          <t>2-4</t>
        </is>
      </c>
      <c r="C57" s="19" t="inlineStr">
        <is>
          <t>認定者数の異常値の検証</t>
        </is>
      </c>
      <c r="D57" s="20" t="inlineStr">
        <is>
          <t>受託者・町</t>
        </is>
      </c>
      <c r="E57" s="20" t="inlineStr">
        <is>
          <t>2026-08</t>
        </is>
      </c>
      <c r="F57" s="20" t="inlineStr">
        <is>
          <t>2026-10</t>
        </is>
      </c>
      <c r="G57" s="23" t="inlineStr">
        <is>
          <t>進行中</t>
        </is>
      </c>
      <c r="H57" s="32" t="n">
        <v>90</v>
      </c>
      <c r="I57" s="32" t="n">
        <v>71.40000000000001</v>
      </c>
      <c r="J57" s="32" t="n">
        <v>18.6</v>
      </c>
      <c r="K57" s="20" t="n">
        <v>5</v>
      </c>
      <c r="L57" s="33" t="inlineStr">
        <is>
          <t>前倒し</t>
        </is>
      </c>
      <c r="M57" s="19" t="inlineStr">
        <is>
          <t>**「令和7年8〜9月に計上方法の変更がなかったか」に論点が絞られた。町外施設入所者の帰属、住所地特例、国保連の集計定義のいずれか**</t>
        </is>
      </c>
    </row>
    <row r="58">
      <c r="A58" s="19" t="inlineStr">
        <is>
          <t>P2 統計分析</t>
        </is>
      </c>
      <c r="B58" s="20" t="inlineStr">
        <is>
          <t>2-12</t>
        </is>
      </c>
      <c r="C58" s="19" t="inlineStr">
        <is>
          <t>総合事業の実施状況の分析</t>
        </is>
      </c>
      <c r="D58" s="20" t="inlineStr">
        <is>
          <t>受託者</t>
        </is>
      </c>
      <c r="E58" s="20" t="inlineStr">
        <is>
          <t>2026-09</t>
        </is>
      </c>
      <c r="F58" s="20" t="inlineStr">
        <is>
          <t>2026-10</t>
        </is>
      </c>
      <c r="G58" s="23" t="inlineStr">
        <is>
          <t>進行中</t>
        </is>
      </c>
      <c r="H58" s="32" t="n">
        <v>85</v>
      </c>
      <c r="I58" s="32" t="n">
        <v>56.7</v>
      </c>
      <c r="J58" s="32" t="n">
        <v>28.3</v>
      </c>
      <c r="K58" s="20" t="n">
        <v>3</v>
      </c>
      <c r="L58" s="33" t="inlineStr">
        <is>
          <t>前倒し</t>
        </is>
      </c>
      <c r="M58"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row>
    <row r="59">
      <c r="A59" s="19" t="inlineStr">
        <is>
          <t>P10 完成・納品</t>
        </is>
      </c>
      <c r="B59" s="20" t="inlineStr">
        <is>
          <t>10-4</t>
        </is>
      </c>
      <c r="C59" s="19" t="inlineStr">
        <is>
          <t>概要版の構成案</t>
        </is>
      </c>
      <c r="D59" s="20" t="inlineStr">
        <is>
          <t>受託者</t>
        </is>
      </c>
      <c r="E59" s="20" t="inlineStr">
        <is>
          <t>2026-08</t>
        </is>
      </c>
      <c r="F59" s="20" t="inlineStr">
        <is>
          <t>2026-10</t>
        </is>
      </c>
      <c r="G59" s="21" t="inlineStr">
        <is>
          <t>完了</t>
        </is>
      </c>
      <c r="H59" s="32" t="n">
        <v>100</v>
      </c>
      <c r="I59" s="32" t="n">
        <v>71.40000000000001</v>
      </c>
      <c r="J59" s="32" t="n">
        <v>28.6</v>
      </c>
      <c r="K59" s="20" t="n">
        <v>1</v>
      </c>
      <c r="L59" s="33" t="inlineStr">
        <is>
          <t>前倒し</t>
        </is>
      </c>
      <c r="M59" s="19" t="inlineStr">
        <is>
          <t>―</t>
        </is>
      </c>
    </row>
    <row r="60">
      <c r="A60" s="19" t="inlineStr">
        <is>
          <t>P8 素案</t>
        </is>
      </c>
      <c r="B60" s="20" t="inlineStr">
        <is>
          <t>8-7</t>
        </is>
      </c>
      <c r="C60" s="19" t="inlineStr">
        <is>
          <t>介護給付適正化計画の位置づけと主要3事業の定量目標</t>
        </is>
      </c>
      <c r="D60" s="20" t="inlineStr">
        <is>
          <t>受託者・町</t>
        </is>
      </c>
      <c r="E60" s="20" t="inlineStr">
        <is>
          <t>2026-09</t>
        </is>
      </c>
      <c r="F60" s="20" t="inlineStr">
        <is>
          <t>2026-12</t>
        </is>
      </c>
      <c r="G60" s="23" t="inlineStr">
        <is>
          <t>進行中</t>
        </is>
      </c>
      <c r="H60" s="32" t="n">
        <v>60</v>
      </c>
      <c r="I60" s="32" t="n">
        <v>28.1</v>
      </c>
      <c r="J60" s="32" t="n">
        <v>31.9</v>
      </c>
      <c r="K60" s="20" t="n">
        <v>3</v>
      </c>
      <c r="L60" s="33" t="inlineStr">
        <is>
          <t>前倒し</t>
        </is>
      </c>
      <c r="M60"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row>
    <row r="61">
      <c r="A61" s="19" t="inlineStr">
        <is>
          <t>P7 推計・算定</t>
        </is>
      </c>
      <c r="B61" s="20" t="inlineStr">
        <is>
          <t>7-3</t>
        </is>
      </c>
      <c r="C61" s="19" t="inlineStr">
        <is>
          <t>被保険者数・認定者数の推計</t>
        </is>
      </c>
      <c r="D61" s="20" t="inlineStr">
        <is>
          <t>受託者</t>
        </is>
      </c>
      <c r="E61" s="20" t="inlineStr">
        <is>
          <t>2026-09</t>
        </is>
      </c>
      <c r="F61" s="20" t="inlineStr">
        <is>
          <t>2026-10</t>
        </is>
      </c>
      <c r="G61" s="23" t="inlineStr">
        <is>
          <t>進行中</t>
        </is>
      </c>
      <c r="H61" s="32" t="n">
        <v>90</v>
      </c>
      <c r="I61" s="32" t="n">
        <v>56.7</v>
      </c>
      <c r="J61" s="32" t="n">
        <v>33.3</v>
      </c>
      <c r="K61" s="20" t="n">
        <v>4</v>
      </c>
      <c r="L61" s="33" t="inlineStr">
        <is>
          <t>前倒し</t>
        </is>
      </c>
      <c r="M61"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row>
    <row r="62">
      <c r="A62" s="19" t="inlineStr">
        <is>
          <t>P5 第9期の評価</t>
        </is>
      </c>
      <c r="B62" s="20" t="inlineStr">
        <is>
          <t>5-2</t>
        </is>
      </c>
      <c r="C62" s="19" t="inlineStr">
        <is>
          <t>成果目標の達成状況の確定</t>
        </is>
      </c>
      <c r="D62" s="20" t="inlineStr">
        <is>
          <t>受託者</t>
        </is>
      </c>
      <c r="E62" s="20" t="inlineStr">
        <is>
          <t>2026-09</t>
        </is>
      </c>
      <c r="F62" s="20" t="inlineStr">
        <is>
          <t>2026-10</t>
        </is>
      </c>
      <c r="G62" s="23" t="inlineStr">
        <is>
          <t>進行中</t>
        </is>
      </c>
      <c r="H62" s="32" t="n">
        <v>90</v>
      </c>
      <c r="I62" s="32" t="n">
        <v>56.7</v>
      </c>
      <c r="J62" s="32" t="n">
        <v>33.3</v>
      </c>
      <c r="K62" s="20" t="n">
        <v>3</v>
      </c>
      <c r="L62" s="33" t="inlineStr">
        <is>
          <t>前倒し</t>
        </is>
      </c>
      <c r="M62" s="19" t="inlineStr">
        <is>
          <t>**地域支援事業費の実績（年報 様式4の令和6・7年度が未入力。依頼票H3）と成果指標の現状値（H1〜H15）。令和8年度は年度途中のため令和9年夏の年報を待つ**</t>
        </is>
      </c>
    </row>
    <row r="63">
      <c r="A63" s="19" t="inlineStr">
        <is>
          <t>P2 統計分析</t>
        </is>
      </c>
      <c r="B63" s="20" t="inlineStr">
        <is>
          <t>2-13</t>
        </is>
      </c>
      <c r="C63" s="19" t="inlineStr">
        <is>
          <t>地域分析・検討シートの記入案の作成</t>
        </is>
      </c>
      <c r="D63" s="20" t="inlineStr">
        <is>
          <t>受託者</t>
        </is>
      </c>
      <c r="E63" s="20" t="inlineStr">
        <is>
          <t>2026-09</t>
        </is>
      </c>
      <c r="F63" s="20" t="inlineStr">
        <is>
          <t>2026-10</t>
        </is>
      </c>
      <c r="G63" s="23" t="inlineStr">
        <is>
          <t>進行中</t>
        </is>
      </c>
      <c r="H63" s="32" t="n">
        <v>90</v>
      </c>
      <c r="I63" s="32" t="n">
        <v>56.7</v>
      </c>
      <c r="J63" s="32" t="n">
        <v>33.3</v>
      </c>
      <c r="K63" s="20" t="n">
        <v>2</v>
      </c>
      <c r="L63" s="33" t="inlineStr">
        <is>
          <t>前倒し</t>
        </is>
      </c>
      <c r="M63" s="19" t="inlineStr">
        <is>
          <t>**町の確定稿への記入は町が行う。記入案のうち通いの場・総合事業に関する記述は2-6・2-12と同じデータ待ちで、町の事業実績が入ると書き換えが要る**</t>
        </is>
      </c>
    </row>
    <row r="64">
      <c r="A64" s="19" t="inlineStr">
        <is>
          <t>P9 意見聴取</t>
        </is>
      </c>
      <c r="B64" s="20" t="inlineStr">
        <is>
          <t>9-3</t>
        </is>
      </c>
      <c r="C64" s="19" t="inlineStr">
        <is>
          <t>協議会 第2回（骨子案・見込量・保険料・成果指標）</t>
        </is>
      </c>
      <c r="D64" s="20" t="inlineStr">
        <is>
          <t>受託者・町</t>
        </is>
      </c>
      <c r="E64" s="20" t="inlineStr">
        <is>
          <t>2026-11</t>
        </is>
      </c>
      <c r="F64" s="20" t="inlineStr">
        <is>
          <t>2026-11</t>
        </is>
      </c>
      <c r="G64" s="23" t="inlineStr">
        <is>
          <t>進行中</t>
        </is>
      </c>
      <c r="H64" s="32" t="n">
        <v>40</v>
      </c>
      <c r="I64" s="32" t="n">
        <v>0</v>
      </c>
      <c r="J64" s="32" t="n">
        <v>40</v>
      </c>
      <c r="K64" s="20" t="n">
        <v>2</v>
      </c>
      <c r="L64" s="33" t="inlineStr">
        <is>
          <t>前倒し</t>
        </is>
      </c>
      <c r="M64" s="19" t="inlineStr">
        <is>
          <t>開催日の確定（案Aなら11月27日が期限）</t>
        </is>
      </c>
    </row>
    <row r="65">
      <c r="A65" s="19" t="inlineStr">
        <is>
          <t>P11 品質・進捗管理</t>
        </is>
      </c>
      <c r="B65" s="20" t="inlineStr">
        <is>
          <t>11-5</t>
        </is>
      </c>
      <c r="C65" s="19" t="inlineStr">
        <is>
          <t>他団体の資料・データの取扱いの点検</t>
        </is>
      </c>
      <c r="D65" s="20" t="inlineStr">
        <is>
          <t>受託者</t>
        </is>
      </c>
      <c r="E65" s="20" t="inlineStr">
        <is>
          <t>2026-09</t>
        </is>
      </c>
      <c r="F65" s="20" t="inlineStr">
        <is>
          <t>2026-10</t>
        </is>
      </c>
      <c r="G65" s="21" t="inlineStr">
        <is>
          <t>完了</t>
        </is>
      </c>
      <c r="H65" s="32" t="n">
        <v>100</v>
      </c>
      <c r="I65" s="32" t="n">
        <v>56.7</v>
      </c>
      <c r="J65" s="32" t="n">
        <v>43.3</v>
      </c>
      <c r="K65" s="20" t="n">
        <v>2</v>
      </c>
      <c r="L65" s="33" t="inlineStr">
        <is>
          <t>前倒し</t>
        </is>
      </c>
      <c r="M65" s="19" t="inlineStr">
        <is>
          <t>―</t>
        </is>
      </c>
    </row>
    <row r="66">
      <c r="A66" s="19" t="inlineStr">
        <is>
          <t>P11 品質・進捗管理</t>
        </is>
      </c>
      <c r="B66" s="20" t="inlineStr">
        <is>
          <t>11-3</t>
        </is>
      </c>
      <c r="C66" s="19" t="inlineStr">
        <is>
          <t>図表の追加作成</t>
        </is>
      </c>
      <c r="D66" s="20" t="inlineStr">
        <is>
          <t>受託者</t>
        </is>
      </c>
      <c r="E66" s="20" t="inlineStr">
        <is>
          <t>2026-09</t>
        </is>
      </c>
      <c r="F66" s="20" t="inlineStr">
        <is>
          <t>2026-12</t>
        </is>
      </c>
      <c r="G66" s="23" t="inlineStr">
        <is>
          <t>進行中</t>
        </is>
      </c>
      <c r="H66" s="32" t="n">
        <v>80</v>
      </c>
      <c r="I66" s="32" t="n">
        <v>28.1</v>
      </c>
      <c r="J66" s="32" t="n">
        <v>51.9</v>
      </c>
      <c r="K66" s="20" t="n">
        <v>2</v>
      </c>
      <c r="L66" s="33" t="inlineStr">
        <is>
          <t>前倒し</t>
        </is>
      </c>
      <c r="M66" s="19" t="inlineStr">
        <is>
          <t>**残る2点はいずれも町データ待ち。地域ケア会議の開催回数・検討件数と、介護給付適正化の主要3事業の実施状況である**</t>
        </is>
      </c>
    </row>
    <row r="67">
      <c r="A67" s="19" t="inlineStr">
        <is>
          <t>P11 品質・進捗管理</t>
        </is>
      </c>
      <c r="B67" s="20" t="inlineStr">
        <is>
          <t>11-4</t>
        </is>
      </c>
      <c r="C67" s="19" t="inlineStr">
        <is>
          <t>成果品の体裁の統一と機械点検</t>
        </is>
      </c>
      <c r="D67" s="20" t="inlineStr">
        <is>
          <t>受託者</t>
        </is>
      </c>
      <c r="E67" s="20" t="inlineStr">
        <is>
          <t>2026-09</t>
        </is>
      </c>
      <c r="F67" s="20" t="inlineStr">
        <is>
          <t>2026-12</t>
        </is>
      </c>
      <c r="G67" s="23" t="inlineStr">
        <is>
          <t>進行中</t>
        </is>
      </c>
      <c r="H67" s="32" t="n">
        <v>80</v>
      </c>
      <c r="I67" s="32" t="n">
        <v>28.1</v>
      </c>
      <c r="J67" s="32" t="n">
        <v>51.9</v>
      </c>
      <c r="K67" s="20" t="n">
        <v>2</v>
      </c>
      <c r="L67" s="33" t="inlineStr">
        <is>
          <t>前倒し</t>
        </is>
      </c>
      <c r="M67" s="19" t="inlineStr">
        <is>
          <t>**印刷用の最終体裁（4色刷り・80頁）は組版工程（10-2）で別に点検する**</t>
        </is>
      </c>
    </row>
    <row r="68">
      <c r="A68" s="19" t="inlineStr">
        <is>
          <t>P8 素案</t>
        </is>
      </c>
      <c r="B68" s="20" t="inlineStr">
        <is>
          <t>8-1</t>
        </is>
      </c>
      <c r="C68" s="19" t="inlineStr">
        <is>
          <t>素案の作成</t>
        </is>
      </c>
      <c r="D68" s="20" t="inlineStr">
        <is>
          <t>受託者</t>
        </is>
      </c>
      <c r="E68" s="20" t="inlineStr">
        <is>
          <t>2026-08</t>
        </is>
      </c>
      <c r="F68" s="20" t="inlineStr">
        <is>
          <t>2026-12</t>
        </is>
      </c>
      <c r="G68" s="23" t="inlineStr">
        <is>
          <t>進行中</t>
        </is>
      </c>
      <c r="H68" s="32" t="n">
        <v>95</v>
      </c>
      <c r="I68" s="32" t="n">
        <v>42.8</v>
      </c>
      <c r="J68" s="32" t="n">
        <v>52.2</v>
      </c>
      <c r="K68" s="20" t="n">
        <v>5</v>
      </c>
      <c r="L68" s="33" t="inlineStr">
        <is>
          <t>前倒し</t>
        </is>
      </c>
      <c r="M68"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row>
    <row r="69">
      <c r="A69" s="19" t="inlineStr">
        <is>
          <t>P8 素案</t>
        </is>
      </c>
      <c r="B69" s="20" t="inlineStr">
        <is>
          <t>8-9</t>
        </is>
      </c>
      <c r="C69" s="19" t="inlineStr">
        <is>
          <t>素案の構成・体裁の点検（他団体の第10期計画との対比）</t>
        </is>
      </c>
      <c r="D69" s="20" t="inlineStr">
        <is>
          <t>受託者</t>
        </is>
      </c>
      <c r="E69" s="20" t="inlineStr">
        <is>
          <t>2026-09</t>
        </is>
      </c>
      <c r="F69" s="20" t="inlineStr">
        <is>
          <t>2026-11</t>
        </is>
      </c>
      <c r="G69" s="23" t="inlineStr">
        <is>
          <t>進行中</t>
        </is>
      </c>
      <c r="H69" s="32" t="n">
        <v>90</v>
      </c>
      <c r="I69" s="32" t="n">
        <v>37.8</v>
      </c>
      <c r="J69" s="32" t="n">
        <v>52.2</v>
      </c>
      <c r="K69" s="20" t="n">
        <v>3</v>
      </c>
      <c r="L69" s="33" t="inlineStr">
        <is>
          <t>前倒し</t>
        </is>
      </c>
      <c r="M69" s="19" t="inlineStr">
        <is>
          <t>**残る未対応は、第5章の各施策の記載を5項目にそろえること、事業所調査（未実施。実施の可否を町と相談）、国の基本指針が示す確認すべき指標との対応表**</t>
        </is>
      </c>
    </row>
    <row r="70">
      <c r="A70" s="19" t="inlineStr">
        <is>
          <t>P7 推計・算定</t>
        </is>
      </c>
      <c r="B70" s="20" t="inlineStr">
        <is>
          <t>7-4</t>
        </is>
      </c>
      <c r="C70" s="19" t="inlineStr">
        <is>
          <t>サービス見込量の推計</t>
        </is>
      </c>
      <c r="D70" s="20" t="inlineStr">
        <is>
          <t>受託者</t>
        </is>
      </c>
      <c r="E70" s="20" t="inlineStr">
        <is>
          <t>2026-09</t>
        </is>
      </c>
      <c r="F70" s="20" t="inlineStr">
        <is>
          <t>2026-11</t>
        </is>
      </c>
      <c r="G70" s="21" t="inlineStr">
        <is>
          <t>完了</t>
        </is>
      </c>
      <c r="H70" s="32" t="n">
        <v>100</v>
      </c>
      <c r="I70" s="32" t="n">
        <v>37.8</v>
      </c>
      <c r="J70" s="32" t="n">
        <v>62.2</v>
      </c>
      <c r="K70" s="20" t="n">
        <v>5</v>
      </c>
      <c r="L70" s="33" t="inlineStr">
        <is>
          <t>前倒し</t>
        </is>
      </c>
      <c r="M70"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row>
    <row r="71">
      <c r="A71" s="19" t="inlineStr">
        <is>
          <t>P2 統計分析</t>
        </is>
      </c>
      <c r="B71" s="20" t="inlineStr">
        <is>
          <t>2-11</t>
        </is>
      </c>
      <c r="C71" s="19" t="inlineStr">
        <is>
          <t>保険者機能強化推進交付金等の評価結果の整理</t>
        </is>
      </c>
      <c r="D71" s="20" t="inlineStr">
        <is>
          <t>受託者</t>
        </is>
      </c>
      <c r="E71" s="20" t="inlineStr">
        <is>
          <t>2026-09</t>
        </is>
      </c>
      <c r="F71" s="20" t="inlineStr">
        <is>
          <t>2026-11</t>
        </is>
      </c>
      <c r="G71" s="21" t="inlineStr">
        <is>
          <t>完了</t>
        </is>
      </c>
      <c r="H71" s="32" t="n">
        <v>100</v>
      </c>
      <c r="I71" s="32" t="n">
        <v>37.8</v>
      </c>
      <c r="J71" s="32" t="n">
        <v>62.2</v>
      </c>
      <c r="K71" s="20" t="n">
        <v>2</v>
      </c>
      <c r="L71" s="33" t="inlineStr">
        <is>
          <t>前倒し</t>
        </is>
      </c>
      <c r="M71"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row>
    <row r="72">
      <c r="A72" s="19" t="inlineStr">
        <is>
          <t>P11 品質・進捗管理</t>
        </is>
      </c>
      <c r="B72" s="20" t="inlineStr">
        <is>
          <t>11-1</t>
        </is>
      </c>
      <c r="C72" s="19" t="inlineStr">
        <is>
          <t>一次資料との全件突合</t>
        </is>
      </c>
      <c r="D72" s="20" t="inlineStr">
        <is>
          <t>受託者</t>
        </is>
      </c>
      <c r="E72" s="20" t="inlineStr">
        <is>
          <t>2026-09</t>
        </is>
      </c>
      <c r="F72" s="20" t="inlineStr">
        <is>
          <t>2027-02</t>
        </is>
      </c>
      <c r="G72" s="23" t="inlineStr">
        <is>
          <t>進行中</t>
        </is>
      </c>
      <c r="H72" s="32" t="n">
        <v>85</v>
      </c>
      <c r="I72" s="32" t="n">
        <v>18.9</v>
      </c>
      <c r="J72" s="32" t="n">
        <v>66.09999999999999</v>
      </c>
      <c r="K72" s="20" t="n">
        <v>4</v>
      </c>
      <c r="L72" s="33" t="inlineStr">
        <is>
          <t>前倒し</t>
        </is>
      </c>
      <c r="M72" s="19" t="inlineStr">
        <is>
          <t>**町データが届くたびに突合対象が増える。とくに成果指標の現状値17項目と令和7年度決算が入ると、素案・算定シート・協議会資料の3系統を同時に照合する必要がある**</t>
        </is>
      </c>
    </row>
    <row r="73">
      <c r="A73" s="19" t="inlineStr">
        <is>
          <t>P11 品質・進捗管理</t>
        </is>
      </c>
      <c r="B73" s="20" t="inlineStr">
        <is>
          <t>11-2</t>
        </is>
      </c>
      <c r="C73" s="19" t="inlineStr">
        <is>
          <t>図表データ管理台帳の整備と運用</t>
        </is>
      </c>
      <c r="D73" s="20" t="inlineStr">
        <is>
          <t>受託者</t>
        </is>
      </c>
      <c r="E73" s="20" t="inlineStr">
        <is>
          <t>2026-09</t>
        </is>
      </c>
      <c r="F73" s="20" t="inlineStr">
        <is>
          <t>2027-02</t>
        </is>
      </c>
      <c r="G73" s="23" t="inlineStr">
        <is>
          <t>進行中</t>
        </is>
      </c>
      <c r="H73" s="32" t="n">
        <v>85</v>
      </c>
      <c r="I73" s="32" t="n">
        <v>18.9</v>
      </c>
      <c r="J73" s="32" t="n">
        <v>66.09999999999999</v>
      </c>
      <c r="K73" s="20" t="n">
        <v>3</v>
      </c>
      <c r="L73" s="33" t="inlineStr">
        <is>
          <t>前倒し</t>
        </is>
      </c>
      <c r="M73"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row>
    <row r="74">
      <c r="A74" s="19" t="inlineStr">
        <is>
          <t>P11 品質・進捗管理</t>
        </is>
      </c>
      <c r="B74" s="20" t="inlineStr">
        <is>
          <t>11-6</t>
        </is>
      </c>
      <c r="C74" s="19" t="inlineStr">
        <is>
          <t>ペンディング項目の整理と作業順位の管理</t>
        </is>
      </c>
      <c r="D74" s="20" t="inlineStr">
        <is>
          <t>受託者</t>
        </is>
      </c>
      <c r="E74" s="20" t="inlineStr">
        <is>
          <t>2026-10</t>
        </is>
      </c>
      <c r="F74" s="20" t="inlineStr">
        <is>
          <t>2027-03</t>
        </is>
      </c>
      <c r="G74" s="23" t="inlineStr">
        <is>
          <t>進行中</t>
        </is>
      </c>
      <c r="H74" s="32" t="n">
        <v>70</v>
      </c>
      <c r="I74" s="32" t="n">
        <v>2.2</v>
      </c>
      <c r="J74" s="32" t="n">
        <v>67.8</v>
      </c>
      <c r="K74" s="20" t="n">
        <v>2</v>
      </c>
      <c r="L74" s="33" t="inlineStr">
        <is>
          <t>前倒し</t>
        </is>
      </c>
      <c r="M74" s="19" t="inlineStr">
        <is>
          <t>**町の回答が届くたびに順位を組み替える。優先1位（基金運用状況調書）の回答が来た時点で、その日の作業を止めて差し替えに回す**</t>
        </is>
      </c>
    </row>
    <row r="75">
      <c r="A75" s="19" t="inlineStr">
        <is>
          <t>P7 推計・算定</t>
        </is>
      </c>
      <c r="B75" s="20" t="inlineStr">
        <is>
          <t>7-7</t>
        </is>
      </c>
      <c r="C75" s="19" t="inlineStr">
        <is>
          <t>サービス見込量推計結果報告書の作成</t>
        </is>
      </c>
      <c r="D75" s="20" t="inlineStr">
        <is>
          <t>受託者</t>
        </is>
      </c>
      <c r="E75" s="20" t="inlineStr">
        <is>
          <t>2026-11</t>
        </is>
      </c>
      <c r="F75" s="20" t="inlineStr">
        <is>
          <t>2026-12</t>
        </is>
      </c>
      <c r="G75" s="23" t="inlineStr">
        <is>
          <t>進行中</t>
        </is>
      </c>
      <c r="H75" s="32" t="n">
        <v>75</v>
      </c>
      <c r="I75" s="32" t="n">
        <v>0</v>
      </c>
      <c r="J75" s="32" t="n">
        <v>75</v>
      </c>
      <c r="K75" s="20" t="n">
        <v>4</v>
      </c>
      <c r="L75" s="33" t="inlineStr">
        <is>
          <t>前倒し</t>
        </is>
      </c>
      <c r="M75" s="19" t="inlineStr">
        <is>
          <t>**報酬改定率と第1号被保険者負担割合が確定したら数値を差し替える。**あわせて、協議会での議論を踏まえた記述の追加</t>
        </is>
      </c>
    </row>
    <row r="76">
      <c r="A76" s="19" t="inlineStr">
        <is>
          <t>P8 素案</t>
        </is>
      </c>
      <c r="B76" s="20" t="inlineStr">
        <is>
          <t>8-4</t>
        </is>
      </c>
      <c r="C76" s="19" t="inlineStr">
        <is>
          <t>見込量・保険料・成果指標の反映</t>
        </is>
      </c>
      <c r="D76" s="20" t="inlineStr">
        <is>
          <t>受託者</t>
        </is>
      </c>
      <c r="E76" s="20" t="inlineStr">
        <is>
          <t>2026-11</t>
        </is>
      </c>
      <c r="F76" s="20" t="inlineStr">
        <is>
          <t>2026-12</t>
        </is>
      </c>
      <c r="G76" s="23" t="inlineStr">
        <is>
          <t>進行中</t>
        </is>
      </c>
      <c r="H76" s="32" t="n">
        <v>85</v>
      </c>
      <c r="I76" s="32" t="n">
        <v>0</v>
      </c>
      <c r="J76" s="32" t="n">
        <v>85</v>
      </c>
      <c r="K76" s="20" t="n">
        <v>4</v>
      </c>
      <c r="L76" s="33" t="inlineStr">
        <is>
          <t>前倒し</t>
        </is>
      </c>
      <c r="M76" s="19" t="inlineStr">
        <is>
          <t>**残るのは成果指標の目標値（協議会で設定54）と町データ待ち43。**とくに成果指標の現状値17項目が入らないと目標値を置けない　**10月1日に図を5点に（人口・区分・保険料・認知症・通いの場）**</t>
        </is>
      </c>
    </row>
    <row r="77">
      <c r="A77" s="19" t="inlineStr">
        <is>
          <t>P10 完成・納品</t>
        </is>
      </c>
      <c r="B77" s="20" t="inlineStr">
        <is>
          <t>10-9</t>
        </is>
      </c>
      <c r="C77" s="19" t="inlineStr">
        <is>
          <t>印刷の発注準備</t>
        </is>
      </c>
      <c r="D77" s="20" t="inlineStr">
        <is>
          <t>受託者</t>
        </is>
      </c>
      <c r="E77" s="20" t="inlineStr">
        <is>
          <t>2026-10</t>
        </is>
      </c>
      <c r="F77" s="20" t="inlineStr">
        <is>
          <t>2026-10</t>
        </is>
      </c>
      <c r="G77" s="21" t="inlineStr">
        <is>
          <t>完了</t>
        </is>
      </c>
      <c r="H77" s="32" t="n">
        <v>100</v>
      </c>
      <c r="I77" s="32" t="n">
        <v>13.3</v>
      </c>
      <c r="J77" s="32" t="n">
        <v>86.7</v>
      </c>
      <c r="K77" s="20" t="n">
        <v>1</v>
      </c>
      <c r="L77" s="33" t="inlineStr">
        <is>
          <t>前倒し</t>
        </is>
      </c>
      <c r="M77" s="19" t="inlineStr">
        <is>
          <t>町による用紙・校正の条件の決定</t>
        </is>
      </c>
    </row>
    <row r="78">
      <c r="A78" s="19" t="inlineStr">
        <is>
          <t>P7 推計・算定</t>
        </is>
      </c>
      <c r="B78" s="20" t="inlineStr">
        <is>
          <t>7-6</t>
        </is>
      </c>
      <c r="C78" s="19" t="inlineStr">
        <is>
          <t>保険料のケース別算定</t>
        </is>
      </c>
      <c r="D78" s="20" t="inlineStr">
        <is>
          <t>受託者</t>
        </is>
      </c>
      <c r="E78" s="20" t="inlineStr">
        <is>
          <t>2026-10</t>
        </is>
      </c>
      <c r="F78" s="20" t="inlineStr">
        <is>
          <t>2026-11</t>
        </is>
      </c>
      <c r="G78" s="23" t="inlineStr">
        <is>
          <t>進行中</t>
        </is>
      </c>
      <c r="H78" s="32" t="n">
        <v>95</v>
      </c>
      <c r="I78" s="32" t="n">
        <v>6.7</v>
      </c>
      <c r="J78" s="32" t="n">
        <v>88.3</v>
      </c>
      <c r="K78" s="20" t="n">
        <v>4</v>
      </c>
      <c r="L78" s="33" t="inlineStr">
        <is>
          <t>前倒し</t>
        </is>
      </c>
      <c r="M78" s="19"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row>
    <row r="80">
      <c r="A80" s="34" t="inlineStr">
        <is>
          <t>加重の実績進捗率 70.7％　対　予定進捗率 54.8％　乖離 +16.0ポイント</t>
        </is>
      </c>
    </row>
    <row r="81">
      <c r="A81" s="35" t="inlineStr">
        <is>
          <t xml:space="preserve">　期限超過 4件</t>
        </is>
      </c>
    </row>
    <row r="82">
      <c r="A82" s="35" t="inlineStr">
        <is>
          <t xml:space="preserve">　遅れ 4件</t>
        </is>
      </c>
    </row>
    <row r="83">
      <c r="A83" s="35" t="inlineStr">
        <is>
          <t xml:space="preserve">　おおむね予定どおり 44件</t>
        </is>
      </c>
    </row>
    <row r="84">
      <c r="A84" s="35" t="inlineStr">
        <is>
          <t xml:space="preserve">　前倒し 25件</t>
        </is>
      </c>
    </row>
    <row r="85">
      <c r="A85" s="36" t="inlineStr">
        <is>
          <t>※ 予定進捗率＝予定開始の月初から予定完了の月末までを直線で見たとき、基準日に何％進んでいるはずかの値です。</t>
        </is>
      </c>
    </row>
    <row r="86">
      <c r="A86" s="36" t="inlineStr">
        <is>
          <t>※ 判定は実績と予定の差が±10ポイント以内なら「おおむね予定どおり」としています。月単位の予定を日割りした誤差の幅です。</t>
        </is>
      </c>
    </row>
    <row r="87">
      <c r="A87" s="36" t="inlineStr">
        <is>
          <t>※ 予定完了の月を過ぎてなお完了していないものを「期限超過」としています。</t>
        </is>
      </c>
    </row>
    <row r="88">
      <c r="A88" s="36" t="inlineStr">
        <is>
          <t>※ 加重は工数の目安（重み1〜5）です。製本1件の遅れと見込量推計1件の遅れを同じ重さにしないためです。</t>
        </is>
      </c>
    </row>
  </sheetData>
  <autoFilter ref="A1:M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2026-10-05T05:34:03Z</dcterms:created>
  <dcterms:modified xmlns:dcterms="http://purl.org/dc/terms/" xmlns:xsi="http://www.w3.org/2001/XMLSchema-instance" xsi:type="dcterms:W3CDTF">2026-10-05T05:34:04Z</dcterms:modified>
</cp:coreProperties>
</file>