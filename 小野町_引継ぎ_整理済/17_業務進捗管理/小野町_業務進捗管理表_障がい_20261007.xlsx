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'01_WBS'!$A$1:$O$50</definedName>
    <definedName name="_xlnm._FilterDatabase" localSheetId="11" hidden="1">'11_進捗の乖離'!$A$1:$M$50</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基準日：令和8年10月7日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0.5175289256198348</v>
      </c>
      <c r="C7" s="2" t="inlineStr">
        <is>
          <t>実績進捗率</t>
        </is>
      </c>
      <c r="D7" s="6" t="n">
        <v>0.5380165289256198</v>
      </c>
      <c r="E7" s="2" t="inlineStr">
        <is>
          <t>乖離</t>
        </is>
      </c>
      <c r="F7" s="7" t="n">
        <v>0.0204876033057851</v>
      </c>
    </row>
    <row r="8">
      <c r="A8" s="8" t="inlineStr">
        <is>
          <t>おおむね予定どおり 31件／前倒し 10件／期限超過（1か月） 5件／遅れ 2件／期限超過（2か月） 1件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0" t="inlineStr">
        <is>
          <t>完了</t>
        </is>
      </c>
      <c r="L11" s="21" t="n">
        <v>100</v>
      </c>
      <c r="M11" s="22" t="n">
        <v>4</v>
      </c>
      <c r="N11" s="18" t="inlineStr">
        <is>
          <t>**調査は令和8年8月14日から9月25日まで実施済み（他メンバーが担当）。**調査票は確定し、障がい者259件・障がい児25件の有効回答を得ている</t>
        </is>
      </c>
      <c r="O11" s="18" t="inlineStr">
        <is>
          <t>―</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0" t="inlineStr">
        <is>
          <t>完了</t>
        </is>
      </c>
      <c r="L12" s="21" t="n">
        <v>100</v>
      </c>
      <c r="M12" s="22" t="n">
        <v>1</v>
      </c>
      <c r="N12" s="18" t="inlineStr">
        <is>
          <t>調査が実施されているため確認は済んでいる</t>
        </is>
      </c>
      <c r="O12" s="18" t="inlineStr">
        <is>
          <t>―</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4" t="inlineStr">
        <is>
          <t>要対応</t>
        </is>
      </c>
      <c r="L13" s="21" t="n">
        <v>80</v>
      </c>
      <c r="M13" s="22" t="n">
        <v>3</v>
      </c>
      <c r="N13" s="18" t="inlineStr">
        <is>
          <t>抽出は完了し回答を得ている（障がい者259件・障がい児25件）</t>
        </is>
      </c>
      <c r="O13" s="18" t="inlineStr">
        <is>
          <t>**配布数と抽出方法が未記入。**前回は520人の層化無作為抽出であり、**全数配布か標本抽出かで経年比較の可否が決まる（依頼票D5）**</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0" t="inlineStr">
        <is>
          <t>完了</t>
        </is>
      </c>
      <c r="L14" s="21" t="n">
        <v>100</v>
      </c>
      <c r="M14" s="22" t="n">
        <v>2</v>
      </c>
      <c r="N14" s="18" t="inlineStr">
        <is>
          <t>発送が完了しているため印刷・同封物の準備は済んでいる</t>
        </is>
      </c>
      <c r="O14" s="18" t="inlineStr">
        <is>
          <t>―</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0" t="inlineStr">
        <is>
          <t>完了</t>
        </is>
      </c>
      <c r="L15" s="21" t="n">
        <v>100</v>
      </c>
      <c r="M15" s="22" t="n">
        <v>1</v>
      </c>
      <c r="N15" s="18" t="inlineStr">
        <is>
          <t>発送が完了している</t>
        </is>
      </c>
      <c r="O15" s="18" t="inlineStr">
        <is>
          <t>―</t>
        </is>
      </c>
    </row>
    <row r="16">
      <c r="A16" s="18" t="inlineStr">
        <is>
          <t>P2 ニーズ調査</t>
        </is>
      </c>
      <c r="B16" s="19" t="inlineStr">
        <is>
          <t>2-8</t>
        </is>
      </c>
      <c r="C16" s="18" t="inlineStr">
        <is>
          <t>調査の発送・回収</t>
        </is>
      </c>
      <c r="D16" s="18" t="inlineStr">
        <is>
          <t>郵送配布・郵送回収及び役場配布・役場回収</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2026-08</t>
        </is>
      </c>
      <c r="J16" s="19" t="inlineStr">
        <is>
          <t>2026-09</t>
        </is>
      </c>
      <c r="K16" s="20" t="inlineStr">
        <is>
          <t>完了</t>
        </is>
      </c>
      <c r="L16" s="21" t="n">
        <v>100</v>
      </c>
      <c r="M16" s="22" t="n">
        <v>3</v>
      </c>
      <c r="N16" s="18" t="inlineStr">
        <is>
          <t>**令和8年8月14日〜9月25日に実施。有効回答は障がい者259件・障がい児25件。**前回（令和5年10月）は配布520件・回答280件（53.8％）、配布36件・回答22件（61.1％）</t>
        </is>
      </c>
      <c r="O16" s="18" t="inlineStr">
        <is>
          <t>―</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2026-08</t>
        </is>
      </c>
      <c r="J17" s="19" t="inlineStr">
        <is>
          <t>2026-09</t>
        </is>
      </c>
      <c r="K17" s="24" t="inlineStr">
        <is>
          <t>要対応</t>
        </is>
      </c>
      <c r="L17" s="21" t="n">
        <v>50</v>
      </c>
      <c r="M17" s="22" t="n">
        <v>1</v>
      </c>
      <c r="N17" s="18" t="inlineStr">
        <is>
          <t>調査期間中（8月14日〜9月25日）に実施されたと見られる</t>
        </is>
      </c>
      <c r="O17" s="18" t="inlineStr">
        <is>
          <t>**今回の督促の実施の有無が未確認。**配布数とあわせて確認する（依頼票D5）</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2026-09</t>
        </is>
      </c>
      <c r="J18" s="19" t="inlineStr">
        <is>
          <t>2026-10</t>
        </is>
      </c>
      <c r="K18" s="20" t="inlineStr">
        <is>
          <t>完了</t>
        </is>
      </c>
      <c r="L18" s="21" t="n">
        <v>100</v>
      </c>
      <c r="M18" s="22" t="n">
        <v>3</v>
      </c>
      <c r="N18" s="18" t="inlineStr">
        <is>
          <t>**集計表（16シート）を令和8年10月6日に受領。**単一回答の件数合計が全95設問で回答者数と一致することを機械で確認した</t>
        </is>
      </c>
      <c r="O18" s="18" t="inlineStr">
        <is>
          <t>―</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2026-09</t>
        </is>
      </c>
      <c r="J19" s="19" t="inlineStr">
        <is>
          <t>2026-11</t>
        </is>
      </c>
      <c r="K19" s="22" t="inlineStr">
        <is>
          <t>進行中</t>
        </is>
      </c>
      <c r="L19" s="21" t="n">
        <v>70</v>
      </c>
      <c r="M19" s="22" t="n">
        <v>3</v>
      </c>
      <c r="N19" s="18" t="inlineStr">
        <is>
          <t>**分析報告書（7章・23表）を令和8年10月6日に受領。**単純集計・クロス集計・課題整理・追加分析まで実施済み。本文の数値を集計表と全件照合して不一致0件</t>
        </is>
      </c>
      <c r="O19" s="18" t="inlineStr">
        <is>
          <t>**レビュー所見の反映（重大5件）。**うち障がい児の災害設問（問41・問42）は原票の確認が要る</t>
        </is>
      </c>
    </row>
    <row r="20">
      <c r="A20" s="18" t="inlineStr">
        <is>
          <t>P2 ニーズ調査</t>
        </is>
      </c>
      <c r="B20" s="19" t="inlineStr">
        <is>
          <t>2-12</t>
        </is>
      </c>
      <c r="C20" s="18" t="inlineStr">
        <is>
          <t>分析報告書のレビュー</t>
        </is>
      </c>
      <c r="D20" s="18" t="inlineStr">
        <is>
          <t>本文と集計表の全件照合、分布の点検、制度要件との突合</t>
        </is>
      </c>
      <c r="E20" s="18" t="inlineStr">
        <is>
          <t>B1 障がい者ニーズ調査</t>
        </is>
      </c>
      <c r="F20" s="19" t="inlineStr">
        <is>
          <t>仕様書5(1)①ク</t>
        </is>
      </c>
      <c r="G20" s="18" t="inlineStr">
        <is>
          <t>【5(1)①ク】委託事項（ク）分析（単純集計・クロス集計からの分析）</t>
        </is>
      </c>
      <c r="H20" s="19" t="inlineStr">
        <is>
          <t>受託者</t>
        </is>
      </c>
      <c r="I20" s="19" t="inlineStr">
        <is>
          <t>2026-10</t>
        </is>
      </c>
      <c r="J20" s="19" t="inlineStr">
        <is>
          <t>2026-10</t>
        </is>
      </c>
      <c r="K20" s="20" t="inlineStr">
        <is>
          <t>完了</t>
        </is>
      </c>
      <c r="L20" s="21" t="n">
        <v>100</v>
      </c>
      <c r="M20" s="22" t="n">
        <v>3</v>
      </c>
      <c r="N20" s="18" t="inlineStr">
        <is>
          <t>**レビュー（8章・8表）を令和8年10月6日に作成（23_障がいアンケート分析）。**点検31項目。本文の数値は不一致0件。**重大5件**（障がい児の災害設問の不整合、表7-4の本文に表に無い項目、第7章が集計シートと連動していない、配布数・回答率が未記入、表7-9の丸めが四捨五入でない）</t>
        </is>
      </c>
      <c r="O20" s="18" t="inlineStr">
        <is>
          <t>―</t>
        </is>
      </c>
    </row>
    <row r="21">
      <c r="A21" s="18" t="inlineStr">
        <is>
          <t>P2 ニーズ調査</t>
        </is>
      </c>
      <c r="B21" s="19" t="inlineStr">
        <is>
          <t>2-13</t>
        </is>
      </c>
      <c r="C21" s="18" t="inlineStr">
        <is>
          <t>目標値とアンケート設問の対応（MECEチェック）</t>
        </is>
      </c>
      <c r="D21" s="18" t="inlineStr">
        <is>
          <t>前回計画のKPI31項目とアンケート設問の対応、代替データの特定</t>
        </is>
      </c>
      <c r="E21" s="18" t="inlineStr">
        <is>
          <t>B3 計画策定支援業務</t>
        </is>
      </c>
      <c r="F21" s="19" t="inlineStr">
        <is>
          <t>仕様書5(4)</t>
        </is>
      </c>
      <c r="G2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21" s="19" t="inlineStr">
        <is>
          <t>受託者</t>
        </is>
      </c>
      <c r="I21" s="19" t="inlineStr">
        <is>
          <t>2026-10</t>
        </is>
      </c>
      <c r="J21" s="19" t="inlineStr">
        <is>
          <t>2026-10</t>
        </is>
      </c>
      <c r="K21" s="20" t="inlineStr">
        <is>
          <t>完了</t>
        </is>
      </c>
      <c r="L21" s="21" t="n">
        <v>100</v>
      </c>
      <c r="M21" s="22" t="n">
        <v>3</v>
      </c>
      <c r="N21" s="18" t="inlineStr">
        <is>
          <t>**第2版（16表・自己点検17項目）を令和8年10月7日に作成。****前回計画のKPIでアンケートが基準値になるものは0件。**手段になりうるのは強度行動障がいの支援ニーズ把握の1項目だが、調査票に設問がない。**前回計画の地域生活移行の目標値が算術的に成立していないことを発見**（施設入所者26人に対し移行31人・削減22人）</t>
        </is>
      </c>
      <c r="O21" s="18" t="inlineStr">
        <is>
          <t>―</t>
        </is>
      </c>
    </row>
    <row r="22">
      <c r="A22" s="18" t="inlineStr">
        <is>
          <t>P2 ニーズ調査</t>
        </is>
      </c>
      <c r="B22" s="19" t="inlineStr">
        <is>
          <t>2-14</t>
        </is>
      </c>
      <c r="C22" s="18" t="inlineStr">
        <is>
          <t>アンケートで不足する事項の洗い出しと対応方針</t>
        </is>
      </c>
      <c r="D22" s="18" t="inlineStr">
        <is>
          <t>確認票（15論点）の評価、給付実績との突合、照会先の仕分け</t>
        </is>
      </c>
      <c r="E22" s="18" t="inlineStr">
        <is>
          <t>B1 障がい者ニーズ調査</t>
        </is>
      </c>
      <c r="F22" s="19" t="inlineStr">
        <is>
          <t>仕様書5(1)①ク・5(2)</t>
        </is>
      </c>
      <c r="G22" s="18" t="inlineStr">
        <is>
          <t>【5(1)①ク】委託事項（ク）分析（単純集計・クロス集計からの分析）
【5(2)】※条文の対応を要確認</t>
        </is>
      </c>
      <c r="H22" s="19" t="inlineStr">
        <is>
          <t>受託者</t>
        </is>
      </c>
      <c r="I22" s="19" t="inlineStr">
        <is>
          <t>2026-10</t>
        </is>
      </c>
      <c r="J22" s="19" t="inlineStr">
        <is>
          <t>2026-10</t>
        </is>
      </c>
      <c r="K22" s="20" t="inlineStr">
        <is>
          <t>完了</t>
        </is>
      </c>
      <c r="L22" s="21" t="n">
        <v>100</v>
      </c>
      <c r="M22" s="22" t="n">
        <v>3</v>
      </c>
      <c r="N22" s="18" t="inlineStr">
        <is>
          <t>**令和8年10月7日に作成（アーティファクト及びHTMLの控え）。****調査の「現在利用」が給付実績と合っていないことを発見。**実績0人に回答があるもの5件（短期入所0→9人、重度包括0→5人ほか）、調査が実績を下回るもの（就労継続47→14人）。食い違いの向きが介護保険に同名のサービスがあるかで分かれる</t>
        </is>
      </c>
      <c r="O22" s="18" t="inlineStr">
        <is>
          <t>―</t>
        </is>
      </c>
    </row>
    <row r="23">
      <c r="A23" s="18" t="inlineStr">
        <is>
          <t>P2 ニーズ調査</t>
        </is>
      </c>
      <c r="B23" s="19" t="inlineStr">
        <is>
          <t>2-15</t>
        </is>
      </c>
      <c r="C23" s="18" t="inlineStr">
        <is>
          <t>介護保険の利用の有無による問31の再集計</t>
        </is>
      </c>
      <c r="D23" s="18" t="inlineStr">
        <is>
          <t>問29で層別し、現在利用・今後意向を取り直す</t>
        </is>
      </c>
      <c r="E23" s="18" t="inlineStr">
        <is>
          <t>B1 障がい者ニーズ調査</t>
        </is>
      </c>
      <c r="F23" s="19" t="inlineStr">
        <is>
          <t>仕様書5(1)①ク</t>
        </is>
      </c>
      <c r="G23" s="18" t="inlineStr">
        <is>
          <t>【5(1)①ク】委託事項（ク）分析（単純集計・クロス集計からの分析）</t>
        </is>
      </c>
      <c r="H23" s="19" t="inlineStr">
        <is>
          <t>受託者</t>
        </is>
      </c>
      <c r="I23" s="19" t="inlineStr">
        <is>
          <t>2026-10</t>
        </is>
      </c>
      <c r="J23" s="19" t="inlineStr">
        <is>
          <t>2026-10</t>
        </is>
      </c>
      <c r="K23" s="25" t="inlineStr">
        <is>
          <t>データ待ち</t>
        </is>
      </c>
      <c r="L23" s="21" t="n">
        <v>50</v>
      </c>
      <c r="M23" s="22" t="n">
        <v>3</v>
      </c>
      <c r="N23" s="18" t="inlineStr">
        <is>
          <t>**周辺度数による切り分けを令和8年10月7日に実施（23_障がいアンケート分析）。**上振れ58人のうち49人は介護保険との取り違えで説明しうるが、**9人（重度包括5・就労選択2・同行援護1・就労移行1）は説明できない。**問28の無回答77人と問29の介護保険利用77人が完全一致することも確認</t>
        </is>
      </c>
      <c r="O23" s="18" t="inlineStr">
        <is>
          <t>**個票（1件ごとの回答データ）。**集計表は集計結果だけで個票がなく、問29×問31のクロス集計が作れない（依頼票D7）</t>
        </is>
      </c>
    </row>
    <row r="24">
      <c r="A24" s="18" t="inlineStr">
        <is>
          <t>P2 ニーズ調査</t>
        </is>
      </c>
      <c r="B24" s="19" t="inlineStr">
        <is>
          <t>2-16</t>
        </is>
      </c>
      <c r="C24" s="18" t="inlineStr">
        <is>
          <t>確認票の2枚化（町向け・事業所向け）</t>
        </is>
      </c>
      <c r="D24" s="18" t="inlineStr">
        <is>
          <t>庁内で取れるものと事業所に照会するものを分ける</t>
        </is>
      </c>
      <c r="E24" s="18" t="inlineStr">
        <is>
          <t>B7 仕様書に定めのない作業</t>
        </is>
      </c>
      <c r="F24" s="19" t="inlineStr">
        <is>
          <t>仕様書5(2)</t>
        </is>
      </c>
      <c r="G24" s="18" t="inlineStr">
        <is>
          <t>【5(2)】※条文の対応を要確認</t>
        </is>
      </c>
      <c r="H24" s="19" t="inlineStr">
        <is>
          <t>受託者</t>
        </is>
      </c>
      <c r="I24" s="19" t="inlineStr">
        <is>
          <t>2026-10</t>
        </is>
      </c>
      <c r="J24" s="19" t="inlineStr">
        <is>
          <t>2026-10</t>
        </is>
      </c>
      <c r="K24" s="23" t="inlineStr">
        <is>
          <t>未着手</t>
        </is>
      </c>
      <c r="L24" s="21" t="n">
        <v>0</v>
      </c>
      <c r="M24" s="22" t="n">
        <v>2</v>
      </c>
      <c r="N24" s="18" t="inlineStr">
        <is>
          <t>**受領した確認票（15論点）を土台にする。**1枚のまま回すと回答者が担当外の行まで見ることになる</t>
        </is>
      </c>
      <c r="O24" s="18" t="inlineStr">
        <is>
          <t>2-15の結果（短期入所の照会の主題が変わる）</t>
        </is>
      </c>
    </row>
    <row r="25">
      <c r="A25" s="18" t="inlineStr">
        <is>
          <t>P3 ヒアリング</t>
        </is>
      </c>
      <c r="B25" s="19" t="inlineStr">
        <is>
          <t>3-1</t>
        </is>
      </c>
      <c r="C25" s="18" t="inlineStr">
        <is>
          <t>実施計画と質問票の作成</t>
        </is>
      </c>
      <c r="D25" s="18" t="inlineStr">
        <is>
          <t>対象6区分、質問票6種（大問35・小問102）</t>
        </is>
      </c>
      <c r="E25" s="18" t="inlineStr">
        <is>
          <t>B2 現状分析と課題の整理</t>
        </is>
      </c>
      <c r="F25" s="19" t="inlineStr">
        <is>
          <t>仕様書5(3)・成果品①</t>
        </is>
      </c>
      <c r="G2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5" s="19" t="inlineStr">
        <is>
          <t>受託者</t>
        </is>
      </c>
      <c r="I25" s="19" t="inlineStr">
        <is>
          <t>2026-08</t>
        </is>
      </c>
      <c r="J25" s="19" t="inlineStr">
        <is>
          <t>2026-08</t>
        </is>
      </c>
      <c r="K25" s="20" t="inlineStr">
        <is>
          <t>完了</t>
        </is>
      </c>
      <c r="L25" s="21" t="n">
        <v>100</v>
      </c>
      <c r="M25" s="22" t="n">
        <v>3</v>
      </c>
      <c r="N25" s="18" t="inlineStr">
        <is>
          <t>**関係者団体等ヒアリング実施計画書（15_ヒアリング・調査設計）。**アンケートで数えられる事項は聞かず、供給側にしか答えられない事項に絞った</t>
        </is>
      </c>
      <c r="O25" s="18" t="inlineStr">
        <is>
          <t>―</t>
        </is>
      </c>
    </row>
    <row r="26">
      <c r="A26" s="18" t="inlineStr">
        <is>
          <t>P3 ヒアリング</t>
        </is>
      </c>
      <c r="B26" s="19" t="inlineStr">
        <is>
          <t>3-2</t>
        </is>
      </c>
      <c r="C26" s="18" t="inlineStr">
        <is>
          <t>対象先の選定</t>
        </is>
      </c>
      <c r="D26" s="18" t="inlineStr">
        <is>
          <t>小野町の方の利用実績が多い先から優先</t>
        </is>
      </c>
      <c r="E26" s="18" t="inlineStr">
        <is>
          <t>B2 現状分析と課題の整理</t>
        </is>
      </c>
      <c r="F26" s="19" t="inlineStr">
        <is>
          <t>仕様書5(3)</t>
        </is>
      </c>
      <c r="G2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6" s="19" t="inlineStr">
        <is>
          <t>受託者・町</t>
        </is>
      </c>
      <c r="I26" s="19" t="inlineStr">
        <is>
          <t>2026-08</t>
        </is>
      </c>
      <c r="J26" s="19" t="inlineStr">
        <is>
          <t>2026-09</t>
        </is>
      </c>
      <c r="K26" s="23" t="inlineStr">
        <is>
          <t>未着手</t>
        </is>
      </c>
      <c r="L26" s="21" t="n">
        <v>0</v>
      </c>
      <c r="M26" s="22" t="n">
        <v>2</v>
      </c>
      <c r="N26" s="18" t="inlineStr">
        <is>
          <t>―</t>
        </is>
      </c>
      <c r="O26" s="18" t="inlineStr">
        <is>
          <t>**町のサービス実績（町内外事業所別・依頼票D4）**</t>
        </is>
      </c>
    </row>
    <row r="27">
      <c r="A27" s="18" t="inlineStr">
        <is>
          <t>P3 ヒアリング</t>
        </is>
      </c>
      <c r="B27" s="19" t="inlineStr">
        <is>
          <t>3-3</t>
        </is>
      </c>
      <c r="C27" s="18" t="inlineStr">
        <is>
          <t>依頼の送付・日程調整</t>
        </is>
      </c>
      <c r="D27" s="18" t="inlineStr">
        <is>
          <t>依頼文、質問票、個人情報の取扱いの事前送付</t>
        </is>
      </c>
      <c r="E27" s="18" t="inlineStr">
        <is>
          <t>B2 現状分析と課題の整理</t>
        </is>
      </c>
      <c r="F27" s="19" t="inlineStr">
        <is>
          <t>仕様書5(3)</t>
        </is>
      </c>
      <c r="G27"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7" s="19" t="inlineStr">
        <is>
          <t>受託者</t>
        </is>
      </c>
      <c r="I27" s="19" t="inlineStr">
        <is>
          <t>2026-09</t>
        </is>
      </c>
      <c r="J27" s="19" t="inlineStr">
        <is>
          <t>2026-09</t>
        </is>
      </c>
      <c r="K27" s="23" t="inlineStr">
        <is>
          <t>未着手</t>
        </is>
      </c>
      <c r="L27" s="21" t="n">
        <v>0</v>
      </c>
      <c r="M27" s="22" t="n">
        <v>1</v>
      </c>
      <c r="N27" s="18" t="inlineStr">
        <is>
          <t>依頼文の記載事項は実施計画書に整理</t>
        </is>
      </c>
      <c r="O27" s="18" t="inlineStr">
        <is>
          <t>対象先の選定</t>
        </is>
      </c>
    </row>
    <row r="28">
      <c r="A28" s="18" t="inlineStr">
        <is>
          <t>P3 ヒアリング</t>
        </is>
      </c>
      <c r="B28" s="19" t="inlineStr">
        <is>
          <t>3-4</t>
        </is>
      </c>
      <c r="C28" s="18" t="inlineStr">
        <is>
          <t>ヒアリングの実施</t>
        </is>
      </c>
      <c r="D28" s="18" t="inlineStr">
        <is>
          <t>20〜27件。アンケートの発送・回収と並行</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2026-09</t>
        </is>
      </c>
      <c r="J28" s="19" t="inlineStr">
        <is>
          <t>2026-10</t>
        </is>
      </c>
      <c r="K28" s="23" t="inlineStr">
        <is>
          <t>未着手</t>
        </is>
      </c>
      <c r="L28" s="21" t="n">
        <v>0</v>
      </c>
      <c r="M28" s="22" t="n">
        <v>4</v>
      </c>
      <c r="N28" s="18" t="inlineStr">
        <is>
          <t>―</t>
        </is>
      </c>
      <c r="O28" s="18" t="inlineStr">
        <is>
          <t>日程調整</t>
        </is>
      </c>
    </row>
    <row r="29">
      <c r="A29" s="18" t="inlineStr">
        <is>
          <t>P3 ヒアリング</t>
        </is>
      </c>
      <c r="B29" s="19" t="inlineStr">
        <is>
          <t>3-5</t>
        </is>
      </c>
      <c r="C29" s="18" t="inlineStr">
        <is>
          <t>記録の作成と対象先への確認</t>
        </is>
      </c>
      <c r="D29" s="18" t="inlineStr">
        <is>
          <t>要点記録、引用の可否の確認</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2026-11</t>
        </is>
      </c>
      <c r="J29" s="19" t="inlineStr">
        <is>
          <t>2026-11</t>
        </is>
      </c>
      <c r="K29" s="23" t="inlineStr">
        <is>
          <t>未着手</t>
        </is>
      </c>
      <c r="L29" s="21" t="n">
        <v>0</v>
      </c>
      <c r="M29" s="22" t="n">
        <v>2</v>
      </c>
      <c r="N29" s="18" t="inlineStr">
        <is>
          <t>記録の様式は実施計画書に整理</t>
        </is>
      </c>
      <c r="O29" s="18" t="inlineStr">
        <is>
          <t>ヒアリングの実施</t>
        </is>
      </c>
    </row>
    <row r="30">
      <c r="A30" s="18" t="inlineStr">
        <is>
          <t>P4 成果品①</t>
        </is>
      </c>
      <c r="B30" s="19" t="inlineStr">
        <is>
          <t>4-1</t>
        </is>
      </c>
      <c r="C30" s="18" t="inlineStr">
        <is>
          <t>アンケート調査結果及びヒアリング調査結果報告書の作成</t>
        </is>
      </c>
      <c r="D30" s="18" t="inlineStr">
        <is>
          <t>調査結果とヒアリング結果を1本の報告書にまとめる</t>
        </is>
      </c>
      <c r="E30" s="18" t="inlineStr">
        <is>
          <t>B5 成果品の納品</t>
        </is>
      </c>
      <c r="F30" s="19" t="inlineStr">
        <is>
          <t>仕様書6 成果品①</t>
        </is>
      </c>
      <c r="G30" s="18" t="inlineStr">
        <is>
          <t>【成果品①】①アンケート調査結果及びヒアリング調査結果報告書　電子データ</t>
        </is>
      </c>
      <c r="H30" s="19" t="inlineStr">
        <is>
          <t>受託者</t>
        </is>
      </c>
      <c r="I30" s="19" t="inlineStr">
        <is>
          <t>2026-10</t>
        </is>
      </c>
      <c r="J30" s="19" t="inlineStr">
        <is>
          <t>2026-12</t>
        </is>
      </c>
      <c r="K30" s="22" t="inlineStr">
        <is>
          <t>進行中</t>
        </is>
      </c>
      <c r="L30" s="21" t="n">
        <v>40</v>
      </c>
      <c r="M30" s="22" t="n">
        <v>4</v>
      </c>
      <c r="N30" s="18" t="inlineStr">
        <is>
          <t>**アンケート分析報告書（7章・23表）を令和8年10月6日に受領しレビュー済み（2-12）。**章立ての組み替え案（単純集計／クロス集計／要因分析／ニーズ／課題整理／計画策定時の注意点）を提示済み</t>
        </is>
      </c>
      <c r="O30" s="18" t="inlineStr">
        <is>
          <t>**レビュー所見の反映（重大5件）、ヒアリング記録の完成**</t>
        </is>
      </c>
    </row>
    <row r="31">
      <c r="A31" s="18" t="inlineStr">
        <is>
          <t>P4 成果品①</t>
        </is>
      </c>
      <c r="B31" s="19" t="inlineStr">
        <is>
          <t>4-2</t>
        </is>
      </c>
      <c r="C31" s="18" t="inlineStr">
        <is>
          <t>町による報告書の確認</t>
        </is>
      </c>
      <c r="D31" s="18" t="inlineStr">
        <is>
          <t>作業分担表で町の作業</t>
        </is>
      </c>
      <c r="E31" s="18" t="inlineStr">
        <is>
          <t>B1 障がい者ニーズ調査</t>
        </is>
      </c>
      <c r="F31" s="19" t="inlineStr">
        <is>
          <t>作業分担表（発注者）</t>
        </is>
      </c>
      <c r="G31"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31" s="19" t="inlineStr">
        <is>
          <t>町</t>
        </is>
      </c>
      <c r="I31" s="19" t="inlineStr">
        <is>
          <t>2026-12</t>
        </is>
      </c>
      <c r="J31" s="19" t="inlineStr">
        <is>
          <t>2026-12</t>
        </is>
      </c>
      <c r="K31" s="23" t="inlineStr">
        <is>
          <t>未着手</t>
        </is>
      </c>
      <c r="L31" s="21" t="n">
        <v>0</v>
      </c>
      <c r="M31" s="22" t="n">
        <v>1</v>
      </c>
      <c r="N31" s="18" t="inlineStr">
        <is>
          <t>―</t>
        </is>
      </c>
      <c r="O31" s="18" t="inlineStr">
        <is>
          <t>報告書の作成</t>
        </is>
      </c>
    </row>
    <row r="32">
      <c r="A32" s="18" t="inlineStr">
        <is>
          <t>P4 成果品①</t>
        </is>
      </c>
      <c r="B32" s="19" t="inlineStr">
        <is>
          <t>4-3</t>
        </is>
      </c>
      <c r="C32" s="18" t="inlineStr">
        <is>
          <t>報告書の完成・納品</t>
        </is>
      </c>
      <c r="D32" s="18" t="inlineStr">
        <is>
          <t>電子データ</t>
        </is>
      </c>
      <c r="E32" s="18" t="inlineStr">
        <is>
          <t>B5 成果品の納品</t>
        </is>
      </c>
      <c r="F32" s="19" t="inlineStr">
        <is>
          <t>仕様書6 成果品①</t>
        </is>
      </c>
      <c r="G32" s="18" t="inlineStr">
        <is>
          <t>【成果品①】①アンケート調査結果及びヒアリング調査結果報告書　電子データ</t>
        </is>
      </c>
      <c r="H32" s="19" t="inlineStr">
        <is>
          <t>受託者</t>
        </is>
      </c>
      <c r="I32" s="19" t="inlineStr">
        <is>
          <t>2026-12</t>
        </is>
      </c>
      <c r="J32" s="19" t="inlineStr">
        <is>
          <t>2026-12</t>
        </is>
      </c>
      <c r="K32" s="23" t="inlineStr">
        <is>
          <t>未着手</t>
        </is>
      </c>
      <c r="L32" s="21" t="n">
        <v>0</v>
      </c>
      <c r="M32" s="22" t="n">
        <v>1</v>
      </c>
      <c r="N32" s="18" t="inlineStr">
        <is>
          <t>―</t>
        </is>
      </c>
      <c r="O32" s="18" t="inlineStr">
        <is>
          <t>町の確認</t>
        </is>
      </c>
    </row>
    <row r="33">
      <c r="A33" s="18" t="inlineStr">
        <is>
          <t>P5 現状分析・課題</t>
        </is>
      </c>
      <c r="B33" s="19" t="inlineStr">
        <is>
          <t>5-1</t>
        </is>
      </c>
      <c r="C33" s="18" t="inlineStr">
        <is>
          <t>現行計画の取組み状況の検証</t>
        </is>
      </c>
      <c r="D33" s="18" t="inlineStr">
        <is>
          <t>第7期の成果目標・活動指標の実績</t>
        </is>
      </c>
      <c r="E33" s="18" t="inlineStr">
        <is>
          <t>B2 現状分析と課題の整理</t>
        </is>
      </c>
      <c r="F33" s="19" t="inlineStr">
        <is>
          <t>仕様書5(3)</t>
        </is>
      </c>
      <c r="G3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3" s="19" t="inlineStr">
        <is>
          <t>受託者</t>
        </is>
      </c>
      <c r="I33" s="19" t="inlineStr">
        <is>
          <t>2026-08</t>
        </is>
      </c>
      <c r="J33" s="19" t="inlineStr">
        <is>
          <t>2026-10</t>
        </is>
      </c>
      <c r="K33" s="22" t="inlineStr">
        <is>
          <t>進行中</t>
        </is>
      </c>
      <c r="L33" s="21" t="n">
        <v>70</v>
      </c>
      <c r="M33" s="22" t="n">
        <v>3</v>
      </c>
      <c r="N33" s="18" t="inlineStr">
        <is>
          <t>**前回計画（128頁）と前回調査報告書（110頁）を令和8年10月7日に受領。**第3部第5章の目標31項目を読み出し、アンケート設問との対応を整理した（2-13）。前回アンケート（280件・22件）の検証も作成済み</t>
        </is>
      </c>
      <c r="O33" s="18" t="inlineStr">
        <is>
          <t>**前回計画31項目の令和8年度末の実績（依頼票D6）。**目標値は受領済みのため、残るのは実績のみ</t>
        </is>
      </c>
    </row>
    <row r="34">
      <c r="A34" s="18" t="inlineStr">
        <is>
          <t>P5 現状分析・課題</t>
        </is>
      </c>
      <c r="B34" s="19" t="inlineStr">
        <is>
          <t>5-2</t>
        </is>
      </c>
      <c r="C34" s="18" t="inlineStr">
        <is>
          <t>手帳所持者・サービス利用状況の分析</t>
        </is>
      </c>
      <c r="D34" s="18" t="inlineStr">
        <is>
          <t>手帳所持者508人（身体372・療育74・精神62）。支給決定量と実利用量</t>
        </is>
      </c>
      <c r="E34" s="18" t="inlineStr">
        <is>
          <t>B2 現状分析と課題の整理</t>
        </is>
      </c>
      <c r="F34" s="19" t="inlineStr">
        <is>
          <t>仕様書5(3)</t>
        </is>
      </c>
      <c r="G3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4" s="19" t="inlineStr">
        <is>
          <t>受託者</t>
        </is>
      </c>
      <c r="I34" s="19" t="inlineStr">
        <is>
          <t>2026-09</t>
        </is>
      </c>
      <c r="J34" s="19" t="inlineStr">
        <is>
          <t>2026-10</t>
        </is>
      </c>
      <c r="K34" s="22" t="inlineStr">
        <is>
          <t>進行中</t>
        </is>
      </c>
      <c r="L34" s="21" t="n">
        <v>60</v>
      </c>
      <c r="M34" s="22" t="n">
        <v>3</v>
      </c>
      <c r="N34" s="18" t="inlineStr">
        <is>
          <t>**町提出のワークシートによりR5〜R8のサービス別実績を受領。**手帳所持者はR5 539人→R7 508人。うち精神のみ45人→62人（＋37.8％）と増加</t>
        </is>
      </c>
      <c r="O34" s="18" t="inlineStr">
        <is>
          <t>**支給決定量と実利用量の別、障害支援区分別の状況（依頼票D7）。精神障がい者の内数が総数を超える箇所があり原データの確認が必要**</t>
        </is>
      </c>
    </row>
    <row r="35">
      <c r="A35" s="18" t="inlineStr">
        <is>
          <t>P5 現状分析・課題</t>
        </is>
      </c>
      <c r="B35" s="19" t="inlineStr">
        <is>
          <t>5-3</t>
        </is>
      </c>
      <c r="C35" s="18" t="inlineStr">
        <is>
          <t>課題の抽出</t>
        </is>
      </c>
      <c r="D35" s="18" t="inlineStr">
        <is>
          <t>調査結果・ヒアリング結果を踏まえた課題整理</t>
        </is>
      </c>
      <c r="E35" s="18" t="inlineStr">
        <is>
          <t>B2 現状分析と課題の整理</t>
        </is>
      </c>
      <c r="F35" s="19" t="inlineStr">
        <is>
          <t>仕様書5(3)</t>
        </is>
      </c>
      <c r="G3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5" s="19" t="inlineStr">
        <is>
          <t>受託者</t>
        </is>
      </c>
      <c r="I35" s="19" t="inlineStr">
        <is>
          <t>2026-11</t>
        </is>
      </c>
      <c r="J35" s="19" t="inlineStr">
        <is>
          <t>2026-11</t>
        </is>
      </c>
      <c r="K35" s="22" t="inlineStr">
        <is>
          <t>進行中</t>
        </is>
      </c>
      <c r="L35" s="21" t="n">
        <v>40</v>
      </c>
      <c r="M35" s="22" t="n">
        <v>3</v>
      </c>
      <c r="N35" s="18" t="inlineStr">
        <is>
          <t>現時点の課題15項目を骨子案に整理済み（相談支援体制、経済的負担、医療・通院、移動・外出、防災、家族介助者、18歳移行、就労、権利擁護 ほか）</t>
        </is>
      </c>
      <c r="O35" s="18" t="inlineStr">
        <is>
          <t>調査結果・ヒアリング結果</t>
        </is>
      </c>
    </row>
    <row r="36">
      <c r="A36" s="18" t="inlineStr">
        <is>
          <t>P5 現状分析・課題</t>
        </is>
      </c>
      <c r="B36" s="19" t="inlineStr">
        <is>
          <t>5-4</t>
        </is>
      </c>
      <c r="C36" s="18" t="inlineStr">
        <is>
          <t>人口推計の出典の統一</t>
        </is>
      </c>
      <c r="D36" s="18" t="inlineStr">
        <is>
          <t>高齢者計画は第10期将来推計用推計人口、障がい計画は町のワークシート。令和11年度で402人・5.1％の差</t>
        </is>
      </c>
      <c r="E36" s="18" t="inlineStr">
        <is>
          <t>B2 現状分析と課題の整理</t>
        </is>
      </c>
      <c r="F36" s="19" t="inlineStr">
        <is>
          <t>仕様書5(3)</t>
        </is>
      </c>
      <c r="G3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6" s="19" t="inlineStr">
        <is>
          <t>受託者・町</t>
        </is>
      </c>
      <c r="I36" s="19" t="inlineStr">
        <is>
          <t>2026-08</t>
        </is>
      </c>
      <c r="J36" s="19" t="inlineStr">
        <is>
          <t>2026-10</t>
        </is>
      </c>
      <c r="K36" s="24" t="inlineStr">
        <is>
          <t>要対応</t>
        </is>
      </c>
      <c r="L36" s="21" t="n">
        <v>70</v>
      </c>
      <c r="M36" s="22" t="n">
        <v>1</v>
      </c>
      <c r="N36"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6" s="18" t="inlineStr">
        <is>
          <t>**町の判断（4件）。計画本文の出典、男女別5歳階級の住基人口の提供、障がい児の見込量を再計算するか、保険料算定に第10期推計を使うこと**</t>
        </is>
      </c>
    </row>
    <row r="37">
      <c r="A37" s="18" t="inlineStr">
        <is>
          <t>P6 計画策定支援</t>
        </is>
      </c>
      <c r="B37" s="19" t="inlineStr">
        <is>
          <t>6-1</t>
        </is>
      </c>
      <c r="C37" s="18" t="inlineStr">
        <is>
          <t>骨子案の作成</t>
        </is>
      </c>
      <c r="D37" s="18" t="inlineStr">
        <is>
          <t>3部構成。成果目標を国の8分野に対応</t>
        </is>
      </c>
      <c r="E37" s="18" t="inlineStr">
        <is>
          <t>B3 計画策定支援業務</t>
        </is>
      </c>
      <c r="F37" s="19" t="inlineStr">
        <is>
          <t>仕様書5(4)</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7" s="19" t="inlineStr">
        <is>
          <t>受託者</t>
        </is>
      </c>
      <c r="I37" s="19" t="inlineStr">
        <is>
          <t>2026-07</t>
        </is>
      </c>
      <c r="J37" s="19" t="inlineStr">
        <is>
          <t>2026-11</t>
        </is>
      </c>
      <c r="K37" s="22" t="inlineStr">
        <is>
          <t>進行中</t>
        </is>
      </c>
      <c r="L37" s="21" t="n">
        <v>60</v>
      </c>
      <c r="M37" s="22" t="n">
        <v>3</v>
      </c>
      <c r="N37" s="18" t="inlineStr">
        <is>
          <t>初版を作成済み（09_骨子案・4部構成）。見込量の算定方式も設定</t>
        </is>
      </c>
      <c r="O37" s="18" t="inlineStr">
        <is>
          <t>調査結果の反映</t>
        </is>
      </c>
    </row>
    <row r="38">
      <c r="A38" s="18" t="inlineStr">
        <is>
          <t>P6 計画策定支援</t>
        </is>
      </c>
      <c r="B38" s="19" t="inlineStr">
        <is>
          <t>6-2</t>
        </is>
      </c>
      <c r="C38" s="18" t="inlineStr">
        <is>
          <t>骨子案の協議（自立支援協議会）</t>
        </is>
      </c>
      <c r="D38" s="18" t="inlineStr">
        <is>
          <t>第2回に諮る</t>
        </is>
      </c>
      <c r="E38" s="18" t="inlineStr">
        <is>
          <t>B3 計画策定支援業務</t>
        </is>
      </c>
      <c r="F38" s="19" t="inlineStr">
        <is>
          <t>仕様書5(4)・7</t>
        </is>
      </c>
      <c r="G38"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8" s="19" t="inlineStr">
        <is>
          <t>受託者・町</t>
        </is>
      </c>
      <c r="I38" s="19" t="inlineStr">
        <is>
          <t>2026-12</t>
        </is>
      </c>
      <c r="J38" s="19" t="inlineStr">
        <is>
          <t>2026-12</t>
        </is>
      </c>
      <c r="K38" s="23" t="inlineStr">
        <is>
          <t>未着手</t>
        </is>
      </c>
      <c r="L38" s="21" t="n">
        <v>0</v>
      </c>
      <c r="M38" s="22" t="n">
        <v>2</v>
      </c>
      <c r="N38" s="18" t="inlineStr">
        <is>
          <t>**仕様書7では10月の回。工程変更により12月に統合する案を協議中**</t>
        </is>
      </c>
      <c r="O38" s="18" t="inlineStr">
        <is>
          <t>工程変更の合意</t>
        </is>
      </c>
    </row>
    <row r="39">
      <c r="A39" s="18" t="inlineStr">
        <is>
          <t>P6 計画策定支援</t>
        </is>
      </c>
      <c r="B39" s="19" t="inlineStr">
        <is>
          <t>6-3</t>
        </is>
      </c>
      <c r="C39" s="18" t="inlineStr">
        <is>
          <t>成果目標の設定</t>
        </is>
      </c>
      <c r="D39" s="18" t="inlineStr">
        <is>
          <t>国の基本指針の8分野</t>
        </is>
      </c>
      <c r="E39" s="18" t="inlineStr">
        <is>
          <t>B3 計画策定支援業務</t>
        </is>
      </c>
      <c r="F39" s="19" t="inlineStr">
        <is>
          <t>仕様書5(4)</t>
        </is>
      </c>
      <c r="G39"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9" s="19" t="inlineStr">
        <is>
          <t>受託者・町</t>
        </is>
      </c>
      <c r="I39" s="19" t="inlineStr">
        <is>
          <t>2026-09</t>
        </is>
      </c>
      <c r="J39" s="19" t="inlineStr">
        <is>
          <t>2026-12</t>
        </is>
      </c>
      <c r="K39" s="22" t="inlineStr">
        <is>
          <t>進行中</t>
        </is>
      </c>
      <c r="L39" s="21" t="n">
        <v>30</v>
      </c>
      <c r="M39" s="22" t="n">
        <v>3</v>
      </c>
      <c r="N39" s="18"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9" s="18" t="inlineStr">
        <is>
          <t>**基準年度の確定（告示本文・県方針）、R6年度の一般就労移行者数、セルフプラン件数（依頼票D5）、特別支援学校卒業予定者（依頼票D6）**</t>
        </is>
      </c>
    </row>
    <row r="40">
      <c r="A40" s="18" t="inlineStr">
        <is>
          <t>P6 計画策定支援</t>
        </is>
      </c>
      <c r="B40" s="19" t="inlineStr">
        <is>
          <t>6-4</t>
        </is>
      </c>
      <c r="C40" s="18" t="inlineStr">
        <is>
          <t>サービス見込量の算定</t>
        </is>
      </c>
      <c r="D40" s="18" t="inlineStr">
        <is>
          <t>サービス種類別の見込量</t>
        </is>
      </c>
      <c r="E40" s="18" t="inlineStr">
        <is>
          <t>B3 計画策定支援業務</t>
        </is>
      </c>
      <c r="F40" s="19" t="inlineStr">
        <is>
          <t>仕様書5(4)</t>
        </is>
      </c>
      <c r="G40"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0" s="19" t="inlineStr">
        <is>
          <t>受託者</t>
        </is>
      </c>
      <c r="I40" s="19" t="inlineStr">
        <is>
          <t>2026-09</t>
        </is>
      </c>
      <c r="J40" s="19" t="inlineStr">
        <is>
          <t>2027-01</t>
        </is>
      </c>
      <c r="K40" s="22" t="inlineStr">
        <is>
          <t>進行中</t>
        </is>
      </c>
      <c r="L40" s="21" t="n">
        <v>40</v>
      </c>
      <c r="M40" s="22" t="n">
        <v>4</v>
      </c>
      <c r="N40" s="18"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40" s="18" t="inlineStr">
        <is>
          <t>**A-1〜A-5の解消。とくに地域生活支援事業のR6〜R8実績（法定記載事項）と、居宅介護R7の113時間が実績か入力誤りかの確認**</t>
        </is>
      </c>
    </row>
    <row r="41">
      <c r="A41" s="18" t="inlineStr">
        <is>
          <t>P6 計画策定支援</t>
        </is>
      </c>
      <c r="B41" s="19" t="inlineStr">
        <is>
          <t>6-5</t>
        </is>
      </c>
      <c r="C41" s="18" t="inlineStr">
        <is>
          <t>素案の作成</t>
        </is>
      </c>
      <c r="D41" s="18" t="inlineStr">
        <is>
          <t>3計画一体の素案</t>
        </is>
      </c>
      <c r="E41" s="18" t="inlineStr">
        <is>
          <t>B3 計画策定支援業務</t>
        </is>
      </c>
      <c r="F41" s="19" t="inlineStr">
        <is>
          <t>仕様書5(4)</t>
        </is>
      </c>
      <c r="G4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1" s="19" t="inlineStr">
        <is>
          <t>受託者</t>
        </is>
      </c>
      <c r="I41" s="19" t="inlineStr">
        <is>
          <t>2026-12</t>
        </is>
      </c>
      <c r="J41" s="19" t="inlineStr">
        <is>
          <t>2027-01</t>
        </is>
      </c>
      <c r="K41" s="22" t="inlineStr">
        <is>
          <t>進行中</t>
        </is>
      </c>
      <c r="L41" s="21" t="n">
        <v>30</v>
      </c>
      <c r="M41" s="22" t="n">
        <v>5</v>
      </c>
      <c r="N41" s="18" t="inlineStr">
        <is>
          <t>**引継ぎ時点の拡充版のまま（03_計画素案）。第2版への改訂が未着手**</t>
        </is>
      </c>
      <c r="O41" s="18" t="inlineStr">
        <is>
          <t>**条件なしで着手できる。調査結果を待たずに構成・本文は書ける**</t>
        </is>
      </c>
    </row>
    <row r="42">
      <c r="A42" s="18" t="inlineStr">
        <is>
          <t>P6 計画策定支援</t>
        </is>
      </c>
      <c r="B42" s="19" t="inlineStr">
        <is>
          <t>6-6</t>
        </is>
      </c>
      <c r="C42" s="18" t="inlineStr">
        <is>
          <t>素案の協議（自立支援協議会）</t>
        </is>
      </c>
      <c r="D42" s="18" t="inlineStr">
        <is>
          <t>第3回に諮る</t>
        </is>
      </c>
      <c r="E42" s="18" t="inlineStr">
        <is>
          <t>B3 計画策定支援業務</t>
        </is>
      </c>
      <c r="F42" s="19" t="inlineStr">
        <is>
          <t>仕様書5(4)・7</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2" s="19" t="inlineStr">
        <is>
          <t>受託者・町</t>
        </is>
      </c>
      <c r="I42" s="19" t="inlineStr">
        <is>
          <t>2027-02</t>
        </is>
      </c>
      <c r="J42" s="19" t="inlineStr">
        <is>
          <t>2027-02</t>
        </is>
      </c>
      <c r="K42" s="23" t="inlineStr">
        <is>
          <t>未着手</t>
        </is>
      </c>
      <c r="L42" s="21" t="n">
        <v>0</v>
      </c>
      <c r="M42" s="22" t="n">
        <v>2</v>
      </c>
      <c r="N42" s="18" t="inlineStr">
        <is>
          <t>―</t>
        </is>
      </c>
      <c r="O42" s="18" t="inlineStr">
        <is>
          <t>素案の確定</t>
        </is>
      </c>
    </row>
    <row r="43">
      <c r="A43" s="18" t="inlineStr">
        <is>
          <t>P7 意見聴取</t>
        </is>
      </c>
      <c r="B43" s="19" t="inlineStr">
        <is>
          <t>7-1</t>
        </is>
      </c>
      <c r="C43" s="18" t="inlineStr">
        <is>
          <t>パブリックコメントの様式作成</t>
        </is>
      </c>
      <c r="D43" s="18" t="inlineStr">
        <is>
          <t>実施要領、意見提出様式、対応表</t>
        </is>
      </c>
      <c r="E43" s="18" t="inlineStr">
        <is>
          <t>B4 パブリックコメントの実施支援</t>
        </is>
      </c>
      <c r="F43" s="19" t="inlineStr">
        <is>
          <t>仕様書5(5)</t>
        </is>
      </c>
      <c r="G43"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3" s="19" t="inlineStr">
        <is>
          <t>受託者</t>
        </is>
      </c>
      <c r="I43" s="19" t="inlineStr">
        <is>
          <t>2026-08</t>
        </is>
      </c>
      <c r="J43" s="19" t="inlineStr">
        <is>
          <t>2026-08</t>
        </is>
      </c>
      <c r="K43" s="20" t="inlineStr">
        <is>
          <t>完了</t>
        </is>
      </c>
      <c r="L43" s="21" t="n">
        <v>100</v>
      </c>
      <c r="M43" s="22" t="n">
        <v>1</v>
      </c>
      <c r="N43" s="18" t="inlineStr">
        <is>
          <t>計画策定業務設計書 第4章（高齢者計画と共通）</t>
        </is>
      </c>
      <c r="O43" s="18" t="inlineStr">
        <is>
          <t>―</t>
        </is>
      </c>
    </row>
    <row r="44">
      <c r="A44" s="18" t="inlineStr">
        <is>
          <t>P7 意見聴取</t>
        </is>
      </c>
      <c r="B44" s="19" t="inlineStr">
        <is>
          <t>7-2</t>
        </is>
      </c>
      <c r="C44" s="18" t="inlineStr">
        <is>
          <t>パブリックコメントの実施</t>
        </is>
      </c>
      <c r="D44" s="18" t="inlineStr">
        <is>
          <t>意見提出期間1か月</t>
        </is>
      </c>
      <c r="E44" s="18" t="inlineStr">
        <is>
          <t>B4 パブリックコメントの実施支援</t>
        </is>
      </c>
      <c r="F44" s="19" t="inlineStr">
        <is>
          <t>仕様書5(5)・7</t>
        </is>
      </c>
      <c r="G44"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4" s="19" t="inlineStr">
        <is>
          <t>町</t>
        </is>
      </c>
      <c r="I44" s="19" t="inlineStr">
        <is>
          <t>2027-01</t>
        </is>
      </c>
      <c r="J44" s="19" t="inlineStr">
        <is>
          <t>2027-01</t>
        </is>
      </c>
      <c r="K44" s="23" t="inlineStr">
        <is>
          <t>未着手</t>
        </is>
      </c>
      <c r="L44" s="21" t="n">
        <v>0</v>
      </c>
      <c r="M44" s="22" t="n">
        <v>2</v>
      </c>
      <c r="N44" s="18" t="inlineStr">
        <is>
          <t>―</t>
        </is>
      </c>
      <c r="O44" s="18" t="inlineStr">
        <is>
          <t>素案の確定、実施時期の確定（依頼票C6）</t>
        </is>
      </c>
    </row>
    <row r="45">
      <c r="A45" s="18" t="inlineStr">
        <is>
          <t>P7 意見聴取</t>
        </is>
      </c>
      <c r="B45" s="19" t="inlineStr">
        <is>
          <t>7-3</t>
        </is>
      </c>
      <c r="C45" s="18" t="inlineStr">
        <is>
          <t>意見への対応</t>
        </is>
      </c>
      <c r="D45" s="18" t="inlineStr">
        <is>
          <t>意見の整理、対応案の作成、計画への反映</t>
        </is>
      </c>
      <c r="E45" s="18" t="inlineStr">
        <is>
          <t>B4 パブリックコメントの実施支援</t>
        </is>
      </c>
      <c r="F45" s="19" t="inlineStr">
        <is>
          <t>仕様書5(5)</t>
        </is>
      </c>
      <c r="G45"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5" s="19" t="inlineStr">
        <is>
          <t>受託者</t>
        </is>
      </c>
      <c r="I45" s="19" t="inlineStr">
        <is>
          <t>2027-02</t>
        </is>
      </c>
      <c r="J45" s="19" t="inlineStr">
        <is>
          <t>2027-02</t>
        </is>
      </c>
      <c r="K45" s="23" t="inlineStr">
        <is>
          <t>未着手</t>
        </is>
      </c>
      <c r="L45" s="21" t="n">
        <v>0</v>
      </c>
      <c r="M45" s="22" t="n">
        <v>2</v>
      </c>
      <c r="N45" s="18" t="inlineStr">
        <is>
          <t>対応表の様式は作成済み</t>
        </is>
      </c>
      <c r="O45" s="18" t="inlineStr">
        <is>
          <t>パブコメの実施</t>
        </is>
      </c>
    </row>
    <row r="46">
      <c r="A46" s="18" t="inlineStr">
        <is>
          <t>P7 意見聴取</t>
        </is>
      </c>
      <c r="B46" s="19" t="inlineStr">
        <is>
          <t>7-4</t>
        </is>
      </c>
      <c r="C46" s="18" t="inlineStr">
        <is>
          <t>自立支援協議会への出席（3回）</t>
        </is>
      </c>
      <c r="D46" s="18" t="inlineStr">
        <is>
          <t>仕様書8②により3回と明記</t>
        </is>
      </c>
      <c r="E46" s="18" t="inlineStr">
        <is>
          <t>B6 業務管理・打合せ</t>
        </is>
      </c>
      <c r="F46" s="19" t="inlineStr">
        <is>
          <t>仕様書8②</t>
        </is>
      </c>
      <c r="G46" s="18" t="inlineStr">
        <is>
          <t>【8②】当町で開催する自立支援協議会（3回）に出席し、計画の説明をする。</t>
        </is>
      </c>
      <c r="H46" s="19" t="inlineStr">
        <is>
          <t>受託者</t>
        </is>
      </c>
      <c r="I46" s="19" t="inlineStr">
        <is>
          <t>2026-08</t>
        </is>
      </c>
      <c r="J46" s="19" t="inlineStr">
        <is>
          <t>2027-02</t>
        </is>
      </c>
      <c r="K46" s="22" t="inlineStr">
        <is>
          <t>進行中</t>
        </is>
      </c>
      <c r="L46" s="21" t="n">
        <v>30</v>
      </c>
      <c r="M46" s="22" t="n">
        <v>2</v>
      </c>
      <c r="N46" s="18" t="inlineStr">
        <is>
          <t>第1回は令和8年8月19日（資料第3版を作成済み）</t>
        </is>
      </c>
      <c r="O46" s="18" t="inlineStr">
        <is>
          <t>第2回・第3回の時期は工程変更の協議による</t>
        </is>
      </c>
    </row>
    <row r="47">
      <c r="A47" s="18" t="inlineStr">
        <is>
          <t>P8 完成・納品</t>
        </is>
      </c>
      <c r="B47" s="19" t="inlineStr">
        <is>
          <t>8-1</t>
        </is>
      </c>
      <c r="C47" s="18" t="inlineStr">
        <is>
          <t>計画案の作成</t>
        </is>
      </c>
      <c r="D47" s="18" t="inlineStr">
        <is>
          <t>パブリックコメント対応後の計画案</t>
        </is>
      </c>
      <c r="E47" s="18" t="inlineStr">
        <is>
          <t>B3 計画策定支援業務</t>
        </is>
      </c>
      <c r="F47" s="19" t="inlineStr">
        <is>
          <t>仕様書5(4)</t>
        </is>
      </c>
      <c r="G4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7" s="19" t="inlineStr">
        <is>
          <t>受託者</t>
        </is>
      </c>
      <c r="I47" s="19" t="inlineStr">
        <is>
          <t>2027-02</t>
        </is>
      </c>
      <c r="J47" s="19" t="inlineStr">
        <is>
          <t>2027-02</t>
        </is>
      </c>
      <c r="K47" s="23" t="inlineStr">
        <is>
          <t>未着手</t>
        </is>
      </c>
      <c r="L47" s="21" t="n">
        <v>0</v>
      </c>
      <c r="M47" s="22" t="n">
        <v>3</v>
      </c>
      <c r="N47" s="18" t="inlineStr">
        <is>
          <t>―</t>
        </is>
      </c>
      <c r="O47" s="18" t="inlineStr">
        <is>
          <t>意見への対応</t>
        </is>
      </c>
    </row>
    <row r="48">
      <c r="A48" s="18" t="inlineStr">
        <is>
          <t>P8 完成・納品</t>
        </is>
      </c>
      <c r="B48" s="19" t="inlineStr">
        <is>
          <t>8-2</t>
        </is>
      </c>
      <c r="C48" s="18" t="inlineStr">
        <is>
          <t>レイアウトデザイン・イラスト起こし</t>
        </is>
      </c>
      <c r="D48" s="18" t="inlineStr">
        <is>
          <t>**仕様書は「原稿作成、レイアウトデザイン（イラスト起こし数点）、リライト作業を含む」と定める**</t>
        </is>
      </c>
      <c r="E48" s="18" t="inlineStr">
        <is>
          <t>B5 成果品の納品</t>
        </is>
      </c>
      <c r="F48" s="19" t="inlineStr">
        <is>
          <t>仕様書6 成果品②</t>
        </is>
      </c>
      <c r="G48"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8" s="19" t="inlineStr">
        <is>
          <t>受託者</t>
        </is>
      </c>
      <c r="I48" s="19" t="inlineStr">
        <is>
          <t>2027-02</t>
        </is>
      </c>
      <c r="J48" s="19" t="inlineStr">
        <is>
          <t>2027-03</t>
        </is>
      </c>
      <c r="K48" s="23" t="inlineStr">
        <is>
          <t>未着手</t>
        </is>
      </c>
      <c r="L48" s="21" t="n">
        <v>0</v>
      </c>
      <c r="M48" s="22" t="n">
        <v>3</v>
      </c>
      <c r="N48" s="18" t="inlineStr">
        <is>
          <t>―</t>
        </is>
      </c>
      <c r="O48" s="18" t="inlineStr">
        <is>
          <t>**イラスト起こしが仕様に含まれる点は引継ぎ資料でも触れられていない。デザイン工程の確保が必要**</t>
        </is>
      </c>
    </row>
    <row r="49">
      <c r="A49" s="18" t="inlineStr">
        <is>
          <t>P8 完成・納品</t>
        </is>
      </c>
      <c r="B49" s="19" t="inlineStr">
        <is>
          <t>8-3</t>
        </is>
      </c>
      <c r="C49" s="18" t="inlineStr">
        <is>
          <t>リライト作業</t>
        </is>
      </c>
      <c r="D49" s="18" t="inlineStr">
        <is>
          <t>読みやすさの調整</t>
        </is>
      </c>
      <c r="E49" s="18" t="inlineStr">
        <is>
          <t>B5 成果品の納品</t>
        </is>
      </c>
      <c r="F49" s="19" t="inlineStr">
        <is>
          <t>仕様書6 成果品②</t>
        </is>
      </c>
      <c r="G49"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9" s="19" t="inlineStr">
        <is>
          <t>受託者</t>
        </is>
      </c>
      <c r="I49" s="19" t="inlineStr">
        <is>
          <t>2027-03</t>
        </is>
      </c>
      <c r="J49" s="19" t="inlineStr">
        <is>
          <t>2027-03</t>
        </is>
      </c>
      <c r="K49" s="23" t="inlineStr">
        <is>
          <t>未着手</t>
        </is>
      </c>
      <c r="L49" s="21" t="n">
        <v>0</v>
      </c>
      <c r="M49" s="22" t="n">
        <v>2</v>
      </c>
      <c r="N49" s="18" t="inlineStr">
        <is>
          <t>―</t>
        </is>
      </c>
      <c r="O49" s="18" t="inlineStr">
        <is>
          <t>計画案の確定</t>
        </is>
      </c>
    </row>
    <row r="50">
      <c r="A50" s="18" t="inlineStr">
        <is>
          <t>P8 完成・納品</t>
        </is>
      </c>
      <c r="B50" s="19" t="inlineStr">
        <is>
          <t>8-4</t>
        </is>
      </c>
      <c r="C50" s="18" t="inlineStr">
        <is>
          <t>納品・検収</t>
        </is>
      </c>
      <c r="D50" s="18" t="inlineStr">
        <is>
          <t>電子データ（Microsoft Word 2019以上の形式）。**印刷の指定はなし**</t>
        </is>
      </c>
      <c r="E50" s="18" t="inlineStr">
        <is>
          <t>B5 成果品の納品</t>
        </is>
      </c>
      <c r="F50" s="19" t="inlineStr">
        <is>
          <t>仕様書6 成果品②</t>
        </is>
      </c>
      <c r="G50"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50" s="19" t="inlineStr">
        <is>
          <t>受託者・町</t>
        </is>
      </c>
      <c r="I50" s="19" t="inlineStr">
        <is>
          <t>2027-03</t>
        </is>
      </c>
      <c r="J50" s="19" t="inlineStr">
        <is>
          <t>2027-03</t>
        </is>
      </c>
      <c r="K50" s="23" t="inlineStr">
        <is>
          <t>未着手</t>
        </is>
      </c>
      <c r="L50" s="21" t="n">
        <v>0</v>
      </c>
      <c r="M50" s="22" t="n">
        <v>1</v>
      </c>
      <c r="N50" s="18" t="inlineStr">
        <is>
          <t>―</t>
        </is>
      </c>
      <c r="O50" s="18" t="inlineStr">
        <is>
          <t>**完了日が公告（3月31日）と仕様書（3月25日）で異なる（依頼票C1）**</t>
        </is>
      </c>
    </row>
  </sheetData>
  <autoFilter ref="A1:O50"/>
  <conditionalFormatting sqref="L2:L50">
    <cfRule type="cellIs" priority="1" operator="equal" dxfId="0">
      <formula>100</formula>
    </cfRule>
    <cfRule type="cellIs" priority="2" operator="equal" dxfId="1">
      <formula>0</formula>
    </cfRule>
  </conditionalFormatting>
  <dataValidations count="2">
    <dataValidation sqref="K2:K50" showDropDown="0" showInputMessage="0" showErrorMessage="0" allowBlank="1" type="list">
      <formula1>"完了,進行中,要対応,データ待ち,未着手"</formula1>
    </dataValidation>
    <dataValidation sqref="L2:L50"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COUNTIF('01_WBS'!$A$2:$A$50,$A2)</f>
        <v/>
      </c>
      <c r="C2" s="19">
        <f>COUNTIFS('01_WBS'!$A$2:$A$50,$A2,'01_WBS'!$K$2:$K$50,"完了")</f>
        <v/>
      </c>
      <c r="D2" s="19">
        <f>COUNTIFS('01_WBS'!$A$2:$A$50,$A2,'01_WBS'!$K$2:$K$50,"進行中")</f>
        <v/>
      </c>
      <c r="E2" s="19">
        <f>COUNTIFS('01_WBS'!$A$2:$A$50,$A2,'01_WBS'!$K$2:$K$50,"要対応")</f>
        <v/>
      </c>
      <c r="F2" s="19">
        <f>COUNTIFS('01_WBS'!$A$2:$A$50,$A2,'01_WBS'!$K$2:$K$50,"データ待ち")</f>
        <v/>
      </c>
      <c r="G2" s="19">
        <f>COUNTIFS('01_WBS'!$A$2:$A$50,$A2,'01_WBS'!$K$2:$K$50,"未着手")</f>
        <v/>
      </c>
      <c r="H2" s="26">
        <f>IF(SUMPRODUCT(('01_WBS'!$A$2:$A$50=$A2)*'01_WBS'!$M$2:$M$50)=0,0,SUMPRODUCT(('01_WBS'!$A$2:$A$50=$A2)*'01_WBS'!$L$2:$L$50*'01_WBS'!$M$2:$M$50)/SUMPRODUCT(('01_WBS'!$A$2:$A$50=$A2)*'01_WBS'!$M$2:$M$50)/100)</f>
        <v/>
      </c>
      <c r="I2" s="19" t="inlineStr">
        <is>
          <t>2026-06</t>
        </is>
      </c>
      <c r="J2" s="19" t="inlineStr">
        <is>
          <t>2026-09</t>
        </is>
      </c>
      <c r="K2" s="18" t="inlineStr">
        <is>
          <t>町データの受領（依頼7件・受領0件）</t>
        </is>
      </c>
    </row>
    <row r="3">
      <c r="A3" s="18" t="inlineStr">
        <is>
          <t>P2 ニーズ調査</t>
        </is>
      </c>
      <c r="B3" s="19">
        <f>COUNTIF('01_WBS'!$A$2:$A$50,$A3)</f>
        <v/>
      </c>
      <c r="C3" s="19">
        <f>COUNTIFS('01_WBS'!$A$2:$A$50,$A3,'01_WBS'!$K$2:$K$50,"完了")</f>
        <v/>
      </c>
      <c r="D3" s="19">
        <f>COUNTIFS('01_WBS'!$A$2:$A$50,$A3,'01_WBS'!$K$2:$K$50,"進行中")</f>
        <v/>
      </c>
      <c r="E3" s="19">
        <f>COUNTIFS('01_WBS'!$A$2:$A$50,$A3,'01_WBS'!$K$2:$K$50,"要対応")</f>
        <v/>
      </c>
      <c r="F3" s="19">
        <f>COUNTIFS('01_WBS'!$A$2:$A$50,$A3,'01_WBS'!$K$2:$K$50,"データ待ち")</f>
        <v/>
      </c>
      <c r="G3" s="19">
        <f>COUNTIFS('01_WBS'!$A$2:$A$50,$A3,'01_WBS'!$K$2:$K$50,"未着手")</f>
        <v/>
      </c>
      <c r="H3" s="26">
        <f>IF(SUMPRODUCT(('01_WBS'!$A$2:$A$50=$A3)*'01_WBS'!$M$2:$M$50)=0,0,SUMPRODUCT(('01_WBS'!$A$2:$A$50=$A3)*'01_WBS'!$L$2:$L$50*'01_WBS'!$M$2:$M$50)/SUMPRODUCT(('01_WBS'!$A$2:$A$50=$A3)*'01_WBS'!$M$2:$M$50)/100)</f>
        <v/>
      </c>
      <c r="I3" s="19" t="inlineStr">
        <is>
          <t>2026-07</t>
        </is>
      </c>
      <c r="J3" s="19" t="inlineStr">
        <is>
          <t>2026-11</t>
        </is>
      </c>
      <c r="K3" s="18" t="inlineStr">
        <is>
          <t>**★0727版の入手（児童用の本文欠落）。工程全体の律速**</t>
        </is>
      </c>
    </row>
    <row r="4">
      <c r="A4" s="18" t="inlineStr">
        <is>
          <t>P3 ヒアリング</t>
        </is>
      </c>
      <c r="B4" s="19">
        <f>COUNTIF('01_WBS'!$A$2:$A$50,$A4)</f>
        <v/>
      </c>
      <c r="C4" s="19">
        <f>COUNTIFS('01_WBS'!$A$2:$A$50,$A4,'01_WBS'!$K$2:$K$50,"完了")</f>
        <v/>
      </c>
      <c r="D4" s="19">
        <f>COUNTIFS('01_WBS'!$A$2:$A$50,$A4,'01_WBS'!$K$2:$K$50,"進行中")</f>
        <v/>
      </c>
      <c r="E4" s="19">
        <f>COUNTIFS('01_WBS'!$A$2:$A$50,$A4,'01_WBS'!$K$2:$K$50,"要対応")</f>
        <v/>
      </c>
      <c r="F4" s="19">
        <f>COUNTIFS('01_WBS'!$A$2:$A$50,$A4,'01_WBS'!$K$2:$K$50,"データ待ち")</f>
        <v/>
      </c>
      <c r="G4" s="19">
        <f>COUNTIFS('01_WBS'!$A$2:$A$50,$A4,'01_WBS'!$K$2:$K$50,"未着手")</f>
        <v/>
      </c>
      <c r="H4" s="26">
        <f>IF(SUMPRODUCT(('01_WBS'!$A$2:$A$50=$A4)*'01_WBS'!$M$2:$M$50)=0,0,SUMPRODUCT(('01_WBS'!$A$2:$A$50=$A4)*'01_WBS'!$L$2:$L$50*'01_WBS'!$M$2:$M$50)/SUMPRODUCT(('01_WBS'!$A$2:$A$50=$A4)*'01_WBS'!$M$2:$M$50)/100)</f>
        <v/>
      </c>
      <c r="I4" s="19" t="inlineStr">
        <is>
          <t>2026-08</t>
        </is>
      </c>
      <c r="J4" s="19" t="inlineStr">
        <is>
          <t>2026-11</t>
        </is>
      </c>
      <c r="K4" s="18" t="inlineStr">
        <is>
          <t>対象先の選定に必要な町のサービス実績</t>
        </is>
      </c>
    </row>
    <row r="5">
      <c r="A5" s="18" t="inlineStr">
        <is>
          <t>P4 成果品①</t>
        </is>
      </c>
      <c r="B5" s="19">
        <f>COUNTIF('01_WBS'!$A$2:$A$50,$A5)</f>
        <v/>
      </c>
      <c r="C5" s="19">
        <f>COUNTIFS('01_WBS'!$A$2:$A$50,$A5,'01_WBS'!$K$2:$K$50,"完了")</f>
        <v/>
      </c>
      <c r="D5" s="19">
        <f>COUNTIFS('01_WBS'!$A$2:$A$50,$A5,'01_WBS'!$K$2:$K$50,"進行中")</f>
        <v/>
      </c>
      <c r="E5" s="19">
        <f>COUNTIFS('01_WBS'!$A$2:$A$50,$A5,'01_WBS'!$K$2:$K$50,"要対応")</f>
        <v/>
      </c>
      <c r="F5" s="19">
        <f>COUNTIFS('01_WBS'!$A$2:$A$50,$A5,'01_WBS'!$K$2:$K$50,"データ待ち")</f>
        <v/>
      </c>
      <c r="G5" s="19">
        <f>COUNTIFS('01_WBS'!$A$2:$A$50,$A5,'01_WBS'!$K$2:$K$50,"未着手")</f>
        <v/>
      </c>
      <c r="H5" s="26">
        <f>IF(SUMPRODUCT(('01_WBS'!$A$2:$A$50=$A5)*'01_WBS'!$M$2:$M$50)=0,0,SUMPRODUCT(('01_WBS'!$A$2:$A$50=$A5)*'01_WBS'!$L$2:$L$50*'01_WBS'!$M$2:$M$50)/SUMPRODUCT(('01_WBS'!$A$2:$A$50=$A5)*'01_WBS'!$M$2:$M$50)/100)</f>
        <v/>
      </c>
      <c r="I5" s="19" t="inlineStr">
        <is>
          <t>2026-10</t>
        </is>
      </c>
      <c r="J5" s="19" t="inlineStr">
        <is>
          <t>2026-12</t>
        </is>
      </c>
      <c r="K5" s="18" t="inlineStr">
        <is>
          <t>調査の集計とヒアリング記録</t>
        </is>
      </c>
    </row>
    <row r="6">
      <c r="A6" s="18" t="inlineStr">
        <is>
          <t>P5 現状分析・課題</t>
        </is>
      </c>
      <c r="B6" s="19">
        <f>COUNTIF('01_WBS'!$A$2:$A$50,$A6)</f>
        <v/>
      </c>
      <c r="C6" s="19">
        <f>COUNTIFS('01_WBS'!$A$2:$A$50,$A6,'01_WBS'!$K$2:$K$50,"完了")</f>
        <v/>
      </c>
      <c r="D6" s="19">
        <f>COUNTIFS('01_WBS'!$A$2:$A$50,$A6,'01_WBS'!$K$2:$K$50,"進行中")</f>
        <v/>
      </c>
      <c r="E6" s="19">
        <f>COUNTIFS('01_WBS'!$A$2:$A$50,$A6,'01_WBS'!$K$2:$K$50,"要対応")</f>
        <v/>
      </c>
      <c r="F6" s="19">
        <f>COUNTIFS('01_WBS'!$A$2:$A$50,$A6,'01_WBS'!$K$2:$K$50,"データ待ち")</f>
        <v/>
      </c>
      <c r="G6" s="19">
        <f>COUNTIFS('01_WBS'!$A$2:$A$50,$A6,'01_WBS'!$K$2:$K$50,"未着手")</f>
        <v/>
      </c>
      <c r="H6" s="26">
        <f>IF(SUMPRODUCT(('01_WBS'!$A$2:$A$50=$A6)*'01_WBS'!$M$2:$M$50)=0,0,SUMPRODUCT(('01_WBS'!$A$2:$A$50=$A6)*'01_WBS'!$L$2:$L$50*'01_WBS'!$M$2:$M$50)/SUMPRODUCT(('01_WBS'!$A$2:$A$50=$A6)*'01_WBS'!$M$2:$M$50)/100)</f>
        <v/>
      </c>
      <c r="I6" s="19" t="inlineStr">
        <is>
          <t>2026-08</t>
        </is>
      </c>
      <c r="J6" s="19" t="inlineStr">
        <is>
          <t>2026-11</t>
        </is>
      </c>
      <c r="K6" s="18" t="inlineStr">
        <is>
          <t>町のサービス実績・支給決定量</t>
        </is>
      </c>
    </row>
    <row r="7">
      <c r="A7" s="18" t="inlineStr">
        <is>
          <t>P6 計画策定支援</t>
        </is>
      </c>
      <c r="B7" s="19">
        <f>COUNTIF('01_WBS'!$A$2:$A$50,$A7)</f>
        <v/>
      </c>
      <c r="C7" s="19">
        <f>COUNTIFS('01_WBS'!$A$2:$A$50,$A7,'01_WBS'!$K$2:$K$50,"完了")</f>
        <v/>
      </c>
      <c r="D7" s="19">
        <f>COUNTIFS('01_WBS'!$A$2:$A$50,$A7,'01_WBS'!$K$2:$K$50,"進行中")</f>
        <v/>
      </c>
      <c r="E7" s="19">
        <f>COUNTIFS('01_WBS'!$A$2:$A$50,$A7,'01_WBS'!$K$2:$K$50,"要対応")</f>
        <v/>
      </c>
      <c r="F7" s="19">
        <f>COUNTIFS('01_WBS'!$A$2:$A$50,$A7,'01_WBS'!$K$2:$K$50,"データ待ち")</f>
        <v/>
      </c>
      <c r="G7" s="19">
        <f>COUNTIFS('01_WBS'!$A$2:$A$50,$A7,'01_WBS'!$K$2:$K$50,"未着手")</f>
        <v/>
      </c>
      <c r="H7" s="26">
        <f>IF(SUMPRODUCT(('01_WBS'!$A$2:$A$50=$A7)*'01_WBS'!$M$2:$M$50)=0,0,SUMPRODUCT(('01_WBS'!$A$2:$A$50=$A7)*'01_WBS'!$L$2:$L$50*'01_WBS'!$M$2:$M$50)/SUMPRODUCT(('01_WBS'!$A$2:$A$50=$A7)*'01_WBS'!$M$2:$M$50)/100)</f>
        <v/>
      </c>
      <c r="I7" s="19" t="inlineStr">
        <is>
          <t>2026-07</t>
        </is>
      </c>
      <c r="J7" s="19" t="inlineStr">
        <is>
          <t>2027-02</t>
        </is>
      </c>
      <c r="K7" s="18" t="inlineStr">
        <is>
          <t>**素案の第2版改訂は条件なしで着手できる**</t>
        </is>
      </c>
    </row>
    <row r="8">
      <c r="A8" s="18" t="inlineStr">
        <is>
          <t>P7 意見聴取</t>
        </is>
      </c>
      <c r="B8" s="19">
        <f>COUNTIF('01_WBS'!$A$2:$A$50,$A8)</f>
        <v/>
      </c>
      <c r="C8" s="19">
        <f>COUNTIFS('01_WBS'!$A$2:$A$50,$A8,'01_WBS'!$K$2:$K$50,"完了")</f>
        <v/>
      </c>
      <c r="D8" s="19">
        <f>COUNTIFS('01_WBS'!$A$2:$A$50,$A8,'01_WBS'!$K$2:$K$50,"進行中")</f>
        <v/>
      </c>
      <c r="E8" s="19">
        <f>COUNTIFS('01_WBS'!$A$2:$A$50,$A8,'01_WBS'!$K$2:$K$50,"要対応")</f>
        <v/>
      </c>
      <c r="F8" s="19">
        <f>COUNTIFS('01_WBS'!$A$2:$A$50,$A8,'01_WBS'!$K$2:$K$50,"データ待ち")</f>
        <v/>
      </c>
      <c r="G8" s="19">
        <f>COUNTIFS('01_WBS'!$A$2:$A$50,$A8,'01_WBS'!$K$2:$K$50,"未着手")</f>
        <v/>
      </c>
      <c r="H8" s="26">
        <f>IF(SUMPRODUCT(('01_WBS'!$A$2:$A$50=$A8)*'01_WBS'!$M$2:$M$50)=0,0,SUMPRODUCT(('01_WBS'!$A$2:$A$50=$A8)*'01_WBS'!$L$2:$L$50*'01_WBS'!$M$2:$M$50)/SUMPRODUCT(('01_WBS'!$A$2:$A$50=$A8)*'01_WBS'!$M$2:$M$50)/100)</f>
        <v/>
      </c>
      <c r="I8" s="19" t="inlineStr">
        <is>
          <t>2026-08</t>
        </is>
      </c>
      <c r="J8" s="19" t="inlineStr">
        <is>
          <t>2027-02</t>
        </is>
      </c>
      <c r="K8" s="18" t="inlineStr">
        <is>
          <t>素案の確定、実施時期の確定</t>
        </is>
      </c>
    </row>
    <row r="9">
      <c r="A9" s="18" t="inlineStr">
        <is>
          <t>P8 完成・納品</t>
        </is>
      </c>
      <c r="B9" s="19">
        <f>COUNTIF('01_WBS'!$A$2:$A$50,$A9)</f>
        <v/>
      </c>
      <c r="C9" s="19">
        <f>COUNTIFS('01_WBS'!$A$2:$A$50,$A9,'01_WBS'!$K$2:$K$50,"完了")</f>
        <v/>
      </c>
      <c r="D9" s="19">
        <f>COUNTIFS('01_WBS'!$A$2:$A$50,$A9,'01_WBS'!$K$2:$K$50,"進行中")</f>
        <v/>
      </c>
      <c r="E9" s="19">
        <f>COUNTIFS('01_WBS'!$A$2:$A$50,$A9,'01_WBS'!$K$2:$K$50,"要対応")</f>
        <v/>
      </c>
      <c r="F9" s="19">
        <f>COUNTIFS('01_WBS'!$A$2:$A$50,$A9,'01_WBS'!$K$2:$K$50,"データ待ち")</f>
        <v/>
      </c>
      <c r="G9" s="19">
        <f>COUNTIFS('01_WBS'!$A$2:$A$50,$A9,'01_WBS'!$K$2:$K$50,"未着手")</f>
        <v/>
      </c>
      <c r="H9" s="26">
        <f>IF(SUMPRODUCT(('01_WBS'!$A$2:$A$50=$A9)*'01_WBS'!$M$2:$M$50)=0,0,SUMPRODUCT(('01_WBS'!$A$2:$A$50=$A9)*'01_WBS'!$L$2:$L$50*'01_WBS'!$M$2:$M$50)/SUMPRODUCT(('01_WBS'!$A$2:$A$50=$A9)*'01_WBS'!$M$2:$M$50)/100)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IF(SUM('01_WBS'!$M$2:$M$50)=0,0,SUMPRODUCT('01_WBS'!$L$2:$L$50,'01_WBS'!$M$2:$M$50)/SUM('01_WBS'!$M$2:$M$50)/100)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
2-12 分析報告書のレビュー
2-14 アンケートで不足する事項の洗い出しと対応方針
2-15 介護保険の利用の有無による問31の再集計</t>
        </is>
      </c>
      <c r="E13" s="19" t="n">
        <v>4</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2-13 目標値とアンケート設問の対応（MECEチェック）
6-1 骨子案の作成
6-2 骨子案の協議（自立支援協議会）
6-3 成果目標の設定
6-4 サービス見込量の算定
6-5 素案の作成
6-6 素案の協議（自立支援協議会）
8-1 計画案の作成</t>
        </is>
      </c>
      <c r="E16" s="19" t="n">
        <v>8</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COUNTIF('01_WBS'!$E$2:$E$50,$A2)</f>
        <v/>
      </c>
      <c r="D2" s="19">
        <f>COUNTIFS('01_WBS'!$E$2:$E$50,$A2,'01_WBS'!$K$2:$K$50,"完了")</f>
        <v/>
      </c>
      <c r="E2" s="19">
        <f>COUNTIFS('01_WBS'!$E$2:$E$50,$A2,'01_WBS'!$K$2:$K$50,"進行中")</f>
        <v/>
      </c>
      <c r="F2" s="19">
        <f>COUNTIFS('01_WBS'!$E$2:$E$50,$A2,'01_WBS'!$K$2:$K$50,"要対応")</f>
        <v/>
      </c>
      <c r="G2" s="19">
        <f>COUNTIFS('01_WBS'!$E$2:$E$50,$A2,'01_WBS'!$K$2:$K$50,"データ待ち")</f>
        <v/>
      </c>
      <c r="H2" s="19">
        <f>COUNTIFS('01_WBS'!$E$2:$E$50,$A2,'01_WBS'!$K$2:$K$50,"未着手")</f>
        <v/>
      </c>
      <c r="I2" s="26">
        <f>IF(SUMPRODUCT(('01_WBS'!$E$2:$E$50=$A2)*'01_WBS'!$M$2:$M$50)=0,"―",SUMPRODUCT(('01_WBS'!$E$2:$E$50=$A2)*'01_WBS'!$L$2:$L$50*'01_WBS'!$M$2:$M$50)/SUMPRODUCT(('01_WBS'!$E$2:$E$50=$A2)*'01_WBS'!$M$2:$M$50)/100)</f>
        <v/>
      </c>
      <c r="J2" s="18" t="inlineStr">
        <is>
          <t>**実施設計は完了。★0727版が入手できず調査票が確定しないため発送できない**</t>
        </is>
      </c>
    </row>
    <row r="3">
      <c r="A3" s="18" t="inlineStr">
        <is>
          <t>B2 現状分析と課題の整理</t>
        </is>
      </c>
      <c r="B3" s="18" t="inlineStr">
        <is>
          <t>5(3)</t>
        </is>
      </c>
      <c r="C3" s="19">
        <f>COUNTIF('01_WBS'!$E$2:$E$50,$A3)</f>
        <v/>
      </c>
      <c r="D3" s="19">
        <f>COUNTIFS('01_WBS'!$E$2:$E$50,$A3,'01_WBS'!$K$2:$K$50,"完了")</f>
        <v/>
      </c>
      <c r="E3" s="19">
        <f>COUNTIFS('01_WBS'!$E$2:$E$50,$A3,'01_WBS'!$K$2:$K$50,"進行中")</f>
        <v/>
      </c>
      <c r="F3" s="19">
        <f>COUNTIFS('01_WBS'!$E$2:$E$50,$A3,'01_WBS'!$K$2:$K$50,"要対応")</f>
        <v/>
      </c>
      <c r="G3" s="19">
        <f>COUNTIFS('01_WBS'!$E$2:$E$50,$A3,'01_WBS'!$K$2:$K$50,"データ待ち")</f>
        <v/>
      </c>
      <c r="H3" s="19">
        <f>COUNTIFS('01_WBS'!$E$2:$E$50,$A3,'01_WBS'!$K$2:$K$50,"未着手")</f>
        <v/>
      </c>
      <c r="I3" s="26">
        <f>IF(SUMPRODUCT(('01_WBS'!$E$2:$E$50=$A3)*'01_WBS'!$M$2:$M$50)=0,"―",SUMPRODUCT(('01_WBS'!$E$2:$E$50=$A3)*'01_WBS'!$L$2:$L$50*'01_WBS'!$M$2:$M$50)/SUMPRODUCT(('01_WBS'!$E$2:$E$50=$A3)*'01_WBS'!$M$2:$M$50)/100)</f>
        <v/>
      </c>
      <c r="J3" s="18" t="inlineStr">
        <is>
          <t>前回調査による検証は済み。今期調査・ヒアリングの結果待ち</t>
        </is>
      </c>
    </row>
    <row r="4">
      <c r="A4" s="18" t="inlineStr">
        <is>
          <t>B3 計画策定支援業務</t>
        </is>
      </c>
      <c r="B4" s="18" t="inlineStr">
        <is>
          <t>5(4)</t>
        </is>
      </c>
      <c r="C4" s="19">
        <f>COUNTIF('01_WBS'!$E$2:$E$50,$A4)</f>
        <v/>
      </c>
      <c r="D4" s="19">
        <f>COUNTIFS('01_WBS'!$E$2:$E$50,$A4,'01_WBS'!$K$2:$K$50,"完了")</f>
        <v/>
      </c>
      <c r="E4" s="19">
        <f>COUNTIFS('01_WBS'!$E$2:$E$50,$A4,'01_WBS'!$K$2:$K$50,"進行中")</f>
        <v/>
      </c>
      <c r="F4" s="19">
        <f>COUNTIFS('01_WBS'!$E$2:$E$50,$A4,'01_WBS'!$K$2:$K$50,"要対応")</f>
        <v/>
      </c>
      <c r="G4" s="19">
        <f>COUNTIFS('01_WBS'!$E$2:$E$50,$A4,'01_WBS'!$K$2:$K$50,"データ待ち")</f>
        <v/>
      </c>
      <c r="H4" s="19">
        <f>COUNTIFS('01_WBS'!$E$2:$E$50,$A4,'01_WBS'!$K$2:$K$50,"未着手")</f>
        <v/>
      </c>
      <c r="I4" s="26">
        <f>IF(SUMPRODUCT(('01_WBS'!$E$2:$E$50=$A4)*'01_WBS'!$M$2:$M$50)=0,"―",SUMPRODUCT(('01_WBS'!$E$2:$E$50=$A4)*'01_WBS'!$L$2:$L$50*'01_WBS'!$M$2:$M$50)/SUMPRODUCT(('01_WBS'!$E$2:$E$50=$A4)*'01_WBS'!$M$2:$M$50)/100)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COUNTIF('01_WBS'!$E$2:$E$50,$A5)</f>
        <v/>
      </c>
      <c r="D5" s="19">
        <f>COUNTIFS('01_WBS'!$E$2:$E$50,$A5,'01_WBS'!$K$2:$K$50,"完了")</f>
        <v/>
      </c>
      <c r="E5" s="19">
        <f>COUNTIFS('01_WBS'!$E$2:$E$50,$A5,'01_WBS'!$K$2:$K$50,"進行中")</f>
        <v/>
      </c>
      <c r="F5" s="19">
        <f>COUNTIFS('01_WBS'!$E$2:$E$50,$A5,'01_WBS'!$K$2:$K$50,"要対応")</f>
        <v/>
      </c>
      <c r="G5" s="19">
        <f>COUNTIFS('01_WBS'!$E$2:$E$50,$A5,'01_WBS'!$K$2:$K$50,"データ待ち")</f>
        <v/>
      </c>
      <c r="H5" s="19">
        <f>COUNTIFS('01_WBS'!$E$2:$E$50,$A5,'01_WBS'!$K$2:$K$50,"未着手")</f>
        <v/>
      </c>
      <c r="I5" s="26">
        <f>IF(SUMPRODUCT(('01_WBS'!$E$2:$E$50=$A5)*'01_WBS'!$M$2:$M$50)=0,"―",SUMPRODUCT(('01_WBS'!$E$2:$E$50=$A5)*'01_WBS'!$L$2:$L$50*'01_WBS'!$M$2:$M$50)/SUMPRODUCT(('01_WBS'!$E$2:$E$50=$A5)*'01_WBS'!$M$2:$M$50)/100)</f>
        <v/>
      </c>
      <c r="J5" s="18" t="inlineStr">
        <is>
          <t>様式は作成済み。実施時期の確定待ち</t>
        </is>
      </c>
    </row>
    <row r="6">
      <c r="A6" s="18" t="inlineStr">
        <is>
          <t>B5 成果品の納品</t>
        </is>
      </c>
      <c r="B6" s="18" t="inlineStr">
        <is>
          <t>成果品①、成果品②</t>
        </is>
      </c>
      <c r="C6" s="19">
        <f>COUNTIF('01_WBS'!$E$2:$E$50,$A6)</f>
        <v/>
      </c>
      <c r="D6" s="19">
        <f>COUNTIFS('01_WBS'!$E$2:$E$50,$A6,'01_WBS'!$K$2:$K$50,"完了")</f>
        <v/>
      </c>
      <c r="E6" s="19">
        <f>COUNTIFS('01_WBS'!$E$2:$E$50,$A6,'01_WBS'!$K$2:$K$50,"進行中")</f>
        <v/>
      </c>
      <c r="F6" s="19">
        <f>COUNTIFS('01_WBS'!$E$2:$E$50,$A6,'01_WBS'!$K$2:$K$50,"要対応")</f>
        <v/>
      </c>
      <c r="G6" s="19">
        <f>COUNTIFS('01_WBS'!$E$2:$E$50,$A6,'01_WBS'!$K$2:$K$50,"データ待ち")</f>
        <v/>
      </c>
      <c r="H6" s="19">
        <f>COUNTIFS('01_WBS'!$E$2:$E$50,$A6,'01_WBS'!$K$2:$K$50,"未着手")</f>
        <v/>
      </c>
      <c r="I6" s="26">
        <f>IF(SUMPRODUCT(('01_WBS'!$E$2:$E$50=$A6)*'01_WBS'!$M$2:$M$50)=0,"―",SUMPRODUCT(('01_WBS'!$E$2:$E$50=$A6)*'01_WBS'!$L$2:$L$50*'01_WBS'!$M$2:$M$50)/SUMPRODUCT(('01_WBS'!$E$2:$E$50=$A6)*'01_WBS'!$M$2:$M$50)/100)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COUNTIF('01_WBS'!$E$2:$E$50,$A7)</f>
        <v/>
      </c>
      <c r="D7" s="19">
        <f>COUNTIFS('01_WBS'!$E$2:$E$50,$A7,'01_WBS'!$K$2:$K$50,"完了")</f>
        <v/>
      </c>
      <c r="E7" s="19">
        <f>COUNTIFS('01_WBS'!$E$2:$E$50,$A7,'01_WBS'!$K$2:$K$50,"進行中")</f>
        <v/>
      </c>
      <c r="F7" s="19">
        <f>COUNTIFS('01_WBS'!$E$2:$E$50,$A7,'01_WBS'!$K$2:$K$50,"要対応")</f>
        <v/>
      </c>
      <c r="G7" s="19">
        <f>COUNTIFS('01_WBS'!$E$2:$E$50,$A7,'01_WBS'!$K$2:$K$50,"データ待ち")</f>
        <v/>
      </c>
      <c r="H7" s="19">
        <f>COUNTIFS('01_WBS'!$E$2:$E$50,$A7,'01_WBS'!$K$2:$K$50,"未着手")</f>
        <v/>
      </c>
      <c r="I7" s="26">
        <f>IF(SUMPRODUCT(('01_WBS'!$E$2:$E$50=$A7)*'01_WBS'!$M$2:$M$50)=0,"―",SUMPRODUCT(('01_WBS'!$E$2:$E$50=$A7)*'01_WBS'!$L$2:$L$50*'01_WBS'!$M$2:$M$50)/SUMPRODUCT(('01_WBS'!$E$2:$E$50=$A7)*'01_WBS'!$M$2:$M$50)/100)</f>
        <v/>
      </c>
      <c r="J7" s="18" t="inlineStr">
        <is>
          <t>**仕様書工程から3〜4か月遅延。工程変更の協議と記録化が要対応**</t>
        </is>
      </c>
    </row>
    <row r="8">
      <c r="A8" s="18" t="inlineStr">
        <is>
          <t>B7 仕様書に定めのない作業</t>
        </is>
      </c>
      <c r="B8" s="18" t="inlineStr">
        <is>
          <t>（該当条項なし）</t>
        </is>
      </c>
      <c r="C8" s="19">
        <f>COUNTIF('01_WBS'!$E$2:$E$50,$A8)</f>
        <v/>
      </c>
      <c r="D8" s="19">
        <f>COUNTIFS('01_WBS'!$E$2:$E$50,$A8,'01_WBS'!$K$2:$K$50,"完了")</f>
        <v/>
      </c>
      <c r="E8" s="19">
        <f>COUNTIFS('01_WBS'!$E$2:$E$50,$A8,'01_WBS'!$K$2:$K$50,"進行中")</f>
        <v/>
      </c>
      <c r="F8" s="19">
        <f>COUNTIFS('01_WBS'!$E$2:$E$50,$A8,'01_WBS'!$K$2:$K$50,"要対応")</f>
        <v/>
      </c>
      <c r="G8" s="19">
        <f>COUNTIFS('01_WBS'!$E$2:$E$50,$A8,'01_WBS'!$K$2:$K$50,"データ待ち")</f>
        <v/>
      </c>
      <c r="H8" s="19">
        <f>COUNTIFS('01_WBS'!$E$2:$E$50,$A8,'01_WBS'!$K$2:$K$50,"未着手")</f>
        <v/>
      </c>
      <c r="I8" s="26">
        <f>IF(SUMPRODUCT(('01_WBS'!$E$2:$E$50=$A8)*'01_WBS'!$M$2:$M$50)=0,"―",SUMPRODUCT(('01_WBS'!$E$2:$E$50=$A8)*'01_WBS'!$L$2:$L$50*'01_WBS'!$M$2:$M$50)/SUMPRODUCT(('01_WBS'!$E$2:$E$50=$A8)*'01_WBS'!$M$2:$M$50)/100)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IF(SUM('01_WBS'!$M$2:$M$50)=0,0,SUMPRODUCT('01_WBS'!$L$2:$L$50,'01_WBS'!$M$2:$M$50)/SUM('01_WBS'!$M$2:$M$50)/100)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P3 ヒアリング</t>
        </is>
      </c>
      <c r="B3" s="19" t="inlineStr">
        <is>
          <t>3-2</t>
        </is>
      </c>
      <c r="C3" s="18" t="inlineStr">
        <is>
          <t>対象先の選定</t>
        </is>
      </c>
      <c r="D3" s="19" t="inlineStr">
        <is>
          <t>受託者・町</t>
        </is>
      </c>
      <c r="E3" s="19" t="inlineStr">
        <is>
          <t>2026-08</t>
        </is>
      </c>
      <c r="F3" s="19" t="inlineStr">
        <is>
          <t>2026-09</t>
        </is>
      </c>
      <c r="G3" s="23" t="inlineStr">
        <is>
          <t>未着手</t>
        </is>
      </c>
      <c r="H3" s="30" t="n">
        <v>0</v>
      </c>
      <c r="I3" s="30" t="n">
        <v>100</v>
      </c>
      <c r="J3" s="30" t="n">
        <v>-100</v>
      </c>
      <c r="K3" s="19" t="n">
        <v>2</v>
      </c>
      <c r="L3" s="24" t="inlineStr">
        <is>
          <t>期限超過（1か月）</t>
        </is>
      </c>
      <c r="M3" s="18" t="inlineStr">
        <is>
          <t>**町のサービス実績（町内外事業所別・依頼票D4）**</t>
        </is>
      </c>
    </row>
    <row r="4">
      <c r="A4" s="18" t="inlineStr">
        <is>
          <t>P3 ヒアリング</t>
        </is>
      </c>
      <c r="B4" s="19" t="inlineStr">
        <is>
          <t>3-3</t>
        </is>
      </c>
      <c r="C4" s="18" t="inlineStr">
        <is>
          <t>依頼の送付・日程調整</t>
        </is>
      </c>
      <c r="D4" s="19" t="inlineStr">
        <is>
          <t>受託者</t>
        </is>
      </c>
      <c r="E4" s="19" t="inlineStr">
        <is>
          <t>2026-09</t>
        </is>
      </c>
      <c r="F4" s="19" t="inlineStr">
        <is>
          <t>2026-09</t>
        </is>
      </c>
      <c r="G4" s="23" t="inlineStr">
        <is>
          <t>未着手</t>
        </is>
      </c>
      <c r="H4" s="30" t="n">
        <v>0</v>
      </c>
      <c r="I4" s="30" t="n">
        <v>100</v>
      </c>
      <c r="J4" s="30" t="n">
        <v>-100</v>
      </c>
      <c r="K4" s="19" t="n">
        <v>1</v>
      </c>
      <c r="L4" s="24" t="inlineStr">
        <is>
          <t>期限超過（1か月）</t>
        </is>
      </c>
      <c r="M4" s="18" t="inlineStr">
        <is>
          <t>対象先の選定</t>
        </is>
      </c>
    </row>
    <row r="5">
      <c r="A5" s="18" t="inlineStr">
        <is>
          <t>P3 ヒアリング</t>
        </is>
      </c>
      <c r="B5" s="19" t="inlineStr">
        <is>
          <t>3-4</t>
        </is>
      </c>
      <c r="C5" s="18" t="inlineStr">
        <is>
          <t>ヒアリングの実施</t>
        </is>
      </c>
      <c r="D5" s="19" t="inlineStr">
        <is>
          <t>受託者</t>
        </is>
      </c>
      <c r="E5" s="19" t="inlineStr">
        <is>
          <t>2026-09</t>
        </is>
      </c>
      <c r="F5" s="19" t="inlineStr">
        <is>
          <t>2026-10</t>
        </is>
      </c>
      <c r="G5" s="23" t="inlineStr">
        <is>
          <t>未着手</t>
        </is>
      </c>
      <c r="H5" s="30" t="n">
        <v>0</v>
      </c>
      <c r="I5" s="30" t="n">
        <v>60</v>
      </c>
      <c r="J5" s="30" t="n">
        <v>-60</v>
      </c>
      <c r="K5" s="19" t="n">
        <v>4</v>
      </c>
      <c r="L5" s="25" t="inlineStr">
        <is>
          <t>遅れ</t>
        </is>
      </c>
      <c r="M5" s="18" t="inlineStr">
        <is>
          <t>日程調整</t>
        </is>
      </c>
    </row>
    <row r="6">
      <c r="A6" s="18" t="inlineStr">
        <is>
          <t>P1 準備・現状把握</t>
        </is>
      </c>
      <c r="B6" s="19" t="inlineStr">
        <is>
          <t>1-7</t>
        </is>
      </c>
      <c r="C6" s="18" t="inlineStr">
        <is>
          <t>工程変更の協議と打合せ記録の作成</t>
        </is>
      </c>
      <c r="D6" s="19" t="inlineStr">
        <is>
          <t>受託者・町</t>
        </is>
      </c>
      <c r="E6" s="19" t="inlineStr">
        <is>
          <t>2026-08</t>
        </is>
      </c>
      <c r="F6" s="19" t="inlineStr">
        <is>
          <t>2026-08</t>
        </is>
      </c>
      <c r="G6" s="24" t="inlineStr">
        <is>
          <t>要対応</t>
        </is>
      </c>
      <c r="H6" s="30" t="n">
        <v>40</v>
      </c>
      <c r="I6" s="30" t="n">
        <v>100</v>
      </c>
      <c r="J6" s="30" t="n">
        <v>-60</v>
      </c>
      <c r="K6" s="19" t="n">
        <v>2</v>
      </c>
      <c r="L6" s="24" t="inlineStr">
        <is>
          <t>期限超過（2か月）</t>
        </is>
      </c>
      <c r="M6" s="18" t="inlineStr">
        <is>
          <t>**町との協議。8月19日の協議会またはその前後に行う**</t>
        </is>
      </c>
    </row>
    <row r="7">
      <c r="A7" s="18" t="inlineStr">
        <is>
          <t>P2 ニーズ調査</t>
        </is>
      </c>
      <c r="B7" s="19" t="inlineStr">
        <is>
          <t>2-9</t>
        </is>
      </c>
      <c r="C7" s="18" t="inlineStr">
        <is>
          <t>督促はがきの準備・発送</t>
        </is>
      </c>
      <c r="D7" s="19" t="inlineStr">
        <is>
          <t>受託者</t>
        </is>
      </c>
      <c r="E7" s="19" t="inlineStr">
        <is>
          <t>2026-08</t>
        </is>
      </c>
      <c r="F7" s="19" t="inlineStr">
        <is>
          <t>2026-09</t>
        </is>
      </c>
      <c r="G7" s="24" t="inlineStr">
        <is>
          <t>要対応</t>
        </is>
      </c>
      <c r="H7" s="30" t="n">
        <v>50</v>
      </c>
      <c r="I7" s="30" t="n">
        <v>100</v>
      </c>
      <c r="J7" s="30" t="n">
        <v>-50</v>
      </c>
      <c r="K7" s="19" t="n">
        <v>1</v>
      </c>
      <c r="L7" s="24" t="inlineStr">
        <is>
          <t>期限超過（1か月）</t>
        </is>
      </c>
      <c r="M7" s="18" t="inlineStr">
        <is>
          <t>**今回の督促の実施の有無が未確認。**配布数とあわせて確認する（依頼票D5）</t>
        </is>
      </c>
    </row>
    <row r="8">
      <c r="A8" s="18" t="inlineStr">
        <is>
          <t>P2 ニーズ調査</t>
        </is>
      </c>
      <c r="B8" s="19" t="inlineStr">
        <is>
          <t>2-5</t>
        </is>
      </c>
      <c r="C8" s="18" t="inlineStr">
        <is>
          <t>対象者の抽出</t>
        </is>
      </c>
      <c r="D8" s="19" t="inlineStr">
        <is>
          <t>町</t>
        </is>
      </c>
      <c r="E8" s="19" t="inlineStr">
        <is>
          <t>2026-08</t>
        </is>
      </c>
      <c r="F8" s="19" t="inlineStr">
        <is>
          <t>2026-09</t>
        </is>
      </c>
      <c r="G8" s="24" t="inlineStr">
        <is>
          <t>要対応</t>
        </is>
      </c>
      <c r="H8" s="30" t="n">
        <v>80</v>
      </c>
      <c r="I8" s="30" t="n">
        <v>100</v>
      </c>
      <c r="J8" s="30" t="n">
        <v>-20</v>
      </c>
      <c r="K8" s="19" t="n">
        <v>3</v>
      </c>
      <c r="L8" s="24" t="inlineStr">
        <is>
          <t>期限超過（1か月）</t>
        </is>
      </c>
      <c r="M8" s="18" t="inlineStr">
        <is>
          <t>**配布数と抽出方法が未記入。**前回は520人の層化無作為抽出であり、**全数配布か標本抽出かで経年比較の可否が決まる（依頼票D5）**</t>
        </is>
      </c>
    </row>
    <row r="9">
      <c r="A9" s="18" t="inlineStr">
        <is>
          <t>P2 ニーズ調査</t>
        </is>
      </c>
      <c r="B9" s="19" t="inlineStr">
        <is>
          <t>2-16</t>
        </is>
      </c>
      <c r="C9" s="18" t="inlineStr">
        <is>
          <t>確認票の2枚化（町向け・事業所向け）</t>
        </is>
      </c>
      <c r="D9" s="19" t="inlineStr">
        <is>
          <t>受託者</t>
        </is>
      </c>
      <c r="E9" s="19" t="inlineStr">
        <is>
          <t>2026-10</t>
        </is>
      </c>
      <c r="F9" s="19" t="inlineStr">
        <is>
          <t>2026-10</t>
        </is>
      </c>
      <c r="G9" s="23" t="inlineStr">
        <is>
          <t>未着手</t>
        </is>
      </c>
      <c r="H9" s="30" t="n">
        <v>0</v>
      </c>
      <c r="I9" s="30" t="n">
        <v>20</v>
      </c>
      <c r="J9" s="30" t="n">
        <v>-20</v>
      </c>
      <c r="K9" s="19" t="n">
        <v>2</v>
      </c>
      <c r="L9" s="25" t="inlineStr">
        <is>
          <t>遅れ</t>
        </is>
      </c>
      <c r="M9" s="18" t="inlineStr">
        <is>
          <t>2-15の結果（短期入所の照会の主題が変わる）</t>
        </is>
      </c>
    </row>
    <row r="10">
      <c r="A10" s="18" t="inlineStr">
        <is>
          <t>P6 計画策定支援</t>
        </is>
      </c>
      <c r="B10" s="19" t="inlineStr">
        <is>
          <t>6-1</t>
        </is>
      </c>
      <c r="C10" s="18" t="inlineStr">
        <is>
          <t>骨子案の作成</t>
        </is>
      </c>
      <c r="D10" s="19" t="inlineStr">
        <is>
          <t>受託者</t>
        </is>
      </c>
      <c r="E10" s="19" t="inlineStr">
        <is>
          <t>2026-07</t>
        </is>
      </c>
      <c r="F10" s="19" t="inlineStr">
        <is>
          <t>2026-11</t>
        </is>
      </c>
      <c r="G10" s="22" t="inlineStr">
        <is>
          <t>進行中</t>
        </is>
      </c>
      <c r="H10" s="30" t="n">
        <v>60</v>
      </c>
      <c r="I10" s="30" t="n">
        <v>64.5</v>
      </c>
      <c r="J10" s="30" t="n">
        <v>-4.5</v>
      </c>
      <c r="K10" s="19" t="n">
        <v>3</v>
      </c>
      <c r="L10" s="20" t="inlineStr">
        <is>
          <t>おおむね予定どおり</t>
        </is>
      </c>
      <c r="M10" s="18" t="inlineStr">
        <is>
          <t>調査結果の反映</t>
        </is>
      </c>
    </row>
    <row r="11">
      <c r="A11" s="18" t="inlineStr">
        <is>
          <t>P5 現状分析・課題</t>
        </is>
      </c>
      <c r="B11" s="19" t="inlineStr">
        <is>
          <t>5-1</t>
        </is>
      </c>
      <c r="C11" s="18" t="inlineStr">
        <is>
          <t>現行計画の取組み状況の検証</t>
        </is>
      </c>
      <c r="D11" s="19" t="inlineStr">
        <is>
          <t>受託者</t>
        </is>
      </c>
      <c r="E11" s="19" t="inlineStr">
        <is>
          <t>2026-08</t>
        </is>
      </c>
      <c r="F11" s="19" t="inlineStr">
        <is>
          <t>2026-10</t>
        </is>
      </c>
      <c r="G11" s="22" t="inlineStr">
        <is>
          <t>進行中</t>
        </is>
      </c>
      <c r="H11" s="30" t="n">
        <v>70</v>
      </c>
      <c r="I11" s="30" t="n">
        <v>73.59999999999999</v>
      </c>
      <c r="J11" s="30" t="n">
        <v>-3.6</v>
      </c>
      <c r="K11" s="19" t="n">
        <v>3</v>
      </c>
      <c r="L11" s="20" t="inlineStr">
        <is>
          <t>おおむね予定どおり</t>
        </is>
      </c>
      <c r="M11" s="18" t="inlineStr">
        <is>
          <t>**前回計画31項目の令和8年度末の実績（依頼票D6）。**目標値は受領済みのため、残るのは実績のみ</t>
        </is>
      </c>
    </row>
    <row r="12">
      <c r="A12" s="18" t="inlineStr">
        <is>
          <t>P5 現状分析・課題</t>
        </is>
      </c>
      <c r="B12" s="19" t="inlineStr">
        <is>
          <t>5-4</t>
        </is>
      </c>
      <c r="C12" s="18" t="inlineStr">
        <is>
          <t>人口推計の出典の統一</t>
        </is>
      </c>
      <c r="D12" s="19" t="inlineStr">
        <is>
          <t>受託者・町</t>
        </is>
      </c>
      <c r="E12" s="19" t="inlineStr">
        <is>
          <t>2026-08</t>
        </is>
      </c>
      <c r="F12" s="19" t="inlineStr">
        <is>
          <t>2026-10</t>
        </is>
      </c>
      <c r="G12" s="24" t="inlineStr">
        <is>
          <t>要対応</t>
        </is>
      </c>
      <c r="H12" s="30" t="n">
        <v>70</v>
      </c>
      <c r="I12" s="30" t="n">
        <v>73.59999999999999</v>
      </c>
      <c r="J12" s="30" t="n">
        <v>-3.6</v>
      </c>
      <c r="K12" s="19" t="n">
        <v>1</v>
      </c>
      <c r="L12" s="20" t="inlineStr">
        <is>
          <t>おおむね予定どおり</t>
        </is>
      </c>
      <c r="M12" s="18" t="inlineStr">
        <is>
          <t>**町の判断（4件）。計画本文の出典、男女別5歳階級の住基人口の提供、障がい児の見込量を再計算するか、保険料算定に第10期推計を使うこと**</t>
        </is>
      </c>
    </row>
    <row r="13">
      <c r="A13" s="18" t="inlineStr">
        <is>
          <t>P7 意見聴取</t>
        </is>
      </c>
      <c r="B13" s="19" t="inlineStr">
        <is>
          <t>7-4</t>
        </is>
      </c>
      <c r="C13" s="18" t="inlineStr">
        <is>
          <t>自立支援協議会への出席（3回）</t>
        </is>
      </c>
      <c r="D13" s="19" t="inlineStr">
        <is>
          <t>受託者</t>
        </is>
      </c>
      <c r="E13" s="19" t="inlineStr">
        <is>
          <t>2026-08</t>
        </is>
      </c>
      <c r="F13" s="19" t="inlineStr">
        <is>
          <t>2027-02</t>
        </is>
      </c>
      <c r="G13" s="22" t="inlineStr">
        <is>
          <t>進行中</t>
        </is>
      </c>
      <c r="H13" s="30" t="n">
        <v>30</v>
      </c>
      <c r="I13" s="30" t="n">
        <v>31.8</v>
      </c>
      <c r="J13" s="30" t="n">
        <v>-1.8</v>
      </c>
      <c r="K13" s="19" t="n">
        <v>2</v>
      </c>
      <c r="L13" s="20" t="inlineStr">
        <is>
          <t>おおむね予定どおり</t>
        </is>
      </c>
      <c r="M13" s="18" t="inlineStr">
        <is>
          <t>第2回・第3回の時期は工程変更の協議による</t>
        </is>
      </c>
    </row>
    <row r="14">
      <c r="A14" s="18" t="inlineStr">
        <is>
          <t>P2 ニーズ調査</t>
        </is>
      </c>
      <c r="B14" s="19" t="inlineStr">
        <is>
          <t>2-3</t>
        </is>
      </c>
      <c r="C14" s="18" t="inlineStr">
        <is>
          <t>調査票の作成と補修正</t>
        </is>
      </c>
      <c r="D14" s="19" t="inlineStr">
        <is>
          <t>受託者</t>
        </is>
      </c>
      <c r="E14" s="19" t="inlineStr">
        <is>
          <t>2026-08</t>
        </is>
      </c>
      <c r="F14" s="19" t="inlineStr">
        <is>
          <t>2026-08</t>
        </is>
      </c>
      <c r="G14" s="20" t="inlineStr">
        <is>
          <t>完了</t>
        </is>
      </c>
      <c r="H14" s="30" t="n">
        <v>100</v>
      </c>
      <c r="I14" s="30" t="n">
        <v>100</v>
      </c>
      <c r="J14" s="30" t="n">
        <v>0</v>
      </c>
      <c r="K14" s="19" t="n">
        <v>4</v>
      </c>
      <c r="L14" s="20" t="inlineStr">
        <is>
          <t>おおむね予定どおり</t>
        </is>
      </c>
      <c r="M14" s="18" t="inlineStr">
        <is>
          <t>―</t>
        </is>
      </c>
    </row>
    <row r="15">
      <c r="A15" s="18" t="inlineStr">
        <is>
          <t>P1 準備・現状把握</t>
        </is>
      </c>
      <c r="B15" s="19" t="inlineStr">
        <is>
          <t>1-2</t>
        </is>
      </c>
      <c r="C15" s="18" t="inlineStr">
        <is>
          <t>委託仕様書の確認と適合性チェック</t>
        </is>
      </c>
      <c r="D15" s="19" t="inlineStr">
        <is>
          <t>受託者</t>
        </is>
      </c>
      <c r="E15" s="19" t="inlineStr">
        <is>
          <t>2026-08</t>
        </is>
      </c>
      <c r="F15" s="19" t="inlineStr">
        <is>
          <t>2026-08</t>
        </is>
      </c>
      <c r="G15" s="20" t="inlineStr">
        <is>
          <t>完了</t>
        </is>
      </c>
      <c r="H15" s="30" t="n">
        <v>100</v>
      </c>
      <c r="I15" s="30" t="n">
        <v>100</v>
      </c>
      <c r="J15" s="30" t="n">
        <v>0</v>
      </c>
      <c r="K15" s="19" t="n">
        <v>3</v>
      </c>
      <c r="L15" s="20" t="inlineStr">
        <is>
          <t>おおむね予定どおり</t>
        </is>
      </c>
      <c r="M15" s="18" t="inlineStr">
        <is>
          <t>―</t>
        </is>
      </c>
    </row>
    <row r="16">
      <c r="A16" s="18" t="inlineStr">
        <is>
          <t>P2 ニーズ調査</t>
        </is>
      </c>
      <c r="B16" s="19" t="inlineStr">
        <is>
          <t>2-1</t>
        </is>
      </c>
      <c r="C16" s="18" t="inlineStr">
        <is>
          <t>調査内容の企画</t>
        </is>
      </c>
      <c r="D16" s="19" t="inlineStr">
        <is>
          <t>受託者</t>
        </is>
      </c>
      <c r="E16" s="19" t="inlineStr">
        <is>
          <t>2026-07</t>
        </is>
      </c>
      <c r="F16" s="19" t="inlineStr">
        <is>
          <t>2026-07</t>
        </is>
      </c>
      <c r="G16" s="20" t="inlineStr">
        <is>
          <t>完了</t>
        </is>
      </c>
      <c r="H16" s="30" t="n">
        <v>100</v>
      </c>
      <c r="I16" s="30" t="n">
        <v>100</v>
      </c>
      <c r="J16" s="30" t="n">
        <v>0</v>
      </c>
      <c r="K16" s="19" t="n">
        <v>3</v>
      </c>
      <c r="L16" s="20" t="inlineStr">
        <is>
          <t>おおむね予定どおり</t>
        </is>
      </c>
      <c r="M16" s="18" t="inlineStr">
        <is>
          <t>―</t>
        </is>
      </c>
    </row>
    <row r="17">
      <c r="A17" s="18" t="inlineStr">
        <is>
          <t>P2 ニーズ調査</t>
        </is>
      </c>
      <c r="B17" s="19" t="inlineStr">
        <is>
          <t>2-2</t>
        </is>
      </c>
      <c r="C17" s="18" t="inlineStr">
        <is>
          <t>調査実施設計</t>
        </is>
      </c>
      <c r="D17" s="19" t="inlineStr">
        <is>
          <t>受託者</t>
        </is>
      </c>
      <c r="E17" s="19" t="inlineStr">
        <is>
          <t>2026-08</t>
        </is>
      </c>
      <c r="F17" s="19" t="inlineStr">
        <is>
          <t>2026-08</t>
        </is>
      </c>
      <c r="G17" s="20" t="inlineStr">
        <is>
          <t>完了</t>
        </is>
      </c>
      <c r="H17" s="30" t="n">
        <v>100</v>
      </c>
      <c r="I17" s="30" t="n">
        <v>100</v>
      </c>
      <c r="J17" s="30" t="n">
        <v>0</v>
      </c>
      <c r="K17" s="19" t="n">
        <v>3</v>
      </c>
      <c r="L17" s="20" t="inlineStr">
        <is>
          <t>おおむね予定どおり</t>
        </is>
      </c>
      <c r="M17" s="18" t="inlineStr">
        <is>
          <t>―</t>
        </is>
      </c>
    </row>
    <row r="18">
      <c r="A18" s="18" t="inlineStr">
        <is>
          <t>P2 ニーズ調査</t>
        </is>
      </c>
      <c r="B18" s="19" t="inlineStr">
        <is>
          <t>2-8</t>
        </is>
      </c>
      <c r="C18" s="18" t="inlineStr">
        <is>
          <t>調査の発送・回収</t>
        </is>
      </c>
      <c r="D18" s="19" t="inlineStr">
        <is>
          <t>受託者</t>
        </is>
      </c>
      <c r="E18" s="19" t="inlineStr">
        <is>
          <t>2026-08</t>
        </is>
      </c>
      <c r="F18" s="19" t="inlineStr">
        <is>
          <t>2026-09</t>
        </is>
      </c>
      <c r="G18" s="20" t="inlineStr">
        <is>
          <t>完了</t>
        </is>
      </c>
      <c r="H18" s="30" t="n">
        <v>100</v>
      </c>
      <c r="I18" s="30" t="n">
        <v>100</v>
      </c>
      <c r="J18" s="30" t="n">
        <v>0</v>
      </c>
      <c r="K18" s="19" t="n">
        <v>3</v>
      </c>
      <c r="L18" s="20" t="inlineStr">
        <is>
          <t>おおむね予定どおり</t>
        </is>
      </c>
      <c r="M18" s="18" t="inlineStr">
        <is>
          <t>―</t>
        </is>
      </c>
    </row>
    <row r="19">
      <c r="A19" s="18" t="inlineStr">
        <is>
          <t>P3 ヒアリング</t>
        </is>
      </c>
      <c r="B19" s="19" t="inlineStr">
        <is>
          <t>3-1</t>
        </is>
      </c>
      <c r="C19" s="18" t="inlineStr">
        <is>
          <t>実施計画と質問票の作成</t>
        </is>
      </c>
      <c r="D19" s="19" t="inlineStr">
        <is>
          <t>受託者</t>
        </is>
      </c>
      <c r="E19" s="19" t="inlineStr">
        <is>
          <t>2026-08</t>
        </is>
      </c>
      <c r="F19" s="19" t="inlineStr">
        <is>
          <t>2026-08</t>
        </is>
      </c>
      <c r="G19" s="20" t="inlineStr">
        <is>
          <t>完了</t>
        </is>
      </c>
      <c r="H19" s="30" t="n">
        <v>100</v>
      </c>
      <c r="I19" s="30" t="n">
        <v>100</v>
      </c>
      <c r="J19" s="30" t="n">
        <v>0</v>
      </c>
      <c r="K19" s="19" t="n">
        <v>3</v>
      </c>
      <c r="L19" s="20" t="inlineStr">
        <is>
          <t>おおむね予定どおり</t>
        </is>
      </c>
      <c r="M19" s="18" t="inlineStr">
        <is>
          <t>―</t>
        </is>
      </c>
    </row>
    <row r="20">
      <c r="A20" s="18" t="inlineStr">
        <is>
          <t>P5 現状分析・課題</t>
        </is>
      </c>
      <c r="B20" s="19" t="inlineStr">
        <is>
          <t>5-2</t>
        </is>
      </c>
      <c r="C20" s="18" t="inlineStr">
        <is>
          <t>手帳所持者・サービス利用状況の分析</t>
        </is>
      </c>
      <c r="D20" s="19" t="inlineStr">
        <is>
          <t>受託者</t>
        </is>
      </c>
      <c r="E20" s="19" t="inlineStr">
        <is>
          <t>2026-09</t>
        </is>
      </c>
      <c r="F20" s="19" t="inlineStr">
        <is>
          <t>2026-10</t>
        </is>
      </c>
      <c r="G20" s="22" t="inlineStr">
        <is>
          <t>進行中</t>
        </is>
      </c>
      <c r="H20" s="30" t="n">
        <v>60</v>
      </c>
      <c r="I20" s="30" t="n">
        <v>60</v>
      </c>
      <c r="J20" s="30" t="n">
        <v>0</v>
      </c>
      <c r="K20" s="19" t="n">
        <v>3</v>
      </c>
      <c r="L20" s="20" t="inlineStr">
        <is>
          <t>おおむね予定どおり</t>
        </is>
      </c>
      <c r="M20" s="18" t="inlineStr">
        <is>
          <t>**支給決定量と実利用量の別、障害支援区分別の状況（依頼票D7）。精神障がい者の内数が総数を超える箇所があり原データの確認が必要**</t>
        </is>
      </c>
    </row>
    <row r="21">
      <c r="A21" s="18" t="inlineStr">
        <is>
          <t>P8 完成・納品</t>
        </is>
      </c>
      <c r="B21" s="19" t="inlineStr">
        <is>
          <t>8-1</t>
        </is>
      </c>
      <c r="C21" s="18" t="inlineStr">
        <is>
          <t>計画案の作成</t>
        </is>
      </c>
      <c r="D21" s="19" t="inlineStr">
        <is>
          <t>受託者</t>
        </is>
      </c>
      <c r="E21" s="19" t="inlineStr">
        <is>
          <t>2027-02</t>
        </is>
      </c>
      <c r="F21" s="19" t="inlineStr">
        <is>
          <t>2027-02</t>
        </is>
      </c>
      <c r="G21" s="23" t="inlineStr">
        <is>
          <t>未着手</t>
        </is>
      </c>
      <c r="H21" s="30" t="n">
        <v>0</v>
      </c>
      <c r="I21" s="30" t="n">
        <v>0</v>
      </c>
      <c r="J21" s="30" t="n">
        <v>0</v>
      </c>
      <c r="K21" s="19" t="n">
        <v>3</v>
      </c>
      <c r="L21" s="20" t="inlineStr">
        <is>
          <t>おおむね予定どおり</t>
        </is>
      </c>
      <c r="M21" s="18" t="inlineStr">
        <is>
          <t>意見への対応</t>
        </is>
      </c>
    </row>
    <row r="22">
      <c r="A22" s="18" t="inlineStr">
        <is>
          <t>P8 完成・納品</t>
        </is>
      </c>
      <c r="B22" s="19" t="inlineStr">
        <is>
          <t>8-2</t>
        </is>
      </c>
      <c r="C22" s="18" t="inlineStr">
        <is>
          <t>レイアウトデザイン・イラスト起こし</t>
        </is>
      </c>
      <c r="D22" s="19" t="inlineStr">
        <is>
          <t>受託者</t>
        </is>
      </c>
      <c r="E22" s="19" t="inlineStr">
        <is>
          <t>2027-02</t>
        </is>
      </c>
      <c r="F22" s="19" t="inlineStr">
        <is>
          <t>2027-03</t>
        </is>
      </c>
      <c r="G22" s="23" t="inlineStr">
        <is>
          <t>未着手</t>
        </is>
      </c>
      <c r="H22" s="30" t="n">
        <v>0</v>
      </c>
      <c r="I22" s="30" t="n">
        <v>0</v>
      </c>
      <c r="J22" s="30" t="n">
        <v>0</v>
      </c>
      <c r="K22" s="19" t="n">
        <v>3</v>
      </c>
      <c r="L22" s="20" t="inlineStr">
        <is>
          <t>おおむね予定どおり</t>
        </is>
      </c>
      <c r="M22" s="18" t="inlineStr">
        <is>
          <t>**イラスト起こしが仕様に含まれる点は引継ぎ資料でも触れられていない。デザイン工程の確保が必要**</t>
        </is>
      </c>
    </row>
    <row r="23">
      <c r="A23" s="18" t="inlineStr">
        <is>
          <t>P1 準備・現状把握</t>
        </is>
      </c>
      <c r="B23" s="19" t="inlineStr">
        <is>
          <t>1-1</t>
        </is>
      </c>
      <c r="C23" s="18" t="inlineStr">
        <is>
          <t>契約・体制の確立、キックオフ</t>
        </is>
      </c>
      <c r="D23" s="19" t="inlineStr">
        <is>
          <t>受託者</t>
        </is>
      </c>
      <c r="E23" s="19" t="inlineStr">
        <is>
          <t>2026-06</t>
        </is>
      </c>
      <c r="F23" s="19" t="inlineStr">
        <is>
          <t>2026-07</t>
        </is>
      </c>
      <c r="G23" s="20" t="inlineStr">
        <is>
          <t>完了</t>
        </is>
      </c>
      <c r="H23" s="30" t="n">
        <v>100</v>
      </c>
      <c r="I23" s="30" t="n">
        <v>100</v>
      </c>
      <c r="J23" s="30" t="n">
        <v>0</v>
      </c>
      <c r="K23" s="19" t="n">
        <v>2</v>
      </c>
      <c r="L23" s="20" t="inlineStr">
        <is>
          <t>おおむね予定どおり</t>
        </is>
      </c>
      <c r="M23" s="18" t="inlineStr">
        <is>
          <t>―</t>
        </is>
      </c>
    </row>
    <row r="24">
      <c r="A24" s="18" t="inlineStr">
        <is>
          <t>P1 準備・現状把握</t>
        </is>
      </c>
      <c r="B24" s="19" t="inlineStr">
        <is>
          <t>1-3</t>
        </is>
      </c>
      <c r="C24" s="18" t="inlineStr">
        <is>
          <t>現行計画（第7期・第3期）の確認</t>
        </is>
      </c>
      <c r="D24" s="19" t="inlineStr">
        <is>
          <t>受託者</t>
        </is>
      </c>
      <c r="E24" s="19" t="inlineStr">
        <is>
          <t>2026-07</t>
        </is>
      </c>
      <c r="F24" s="19" t="inlineStr">
        <is>
          <t>2026-08</t>
        </is>
      </c>
      <c r="G24" s="20" t="inlineStr">
        <is>
          <t>完了</t>
        </is>
      </c>
      <c r="H24" s="30" t="n">
        <v>100</v>
      </c>
      <c r="I24" s="30" t="n">
        <v>100</v>
      </c>
      <c r="J24" s="30" t="n">
        <v>0</v>
      </c>
      <c r="K24" s="19" t="n">
        <v>2</v>
      </c>
      <c r="L24" s="20" t="inlineStr">
        <is>
          <t>おおむね予定どおり</t>
        </is>
      </c>
      <c r="M24" s="18" t="inlineStr">
        <is>
          <t>―</t>
        </is>
      </c>
    </row>
    <row r="25">
      <c r="A25" s="18" t="inlineStr">
        <is>
          <t>P1 準備・現状把握</t>
        </is>
      </c>
      <c r="B25" s="19" t="inlineStr">
        <is>
          <t>1-4</t>
        </is>
      </c>
      <c r="C25" s="18" t="inlineStr">
        <is>
          <t>第3期地域福祉計画との役割分担の整理</t>
        </is>
      </c>
      <c r="D25" s="19" t="inlineStr">
        <is>
          <t>受託者</t>
        </is>
      </c>
      <c r="E25" s="19" t="inlineStr">
        <is>
          <t>2026-08</t>
        </is>
      </c>
      <c r="F25" s="19" t="inlineStr">
        <is>
          <t>2026-08</t>
        </is>
      </c>
      <c r="G25" s="20" t="inlineStr">
        <is>
          <t>完了</t>
        </is>
      </c>
      <c r="H25" s="30" t="n">
        <v>100</v>
      </c>
      <c r="I25" s="30" t="n">
        <v>100</v>
      </c>
      <c r="J25" s="30" t="n">
        <v>0</v>
      </c>
      <c r="K25" s="19" t="n">
        <v>2</v>
      </c>
      <c r="L25" s="20" t="inlineStr">
        <is>
          <t>おおむね予定どおり</t>
        </is>
      </c>
      <c r="M25" s="18" t="inlineStr">
        <is>
          <t>―</t>
        </is>
      </c>
    </row>
    <row r="26">
      <c r="A26" s="18" t="inlineStr">
        <is>
          <t>P1 準備・現状把握</t>
        </is>
      </c>
      <c r="B26" s="19" t="inlineStr">
        <is>
          <t>1-5</t>
        </is>
      </c>
      <c r="C26" s="18" t="inlineStr">
        <is>
          <t>町への資料依頼票の作成</t>
        </is>
      </c>
      <c r="D26" s="19" t="inlineStr">
        <is>
          <t>受託者</t>
        </is>
      </c>
      <c r="E26" s="19" t="inlineStr">
        <is>
          <t>2026-08</t>
        </is>
      </c>
      <c r="F26" s="19" t="inlineStr">
        <is>
          <t>2026-08</t>
        </is>
      </c>
      <c r="G26" s="20" t="inlineStr">
        <is>
          <t>完了</t>
        </is>
      </c>
      <c r="H26" s="30" t="n">
        <v>100</v>
      </c>
      <c r="I26" s="30" t="n">
        <v>100</v>
      </c>
      <c r="J26" s="30" t="n">
        <v>0</v>
      </c>
      <c r="K26" s="19" t="n">
        <v>2</v>
      </c>
      <c r="L26" s="20" t="inlineStr">
        <is>
          <t>おおむね予定どおり</t>
        </is>
      </c>
      <c r="M26" s="18" t="inlineStr">
        <is>
          <t>―</t>
        </is>
      </c>
    </row>
    <row r="27">
      <c r="A27" s="18" t="inlineStr">
        <is>
          <t>P2 ニーズ調査</t>
        </is>
      </c>
      <c r="B27" s="19" t="inlineStr">
        <is>
          <t>2-6</t>
        </is>
      </c>
      <c r="C27" s="18" t="inlineStr">
        <is>
          <t>調査用品の準備・印刷</t>
        </is>
      </c>
      <c r="D27" s="19" t="inlineStr">
        <is>
          <t>受託者</t>
        </is>
      </c>
      <c r="E27" s="19" t="inlineStr">
        <is>
          <t>2026-09</t>
        </is>
      </c>
      <c r="F27" s="19" t="inlineStr">
        <is>
          <t>2026-09</t>
        </is>
      </c>
      <c r="G27" s="20" t="inlineStr">
        <is>
          <t>完了</t>
        </is>
      </c>
      <c r="H27" s="30" t="n">
        <v>100</v>
      </c>
      <c r="I27" s="30" t="n">
        <v>100</v>
      </c>
      <c r="J27" s="30" t="n">
        <v>0</v>
      </c>
      <c r="K27" s="19" t="n">
        <v>2</v>
      </c>
      <c r="L27" s="20" t="inlineStr">
        <is>
          <t>おおむね予定どおり</t>
        </is>
      </c>
      <c r="M27" s="18" t="inlineStr">
        <is>
          <t>―</t>
        </is>
      </c>
    </row>
    <row r="28">
      <c r="A28" s="18" t="inlineStr">
        <is>
          <t>P3 ヒアリング</t>
        </is>
      </c>
      <c r="B28" s="19" t="inlineStr">
        <is>
          <t>3-5</t>
        </is>
      </c>
      <c r="C28" s="18" t="inlineStr">
        <is>
          <t>記録の作成と対象先への確認</t>
        </is>
      </c>
      <c r="D28" s="19" t="inlineStr">
        <is>
          <t>受託者</t>
        </is>
      </c>
      <c r="E28" s="19" t="inlineStr">
        <is>
          <t>2026-11</t>
        </is>
      </c>
      <c r="F28" s="19" t="inlineStr">
        <is>
          <t>2026-11</t>
        </is>
      </c>
      <c r="G28" s="23" t="inlineStr">
        <is>
          <t>未着手</t>
        </is>
      </c>
      <c r="H28" s="30" t="n">
        <v>0</v>
      </c>
      <c r="I28" s="30" t="n">
        <v>0</v>
      </c>
      <c r="J28" s="30" t="n">
        <v>0</v>
      </c>
      <c r="K28" s="19" t="n">
        <v>2</v>
      </c>
      <c r="L28" s="20" t="inlineStr">
        <is>
          <t>おおむね予定どおり</t>
        </is>
      </c>
      <c r="M28" s="18" t="inlineStr">
        <is>
          <t>ヒアリングの実施</t>
        </is>
      </c>
    </row>
    <row r="29">
      <c r="A29" s="18" t="inlineStr">
        <is>
          <t>P6 計画策定支援</t>
        </is>
      </c>
      <c r="B29" s="19" t="inlineStr">
        <is>
          <t>6-2</t>
        </is>
      </c>
      <c r="C29" s="18" t="inlineStr">
        <is>
          <t>骨子案の協議（自立支援協議会）</t>
        </is>
      </c>
      <c r="D29" s="19" t="inlineStr">
        <is>
          <t>受託者・町</t>
        </is>
      </c>
      <c r="E29" s="19" t="inlineStr">
        <is>
          <t>2026-12</t>
        </is>
      </c>
      <c r="F29" s="19" t="inlineStr">
        <is>
          <t>2026-12</t>
        </is>
      </c>
      <c r="G29" s="23" t="inlineStr">
        <is>
          <t>未着手</t>
        </is>
      </c>
      <c r="H29" s="30" t="n">
        <v>0</v>
      </c>
      <c r="I29" s="30" t="n">
        <v>0</v>
      </c>
      <c r="J29" s="30" t="n">
        <v>0</v>
      </c>
      <c r="K29" s="19" t="n">
        <v>2</v>
      </c>
      <c r="L29" s="20" t="inlineStr">
        <is>
          <t>おおむね予定どおり</t>
        </is>
      </c>
      <c r="M29" s="18" t="inlineStr">
        <is>
          <t>工程変更の合意</t>
        </is>
      </c>
    </row>
    <row r="30">
      <c r="A30" s="18" t="inlineStr">
        <is>
          <t>P6 計画策定支援</t>
        </is>
      </c>
      <c r="B30" s="19" t="inlineStr">
        <is>
          <t>6-6</t>
        </is>
      </c>
      <c r="C30" s="18" t="inlineStr">
        <is>
          <t>素案の協議（自立支援協議会）</t>
        </is>
      </c>
      <c r="D30" s="19" t="inlineStr">
        <is>
          <t>受託者・町</t>
        </is>
      </c>
      <c r="E30" s="19" t="inlineStr">
        <is>
          <t>2027-02</t>
        </is>
      </c>
      <c r="F30" s="19" t="inlineStr">
        <is>
          <t>2027-02</t>
        </is>
      </c>
      <c r="G30" s="23" t="inlineStr">
        <is>
          <t>未着手</t>
        </is>
      </c>
      <c r="H30" s="30" t="n">
        <v>0</v>
      </c>
      <c r="I30" s="30" t="n">
        <v>0</v>
      </c>
      <c r="J30" s="30" t="n">
        <v>0</v>
      </c>
      <c r="K30" s="19" t="n">
        <v>2</v>
      </c>
      <c r="L30" s="20" t="inlineStr">
        <is>
          <t>おおむね予定どおり</t>
        </is>
      </c>
      <c r="M30" s="18" t="inlineStr">
        <is>
          <t>素案の確定</t>
        </is>
      </c>
    </row>
    <row r="31">
      <c r="A31" s="18" t="inlineStr">
        <is>
          <t>P7 意見聴取</t>
        </is>
      </c>
      <c r="B31" s="19" t="inlineStr">
        <is>
          <t>7-2</t>
        </is>
      </c>
      <c r="C31" s="18" t="inlineStr">
        <is>
          <t>パブリックコメントの実施</t>
        </is>
      </c>
      <c r="D31" s="19" t="inlineStr">
        <is>
          <t>町</t>
        </is>
      </c>
      <c r="E31" s="19" t="inlineStr">
        <is>
          <t>2027-01</t>
        </is>
      </c>
      <c r="F31" s="19" t="inlineStr">
        <is>
          <t>2027-01</t>
        </is>
      </c>
      <c r="G31" s="23" t="inlineStr">
        <is>
          <t>未着手</t>
        </is>
      </c>
      <c r="H31" s="30" t="n">
        <v>0</v>
      </c>
      <c r="I31" s="30" t="n">
        <v>0</v>
      </c>
      <c r="J31" s="30" t="n">
        <v>0</v>
      </c>
      <c r="K31" s="19" t="n">
        <v>2</v>
      </c>
      <c r="L31" s="20" t="inlineStr">
        <is>
          <t>おおむね予定どおり</t>
        </is>
      </c>
      <c r="M31" s="18" t="inlineStr">
        <is>
          <t>素案の確定、実施時期の確定（依頼票C6）</t>
        </is>
      </c>
    </row>
    <row r="32">
      <c r="A32" s="18" t="inlineStr">
        <is>
          <t>P7 意見聴取</t>
        </is>
      </c>
      <c r="B32" s="19" t="inlineStr">
        <is>
          <t>7-3</t>
        </is>
      </c>
      <c r="C32" s="18" t="inlineStr">
        <is>
          <t>意見への対応</t>
        </is>
      </c>
      <c r="D32" s="19" t="inlineStr">
        <is>
          <t>受託者</t>
        </is>
      </c>
      <c r="E32" s="19" t="inlineStr">
        <is>
          <t>2027-02</t>
        </is>
      </c>
      <c r="F32" s="19" t="inlineStr">
        <is>
          <t>2027-02</t>
        </is>
      </c>
      <c r="G32" s="23" t="inlineStr">
        <is>
          <t>未着手</t>
        </is>
      </c>
      <c r="H32" s="30" t="n">
        <v>0</v>
      </c>
      <c r="I32" s="30" t="n">
        <v>0</v>
      </c>
      <c r="J32" s="30" t="n">
        <v>0</v>
      </c>
      <c r="K32" s="19" t="n">
        <v>2</v>
      </c>
      <c r="L32" s="20" t="inlineStr">
        <is>
          <t>おおむね予定どおり</t>
        </is>
      </c>
      <c r="M32" s="18" t="inlineStr">
        <is>
          <t>パブコメの実施</t>
        </is>
      </c>
    </row>
    <row r="33">
      <c r="A33" s="18" t="inlineStr">
        <is>
          <t>P8 完成・納品</t>
        </is>
      </c>
      <c r="B33" s="19" t="inlineStr">
        <is>
          <t>8-3</t>
        </is>
      </c>
      <c r="C33" s="18" t="inlineStr">
        <is>
          <t>リライト作業</t>
        </is>
      </c>
      <c r="D33" s="19" t="inlineStr">
        <is>
          <t>受託者</t>
        </is>
      </c>
      <c r="E33" s="19" t="inlineStr">
        <is>
          <t>2027-03</t>
        </is>
      </c>
      <c r="F33" s="19" t="inlineStr">
        <is>
          <t>2027-03</t>
        </is>
      </c>
      <c r="G33" s="23" t="inlineStr">
        <is>
          <t>未着手</t>
        </is>
      </c>
      <c r="H33" s="30" t="n">
        <v>0</v>
      </c>
      <c r="I33" s="30" t="n">
        <v>0</v>
      </c>
      <c r="J33" s="30" t="n">
        <v>0</v>
      </c>
      <c r="K33" s="19" t="n">
        <v>2</v>
      </c>
      <c r="L33" s="20" t="inlineStr">
        <is>
          <t>おおむね予定どおり</t>
        </is>
      </c>
      <c r="M33" s="18" t="inlineStr">
        <is>
          <t>計画案の確定</t>
        </is>
      </c>
    </row>
    <row r="34">
      <c r="A34" s="18" t="inlineStr">
        <is>
          <t>P2 ニーズ調査</t>
        </is>
      </c>
      <c r="B34" s="19" t="inlineStr">
        <is>
          <t>2-4</t>
        </is>
      </c>
      <c r="C34" s="18" t="inlineStr">
        <is>
          <t>調査票原案の町の確認</t>
        </is>
      </c>
      <c r="D34" s="19" t="inlineStr">
        <is>
          <t>町</t>
        </is>
      </c>
      <c r="E34" s="19" t="inlineStr">
        <is>
          <t>2026-08</t>
        </is>
      </c>
      <c r="F34" s="19" t="inlineStr">
        <is>
          <t>2026-08</t>
        </is>
      </c>
      <c r="G34" s="20" t="inlineStr">
        <is>
          <t>完了</t>
        </is>
      </c>
      <c r="H34" s="30" t="n">
        <v>100</v>
      </c>
      <c r="I34" s="30" t="n">
        <v>100</v>
      </c>
      <c r="J34" s="30" t="n">
        <v>0</v>
      </c>
      <c r="K34" s="19" t="n">
        <v>1</v>
      </c>
      <c r="L34" s="20" t="inlineStr">
        <is>
          <t>おおむね予定どおり</t>
        </is>
      </c>
      <c r="M34" s="18" t="inlineStr">
        <is>
          <t>―</t>
        </is>
      </c>
    </row>
    <row r="35">
      <c r="A35" s="18" t="inlineStr">
        <is>
          <t>P2 ニーズ調査</t>
        </is>
      </c>
      <c r="B35" s="19" t="inlineStr">
        <is>
          <t>2-7</t>
        </is>
      </c>
      <c r="C35" s="18" t="inlineStr">
        <is>
          <t>宛名ラベルの作成</t>
        </is>
      </c>
      <c r="D35" s="19" t="inlineStr">
        <is>
          <t>受託者</t>
        </is>
      </c>
      <c r="E35" s="19" t="inlineStr">
        <is>
          <t>2026-09</t>
        </is>
      </c>
      <c r="F35" s="19" t="inlineStr">
        <is>
          <t>2026-09</t>
        </is>
      </c>
      <c r="G35" s="20" t="inlineStr">
        <is>
          <t>完了</t>
        </is>
      </c>
      <c r="H35" s="30" t="n">
        <v>100</v>
      </c>
      <c r="I35" s="30" t="n">
        <v>100</v>
      </c>
      <c r="J35" s="30" t="n">
        <v>0</v>
      </c>
      <c r="K35" s="19" t="n">
        <v>1</v>
      </c>
      <c r="L35" s="20" t="inlineStr">
        <is>
          <t>おおむね予定どおり</t>
        </is>
      </c>
      <c r="M35" s="18" t="inlineStr">
        <is>
          <t>―</t>
        </is>
      </c>
    </row>
    <row r="36">
      <c r="A36" s="18" t="inlineStr">
        <is>
          <t>P4 成果品①</t>
        </is>
      </c>
      <c r="B36" s="19" t="inlineStr">
        <is>
          <t>4-2</t>
        </is>
      </c>
      <c r="C36" s="18" t="inlineStr">
        <is>
          <t>町による報告書の確認</t>
        </is>
      </c>
      <c r="D36" s="19" t="inlineStr">
        <is>
          <t>町</t>
        </is>
      </c>
      <c r="E36" s="19" t="inlineStr">
        <is>
          <t>2026-12</t>
        </is>
      </c>
      <c r="F36" s="19" t="inlineStr">
        <is>
          <t>2026-12</t>
        </is>
      </c>
      <c r="G36" s="23" t="inlineStr">
        <is>
          <t>未着手</t>
        </is>
      </c>
      <c r="H36" s="30" t="n">
        <v>0</v>
      </c>
      <c r="I36" s="30" t="n">
        <v>0</v>
      </c>
      <c r="J36" s="30" t="n">
        <v>0</v>
      </c>
      <c r="K36" s="19" t="n">
        <v>1</v>
      </c>
      <c r="L36" s="20" t="inlineStr">
        <is>
          <t>おおむね予定どおり</t>
        </is>
      </c>
      <c r="M36" s="18" t="inlineStr">
        <is>
          <t>報告書の作成</t>
        </is>
      </c>
    </row>
    <row r="37">
      <c r="A37" s="18" t="inlineStr">
        <is>
          <t>P4 成果品①</t>
        </is>
      </c>
      <c r="B37" s="19" t="inlineStr">
        <is>
          <t>4-3</t>
        </is>
      </c>
      <c r="C37" s="18" t="inlineStr">
        <is>
          <t>報告書の完成・納品</t>
        </is>
      </c>
      <c r="D37" s="19" t="inlineStr">
        <is>
          <t>受託者</t>
        </is>
      </c>
      <c r="E37" s="19" t="inlineStr">
        <is>
          <t>2026-12</t>
        </is>
      </c>
      <c r="F37" s="19" t="inlineStr">
        <is>
          <t>2026-12</t>
        </is>
      </c>
      <c r="G37" s="23" t="inlineStr">
        <is>
          <t>未着手</t>
        </is>
      </c>
      <c r="H37" s="30" t="n">
        <v>0</v>
      </c>
      <c r="I37" s="30" t="n">
        <v>0</v>
      </c>
      <c r="J37" s="30" t="n">
        <v>0</v>
      </c>
      <c r="K37" s="19" t="n">
        <v>1</v>
      </c>
      <c r="L37" s="20" t="inlineStr">
        <is>
          <t>おおむね予定どおり</t>
        </is>
      </c>
      <c r="M37" s="18" t="inlineStr">
        <is>
          <t>町の確認</t>
        </is>
      </c>
    </row>
    <row r="38">
      <c r="A38" s="18" t="inlineStr">
        <is>
          <t>P7 意見聴取</t>
        </is>
      </c>
      <c r="B38" s="19" t="inlineStr">
        <is>
          <t>7-1</t>
        </is>
      </c>
      <c r="C38" s="18" t="inlineStr">
        <is>
          <t>パブリックコメントの様式作成</t>
        </is>
      </c>
      <c r="D38" s="19" t="inlineStr">
        <is>
          <t>受託者</t>
        </is>
      </c>
      <c r="E38" s="19" t="inlineStr">
        <is>
          <t>2026-08</t>
        </is>
      </c>
      <c r="F38" s="19" t="inlineStr">
        <is>
          <t>2026-08</t>
        </is>
      </c>
      <c r="G38" s="20" t="inlineStr">
        <is>
          <t>完了</t>
        </is>
      </c>
      <c r="H38" s="30" t="n">
        <v>100</v>
      </c>
      <c r="I38" s="30" t="n">
        <v>100</v>
      </c>
      <c r="J38" s="30" t="n">
        <v>0</v>
      </c>
      <c r="K38" s="19" t="n">
        <v>1</v>
      </c>
      <c r="L38" s="20" t="inlineStr">
        <is>
          <t>おおむね予定どおり</t>
        </is>
      </c>
      <c r="M38" s="18" t="inlineStr">
        <is>
          <t>―</t>
        </is>
      </c>
    </row>
    <row r="39">
      <c r="A39" s="18" t="inlineStr">
        <is>
          <t>P8 完成・納品</t>
        </is>
      </c>
      <c r="B39" s="19" t="inlineStr">
        <is>
          <t>8-4</t>
        </is>
      </c>
      <c r="C39" s="18" t="inlineStr">
        <is>
          <t>納品・検収</t>
        </is>
      </c>
      <c r="D39" s="19" t="inlineStr">
        <is>
          <t>受託者・町</t>
        </is>
      </c>
      <c r="E39" s="19" t="inlineStr">
        <is>
          <t>2027-03</t>
        </is>
      </c>
      <c r="F39" s="19" t="inlineStr">
        <is>
          <t>2027-03</t>
        </is>
      </c>
      <c r="G39" s="23" t="inlineStr">
        <is>
          <t>未着手</t>
        </is>
      </c>
      <c r="H39" s="30" t="n">
        <v>0</v>
      </c>
      <c r="I39" s="30" t="n">
        <v>0</v>
      </c>
      <c r="J39" s="30" t="n">
        <v>0</v>
      </c>
      <c r="K39" s="19" t="n">
        <v>1</v>
      </c>
      <c r="L39" s="20" t="inlineStr">
        <is>
          <t>おおむね予定どおり</t>
        </is>
      </c>
      <c r="M39" s="18" t="inlineStr">
        <is>
          <t>**完了日が公告（3月31日）と仕様書（3月25日）で異なる（依頼票C1）**</t>
        </is>
      </c>
    </row>
    <row r="40">
      <c r="A40" s="18" t="inlineStr">
        <is>
          <t>P6 計画策定支援</t>
        </is>
      </c>
      <c r="B40" s="19" t="inlineStr">
        <is>
          <t>6-3</t>
        </is>
      </c>
      <c r="C40" s="18" t="inlineStr">
        <is>
          <t>成果目標の設定</t>
        </is>
      </c>
      <c r="D40" s="19" t="inlineStr">
        <is>
          <t>受託者・町</t>
        </is>
      </c>
      <c r="E40" s="19" t="inlineStr">
        <is>
          <t>2026-09</t>
        </is>
      </c>
      <c r="F40" s="19" t="inlineStr">
        <is>
          <t>2026-12</t>
        </is>
      </c>
      <c r="G40" s="22" t="inlineStr">
        <is>
          <t>進行中</t>
        </is>
      </c>
      <c r="H40" s="30" t="n">
        <v>30</v>
      </c>
      <c r="I40" s="30" t="n">
        <v>29.8</v>
      </c>
      <c r="J40" s="30" t="n">
        <v>0.2</v>
      </c>
      <c r="K40" s="19" t="n">
        <v>3</v>
      </c>
      <c r="L40" s="20" t="inlineStr">
        <is>
          <t>おおむね予定どおり</t>
        </is>
      </c>
      <c r="M40" s="18" t="inlineStr">
        <is>
          <t>**基準年度の確定（告示本文・県方針）、R6年度の一般就労移行者数、セルフプラン件数（依頼票D5）、特別支援学校卒業予定者（依頼票D6）**</t>
        </is>
      </c>
    </row>
    <row r="41">
      <c r="A41" s="18" t="inlineStr">
        <is>
          <t>P6 計画策定支援</t>
        </is>
      </c>
      <c r="B41" s="19" t="inlineStr">
        <is>
          <t>6-4</t>
        </is>
      </c>
      <c r="C41" s="18" t="inlineStr">
        <is>
          <t>サービス見込量の算定</t>
        </is>
      </c>
      <c r="D41" s="19" t="inlineStr">
        <is>
          <t>受託者</t>
        </is>
      </c>
      <c r="E41" s="19" t="inlineStr">
        <is>
          <t>2026-09</t>
        </is>
      </c>
      <c r="F41" s="19" t="inlineStr">
        <is>
          <t>2027-01</t>
        </is>
      </c>
      <c r="G41" s="22" t="inlineStr">
        <is>
          <t>進行中</t>
        </is>
      </c>
      <c r="H41" s="30" t="n">
        <v>40</v>
      </c>
      <c r="I41" s="30" t="n">
        <v>23.7</v>
      </c>
      <c r="J41" s="30" t="n">
        <v>16.3</v>
      </c>
      <c r="K41" s="19" t="n">
        <v>4</v>
      </c>
      <c r="L41" s="31" t="inlineStr">
        <is>
          <t>前倒し</t>
        </is>
      </c>
      <c r="M41" s="18" t="inlineStr">
        <is>
          <t>**A-1〜A-5の解消。とくに地域生活支援事業のR6〜R8実績（法定記載事項）と、居宅介護R7の113時間が実績か入力誤りかの確認**</t>
        </is>
      </c>
    </row>
    <row r="42">
      <c r="A42" s="18" t="inlineStr">
        <is>
          <t>P6 計画策定支援</t>
        </is>
      </c>
      <c r="B42" s="19" t="inlineStr">
        <is>
          <t>6-5</t>
        </is>
      </c>
      <c r="C42" s="18" t="inlineStr">
        <is>
          <t>素案の作成</t>
        </is>
      </c>
      <c r="D42" s="19" t="inlineStr">
        <is>
          <t>受託者</t>
        </is>
      </c>
      <c r="E42" s="19" t="inlineStr">
        <is>
          <t>2026-12</t>
        </is>
      </c>
      <c r="F42" s="19" t="inlineStr">
        <is>
          <t>2027-01</t>
        </is>
      </c>
      <c r="G42" s="22" t="inlineStr">
        <is>
          <t>進行中</t>
        </is>
      </c>
      <c r="H42" s="30" t="n">
        <v>30</v>
      </c>
      <c r="I42" s="30" t="n">
        <v>0</v>
      </c>
      <c r="J42" s="30" t="n">
        <v>30</v>
      </c>
      <c r="K42" s="19" t="n">
        <v>5</v>
      </c>
      <c r="L42" s="31" t="inlineStr">
        <is>
          <t>前倒し</t>
        </is>
      </c>
      <c r="M42" s="18" t="inlineStr">
        <is>
          <t>**条件なしで着手できる。調査結果を待たずに構成・本文は書ける**</t>
        </is>
      </c>
    </row>
    <row r="43">
      <c r="A43" s="18" t="inlineStr">
        <is>
          <t>P2 ニーズ調査</t>
        </is>
      </c>
      <c r="B43" s="19" t="inlineStr">
        <is>
          <t>2-11</t>
        </is>
      </c>
      <c r="C43" s="18" t="inlineStr">
        <is>
          <t>集計・分析</t>
        </is>
      </c>
      <c r="D43" s="19" t="inlineStr">
        <is>
          <t>受託者</t>
        </is>
      </c>
      <c r="E43" s="19" t="inlineStr">
        <is>
          <t>2026-09</t>
        </is>
      </c>
      <c r="F43" s="19" t="inlineStr">
        <is>
          <t>2026-11</t>
        </is>
      </c>
      <c r="G43" s="22" t="inlineStr">
        <is>
          <t>進行中</t>
        </is>
      </c>
      <c r="H43" s="30" t="n">
        <v>70</v>
      </c>
      <c r="I43" s="30" t="n">
        <v>40</v>
      </c>
      <c r="J43" s="30" t="n">
        <v>30</v>
      </c>
      <c r="K43" s="19" t="n">
        <v>3</v>
      </c>
      <c r="L43" s="31" t="inlineStr">
        <is>
          <t>前倒し</t>
        </is>
      </c>
      <c r="M43" s="18" t="inlineStr">
        <is>
          <t>**レビュー所見の反映（重大5件）。**うち障がい児の災害設問（問41・問42）は原票の確認が要る</t>
        </is>
      </c>
    </row>
    <row r="44">
      <c r="A44" s="18" t="inlineStr">
        <is>
          <t>P2 ニーズ調査</t>
        </is>
      </c>
      <c r="B44" s="19" t="inlineStr">
        <is>
          <t>2-15</t>
        </is>
      </c>
      <c r="C44" s="18" t="inlineStr">
        <is>
          <t>介護保険の利用の有無による問31の再集計</t>
        </is>
      </c>
      <c r="D44" s="19" t="inlineStr">
        <is>
          <t>受託者</t>
        </is>
      </c>
      <c r="E44" s="19" t="inlineStr">
        <is>
          <t>2026-10</t>
        </is>
      </c>
      <c r="F44" s="19" t="inlineStr">
        <is>
          <t>2026-10</t>
        </is>
      </c>
      <c r="G44" s="25" t="inlineStr">
        <is>
          <t>データ待ち</t>
        </is>
      </c>
      <c r="H44" s="30" t="n">
        <v>50</v>
      </c>
      <c r="I44" s="30" t="n">
        <v>20</v>
      </c>
      <c r="J44" s="30" t="n">
        <v>30</v>
      </c>
      <c r="K44" s="19" t="n">
        <v>3</v>
      </c>
      <c r="L44" s="31" t="inlineStr">
        <is>
          <t>前倒し</t>
        </is>
      </c>
      <c r="M44" s="18" t="inlineStr">
        <is>
          <t>**個票（1件ごとの回答データ）。**集計表は集計結果だけで個票がなく、問29×問31のクロス集計が作れない（依頼票D7）</t>
        </is>
      </c>
    </row>
    <row r="45">
      <c r="A45" s="18" t="inlineStr">
        <is>
          <t>P4 成果品①</t>
        </is>
      </c>
      <c r="B45" s="19" t="inlineStr">
        <is>
          <t>4-1</t>
        </is>
      </c>
      <c r="C45" s="18" t="inlineStr">
        <is>
          <t>アンケート調査結果及びヒアリング調査結果報告書の作成</t>
        </is>
      </c>
      <c r="D45" s="19" t="inlineStr">
        <is>
          <t>受託者</t>
        </is>
      </c>
      <c r="E45" s="19" t="inlineStr">
        <is>
          <t>2026-10</t>
        </is>
      </c>
      <c r="F45" s="19" t="inlineStr">
        <is>
          <t>2026-12</t>
        </is>
      </c>
      <c r="G45" s="22" t="inlineStr">
        <is>
          <t>進行中</t>
        </is>
      </c>
      <c r="H45" s="30" t="n">
        <v>40</v>
      </c>
      <c r="I45" s="30" t="n">
        <v>6.6</v>
      </c>
      <c r="J45" s="30" t="n">
        <v>33.4</v>
      </c>
      <c r="K45" s="19" t="n">
        <v>4</v>
      </c>
      <c r="L45" s="31" t="inlineStr">
        <is>
          <t>前倒し</t>
        </is>
      </c>
      <c r="M45" s="18" t="inlineStr">
        <is>
          <t>**レビュー所見の反映（重大5件）、ヒアリング記録の完成**</t>
        </is>
      </c>
    </row>
    <row r="46">
      <c r="A46" s="18" t="inlineStr">
        <is>
          <t>P2 ニーズ調査</t>
        </is>
      </c>
      <c r="B46" s="19" t="inlineStr">
        <is>
          <t>2-10</t>
        </is>
      </c>
      <c r="C46" s="18" t="inlineStr">
        <is>
          <t>回収票の点検・ナンバリング・データ入力</t>
        </is>
      </c>
      <c r="D46" s="19" t="inlineStr">
        <is>
          <t>受託者</t>
        </is>
      </c>
      <c r="E46" s="19" t="inlineStr">
        <is>
          <t>2026-09</t>
        </is>
      </c>
      <c r="F46" s="19" t="inlineStr">
        <is>
          <t>2026-10</t>
        </is>
      </c>
      <c r="G46" s="20" t="inlineStr">
        <is>
          <t>完了</t>
        </is>
      </c>
      <c r="H46" s="30" t="n">
        <v>100</v>
      </c>
      <c r="I46" s="30" t="n">
        <v>60</v>
      </c>
      <c r="J46" s="30" t="n">
        <v>40</v>
      </c>
      <c r="K46" s="19" t="n">
        <v>3</v>
      </c>
      <c r="L46" s="31" t="inlineStr">
        <is>
          <t>前倒し</t>
        </is>
      </c>
      <c r="M46" s="18" t="inlineStr">
        <is>
          <t>―</t>
        </is>
      </c>
    </row>
    <row r="47">
      <c r="A47" s="18" t="inlineStr">
        <is>
          <t>P5 現状分析・課題</t>
        </is>
      </c>
      <c r="B47" s="19" t="inlineStr">
        <is>
          <t>5-3</t>
        </is>
      </c>
      <c r="C47" s="18" t="inlineStr">
        <is>
          <t>課題の抽出</t>
        </is>
      </c>
      <c r="D47" s="19" t="inlineStr">
        <is>
          <t>受託者</t>
        </is>
      </c>
      <c r="E47" s="19" t="inlineStr">
        <is>
          <t>2026-11</t>
        </is>
      </c>
      <c r="F47" s="19" t="inlineStr">
        <is>
          <t>2026-11</t>
        </is>
      </c>
      <c r="G47" s="22" t="inlineStr">
        <is>
          <t>進行中</t>
        </is>
      </c>
      <c r="H47" s="30" t="n">
        <v>40</v>
      </c>
      <c r="I47" s="30" t="n">
        <v>0</v>
      </c>
      <c r="J47" s="30" t="n">
        <v>40</v>
      </c>
      <c r="K47" s="19" t="n">
        <v>3</v>
      </c>
      <c r="L47" s="31" t="inlineStr">
        <is>
          <t>前倒し</t>
        </is>
      </c>
      <c r="M47" s="18" t="inlineStr">
        <is>
          <t>調査結果・ヒアリング結果</t>
        </is>
      </c>
    </row>
    <row r="48">
      <c r="A48" s="18" t="inlineStr">
        <is>
          <t>P2 ニーズ調査</t>
        </is>
      </c>
      <c r="B48" s="19" t="inlineStr">
        <is>
          <t>2-12</t>
        </is>
      </c>
      <c r="C48" s="18" t="inlineStr">
        <is>
          <t>分析報告書のレビュー</t>
        </is>
      </c>
      <c r="D48" s="19" t="inlineStr">
        <is>
          <t>受託者</t>
        </is>
      </c>
      <c r="E48" s="19" t="inlineStr">
        <is>
          <t>2026-10</t>
        </is>
      </c>
      <c r="F48" s="19" t="inlineStr">
        <is>
          <t>2026-10</t>
        </is>
      </c>
      <c r="G48" s="20" t="inlineStr">
        <is>
          <t>完了</t>
        </is>
      </c>
      <c r="H48" s="30" t="n">
        <v>100</v>
      </c>
      <c r="I48" s="30" t="n">
        <v>20</v>
      </c>
      <c r="J48" s="30" t="n">
        <v>80</v>
      </c>
      <c r="K48" s="19" t="n">
        <v>3</v>
      </c>
      <c r="L48" s="31" t="inlineStr">
        <is>
          <t>前倒し</t>
        </is>
      </c>
      <c r="M48" s="18" t="inlineStr">
        <is>
          <t>―</t>
        </is>
      </c>
    </row>
    <row r="49">
      <c r="A49" s="18" t="inlineStr">
        <is>
          <t>P2 ニーズ調査</t>
        </is>
      </c>
      <c r="B49" s="19" t="inlineStr">
        <is>
          <t>2-13</t>
        </is>
      </c>
      <c r="C49" s="18" t="inlineStr">
        <is>
          <t>目標値とアンケート設問の対応（MECEチェック）</t>
        </is>
      </c>
      <c r="D49" s="19" t="inlineStr">
        <is>
          <t>受託者</t>
        </is>
      </c>
      <c r="E49" s="19" t="inlineStr">
        <is>
          <t>2026-10</t>
        </is>
      </c>
      <c r="F49" s="19" t="inlineStr">
        <is>
          <t>2026-10</t>
        </is>
      </c>
      <c r="G49" s="20" t="inlineStr">
        <is>
          <t>完了</t>
        </is>
      </c>
      <c r="H49" s="30" t="n">
        <v>100</v>
      </c>
      <c r="I49" s="30" t="n">
        <v>20</v>
      </c>
      <c r="J49" s="30" t="n">
        <v>80</v>
      </c>
      <c r="K49" s="19" t="n">
        <v>3</v>
      </c>
      <c r="L49" s="31" t="inlineStr">
        <is>
          <t>前倒し</t>
        </is>
      </c>
      <c r="M49" s="18" t="inlineStr">
        <is>
          <t>―</t>
        </is>
      </c>
    </row>
    <row r="50">
      <c r="A50" s="18" t="inlineStr">
        <is>
          <t>P2 ニーズ調査</t>
        </is>
      </c>
      <c r="B50" s="19" t="inlineStr">
        <is>
          <t>2-14</t>
        </is>
      </c>
      <c r="C50" s="18" t="inlineStr">
        <is>
          <t>アンケートで不足する事項の洗い出しと対応方針</t>
        </is>
      </c>
      <c r="D50" s="19" t="inlineStr">
        <is>
          <t>受託者</t>
        </is>
      </c>
      <c r="E50" s="19" t="inlineStr">
        <is>
          <t>2026-10</t>
        </is>
      </c>
      <c r="F50" s="19" t="inlineStr">
        <is>
          <t>2026-10</t>
        </is>
      </c>
      <c r="G50" s="20" t="inlineStr">
        <is>
          <t>完了</t>
        </is>
      </c>
      <c r="H50" s="30" t="n">
        <v>100</v>
      </c>
      <c r="I50" s="30" t="n">
        <v>20</v>
      </c>
      <c r="J50" s="30" t="n">
        <v>80</v>
      </c>
      <c r="K50" s="19" t="n">
        <v>3</v>
      </c>
      <c r="L50" s="31" t="inlineStr">
        <is>
          <t>前倒し</t>
        </is>
      </c>
      <c r="M50" s="18" t="inlineStr">
        <is>
          <t>―</t>
        </is>
      </c>
    </row>
    <row r="52">
      <c r="A52" s="32" t="inlineStr">
        <is>
          <t>加重の実績進捗率 53.8％　対　予定進捗率 51.8％　乖離 +2.0ポイント</t>
        </is>
      </c>
    </row>
    <row r="53">
      <c r="A53" s="33" t="inlineStr">
        <is>
          <t xml:space="preserve">　期限超過 6件</t>
        </is>
      </c>
    </row>
    <row r="54">
      <c r="A54" s="33" t="inlineStr">
        <is>
          <t xml:space="preserve">　遅れ 2件</t>
        </is>
      </c>
    </row>
    <row r="55">
      <c r="A55" s="33" t="inlineStr">
        <is>
          <t xml:space="preserve">　おおむね予定どおり 31件</t>
        </is>
      </c>
    </row>
    <row r="56">
      <c r="A56" s="33" t="inlineStr">
        <is>
          <t xml:space="preserve">　前倒し 10件</t>
        </is>
      </c>
    </row>
    <row r="57">
      <c r="A57" s="34" t="inlineStr">
        <is>
          <t>※ 予定進捗率＝予定開始の月初から予定完了の月末までを直線で見たとき、基準日に何％進んでいるはずかの値です。</t>
        </is>
      </c>
    </row>
    <row r="58">
      <c r="A58" s="34" t="inlineStr">
        <is>
          <t>※ 判定は実績と予定の差が±10ポイント以内なら「おおむね予定どおり」としています。月単位の予定を日割りした誤差の幅です。</t>
        </is>
      </c>
    </row>
    <row r="59">
      <c r="A59" s="34" t="inlineStr">
        <is>
          <t>※ 予定完了の月を過ぎてなお完了していないものを「期限超過」としています。</t>
        </is>
      </c>
    </row>
    <row r="60">
      <c r="A60" s="34" t="inlineStr">
        <is>
          <t>※ 加重は工数の目安（重み1〜5）です。製本1件の遅れと見込量推計1件の遅れを同じ重さにしないためです。</t>
        </is>
      </c>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2026-10-07T14:40:06Z</dcterms:created>
  <dcterms:modified xmlns:dcterms="http://purl.org/dc/terms/" xmlns:xsi="http://www.w3.org/2001/XMLSchema-instance" xsi:type="dcterms:W3CDTF">2026-10-07T14:40:06Z</dcterms:modified>
</cp:coreProperties>
</file>